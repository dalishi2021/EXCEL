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5\"/>
    </mc:Choice>
  </mc:AlternateContent>
  <xr:revisionPtr revIDLastSave="0" documentId="13_ncr:1_{DF21197A-553E-4B92-A217-BA10CF5753E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elapsed">Sheet1!$H$3</definedName>
    <definedName name="ExchangeRand">Sheet1!$G$7:$G$46</definedName>
    <definedName name="IndexRand">Sheet1!$C$7:$C$46</definedName>
    <definedName name="InterestRand">Sheet1!$E$7:$E$46</definedName>
    <definedName name="iterations">Sheet1!$F$2</definedName>
    <definedName name="meanreturn">Sheet1!$F$3</definedName>
    <definedName name="returndata">Sheet1!$J$7:$J$5006</definedName>
    <definedName name="starttime">Sheet1!$H$2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" i="1" l="1"/>
  <c r="J1" i="1" s="1"/>
  <c r="A7" i="1"/>
  <c r="A8" i="1" s="1"/>
  <c r="B4" i="1"/>
  <c r="B3" i="1"/>
  <c r="O5" i="1"/>
  <c r="L3" i="1"/>
  <c r="L2" i="1"/>
  <c r="N2" i="1"/>
  <c r="G5" i="1"/>
  <c r="K2" i="1" l="1"/>
  <c r="K3" i="1"/>
  <c r="L7" i="1" s="1"/>
  <c r="H8" i="1"/>
  <c r="A9" i="1"/>
  <c r="H7" i="1"/>
  <c r="H9" i="1" l="1"/>
  <c r="A10" i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M7" i="1" l="1" a="1"/>
  <c r="A11" i="1"/>
  <c r="H10" i="1"/>
  <c r="M44" i="1" l="1"/>
  <c r="N44" i="1" s="1"/>
  <c r="M28" i="1"/>
  <c r="N28" i="1" s="1"/>
  <c r="M12" i="1"/>
  <c r="N12" i="1" s="1"/>
  <c r="M49" i="1"/>
  <c r="N49" i="1" s="1"/>
  <c r="M32" i="1"/>
  <c r="N32" i="1" s="1"/>
  <c r="M31" i="1"/>
  <c r="N31" i="1" s="1"/>
  <c r="M43" i="1"/>
  <c r="N43" i="1" s="1"/>
  <c r="M27" i="1"/>
  <c r="N27" i="1" s="1"/>
  <c r="M11" i="1"/>
  <c r="N11" i="1" s="1"/>
  <c r="M42" i="1"/>
  <c r="N42" i="1" s="1"/>
  <c r="M26" i="1"/>
  <c r="N26" i="1" s="1"/>
  <c r="M10" i="1"/>
  <c r="N10" i="1" s="1"/>
  <c r="M18" i="1"/>
  <c r="N18" i="1" s="1"/>
  <c r="M57" i="1"/>
  <c r="N57" i="1" s="1"/>
  <c r="M41" i="1"/>
  <c r="N41" i="1" s="1"/>
  <c r="M25" i="1"/>
  <c r="N25" i="1" s="1"/>
  <c r="M9" i="1"/>
  <c r="N9" i="1" s="1"/>
  <c r="M48" i="1"/>
  <c r="N48" i="1" s="1"/>
  <c r="M56" i="1"/>
  <c r="N56" i="1" s="1"/>
  <c r="M40" i="1"/>
  <c r="N40" i="1" s="1"/>
  <c r="M24" i="1"/>
  <c r="N24" i="1" s="1"/>
  <c r="M8" i="1"/>
  <c r="N8" i="1" s="1"/>
  <c r="M55" i="1"/>
  <c r="N55" i="1" s="1"/>
  <c r="M39" i="1"/>
  <c r="N39" i="1" s="1"/>
  <c r="M23" i="1"/>
  <c r="N23" i="1" s="1"/>
  <c r="M7" i="1"/>
  <c r="N7" i="1" s="1"/>
  <c r="M17" i="1"/>
  <c r="N17" i="1" s="1"/>
  <c r="M16" i="1"/>
  <c r="N16" i="1" s="1"/>
  <c r="M54" i="1"/>
  <c r="N54" i="1" s="1"/>
  <c r="M38" i="1"/>
  <c r="N38" i="1" s="1"/>
  <c r="M22" i="1"/>
  <c r="N22" i="1" s="1"/>
  <c r="M53" i="1"/>
  <c r="N53" i="1" s="1"/>
  <c r="M37" i="1"/>
  <c r="N37" i="1" s="1"/>
  <c r="M21" i="1"/>
  <c r="N21" i="1" s="1"/>
  <c r="M15" i="1"/>
  <c r="N15" i="1" s="1"/>
  <c r="M52" i="1"/>
  <c r="N52" i="1" s="1"/>
  <c r="M36" i="1"/>
  <c r="N36" i="1" s="1"/>
  <c r="M20" i="1"/>
  <c r="N20" i="1" s="1"/>
  <c r="M34" i="1"/>
  <c r="N34" i="1" s="1"/>
  <c r="M33" i="1"/>
  <c r="N33" i="1" s="1"/>
  <c r="M51" i="1"/>
  <c r="N51" i="1" s="1"/>
  <c r="M35" i="1"/>
  <c r="N35" i="1" s="1"/>
  <c r="M19" i="1"/>
  <c r="N19" i="1" s="1"/>
  <c r="M46" i="1"/>
  <c r="N46" i="1" s="1"/>
  <c r="M30" i="1"/>
  <c r="N30" i="1" s="1"/>
  <c r="M14" i="1"/>
  <c r="N14" i="1" s="1"/>
  <c r="M50" i="1"/>
  <c r="N50" i="1" s="1"/>
  <c r="M45" i="1"/>
  <c r="N45" i="1" s="1"/>
  <c r="M29" i="1"/>
  <c r="N29" i="1" s="1"/>
  <c r="M13" i="1"/>
  <c r="N13" i="1" s="1"/>
  <c r="M47" i="1"/>
  <c r="N47" i="1" s="1"/>
  <c r="A12" i="1"/>
  <c r="H11" i="1"/>
  <c r="H12" i="1" l="1"/>
  <c r="A13" i="1"/>
  <c r="H13" i="1" l="1"/>
  <c r="A14" i="1"/>
  <c r="A15" i="1" l="1"/>
  <c r="H14" i="1"/>
  <c r="A16" i="1" l="1"/>
  <c r="H15" i="1"/>
  <c r="H16" i="1" l="1"/>
  <c r="A17" i="1"/>
  <c r="A18" i="1" l="1"/>
  <c r="H17" i="1"/>
  <c r="A19" i="1" l="1"/>
  <c r="H18" i="1"/>
  <c r="A20" i="1" l="1"/>
  <c r="H19" i="1"/>
  <c r="H20" i="1" l="1"/>
  <c r="A21" i="1"/>
  <c r="H21" i="1" l="1"/>
  <c r="A22" i="1"/>
  <c r="A23" i="1" l="1"/>
  <c r="H22" i="1"/>
  <c r="A24" i="1" l="1"/>
  <c r="H23" i="1"/>
  <c r="H24" i="1" l="1"/>
  <c r="A25" i="1"/>
  <c r="H25" i="1" l="1"/>
  <c r="A26" i="1"/>
  <c r="A27" i="1" l="1"/>
  <c r="H26" i="1"/>
  <c r="A28" i="1" l="1"/>
  <c r="H27" i="1"/>
  <c r="H28" i="1" l="1"/>
  <c r="A29" i="1"/>
  <c r="H29" i="1" l="1"/>
  <c r="A30" i="1"/>
  <c r="A31" i="1" l="1"/>
  <c r="H30" i="1"/>
  <c r="A32" i="1" l="1"/>
  <c r="H31" i="1"/>
  <c r="H32" i="1" l="1"/>
  <c r="A33" i="1"/>
  <c r="A34" i="1" l="1"/>
  <c r="H33" i="1"/>
  <c r="A35" i="1" l="1"/>
  <c r="H34" i="1"/>
  <c r="A36" i="1" l="1"/>
  <c r="H35" i="1"/>
  <c r="H36" i="1" l="1"/>
  <c r="A37" i="1"/>
  <c r="H37" i="1" l="1"/>
  <c r="A38" i="1"/>
  <c r="A39" i="1" l="1"/>
  <c r="H38" i="1"/>
  <c r="A40" i="1" l="1"/>
  <c r="H39" i="1"/>
  <c r="H40" i="1" l="1"/>
  <c r="A41" i="1"/>
  <c r="A42" i="1" l="1"/>
  <c r="H41" i="1"/>
  <c r="A43" i="1" l="1"/>
  <c r="H42" i="1"/>
  <c r="A44" i="1" l="1"/>
  <c r="H43" i="1"/>
  <c r="H44" i="1" l="1"/>
  <c r="A45" i="1"/>
  <c r="H45" i="1" l="1"/>
  <c r="A46" i="1"/>
  <c r="H46" i="1" s="1"/>
  <c r="F3" i="1" s="1"/>
</calcChain>
</file>

<file path=xl/sharedStrings.xml><?xml version="1.0" encoding="utf-8"?>
<sst xmlns="http://schemas.openxmlformats.org/spreadsheetml/2006/main" count="22" uniqueCount="22">
  <si>
    <t>BOOTSTRAPPING RETURN DISTRIBUTIONS</t>
  </si>
  <si>
    <t>Units of Index held</t>
  </si>
  <si>
    <t>Iterations</t>
  </si>
  <si>
    <t>Start time</t>
  </si>
  <si>
    <t>Max return</t>
  </si>
  <si>
    <t>Bond maturity</t>
  </si>
  <si>
    <t>Return</t>
  </si>
  <si>
    <t>Elapsed</t>
  </si>
  <si>
    <t>Min return</t>
  </si>
  <si>
    <t>Graph title</t>
  </si>
  <si>
    <t>Number of data points</t>
  </si>
  <si>
    <t>Day</t>
  </si>
  <si>
    <t>Index</t>
  </si>
  <si>
    <t>Index 
rand</t>
  </si>
  <si>
    <t>Foreign 
interest rate</t>
  </si>
  <si>
    <t>Interest 
rand</t>
  </si>
  <si>
    <t>Exchange rate</t>
  </si>
  <si>
    <t>Exchange 
rand</t>
  </si>
  <si>
    <t>Portfolio
value</t>
  </si>
  <si>
    <t>Output</t>
  </si>
  <si>
    <t>Bins</t>
  </si>
  <si>
    <t>Cumulative
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</si>
</sst>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"/>
    <numFmt numFmtId="177" formatCode="0.0000"/>
    <numFmt numFmtId="178" formatCode="mmmm\ d\,\ yyyy"/>
    <numFmt numFmtId="179" formatCode="0.0%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176" fontId="4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/>
    </xf>
    <xf numFmtId="177" fontId="0" fillId="0" borderId="0" xfId="0" applyNumberFormat="1" applyAlignment="1">
      <alignment horizontal="left"/>
    </xf>
    <xf numFmtId="3" fontId="0" fillId="0" borderId="0" xfId="0" applyNumberFormat="1" applyAlignment="1"/>
    <xf numFmtId="21" fontId="0" fillId="0" borderId="0" xfId="0" applyNumberFormat="1" applyAlignment="1">
      <alignment horizontal="right"/>
    </xf>
    <xf numFmtId="176" fontId="0" fillId="0" borderId="0" xfId="0" applyNumberFormat="1" applyAlignment="1"/>
    <xf numFmtId="0" fontId="0" fillId="2" borderId="0" xfId="0" applyFill="1" applyAlignment="1">
      <alignment horizontal="center"/>
    </xf>
    <xf numFmtId="178" fontId="0" fillId="0" borderId="0" xfId="0" applyNumberFormat="1" applyAlignment="1"/>
    <xf numFmtId="4" fontId="0" fillId="0" borderId="0" xfId="0" applyNumberFormat="1" applyAlignment="1"/>
    <xf numFmtId="0" fontId="5" fillId="0" borderId="0" xfId="0" applyFont="1" applyAlignment="1"/>
    <xf numFmtId="0" fontId="0" fillId="0" borderId="0" xfId="0" applyAlignment="1">
      <alignment horizontal="center"/>
    </xf>
    <xf numFmtId="177" fontId="0" fillId="2" borderId="0" xfId="0" applyNumberFormat="1" applyFill="1" applyAlignment="1">
      <alignment horizontal="center"/>
    </xf>
    <xf numFmtId="0" fontId="0" fillId="2" borderId="0" xfId="0" applyFill="1" applyAlignment="1"/>
    <xf numFmtId="0" fontId="5" fillId="0" borderId="0" xfId="0" applyFont="1" applyAlignment="1">
      <alignment horizontal="center"/>
    </xf>
    <xf numFmtId="177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 wrapText="1"/>
    </xf>
    <xf numFmtId="176" fontId="5" fillId="0" borderId="0" xfId="0" applyNumberFormat="1" applyFont="1" applyAlignment="1">
      <alignment horizont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/>
    <xf numFmtId="10" fontId="0" fillId="0" borderId="0" xfId="1" applyNumberFormat="1" applyFont="1" applyAlignment="1"/>
    <xf numFmtId="4" fontId="0" fillId="0" borderId="0" xfId="0" applyNumberFormat="1" applyAlignment="1">
      <alignment horizontal="right"/>
    </xf>
    <xf numFmtId="0" fontId="6" fillId="0" borderId="0" xfId="0" applyFont="1" applyAlignment="1"/>
    <xf numFmtId="177" fontId="0" fillId="0" borderId="0" xfId="0" applyNumberFormat="1" applyAlignment="1"/>
    <xf numFmtId="179" fontId="0" fillId="0" borderId="0" xfId="1" applyNumberFormat="1" applyFont="1" applyAlignment="1"/>
    <xf numFmtId="179" fontId="0" fillId="0" borderId="0" xfId="1" applyNumberFormat="1" applyFont="1" applyFill="1" applyAlignment="1"/>
    <xf numFmtId="0" fontId="0" fillId="0" borderId="0" xfId="0" applyAlignment="1">
      <alignment horizontal="right"/>
    </xf>
    <xf numFmtId="177" fontId="0" fillId="3" borderId="0" xfId="0" applyNumberFormat="1" applyFill="1" applyAlignment="1"/>
    <xf numFmtId="0" fontId="0" fillId="3" borderId="0" xfId="0" applyFill="1" applyAlignment="1"/>
    <xf numFmtId="179" fontId="0" fillId="3" borderId="0" xfId="1" applyNumberFormat="1" applyFon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'[1]Page 406-7'!$X$4</c:f>
          <c:strCache>
            <c:ptCount val="1"/>
            <c:pt idx="0">
              <c:v>Bootstrapped Return Frequency Distribution
5,000 Iterations</c:v>
            </c:pt>
          </c:strCache>
        </c:strRef>
      </c:tx>
      <c:layout>
        <c:manualLayout>
          <c:xMode val="edge"/>
          <c:yMode val="edge"/>
          <c:x val="0.22111559161683145"/>
          <c:y val="3.98862340881790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175299090575951"/>
          <c:y val="0.24216642124965834"/>
          <c:w val="0.80876513690480678"/>
          <c:h val="0.5128230097051587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Sheet1!$L$7:$L$57</c:f>
              <c:numCache>
                <c:formatCode>0.0000</c:formatCode>
                <c:ptCount val="51"/>
                <c:pt idx="0">
                  <c:v>-0.54142923059379422</c:v>
                </c:pt>
                <c:pt idx="1">
                  <c:v>-0.50599613402044874</c:v>
                </c:pt>
                <c:pt idx="2">
                  <c:v>-0.47056303744710326</c:v>
                </c:pt>
                <c:pt idx="3">
                  <c:v>-0.43512994087375778</c:v>
                </c:pt>
                <c:pt idx="4">
                  <c:v>-0.3996968443004123</c:v>
                </c:pt>
                <c:pt idx="5">
                  <c:v>-0.36426374772706682</c:v>
                </c:pt>
                <c:pt idx="6">
                  <c:v>-0.32883065115372134</c:v>
                </c:pt>
                <c:pt idx="7">
                  <c:v>-0.29339755458037586</c:v>
                </c:pt>
                <c:pt idx="8">
                  <c:v>-0.25796445800703038</c:v>
                </c:pt>
                <c:pt idx="9">
                  <c:v>-0.22253136143368493</c:v>
                </c:pt>
                <c:pt idx="10">
                  <c:v>-0.18709826486033948</c:v>
                </c:pt>
                <c:pt idx="11">
                  <c:v>-0.15166516828699403</c:v>
                </c:pt>
                <c:pt idx="12">
                  <c:v>-0.11623207171364858</c:v>
                </c:pt>
                <c:pt idx="13">
                  <c:v>-8.0798975140303125E-2</c:v>
                </c:pt>
                <c:pt idx="14">
                  <c:v>-4.5365878566957674E-2</c:v>
                </c:pt>
                <c:pt idx="15">
                  <c:v>-9.9327819936122219E-3</c:v>
                </c:pt>
                <c:pt idx="16">
                  <c:v>2.550031457973323E-2</c:v>
                </c:pt>
                <c:pt idx="17">
                  <c:v>6.0933411153078681E-2</c:v>
                </c:pt>
                <c:pt idx="18">
                  <c:v>9.6366507726424133E-2</c:v>
                </c:pt>
                <c:pt idx="19">
                  <c:v>0.13179960429976958</c:v>
                </c:pt>
                <c:pt idx="20">
                  <c:v>0.16723270087311504</c:v>
                </c:pt>
                <c:pt idx="21">
                  <c:v>0.20266579744646049</c:v>
                </c:pt>
                <c:pt idx="22">
                  <c:v>0.23809889401980594</c:v>
                </c:pt>
                <c:pt idx="23">
                  <c:v>0.27353199059315136</c:v>
                </c:pt>
                <c:pt idx="24">
                  <c:v>0.30896508716649684</c:v>
                </c:pt>
                <c:pt idx="25">
                  <c:v>0.34439818373984232</c:v>
                </c:pt>
                <c:pt idx="26">
                  <c:v>0.3798312803131878</c:v>
                </c:pt>
                <c:pt idx="27">
                  <c:v>0.41526437688653328</c:v>
                </c:pt>
                <c:pt idx="28">
                  <c:v>0.45069747345987876</c:v>
                </c:pt>
                <c:pt idx="29">
                  <c:v>0.48613057003322424</c:v>
                </c:pt>
                <c:pt idx="30">
                  <c:v>0.52156366660656972</c:v>
                </c:pt>
                <c:pt idx="31">
                  <c:v>0.5569967631799152</c:v>
                </c:pt>
                <c:pt idx="32">
                  <c:v>0.59242985975326068</c:v>
                </c:pt>
                <c:pt idx="33">
                  <c:v>0.62786295632660616</c:v>
                </c:pt>
                <c:pt idx="34">
                  <c:v>0.66329605289995164</c:v>
                </c:pt>
                <c:pt idx="35">
                  <c:v>0.69872914947329712</c:v>
                </c:pt>
                <c:pt idx="36">
                  <c:v>0.7341622460466426</c:v>
                </c:pt>
                <c:pt idx="37">
                  <c:v>0.76959534261998808</c:v>
                </c:pt>
                <c:pt idx="38">
                  <c:v>0.80502843919333356</c:v>
                </c:pt>
                <c:pt idx="39">
                  <c:v>0.84046153576667904</c:v>
                </c:pt>
                <c:pt idx="40">
                  <c:v>0.87589463234002451</c:v>
                </c:pt>
                <c:pt idx="41">
                  <c:v>0.91132772891336999</c:v>
                </c:pt>
                <c:pt idx="42">
                  <c:v>0.94676082548671547</c:v>
                </c:pt>
                <c:pt idx="43">
                  <c:v>0.98219392206006095</c:v>
                </c:pt>
                <c:pt idx="44">
                  <c:v>1.0176270186334064</c:v>
                </c:pt>
                <c:pt idx="45">
                  <c:v>1.0530601152067518</c:v>
                </c:pt>
                <c:pt idx="46">
                  <c:v>1.0884932117800972</c:v>
                </c:pt>
                <c:pt idx="47">
                  <c:v>1.1239263083534425</c:v>
                </c:pt>
                <c:pt idx="48">
                  <c:v>1.1593594049267879</c:v>
                </c:pt>
                <c:pt idx="49">
                  <c:v>1.1947925015001333</c:v>
                </c:pt>
                <c:pt idx="50">
                  <c:v>1.2302255980734786</c:v>
                </c:pt>
              </c:numCache>
            </c:numRef>
          </c:xVal>
          <c:yVal>
            <c:numRef>
              <c:f>Sheet1!$M$7:$M$57</c:f>
              <c:numCache>
                <c:formatCode>General</c:formatCode>
                <c:ptCount val="51"/>
                <c:pt idx="0">
                  <c:v>1</c:v>
                </c:pt>
                <c:pt idx="1">
                  <c:v>49</c:v>
                </c:pt>
                <c:pt idx="2">
                  <c:v>89</c:v>
                </c:pt>
                <c:pt idx="3">
                  <c:v>84</c:v>
                </c:pt>
                <c:pt idx="4">
                  <c:v>145</c:v>
                </c:pt>
                <c:pt idx="5">
                  <c:v>248</c:v>
                </c:pt>
                <c:pt idx="6">
                  <c:v>211</c:v>
                </c:pt>
                <c:pt idx="7">
                  <c:v>143</c:v>
                </c:pt>
                <c:pt idx="8">
                  <c:v>178</c:v>
                </c:pt>
                <c:pt idx="9">
                  <c:v>181</c:v>
                </c:pt>
                <c:pt idx="10">
                  <c:v>175</c:v>
                </c:pt>
                <c:pt idx="11">
                  <c:v>162</c:v>
                </c:pt>
                <c:pt idx="12">
                  <c:v>145</c:v>
                </c:pt>
                <c:pt idx="13">
                  <c:v>142</c:v>
                </c:pt>
                <c:pt idx="14">
                  <c:v>230</c:v>
                </c:pt>
                <c:pt idx="15">
                  <c:v>296</c:v>
                </c:pt>
                <c:pt idx="16">
                  <c:v>244</c:v>
                </c:pt>
                <c:pt idx="17">
                  <c:v>265</c:v>
                </c:pt>
                <c:pt idx="18">
                  <c:v>181</c:v>
                </c:pt>
                <c:pt idx="19">
                  <c:v>112</c:v>
                </c:pt>
                <c:pt idx="20">
                  <c:v>105</c:v>
                </c:pt>
                <c:pt idx="21">
                  <c:v>130</c:v>
                </c:pt>
                <c:pt idx="22">
                  <c:v>140</c:v>
                </c:pt>
                <c:pt idx="23">
                  <c:v>77</c:v>
                </c:pt>
                <c:pt idx="24">
                  <c:v>99</c:v>
                </c:pt>
                <c:pt idx="25">
                  <c:v>87</c:v>
                </c:pt>
                <c:pt idx="26">
                  <c:v>81</c:v>
                </c:pt>
                <c:pt idx="27">
                  <c:v>85</c:v>
                </c:pt>
                <c:pt idx="28">
                  <c:v>60</c:v>
                </c:pt>
                <c:pt idx="29">
                  <c:v>85</c:v>
                </c:pt>
                <c:pt idx="30">
                  <c:v>68</c:v>
                </c:pt>
                <c:pt idx="31">
                  <c:v>108</c:v>
                </c:pt>
                <c:pt idx="32">
                  <c:v>99</c:v>
                </c:pt>
                <c:pt idx="33">
                  <c:v>78</c:v>
                </c:pt>
                <c:pt idx="34">
                  <c:v>72</c:v>
                </c:pt>
                <c:pt idx="35">
                  <c:v>49</c:v>
                </c:pt>
                <c:pt idx="36">
                  <c:v>42</c:v>
                </c:pt>
                <c:pt idx="37">
                  <c:v>35</c:v>
                </c:pt>
                <c:pt idx="38">
                  <c:v>12</c:v>
                </c:pt>
                <c:pt idx="39">
                  <c:v>23</c:v>
                </c:pt>
                <c:pt idx="40">
                  <c:v>31</c:v>
                </c:pt>
                <c:pt idx="41">
                  <c:v>24</c:v>
                </c:pt>
                <c:pt idx="42">
                  <c:v>21</c:v>
                </c:pt>
                <c:pt idx="43">
                  <c:v>29</c:v>
                </c:pt>
                <c:pt idx="44">
                  <c:v>20</c:v>
                </c:pt>
                <c:pt idx="45">
                  <c:v>29</c:v>
                </c:pt>
                <c:pt idx="46">
                  <c:v>19</c:v>
                </c:pt>
                <c:pt idx="47">
                  <c:v>5</c:v>
                </c:pt>
                <c:pt idx="48">
                  <c:v>12</c:v>
                </c:pt>
                <c:pt idx="49">
                  <c:v>0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F3-431B-ABAA-9A7A2C592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953840"/>
        <c:axId val="1"/>
      </c:scatterChart>
      <c:valAx>
        <c:axId val="663953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Return</a:t>
                </a:r>
              </a:p>
            </c:rich>
          </c:tx>
          <c:layout>
            <c:manualLayout>
              <c:xMode val="edge"/>
              <c:yMode val="edge"/>
              <c:x val="0.48207183037183066"/>
              <c:y val="0.891742233542859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</a:t>
                </a:r>
              </a:p>
            </c:rich>
          </c:tx>
          <c:layout>
            <c:manualLayout>
              <c:xMode val="edge"/>
              <c:yMode val="edge"/>
              <c:x val="3.7848614781259435E-2"/>
              <c:y val="0.410258407764126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639538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441960</xdr:colOff>
      <xdr:row>2</xdr:row>
      <xdr:rowOff>15240</xdr:rowOff>
    </xdr:from>
    <xdr:to>
      <xdr:col>13</xdr:col>
      <xdr:colOff>220980</xdr:colOff>
      <xdr:row>6</xdr:row>
      <xdr:rowOff>60960</xdr:rowOff>
    </xdr:to>
    <xdr:sp macro="" textlink="">
      <xdr:nvSpPr>
        <xdr:cNvPr id="2" name="Line 6">
          <a:extLst>
            <a:ext uri="{FF2B5EF4-FFF2-40B4-BE49-F238E27FC236}">
              <a16:creationId xmlns:a16="http://schemas.microsoft.com/office/drawing/2014/main" id="{A2D4AF56-AEC5-4612-B5CD-414914BC25D9}"/>
            </a:ext>
          </a:extLst>
        </xdr:cNvPr>
        <xdr:cNvSpPr>
          <a:spLocks noChangeShapeType="1"/>
        </xdr:cNvSpPr>
      </xdr:nvSpPr>
      <xdr:spPr bwMode="auto">
        <a:xfrm flipH="1">
          <a:off x="10448925" y="628650"/>
          <a:ext cx="1000125" cy="885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7620</xdr:colOff>
      <xdr:row>5</xdr:row>
      <xdr:rowOff>0</xdr:rowOff>
    </xdr:from>
    <xdr:to>
      <xdr:col>14</xdr:col>
      <xdr:colOff>213360</xdr:colOff>
      <xdr:row>7</xdr:row>
      <xdr:rowOff>68580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62D63939-3867-4AD1-B8C8-133F8BA948A2}"/>
            </a:ext>
          </a:extLst>
        </xdr:cNvPr>
        <xdr:cNvSpPr>
          <a:spLocks noChangeShapeType="1"/>
        </xdr:cNvSpPr>
      </xdr:nvSpPr>
      <xdr:spPr bwMode="auto">
        <a:xfrm flipH="1">
          <a:off x="10629900" y="1123950"/>
          <a:ext cx="1600200" cy="571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518160</xdr:colOff>
      <xdr:row>3</xdr:row>
      <xdr:rowOff>7620</xdr:rowOff>
    </xdr:from>
    <xdr:to>
      <xdr:col>6</xdr:col>
      <xdr:colOff>182880</xdr:colOff>
      <xdr:row>3</xdr:row>
      <xdr:rowOff>106680</xdr:rowOff>
    </xdr:to>
    <xdr:sp macro="" textlink="">
      <xdr:nvSpPr>
        <xdr:cNvPr id="4" name="Line 9">
          <a:extLst>
            <a:ext uri="{FF2B5EF4-FFF2-40B4-BE49-F238E27FC236}">
              <a16:creationId xmlns:a16="http://schemas.microsoft.com/office/drawing/2014/main" id="{7FF00675-F187-439E-B9F4-7C72608500BB}"/>
            </a:ext>
          </a:extLst>
        </xdr:cNvPr>
        <xdr:cNvSpPr>
          <a:spLocks noChangeShapeType="1"/>
        </xdr:cNvSpPr>
      </xdr:nvSpPr>
      <xdr:spPr bwMode="auto">
        <a:xfrm flipH="1" flipV="1">
          <a:off x="5353050" y="790575"/>
          <a:ext cx="352425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91440</xdr:colOff>
      <xdr:row>7</xdr:row>
      <xdr:rowOff>0</xdr:rowOff>
    </xdr:from>
    <xdr:to>
      <xdr:col>22</xdr:col>
      <xdr:colOff>0</xdr:colOff>
      <xdr:row>26</xdr:row>
      <xdr:rowOff>83820</xdr:rowOff>
    </xdr:to>
    <xdr:graphicFrame macro="">
      <xdr:nvGraphicFramePr>
        <xdr:cNvPr id="5" name="图表 11">
          <a:extLst>
            <a:ext uri="{FF2B5EF4-FFF2-40B4-BE49-F238E27FC236}">
              <a16:creationId xmlns:a16="http://schemas.microsoft.com/office/drawing/2014/main" id="{F91B8F06-A1A3-472B-A03C-522FF6861B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60960</xdr:colOff>
      <xdr:row>47</xdr:row>
      <xdr:rowOff>121920</xdr:rowOff>
    </xdr:from>
    <xdr:to>
      <xdr:col>9</xdr:col>
      <xdr:colOff>297180</xdr:colOff>
      <xdr:row>51</xdr:row>
      <xdr:rowOff>53340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7B430947-9CAF-48DB-B459-50DD39FFF87F}"/>
            </a:ext>
          </a:extLst>
        </xdr:cNvPr>
        <xdr:cNvSpPr txBox="1">
          <a:spLocks noChangeArrowheads="1"/>
        </xdr:cNvSpPr>
      </xdr:nvSpPr>
      <xdr:spPr bwMode="auto">
        <a:xfrm>
          <a:off x="7534275" y="8610600"/>
          <a:ext cx="1381125" cy="619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Much more date:  In this case 5,000 data points.</a:t>
          </a:r>
        </a:p>
      </xdr:txBody>
    </xdr:sp>
    <xdr:clientData/>
  </xdr:twoCellAnchor>
  <xdr:twoCellAnchor>
    <xdr:from>
      <xdr:col>8</xdr:col>
      <xdr:colOff>640080</xdr:colOff>
      <xdr:row>51</xdr:row>
      <xdr:rowOff>76200</xdr:rowOff>
    </xdr:from>
    <xdr:to>
      <xdr:col>9</xdr:col>
      <xdr:colOff>213360</xdr:colOff>
      <xdr:row>57</xdr:row>
      <xdr:rowOff>76200</xdr:rowOff>
    </xdr:to>
    <xdr:sp macro="" textlink="">
      <xdr:nvSpPr>
        <xdr:cNvPr id="7" name="Line 13">
          <a:extLst>
            <a:ext uri="{FF2B5EF4-FFF2-40B4-BE49-F238E27FC236}">
              <a16:creationId xmlns:a16="http://schemas.microsoft.com/office/drawing/2014/main" id="{52472F7B-851A-4ED2-A113-3C09DE93966C}"/>
            </a:ext>
          </a:extLst>
        </xdr:cNvPr>
        <xdr:cNvSpPr>
          <a:spLocks noChangeShapeType="1"/>
        </xdr:cNvSpPr>
      </xdr:nvSpPr>
      <xdr:spPr bwMode="auto">
        <a:xfrm>
          <a:off x="8115300" y="9248775"/>
          <a:ext cx="714375" cy="1028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327660</xdr:colOff>
      <xdr:row>53</xdr:row>
      <xdr:rowOff>30480</xdr:rowOff>
    </xdr:from>
    <xdr:to>
      <xdr:col>30</xdr:col>
      <xdr:colOff>323850</xdr:colOff>
      <xdr:row>111</xdr:row>
      <xdr:rowOff>91440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D761AC16-97D3-4D2A-4B6B-565D0C988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27660" y="9525000"/>
          <a:ext cx="21770340" cy="102184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28</xdr:row>
          <xdr:rowOff>99060</xdr:rowOff>
        </xdr:from>
        <xdr:to>
          <xdr:col>17</xdr:col>
          <xdr:colOff>556260</xdr:colOff>
          <xdr:row>34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VBA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98"/>
      <sheetName val="Page 398（中文）"/>
      <sheetName val="Page 400"/>
      <sheetName val="Page 400（中文）"/>
      <sheetName val="Page 401"/>
      <sheetName val="Page 401（中文）"/>
      <sheetName val="Page 402"/>
      <sheetName val="Page 402（中文）"/>
      <sheetName val="Page 404"/>
      <sheetName val="Page 404（中文）"/>
      <sheetName val="Page 405, top"/>
      <sheetName val="Page 405, top（中文）"/>
      <sheetName val="Page 405, bottom"/>
      <sheetName val="Page 405, bottom（中文）"/>
      <sheetName val="Page 406-7"/>
      <sheetName val="Page 406-7（中文）"/>
      <sheetName val="Page 410"/>
      <sheetName val="Page 410（中文）"/>
      <sheetName val="Page 411"/>
      <sheetName val="Page 411（中文）"/>
      <sheetName val="Page 412"/>
      <sheetName val="Page 412（中文）"/>
      <sheetName val="Page 414"/>
      <sheetName val="Page 414（中文）"/>
      <sheetName val="Page 417"/>
      <sheetName val="Page 417（中文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4">
          <cell r="X4" t="str">
            <v>Bootstrapped Return Frequency Distribution
5,000 Iterations</v>
          </cell>
        </row>
        <row r="7">
          <cell r="L7">
            <v>-0.53930818966408156</v>
          </cell>
          <cell r="M7">
            <v>1</v>
          </cell>
        </row>
        <row r="8">
          <cell r="L8">
            <v>-0.50513406982412312</v>
          </cell>
          <cell r="M8">
            <v>53</v>
          </cell>
        </row>
        <row r="9">
          <cell r="L9">
            <v>-0.47095994998416468</v>
          </cell>
          <cell r="M9">
            <v>96</v>
          </cell>
        </row>
        <row r="10">
          <cell r="L10">
            <v>-0.43678583014420624</v>
          </cell>
          <cell r="M10">
            <v>87</v>
          </cell>
        </row>
        <row r="11">
          <cell r="L11">
            <v>-0.40261171030424781</v>
          </cell>
          <cell r="M11">
            <v>121</v>
          </cell>
        </row>
        <row r="12">
          <cell r="L12">
            <v>-0.36843759046428937</v>
          </cell>
          <cell r="M12">
            <v>217</v>
          </cell>
        </row>
        <row r="13">
          <cell r="L13">
            <v>-0.33426347062433093</v>
          </cell>
          <cell r="M13">
            <v>199</v>
          </cell>
        </row>
        <row r="14">
          <cell r="L14">
            <v>-0.30008935078437249</v>
          </cell>
          <cell r="M14">
            <v>160</v>
          </cell>
        </row>
        <row r="15">
          <cell r="L15">
            <v>-0.26591523094441405</v>
          </cell>
          <cell r="M15">
            <v>130</v>
          </cell>
        </row>
        <row r="16">
          <cell r="L16">
            <v>-0.23174111110445561</v>
          </cell>
          <cell r="M16">
            <v>162</v>
          </cell>
        </row>
        <row r="17">
          <cell r="L17">
            <v>-0.19756699126449717</v>
          </cell>
          <cell r="M17">
            <v>164</v>
          </cell>
        </row>
        <row r="18">
          <cell r="L18">
            <v>-0.16339287142453873</v>
          </cell>
          <cell r="M18">
            <v>135</v>
          </cell>
        </row>
        <row r="19">
          <cell r="L19">
            <v>-0.12921875158458029</v>
          </cell>
          <cell r="M19">
            <v>158</v>
          </cell>
        </row>
        <row r="20">
          <cell r="L20">
            <v>-9.5044631744621855E-2</v>
          </cell>
          <cell r="M20">
            <v>149</v>
          </cell>
        </row>
        <row r="21">
          <cell r="L21">
            <v>-6.0870511904663423E-2</v>
          </cell>
          <cell r="M21">
            <v>203</v>
          </cell>
        </row>
        <row r="22">
          <cell r="L22">
            <v>-2.6696392064704991E-2</v>
          </cell>
          <cell r="M22">
            <v>275</v>
          </cell>
        </row>
        <row r="23">
          <cell r="L23">
            <v>7.4777277752534413E-3</v>
          </cell>
          <cell r="M23">
            <v>228</v>
          </cell>
        </row>
        <row r="24">
          <cell r="L24">
            <v>4.1651847615211873E-2</v>
          </cell>
          <cell r="M24">
            <v>244</v>
          </cell>
        </row>
        <row r="25">
          <cell r="L25">
            <v>7.5825967455170312E-2</v>
          </cell>
          <cell r="M25">
            <v>212</v>
          </cell>
        </row>
        <row r="26">
          <cell r="L26">
            <v>0.11000008729512875</v>
          </cell>
          <cell r="M26">
            <v>128</v>
          </cell>
        </row>
        <row r="27">
          <cell r="L27">
            <v>0.14417420713508719</v>
          </cell>
          <cell r="M27">
            <v>135</v>
          </cell>
        </row>
        <row r="28">
          <cell r="L28">
            <v>0.17834832697504563</v>
          </cell>
          <cell r="M28">
            <v>92</v>
          </cell>
        </row>
        <row r="29">
          <cell r="L29">
            <v>0.21252244681500407</v>
          </cell>
          <cell r="M29">
            <v>137</v>
          </cell>
        </row>
        <row r="30">
          <cell r="L30">
            <v>0.24669656665496251</v>
          </cell>
          <cell r="M30">
            <v>98</v>
          </cell>
        </row>
        <row r="31">
          <cell r="L31">
            <v>0.28087068649492092</v>
          </cell>
          <cell r="M31">
            <v>100</v>
          </cell>
        </row>
        <row r="32">
          <cell r="L32">
            <v>0.31504480633487936</v>
          </cell>
          <cell r="M32">
            <v>109</v>
          </cell>
        </row>
        <row r="33">
          <cell r="L33">
            <v>0.3492189261748378</v>
          </cell>
          <cell r="M33">
            <v>94</v>
          </cell>
        </row>
        <row r="34">
          <cell r="L34">
            <v>0.38339304601479623</v>
          </cell>
          <cell r="M34">
            <v>73</v>
          </cell>
        </row>
        <row r="35">
          <cell r="L35">
            <v>0.41756716585475467</v>
          </cell>
          <cell r="M35">
            <v>73</v>
          </cell>
        </row>
        <row r="36">
          <cell r="L36">
            <v>0.45174128569471311</v>
          </cell>
          <cell r="M36">
            <v>65</v>
          </cell>
        </row>
        <row r="37">
          <cell r="L37">
            <v>0.48591540553467155</v>
          </cell>
          <cell r="M37">
            <v>87</v>
          </cell>
        </row>
        <row r="38">
          <cell r="L38">
            <v>0.52008952537462994</v>
          </cell>
          <cell r="M38">
            <v>59</v>
          </cell>
        </row>
        <row r="39">
          <cell r="L39">
            <v>0.55426364521458837</v>
          </cell>
          <cell r="M39">
            <v>98</v>
          </cell>
        </row>
        <row r="40">
          <cell r="L40">
            <v>0.58843776505454681</v>
          </cell>
          <cell r="M40">
            <v>101</v>
          </cell>
        </row>
        <row r="41">
          <cell r="L41">
            <v>0.62261188489450525</v>
          </cell>
          <cell r="M41">
            <v>75</v>
          </cell>
        </row>
        <row r="42">
          <cell r="L42">
            <v>0.65678600473446369</v>
          </cell>
          <cell r="M42">
            <v>73</v>
          </cell>
        </row>
        <row r="43">
          <cell r="L43">
            <v>0.69096012457442213</v>
          </cell>
          <cell r="M43">
            <v>51</v>
          </cell>
        </row>
        <row r="44">
          <cell r="L44">
            <v>0.72513424441438057</v>
          </cell>
          <cell r="M44">
            <v>54</v>
          </cell>
        </row>
        <row r="45">
          <cell r="L45">
            <v>0.75930836425433901</v>
          </cell>
          <cell r="M45">
            <v>33</v>
          </cell>
        </row>
        <row r="46">
          <cell r="L46">
            <v>0.79348248409429745</v>
          </cell>
          <cell r="M46">
            <v>35</v>
          </cell>
        </row>
        <row r="47">
          <cell r="L47">
            <v>0.82765660393425589</v>
          </cell>
          <cell r="M47">
            <v>33</v>
          </cell>
        </row>
        <row r="48">
          <cell r="L48">
            <v>0.86183072377421432</v>
          </cell>
          <cell r="M48">
            <v>22</v>
          </cell>
        </row>
        <row r="49">
          <cell r="L49">
            <v>0.89600484361417276</v>
          </cell>
          <cell r="M49">
            <v>37</v>
          </cell>
        </row>
        <row r="50">
          <cell r="L50">
            <v>0.9301789634541312</v>
          </cell>
          <cell r="M50">
            <v>21</v>
          </cell>
        </row>
        <row r="51">
          <cell r="L51">
            <v>0.96435308329408964</v>
          </cell>
          <cell r="M51">
            <v>25</v>
          </cell>
        </row>
        <row r="52">
          <cell r="L52">
            <v>0.99852720313404808</v>
          </cell>
          <cell r="M52">
            <v>35</v>
          </cell>
        </row>
        <row r="53">
          <cell r="L53">
            <v>1.0327013229740065</v>
          </cell>
          <cell r="M53">
            <v>19</v>
          </cell>
        </row>
        <row r="54">
          <cell r="L54">
            <v>1.0668754428139648</v>
          </cell>
          <cell r="M54">
            <v>22</v>
          </cell>
        </row>
        <row r="55">
          <cell r="L55">
            <v>1.1010495626539232</v>
          </cell>
          <cell r="M55">
            <v>15</v>
          </cell>
        </row>
        <row r="56">
          <cell r="L56">
            <v>1.1352236824938815</v>
          </cell>
          <cell r="M56">
            <v>6</v>
          </cell>
        </row>
        <row r="57">
          <cell r="L57">
            <v>1.1693978023338398</v>
          </cell>
          <cell r="M57">
            <v>7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AC15007"/>
  <sheetViews>
    <sheetView tabSelected="1" workbookViewId="0">
      <selection activeCell="Z13" sqref="Z13"/>
    </sheetView>
  </sheetViews>
  <sheetFormatPr defaultRowHeight="13.8" x14ac:dyDescent="0.25"/>
  <cols>
    <col min="1" max="1" width="20.88671875" style="2" customWidth="1"/>
    <col min="2" max="2" width="12.88671875" style="2" customWidth="1"/>
    <col min="3" max="3" width="11.44140625" style="4" customWidth="1"/>
    <col min="4" max="4" width="12.88671875" style="2" customWidth="1"/>
    <col min="5" max="5" width="12.44140625" style="4" customWidth="1"/>
    <col min="6" max="6" width="10" style="2" customWidth="1"/>
    <col min="7" max="7" width="14.44140625" style="4" customWidth="1"/>
    <col min="8" max="8" width="14" style="13" customWidth="1"/>
    <col min="9" max="9" width="16.6640625" style="2" customWidth="1"/>
    <col min="10" max="10" width="11.33203125" style="8" customWidth="1"/>
    <col min="11" max="13" width="8.88671875" style="2"/>
    <col min="14" max="14" width="11.5546875" style="2" customWidth="1"/>
    <col min="15" max="29" width="8.88671875" style="2"/>
  </cols>
  <sheetData>
    <row r="1" spans="1:24" ht="49.2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J1" s="3" t="str">
        <f>X4</f>
        <v>Bootstrapped Return Frequency Distribution
5,000 Iterations</v>
      </c>
      <c r="K1" s="3"/>
      <c r="L1" s="3"/>
      <c r="M1" s="3"/>
      <c r="N1" s="3"/>
    </row>
    <row r="2" spans="1:24" x14ac:dyDescent="0.25">
      <c r="A2" s="2" t="s">
        <v>1</v>
      </c>
      <c r="B2" s="2">
        <v>2</v>
      </c>
      <c r="E2" s="5" t="s">
        <v>2</v>
      </c>
      <c r="F2" s="6">
        <v>5000</v>
      </c>
      <c r="G2" s="5" t="s">
        <v>3</v>
      </c>
      <c r="H2" s="7">
        <v>0.81482638888888892</v>
      </c>
      <c r="J2" s="8" t="s">
        <v>4</v>
      </c>
      <c r="K2" s="8">
        <f>MAX(J:J)</f>
        <v>1.2302255980734782</v>
      </c>
      <c r="L2" s="2" t="str">
        <f ca="1">[2]!getformula(K2)</f>
        <v>&lt;--  =MAX(J:J)</v>
      </c>
      <c r="N2" s="9" t="str">
        <f ca="1">[2]!ggetformula(L7)</f>
        <v>=K3</v>
      </c>
    </row>
    <row r="3" spans="1:24" x14ac:dyDescent="0.25">
      <c r="A3" s="2" t="s">
        <v>5</v>
      </c>
      <c r="B3" s="10">
        <f>DATE(2000,5,8)</f>
        <v>36654</v>
      </c>
      <c r="E3" s="5" t="s">
        <v>6</v>
      </c>
      <c r="F3" s="11">
        <f>H46/H7-1</f>
        <v>-0.11722826725786584</v>
      </c>
      <c r="G3" s="5" t="s">
        <v>7</v>
      </c>
      <c r="H3" s="7">
        <v>1.4155092592592592E-2</v>
      </c>
      <c r="J3" s="8" t="s">
        <v>8</v>
      </c>
      <c r="K3" s="8">
        <f>MIN(J:J)</f>
        <v>-0.54142923059379422</v>
      </c>
      <c r="L3" s="2" t="str">
        <f ca="1">[2]!getformula(K3)</f>
        <v>&lt;--  =MIN(J:J)</v>
      </c>
      <c r="W3" s="12"/>
      <c r="X3" s="12" t="s">
        <v>9</v>
      </c>
    </row>
    <row r="4" spans="1:24" x14ac:dyDescent="0.25">
      <c r="A4" s="2" t="s">
        <v>10</v>
      </c>
      <c r="B4" s="2">
        <f>COUNT(B7:B46)</f>
        <v>40</v>
      </c>
      <c r="X4" s="2" t="str">
        <f>"Bootstrapped Return Frequency Distribution"&amp;CHAR(10)&amp;TEXT(iterations,"0,000")&amp;" Iterations"</f>
        <v>Bootstrapped Return Frequency Distribution
5,000 Iterations</v>
      </c>
    </row>
    <row r="5" spans="1:24" x14ac:dyDescent="0.25">
      <c r="G5" s="14" t="str">
        <f ca="1">[2]!ggetformula(meanreturn)</f>
        <v>=H46/H7-1</v>
      </c>
      <c r="O5" s="15" t="str">
        <f ca="1">[2]!ggetformula(L8)</f>
        <v>=($K$2-$K$3)/50+L7</v>
      </c>
      <c r="P5" s="15"/>
    </row>
    <row r="6" spans="1:24" ht="26.4" x14ac:dyDescent="0.25">
      <c r="A6" s="16" t="s">
        <v>11</v>
      </c>
      <c r="B6" s="16" t="s">
        <v>12</v>
      </c>
      <c r="C6" s="17" t="s">
        <v>13</v>
      </c>
      <c r="D6" s="18" t="s">
        <v>14</v>
      </c>
      <c r="E6" s="17" t="s">
        <v>15</v>
      </c>
      <c r="F6" s="18" t="s">
        <v>16</v>
      </c>
      <c r="G6" s="17" t="s">
        <v>17</v>
      </c>
      <c r="H6" s="18" t="s">
        <v>18</v>
      </c>
      <c r="I6" s="13"/>
      <c r="J6" s="19" t="s">
        <v>19</v>
      </c>
      <c r="K6" s="13"/>
      <c r="L6" s="16" t="s">
        <v>20</v>
      </c>
      <c r="M6" s="13"/>
      <c r="N6" s="18" t="s">
        <v>21</v>
      </c>
    </row>
    <row r="7" spans="1:24" x14ac:dyDescent="0.25">
      <c r="A7" s="20">
        <f>DATE(1997,1,2)</f>
        <v>35432</v>
      </c>
      <c r="B7" s="21">
        <v>514.71</v>
      </c>
      <c r="C7" s="4">
        <v>1.4804244041442871E-2</v>
      </c>
      <c r="D7" s="22">
        <v>5.28E-2</v>
      </c>
      <c r="E7" s="4">
        <v>4.0470361709594727E-2</v>
      </c>
      <c r="F7" s="21">
        <v>3.41</v>
      </c>
      <c r="G7" s="4">
        <v>2.5947928428649902E-2</v>
      </c>
      <c r="H7" s="23">
        <f t="shared" ref="H7:H46" si="0">$B$2*B7-F7*100*EXP(-($B$3-A7)/365*D7)</f>
        <v>743.67180943205642</v>
      </c>
      <c r="I7" s="24"/>
      <c r="J7" s="25">
        <v>-0.15390007568529773</v>
      </c>
      <c r="L7" s="25">
        <f>K3</f>
        <v>-0.54142923059379422</v>
      </c>
      <c r="M7" s="2">
        <f t="array" ref="M7:M57">FREQUENCY(J:J,L7:L57)</f>
        <v>1</v>
      </c>
      <c r="N7" s="26">
        <f t="shared" ref="N7:N57" si="1">M7/iterations</f>
        <v>2.0000000000000001E-4</v>
      </c>
    </row>
    <row r="8" spans="1:24" x14ac:dyDescent="0.25">
      <c r="A8" s="20">
        <f>A7+1</f>
        <v>35433</v>
      </c>
      <c r="B8" s="21">
        <v>654.16999999999996</v>
      </c>
      <c r="C8" s="4">
        <v>2.068018913269043E-2</v>
      </c>
      <c r="D8" s="22">
        <v>5.2999999999999999E-2</v>
      </c>
      <c r="E8" s="4">
        <v>7.085418701171875E-2</v>
      </c>
      <c r="F8" s="21">
        <v>3.42</v>
      </c>
      <c r="G8" s="4">
        <v>8.6513519287109375E-2</v>
      </c>
      <c r="H8" s="23">
        <f t="shared" si="0"/>
        <v>1021.9040798753869</v>
      </c>
      <c r="I8" s="24"/>
      <c r="J8" s="25">
        <v>0.86301597221046</v>
      </c>
      <c r="L8" s="29">
        <f t="shared" ref="L8:L57" si="2">($K$2-$K$3)/50+L7</f>
        <v>-0.50599613402044874</v>
      </c>
      <c r="M8" s="30">
        <v>49</v>
      </c>
      <c r="N8" s="31">
        <f t="shared" si="1"/>
        <v>9.7999999999999997E-3</v>
      </c>
    </row>
    <row r="9" spans="1:24" x14ac:dyDescent="0.25">
      <c r="A9" s="20">
        <f t="shared" ref="A9:A46" si="3">A8+1</f>
        <v>35434</v>
      </c>
      <c r="B9" s="21">
        <v>561.88</v>
      </c>
      <c r="C9" s="4">
        <v>7.0182740688323975E-2</v>
      </c>
      <c r="D9" s="22">
        <v>5.3600000000000002E-2</v>
      </c>
      <c r="E9" s="4">
        <v>7.9681694507598877E-2</v>
      </c>
      <c r="F9" s="21">
        <v>3.47</v>
      </c>
      <c r="G9" s="4">
        <v>0.11160635948181152</v>
      </c>
      <c r="H9" s="23">
        <f t="shared" si="0"/>
        <v>833.67655714862531</v>
      </c>
      <c r="I9" s="24"/>
      <c r="J9" s="25">
        <v>-3.5063999317628936E-2</v>
      </c>
      <c r="L9" s="25">
        <f t="shared" si="2"/>
        <v>-0.47056303744710326</v>
      </c>
      <c r="M9" s="2">
        <v>89</v>
      </c>
      <c r="N9" s="26">
        <f t="shared" si="1"/>
        <v>1.78E-2</v>
      </c>
    </row>
    <row r="10" spans="1:24" x14ac:dyDescent="0.25">
      <c r="A10" s="20">
        <f t="shared" si="3"/>
        <v>35435</v>
      </c>
      <c r="B10" s="21">
        <v>453.69</v>
      </c>
      <c r="C10" s="4">
        <v>8.9739084243774414E-2</v>
      </c>
      <c r="D10" s="22">
        <v>5.2699999999999997E-2</v>
      </c>
      <c r="E10" s="4">
        <v>0.12206655740737915</v>
      </c>
      <c r="F10" s="21">
        <v>3.41</v>
      </c>
      <c r="G10" s="4">
        <v>0.12280428409576416</v>
      </c>
      <c r="H10" s="23">
        <f t="shared" si="0"/>
        <v>621.41228619901653</v>
      </c>
      <c r="I10" s="24"/>
      <c r="J10" s="25">
        <v>-0.23825627209616296</v>
      </c>
      <c r="L10" s="25">
        <f t="shared" si="2"/>
        <v>-0.43512994087375778</v>
      </c>
      <c r="M10" s="2">
        <v>84</v>
      </c>
      <c r="N10" s="26">
        <f t="shared" si="1"/>
        <v>1.6799999999999999E-2</v>
      </c>
    </row>
    <row r="11" spans="1:24" x14ac:dyDescent="0.25">
      <c r="A11" s="20">
        <f t="shared" si="3"/>
        <v>35436</v>
      </c>
      <c r="B11" s="21">
        <v>487.39</v>
      </c>
      <c r="C11" s="4">
        <v>0.11383962631225586</v>
      </c>
      <c r="D11" s="22">
        <v>5.2400000000000002E-2</v>
      </c>
      <c r="E11" s="4">
        <v>0.14521259069442749</v>
      </c>
      <c r="F11" s="21">
        <v>3.41</v>
      </c>
      <c r="G11" s="4">
        <v>0.13377386331558228</v>
      </c>
      <c r="H11" s="23">
        <f t="shared" si="0"/>
        <v>688.48452837481818</v>
      </c>
      <c r="I11" s="24"/>
      <c r="J11" s="25">
        <v>4.3847244056485213E-3</v>
      </c>
      <c r="L11" s="25">
        <f t="shared" si="2"/>
        <v>-0.3996968443004123</v>
      </c>
      <c r="M11" s="2">
        <v>145</v>
      </c>
      <c r="N11" s="26">
        <f t="shared" si="1"/>
        <v>2.9000000000000001E-2</v>
      </c>
    </row>
    <row r="12" spans="1:24" x14ac:dyDescent="0.25">
      <c r="A12" s="20">
        <f t="shared" si="3"/>
        <v>35437</v>
      </c>
      <c r="B12" s="21">
        <v>456.5</v>
      </c>
      <c r="C12" s="4">
        <v>0.11572438478469849</v>
      </c>
      <c r="D12" s="22">
        <v>5.2300000000000006E-2</v>
      </c>
      <c r="E12" s="4">
        <v>0.16824853420257568</v>
      </c>
      <c r="F12" s="21">
        <v>3.42</v>
      </c>
      <c r="G12" s="4">
        <v>0.15503954887390137</v>
      </c>
      <c r="H12" s="23">
        <f t="shared" si="0"/>
        <v>625.72796005816338</v>
      </c>
      <c r="I12" s="24"/>
      <c r="J12" s="25">
        <v>0.51794073139102692</v>
      </c>
      <c r="L12" s="25">
        <f t="shared" si="2"/>
        <v>-0.36426374772706682</v>
      </c>
      <c r="M12" s="2">
        <v>248</v>
      </c>
      <c r="N12" s="26">
        <f t="shared" si="1"/>
        <v>4.9599999999999998E-2</v>
      </c>
    </row>
    <row r="13" spans="1:24" x14ac:dyDescent="0.25">
      <c r="A13" s="20">
        <f t="shared" si="3"/>
        <v>35438</v>
      </c>
      <c r="B13" s="21">
        <v>584.41</v>
      </c>
      <c r="C13" s="4">
        <v>0.11626166105270386</v>
      </c>
      <c r="D13" s="22">
        <v>5.2600000000000001E-2</v>
      </c>
      <c r="E13" s="4">
        <v>0.20710813999176025</v>
      </c>
      <c r="F13" s="21">
        <v>3.48</v>
      </c>
      <c r="G13" s="4">
        <v>0.17882061004638672</v>
      </c>
      <c r="H13" s="23">
        <f t="shared" si="0"/>
        <v>876.75825964193382</v>
      </c>
      <c r="I13" s="24"/>
      <c r="J13" s="25">
        <v>-0.27760817126086246</v>
      </c>
      <c r="L13" s="25">
        <f t="shared" si="2"/>
        <v>-0.32883065115372134</v>
      </c>
      <c r="M13" s="2">
        <v>211</v>
      </c>
      <c r="N13" s="26">
        <f t="shared" si="1"/>
        <v>4.2200000000000001E-2</v>
      </c>
    </row>
    <row r="14" spans="1:24" x14ac:dyDescent="0.25">
      <c r="A14" s="20">
        <f t="shared" si="3"/>
        <v>35439</v>
      </c>
      <c r="B14" s="21">
        <v>444.27</v>
      </c>
      <c r="C14" s="4">
        <v>0.12946158647537231</v>
      </c>
      <c r="D14" s="22">
        <v>5.2900000000000003E-2</v>
      </c>
      <c r="E14" s="4">
        <v>0.21824407577514648</v>
      </c>
      <c r="F14" s="21">
        <v>3.37</v>
      </c>
      <c r="G14" s="4">
        <v>0.18150907754898071</v>
      </c>
      <c r="H14" s="23">
        <f t="shared" si="0"/>
        <v>605.95167699421472</v>
      </c>
      <c r="I14" s="24"/>
      <c r="J14" s="25">
        <v>-5.1517071223894151E-2</v>
      </c>
      <c r="L14" s="25">
        <f t="shared" si="2"/>
        <v>-0.29339755458037586</v>
      </c>
      <c r="M14" s="2">
        <v>143</v>
      </c>
      <c r="N14" s="26">
        <f t="shared" si="1"/>
        <v>2.86E-2</v>
      </c>
    </row>
    <row r="15" spans="1:24" x14ac:dyDescent="0.25">
      <c r="A15" s="20">
        <f t="shared" si="3"/>
        <v>35440</v>
      </c>
      <c r="B15" s="21">
        <v>581.5</v>
      </c>
      <c r="C15" s="4">
        <v>0.12974178791046143</v>
      </c>
      <c r="D15" s="22">
        <v>5.2600000000000001E-2</v>
      </c>
      <c r="E15" s="4">
        <v>0.23225104808807373</v>
      </c>
      <c r="F15" s="21">
        <v>3.48</v>
      </c>
      <c r="G15" s="4">
        <v>0.2118644118309021</v>
      </c>
      <c r="H15" s="23">
        <f t="shared" si="0"/>
        <v>870.85406971518569</v>
      </c>
      <c r="I15" s="24"/>
      <c r="J15" s="25">
        <v>0.30863439472338716</v>
      </c>
      <c r="L15" s="25">
        <f t="shared" si="2"/>
        <v>-0.25796445800703038</v>
      </c>
      <c r="M15" s="2">
        <v>178</v>
      </c>
      <c r="N15" s="26">
        <f t="shared" si="1"/>
        <v>3.56E-2</v>
      </c>
    </row>
    <row r="16" spans="1:24" x14ac:dyDescent="0.25">
      <c r="A16" s="20">
        <f t="shared" si="3"/>
        <v>35441</v>
      </c>
      <c r="B16" s="21">
        <v>461.79</v>
      </c>
      <c r="C16" s="4">
        <v>0.13389080762863159</v>
      </c>
      <c r="D16" s="22">
        <v>5.28E-2</v>
      </c>
      <c r="E16" s="4">
        <v>0.23465150594711304</v>
      </c>
      <c r="F16" s="21">
        <v>3.46</v>
      </c>
      <c r="G16" s="4">
        <v>0.25414109230041504</v>
      </c>
      <c r="H16" s="23">
        <f t="shared" si="0"/>
        <v>633.26423193133405</v>
      </c>
      <c r="I16" s="24"/>
      <c r="J16" s="25">
        <v>-0.32316346113349614</v>
      </c>
      <c r="L16" s="25">
        <f t="shared" si="2"/>
        <v>-0.22253136143368493</v>
      </c>
      <c r="M16" s="2">
        <v>181</v>
      </c>
      <c r="N16" s="26">
        <f t="shared" si="1"/>
        <v>3.6200000000000003E-2</v>
      </c>
    </row>
    <row r="17" spans="1:14" x14ac:dyDescent="0.25">
      <c r="A17" s="20">
        <f t="shared" si="3"/>
        <v>35442</v>
      </c>
      <c r="B17" s="21">
        <v>670.63</v>
      </c>
      <c r="C17" s="4">
        <v>0.24841034412384033</v>
      </c>
      <c r="D17" s="22">
        <v>5.28E-2</v>
      </c>
      <c r="E17" s="4">
        <v>0.28043997287750244</v>
      </c>
      <c r="F17" s="21">
        <v>3.44</v>
      </c>
      <c r="G17" s="4">
        <v>0.26981484889984131</v>
      </c>
      <c r="H17" s="23">
        <f t="shared" si="0"/>
        <v>1052.5806011285704</v>
      </c>
      <c r="I17" s="24"/>
      <c r="J17" s="25">
        <v>-0.35109559196312234</v>
      </c>
      <c r="L17" s="25">
        <f t="shared" si="2"/>
        <v>-0.18709826486033948</v>
      </c>
      <c r="M17" s="2">
        <v>175</v>
      </c>
      <c r="N17" s="26">
        <f t="shared" si="1"/>
        <v>3.5000000000000003E-2</v>
      </c>
    </row>
    <row r="18" spans="1:14" x14ac:dyDescent="0.25">
      <c r="A18" s="20">
        <f t="shared" si="3"/>
        <v>35443</v>
      </c>
      <c r="B18" s="21">
        <v>605.37</v>
      </c>
      <c r="C18" s="4">
        <v>0.25102752447128296</v>
      </c>
      <c r="D18" s="22">
        <v>5.2499999999999998E-2</v>
      </c>
      <c r="E18" s="4">
        <v>0.29499703645706177</v>
      </c>
      <c r="F18" s="21">
        <v>3.4</v>
      </c>
      <c r="G18" s="4">
        <v>0.3504023551940918</v>
      </c>
      <c r="H18" s="23">
        <f t="shared" si="0"/>
        <v>925.09188501730137</v>
      </c>
      <c r="I18" s="24"/>
      <c r="J18" s="25">
        <v>-2.8396281224838393E-2</v>
      </c>
      <c r="L18" s="25">
        <f t="shared" si="2"/>
        <v>-0.15166516828699403</v>
      </c>
      <c r="M18" s="2">
        <v>162</v>
      </c>
      <c r="N18" s="26">
        <f t="shared" si="1"/>
        <v>3.2399999999999998E-2</v>
      </c>
    </row>
    <row r="19" spans="1:14" x14ac:dyDescent="0.25">
      <c r="A19" s="20">
        <f t="shared" si="3"/>
        <v>35444</v>
      </c>
      <c r="B19" s="21">
        <v>786.16</v>
      </c>
      <c r="C19" s="4">
        <v>0.30732548236846924</v>
      </c>
      <c r="D19" s="22">
        <v>5.2699999999999997E-2</v>
      </c>
      <c r="E19" s="4">
        <v>0.29536181688308716</v>
      </c>
      <c r="F19" s="21">
        <v>3.42</v>
      </c>
      <c r="G19" s="4">
        <v>0.39062768220901489</v>
      </c>
      <c r="H19" s="23">
        <f t="shared" si="0"/>
        <v>1285.1407378772381</v>
      </c>
      <c r="I19" s="24"/>
      <c r="J19" s="25">
        <v>-0.46523429206638234</v>
      </c>
      <c r="L19" s="25">
        <f t="shared" si="2"/>
        <v>-0.11623207171364858</v>
      </c>
      <c r="M19" s="2">
        <v>145</v>
      </c>
      <c r="N19" s="26">
        <f t="shared" si="1"/>
        <v>2.9000000000000001E-2</v>
      </c>
    </row>
    <row r="20" spans="1:14" x14ac:dyDescent="0.25">
      <c r="A20" s="20">
        <f t="shared" si="3"/>
        <v>35445</v>
      </c>
      <c r="B20" s="21">
        <v>687.33</v>
      </c>
      <c r="C20" s="4">
        <v>0.32569563388824463</v>
      </c>
      <c r="D20" s="22">
        <v>5.28E-2</v>
      </c>
      <c r="E20" s="4">
        <v>0.30825114250183105</v>
      </c>
      <c r="F20" s="21">
        <v>3.5</v>
      </c>
      <c r="G20" s="4">
        <v>0.39735400676727295</v>
      </c>
      <c r="H20" s="23">
        <f t="shared" si="0"/>
        <v>1080.8180036242954</v>
      </c>
      <c r="I20" s="24"/>
      <c r="J20" s="25">
        <v>4.9753995150410901E-2</v>
      </c>
      <c r="L20" s="25">
        <f t="shared" si="2"/>
        <v>-8.0798975140303125E-2</v>
      </c>
      <c r="M20" s="2">
        <v>142</v>
      </c>
      <c r="N20" s="26">
        <f t="shared" si="1"/>
        <v>2.8400000000000002E-2</v>
      </c>
    </row>
    <row r="21" spans="1:14" x14ac:dyDescent="0.25">
      <c r="A21" s="20">
        <f t="shared" si="3"/>
        <v>35446</v>
      </c>
      <c r="B21" s="21">
        <v>651.99</v>
      </c>
      <c r="C21" s="4">
        <v>0.36158722639083862</v>
      </c>
      <c r="D21" s="22">
        <v>5.2499999999999998E-2</v>
      </c>
      <c r="E21" s="4">
        <v>0.33143508434295654</v>
      </c>
      <c r="F21" s="21">
        <v>3.46</v>
      </c>
      <c r="G21" s="4">
        <v>0.43769919872283936</v>
      </c>
      <c r="H21" s="23">
        <f t="shared" si="0"/>
        <v>1013.1655745835864</v>
      </c>
      <c r="I21" s="24"/>
      <c r="J21" s="25">
        <v>-1.2244399245136206E-2</v>
      </c>
      <c r="L21" s="25">
        <f t="shared" si="2"/>
        <v>-4.5365878566957674E-2</v>
      </c>
      <c r="M21" s="2">
        <v>230</v>
      </c>
      <c r="N21" s="26">
        <f t="shared" si="1"/>
        <v>4.5999999999999999E-2</v>
      </c>
    </row>
    <row r="22" spans="1:14" x14ac:dyDescent="0.25">
      <c r="A22" s="20">
        <f t="shared" si="3"/>
        <v>35447</v>
      </c>
      <c r="B22" s="21">
        <v>467.14</v>
      </c>
      <c r="C22" s="4">
        <v>0.3850587010383606</v>
      </c>
      <c r="D22" s="22">
        <v>5.3499999999999999E-2</v>
      </c>
      <c r="E22" s="4">
        <v>0.35391181707382202</v>
      </c>
      <c r="F22" s="21">
        <v>3.46</v>
      </c>
      <c r="G22" s="4">
        <v>0.4928354024887085</v>
      </c>
      <c r="H22" s="23">
        <f t="shared" si="0"/>
        <v>644.38397137842935</v>
      </c>
      <c r="I22" s="24"/>
      <c r="J22" s="25">
        <v>-0.38190342793851073</v>
      </c>
      <c r="L22" s="25">
        <f t="shared" si="2"/>
        <v>-9.9327819936122219E-3</v>
      </c>
      <c r="M22" s="2">
        <v>296</v>
      </c>
      <c r="N22" s="27">
        <f t="shared" si="1"/>
        <v>5.9200000000000003E-2</v>
      </c>
    </row>
    <row r="23" spans="1:14" x14ac:dyDescent="0.25">
      <c r="A23" s="20">
        <f t="shared" si="3"/>
        <v>35448</v>
      </c>
      <c r="B23" s="21">
        <v>500.71</v>
      </c>
      <c r="C23" s="4">
        <v>0.38907432556152344</v>
      </c>
      <c r="D23" s="22">
        <v>5.2400000000000002E-2</v>
      </c>
      <c r="E23" s="4">
        <v>0.36413031816482544</v>
      </c>
      <c r="F23" s="21">
        <v>3.45</v>
      </c>
      <c r="G23" s="4">
        <v>0.56970304250717163</v>
      </c>
      <c r="H23" s="23">
        <f t="shared" si="0"/>
        <v>711.26679558630917</v>
      </c>
      <c r="I23" s="24"/>
      <c r="J23" s="25">
        <v>0.29728301285053638</v>
      </c>
      <c r="L23" s="25">
        <f t="shared" si="2"/>
        <v>2.550031457973323E-2</v>
      </c>
      <c r="M23" s="2">
        <v>244</v>
      </c>
      <c r="N23" s="27">
        <f t="shared" si="1"/>
        <v>4.8800000000000003E-2</v>
      </c>
    </row>
    <row r="24" spans="1:14" x14ac:dyDescent="0.25">
      <c r="A24" s="20">
        <f t="shared" si="3"/>
        <v>35449</v>
      </c>
      <c r="B24" s="21">
        <v>669.12</v>
      </c>
      <c r="C24" s="4">
        <v>0.40957552194595337</v>
      </c>
      <c r="D24" s="22">
        <v>5.3099999999999994E-2</v>
      </c>
      <c r="E24" s="4">
        <v>0.4102170467376709</v>
      </c>
      <c r="F24" s="21">
        <v>3.47</v>
      </c>
      <c r="G24" s="4">
        <v>0.57435911893844604</v>
      </c>
      <c r="H24" s="23">
        <f t="shared" si="0"/>
        <v>1047.0365859808021</v>
      </c>
      <c r="I24" s="24"/>
      <c r="J24" s="25">
        <v>9.3270976667492178E-3</v>
      </c>
      <c r="L24" s="25">
        <f t="shared" si="2"/>
        <v>6.0933411153078681E-2</v>
      </c>
      <c r="M24" s="2">
        <v>265</v>
      </c>
      <c r="N24" s="26">
        <f t="shared" si="1"/>
        <v>5.2999999999999999E-2</v>
      </c>
    </row>
    <row r="25" spans="1:14" x14ac:dyDescent="0.25">
      <c r="A25" s="20">
        <f t="shared" si="3"/>
        <v>35450</v>
      </c>
      <c r="B25" s="21">
        <v>470.42</v>
      </c>
      <c r="C25" s="4">
        <v>0.47777765989303589</v>
      </c>
      <c r="D25" s="22">
        <v>5.2699999999999997E-2</v>
      </c>
      <c r="E25" s="4">
        <v>0.41720545291900635</v>
      </c>
      <c r="F25" s="21">
        <v>3.49</v>
      </c>
      <c r="G25" s="4">
        <v>0.57804185152053833</v>
      </c>
      <c r="H25" s="23">
        <f t="shared" si="0"/>
        <v>647.52881391133974</v>
      </c>
      <c r="I25" s="24"/>
      <c r="J25" s="25">
        <v>0.66007399620559748</v>
      </c>
      <c r="L25" s="25">
        <f t="shared" si="2"/>
        <v>9.6366507726424133E-2</v>
      </c>
      <c r="M25" s="2">
        <v>181</v>
      </c>
      <c r="N25" s="26">
        <f t="shared" si="1"/>
        <v>3.6200000000000003E-2</v>
      </c>
    </row>
    <row r="26" spans="1:14" x14ac:dyDescent="0.25">
      <c r="A26" s="20">
        <f t="shared" si="3"/>
        <v>35451</v>
      </c>
      <c r="B26" s="21">
        <v>462.71</v>
      </c>
      <c r="C26" s="4">
        <v>0.52033782005310059</v>
      </c>
      <c r="D26" s="22">
        <v>5.2900000000000003E-2</v>
      </c>
      <c r="E26" s="4">
        <v>0.48126620054244995</v>
      </c>
      <c r="F26" s="21">
        <v>3.41</v>
      </c>
      <c r="G26" s="4">
        <v>0.61088341474533081</v>
      </c>
      <c r="H26" s="23">
        <f t="shared" si="0"/>
        <v>638.97977531492893</v>
      </c>
      <c r="I26" s="24"/>
      <c r="J26" s="25">
        <v>8.8328701422757394E-2</v>
      </c>
      <c r="L26" s="25">
        <f t="shared" si="2"/>
        <v>0.13179960429976958</v>
      </c>
      <c r="M26" s="2">
        <v>112</v>
      </c>
      <c r="N26" s="26">
        <f t="shared" si="1"/>
        <v>2.24E-2</v>
      </c>
    </row>
    <row r="27" spans="1:14" x14ac:dyDescent="0.25">
      <c r="A27" s="20">
        <f t="shared" si="3"/>
        <v>35452</v>
      </c>
      <c r="B27" s="21">
        <v>466.45</v>
      </c>
      <c r="C27" s="4">
        <v>0.57415544986724854</v>
      </c>
      <c r="D27" s="22">
        <v>5.2499999999999998E-2</v>
      </c>
      <c r="E27" s="4">
        <v>0.48739719390869141</v>
      </c>
      <c r="F27" s="21">
        <v>3.42</v>
      </c>
      <c r="G27" s="4">
        <v>0.61390513181686401</v>
      </c>
      <c r="H27" s="23">
        <f t="shared" si="0"/>
        <v>645.19940861875079</v>
      </c>
      <c r="I27" s="24"/>
      <c r="J27" s="25">
        <v>0.34362824227981825</v>
      </c>
      <c r="L27" s="25">
        <f t="shared" si="2"/>
        <v>0.16723270087311504</v>
      </c>
      <c r="M27" s="2">
        <v>105</v>
      </c>
      <c r="N27" s="26">
        <f t="shared" si="1"/>
        <v>2.1000000000000001E-2</v>
      </c>
    </row>
    <row r="28" spans="1:14" x14ac:dyDescent="0.25">
      <c r="A28" s="20">
        <f t="shared" si="3"/>
        <v>35453</v>
      </c>
      <c r="B28" s="21">
        <v>562.05999999999995</v>
      </c>
      <c r="C28" s="4">
        <v>0.60188198089599609</v>
      </c>
      <c r="D28" s="22">
        <v>5.2499999999999998E-2</v>
      </c>
      <c r="E28" s="4">
        <v>0.49001473188400269</v>
      </c>
      <c r="F28" s="21">
        <v>3.43</v>
      </c>
      <c r="G28" s="4">
        <v>0.62356865406036377</v>
      </c>
      <c r="H28" s="23">
        <f t="shared" si="0"/>
        <v>835.53667324375408</v>
      </c>
      <c r="I28" s="24"/>
      <c r="J28" s="25">
        <v>0.9048882338787525</v>
      </c>
      <c r="L28" s="25">
        <f t="shared" si="2"/>
        <v>0.20266579744646049</v>
      </c>
      <c r="M28" s="2">
        <v>130</v>
      </c>
      <c r="N28" s="26">
        <f t="shared" si="1"/>
        <v>2.5999999999999999E-2</v>
      </c>
    </row>
    <row r="29" spans="1:14" x14ac:dyDescent="0.25">
      <c r="A29" s="20">
        <f t="shared" si="3"/>
        <v>35454</v>
      </c>
      <c r="B29" s="21">
        <v>757.02</v>
      </c>
      <c r="C29" s="4">
        <v>0.60721468925476074</v>
      </c>
      <c r="D29" s="22">
        <v>5.2600000000000001E-2</v>
      </c>
      <c r="E29" s="4">
        <v>0.51032102108001709</v>
      </c>
      <c r="F29" s="21">
        <v>3.4430000000000001</v>
      </c>
      <c r="G29" s="4">
        <v>0.639057457447052</v>
      </c>
      <c r="H29" s="23">
        <f t="shared" si="0"/>
        <v>1224.4164826611227</v>
      </c>
      <c r="I29" s="24"/>
      <c r="J29" s="25">
        <v>0.5739552937143122</v>
      </c>
      <c r="L29" s="25">
        <f t="shared" si="2"/>
        <v>0.23809889401980594</v>
      </c>
      <c r="M29" s="2">
        <v>140</v>
      </c>
      <c r="N29" s="26">
        <f t="shared" si="1"/>
        <v>2.8000000000000001E-2</v>
      </c>
    </row>
    <row r="30" spans="1:14" x14ac:dyDescent="0.25">
      <c r="A30" s="20">
        <f t="shared" si="3"/>
        <v>35455</v>
      </c>
      <c r="B30" s="21">
        <v>615.92999999999995</v>
      </c>
      <c r="C30" s="4">
        <v>0.63311994075775146</v>
      </c>
      <c r="D30" s="22">
        <v>5.3200000000000004E-2</v>
      </c>
      <c r="E30" s="4">
        <v>0.51873517036437988</v>
      </c>
      <c r="F30" s="21">
        <v>3.42</v>
      </c>
      <c r="G30" s="4">
        <v>0.64857685565948486</v>
      </c>
      <c r="H30" s="23">
        <f t="shared" si="0"/>
        <v>944.69631594618522</v>
      </c>
      <c r="I30" s="24"/>
      <c r="J30" s="25">
        <v>0.18332025807062702</v>
      </c>
      <c r="L30" s="25">
        <f t="shared" si="2"/>
        <v>0.27353199059315136</v>
      </c>
      <c r="M30" s="2">
        <v>77</v>
      </c>
      <c r="N30" s="26">
        <f t="shared" si="1"/>
        <v>1.54E-2</v>
      </c>
    </row>
    <row r="31" spans="1:14" x14ac:dyDescent="0.25">
      <c r="A31" s="20">
        <f t="shared" si="3"/>
        <v>35456</v>
      </c>
      <c r="B31" s="21">
        <v>740.74</v>
      </c>
      <c r="C31" s="4">
        <v>0.64652234315872192</v>
      </c>
      <c r="D31" s="22">
        <v>5.3399999999999996E-2</v>
      </c>
      <c r="E31" s="4">
        <v>0.56544041633605957</v>
      </c>
      <c r="F31" s="21">
        <v>3.45</v>
      </c>
      <c r="G31" s="4">
        <v>0.73406654596328735</v>
      </c>
      <c r="H31" s="23">
        <f t="shared" si="0"/>
        <v>1191.9452350647334</v>
      </c>
      <c r="I31" s="24"/>
      <c r="J31" s="25">
        <v>0.29064603685091717</v>
      </c>
      <c r="L31" s="25">
        <f t="shared" si="2"/>
        <v>0.30896508716649684</v>
      </c>
      <c r="M31" s="2">
        <v>99</v>
      </c>
      <c r="N31" s="26">
        <f t="shared" si="1"/>
        <v>1.9800000000000002E-2</v>
      </c>
    </row>
    <row r="32" spans="1:14" x14ac:dyDescent="0.25">
      <c r="A32" s="20">
        <f t="shared" si="3"/>
        <v>35457</v>
      </c>
      <c r="B32" s="21">
        <v>459.27</v>
      </c>
      <c r="C32" s="4">
        <v>0.66577428579330444</v>
      </c>
      <c r="D32" s="22">
        <v>5.2400000000000002E-2</v>
      </c>
      <c r="E32" s="4">
        <v>0.60272175073623657</v>
      </c>
      <c r="F32" s="21">
        <v>3.44</v>
      </c>
      <c r="G32" s="4">
        <v>0.7505943775177002</v>
      </c>
      <c r="H32" s="23">
        <f t="shared" si="0"/>
        <v>628.85377058339304</v>
      </c>
      <c r="I32" s="24"/>
      <c r="J32" s="25">
        <v>0.94247706616214622</v>
      </c>
      <c r="L32" s="25">
        <f t="shared" si="2"/>
        <v>0.34439818373984232</v>
      </c>
      <c r="M32" s="2">
        <v>87</v>
      </c>
      <c r="N32" s="26">
        <f t="shared" si="1"/>
        <v>1.7399999999999999E-2</v>
      </c>
    </row>
    <row r="33" spans="1:14" x14ac:dyDescent="0.25">
      <c r="A33" s="20">
        <f t="shared" si="3"/>
        <v>35458</v>
      </c>
      <c r="B33" s="21">
        <v>705.27</v>
      </c>
      <c r="C33" s="4">
        <v>0.77139765024185181</v>
      </c>
      <c r="D33" s="22">
        <v>5.3200000000000004E-2</v>
      </c>
      <c r="E33" s="4">
        <v>0.63009244203567505</v>
      </c>
      <c r="F33" s="21">
        <v>3.68</v>
      </c>
      <c r="G33" s="4">
        <v>0.75463253259658813</v>
      </c>
      <c r="H33" s="23">
        <f t="shared" si="0"/>
        <v>1101.4100179662848</v>
      </c>
      <c r="I33" s="24"/>
      <c r="J33" s="25">
        <v>-0.21736408610014557</v>
      </c>
      <c r="L33" s="25">
        <f t="shared" si="2"/>
        <v>0.3798312803131878</v>
      </c>
      <c r="M33" s="2">
        <v>81</v>
      </c>
      <c r="N33" s="26">
        <f t="shared" si="1"/>
        <v>1.6199999999999999E-2</v>
      </c>
    </row>
    <row r="34" spans="1:14" x14ac:dyDescent="0.25">
      <c r="A34" s="20">
        <f t="shared" si="3"/>
        <v>35459</v>
      </c>
      <c r="B34" s="21">
        <v>450.91</v>
      </c>
      <c r="C34" s="4">
        <v>0.79919630289077759</v>
      </c>
      <c r="D34" s="22">
        <v>5.2300000000000006E-2</v>
      </c>
      <c r="E34" s="4">
        <v>0.63871473073959351</v>
      </c>
      <c r="F34" s="21">
        <v>3.45</v>
      </c>
      <c r="G34" s="4">
        <v>0.77103012800216675</v>
      </c>
      <c r="H34" s="23">
        <f t="shared" si="0"/>
        <v>611.11306894819381</v>
      </c>
      <c r="I34" s="24"/>
      <c r="J34" s="25">
        <v>-0.36987791365205558</v>
      </c>
      <c r="L34" s="25">
        <f t="shared" si="2"/>
        <v>0.41526437688653328</v>
      </c>
      <c r="M34" s="2">
        <v>85</v>
      </c>
      <c r="N34" s="26">
        <f t="shared" si="1"/>
        <v>1.7000000000000001E-2</v>
      </c>
    </row>
    <row r="35" spans="1:14" x14ac:dyDescent="0.25">
      <c r="A35" s="20">
        <f t="shared" si="3"/>
        <v>35460</v>
      </c>
      <c r="B35" s="21">
        <v>645.5</v>
      </c>
      <c r="C35" s="4">
        <v>0.80646169185638428</v>
      </c>
      <c r="D35" s="22">
        <v>5.3200000000000004E-2</v>
      </c>
      <c r="E35" s="4">
        <v>0.64980649948120117</v>
      </c>
      <c r="F35" s="21">
        <v>3.42</v>
      </c>
      <c r="G35" s="4">
        <v>0.79291725158691406</v>
      </c>
      <c r="H35" s="23">
        <f t="shared" si="0"/>
        <v>1003.6269642191825</v>
      </c>
      <c r="I35" s="24"/>
      <c r="J35" s="25">
        <v>-0.42955802135960897</v>
      </c>
      <c r="L35" s="25">
        <f t="shared" si="2"/>
        <v>0.45069747345987876</v>
      </c>
      <c r="M35" s="2">
        <v>60</v>
      </c>
      <c r="N35" s="26">
        <f t="shared" si="1"/>
        <v>1.2E-2</v>
      </c>
    </row>
    <row r="36" spans="1:14" x14ac:dyDescent="0.25">
      <c r="A36" s="20">
        <f t="shared" si="3"/>
        <v>35461</v>
      </c>
      <c r="B36" s="21">
        <v>481.61</v>
      </c>
      <c r="C36" s="4">
        <v>0.81220811605453491</v>
      </c>
      <c r="D36" s="22">
        <v>5.2600000000000001E-2</v>
      </c>
      <c r="E36" s="4">
        <v>0.65414345264434814</v>
      </c>
      <c r="F36" s="21">
        <v>3.4</v>
      </c>
      <c r="G36" s="4">
        <v>0.81752306222915649</v>
      </c>
      <c r="H36" s="23">
        <f t="shared" si="0"/>
        <v>676.92496274414168</v>
      </c>
      <c r="I36" s="24"/>
      <c r="J36" s="25">
        <v>0.49141489236228297</v>
      </c>
      <c r="L36" s="25">
        <f t="shared" si="2"/>
        <v>0.48613057003322424</v>
      </c>
      <c r="M36" s="2">
        <v>85</v>
      </c>
      <c r="N36" s="26">
        <f t="shared" si="1"/>
        <v>1.7000000000000001E-2</v>
      </c>
    </row>
    <row r="37" spans="1:14" x14ac:dyDescent="0.25">
      <c r="A37" s="20">
        <f t="shared" si="3"/>
        <v>35462</v>
      </c>
      <c r="B37" s="21">
        <v>533.4</v>
      </c>
      <c r="C37" s="4">
        <v>0.81721735000610352</v>
      </c>
      <c r="D37" s="22">
        <v>5.2400000000000002E-2</v>
      </c>
      <c r="E37" s="4">
        <v>0.67801332473754883</v>
      </c>
      <c r="F37" s="21">
        <v>3.39</v>
      </c>
      <c r="G37" s="4">
        <v>0.83690500259399414</v>
      </c>
      <c r="H37" s="23">
        <f t="shared" si="0"/>
        <v>781.11933589544367</v>
      </c>
      <c r="I37" s="24"/>
      <c r="J37" s="25">
        <v>-0.40781519490900298</v>
      </c>
      <c r="L37" s="25">
        <f t="shared" si="2"/>
        <v>0.52156366660656972</v>
      </c>
      <c r="M37" s="2">
        <v>68</v>
      </c>
      <c r="N37" s="26">
        <f t="shared" si="1"/>
        <v>1.3599999999999999E-2</v>
      </c>
    </row>
    <row r="38" spans="1:14" x14ac:dyDescent="0.25">
      <c r="A38" s="20">
        <f t="shared" si="3"/>
        <v>35463</v>
      </c>
      <c r="B38" s="21">
        <v>639.95000000000005</v>
      </c>
      <c r="C38" s="4">
        <v>0.82892948389053345</v>
      </c>
      <c r="D38" s="22">
        <v>5.3499999999999999E-2</v>
      </c>
      <c r="E38" s="4">
        <v>0.67957073450088501</v>
      </c>
      <c r="F38" s="21">
        <v>3.42</v>
      </c>
      <c r="G38" s="4">
        <v>0.84587651491165161</v>
      </c>
      <c r="H38" s="23">
        <f t="shared" si="0"/>
        <v>992.68257590567578</v>
      </c>
      <c r="I38" s="24"/>
      <c r="J38" s="25">
        <v>-0.53152721515593326</v>
      </c>
      <c r="L38" s="25">
        <f t="shared" si="2"/>
        <v>0.5569967631799152</v>
      </c>
      <c r="M38" s="2">
        <v>108</v>
      </c>
      <c r="N38" s="26">
        <f t="shared" si="1"/>
        <v>2.1600000000000001E-2</v>
      </c>
    </row>
    <row r="39" spans="1:14" x14ac:dyDescent="0.25">
      <c r="A39" s="20">
        <f t="shared" si="3"/>
        <v>35464</v>
      </c>
      <c r="B39" s="21">
        <v>544.75</v>
      </c>
      <c r="C39" s="4">
        <v>0.84870201349258423</v>
      </c>
      <c r="D39" s="22">
        <v>5.3099999999999994E-2</v>
      </c>
      <c r="E39" s="4">
        <v>0.70478618144989014</v>
      </c>
      <c r="F39" s="21">
        <v>3.41</v>
      </c>
      <c r="G39" s="4">
        <v>0.85211288928985596</v>
      </c>
      <c r="H39" s="23">
        <f t="shared" si="0"/>
        <v>802.70664777118986</v>
      </c>
      <c r="I39" s="24"/>
      <c r="J39" s="25">
        <v>0.3156366078551911</v>
      </c>
      <c r="L39" s="25">
        <f t="shared" si="2"/>
        <v>0.59242985975326068</v>
      </c>
      <c r="M39" s="2">
        <v>99</v>
      </c>
      <c r="N39" s="26">
        <f t="shared" si="1"/>
        <v>1.9800000000000002E-2</v>
      </c>
    </row>
    <row r="40" spans="1:14" x14ac:dyDescent="0.25">
      <c r="A40" s="20">
        <f t="shared" si="3"/>
        <v>35465</v>
      </c>
      <c r="B40" s="21">
        <v>790.82</v>
      </c>
      <c r="C40" s="4">
        <v>0.85889708995819092</v>
      </c>
      <c r="D40" s="22">
        <v>5.3399999999999996E-2</v>
      </c>
      <c r="E40" s="4">
        <v>0.70620065927505493</v>
      </c>
      <c r="F40" s="21">
        <v>3.49</v>
      </c>
      <c r="G40" s="4">
        <v>0.86801844835281372</v>
      </c>
      <c r="H40" s="23">
        <f t="shared" si="0"/>
        <v>1288.3624021457808</v>
      </c>
      <c r="I40" s="24"/>
      <c r="J40" s="25">
        <v>-1.8824026969724739E-2</v>
      </c>
      <c r="L40" s="25">
        <f t="shared" si="2"/>
        <v>0.62786295632660616</v>
      </c>
      <c r="M40" s="2">
        <v>78</v>
      </c>
      <c r="N40" s="26">
        <f t="shared" si="1"/>
        <v>1.5599999999999999E-2</v>
      </c>
    </row>
    <row r="41" spans="1:14" x14ac:dyDescent="0.25">
      <c r="A41" s="20">
        <f t="shared" si="3"/>
        <v>35466</v>
      </c>
      <c r="B41" s="21">
        <v>475.49</v>
      </c>
      <c r="C41" s="4">
        <v>0.85946011543273926</v>
      </c>
      <c r="D41" s="22">
        <v>5.28E-2</v>
      </c>
      <c r="E41" s="4">
        <v>0.70751875638961792</v>
      </c>
      <c r="F41" s="21">
        <v>3.43</v>
      </c>
      <c r="G41" s="4">
        <v>0.87696141004562378</v>
      </c>
      <c r="H41" s="23">
        <f t="shared" si="0"/>
        <v>662.13873057486421</v>
      </c>
      <c r="I41" s="24"/>
      <c r="J41" s="25">
        <v>-0.23583980385649916</v>
      </c>
      <c r="L41" s="25">
        <f t="shared" si="2"/>
        <v>0.66329605289995164</v>
      </c>
      <c r="M41" s="2">
        <v>72</v>
      </c>
      <c r="N41" s="26">
        <f t="shared" si="1"/>
        <v>1.44E-2</v>
      </c>
    </row>
    <row r="42" spans="1:14" x14ac:dyDescent="0.25">
      <c r="A42" s="20">
        <f t="shared" si="3"/>
        <v>35467</v>
      </c>
      <c r="B42" s="21">
        <v>458.26</v>
      </c>
      <c r="C42" s="4">
        <v>0.87867343425750732</v>
      </c>
      <c r="D42" s="22">
        <v>5.2699999999999997E-2</v>
      </c>
      <c r="E42" s="4">
        <v>0.72480124235153198</v>
      </c>
      <c r="F42" s="21">
        <v>3.41</v>
      </c>
      <c r="G42" s="4">
        <v>0.88695013523101807</v>
      </c>
      <c r="H42" s="23">
        <f t="shared" si="0"/>
        <v>629.22798004112258</v>
      </c>
      <c r="I42" s="24"/>
      <c r="J42" s="25">
        <v>5.5387720254205464E-2</v>
      </c>
      <c r="L42" s="25">
        <f t="shared" si="2"/>
        <v>0.69872914947329712</v>
      </c>
      <c r="M42" s="2">
        <v>49</v>
      </c>
      <c r="N42" s="26">
        <f t="shared" si="1"/>
        <v>9.7999999999999997E-3</v>
      </c>
    </row>
    <row r="43" spans="1:14" x14ac:dyDescent="0.25">
      <c r="A43" s="20">
        <f t="shared" si="3"/>
        <v>35468</v>
      </c>
      <c r="B43" s="21">
        <v>445.77</v>
      </c>
      <c r="C43" s="4">
        <v>0.88524323701858521</v>
      </c>
      <c r="D43" s="22">
        <v>5.3099999999999994E-2</v>
      </c>
      <c r="E43" s="4">
        <v>0.74230831861495972</v>
      </c>
      <c r="F43" s="21">
        <v>3.52</v>
      </c>
      <c r="G43" s="4">
        <v>0.91797775030136108</v>
      </c>
      <c r="H43" s="23">
        <f t="shared" si="0"/>
        <v>595.32292546544613</v>
      </c>
      <c r="I43" s="24"/>
      <c r="J43" s="25">
        <v>0.1005613202609732</v>
      </c>
      <c r="L43" s="25">
        <f t="shared" si="2"/>
        <v>0.7341622460466426</v>
      </c>
      <c r="M43" s="2">
        <v>42</v>
      </c>
      <c r="N43" s="26">
        <f t="shared" si="1"/>
        <v>8.3999999999999995E-3</v>
      </c>
    </row>
    <row r="44" spans="1:14" x14ac:dyDescent="0.25">
      <c r="A44" s="20">
        <f t="shared" si="3"/>
        <v>35469</v>
      </c>
      <c r="B44" s="21">
        <v>636.02</v>
      </c>
      <c r="C44" s="4">
        <v>0.93307536840438843</v>
      </c>
      <c r="D44" s="22">
        <v>5.28E-2</v>
      </c>
      <c r="E44" s="4">
        <v>0.86540645360946655</v>
      </c>
      <c r="F44" s="21">
        <v>3.44</v>
      </c>
      <c r="G44" s="4">
        <v>0.93022322654724121</v>
      </c>
      <c r="H44" s="23">
        <f t="shared" si="0"/>
        <v>982.23088581922275</v>
      </c>
      <c r="I44" s="24"/>
      <c r="J44" s="25">
        <v>-0.19400736681223185</v>
      </c>
      <c r="L44" s="25">
        <f t="shared" si="2"/>
        <v>0.76959534261998808</v>
      </c>
      <c r="M44" s="2">
        <v>35</v>
      </c>
      <c r="N44" s="26">
        <f t="shared" si="1"/>
        <v>7.0000000000000001E-3</v>
      </c>
    </row>
    <row r="45" spans="1:14" x14ac:dyDescent="0.25">
      <c r="A45" s="20">
        <f t="shared" si="3"/>
        <v>35470</v>
      </c>
      <c r="B45" s="21">
        <v>640.42999999999995</v>
      </c>
      <c r="C45" s="4">
        <v>0.96336811780929565</v>
      </c>
      <c r="D45" s="22">
        <v>5.2999999999999999E-2</v>
      </c>
      <c r="E45" s="4">
        <v>0.88652050495147705</v>
      </c>
      <c r="F45" s="21">
        <v>3.46</v>
      </c>
      <c r="G45" s="4">
        <v>0.97127431631088257</v>
      </c>
      <c r="H45" s="23">
        <f t="shared" si="0"/>
        <v>989.51285702311679</v>
      </c>
      <c r="I45" s="24"/>
      <c r="J45" s="25">
        <v>0.72312601867346737</v>
      </c>
      <c r="L45" s="25">
        <f t="shared" si="2"/>
        <v>0.80502843919333356</v>
      </c>
      <c r="M45" s="2">
        <v>12</v>
      </c>
      <c r="N45" s="26">
        <f t="shared" si="1"/>
        <v>2.3999999999999998E-3</v>
      </c>
    </row>
    <row r="46" spans="1:14" x14ac:dyDescent="0.25">
      <c r="A46" s="20">
        <f t="shared" si="3"/>
        <v>35471</v>
      </c>
      <c r="B46" s="21">
        <v>472.35</v>
      </c>
      <c r="C46" s="4">
        <v>0.99102497100830078</v>
      </c>
      <c r="D46" s="22">
        <v>5.28E-2</v>
      </c>
      <c r="E46" s="4">
        <v>0.96606689691543579</v>
      </c>
      <c r="F46" s="21">
        <v>3.42</v>
      </c>
      <c r="G46" s="4">
        <v>0.99990695714950562</v>
      </c>
      <c r="H46" s="23">
        <f t="shared" si="0"/>
        <v>656.49245180381467</v>
      </c>
      <c r="I46" s="24"/>
      <c r="J46" s="25">
        <v>1.8672715115066296E-2</v>
      </c>
      <c r="L46" s="25">
        <f t="shared" si="2"/>
        <v>0.84046153576667904</v>
      </c>
      <c r="M46" s="2">
        <v>23</v>
      </c>
      <c r="N46" s="26">
        <f t="shared" si="1"/>
        <v>4.5999999999999999E-3</v>
      </c>
    </row>
    <row r="47" spans="1:14" x14ac:dyDescent="0.25">
      <c r="H47" s="28"/>
      <c r="J47" s="25">
        <v>-0.26369423872864828</v>
      </c>
      <c r="L47" s="25">
        <f t="shared" si="2"/>
        <v>0.87589463234002451</v>
      </c>
      <c r="M47" s="2">
        <v>31</v>
      </c>
      <c r="N47" s="26">
        <f t="shared" si="1"/>
        <v>6.1999999999999998E-3</v>
      </c>
    </row>
    <row r="48" spans="1:14" x14ac:dyDescent="0.25">
      <c r="H48" s="28"/>
      <c r="J48" s="25">
        <v>-0.24155902255027439</v>
      </c>
      <c r="L48" s="25">
        <f t="shared" si="2"/>
        <v>0.91132772891336999</v>
      </c>
      <c r="M48" s="2">
        <v>24</v>
      </c>
      <c r="N48" s="26">
        <f t="shared" si="1"/>
        <v>4.7999999999999996E-3</v>
      </c>
    </row>
    <row r="49" spans="8:14" x14ac:dyDescent="0.25">
      <c r="H49" s="28"/>
      <c r="J49" s="25">
        <v>0.5848378864733601</v>
      </c>
      <c r="L49" s="25">
        <f t="shared" si="2"/>
        <v>0.94676082548671547</v>
      </c>
      <c r="M49" s="2">
        <v>21</v>
      </c>
      <c r="N49" s="26">
        <f t="shared" si="1"/>
        <v>4.1999999999999997E-3</v>
      </c>
    </row>
    <row r="50" spans="8:14" x14ac:dyDescent="0.25">
      <c r="H50" s="28"/>
      <c r="J50" s="25">
        <v>-0.30091887170117937</v>
      </c>
      <c r="L50" s="25">
        <f t="shared" si="2"/>
        <v>0.98219392206006095</v>
      </c>
      <c r="M50" s="2">
        <v>29</v>
      </c>
      <c r="N50" s="26">
        <f t="shared" si="1"/>
        <v>5.7999999999999996E-3</v>
      </c>
    </row>
    <row r="51" spans="8:14" x14ac:dyDescent="0.25">
      <c r="H51" s="28"/>
      <c r="J51" s="25">
        <v>0.23162376224942283</v>
      </c>
      <c r="L51" s="25">
        <f t="shared" si="2"/>
        <v>1.0176270186334064</v>
      </c>
      <c r="M51" s="2">
        <v>20</v>
      </c>
      <c r="N51" s="26">
        <f t="shared" si="1"/>
        <v>4.0000000000000001E-3</v>
      </c>
    </row>
    <row r="52" spans="8:14" x14ac:dyDescent="0.25">
      <c r="H52" s="28"/>
      <c r="J52" s="25">
        <v>-0.20350459277337707</v>
      </c>
      <c r="L52" s="25">
        <f t="shared" si="2"/>
        <v>1.0530601152067518</v>
      </c>
      <c r="M52" s="2">
        <v>29</v>
      </c>
      <c r="N52" s="26">
        <f t="shared" si="1"/>
        <v>5.7999999999999996E-3</v>
      </c>
    </row>
    <row r="53" spans="8:14" x14ac:dyDescent="0.25">
      <c r="H53" s="28"/>
      <c r="J53" s="25">
        <v>-0.18435900677865125</v>
      </c>
      <c r="L53" s="25">
        <f t="shared" si="2"/>
        <v>1.0884932117800972</v>
      </c>
      <c r="M53" s="2">
        <v>19</v>
      </c>
      <c r="N53" s="26">
        <f t="shared" si="1"/>
        <v>3.8E-3</v>
      </c>
    </row>
    <row r="54" spans="8:14" x14ac:dyDescent="0.25">
      <c r="H54" s="28"/>
      <c r="J54" s="25">
        <v>-0.27496804169651201</v>
      </c>
      <c r="L54" s="25">
        <f t="shared" si="2"/>
        <v>1.1239263083534425</v>
      </c>
      <c r="M54" s="2">
        <v>5</v>
      </c>
      <c r="N54" s="26">
        <f t="shared" si="1"/>
        <v>1E-3</v>
      </c>
    </row>
    <row r="55" spans="8:14" x14ac:dyDescent="0.25">
      <c r="H55" s="28"/>
      <c r="J55" s="25">
        <v>-2.9400853531642568E-3</v>
      </c>
      <c r="L55" s="25">
        <f t="shared" si="2"/>
        <v>1.1593594049267879</v>
      </c>
      <c r="M55" s="2">
        <v>12</v>
      </c>
      <c r="N55" s="26">
        <f t="shared" si="1"/>
        <v>2.3999999999999998E-3</v>
      </c>
    </row>
    <row r="56" spans="8:14" x14ac:dyDescent="0.25">
      <c r="H56" s="28"/>
      <c r="J56" s="25">
        <v>0.29566693591799376</v>
      </c>
      <c r="L56" s="25">
        <f t="shared" si="2"/>
        <v>1.1947925015001333</v>
      </c>
      <c r="M56" s="2">
        <v>0</v>
      </c>
      <c r="N56" s="26">
        <f t="shared" si="1"/>
        <v>0</v>
      </c>
    </row>
    <row r="57" spans="8:14" x14ac:dyDescent="0.25">
      <c r="H57" s="28"/>
      <c r="J57" s="25">
        <v>-0.38524645755859332</v>
      </c>
      <c r="L57" s="25">
        <f t="shared" si="2"/>
        <v>1.2302255980734786</v>
      </c>
      <c r="M57" s="2">
        <v>1</v>
      </c>
      <c r="N57" s="26">
        <f t="shared" si="1"/>
        <v>2.0000000000000001E-4</v>
      </c>
    </row>
    <row r="58" spans="8:14" x14ac:dyDescent="0.25">
      <c r="H58" s="28"/>
      <c r="J58" s="25">
        <v>-0.42127351538318014</v>
      </c>
      <c r="L58" s="25"/>
      <c r="N58" s="26"/>
    </row>
    <row r="59" spans="8:14" x14ac:dyDescent="0.25">
      <c r="H59" s="28"/>
      <c r="J59" s="25">
        <v>0.82693953024948774</v>
      </c>
      <c r="L59" s="25"/>
      <c r="N59" s="26"/>
    </row>
    <row r="60" spans="8:14" x14ac:dyDescent="0.25">
      <c r="H60" s="28"/>
      <c r="J60" s="25">
        <v>-3.7087851917516956E-2</v>
      </c>
      <c r="L60" s="25"/>
      <c r="N60" s="26"/>
    </row>
    <row r="61" spans="8:14" x14ac:dyDescent="0.25">
      <c r="H61" s="28"/>
      <c r="J61" s="25">
        <v>-0.27258041524385879</v>
      </c>
      <c r="L61" s="25"/>
      <c r="N61" s="26"/>
    </row>
    <row r="62" spans="8:14" x14ac:dyDescent="0.25">
      <c r="H62" s="28"/>
      <c r="J62" s="25">
        <v>-0.44616746642818428</v>
      </c>
      <c r="L62" s="25"/>
      <c r="N62" s="26"/>
    </row>
    <row r="63" spans="8:14" x14ac:dyDescent="0.25">
      <c r="H63" s="28"/>
      <c r="J63" s="25">
        <v>-0.37852938083157384</v>
      </c>
      <c r="L63" s="25"/>
      <c r="N63" s="26"/>
    </row>
    <row r="64" spans="8:14" x14ac:dyDescent="0.25">
      <c r="H64" s="28"/>
      <c r="J64" s="25">
        <v>-0.39813668454144946</v>
      </c>
      <c r="L64" s="25"/>
      <c r="N64" s="26"/>
    </row>
    <row r="65" spans="8:14" x14ac:dyDescent="0.25">
      <c r="H65" s="28"/>
      <c r="J65" s="25">
        <v>-0.11147829709195489</v>
      </c>
      <c r="L65" s="25"/>
      <c r="N65" s="26"/>
    </row>
    <row r="66" spans="8:14" x14ac:dyDescent="0.25">
      <c r="H66" s="28"/>
      <c r="J66" s="25">
        <v>-0.46843882278665727</v>
      </c>
      <c r="L66" s="25"/>
      <c r="N66" s="26"/>
    </row>
    <row r="67" spans="8:14" x14ac:dyDescent="0.25">
      <c r="H67" s="28"/>
      <c r="J67" s="25">
        <v>0.54984787018569525</v>
      </c>
      <c r="L67" s="25"/>
      <c r="N67" s="26"/>
    </row>
    <row r="68" spans="8:14" x14ac:dyDescent="0.25">
      <c r="H68" s="28"/>
      <c r="J68" s="25">
        <v>-0.35949234222892024</v>
      </c>
      <c r="L68" s="25"/>
      <c r="N68" s="26"/>
    </row>
    <row r="69" spans="8:14" x14ac:dyDescent="0.25">
      <c r="H69" s="28"/>
      <c r="J69" s="25">
        <v>0.28826339670257761</v>
      </c>
      <c r="L69" s="25"/>
      <c r="N69" s="26"/>
    </row>
    <row r="70" spans="8:14" x14ac:dyDescent="0.25">
      <c r="H70" s="28"/>
      <c r="J70" s="25">
        <v>0.65557750812886373</v>
      </c>
      <c r="L70" s="25"/>
      <c r="N70" s="26"/>
    </row>
    <row r="71" spans="8:14" x14ac:dyDescent="0.25">
      <c r="H71" s="28"/>
      <c r="J71" s="25">
        <v>-0.47364959002164786</v>
      </c>
      <c r="L71" s="25"/>
      <c r="N71" s="26"/>
    </row>
    <row r="72" spans="8:14" x14ac:dyDescent="0.25">
      <c r="H72" s="28"/>
      <c r="J72" s="25">
        <v>-5.6672310322113395E-3</v>
      </c>
      <c r="L72" s="25"/>
      <c r="N72" s="26"/>
    </row>
    <row r="73" spans="8:14" x14ac:dyDescent="0.25">
      <c r="H73" s="28"/>
      <c r="J73" s="25">
        <v>-0.35087186649582591</v>
      </c>
      <c r="L73" s="25"/>
      <c r="N73" s="26"/>
    </row>
    <row r="74" spans="8:14" x14ac:dyDescent="0.25">
      <c r="H74" s="28"/>
      <c r="J74" s="25">
        <v>1.647070015144414E-2</v>
      </c>
      <c r="L74" s="25"/>
      <c r="N74" s="26"/>
    </row>
    <row r="75" spans="8:14" x14ac:dyDescent="0.25">
      <c r="H75" s="28"/>
      <c r="J75" s="25">
        <v>-2.0069889056187451E-2</v>
      </c>
      <c r="L75" s="25"/>
      <c r="N75" s="26"/>
    </row>
    <row r="76" spans="8:14" x14ac:dyDescent="0.25">
      <c r="H76" s="28"/>
      <c r="J76" s="25">
        <v>-0.24892158275264598</v>
      </c>
      <c r="L76" s="25"/>
      <c r="N76" s="26"/>
    </row>
    <row r="77" spans="8:14" x14ac:dyDescent="0.25">
      <c r="H77" s="28"/>
      <c r="J77" s="25">
        <v>-1.5026917369030279E-2</v>
      </c>
      <c r="L77" s="25"/>
      <c r="N77" s="26"/>
    </row>
    <row r="78" spans="8:14" x14ac:dyDescent="0.25">
      <c r="H78" s="28"/>
      <c r="J78" s="25">
        <v>0.61237041077576682</v>
      </c>
      <c r="L78" s="25"/>
      <c r="N78" s="26"/>
    </row>
    <row r="79" spans="8:14" x14ac:dyDescent="0.25">
      <c r="H79" s="28"/>
      <c r="J79" s="25">
        <v>-0.34999516215616044</v>
      </c>
      <c r="N79" s="26"/>
    </row>
    <row r="80" spans="8:14" x14ac:dyDescent="0.25">
      <c r="H80" s="28"/>
      <c r="J80" s="25">
        <v>0.27624029441207387</v>
      </c>
      <c r="N80" s="26"/>
    </row>
    <row r="81" spans="8:14" x14ac:dyDescent="0.25">
      <c r="H81" s="28"/>
      <c r="J81" s="25">
        <v>2.7011837334422362E-2</v>
      </c>
      <c r="N81" s="26"/>
    </row>
    <row r="82" spans="8:14" x14ac:dyDescent="0.25">
      <c r="H82" s="28"/>
      <c r="J82" s="25">
        <v>-0.13412610465337504</v>
      </c>
      <c r="N82" s="26"/>
    </row>
    <row r="83" spans="8:14" x14ac:dyDescent="0.25">
      <c r="J83" s="25">
        <v>0.36353084686010728</v>
      </c>
      <c r="N83" s="26"/>
    </row>
    <row r="84" spans="8:14" x14ac:dyDescent="0.25">
      <c r="J84" s="25">
        <v>0.76802439371283127</v>
      </c>
      <c r="N84" s="26"/>
    </row>
    <row r="85" spans="8:14" x14ac:dyDescent="0.25">
      <c r="J85" s="25">
        <v>-0.16237795322017257</v>
      </c>
      <c r="N85" s="26"/>
    </row>
    <row r="86" spans="8:14" x14ac:dyDescent="0.25">
      <c r="J86" s="25">
        <v>-0.19431390360621037</v>
      </c>
      <c r="N86" s="26"/>
    </row>
    <row r="87" spans="8:14" x14ac:dyDescent="0.25">
      <c r="J87" s="25">
        <v>0.53790764707738759</v>
      </c>
      <c r="N87" s="26"/>
    </row>
    <row r="88" spans="8:14" x14ac:dyDescent="0.25">
      <c r="J88" s="25">
        <v>0.41295103264529653</v>
      </c>
      <c r="N88" s="26"/>
    </row>
    <row r="89" spans="8:14" x14ac:dyDescent="0.25">
      <c r="J89" s="25">
        <v>-6.3194754119601293E-2</v>
      </c>
      <c r="N89" s="26"/>
    </row>
    <row r="90" spans="8:14" x14ac:dyDescent="0.25">
      <c r="J90" s="25">
        <v>1.3431621181959175E-2</v>
      </c>
      <c r="N90" s="26"/>
    </row>
    <row r="91" spans="8:14" x14ac:dyDescent="0.25">
      <c r="J91" s="25">
        <v>-0.32212289495353275</v>
      </c>
      <c r="N91" s="26"/>
    </row>
    <row r="92" spans="8:14" x14ac:dyDescent="0.25">
      <c r="J92" s="25">
        <v>0.45589343619791234</v>
      </c>
      <c r="N92" s="26"/>
    </row>
    <row r="93" spans="8:14" x14ac:dyDescent="0.25">
      <c r="J93" s="25">
        <v>0.54552837133551946</v>
      </c>
      <c r="N93" s="26"/>
    </row>
    <row r="94" spans="8:14" x14ac:dyDescent="0.25">
      <c r="J94" s="25">
        <v>0.19047744505118902</v>
      </c>
      <c r="N94" s="26"/>
    </row>
    <row r="95" spans="8:14" x14ac:dyDescent="0.25">
      <c r="J95" s="25">
        <v>-4.6602168050616233E-2</v>
      </c>
      <c r="N95" s="26"/>
    </row>
    <row r="96" spans="8:14" x14ac:dyDescent="0.25">
      <c r="J96" s="25">
        <v>0.65662341072797026</v>
      </c>
      <c r="N96" s="26"/>
    </row>
    <row r="97" spans="10:14" x14ac:dyDescent="0.25">
      <c r="J97" s="25">
        <v>-0.32735777605313421</v>
      </c>
      <c r="N97" s="26"/>
    </row>
    <row r="98" spans="10:14" x14ac:dyDescent="0.25">
      <c r="J98" s="25">
        <v>0.47247490645394419</v>
      </c>
      <c r="N98" s="26"/>
    </row>
    <row r="99" spans="10:14" x14ac:dyDescent="0.25">
      <c r="J99" s="25">
        <v>0.29140175649106403</v>
      </c>
      <c r="N99" s="26"/>
    </row>
    <row r="100" spans="10:14" x14ac:dyDescent="0.25">
      <c r="J100" s="25">
        <v>3.061163326177585E-2</v>
      </c>
      <c r="N100" s="26"/>
    </row>
    <row r="101" spans="10:14" x14ac:dyDescent="0.25">
      <c r="J101" s="25">
        <v>-2.447152083725046E-2</v>
      </c>
      <c r="N101" s="26"/>
    </row>
    <row r="102" spans="10:14" x14ac:dyDescent="0.25">
      <c r="J102" s="25">
        <v>-0.16300245345018893</v>
      </c>
      <c r="N102" s="26"/>
    </row>
    <row r="103" spans="10:14" x14ac:dyDescent="0.25">
      <c r="J103" s="25">
        <v>0.32997706975296692</v>
      </c>
      <c r="N103" s="26"/>
    </row>
    <row r="104" spans="10:14" x14ac:dyDescent="0.25">
      <c r="J104" s="25">
        <v>-0.24973717000861562</v>
      </c>
      <c r="N104" s="26"/>
    </row>
    <row r="105" spans="10:14" x14ac:dyDescent="0.25">
      <c r="J105" s="25">
        <v>-0.26023571410246082</v>
      </c>
      <c r="N105" s="26"/>
    </row>
    <row r="106" spans="10:14" x14ac:dyDescent="0.25">
      <c r="J106" s="25">
        <v>0.10491534504258282</v>
      </c>
      <c r="N106" s="26"/>
    </row>
    <row r="107" spans="10:14" x14ac:dyDescent="0.25">
      <c r="J107" s="25">
        <v>-0.25543140656825813</v>
      </c>
      <c r="N107" s="26"/>
    </row>
    <row r="108" spans="10:14" x14ac:dyDescent="0.25">
      <c r="J108" s="25">
        <v>0.43612841356403131</v>
      </c>
      <c r="N108" s="26"/>
    </row>
    <row r="109" spans="10:14" x14ac:dyDescent="0.25">
      <c r="J109" s="25">
        <v>1.9295668114454045E-3</v>
      </c>
      <c r="N109" s="26"/>
    </row>
    <row r="110" spans="10:14" x14ac:dyDescent="0.25">
      <c r="J110" s="25">
        <v>-2.6959708588803255E-2</v>
      </c>
      <c r="N110" s="26"/>
    </row>
    <row r="111" spans="10:14" x14ac:dyDescent="0.25">
      <c r="J111" s="25">
        <v>0.28298459096187067</v>
      </c>
      <c r="N111" s="26"/>
    </row>
    <row r="112" spans="10:14" x14ac:dyDescent="0.25">
      <c r="J112" s="25">
        <v>0.30884792471518807</v>
      </c>
      <c r="N112" s="26"/>
    </row>
    <row r="113" spans="10:14" x14ac:dyDescent="0.25">
      <c r="J113" s="25">
        <v>-0.1613780386250725</v>
      </c>
      <c r="N113" s="26"/>
    </row>
    <row r="114" spans="10:14" x14ac:dyDescent="0.25">
      <c r="J114" s="25">
        <v>9.2786833502414456E-2</v>
      </c>
      <c r="N114" s="26"/>
    </row>
    <row r="115" spans="10:14" x14ac:dyDescent="0.25">
      <c r="J115" s="25">
        <v>3.3027633687481073E-2</v>
      </c>
      <c r="N115" s="26"/>
    </row>
    <row r="116" spans="10:14" x14ac:dyDescent="0.25">
      <c r="J116" s="25">
        <v>-0.47787648542843741</v>
      </c>
      <c r="N116" s="26"/>
    </row>
    <row r="117" spans="10:14" x14ac:dyDescent="0.25">
      <c r="J117" s="25">
        <v>0.30946931323777593</v>
      </c>
      <c r="N117" s="26"/>
    </row>
    <row r="118" spans="10:14" x14ac:dyDescent="0.25">
      <c r="J118" s="25">
        <v>0.19278895532987184</v>
      </c>
      <c r="N118" s="26"/>
    </row>
    <row r="119" spans="10:14" x14ac:dyDescent="0.25">
      <c r="J119" s="25">
        <v>-0.12348928197231102</v>
      </c>
      <c r="N119" s="26"/>
    </row>
    <row r="120" spans="10:14" x14ac:dyDescent="0.25">
      <c r="J120" s="25">
        <v>-0.18760447172410333</v>
      </c>
      <c r="N120" s="26"/>
    </row>
    <row r="121" spans="10:14" x14ac:dyDescent="0.25">
      <c r="J121" s="25">
        <v>0.57796129636017146</v>
      </c>
      <c r="N121" s="26"/>
    </row>
    <row r="122" spans="10:14" x14ac:dyDescent="0.25">
      <c r="J122" s="25">
        <v>0.96029763525302858</v>
      </c>
      <c r="N122" s="26"/>
    </row>
    <row r="123" spans="10:14" x14ac:dyDescent="0.25">
      <c r="J123" s="25">
        <v>-0.25927977487242981</v>
      </c>
      <c r="N123" s="26"/>
    </row>
    <row r="124" spans="10:14" x14ac:dyDescent="0.25">
      <c r="J124" s="25">
        <v>-0.41215217689786587</v>
      </c>
      <c r="N124" s="26"/>
    </row>
    <row r="125" spans="10:14" x14ac:dyDescent="0.25">
      <c r="J125" s="25">
        <v>0.76244736472782404</v>
      </c>
      <c r="N125" s="26"/>
    </row>
    <row r="126" spans="10:14" x14ac:dyDescent="0.25">
      <c r="J126" s="25">
        <v>-5.4995298025129369E-2</v>
      </c>
      <c r="N126" s="26"/>
    </row>
    <row r="127" spans="10:14" x14ac:dyDescent="0.25">
      <c r="J127" s="25">
        <v>-0.12295340870469207</v>
      </c>
      <c r="N127" s="26"/>
    </row>
    <row r="128" spans="10:14" x14ac:dyDescent="0.25">
      <c r="J128" s="25">
        <v>-7.5168981318019301E-2</v>
      </c>
      <c r="N128" s="26"/>
    </row>
    <row r="129" spans="10:14" x14ac:dyDescent="0.25">
      <c r="J129" s="25">
        <v>0.46364682015576664</v>
      </c>
      <c r="N129" s="26"/>
    </row>
    <row r="130" spans="10:14" x14ac:dyDescent="0.25">
      <c r="J130" s="25">
        <v>2.888852027320632E-2</v>
      </c>
      <c r="N130" s="26"/>
    </row>
    <row r="131" spans="10:14" x14ac:dyDescent="0.25">
      <c r="J131" s="25">
        <v>7.2041173153270188E-2</v>
      </c>
      <c r="N131" s="26"/>
    </row>
    <row r="132" spans="10:14" x14ac:dyDescent="0.25">
      <c r="J132" s="25">
        <v>0.74970643440009521</v>
      </c>
      <c r="N132" s="26"/>
    </row>
    <row r="133" spans="10:14" x14ac:dyDescent="0.25">
      <c r="J133" s="25">
        <v>-0.17085691191892283</v>
      </c>
      <c r="N133" s="26"/>
    </row>
    <row r="134" spans="10:14" x14ac:dyDescent="0.25">
      <c r="J134" s="25">
        <v>1.135287277556261</v>
      </c>
      <c r="N134" s="26"/>
    </row>
    <row r="135" spans="10:14" x14ac:dyDescent="0.25">
      <c r="J135" s="25">
        <v>-0.174684306433598</v>
      </c>
      <c r="N135" s="26"/>
    </row>
    <row r="136" spans="10:14" x14ac:dyDescent="0.25">
      <c r="J136" s="25">
        <v>-0.21128142052698762</v>
      </c>
      <c r="N136" s="26"/>
    </row>
    <row r="137" spans="10:14" x14ac:dyDescent="0.25">
      <c r="J137" s="25">
        <v>2.975571353175388E-2</v>
      </c>
      <c r="N137" s="26"/>
    </row>
    <row r="138" spans="10:14" x14ac:dyDescent="0.25">
      <c r="J138" s="25">
        <v>1.0657200336960684</v>
      </c>
      <c r="N138" s="26"/>
    </row>
    <row r="139" spans="10:14" x14ac:dyDescent="0.25">
      <c r="J139" s="25">
        <v>-0.39798698578768854</v>
      </c>
      <c r="N139" s="26"/>
    </row>
    <row r="140" spans="10:14" x14ac:dyDescent="0.25">
      <c r="J140" s="25">
        <v>1.0141765328067898</v>
      </c>
      <c r="N140" s="26"/>
    </row>
    <row r="141" spans="10:14" x14ac:dyDescent="0.25">
      <c r="J141" s="25">
        <v>-9.5389162689567875E-2</v>
      </c>
      <c r="N141" s="26"/>
    </row>
    <row r="142" spans="10:14" x14ac:dyDescent="0.25">
      <c r="J142" s="25">
        <v>-0.22219970321348115</v>
      </c>
      <c r="N142" s="26"/>
    </row>
    <row r="143" spans="10:14" x14ac:dyDescent="0.25">
      <c r="J143" s="25">
        <v>-0.31542796943450391</v>
      </c>
      <c r="N143" s="26"/>
    </row>
    <row r="144" spans="10:14" x14ac:dyDescent="0.25">
      <c r="J144" s="25">
        <v>0.74288661444025195</v>
      </c>
      <c r="N144" s="26"/>
    </row>
    <row r="145" spans="10:14" x14ac:dyDescent="0.25">
      <c r="J145" s="25">
        <v>0.73067685443565145</v>
      </c>
      <c r="N145" s="26"/>
    </row>
    <row r="146" spans="10:14" x14ac:dyDescent="0.25">
      <c r="J146" s="25">
        <v>0.61899296658444913</v>
      </c>
      <c r="N146" s="26"/>
    </row>
    <row r="147" spans="10:14" x14ac:dyDescent="0.25">
      <c r="J147" s="25">
        <v>-0.23588353606158585</v>
      </c>
      <c r="N147" s="26"/>
    </row>
    <row r="148" spans="10:14" x14ac:dyDescent="0.25">
      <c r="J148" s="25">
        <v>-0.44515126712200981</v>
      </c>
      <c r="N148" s="26"/>
    </row>
    <row r="149" spans="10:14" x14ac:dyDescent="0.25">
      <c r="J149" s="25">
        <v>0.36701407404862296</v>
      </c>
      <c r="N149" s="26"/>
    </row>
    <row r="150" spans="10:14" x14ac:dyDescent="0.25">
      <c r="J150" s="25">
        <v>4.6106122453202447E-2</v>
      </c>
      <c r="N150" s="26"/>
    </row>
    <row r="151" spans="10:14" x14ac:dyDescent="0.25">
      <c r="J151" s="25">
        <v>0.55641917474134717</v>
      </c>
      <c r="N151" s="26"/>
    </row>
    <row r="152" spans="10:14" x14ac:dyDescent="0.25">
      <c r="J152" s="25">
        <v>-0.4496686653738966</v>
      </c>
      <c r="N152" s="26"/>
    </row>
    <row r="153" spans="10:14" x14ac:dyDescent="0.25">
      <c r="J153" s="25">
        <v>-5.6859622555518463E-2</v>
      </c>
      <c r="N153" s="26"/>
    </row>
    <row r="154" spans="10:14" x14ac:dyDescent="0.25">
      <c r="J154" s="25">
        <v>0.25997407048695864</v>
      </c>
      <c r="N154" s="26"/>
    </row>
    <row r="155" spans="10:14" x14ac:dyDescent="0.25">
      <c r="J155" s="25">
        <v>0.27717804402116109</v>
      </c>
      <c r="N155" s="26"/>
    </row>
    <row r="156" spans="10:14" x14ac:dyDescent="0.25">
      <c r="J156" s="25">
        <v>0.12831135243919412</v>
      </c>
      <c r="N156" s="26"/>
    </row>
    <row r="157" spans="10:14" x14ac:dyDescent="0.25">
      <c r="J157" s="25">
        <v>0.5386850611988272</v>
      </c>
      <c r="N157" s="26"/>
    </row>
    <row r="158" spans="10:14" x14ac:dyDescent="0.25">
      <c r="J158" s="25">
        <v>-7.2913867854746184E-2</v>
      </c>
      <c r="N158" s="26"/>
    </row>
    <row r="159" spans="10:14" x14ac:dyDescent="0.25">
      <c r="J159" s="25">
        <v>-0.49549784345725423</v>
      </c>
      <c r="N159" s="26"/>
    </row>
    <row r="160" spans="10:14" x14ac:dyDescent="0.25">
      <c r="J160" s="25">
        <v>0.5649934549365998</v>
      </c>
      <c r="N160" s="26"/>
    </row>
    <row r="161" spans="10:14" x14ac:dyDescent="0.25">
      <c r="J161" s="25">
        <v>-0.11977996331231744</v>
      </c>
      <c r="N161" s="26"/>
    </row>
    <row r="162" spans="10:14" x14ac:dyDescent="0.25">
      <c r="J162" s="25">
        <v>-0.51208193938772051</v>
      </c>
      <c r="N162" s="26"/>
    </row>
    <row r="163" spans="10:14" x14ac:dyDescent="0.25">
      <c r="J163" s="25">
        <v>0.67113771313928838</v>
      </c>
      <c r="N163" s="26"/>
    </row>
    <row r="164" spans="10:14" x14ac:dyDescent="0.25">
      <c r="J164" s="25">
        <v>-5.2406984150963232E-2</v>
      </c>
      <c r="N164" s="26"/>
    </row>
    <row r="165" spans="10:14" x14ac:dyDescent="0.25">
      <c r="J165" s="25">
        <v>0.39836881622455977</v>
      </c>
      <c r="N165" s="26"/>
    </row>
    <row r="166" spans="10:14" x14ac:dyDescent="0.25">
      <c r="J166" s="25">
        <v>0.6651798432968794</v>
      </c>
      <c r="N166" s="26"/>
    </row>
    <row r="167" spans="10:14" x14ac:dyDescent="0.25">
      <c r="J167" s="25">
        <v>-0.34868216013265385</v>
      </c>
      <c r="N167" s="26"/>
    </row>
    <row r="168" spans="10:14" x14ac:dyDescent="0.25">
      <c r="J168" s="25">
        <v>0.11979071116463769</v>
      </c>
      <c r="N168" s="26"/>
    </row>
    <row r="169" spans="10:14" x14ac:dyDescent="0.25">
      <c r="J169" s="25">
        <v>0.69981467654536433</v>
      </c>
      <c r="N169" s="26"/>
    </row>
    <row r="170" spans="10:14" x14ac:dyDescent="0.25">
      <c r="J170" s="25">
        <v>-0.21219737218553469</v>
      </c>
      <c r="N170" s="26"/>
    </row>
    <row r="171" spans="10:14" x14ac:dyDescent="0.25">
      <c r="J171" s="25">
        <v>0.21837027699507949</v>
      </c>
      <c r="N171" s="26"/>
    </row>
    <row r="172" spans="10:14" x14ac:dyDescent="0.25">
      <c r="J172" s="25">
        <v>1.0321167218186917</v>
      </c>
      <c r="N172" s="26"/>
    </row>
    <row r="173" spans="10:14" x14ac:dyDescent="0.25">
      <c r="J173" s="25">
        <v>-0.30180644796001488</v>
      </c>
      <c r="N173" s="26"/>
    </row>
    <row r="174" spans="10:14" x14ac:dyDescent="0.25">
      <c r="J174" s="25">
        <v>0.29810352679865826</v>
      </c>
      <c r="N174" s="26"/>
    </row>
    <row r="175" spans="10:14" x14ac:dyDescent="0.25">
      <c r="J175" s="25">
        <v>9.1158718009413331E-2</v>
      </c>
      <c r="N175" s="26"/>
    </row>
    <row r="176" spans="10:14" x14ac:dyDescent="0.25">
      <c r="J176" s="25">
        <v>0.18643966785294142</v>
      </c>
      <c r="N176" s="26"/>
    </row>
    <row r="177" spans="10:14" x14ac:dyDescent="0.25">
      <c r="J177" s="25">
        <v>0.50204982206726023</v>
      </c>
      <c r="N177" s="26"/>
    </row>
    <row r="178" spans="10:14" x14ac:dyDescent="0.25">
      <c r="J178" s="25">
        <v>5.2503977223063547E-2</v>
      </c>
      <c r="N178" s="26"/>
    </row>
    <row r="179" spans="10:14" x14ac:dyDescent="0.25">
      <c r="J179" s="25">
        <v>0.91905376693657348</v>
      </c>
      <c r="N179" s="26"/>
    </row>
    <row r="180" spans="10:14" x14ac:dyDescent="0.25">
      <c r="J180" s="25">
        <v>-3.1976770159204748E-2</v>
      </c>
      <c r="N180" s="26"/>
    </row>
    <row r="181" spans="10:14" x14ac:dyDescent="0.25">
      <c r="J181" s="25">
        <v>-0.19574940491068227</v>
      </c>
      <c r="N181" s="26"/>
    </row>
    <row r="182" spans="10:14" x14ac:dyDescent="0.25">
      <c r="J182" s="25">
        <v>0.70538643978761284</v>
      </c>
      <c r="N182" s="26"/>
    </row>
    <row r="183" spans="10:14" x14ac:dyDescent="0.25">
      <c r="J183" s="25">
        <v>-4.7800272980588532E-2</v>
      </c>
      <c r="N183" s="26"/>
    </row>
    <row r="184" spans="10:14" x14ac:dyDescent="0.25">
      <c r="J184" s="25">
        <v>7.452374516457283E-2</v>
      </c>
      <c r="N184" s="26"/>
    </row>
    <row r="185" spans="10:14" x14ac:dyDescent="0.25">
      <c r="J185" s="25">
        <v>-0.26769261185023974</v>
      </c>
      <c r="N185" s="26"/>
    </row>
    <row r="186" spans="10:14" x14ac:dyDescent="0.25">
      <c r="J186" s="25">
        <v>-0.11747916686161963</v>
      </c>
      <c r="N186" s="26"/>
    </row>
    <row r="187" spans="10:14" x14ac:dyDescent="0.25">
      <c r="J187" s="25">
        <v>6.442654562551553E-3</v>
      </c>
      <c r="N187" s="26"/>
    </row>
    <row r="188" spans="10:14" x14ac:dyDescent="0.25">
      <c r="J188" s="25">
        <v>0.61568204980648744</v>
      </c>
      <c r="N188" s="26"/>
    </row>
    <row r="189" spans="10:14" x14ac:dyDescent="0.25">
      <c r="J189" s="25">
        <v>0.35725605560470663</v>
      </c>
      <c r="N189" s="26"/>
    </row>
    <row r="190" spans="10:14" x14ac:dyDescent="0.25">
      <c r="J190" s="25">
        <v>-7.0491563452343864E-2</v>
      </c>
      <c r="N190" s="26"/>
    </row>
    <row r="191" spans="10:14" x14ac:dyDescent="0.25">
      <c r="J191" s="25">
        <v>2.1624501583787925E-2</v>
      </c>
      <c r="N191" s="26"/>
    </row>
    <row r="192" spans="10:14" x14ac:dyDescent="0.25">
      <c r="J192" s="25">
        <v>-8.6288781898624878E-2</v>
      </c>
      <c r="N192" s="26"/>
    </row>
    <row r="193" spans="10:14" x14ac:dyDescent="0.25">
      <c r="J193" s="25">
        <v>-0.38188685493600016</v>
      </c>
      <c r="N193" s="26"/>
    </row>
    <row r="194" spans="10:14" x14ac:dyDescent="0.25">
      <c r="J194" s="25">
        <v>-0.39709722519356783</v>
      </c>
      <c r="N194" s="26"/>
    </row>
    <row r="195" spans="10:14" x14ac:dyDescent="0.25">
      <c r="J195" s="25">
        <v>-0.23321986267427808</v>
      </c>
      <c r="N195" s="26"/>
    </row>
    <row r="196" spans="10:14" x14ac:dyDescent="0.25">
      <c r="J196" s="25">
        <v>0.43173603661425641</v>
      </c>
      <c r="N196" s="26"/>
    </row>
    <row r="197" spans="10:14" x14ac:dyDescent="0.25">
      <c r="J197" s="25">
        <v>0.92143455480768433</v>
      </c>
      <c r="N197" s="26"/>
    </row>
    <row r="198" spans="10:14" x14ac:dyDescent="0.25">
      <c r="J198" s="25">
        <v>0.51391291701517594</v>
      </c>
      <c r="N198" s="26"/>
    </row>
    <row r="199" spans="10:14" x14ac:dyDescent="0.25">
      <c r="J199" s="25">
        <v>-0.31341304692030103</v>
      </c>
      <c r="N199" s="26"/>
    </row>
    <row r="200" spans="10:14" x14ac:dyDescent="0.25">
      <c r="J200" s="25">
        <v>6.01750299316266E-2</v>
      </c>
      <c r="N200" s="26"/>
    </row>
    <row r="201" spans="10:14" x14ac:dyDescent="0.25">
      <c r="J201" s="25">
        <v>-0.23172660561091618</v>
      </c>
      <c r="N201" s="26"/>
    </row>
    <row r="202" spans="10:14" x14ac:dyDescent="0.25">
      <c r="J202" s="25">
        <v>0.30542224877436031</v>
      </c>
      <c r="N202" s="26"/>
    </row>
    <row r="203" spans="10:14" x14ac:dyDescent="0.25">
      <c r="J203" s="25">
        <v>0.58255591902629145</v>
      </c>
      <c r="N203" s="26"/>
    </row>
    <row r="204" spans="10:14" x14ac:dyDescent="0.25">
      <c r="J204" s="25">
        <v>0.32170696853288328</v>
      </c>
      <c r="N204" s="26"/>
    </row>
    <row r="205" spans="10:14" x14ac:dyDescent="0.25">
      <c r="J205" s="25">
        <v>3.4874337431853419E-2</v>
      </c>
      <c r="N205" s="26"/>
    </row>
    <row r="206" spans="10:14" x14ac:dyDescent="0.25">
      <c r="J206" s="25">
        <v>-0.287062271294236</v>
      </c>
      <c r="N206" s="26"/>
    </row>
    <row r="207" spans="10:14" x14ac:dyDescent="0.25">
      <c r="J207" s="25">
        <v>-6.7253181537034301E-2</v>
      </c>
      <c r="N207" s="26"/>
    </row>
    <row r="208" spans="10:14" x14ac:dyDescent="0.25">
      <c r="J208" s="25">
        <v>-0.11441924263360592</v>
      </c>
      <c r="N208" s="26"/>
    </row>
    <row r="209" spans="10:14" x14ac:dyDescent="0.25">
      <c r="J209" s="25">
        <v>-7.063462268505849E-2</v>
      </c>
      <c r="N209" s="26"/>
    </row>
    <row r="210" spans="10:14" x14ac:dyDescent="0.25">
      <c r="J210" s="25">
        <v>-3.1344334375675409E-2</v>
      </c>
      <c r="N210" s="26"/>
    </row>
    <row r="211" spans="10:14" x14ac:dyDescent="0.25">
      <c r="J211" s="25">
        <v>-0.22983048453539601</v>
      </c>
      <c r="N211" s="26"/>
    </row>
    <row r="212" spans="10:14" x14ac:dyDescent="0.25">
      <c r="J212" s="25">
        <v>-3.300806812583934E-4</v>
      </c>
      <c r="N212" s="26"/>
    </row>
    <row r="213" spans="10:14" x14ac:dyDescent="0.25">
      <c r="J213" s="25">
        <v>0.90068380782474988</v>
      </c>
      <c r="N213" s="26"/>
    </row>
    <row r="214" spans="10:14" x14ac:dyDescent="0.25">
      <c r="J214" s="25">
        <v>5.3165067008636546E-2</v>
      </c>
      <c r="N214" s="26"/>
    </row>
    <row r="215" spans="10:14" x14ac:dyDescent="0.25">
      <c r="J215" s="25">
        <v>0.45208382349789855</v>
      </c>
      <c r="N215" s="26"/>
    </row>
    <row r="216" spans="10:14" x14ac:dyDescent="0.25">
      <c r="J216" s="25">
        <v>-0.36989563431872707</v>
      </c>
      <c r="N216" s="26"/>
    </row>
    <row r="217" spans="10:14" x14ac:dyDescent="0.25">
      <c r="J217" s="25">
        <v>-0.40440234847777001</v>
      </c>
      <c r="N217" s="26"/>
    </row>
    <row r="218" spans="10:14" x14ac:dyDescent="0.25">
      <c r="J218" s="25">
        <v>-0.27977160881006513</v>
      </c>
      <c r="N218" s="26"/>
    </row>
    <row r="219" spans="10:14" x14ac:dyDescent="0.25">
      <c r="J219" s="25">
        <v>1.0880063499200388</v>
      </c>
      <c r="N219" s="26"/>
    </row>
    <row r="220" spans="10:14" x14ac:dyDescent="0.25">
      <c r="J220" s="25">
        <v>-0.23577417910387655</v>
      </c>
      <c r="N220" s="26"/>
    </row>
    <row r="221" spans="10:14" x14ac:dyDescent="0.25">
      <c r="J221" s="25">
        <v>0.37307664803573859</v>
      </c>
      <c r="N221" s="26"/>
    </row>
    <row r="222" spans="10:14" x14ac:dyDescent="0.25">
      <c r="J222" s="25">
        <v>-0.30393396385928195</v>
      </c>
      <c r="N222" s="26"/>
    </row>
    <row r="223" spans="10:14" x14ac:dyDescent="0.25">
      <c r="J223" s="25">
        <v>-0.19947468862878437</v>
      </c>
      <c r="N223" s="26"/>
    </row>
    <row r="224" spans="10:14" x14ac:dyDescent="0.25">
      <c r="J224" s="25">
        <v>-0.14120354641784649</v>
      </c>
      <c r="N224" s="26"/>
    </row>
    <row r="225" spans="10:14" x14ac:dyDescent="0.25">
      <c r="J225" s="25">
        <v>0.17236418615075055</v>
      </c>
      <c r="N225" s="26"/>
    </row>
    <row r="226" spans="10:14" x14ac:dyDescent="0.25">
      <c r="J226" s="25">
        <v>0.22338834170039501</v>
      </c>
      <c r="N226" s="26"/>
    </row>
    <row r="227" spans="10:14" x14ac:dyDescent="0.25">
      <c r="J227" s="25">
        <v>-6.7674082175642747E-2</v>
      </c>
      <c r="N227" s="26"/>
    </row>
    <row r="228" spans="10:14" x14ac:dyDescent="0.25">
      <c r="J228" s="25">
        <v>0.16949195797839822</v>
      </c>
      <c r="N228" s="26"/>
    </row>
    <row r="229" spans="10:14" x14ac:dyDescent="0.25">
      <c r="J229" s="25">
        <v>-3.2745399496685312E-3</v>
      </c>
      <c r="N229" s="26"/>
    </row>
    <row r="230" spans="10:14" x14ac:dyDescent="0.25">
      <c r="J230" s="25">
        <v>-0.37957400421148446</v>
      </c>
      <c r="N230" s="26"/>
    </row>
    <row r="231" spans="10:14" x14ac:dyDescent="0.25">
      <c r="J231" s="25">
        <v>0.15286924196556329</v>
      </c>
      <c r="N231" s="26"/>
    </row>
    <row r="232" spans="10:14" x14ac:dyDescent="0.25">
      <c r="J232" s="25">
        <v>-0.13824629585825199</v>
      </c>
      <c r="N232" s="26"/>
    </row>
    <row r="233" spans="10:14" x14ac:dyDescent="0.25">
      <c r="J233" s="25">
        <v>-0.17335746920717987</v>
      </c>
      <c r="N233" s="26"/>
    </row>
    <row r="234" spans="10:14" x14ac:dyDescent="0.25">
      <c r="J234" s="25">
        <v>-0.36586811726189894</v>
      </c>
      <c r="N234" s="26"/>
    </row>
    <row r="235" spans="10:14" x14ac:dyDescent="0.25">
      <c r="J235" s="25">
        <v>-0.31888132273138914</v>
      </c>
      <c r="N235" s="26"/>
    </row>
    <row r="236" spans="10:14" x14ac:dyDescent="0.25">
      <c r="J236" s="25">
        <v>-0.18289200868177269</v>
      </c>
      <c r="N236" s="26"/>
    </row>
    <row r="237" spans="10:14" x14ac:dyDescent="0.25">
      <c r="J237" s="25">
        <v>-8.447571228730355E-2</v>
      </c>
      <c r="N237" s="26"/>
    </row>
    <row r="238" spans="10:14" x14ac:dyDescent="0.25">
      <c r="J238" s="25">
        <v>1.1422544000665211</v>
      </c>
      <c r="N238" s="26"/>
    </row>
    <row r="239" spans="10:14" x14ac:dyDescent="0.25">
      <c r="J239" s="25">
        <v>5.1624921379847866E-2</v>
      </c>
      <c r="N239" s="26"/>
    </row>
    <row r="240" spans="10:14" x14ac:dyDescent="0.25">
      <c r="J240" s="25">
        <v>3.1278754066810244E-2</v>
      </c>
      <c r="N240" s="26"/>
    </row>
    <row r="241" spans="10:14" x14ac:dyDescent="0.25">
      <c r="J241" s="25">
        <v>-0.34804673812304066</v>
      </c>
      <c r="N241" s="26"/>
    </row>
    <row r="242" spans="10:14" x14ac:dyDescent="0.25">
      <c r="J242" s="25">
        <v>9.7262928062921139E-2</v>
      </c>
      <c r="N242" s="26"/>
    </row>
    <row r="243" spans="10:14" x14ac:dyDescent="0.25">
      <c r="J243" s="25">
        <v>-0.16555181747913716</v>
      </c>
      <c r="N243" s="26"/>
    </row>
    <row r="244" spans="10:14" x14ac:dyDescent="0.25">
      <c r="J244" s="25">
        <v>2.9630594661664844E-3</v>
      </c>
      <c r="N244" s="26"/>
    </row>
    <row r="245" spans="10:14" x14ac:dyDescent="0.25">
      <c r="J245" s="25">
        <v>-0.24396121606678578</v>
      </c>
      <c r="N245" s="26"/>
    </row>
    <row r="246" spans="10:14" x14ac:dyDescent="0.25">
      <c r="J246" s="25">
        <v>0.53959045282311946</v>
      </c>
      <c r="N246" s="26"/>
    </row>
    <row r="247" spans="10:14" x14ac:dyDescent="0.25">
      <c r="J247" s="25">
        <v>0.17721950177112022</v>
      </c>
      <c r="N247" s="26"/>
    </row>
    <row r="248" spans="10:14" x14ac:dyDescent="0.25">
      <c r="J248" s="25">
        <v>-0.2876866581956683</v>
      </c>
      <c r="N248" s="26"/>
    </row>
    <row r="249" spans="10:14" x14ac:dyDescent="0.25">
      <c r="J249" s="25">
        <v>-0.32109864323096893</v>
      </c>
      <c r="N249" s="26"/>
    </row>
    <row r="250" spans="10:14" x14ac:dyDescent="0.25">
      <c r="J250" s="25">
        <v>0.57978070423578276</v>
      </c>
      <c r="N250" s="26"/>
    </row>
    <row r="251" spans="10:14" x14ac:dyDescent="0.25">
      <c r="J251" s="25">
        <v>0.26614911540206343</v>
      </c>
      <c r="N251" s="26"/>
    </row>
    <row r="252" spans="10:14" x14ac:dyDescent="0.25">
      <c r="J252" s="25">
        <v>-0.13492693337845874</v>
      </c>
      <c r="N252" s="26"/>
    </row>
    <row r="253" spans="10:14" x14ac:dyDescent="0.25">
      <c r="J253" s="25">
        <v>-0.30729030710271021</v>
      </c>
      <c r="N253" s="26"/>
    </row>
    <row r="254" spans="10:14" x14ac:dyDescent="0.25">
      <c r="J254" s="25">
        <v>-0.32626780963118673</v>
      </c>
      <c r="N254" s="26"/>
    </row>
    <row r="255" spans="10:14" x14ac:dyDescent="0.25">
      <c r="J255" s="25">
        <v>3.360191778570587E-2</v>
      </c>
      <c r="N255" s="26"/>
    </row>
    <row r="256" spans="10:14" x14ac:dyDescent="0.25">
      <c r="J256" s="25">
        <v>-0.29658212370217363</v>
      </c>
      <c r="N256" s="26"/>
    </row>
    <row r="257" spans="10:14" x14ac:dyDescent="0.25">
      <c r="J257" s="25">
        <v>-0.51506115264778018</v>
      </c>
      <c r="N257" s="26"/>
    </row>
    <row r="258" spans="10:14" x14ac:dyDescent="0.25">
      <c r="J258" s="25">
        <v>-0.11629362545146138</v>
      </c>
      <c r="N258" s="26"/>
    </row>
    <row r="259" spans="10:14" x14ac:dyDescent="0.25">
      <c r="J259" s="25">
        <v>-0.28215795241824582</v>
      </c>
      <c r="N259" s="26"/>
    </row>
    <row r="260" spans="10:14" x14ac:dyDescent="0.25">
      <c r="J260" s="25">
        <v>-4.7629994771610784E-2</v>
      </c>
      <c r="N260" s="26"/>
    </row>
    <row r="261" spans="10:14" x14ac:dyDescent="0.25">
      <c r="J261" s="25">
        <v>-0.39689283657428842</v>
      </c>
      <c r="N261" s="26"/>
    </row>
    <row r="262" spans="10:14" x14ac:dyDescent="0.25">
      <c r="J262" s="25">
        <v>-0.10863211621311664</v>
      </c>
      <c r="N262" s="26"/>
    </row>
    <row r="263" spans="10:14" x14ac:dyDescent="0.25">
      <c r="J263" s="25">
        <v>6.9149743914154183E-2</v>
      </c>
      <c r="N263" s="26"/>
    </row>
    <row r="264" spans="10:14" x14ac:dyDescent="0.25">
      <c r="J264" s="25">
        <v>-0.23506604423170885</v>
      </c>
      <c r="N264" s="26"/>
    </row>
    <row r="265" spans="10:14" x14ac:dyDescent="0.25">
      <c r="J265" s="25">
        <v>-0.38463699872727841</v>
      </c>
      <c r="N265" s="26"/>
    </row>
    <row r="266" spans="10:14" x14ac:dyDescent="0.25">
      <c r="J266" s="25">
        <v>0.24528042295178176</v>
      </c>
      <c r="N266" s="26"/>
    </row>
    <row r="267" spans="10:14" x14ac:dyDescent="0.25">
      <c r="J267" s="25">
        <v>-0.2125796598573525</v>
      </c>
      <c r="N267" s="26"/>
    </row>
    <row r="268" spans="10:14" x14ac:dyDescent="0.25">
      <c r="J268" s="25">
        <v>-0.20713014899404703</v>
      </c>
      <c r="N268" s="26"/>
    </row>
    <row r="269" spans="10:14" x14ac:dyDescent="0.25">
      <c r="J269" s="25">
        <v>2.1692694480385022E-2</v>
      </c>
      <c r="N269" s="26"/>
    </row>
    <row r="270" spans="10:14" x14ac:dyDescent="0.25">
      <c r="J270" s="25">
        <v>2.2230055215624045E-3</v>
      </c>
      <c r="N270" s="26"/>
    </row>
    <row r="271" spans="10:14" x14ac:dyDescent="0.25">
      <c r="J271" s="25">
        <v>-0.26459937449910986</v>
      </c>
      <c r="N271" s="26"/>
    </row>
    <row r="272" spans="10:14" x14ac:dyDescent="0.25">
      <c r="J272" s="25">
        <v>0.52819662414764923</v>
      </c>
      <c r="N272" s="26"/>
    </row>
    <row r="273" spans="10:14" x14ac:dyDescent="0.25">
      <c r="J273" s="25">
        <v>-0.40778831000886751</v>
      </c>
      <c r="N273" s="26"/>
    </row>
    <row r="274" spans="10:14" x14ac:dyDescent="0.25">
      <c r="J274" s="25">
        <v>-0.32146824393273554</v>
      </c>
      <c r="N274" s="26"/>
    </row>
    <row r="275" spans="10:14" x14ac:dyDescent="0.25">
      <c r="J275" s="25">
        <v>-0.51364574155162235</v>
      </c>
      <c r="N275" s="26"/>
    </row>
    <row r="276" spans="10:14" x14ac:dyDescent="0.25">
      <c r="J276" s="25">
        <v>0.55330810772714423</v>
      </c>
      <c r="N276" s="26"/>
    </row>
    <row r="277" spans="10:14" x14ac:dyDescent="0.25">
      <c r="J277" s="25">
        <v>0.1686111641767325</v>
      </c>
      <c r="N277" s="26"/>
    </row>
    <row r="278" spans="10:14" x14ac:dyDescent="0.25">
      <c r="J278" s="25">
        <v>-0.18547240944877497</v>
      </c>
      <c r="N278" s="26"/>
    </row>
    <row r="279" spans="10:14" x14ac:dyDescent="0.25">
      <c r="J279" s="25">
        <v>0.46566278719955978</v>
      </c>
      <c r="N279" s="26"/>
    </row>
    <row r="280" spans="10:14" x14ac:dyDescent="0.25">
      <c r="J280" s="25">
        <v>0.57826220989542443</v>
      </c>
      <c r="N280" s="26"/>
    </row>
    <row r="281" spans="10:14" x14ac:dyDescent="0.25">
      <c r="J281" s="25">
        <v>-0.36386355365840606</v>
      </c>
      <c r="N281" s="26"/>
    </row>
    <row r="282" spans="10:14" x14ac:dyDescent="0.25">
      <c r="J282" s="25">
        <v>9.5478882666738096E-2</v>
      </c>
      <c r="N282" s="26"/>
    </row>
    <row r="283" spans="10:14" x14ac:dyDescent="0.25">
      <c r="J283" s="25">
        <v>-0.2128130351067522</v>
      </c>
      <c r="N283" s="26"/>
    </row>
    <row r="284" spans="10:14" x14ac:dyDescent="0.25">
      <c r="J284" s="25">
        <v>0.24196544772956874</v>
      </c>
      <c r="N284" s="26"/>
    </row>
    <row r="285" spans="10:14" x14ac:dyDescent="0.25">
      <c r="J285" s="25">
        <v>0.53342975036718432</v>
      </c>
      <c r="N285" s="26"/>
    </row>
    <row r="286" spans="10:14" x14ac:dyDescent="0.25">
      <c r="J286" s="25">
        <v>0.21270422691376423</v>
      </c>
      <c r="N286" s="26"/>
    </row>
    <row r="287" spans="10:14" x14ac:dyDescent="0.25">
      <c r="J287" s="25">
        <v>0.10336351620614015</v>
      </c>
      <c r="N287" s="26"/>
    </row>
    <row r="288" spans="10:14" x14ac:dyDescent="0.25">
      <c r="J288" s="25">
        <v>0.49794839207644093</v>
      </c>
      <c r="N288" s="26"/>
    </row>
    <row r="289" spans="10:14" x14ac:dyDescent="0.25">
      <c r="J289" s="25">
        <v>0.44539026230320511</v>
      </c>
      <c r="N289" s="26"/>
    </row>
    <row r="290" spans="10:14" x14ac:dyDescent="0.25">
      <c r="J290" s="25">
        <v>-0.42738293749487999</v>
      </c>
      <c r="N290" s="26"/>
    </row>
    <row r="291" spans="10:14" x14ac:dyDescent="0.25">
      <c r="J291" s="25">
        <v>-2.5840168165986666E-2</v>
      </c>
      <c r="N291" s="26"/>
    </row>
    <row r="292" spans="10:14" x14ac:dyDescent="0.25">
      <c r="J292" s="25">
        <v>0.37590297438434073</v>
      </c>
      <c r="N292" s="26"/>
    </row>
    <row r="293" spans="10:14" x14ac:dyDescent="0.25">
      <c r="J293" s="25">
        <v>-0.34478831115346786</v>
      </c>
      <c r="N293" s="26"/>
    </row>
    <row r="294" spans="10:14" x14ac:dyDescent="0.25">
      <c r="J294" s="25">
        <v>0.18659860391498939</v>
      </c>
      <c r="N294" s="26"/>
    </row>
    <row r="295" spans="10:14" x14ac:dyDescent="0.25">
      <c r="J295" s="25">
        <v>-0.37238059550564617</v>
      </c>
      <c r="N295" s="26"/>
    </row>
    <row r="296" spans="10:14" x14ac:dyDescent="0.25">
      <c r="J296" s="25">
        <v>-0.27295837362814945</v>
      </c>
      <c r="N296" s="26"/>
    </row>
    <row r="297" spans="10:14" x14ac:dyDescent="0.25">
      <c r="J297" s="25">
        <v>0.20571228957345156</v>
      </c>
      <c r="N297" s="26"/>
    </row>
    <row r="298" spans="10:14" x14ac:dyDescent="0.25">
      <c r="J298" s="25">
        <v>-7.8189511385891919E-2</v>
      </c>
      <c r="N298" s="26"/>
    </row>
    <row r="299" spans="10:14" x14ac:dyDescent="0.25">
      <c r="J299" s="25">
        <v>-0.1076493662733975</v>
      </c>
      <c r="N299" s="26"/>
    </row>
    <row r="300" spans="10:14" x14ac:dyDescent="0.25">
      <c r="J300" s="25">
        <v>-2.9846916344316687E-2</v>
      </c>
      <c r="N300" s="26"/>
    </row>
    <row r="301" spans="10:14" x14ac:dyDescent="0.25">
      <c r="J301" s="25">
        <v>0.5331130244616844</v>
      </c>
      <c r="N301" s="26"/>
    </row>
    <row r="302" spans="10:14" x14ac:dyDescent="0.25">
      <c r="J302" s="25">
        <v>0.15806515745685235</v>
      </c>
      <c r="N302" s="26"/>
    </row>
    <row r="303" spans="10:14" x14ac:dyDescent="0.25">
      <c r="J303" s="25">
        <v>0.38103079011180174</v>
      </c>
      <c r="N303" s="26"/>
    </row>
    <row r="304" spans="10:14" x14ac:dyDescent="0.25">
      <c r="J304" s="25">
        <v>-0.46934492933682481</v>
      </c>
      <c r="N304" s="26"/>
    </row>
    <row r="305" spans="10:14" x14ac:dyDescent="0.25">
      <c r="J305" s="25">
        <v>0.63541004801983947</v>
      </c>
      <c r="N305" s="26"/>
    </row>
    <row r="306" spans="10:14" x14ac:dyDescent="0.25">
      <c r="J306" s="25">
        <v>-1.9237319416967047E-3</v>
      </c>
      <c r="N306" s="26"/>
    </row>
    <row r="307" spans="10:14" x14ac:dyDescent="0.25">
      <c r="J307" s="25">
        <v>-7.8613950750031969E-2</v>
      </c>
      <c r="N307" s="26"/>
    </row>
    <row r="308" spans="10:14" x14ac:dyDescent="0.25">
      <c r="J308" s="25">
        <v>-0.44449206516028639</v>
      </c>
      <c r="N308" s="26"/>
    </row>
    <row r="309" spans="10:14" x14ac:dyDescent="0.25">
      <c r="J309" s="25">
        <v>-7.4396417080020094E-2</v>
      </c>
      <c r="N309" s="26"/>
    </row>
    <row r="310" spans="10:14" x14ac:dyDescent="0.25">
      <c r="J310" s="25">
        <v>0.23910100281775093</v>
      </c>
      <c r="N310" s="26"/>
    </row>
    <row r="311" spans="10:14" x14ac:dyDescent="0.25">
      <c r="J311" s="25">
        <v>-0.50477634927340431</v>
      </c>
      <c r="N311" s="26"/>
    </row>
    <row r="312" spans="10:14" x14ac:dyDescent="0.25">
      <c r="J312" s="25">
        <v>-0.52165914407740144</v>
      </c>
      <c r="N312" s="26"/>
    </row>
    <row r="313" spans="10:14" x14ac:dyDescent="0.25">
      <c r="J313" s="25">
        <v>-2.2223533106915494E-2</v>
      </c>
      <c r="N313" s="26"/>
    </row>
    <row r="314" spans="10:14" x14ac:dyDescent="0.25">
      <c r="J314" s="25">
        <v>5.1805823873694257E-2</v>
      </c>
      <c r="N314" s="26"/>
    </row>
    <row r="315" spans="10:14" x14ac:dyDescent="0.25">
      <c r="J315" s="25">
        <v>-0.14723535496266027</v>
      </c>
      <c r="N315" s="26"/>
    </row>
    <row r="316" spans="10:14" x14ac:dyDescent="0.25">
      <c r="J316" s="25">
        <v>-0.33259172788436087</v>
      </c>
      <c r="N316" s="26"/>
    </row>
    <row r="317" spans="10:14" x14ac:dyDescent="0.25">
      <c r="J317" s="25">
        <v>0.53438452329877073</v>
      </c>
      <c r="N317" s="26"/>
    </row>
    <row r="318" spans="10:14" x14ac:dyDescent="0.25">
      <c r="J318" s="25">
        <v>-3.0354424570230409E-2</v>
      </c>
      <c r="N318" s="26"/>
    </row>
    <row r="319" spans="10:14" x14ac:dyDescent="0.25">
      <c r="J319" s="25">
        <v>-0.33919119182364765</v>
      </c>
      <c r="N319" s="26"/>
    </row>
    <row r="320" spans="10:14" x14ac:dyDescent="0.25">
      <c r="J320" s="25">
        <v>-7.2067579338755183E-2</v>
      </c>
      <c r="N320" s="26"/>
    </row>
    <row r="321" spans="10:14" x14ac:dyDescent="0.25">
      <c r="J321" s="25">
        <v>6.0454973480098095E-2</v>
      </c>
      <c r="N321" s="26"/>
    </row>
    <row r="322" spans="10:14" x14ac:dyDescent="0.25">
      <c r="J322" s="25">
        <v>-0.23509584302927122</v>
      </c>
      <c r="N322" s="26"/>
    </row>
    <row r="323" spans="10:14" x14ac:dyDescent="0.25">
      <c r="J323" s="25">
        <v>0.16094644460563767</v>
      </c>
      <c r="N323" s="26"/>
    </row>
    <row r="324" spans="10:14" x14ac:dyDescent="0.25">
      <c r="J324" s="25">
        <v>5.8828680489898533E-2</v>
      </c>
      <c r="N324" s="26"/>
    </row>
    <row r="325" spans="10:14" x14ac:dyDescent="0.25">
      <c r="J325" s="25">
        <v>0.47563519136954713</v>
      </c>
      <c r="N325" s="26"/>
    </row>
    <row r="326" spans="10:14" x14ac:dyDescent="0.25">
      <c r="J326" s="25">
        <v>1.7862369591578942E-2</v>
      </c>
      <c r="N326" s="26"/>
    </row>
    <row r="327" spans="10:14" x14ac:dyDescent="0.25">
      <c r="J327" s="25">
        <v>-0.51436217365549686</v>
      </c>
      <c r="N327" s="26"/>
    </row>
    <row r="328" spans="10:14" x14ac:dyDescent="0.25">
      <c r="J328" s="25">
        <v>6.9073327494046266E-2</v>
      </c>
      <c r="N328" s="26"/>
    </row>
    <row r="329" spans="10:14" x14ac:dyDescent="0.25">
      <c r="J329" s="25">
        <v>-0.42426570287117793</v>
      </c>
      <c r="N329" s="26"/>
    </row>
    <row r="330" spans="10:14" x14ac:dyDescent="0.25">
      <c r="J330" s="25">
        <v>0.35428458153571785</v>
      </c>
      <c r="N330" s="26"/>
    </row>
    <row r="331" spans="10:14" x14ac:dyDescent="0.25">
      <c r="J331" s="25">
        <v>-0.2538788079245079</v>
      </c>
      <c r="N331" s="26"/>
    </row>
    <row r="332" spans="10:14" x14ac:dyDescent="0.25">
      <c r="J332" s="25">
        <v>0.47508562585195357</v>
      </c>
      <c r="N332" s="26"/>
    </row>
    <row r="333" spans="10:14" x14ac:dyDescent="0.25">
      <c r="J333" s="25">
        <v>0.61144319359983101</v>
      </c>
      <c r="N333" s="26"/>
    </row>
    <row r="334" spans="10:14" x14ac:dyDescent="0.25">
      <c r="J334" s="25">
        <v>4.1895872170899295E-2</v>
      </c>
      <c r="N334" s="26"/>
    </row>
    <row r="335" spans="10:14" x14ac:dyDescent="0.25">
      <c r="J335" s="25">
        <v>-0.3508265029013975</v>
      </c>
      <c r="N335" s="26"/>
    </row>
    <row r="336" spans="10:14" x14ac:dyDescent="0.25">
      <c r="J336" s="25">
        <v>-0.50515825452114271</v>
      </c>
      <c r="N336" s="26"/>
    </row>
    <row r="337" spans="10:14" x14ac:dyDescent="0.25">
      <c r="J337" s="25">
        <v>-3.7623612772542336E-2</v>
      </c>
      <c r="N337" s="26"/>
    </row>
    <row r="338" spans="10:14" x14ac:dyDescent="0.25">
      <c r="J338" s="25">
        <v>0.46104772383994752</v>
      </c>
      <c r="N338" s="26"/>
    </row>
    <row r="339" spans="10:14" x14ac:dyDescent="0.25">
      <c r="J339" s="25">
        <v>-6.2517044340590022E-2</v>
      </c>
      <c r="N339" s="26"/>
    </row>
    <row r="340" spans="10:14" x14ac:dyDescent="0.25">
      <c r="J340" s="25">
        <v>-0.151436330646747</v>
      </c>
      <c r="N340" s="26"/>
    </row>
    <row r="341" spans="10:14" x14ac:dyDescent="0.25">
      <c r="J341" s="25">
        <v>7.6435696738033077E-3</v>
      </c>
      <c r="N341" s="26"/>
    </row>
    <row r="342" spans="10:14" x14ac:dyDescent="0.25">
      <c r="J342" s="25">
        <v>-0.26679155662490528</v>
      </c>
      <c r="N342" s="26"/>
    </row>
    <row r="343" spans="10:14" x14ac:dyDescent="0.25">
      <c r="J343" s="25">
        <v>0.13949138651171045</v>
      </c>
      <c r="N343" s="26"/>
    </row>
    <row r="344" spans="10:14" x14ac:dyDescent="0.25">
      <c r="J344" s="25">
        <v>0.5107427909761082</v>
      </c>
      <c r="N344" s="26"/>
    </row>
    <row r="345" spans="10:14" x14ac:dyDescent="0.25">
      <c r="J345" s="25">
        <v>-8.5393754211482542E-2</v>
      </c>
      <c r="N345" s="26"/>
    </row>
    <row r="346" spans="10:14" x14ac:dyDescent="0.25">
      <c r="J346" s="25">
        <v>0.8427020195271866</v>
      </c>
      <c r="N346" s="26"/>
    </row>
    <row r="347" spans="10:14" x14ac:dyDescent="0.25">
      <c r="J347" s="25">
        <v>0.88159768798287064</v>
      </c>
      <c r="N347" s="26"/>
    </row>
    <row r="348" spans="10:14" x14ac:dyDescent="0.25">
      <c r="J348" s="25">
        <v>0.30014050044537921</v>
      </c>
      <c r="N348" s="26"/>
    </row>
    <row r="349" spans="10:14" x14ac:dyDescent="0.25">
      <c r="J349" s="25">
        <v>-0.12707361124770966</v>
      </c>
      <c r="N349" s="26"/>
    </row>
    <row r="350" spans="10:14" x14ac:dyDescent="0.25">
      <c r="J350" s="25">
        <v>1.0214054612700671</v>
      </c>
      <c r="N350" s="26"/>
    </row>
    <row r="351" spans="10:14" x14ac:dyDescent="0.25">
      <c r="J351" s="25">
        <v>-8.261076118657118E-3</v>
      </c>
      <c r="N351" s="26"/>
    </row>
    <row r="352" spans="10:14" x14ac:dyDescent="0.25">
      <c r="J352" s="25">
        <v>-7.9486803861289812E-2</v>
      </c>
      <c r="N352" s="26"/>
    </row>
    <row r="353" spans="10:14" x14ac:dyDescent="0.25">
      <c r="J353" s="25">
        <v>-0.19233533808294512</v>
      </c>
      <c r="N353" s="26"/>
    </row>
    <row r="354" spans="10:14" x14ac:dyDescent="0.25">
      <c r="J354" s="25">
        <v>0.21679252239954572</v>
      </c>
      <c r="N354" s="26"/>
    </row>
    <row r="355" spans="10:14" x14ac:dyDescent="0.25">
      <c r="J355" s="25">
        <v>-5.0516420716567589E-2</v>
      </c>
      <c r="N355" s="26"/>
    </row>
    <row r="356" spans="10:14" x14ac:dyDescent="0.25">
      <c r="J356" s="25">
        <v>1.4008410948215921E-2</v>
      </c>
      <c r="N356" s="26"/>
    </row>
    <row r="357" spans="10:14" x14ac:dyDescent="0.25">
      <c r="J357" s="25">
        <v>0.33240922599553913</v>
      </c>
      <c r="N357" s="26"/>
    </row>
    <row r="358" spans="10:14" x14ac:dyDescent="0.25">
      <c r="J358" s="25">
        <v>-0.25096356783119311</v>
      </c>
      <c r="N358" s="26"/>
    </row>
    <row r="359" spans="10:14" x14ac:dyDescent="0.25">
      <c r="J359" s="25">
        <v>0.23508570776812321</v>
      </c>
      <c r="N359" s="26"/>
    </row>
    <row r="360" spans="10:14" x14ac:dyDescent="0.25">
      <c r="J360" s="25">
        <v>-0.27512094640013351</v>
      </c>
      <c r="N360" s="26"/>
    </row>
    <row r="361" spans="10:14" x14ac:dyDescent="0.25">
      <c r="J361" s="25">
        <v>-0.13012400839571514</v>
      </c>
      <c r="N361" s="26"/>
    </row>
    <row r="362" spans="10:14" x14ac:dyDescent="0.25">
      <c r="J362" s="25">
        <v>-8.217962488380115E-2</v>
      </c>
      <c r="N362" s="26"/>
    </row>
    <row r="363" spans="10:14" x14ac:dyDescent="0.25">
      <c r="J363" s="25">
        <v>0.23639938090803936</v>
      </c>
      <c r="N363" s="26"/>
    </row>
    <row r="364" spans="10:14" x14ac:dyDescent="0.25">
      <c r="J364" s="25">
        <v>0.36725970518189621</v>
      </c>
      <c r="N364" s="26"/>
    </row>
    <row r="365" spans="10:14" x14ac:dyDescent="0.25">
      <c r="J365" s="25">
        <v>0.39828275290833104</v>
      </c>
      <c r="N365" s="26"/>
    </row>
    <row r="366" spans="10:14" x14ac:dyDescent="0.25">
      <c r="J366" s="25">
        <v>-0.36958571824523934</v>
      </c>
      <c r="N366" s="26"/>
    </row>
    <row r="367" spans="10:14" x14ac:dyDescent="0.25">
      <c r="J367" s="25">
        <v>-0.24413912454055675</v>
      </c>
      <c r="N367" s="26"/>
    </row>
    <row r="368" spans="10:14" x14ac:dyDescent="0.25">
      <c r="J368" s="25">
        <v>-0.38543189129969646</v>
      </c>
      <c r="N368" s="26"/>
    </row>
    <row r="369" spans="10:14" x14ac:dyDescent="0.25">
      <c r="J369" s="25">
        <v>-0.22391714489543035</v>
      </c>
      <c r="N369" s="26"/>
    </row>
    <row r="370" spans="10:14" x14ac:dyDescent="0.25">
      <c r="J370" s="25">
        <v>0.8249653716836689</v>
      </c>
      <c r="N370" s="26"/>
    </row>
    <row r="371" spans="10:14" x14ac:dyDescent="0.25">
      <c r="J371" s="25">
        <v>-0.19321304254815652</v>
      </c>
      <c r="N371" s="26"/>
    </row>
    <row r="372" spans="10:14" x14ac:dyDescent="0.25">
      <c r="J372" s="25">
        <v>-2.5087748472216176E-2</v>
      </c>
      <c r="N372" s="26"/>
    </row>
    <row r="373" spans="10:14" x14ac:dyDescent="0.25">
      <c r="J373" s="25">
        <v>-0.36417955929136314</v>
      </c>
      <c r="N373" s="26"/>
    </row>
    <row r="374" spans="10:14" x14ac:dyDescent="0.25">
      <c r="J374" s="25">
        <v>4.6514481114428907E-2</v>
      </c>
      <c r="N374" s="26"/>
    </row>
    <row r="375" spans="10:14" x14ac:dyDescent="0.25">
      <c r="J375" s="25">
        <v>8.7408933857346938E-3</v>
      </c>
      <c r="N375" s="26"/>
    </row>
    <row r="376" spans="10:14" x14ac:dyDescent="0.25">
      <c r="J376" s="25">
        <v>-0.1215850711894797</v>
      </c>
      <c r="N376" s="26"/>
    </row>
    <row r="377" spans="10:14" x14ac:dyDescent="0.25">
      <c r="J377" s="25">
        <v>0.16293495953115467</v>
      </c>
      <c r="N377" s="26"/>
    </row>
    <row r="378" spans="10:14" x14ac:dyDescent="0.25">
      <c r="J378" s="25">
        <v>0.34848680912551311</v>
      </c>
      <c r="N378" s="26"/>
    </row>
    <row r="379" spans="10:14" x14ac:dyDescent="0.25">
      <c r="J379" s="25">
        <v>0.95270029303854042</v>
      </c>
      <c r="N379" s="26"/>
    </row>
    <row r="380" spans="10:14" x14ac:dyDescent="0.25">
      <c r="J380" s="25">
        <v>0.30083841748849216</v>
      </c>
      <c r="N380" s="26"/>
    </row>
    <row r="381" spans="10:14" x14ac:dyDescent="0.25">
      <c r="J381" s="25">
        <v>1.1571070934541772</v>
      </c>
      <c r="N381" s="26"/>
    </row>
    <row r="382" spans="10:14" x14ac:dyDescent="0.25">
      <c r="J382" s="25">
        <v>9.7804471036649687E-2</v>
      </c>
      <c r="N382" s="26"/>
    </row>
    <row r="383" spans="10:14" x14ac:dyDescent="0.25">
      <c r="J383" s="25">
        <v>-0.37201975743522464</v>
      </c>
      <c r="N383" s="26"/>
    </row>
    <row r="384" spans="10:14" x14ac:dyDescent="0.25">
      <c r="J384" s="25">
        <v>-5.9763368313565435E-2</v>
      </c>
      <c r="N384" s="26"/>
    </row>
    <row r="385" spans="10:14" x14ac:dyDescent="0.25">
      <c r="J385" s="25">
        <v>-3.342419078236758E-2</v>
      </c>
      <c r="N385" s="26"/>
    </row>
    <row r="386" spans="10:14" x14ac:dyDescent="0.25">
      <c r="J386" s="25">
        <v>-0.26427371369083485</v>
      </c>
      <c r="N386" s="26"/>
    </row>
    <row r="387" spans="10:14" x14ac:dyDescent="0.25">
      <c r="J387" s="25">
        <v>-0.1759979143651057</v>
      </c>
      <c r="N387" s="26"/>
    </row>
    <row r="388" spans="10:14" x14ac:dyDescent="0.25">
      <c r="J388" s="25">
        <v>-9.8165468134576273E-2</v>
      </c>
      <c r="N388" s="26"/>
    </row>
    <row r="389" spans="10:14" x14ac:dyDescent="0.25">
      <c r="J389" s="25">
        <v>0.55629034435898217</v>
      </c>
      <c r="N389" s="26"/>
    </row>
    <row r="390" spans="10:14" x14ac:dyDescent="0.25">
      <c r="J390" s="25">
        <v>-0.23256526056460669</v>
      </c>
      <c r="N390" s="26"/>
    </row>
    <row r="391" spans="10:14" x14ac:dyDescent="0.25">
      <c r="J391" s="25">
        <v>-5.8535946288192475E-2</v>
      </c>
      <c r="N391" s="26"/>
    </row>
    <row r="392" spans="10:14" x14ac:dyDescent="0.25">
      <c r="J392" s="25">
        <v>0.18806074481677881</v>
      </c>
      <c r="N392" s="26"/>
    </row>
    <row r="393" spans="10:14" x14ac:dyDescent="0.25">
      <c r="J393" s="25">
        <v>0.50991114906912527</v>
      </c>
      <c r="N393" s="26"/>
    </row>
    <row r="394" spans="10:14" x14ac:dyDescent="0.25">
      <c r="J394" s="25">
        <v>0.82244548466784351</v>
      </c>
      <c r="N394" s="26"/>
    </row>
    <row r="395" spans="10:14" x14ac:dyDescent="0.25">
      <c r="J395" s="25">
        <v>-0.13570603294192674</v>
      </c>
      <c r="N395" s="26"/>
    </row>
    <row r="396" spans="10:14" x14ac:dyDescent="0.25">
      <c r="J396" s="25">
        <v>0.16658070464886232</v>
      </c>
      <c r="N396" s="26"/>
    </row>
    <row r="397" spans="10:14" x14ac:dyDescent="0.25">
      <c r="J397" s="25">
        <v>0.89891995397167723</v>
      </c>
      <c r="N397" s="26"/>
    </row>
    <row r="398" spans="10:14" x14ac:dyDescent="0.25">
      <c r="J398" s="25">
        <v>0.52555558206362241</v>
      </c>
      <c r="N398" s="26"/>
    </row>
    <row r="399" spans="10:14" x14ac:dyDescent="0.25">
      <c r="J399" s="25">
        <v>5.8931849077660914E-2</v>
      </c>
      <c r="N399" s="26"/>
    </row>
    <row r="400" spans="10:14" x14ac:dyDescent="0.25">
      <c r="J400" s="25">
        <v>-0.11207067204093479</v>
      </c>
      <c r="N400" s="26"/>
    </row>
    <row r="401" spans="10:14" x14ac:dyDescent="0.25">
      <c r="J401" s="25">
        <v>-0.50335977205821247</v>
      </c>
      <c r="N401" s="26"/>
    </row>
    <row r="402" spans="10:14" x14ac:dyDescent="0.25">
      <c r="J402" s="25">
        <v>-0.47724437601188285</v>
      </c>
      <c r="N402" s="26"/>
    </row>
    <row r="403" spans="10:14" x14ac:dyDescent="0.25">
      <c r="J403" s="25">
        <v>-0.32256294099749527</v>
      </c>
      <c r="N403" s="26"/>
    </row>
    <row r="404" spans="10:14" x14ac:dyDescent="0.25">
      <c r="J404" s="25">
        <v>-3.7872569925122335E-2</v>
      </c>
      <c r="N404" s="26"/>
    </row>
    <row r="405" spans="10:14" x14ac:dyDescent="0.25">
      <c r="J405" s="25">
        <v>-0.16057240924394456</v>
      </c>
      <c r="N405" s="26"/>
    </row>
    <row r="406" spans="10:14" x14ac:dyDescent="0.25">
      <c r="J406" s="25">
        <v>0.45407337950986415</v>
      </c>
      <c r="N406" s="26"/>
    </row>
    <row r="407" spans="10:14" x14ac:dyDescent="0.25">
      <c r="J407" s="25">
        <v>-0.16226541983292997</v>
      </c>
      <c r="N407" s="26"/>
    </row>
    <row r="408" spans="10:14" x14ac:dyDescent="0.25">
      <c r="J408" s="25">
        <v>1.4225157684235823E-2</v>
      </c>
      <c r="N408" s="26"/>
    </row>
    <row r="409" spans="10:14" x14ac:dyDescent="0.25">
      <c r="J409" s="25">
        <v>0.29709511899183472</v>
      </c>
      <c r="N409" s="26"/>
    </row>
    <row r="410" spans="10:14" x14ac:dyDescent="0.25">
      <c r="J410" s="25">
        <v>0.13187839773505949</v>
      </c>
      <c r="N410" s="26"/>
    </row>
    <row r="411" spans="10:14" x14ac:dyDescent="0.25">
      <c r="J411" s="25">
        <v>1.1448185506525332</v>
      </c>
      <c r="N411" s="26"/>
    </row>
    <row r="412" spans="10:14" x14ac:dyDescent="0.25">
      <c r="J412" s="25">
        <v>-0.37900058671583536</v>
      </c>
      <c r="N412" s="26"/>
    </row>
    <row r="413" spans="10:14" x14ac:dyDescent="0.25">
      <c r="J413" s="25">
        <v>8.8615551748297383E-2</v>
      </c>
      <c r="N413" s="26"/>
    </row>
    <row r="414" spans="10:14" x14ac:dyDescent="0.25">
      <c r="J414" s="25">
        <v>-0.289210596052903</v>
      </c>
      <c r="N414" s="26"/>
    </row>
    <row r="415" spans="10:14" x14ac:dyDescent="0.25">
      <c r="J415" s="25">
        <v>-0.24630285044333733</v>
      </c>
      <c r="N415" s="26"/>
    </row>
    <row r="416" spans="10:14" x14ac:dyDescent="0.25">
      <c r="J416" s="25">
        <v>1.004240274619288</v>
      </c>
      <c r="N416" s="26"/>
    </row>
    <row r="417" spans="10:14" x14ac:dyDescent="0.25">
      <c r="J417" s="25">
        <v>-0.29565949131830893</v>
      </c>
      <c r="N417" s="26"/>
    </row>
    <row r="418" spans="10:14" x14ac:dyDescent="0.25">
      <c r="J418" s="25">
        <v>0.60715553706388636</v>
      </c>
      <c r="N418" s="26"/>
    </row>
    <row r="419" spans="10:14" x14ac:dyDescent="0.25">
      <c r="J419" s="25">
        <v>-0.31842666369725192</v>
      </c>
      <c r="N419" s="26"/>
    </row>
    <row r="420" spans="10:14" x14ac:dyDescent="0.25">
      <c r="J420" s="25">
        <v>-0.42270363630456786</v>
      </c>
      <c r="N420" s="26"/>
    </row>
    <row r="421" spans="10:14" x14ac:dyDescent="0.25">
      <c r="J421" s="25">
        <v>-0.48066331634235826</v>
      </c>
      <c r="N421" s="26"/>
    </row>
    <row r="422" spans="10:14" x14ac:dyDescent="0.25">
      <c r="J422" s="25">
        <v>-3.1235470443448099E-2</v>
      </c>
      <c r="N422" s="26"/>
    </row>
    <row r="423" spans="10:14" x14ac:dyDescent="0.25">
      <c r="J423" s="25">
        <v>-4.2152714197963848E-2</v>
      </c>
      <c r="N423" s="26"/>
    </row>
    <row r="424" spans="10:14" x14ac:dyDescent="0.25">
      <c r="J424" s="25">
        <v>-0.16929316606836176</v>
      </c>
      <c r="N424" s="26"/>
    </row>
    <row r="425" spans="10:14" x14ac:dyDescent="0.25">
      <c r="J425" s="25">
        <v>-0.40494273664319447</v>
      </c>
      <c r="N425" s="26"/>
    </row>
    <row r="426" spans="10:14" x14ac:dyDescent="0.25">
      <c r="J426" s="25">
        <v>-0.1285856708126093</v>
      </c>
      <c r="N426" s="26"/>
    </row>
    <row r="427" spans="10:14" x14ac:dyDescent="0.25">
      <c r="J427" s="25">
        <v>0.36964317688770199</v>
      </c>
      <c r="N427" s="26"/>
    </row>
    <row r="428" spans="10:14" x14ac:dyDescent="0.25">
      <c r="J428" s="25">
        <v>-0.47980541157511936</v>
      </c>
      <c r="N428" s="26"/>
    </row>
    <row r="429" spans="10:14" x14ac:dyDescent="0.25">
      <c r="J429" s="25">
        <v>-8.5313081491650733E-2</v>
      </c>
      <c r="N429" s="26"/>
    </row>
    <row r="430" spans="10:14" x14ac:dyDescent="0.25">
      <c r="J430" s="25">
        <v>-0.21496418152874608</v>
      </c>
      <c r="N430" s="26"/>
    </row>
    <row r="431" spans="10:14" x14ac:dyDescent="0.25">
      <c r="J431" s="25">
        <v>-0.25574825094783882</v>
      </c>
      <c r="N431" s="26"/>
    </row>
    <row r="432" spans="10:14" x14ac:dyDescent="0.25">
      <c r="J432" s="25">
        <v>-0.38614436695214216</v>
      </c>
      <c r="N432" s="26"/>
    </row>
    <row r="433" spans="10:14" x14ac:dyDescent="0.25">
      <c r="J433" s="25">
        <v>-0.15365824716787546</v>
      </c>
      <c r="N433" s="26"/>
    </row>
    <row r="434" spans="10:14" x14ac:dyDescent="0.25">
      <c r="J434" s="25">
        <v>-0.32088065833544066</v>
      </c>
      <c r="N434" s="26"/>
    </row>
    <row r="435" spans="10:14" x14ac:dyDescent="0.25">
      <c r="J435" s="25">
        <v>4.9750431926085525E-2</v>
      </c>
      <c r="N435" s="26"/>
    </row>
    <row r="436" spans="10:14" x14ac:dyDescent="0.25">
      <c r="J436" s="25">
        <v>0.15083775724935711</v>
      </c>
      <c r="N436" s="26"/>
    </row>
    <row r="437" spans="10:14" x14ac:dyDescent="0.25">
      <c r="J437" s="25">
        <v>0.43479309673449307</v>
      </c>
      <c r="N437" s="26"/>
    </row>
    <row r="438" spans="10:14" x14ac:dyDescent="0.25">
      <c r="J438" s="25">
        <v>-9.2881996081555673E-2</v>
      </c>
      <c r="N438" s="26"/>
    </row>
    <row r="439" spans="10:14" x14ac:dyDescent="0.25">
      <c r="J439" s="25">
        <v>0.35967432961751178</v>
      </c>
      <c r="N439" s="26"/>
    </row>
    <row r="440" spans="10:14" x14ac:dyDescent="0.25">
      <c r="J440" s="25">
        <v>-0.20949629658900337</v>
      </c>
      <c r="N440" s="26"/>
    </row>
    <row r="441" spans="10:14" x14ac:dyDescent="0.25">
      <c r="J441" s="25">
        <v>-0.34749168223720539</v>
      </c>
      <c r="N441" s="26"/>
    </row>
    <row r="442" spans="10:14" x14ac:dyDescent="0.25">
      <c r="J442" s="25">
        <v>0.17864907224931481</v>
      </c>
      <c r="N442" s="26"/>
    </row>
    <row r="443" spans="10:14" x14ac:dyDescent="0.25">
      <c r="J443" s="25">
        <v>-0.32296108720946304</v>
      </c>
      <c r="N443" s="26"/>
    </row>
    <row r="444" spans="10:14" x14ac:dyDescent="0.25">
      <c r="J444" s="25">
        <v>-9.09064687118325E-2</v>
      </c>
      <c r="N444" s="26"/>
    </row>
    <row r="445" spans="10:14" x14ac:dyDescent="0.25">
      <c r="J445" s="25">
        <v>0.30842920312298405</v>
      </c>
      <c r="N445" s="26"/>
    </row>
    <row r="446" spans="10:14" x14ac:dyDescent="0.25">
      <c r="J446" s="25">
        <v>0.11539888450718983</v>
      </c>
      <c r="N446" s="26"/>
    </row>
    <row r="447" spans="10:14" x14ac:dyDescent="0.25">
      <c r="J447" s="25">
        <v>-0.18453540729025186</v>
      </c>
      <c r="N447" s="26"/>
    </row>
    <row r="448" spans="10:14" x14ac:dyDescent="0.25">
      <c r="J448" s="25">
        <v>0.22941349500726149</v>
      </c>
      <c r="N448" s="26"/>
    </row>
    <row r="449" spans="10:14" x14ac:dyDescent="0.25">
      <c r="J449" s="25">
        <v>0.20635082127430504</v>
      </c>
      <c r="N449" s="26"/>
    </row>
    <row r="450" spans="10:14" x14ac:dyDescent="0.25">
      <c r="J450" s="25">
        <v>-0.39907716176022556</v>
      </c>
      <c r="N450" s="26"/>
    </row>
    <row r="451" spans="10:14" x14ac:dyDescent="0.25">
      <c r="J451" s="25">
        <v>0.66902877933724603</v>
      </c>
      <c r="N451" s="26"/>
    </row>
    <row r="452" spans="10:14" x14ac:dyDescent="0.25">
      <c r="J452" s="25">
        <v>-6.64611667662941E-2</v>
      </c>
      <c r="N452" s="26"/>
    </row>
    <row r="453" spans="10:14" x14ac:dyDescent="0.25">
      <c r="J453" s="25">
        <v>-0.22123144068469203</v>
      </c>
      <c r="N453" s="26"/>
    </row>
    <row r="454" spans="10:14" x14ac:dyDescent="0.25">
      <c r="J454" s="25">
        <v>1.3022463408778551E-2</v>
      </c>
      <c r="N454" s="26"/>
    </row>
    <row r="455" spans="10:14" x14ac:dyDescent="0.25">
      <c r="J455" s="25">
        <v>-0.2367192245989328</v>
      </c>
      <c r="N455" s="26"/>
    </row>
    <row r="456" spans="10:14" x14ac:dyDescent="0.25">
      <c r="J456" s="25">
        <v>-0.53898377492486138</v>
      </c>
      <c r="N456" s="26"/>
    </row>
    <row r="457" spans="10:14" x14ac:dyDescent="0.25">
      <c r="J457" s="25">
        <v>0.54954407793942961</v>
      </c>
      <c r="N457" s="26"/>
    </row>
    <row r="458" spans="10:14" x14ac:dyDescent="0.25">
      <c r="J458" s="25">
        <v>0.1243295392760877</v>
      </c>
      <c r="N458" s="26"/>
    </row>
    <row r="459" spans="10:14" x14ac:dyDescent="0.25">
      <c r="J459" s="25">
        <v>-5.2236103879148676E-2</v>
      </c>
      <c r="N459" s="26"/>
    </row>
    <row r="460" spans="10:14" x14ac:dyDescent="0.25">
      <c r="J460" s="25">
        <v>1.0057114207171205</v>
      </c>
      <c r="N460" s="26"/>
    </row>
    <row r="461" spans="10:14" x14ac:dyDescent="0.25">
      <c r="J461" s="25">
        <v>0.27383607479405558</v>
      </c>
      <c r="N461" s="26"/>
    </row>
    <row r="462" spans="10:14" x14ac:dyDescent="0.25">
      <c r="J462" s="25">
        <v>0.82995455169837462</v>
      </c>
      <c r="N462" s="26"/>
    </row>
    <row r="463" spans="10:14" x14ac:dyDescent="0.25">
      <c r="J463" s="25">
        <v>3.6170584135843509E-2</v>
      </c>
      <c r="N463" s="26"/>
    </row>
    <row r="464" spans="10:14" x14ac:dyDescent="0.25">
      <c r="J464" s="25">
        <v>1.0201328791403639</v>
      </c>
      <c r="N464" s="26"/>
    </row>
    <row r="465" spans="10:14" x14ac:dyDescent="0.25">
      <c r="J465" s="25">
        <v>0.18794861473836866</v>
      </c>
      <c r="N465" s="26"/>
    </row>
    <row r="466" spans="10:14" x14ac:dyDescent="0.25">
      <c r="J466" s="25">
        <v>0.10264121225263545</v>
      </c>
      <c r="N466" s="26"/>
    </row>
    <row r="467" spans="10:14" x14ac:dyDescent="0.25">
      <c r="J467" s="25">
        <v>8.4209515320285755E-2</v>
      </c>
      <c r="N467" s="26"/>
    </row>
    <row r="468" spans="10:14" x14ac:dyDescent="0.25">
      <c r="J468" s="25">
        <v>0.11456735075726598</v>
      </c>
      <c r="N468" s="26"/>
    </row>
    <row r="469" spans="10:14" x14ac:dyDescent="0.25">
      <c r="J469" s="25">
        <v>1.3847196090439162E-2</v>
      </c>
      <c r="N469" s="26"/>
    </row>
    <row r="470" spans="10:14" x14ac:dyDescent="0.25">
      <c r="J470" s="25">
        <v>-0.3001942938949419</v>
      </c>
      <c r="N470" s="26"/>
    </row>
    <row r="471" spans="10:14" x14ac:dyDescent="0.25">
      <c r="J471" s="25">
        <v>0.23092923271887122</v>
      </c>
      <c r="N471" s="26"/>
    </row>
    <row r="472" spans="10:14" x14ac:dyDescent="0.25">
      <c r="J472" s="25">
        <v>-0.36203269860351361</v>
      </c>
      <c r="N472" s="26"/>
    </row>
    <row r="473" spans="10:14" x14ac:dyDescent="0.25">
      <c r="J473" s="25">
        <v>-2.5420004769150517E-2</v>
      </c>
      <c r="N473" s="26"/>
    </row>
    <row r="474" spans="10:14" x14ac:dyDescent="0.25">
      <c r="J474" s="25">
        <v>7.35291104548359E-2</v>
      </c>
      <c r="N474" s="26"/>
    </row>
    <row r="475" spans="10:14" x14ac:dyDescent="0.25">
      <c r="J475" s="25">
        <v>-0.29791158295220921</v>
      </c>
      <c r="N475" s="26"/>
    </row>
    <row r="476" spans="10:14" x14ac:dyDescent="0.25">
      <c r="J476" s="25">
        <v>0.59228001831058563</v>
      </c>
      <c r="N476" s="26"/>
    </row>
    <row r="477" spans="10:14" x14ac:dyDescent="0.25">
      <c r="J477" s="25">
        <v>-2.6209896883052641E-2</v>
      </c>
      <c r="N477" s="26"/>
    </row>
    <row r="478" spans="10:14" x14ac:dyDescent="0.25">
      <c r="J478" s="25">
        <v>-0.12563048591717818</v>
      </c>
      <c r="N478" s="26"/>
    </row>
    <row r="479" spans="10:14" x14ac:dyDescent="0.25">
      <c r="J479" s="25">
        <v>0.51357466090529069</v>
      </c>
      <c r="N479" s="26"/>
    </row>
    <row r="480" spans="10:14" x14ac:dyDescent="0.25">
      <c r="J480" s="25">
        <v>-0.23419094696148912</v>
      </c>
      <c r="N480" s="26"/>
    </row>
    <row r="481" spans="10:14" x14ac:dyDescent="0.25">
      <c r="J481" s="25">
        <v>-0.43992986775795706</v>
      </c>
      <c r="N481" s="26"/>
    </row>
    <row r="482" spans="10:14" x14ac:dyDescent="0.25">
      <c r="J482" s="25">
        <v>4.0191951789834146E-3</v>
      </c>
      <c r="N482" s="26"/>
    </row>
    <row r="483" spans="10:14" x14ac:dyDescent="0.25">
      <c r="J483" s="25">
        <v>0.13288966244417932</v>
      </c>
      <c r="N483" s="26"/>
    </row>
    <row r="484" spans="10:14" x14ac:dyDescent="0.25">
      <c r="J484" s="25">
        <v>0.24342507564592353</v>
      </c>
      <c r="N484" s="26"/>
    </row>
    <row r="485" spans="10:14" x14ac:dyDescent="0.25">
      <c r="J485" s="25">
        <v>-0.33791862647803583</v>
      </c>
      <c r="N485" s="26"/>
    </row>
    <row r="486" spans="10:14" x14ac:dyDescent="0.25">
      <c r="J486" s="25">
        <v>-0.31068578251930601</v>
      </c>
      <c r="N486" s="26"/>
    </row>
    <row r="487" spans="10:14" x14ac:dyDescent="0.25">
      <c r="J487" s="25">
        <v>-0.28301497625619365</v>
      </c>
      <c r="N487" s="26"/>
    </row>
    <row r="488" spans="10:14" x14ac:dyDescent="0.25">
      <c r="J488" s="25">
        <v>-0.11504898623197923</v>
      </c>
      <c r="N488" s="26"/>
    </row>
    <row r="489" spans="10:14" x14ac:dyDescent="0.25">
      <c r="J489" s="25">
        <v>-0.42530455192694872</v>
      </c>
      <c r="N489" s="26"/>
    </row>
    <row r="490" spans="10:14" x14ac:dyDescent="0.25">
      <c r="J490" s="25">
        <v>3.8360884278494822E-2</v>
      </c>
      <c r="N490" s="26"/>
    </row>
    <row r="491" spans="10:14" x14ac:dyDescent="0.25">
      <c r="J491" s="25">
        <v>1.7308906910463717E-2</v>
      </c>
      <c r="N491" s="26"/>
    </row>
    <row r="492" spans="10:14" x14ac:dyDescent="0.25">
      <c r="J492" s="25">
        <v>0.12410147594139964</v>
      </c>
      <c r="N492" s="26"/>
    </row>
    <row r="493" spans="10:14" x14ac:dyDescent="0.25">
      <c r="J493" s="25">
        <v>-0.42067980682968042</v>
      </c>
      <c r="N493" s="26"/>
    </row>
    <row r="494" spans="10:14" x14ac:dyDescent="0.25">
      <c r="J494" s="25">
        <v>7.6786586951280489E-2</v>
      </c>
      <c r="N494" s="26"/>
    </row>
    <row r="495" spans="10:14" x14ac:dyDescent="0.25">
      <c r="J495" s="25">
        <v>-0.18922464539668948</v>
      </c>
      <c r="N495" s="26"/>
    </row>
    <row r="496" spans="10:14" x14ac:dyDescent="0.25">
      <c r="J496" s="25">
        <v>-8.0458918511186805E-2</v>
      </c>
      <c r="N496" s="26"/>
    </row>
    <row r="497" spans="10:14" x14ac:dyDescent="0.25">
      <c r="J497" s="25">
        <v>0.87206285625657332</v>
      </c>
      <c r="N497" s="26"/>
    </row>
    <row r="498" spans="10:14" x14ac:dyDescent="0.25">
      <c r="J498" s="25">
        <v>-0.13421128291732654</v>
      </c>
      <c r="N498" s="26"/>
    </row>
    <row r="499" spans="10:14" x14ac:dyDescent="0.25">
      <c r="J499" s="25">
        <v>0.63829844191381868</v>
      </c>
      <c r="N499" s="26"/>
    </row>
    <row r="500" spans="10:14" x14ac:dyDescent="0.25">
      <c r="J500" s="25">
        <v>0.16022961646244149</v>
      </c>
      <c r="N500" s="26"/>
    </row>
    <row r="501" spans="10:14" x14ac:dyDescent="0.25">
      <c r="J501" s="25">
        <v>0.17678180692174972</v>
      </c>
      <c r="N501" s="26"/>
    </row>
    <row r="502" spans="10:14" x14ac:dyDescent="0.25">
      <c r="J502" s="25">
        <v>2.054093306148963E-2</v>
      </c>
      <c r="N502" s="26"/>
    </row>
    <row r="503" spans="10:14" x14ac:dyDescent="0.25">
      <c r="J503" s="25">
        <v>-1.6735554305070122E-2</v>
      </c>
      <c r="N503" s="26"/>
    </row>
    <row r="504" spans="10:14" x14ac:dyDescent="0.25">
      <c r="J504" s="25">
        <v>-3.8023613904005771E-2</v>
      </c>
      <c r="N504" s="26"/>
    </row>
    <row r="505" spans="10:14" x14ac:dyDescent="0.25">
      <c r="J505" s="25">
        <v>-0.28447032135822259</v>
      </c>
      <c r="N505" s="26"/>
    </row>
    <row r="506" spans="10:14" x14ac:dyDescent="0.25">
      <c r="J506" s="25">
        <v>1.0340621443124767</v>
      </c>
      <c r="N506" s="26"/>
    </row>
    <row r="507" spans="10:14" x14ac:dyDescent="0.25">
      <c r="J507" s="25">
        <v>0.57481412665946152</v>
      </c>
      <c r="N507" s="26"/>
    </row>
    <row r="508" spans="10:14" x14ac:dyDescent="0.25">
      <c r="J508" s="25">
        <v>-0.23349707942166398</v>
      </c>
      <c r="N508" s="26"/>
    </row>
    <row r="509" spans="10:14" x14ac:dyDescent="0.25">
      <c r="J509" s="25">
        <v>-0.14181608304279159</v>
      </c>
      <c r="N509" s="26"/>
    </row>
    <row r="510" spans="10:14" x14ac:dyDescent="0.25">
      <c r="J510" s="25">
        <v>6.4085443454875657E-2</v>
      </c>
      <c r="N510" s="26"/>
    </row>
    <row r="511" spans="10:14" x14ac:dyDescent="0.25">
      <c r="J511" s="25">
        <v>-0.3285365489216131</v>
      </c>
      <c r="N511" s="26"/>
    </row>
    <row r="512" spans="10:14" x14ac:dyDescent="0.25">
      <c r="J512" s="25">
        <v>0.62029581060800032</v>
      </c>
      <c r="N512" s="26"/>
    </row>
    <row r="513" spans="10:14" x14ac:dyDescent="0.25">
      <c r="J513" s="25">
        <v>-7.5194532600043829E-2</v>
      </c>
      <c r="N513" s="26"/>
    </row>
    <row r="514" spans="10:14" x14ac:dyDescent="0.25">
      <c r="J514" s="25">
        <v>0.32959090632248866</v>
      </c>
      <c r="N514" s="26"/>
    </row>
    <row r="515" spans="10:14" x14ac:dyDescent="0.25">
      <c r="J515" s="25">
        <v>0.34178569775536127</v>
      </c>
      <c r="N515" s="26"/>
    </row>
    <row r="516" spans="10:14" x14ac:dyDescent="0.25">
      <c r="J516" s="25">
        <v>-0.12519981747853837</v>
      </c>
      <c r="N516" s="26"/>
    </row>
    <row r="517" spans="10:14" x14ac:dyDescent="0.25">
      <c r="J517" s="25">
        <v>-9.503467320698511E-2</v>
      </c>
      <c r="N517" s="26"/>
    </row>
    <row r="518" spans="10:14" x14ac:dyDescent="0.25">
      <c r="J518" s="25">
        <v>-0.40817353221245134</v>
      </c>
      <c r="N518" s="26"/>
    </row>
    <row r="519" spans="10:14" x14ac:dyDescent="0.25">
      <c r="J519" s="25">
        <v>0.58853549907955793</v>
      </c>
      <c r="N519" s="26"/>
    </row>
    <row r="520" spans="10:14" x14ac:dyDescent="0.25">
      <c r="J520" s="25">
        <v>-0.52252629482519941</v>
      </c>
      <c r="N520" s="26"/>
    </row>
    <row r="521" spans="10:14" x14ac:dyDescent="0.25">
      <c r="J521" s="25">
        <v>0.42292539126866435</v>
      </c>
      <c r="N521" s="26"/>
    </row>
    <row r="522" spans="10:14" x14ac:dyDescent="0.25">
      <c r="J522" s="25">
        <v>2.6326959757698054E-2</v>
      </c>
      <c r="N522" s="26"/>
    </row>
    <row r="523" spans="10:14" x14ac:dyDescent="0.25">
      <c r="J523" s="25">
        <v>-2.8659171817175477E-2</v>
      </c>
      <c r="N523" s="26"/>
    </row>
    <row r="524" spans="10:14" x14ac:dyDescent="0.25">
      <c r="J524" s="25">
        <v>0.50663051883688093</v>
      </c>
      <c r="N524" s="26"/>
    </row>
    <row r="525" spans="10:14" x14ac:dyDescent="0.25">
      <c r="J525" s="25">
        <v>-0.39174501086174296</v>
      </c>
      <c r="N525" s="26"/>
    </row>
    <row r="526" spans="10:14" x14ac:dyDescent="0.25">
      <c r="J526" s="25">
        <v>0.19573255686103552</v>
      </c>
      <c r="N526" s="26"/>
    </row>
    <row r="527" spans="10:14" x14ac:dyDescent="0.25">
      <c r="J527" s="25">
        <v>0.1627397273731872</v>
      </c>
      <c r="N527" s="26"/>
    </row>
    <row r="528" spans="10:14" x14ac:dyDescent="0.25">
      <c r="J528" s="25">
        <v>-0.13758236221646458</v>
      </c>
      <c r="N528" s="26"/>
    </row>
    <row r="529" spans="10:14" x14ac:dyDescent="0.25">
      <c r="J529" s="25">
        <v>0.60102002925384435</v>
      </c>
      <c r="N529" s="26"/>
    </row>
    <row r="530" spans="10:14" x14ac:dyDescent="0.25">
      <c r="J530" s="25">
        <v>0.37408642129039338</v>
      </c>
      <c r="N530" s="26"/>
    </row>
    <row r="531" spans="10:14" x14ac:dyDescent="0.25">
      <c r="J531" s="25">
        <v>0.26133045675551791</v>
      </c>
      <c r="N531" s="26"/>
    </row>
    <row r="532" spans="10:14" x14ac:dyDescent="0.25">
      <c r="J532" s="25">
        <v>0.49225864056461854</v>
      </c>
      <c r="N532" s="26"/>
    </row>
    <row r="533" spans="10:14" x14ac:dyDescent="0.25">
      <c r="J533" s="25">
        <v>0.83108386177918314</v>
      </c>
      <c r="N533" s="26"/>
    </row>
    <row r="534" spans="10:14" x14ac:dyDescent="0.25">
      <c r="J534" s="25">
        <v>0.64639008051308777</v>
      </c>
      <c r="N534" s="26"/>
    </row>
    <row r="535" spans="10:14" x14ac:dyDescent="0.25">
      <c r="J535" s="25">
        <v>-0.17269727138420299</v>
      </c>
      <c r="N535" s="26"/>
    </row>
    <row r="536" spans="10:14" x14ac:dyDescent="0.25">
      <c r="J536" s="25">
        <v>6.382688935263281E-2</v>
      </c>
      <c r="N536" s="26"/>
    </row>
    <row r="537" spans="10:14" x14ac:dyDescent="0.25">
      <c r="J537" s="25">
        <v>-0.38188827694554595</v>
      </c>
      <c r="N537" s="26"/>
    </row>
    <row r="538" spans="10:14" x14ac:dyDescent="0.25">
      <c r="J538" s="25">
        <v>-0.27808988399335732</v>
      </c>
      <c r="N538" s="26"/>
    </row>
    <row r="539" spans="10:14" x14ac:dyDescent="0.25">
      <c r="J539" s="25">
        <v>0.17593783914141436</v>
      </c>
      <c r="N539" s="26"/>
    </row>
    <row r="540" spans="10:14" x14ac:dyDescent="0.25">
      <c r="J540" s="25">
        <v>-0.53367711831910913</v>
      </c>
      <c r="N540" s="26"/>
    </row>
    <row r="541" spans="10:14" x14ac:dyDescent="0.25">
      <c r="J541" s="25">
        <v>-3.3813557161869956E-2</v>
      </c>
      <c r="N541" s="26"/>
    </row>
    <row r="542" spans="10:14" x14ac:dyDescent="0.25">
      <c r="J542" s="25">
        <v>-0.38738289152703331</v>
      </c>
      <c r="N542" s="26"/>
    </row>
    <row r="543" spans="10:14" x14ac:dyDescent="0.25">
      <c r="J543" s="25">
        <v>-0.22459260833547867</v>
      </c>
      <c r="N543" s="26"/>
    </row>
    <row r="544" spans="10:14" x14ac:dyDescent="0.25">
      <c r="J544" s="25">
        <v>-6.9129082787062757E-2</v>
      </c>
      <c r="N544" s="26"/>
    </row>
    <row r="545" spans="10:14" x14ac:dyDescent="0.25">
      <c r="J545" s="25">
        <v>-1.7453435196621681E-2</v>
      </c>
      <c r="N545" s="26"/>
    </row>
    <row r="546" spans="10:14" x14ac:dyDescent="0.25">
      <c r="J546" s="25">
        <v>-0.24602760667103984</v>
      </c>
      <c r="N546" s="26"/>
    </row>
    <row r="547" spans="10:14" x14ac:dyDescent="0.25">
      <c r="J547" s="25">
        <v>-0.27105564754838885</v>
      </c>
      <c r="N547" s="26"/>
    </row>
    <row r="548" spans="10:14" x14ac:dyDescent="0.25">
      <c r="J548" s="25">
        <v>4.597676296528741E-2</v>
      </c>
      <c r="N548" s="26"/>
    </row>
    <row r="549" spans="10:14" x14ac:dyDescent="0.25">
      <c r="J549" s="25">
        <v>0.12850880798435704</v>
      </c>
      <c r="N549" s="26"/>
    </row>
    <row r="550" spans="10:14" x14ac:dyDescent="0.25">
      <c r="J550" s="25">
        <v>-0.51620667712596457</v>
      </c>
      <c r="N550" s="26"/>
    </row>
    <row r="551" spans="10:14" x14ac:dyDescent="0.25">
      <c r="J551" s="25">
        <v>0.48833377920407894</v>
      </c>
      <c r="N551" s="26"/>
    </row>
    <row r="552" spans="10:14" x14ac:dyDescent="0.25">
      <c r="J552" s="25">
        <v>1.1205227452172548</v>
      </c>
      <c r="N552" s="26"/>
    </row>
    <row r="553" spans="10:14" x14ac:dyDescent="0.25">
      <c r="J553" s="25">
        <v>-4.563150947534278E-2</v>
      </c>
      <c r="N553" s="26"/>
    </row>
    <row r="554" spans="10:14" x14ac:dyDescent="0.25">
      <c r="J554" s="25">
        <v>0.40282491963903033</v>
      </c>
      <c r="N554" s="26"/>
    </row>
    <row r="555" spans="10:14" x14ac:dyDescent="0.25">
      <c r="J555" s="25">
        <v>-0.37445200723272998</v>
      </c>
      <c r="N555" s="26"/>
    </row>
    <row r="556" spans="10:14" x14ac:dyDescent="0.25">
      <c r="J556" s="25">
        <v>-0.33517725009302202</v>
      </c>
      <c r="N556" s="26"/>
    </row>
    <row r="557" spans="10:14" x14ac:dyDescent="0.25">
      <c r="J557" s="25">
        <v>0.762335507092192</v>
      </c>
      <c r="N557" s="26"/>
    </row>
    <row r="558" spans="10:14" x14ac:dyDescent="0.25">
      <c r="J558" s="25">
        <v>1.3778609012985887E-2</v>
      </c>
      <c r="N558" s="26"/>
    </row>
    <row r="559" spans="10:14" x14ac:dyDescent="0.25">
      <c r="J559" s="25">
        <v>0.68655175011339908</v>
      </c>
      <c r="N559" s="26"/>
    </row>
    <row r="560" spans="10:14" x14ac:dyDescent="0.25">
      <c r="J560" s="25">
        <v>-8.4645408369379949E-2</v>
      </c>
      <c r="N560" s="26"/>
    </row>
    <row r="561" spans="10:14" x14ac:dyDescent="0.25">
      <c r="J561" s="25">
        <v>0.30804990850994329</v>
      </c>
      <c r="N561" s="26"/>
    </row>
    <row r="562" spans="10:14" x14ac:dyDescent="0.25">
      <c r="J562" s="25">
        <v>-0.46943883687583932</v>
      </c>
      <c r="N562" s="26"/>
    </row>
    <row r="563" spans="10:14" x14ac:dyDescent="0.25">
      <c r="J563" s="25">
        <v>0.81447602503794458</v>
      </c>
      <c r="N563" s="26"/>
    </row>
    <row r="564" spans="10:14" x14ac:dyDescent="0.25">
      <c r="J564" s="25">
        <v>0.98140678964823036</v>
      </c>
      <c r="N564" s="26"/>
    </row>
    <row r="565" spans="10:14" x14ac:dyDescent="0.25">
      <c r="J565" s="25">
        <v>0.54415682529074294</v>
      </c>
      <c r="N565" s="26"/>
    </row>
    <row r="566" spans="10:14" x14ac:dyDescent="0.25">
      <c r="J566" s="25">
        <v>-0.29905063372880414</v>
      </c>
      <c r="N566" s="26"/>
    </row>
    <row r="567" spans="10:14" x14ac:dyDescent="0.25">
      <c r="J567" s="25">
        <v>-0.35354754512539954</v>
      </c>
      <c r="N567" s="26"/>
    </row>
    <row r="568" spans="10:14" x14ac:dyDescent="0.25">
      <c r="J568" s="25">
        <v>-0.50076076567172989</v>
      </c>
      <c r="N568" s="26"/>
    </row>
    <row r="569" spans="10:14" x14ac:dyDescent="0.25">
      <c r="J569" s="25">
        <v>0.38571435332282755</v>
      </c>
      <c r="N569" s="26"/>
    </row>
    <row r="570" spans="10:14" x14ac:dyDescent="0.25">
      <c r="J570" s="25">
        <v>-0.354839709312883</v>
      </c>
      <c r="N570" s="26"/>
    </row>
    <row r="571" spans="10:14" x14ac:dyDescent="0.25">
      <c r="J571" s="25">
        <v>-0.38396496138293201</v>
      </c>
      <c r="N571" s="26"/>
    </row>
    <row r="572" spans="10:14" x14ac:dyDescent="0.25">
      <c r="J572" s="25">
        <v>-0.47210368502882449</v>
      </c>
      <c r="N572" s="26"/>
    </row>
    <row r="573" spans="10:14" x14ac:dyDescent="0.25">
      <c r="J573" s="25">
        <v>2.3942127805144375E-2</v>
      </c>
      <c r="N573" s="26"/>
    </row>
    <row r="574" spans="10:14" x14ac:dyDescent="0.25">
      <c r="J574" s="25">
        <v>4.788197881206302E-2</v>
      </c>
      <c r="N574" s="26"/>
    </row>
    <row r="575" spans="10:14" x14ac:dyDescent="0.25">
      <c r="J575" s="25">
        <v>0.35072122569945763</v>
      </c>
      <c r="N575" s="26"/>
    </row>
    <row r="576" spans="10:14" x14ac:dyDescent="0.25">
      <c r="J576" s="25">
        <v>-0.18101521779747609</v>
      </c>
      <c r="N576" s="26"/>
    </row>
    <row r="577" spans="10:14" x14ac:dyDescent="0.25">
      <c r="J577" s="25">
        <v>0.50759094536167337</v>
      </c>
      <c r="N577" s="26"/>
    </row>
    <row r="578" spans="10:14" x14ac:dyDescent="0.25">
      <c r="J578" s="25">
        <v>7.4176439059691957E-2</v>
      </c>
      <c r="N578" s="26"/>
    </row>
    <row r="579" spans="10:14" x14ac:dyDescent="0.25">
      <c r="J579" s="25">
        <v>0.88992130338967779</v>
      </c>
      <c r="N579" s="26"/>
    </row>
    <row r="580" spans="10:14" x14ac:dyDescent="0.25">
      <c r="J580" s="25">
        <v>6.1650266093175032E-2</v>
      </c>
      <c r="N580" s="26"/>
    </row>
    <row r="581" spans="10:14" x14ac:dyDescent="0.25">
      <c r="J581" s="25">
        <v>-0.45636816794544888</v>
      </c>
      <c r="N581" s="26"/>
    </row>
    <row r="582" spans="10:14" x14ac:dyDescent="0.25">
      <c r="J582" s="25">
        <v>-4.5334446054108302E-2</v>
      </c>
      <c r="N582" s="26"/>
    </row>
    <row r="583" spans="10:14" x14ac:dyDescent="0.25">
      <c r="J583" s="25">
        <v>-0.29263885911286769</v>
      </c>
      <c r="N583" s="26"/>
    </row>
    <row r="584" spans="10:14" x14ac:dyDescent="0.25">
      <c r="J584" s="25">
        <v>-0.29429723691843823</v>
      </c>
      <c r="N584" s="26"/>
    </row>
    <row r="585" spans="10:14" x14ac:dyDescent="0.25">
      <c r="J585" s="25">
        <v>0.45185068819643859</v>
      </c>
      <c r="N585" s="26"/>
    </row>
    <row r="586" spans="10:14" x14ac:dyDescent="0.25">
      <c r="J586" s="25">
        <v>0.18378476879042016</v>
      </c>
      <c r="N586" s="26"/>
    </row>
    <row r="587" spans="10:14" x14ac:dyDescent="0.25">
      <c r="J587" s="25">
        <v>-0.40659708459249189</v>
      </c>
      <c r="N587" s="26"/>
    </row>
    <row r="588" spans="10:14" x14ac:dyDescent="0.25">
      <c r="J588" s="25">
        <v>0.10765857959087555</v>
      </c>
      <c r="N588" s="26"/>
    </row>
    <row r="589" spans="10:14" x14ac:dyDescent="0.25">
      <c r="J589" s="25">
        <v>-0.29281128201000206</v>
      </c>
      <c r="N589" s="26"/>
    </row>
    <row r="590" spans="10:14" x14ac:dyDescent="0.25">
      <c r="J590" s="25">
        <v>0.13123095999610879</v>
      </c>
      <c r="N590" s="26"/>
    </row>
    <row r="591" spans="10:14" x14ac:dyDescent="0.25">
      <c r="J591" s="25">
        <v>-1.9509510093885241E-2</v>
      </c>
      <c r="N591" s="26"/>
    </row>
    <row r="592" spans="10:14" x14ac:dyDescent="0.25">
      <c r="J592" s="25">
        <v>-3.0962304263050022E-2</v>
      </c>
      <c r="N592" s="26"/>
    </row>
    <row r="593" spans="10:14" x14ac:dyDescent="0.25">
      <c r="J593" s="25">
        <v>0.31824049323287151</v>
      </c>
      <c r="N593" s="26"/>
    </row>
    <row r="594" spans="10:14" x14ac:dyDescent="0.25">
      <c r="J594" s="25">
        <v>-0.28244920826107645</v>
      </c>
      <c r="N594" s="26"/>
    </row>
    <row r="595" spans="10:14" x14ac:dyDescent="0.25">
      <c r="J595" s="25">
        <v>7.159175612425317E-2</v>
      </c>
      <c r="N595" s="26"/>
    </row>
    <row r="596" spans="10:14" x14ac:dyDescent="0.25">
      <c r="J596" s="25">
        <v>0.41770142235190777</v>
      </c>
      <c r="N596" s="26"/>
    </row>
    <row r="597" spans="10:14" x14ac:dyDescent="0.25">
      <c r="J597" s="25">
        <v>5.1390841423440969E-2</v>
      </c>
      <c r="N597" s="26"/>
    </row>
    <row r="598" spans="10:14" x14ac:dyDescent="0.25">
      <c r="J598" s="25">
        <v>4.0505759351775028E-2</v>
      </c>
      <c r="N598" s="26"/>
    </row>
    <row r="599" spans="10:14" x14ac:dyDescent="0.25">
      <c r="J599" s="25">
        <v>0.59013134300027525</v>
      </c>
      <c r="N599" s="26"/>
    </row>
    <row r="600" spans="10:14" x14ac:dyDescent="0.25">
      <c r="J600" s="25">
        <v>0.58989547062558545</v>
      </c>
      <c r="N600" s="26"/>
    </row>
    <row r="601" spans="10:14" x14ac:dyDescent="0.25">
      <c r="J601" s="25">
        <v>0.67903830916434638</v>
      </c>
      <c r="N601" s="26"/>
    </row>
    <row r="602" spans="10:14" x14ac:dyDescent="0.25">
      <c r="J602" s="25">
        <v>0.63374681996920246</v>
      </c>
      <c r="N602" s="26"/>
    </row>
    <row r="603" spans="10:14" x14ac:dyDescent="0.25">
      <c r="J603" s="25">
        <v>-2.866368215472781E-2</v>
      </c>
      <c r="N603" s="26"/>
    </row>
    <row r="604" spans="10:14" x14ac:dyDescent="0.25">
      <c r="J604" s="25">
        <v>3.3927354041177527E-2</v>
      </c>
      <c r="N604" s="26"/>
    </row>
    <row r="605" spans="10:14" x14ac:dyDescent="0.25">
      <c r="J605" s="25">
        <v>-6.792237358781017E-2</v>
      </c>
      <c r="N605" s="26"/>
    </row>
    <row r="606" spans="10:14" x14ac:dyDescent="0.25">
      <c r="J606" s="25">
        <v>5.9756120012523839E-2</v>
      </c>
      <c r="N606" s="26"/>
    </row>
    <row r="607" spans="10:14" x14ac:dyDescent="0.25">
      <c r="J607" s="25">
        <v>0.20651254565218813</v>
      </c>
      <c r="N607" s="26"/>
    </row>
    <row r="608" spans="10:14" x14ac:dyDescent="0.25">
      <c r="J608" s="25">
        <v>0.29128136017038209</v>
      </c>
      <c r="N608" s="26"/>
    </row>
    <row r="609" spans="10:14" x14ac:dyDescent="0.25">
      <c r="J609" s="25">
        <v>-0.17064794191315724</v>
      </c>
      <c r="N609" s="26"/>
    </row>
    <row r="610" spans="10:14" x14ac:dyDescent="0.25">
      <c r="J610" s="25">
        <v>0.35644318340278947</v>
      </c>
      <c r="N610" s="26"/>
    </row>
    <row r="611" spans="10:14" x14ac:dyDescent="0.25">
      <c r="J611" s="25">
        <v>3.8445108355779745E-2</v>
      </c>
      <c r="N611" s="26"/>
    </row>
    <row r="612" spans="10:14" x14ac:dyDescent="0.25">
      <c r="J612" s="25">
        <v>0.20104632250247967</v>
      </c>
      <c r="N612" s="26"/>
    </row>
    <row r="613" spans="10:14" x14ac:dyDescent="0.25">
      <c r="J613" s="25">
        <v>0.59825417331984343</v>
      </c>
      <c r="N613" s="26"/>
    </row>
    <row r="614" spans="10:14" x14ac:dyDescent="0.25">
      <c r="J614" s="25">
        <v>0.58230977689417673</v>
      </c>
      <c r="N614" s="26"/>
    </row>
    <row r="615" spans="10:14" x14ac:dyDescent="0.25">
      <c r="J615" s="25">
        <v>-0.39840769573630908</v>
      </c>
      <c r="N615" s="26"/>
    </row>
    <row r="616" spans="10:14" x14ac:dyDescent="0.25">
      <c r="J616" s="25">
        <v>0.57989234252508193</v>
      </c>
      <c r="N616" s="26"/>
    </row>
    <row r="617" spans="10:14" x14ac:dyDescent="0.25">
      <c r="J617" s="25">
        <v>-0.3607105782183615</v>
      </c>
      <c r="N617" s="26"/>
    </row>
    <row r="618" spans="10:14" x14ac:dyDescent="0.25">
      <c r="J618" s="25">
        <v>0.14804434353683282</v>
      </c>
      <c r="N618" s="26"/>
    </row>
    <row r="619" spans="10:14" x14ac:dyDescent="0.25">
      <c r="J619" s="25">
        <v>-0.20330536663382748</v>
      </c>
      <c r="N619" s="26"/>
    </row>
    <row r="620" spans="10:14" x14ac:dyDescent="0.25">
      <c r="J620" s="25">
        <v>0.36386302546644234</v>
      </c>
      <c r="N620" s="26"/>
    </row>
    <row r="621" spans="10:14" x14ac:dyDescent="0.25">
      <c r="J621" s="25">
        <v>-0.20843395270798015</v>
      </c>
      <c r="N621" s="26"/>
    </row>
    <row r="622" spans="10:14" x14ac:dyDescent="0.25">
      <c r="J622" s="25">
        <v>7.5911298399399474E-2</v>
      </c>
      <c r="N622" s="26"/>
    </row>
    <row r="623" spans="10:14" x14ac:dyDescent="0.25">
      <c r="J623" s="25">
        <v>0.24639300690324939</v>
      </c>
      <c r="N623" s="26"/>
    </row>
    <row r="624" spans="10:14" x14ac:dyDescent="0.25">
      <c r="J624" s="25">
        <v>0.54600676269856097</v>
      </c>
      <c r="N624" s="26"/>
    </row>
    <row r="625" spans="10:14" x14ac:dyDescent="0.25">
      <c r="J625" s="25">
        <v>-6.0737933999477578E-2</v>
      </c>
      <c r="N625" s="26"/>
    </row>
    <row r="626" spans="10:14" x14ac:dyDescent="0.25">
      <c r="J626" s="25">
        <v>-6.3581766280019769E-2</v>
      </c>
      <c r="N626" s="26"/>
    </row>
    <row r="627" spans="10:14" x14ac:dyDescent="0.25">
      <c r="J627" s="25">
        <v>-0.18850202766121205</v>
      </c>
      <c r="N627" s="26"/>
    </row>
    <row r="628" spans="10:14" x14ac:dyDescent="0.25">
      <c r="J628" s="25">
        <v>-0.24056746123359718</v>
      </c>
      <c r="N628" s="26"/>
    </row>
    <row r="629" spans="10:14" x14ac:dyDescent="0.25">
      <c r="J629" s="25">
        <v>0.20684977485900857</v>
      </c>
      <c r="N629" s="26"/>
    </row>
    <row r="630" spans="10:14" x14ac:dyDescent="0.25">
      <c r="J630" s="25">
        <v>-0.20645595981148712</v>
      </c>
      <c r="N630" s="26"/>
    </row>
    <row r="631" spans="10:14" x14ac:dyDescent="0.25">
      <c r="J631" s="25">
        <v>0.56476979584052844</v>
      </c>
      <c r="N631" s="26"/>
    </row>
    <row r="632" spans="10:14" x14ac:dyDescent="0.25">
      <c r="J632" s="25">
        <v>0.46047518909200225</v>
      </c>
      <c r="N632" s="26"/>
    </row>
    <row r="633" spans="10:14" x14ac:dyDescent="0.25">
      <c r="J633" s="25">
        <v>-0.35439623019450883</v>
      </c>
      <c r="N633" s="26"/>
    </row>
    <row r="634" spans="10:14" x14ac:dyDescent="0.25">
      <c r="J634" s="25">
        <v>-9.290333418736485E-2</v>
      </c>
      <c r="N634" s="26"/>
    </row>
    <row r="635" spans="10:14" x14ac:dyDescent="0.25">
      <c r="J635" s="25">
        <v>0.61835656124053218</v>
      </c>
      <c r="N635" s="26"/>
    </row>
    <row r="636" spans="10:14" x14ac:dyDescent="0.25">
      <c r="J636" s="25">
        <v>0.63512102384747604</v>
      </c>
      <c r="N636" s="26"/>
    </row>
    <row r="637" spans="10:14" x14ac:dyDescent="0.25">
      <c r="J637" s="25">
        <v>2.3056694886165907E-2</v>
      </c>
      <c r="N637" s="26"/>
    </row>
    <row r="638" spans="10:14" x14ac:dyDescent="0.25">
      <c r="J638" s="25">
        <v>0.24479730820362167</v>
      </c>
      <c r="N638" s="26"/>
    </row>
    <row r="639" spans="10:14" x14ac:dyDescent="0.25">
      <c r="J639" s="25">
        <v>0.43888141312478179</v>
      </c>
      <c r="N639" s="26"/>
    </row>
    <row r="640" spans="10:14" x14ac:dyDescent="0.25">
      <c r="J640" s="25">
        <v>-0.23212725632675479</v>
      </c>
      <c r="N640" s="26"/>
    </row>
    <row r="641" spans="10:14" x14ac:dyDescent="0.25">
      <c r="J641" s="25">
        <v>-0.28715715288136723</v>
      </c>
      <c r="N641" s="26"/>
    </row>
    <row r="642" spans="10:14" x14ac:dyDescent="0.25">
      <c r="J642" s="25">
        <v>0.706623773979693</v>
      </c>
      <c r="N642" s="26"/>
    </row>
    <row r="643" spans="10:14" x14ac:dyDescent="0.25">
      <c r="J643" s="25">
        <v>3.1358422794144136E-2</v>
      </c>
      <c r="N643" s="26"/>
    </row>
    <row r="644" spans="10:14" x14ac:dyDescent="0.25">
      <c r="J644" s="25">
        <v>-0.17736644612774233</v>
      </c>
      <c r="N644" s="26"/>
    </row>
    <row r="645" spans="10:14" x14ac:dyDescent="0.25">
      <c r="J645" s="25">
        <v>9.9441857608071116E-2</v>
      </c>
      <c r="N645" s="26"/>
    </row>
    <row r="646" spans="10:14" x14ac:dyDescent="0.25">
      <c r="J646" s="25">
        <v>-3.2455354400242276E-2</v>
      </c>
      <c r="N646" s="26"/>
    </row>
    <row r="647" spans="10:14" x14ac:dyDescent="0.25">
      <c r="J647" s="25">
        <v>-0.47712055949165166</v>
      </c>
      <c r="N647" s="26"/>
    </row>
    <row r="648" spans="10:14" x14ac:dyDescent="0.25">
      <c r="J648" s="25">
        <v>-0.31881893725075416</v>
      </c>
      <c r="N648" s="26"/>
    </row>
    <row r="649" spans="10:14" x14ac:dyDescent="0.25">
      <c r="J649" s="25">
        <v>-0.28230460009957803</v>
      </c>
      <c r="N649" s="26"/>
    </row>
    <row r="650" spans="10:14" x14ac:dyDescent="0.25">
      <c r="J650" s="25">
        <v>2.0363280553455265E-2</v>
      </c>
      <c r="N650" s="26"/>
    </row>
    <row r="651" spans="10:14" x14ac:dyDescent="0.25">
      <c r="J651" s="25">
        <v>-6.292975349775376E-2</v>
      </c>
      <c r="N651" s="26"/>
    </row>
    <row r="652" spans="10:14" x14ac:dyDescent="0.25">
      <c r="J652" s="25">
        <v>-0.50374551072753992</v>
      </c>
      <c r="N652" s="26"/>
    </row>
    <row r="653" spans="10:14" x14ac:dyDescent="0.25">
      <c r="J653" s="25">
        <v>-1.8897714381758468E-2</v>
      </c>
      <c r="N653" s="26"/>
    </row>
    <row r="654" spans="10:14" x14ac:dyDescent="0.25">
      <c r="J654" s="25">
        <v>1.0770829063184411</v>
      </c>
      <c r="N654" s="26"/>
    </row>
    <row r="655" spans="10:14" x14ac:dyDescent="0.25">
      <c r="J655" s="25">
        <v>-2.199234862874877E-2</v>
      </c>
      <c r="N655" s="26"/>
    </row>
    <row r="656" spans="10:14" x14ac:dyDescent="0.25">
      <c r="J656" s="25">
        <v>0.55010516473524662</v>
      </c>
      <c r="N656" s="26"/>
    </row>
    <row r="657" spans="10:14" x14ac:dyDescent="0.25">
      <c r="J657" s="25">
        <v>0.42504325951376964</v>
      </c>
      <c r="N657" s="26"/>
    </row>
    <row r="658" spans="10:14" x14ac:dyDescent="0.25">
      <c r="J658" s="25">
        <v>0.66268974097953692</v>
      </c>
      <c r="N658" s="26"/>
    </row>
    <row r="659" spans="10:14" x14ac:dyDescent="0.25">
      <c r="J659" s="25">
        <v>0.8327168499290678</v>
      </c>
      <c r="N659" s="26"/>
    </row>
    <row r="660" spans="10:14" x14ac:dyDescent="0.25">
      <c r="J660" s="25">
        <v>0.1864600262699514</v>
      </c>
      <c r="N660" s="26"/>
    </row>
    <row r="661" spans="10:14" x14ac:dyDescent="0.25">
      <c r="J661" s="25">
        <v>-0.13813622789029256</v>
      </c>
      <c r="N661" s="26"/>
    </row>
    <row r="662" spans="10:14" x14ac:dyDescent="0.25">
      <c r="J662" s="25">
        <v>-0.41939129564070199</v>
      </c>
      <c r="N662" s="26"/>
    </row>
    <row r="663" spans="10:14" x14ac:dyDescent="0.25">
      <c r="J663" s="25">
        <v>-5.1204667433338735E-2</v>
      </c>
      <c r="N663" s="26"/>
    </row>
    <row r="664" spans="10:14" x14ac:dyDescent="0.25">
      <c r="J664" s="25">
        <v>-0.40785013878887943</v>
      </c>
      <c r="N664" s="26"/>
    </row>
    <row r="665" spans="10:14" x14ac:dyDescent="0.25">
      <c r="J665" s="25">
        <v>0.36213909990454529</v>
      </c>
      <c r="N665" s="26"/>
    </row>
    <row r="666" spans="10:14" x14ac:dyDescent="0.25">
      <c r="J666" s="25">
        <v>-0.51794985875526178</v>
      </c>
      <c r="N666" s="26"/>
    </row>
    <row r="667" spans="10:14" x14ac:dyDescent="0.25">
      <c r="J667" s="25">
        <v>-0.50968045950001151</v>
      </c>
      <c r="N667" s="26"/>
    </row>
    <row r="668" spans="10:14" x14ac:dyDescent="0.25">
      <c r="J668" s="25">
        <v>4.9943115153378681E-2</v>
      </c>
      <c r="N668" s="26"/>
    </row>
    <row r="669" spans="10:14" x14ac:dyDescent="0.25">
      <c r="J669" s="25">
        <v>0.91651185372320798</v>
      </c>
      <c r="N669" s="26"/>
    </row>
    <row r="670" spans="10:14" x14ac:dyDescent="0.25">
      <c r="J670" s="25">
        <v>-0.46829372607099184</v>
      </c>
      <c r="N670" s="26"/>
    </row>
    <row r="671" spans="10:14" x14ac:dyDescent="0.25">
      <c r="J671" s="25">
        <v>-0.14784817635823655</v>
      </c>
      <c r="N671" s="26"/>
    </row>
    <row r="672" spans="10:14" x14ac:dyDescent="0.25">
      <c r="J672" s="25">
        <v>0.42140010281564666</v>
      </c>
      <c r="N672" s="26"/>
    </row>
    <row r="673" spans="10:14" x14ac:dyDescent="0.25">
      <c r="J673" s="25">
        <v>-2.7984342095358938E-2</v>
      </c>
      <c r="N673" s="26"/>
    </row>
    <row r="674" spans="10:14" x14ac:dyDescent="0.25">
      <c r="J674" s="25">
        <v>-0.34786691615683718</v>
      </c>
      <c r="N674" s="26"/>
    </row>
    <row r="675" spans="10:14" x14ac:dyDescent="0.25">
      <c r="J675" s="25">
        <v>-1.7711469561262572E-2</v>
      </c>
      <c r="N675" s="26"/>
    </row>
    <row r="676" spans="10:14" x14ac:dyDescent="0.25">
      <c r="J676" s="25">
        <v>0.21502339677272886</v>
      </c>
      <c r="N676" s="26"/>
    </row>
    <row r="677" spans="10:14" x14ac:dyDescent="0.25">
      <c r="J677" s="25">
        <v>1.8099999073754036E-2</v>
      </c>
      <c r="N677" s="26"/>
    </row>
    <row r="678" spans="10:14" x14ac:dyDescent="0.25">
      <c r="J678" s="25">
        <v>-0.29796228793339019</v>
      </c>
      <c r="N678" s="26"/>
    </row>
    <row r="679" spans="10:14" x14ac:dyDescent="0.25">
      <c r="J679" s="25">
        <v>0.22147704985107408</v>
      </c>
      <c r="N679" s="26"/>
    </row>
    <row r="680" spans="10:14" x14ac:dyDescent="0.25">
      <c r="J680" s="25">
        <v>-0.11256069340548003</v>
      </c>
      <c r="N680" s="26"/>
    </row>
    <row r="681" spans="10:14" x14ac:dyDescent="0.25">
      <c r="J681" s="25">
        <v>8.2260715359812941E-2</v>
      </c>
      <c r="N681" s="26"/>
    </row>
    <row r="682" spans="10:14" x14ac:dyDescent="0.25">
      <c r="J682" s="25">
        <v>-0.28013890907874006</v>
      </c>
      <c r="N682" s="26"/>
    </row>
    <row r="683" spans="10:14" x14ac:dyDescent="0.25">
      <c r="J683" s="25">
        <v>-3.8985702660416899E-2</v>
      </c>
      <c r="N683" s="26"/>
    </row>
    <row r="684" spans="10:14" x14ac:dyDescent="0.25">
      <c r="J684" s="25">
        <v>-0.35350564762132797</v>
      </c>
      <c r="N684" s="26"/>
    </row>
    <row r="685" spans="10:14" x14ac:dyDescent="0.25">
      <c r="J685" s="25">
        <v>4.8781656240033167E-2</v>
      </c>
      <c r="N685" s="26"/>
    </row>
    <row r="686" spans="10:14" x14ac:dyDescent="0.25">
      <c r="J686" s="25">
        <v>6.5529322240429178E-2</v>
      </c>
      <c r="N686" s="26"/>
    </row>
    <row r="687" spans="10:14" x14ac:dyDescent="0.25">
      <c r="J687" s="25">
        <v>-0.49529811571079774</v>
      </c>
      <c r="N687" s="26"/>
    </row>
    <row r="688" spans="10:14" x14ac:dyDescent="0.25">
      <c r="J688" s="25">
        <v>0.36590935050979856</v>
      </c>
      <c r="N688" s="26"/>
    </row>
    <row r="689" spans="10:14" x14ac:dyDescent="0.25">
      <c r="J689" s="25">
        <v>0.55250865850727626</v>
      </c>
      <c r="N689" s="26"/>
    </row>
    <row r="690" spans="10:14" x14ac:dyDescent="0.25">
      <c r="J690" s="25">
        <v>0.87253540370260407</v>
      </c>
      <c r="N690" s="26"/>
    </row>
    <row r="691" spans="10:14" x14ac:dyDescent="0.25">
      <c r="J691" s="25">
        <v>0.66091299730235797</v>
      </c>
      <c r="N691" s="26"/>
    </row>
    <row r="692" spans="10:14" x14ac:dyDescent="0.25">
      <c r="J692" s="25">
        <v>-0.39420658151078736</v>
      </c>
      <c r="N692" s="26"/>
    </row>
    <row r="693" spans="10:14" x14ac:dyDescent="0.25">
      <c r="J693" s="25">
        <v>0.95465857332436177</v>
      </c>
      <c r="N693" s="26"/>
    </row>
    <row r="694" spans="10:14" x14ac:dyDescent="0.25">
      <c r="J694" s="25">
        <v>0.42016359406314163</v>
      </c>
      <c r="N694" s="26"/>
    </row>
    <row r="695" spans="10:14" x14ac:dyDescent="0.25">
      <c r="J695" s="25">
        <v>-0.37443378264452742</v>
      </c>
      <c r="N695" s="26"/>
    </row>
    <row r="696" spans="10:14" x14ac:dyDescent="0.25">
      <c r="J696" s="25">
        <v>0.37718342262393079</v>
      </c>
      <c r="N696" s="26"/>
    </row>
    <row r="697" spans="10:14" x14ac:dyDescent="0.25">
      <c r="J697" s="25">
        <v>2.1170890030060674E-2</v>
      </c>
      <c r="N697" s="26"/>
    </row>
    <row r="698" spans="10:14" x14ac:dyDescent="0.25">
      <c r="J698" s="25">
        <v>5.6765726026974495E-2</v>
      </c>
      <c r="N698" s="26"/>
    </row>
    <row r="699" spans="10:14" x14ac:dyDescent="0.25">
      <c r="J699" s="25">
        <v>0.2218908260630561</v>
      </c>
      <c r="N699" s="26"/>
    </row>
    <row r="700" spans="10:14" x14ac:dyDescent="0.25">
      <c r="J700" s="25">
        <v>-0.38515069317841288</v>
      </c>
      <c r="N700" s="26"/>
    </row>
    <row r="701" spans="10:14" x14ac:dyDescent="0.25">
      <c r="J701" s="25">
        <v>-2.1815778713490275E-2</v>
      </c>
      <c r="N701" s="26"/>
    </row>
    <row r="702" spans="10:14" x14ac:dyDescent="0.25">
      <c r="J702" s="25">
        <v>-0.31523913811644577</v>
      </c>
      <c r="N702" s="26"/>
    </row>
    <row r="703" spans="10:14" x14ac:dyDescent="0.25">
      <c r="J703" s="25">
        <v>-0.16812517443118191</v>
      </c>
      <c r="N703" s="26"/>
    </row>
    <row r="704" spans="10:14" x14ac:dyDescent="0.25">
      <c r="J704" s="25">
        <v>5.631789028896117E-2</v>
      </c>
      <c r="N704" s="26"/>
    </row>
    <row r="705" spans="10:14" x14ac:dyDescent="0.25">
      <c r="J705" s="25">
        <v>0.46404518543673001</v>
      </c>
      <c r="N705" s="26"/>
    </row>
    <row r="706" spans="10:14" x14ac:dyDescent="0.25">
      <c r="J706" s="25">
        <v>-3.922712486915203E-2</v>
      </c>
      <c r="N706" s="26"/>
    </row>
    <row r="707" spans="10:14" x14ac:dyDescent="0.25">
      <c r="J707" s="25">
        <v>9.3421091600452977E-2</v>
      </c>
      <c r="N707" s="26"/>
    </row>
    <row r="708" spans="10:14" x14ac:dyDescent="0.25">
      <c r="J708" s="25">
        <v>0.12475270581708808</v>
      </c>
      <c r="N708" s="26"/>
    </row>
    <row r="709" spans="10:14" x14ac:dyDescent="0.25">
      <c r="J709" s="25">
        <v>-3.1093234817762383E-2</v>
      </c>
      <c r="N709" s="26"/>
    </row>
    <row r="710" spans="10:14" x14ac:dyDescent="0.25">
      <c r="J710" s="25">
        <v>-3.2120083312312642E-2</v>
      </c>
      <c r="N710" s="26"/>
    </row>
    <row r="711" spans="10:14" x14ac:dyDescent="0.25">
      <c r="J711" s="25">
        <v>-0.19031264391978819</v>
      </c>
      <c r="N711" s="26"/>
    </row>
    <row r="712" spans="10:14" x14ac:dyDescent="0.25">
      <c r="J712" s="25">
        <v>1.0103903381171282</v>
      </c>
      <c r="N712" s="26"/>
    </row>
    <row r="713" spans="10:14" x14ac:dyDescent="0.25">
      <c r="J713" s="25">
        <v>-0.35303560829565372</v>
      </c>
      <c r="N713" s="26"/>
    </row>
    <row r="714" spans="10:14" x14ac:dyDescent="0.25">
      <c r="J714" s="25">
        <v>4.530820327084939E-2</v>
      </c>
      <c r="N714" s="26"/>
    </row>
    <row r="715" spans="10:14" x14ac:dyDescent="0.25">
      <c r="J715" s="25">
        <v>-0.10790809838818716</v>
      </c>
      <c r="N715" s="26"/>
    </row>
    <row r="716" spans="10:14" x14ac:dyDescent="0.25">
      <c r="J716" s="25">
        <v>-0.51366727366036369</v>
      </c>
      <c r="N716" s="26"/>
    </row>
    <row r="717" spans="10:14" x14ac:dyDescent="0.25">
      <c r="J717" s="25">
        <v>0.62493070729023747</v>
      </c>
      <c r="N717" s="26"/>
    </row>
    <row r="718" spans="10:14" x14ac:dyDescent="0.25">
      <c r="J718" s="25">
        <v>-0.42749526144751993</v>
      </c>
      <c r="N718" s="26"/>
    </row>
    <row r="719" spans="10:14" x14ac:dyDescent="0.25">
      <c r="J719" s="25">
        <v>-0.18442455621603171</v>
      </c>
      <c r="N719" s="26"/>
    </row>
    <row r="720" spans="10:14" x14ac:dyDescent="0.25">
      <c r="J720" s="25">
        <v>9.4973655280385705E-2</v>
      </c>
      <c r="N720" s="26"/>
    </row>
    <row r="721" spans="10:14" x14ac:dyDescent="0.25">
      <c r="J721" s="25">
        <v>-0.11455353469195406</v>
      </c>
      <c r="N721" s="26"/>
    </row>
    <row r="722" spans="10:14" x14ac:dyDescent="0.25">
      <c r="J722" s="25">
        <v>0.35107708902733625</v>
      </c>
      <c r="N722" s="26"/>
    </row>
    <row r="723" spans="10:14" x14ac:dyDescent="0.25">
      <c r="J723" s="25">
        <v>-0.1657748099778027</v>
      </c>
      <c r="N723" s="26"/>
    </row>
    <row r="724" spans="10:14" x14ac:dyDescent="0.25">
      <c r="J724" s="25">
        <v>-0.38508842982214131</v>
      </c>
      <c r="N724" s="26"/>
    </row>
    <row r="725" spans="10:14" x14ac:dyDescent="0.25">
      <c r="J725" s="25">
        <v>-0.35641457528941967</v>
      </c>
      <c r="N725" s="26"/>
    </row>
    <row r="726" spans="10:14" x14ac:dyDescent="0.25">
      <c r="J726" s="25">
        <v>2.934474155324307E-2</v>
      </c>
      <c r="N726" s="26"/>
    </row>
    <row r="727" spans="10:14" x14ac:dyDescent="0.25">
      <c r="J727" s="25">
        <v>-0.37911494228527409</v>
      </c>
      <c r="N727" s="26"/>
    </row>
    <row r="728" spans="10:14" x14ac:dyDescent="0.25">
      <c r="J728" s="25">
        <v>0.5536770484754896</v>
      </c>
      <c r="N728" s="26"/>
    </row>
    <row r="729" spans="10:14" x14ac:dyDescent="0.25">
      <c r="J729" s="25">
        <v>-0.1276976080564004</v>
      </c>
      <c r="N729" s="26"/>
    </row>
    <row r="730" spans="10:14" x14ac:dyDescent="0.25">
      <c r="J730" s="25">
        <v>5.6126009984690084E-2</v>
      </c>
      <c r="N730" s="26"/>
    </row>
    <row r="731" spans="10:14" x14ac:dyDescent="0.25">
      <c r="J731" s="25">
        <v>-0.26355698422671137</v>
      </c>
      <c r="N731" s="26"/>
    </row>
    <row r="732" spans="10:14" x14ac:dyDescent="0.25">
      <c r="J732" s="25">
        <v>0.22697039577036504</v>
      </c>
      <c r="N732" s="26"/>
    </row>
    <row r="733" spans="10:14" x14ac:dyDescent="0.25">
      <c r="J733" s="25">
        <v>-5.9163101621104497E-2</v>
      </c>
      <c r="N733" s="26"/>
    </row>
    <row r="734" spans="10:14" x14ac:dyDescent="0.25">
      <c r="J734" s="25">
        <v>0.22970577551790305</v>
      </c>
      <c r="N734" s="26"/>
    </row>
    <row r="735" spans="10:14" x14ac:dyDescent="0.25">
      <c r="J735" s="25">
        <v>0.42689451283988977</v>
      </c>
      <c r="N735" s="26"/>
    </row>
    <row r="736" spans="10:14" x14ac:dyDescent="0.25">
      <c r="J736" s="25">
        <v>0.53075079467036468</v>
      </c>
      <c r="N736" s="26"/>
    </row>
    <row r="737" spans="10:14" x14ac:dyDescent="0.25">
      <c r="J737" s="25">
        <v>0.28896209330648759</v>
      </c>
      <c r="N737" s="26"/>
    </row>
    <row r="738" spans="10:14" x14ac:dyDescent="0.25">
      <c r="J738" s="25">
        <v>2.9814957356672167E-2</v>
      </c>
      <c r="N738" s="26"/>
    </row>
    <row r="739" spans="10:14" x14ac:dyDescent="0.25">
      <c r="J739" s="25">
        <v>-0.28133329270690588</v>
      </c>
      <c r="N739" s="26"/>
    </row>
    <row r="740" spans="10:14" x14ac:dyDescent="0.25">
      <c r="J740" s="25">
        <v>-1.1067290817136533E-2</v>
      </c>
      <c r="N740" s="26"/>
    </row>
    <row r="741" spans="10:14" x14ac:dyDescent="0.25">
      <c r="J741" s="25">
        <v>-0.5346374504206568</v>
      </c>
      <c r="N741" s="26"/>
    </row>
    <row r="742" spans="10:14" x14ac:dyDescent="0.25">
      <c r="J742" s="25">
        <v>0.20283298337200595</v>
      </c>
      <c r="N742" s="26"/>
    </row>
    <row r="743" spans="10:14" x14ac:dyDescent="0.25">
      <c r="J743" s="25">
        <v>0.79916460788538535</v>
      </c>
      <c r="N743" s="26"/>
    </row>
    <row r="744" spans="10:14" x14ac:dyDescent="0.25">
      <c r="J744" s="25">
        <v>0.46255598829081235</v>
      </c>
      <c r="N744" s="26"/>
    </row>
    <row r="745" spans="10:14" x14ac:dyDescent="0.25">
      <c r="J745" s="25">
        <v>-0.52005097854088844</v>
      </c>
      <c r="N745" s="26"/>
    </row>
    <row r="746" spans="10:14" x14ac:dyDescent="0.25">
      <c r="J746" s="25">
        <v>0.26003037630508152</v>
      </c>
      <c r="N746" s="26"/>
    </row>
    <row r="747" spans="10:14" x14ac:dyDescent="0.25">
      <c r="J747" s="25">
        <v>0.65316933661426591</v>
      </c>
      <c r="N747" s="26"/>
    </row>
    <row r="748" spans="10:14" x14ac:dyDescent="0.25">
      <c r="J748" s="25">
        <v>-0.33444169576498251</v>
      </c>
      <c r="N748" s="26"/>
    </row>
    <row r="749" spans="10:14" x14ac:dyDescent="0.25">
      <c r="J749" s="25">
        <v>0.57701509945094509</v>
      </c>
      <c r="N749" s="26"/>
    </row>
    <row r="750" spans="10:14" x14ac:dyDescent="0.25">
      <c r="J750" s="25">
        <v>-0.50402754251499604</v>
      </c>
      <c r="N750" s="26"/>
    </row>
    <row r="751" spans="10:14" x14ac:dyDescent="0.25">
      <c r="J751" s="25">
        <v>0.13405181752952222</v>
      </c>
      <c r="N751" s="26"/>
    </row>
    <row r="752" spans="10:14" x14ac:dyDescent="0.25">
      <c r="J752" s="25">
        <v>0.18796214335933392</v>
      </c>
      <c r="N752" s="26"/>
    </row>
    <row r="753" spans="10:14" x14ac:dyDescent="0.25">
      <c r="J753" s="25">
        <v>-6.8159129135320407E-2</v>
      </c>
      <c r="N753" s="26"/>
    </row>
    <row r="754" spans="10:14" x14ac:dyDescent="0.25">
      <c r="J754" s="25">
        <v>-0.38357511380904019</v>
      </c>
      <c r="N754" s="26"/>
    </row>
    <row r="755" spans="10:14" x14ac:dyDescent="0.25">
      <c r="J755" s="25">
        <v>-0.13344560586451271</v>
      </c>
      <c r="N755" s="26"/>
    </row>
    <row r="756" spans="10:14" x14ac:dyDescent="0.25">
      <c r="J756" s="25">
        <v>-0.51255502176113088</v>
      </c>
      <c r="N756" s="26"/>
    </row>
    <row r="757" spans="10:14" x14ac:dyDescent="0.25">
      <c r="J757" s="25">
        <v>0.58500625333977507</v>
      </c>
      <c r="N757" s="26"/>
    </row>
    <row r="758" spans="10:14" x14ac:dyDescent="0.25">
      <c r="J758" s="25">
        <v>-8.7556563430613465E-2</v>
      </c>
      <c r="N758" s="26"/>
    </row>
    <row r="759" spans="10:14" x14ac:dyDescent="0.25">
      <c r="J759" s="25">
        <v>-0.34269119960979344</v>
      </c>
      <c r="N759" s="26"/>
    </row>
    <row r="760" spans="10:14" x14ac:dyDescent="0.25">
      <c r="J760" s="25">
        <v>-0.31547729911660505</v>
      </c>
      <c r="N760" s="26"/>
    </row>
    <row r="761" spans="10:14" x14ac:dyDescent="0.25">
      <c r="J761" s="25">
        <v>3.5460746265677301E-2</v>
      </c>
      <c r="N761" s="26"/>
    </row>
    <row r="762" spans="10:14" x14ac:dyDescent="0.25">
      <c r="J762" s="25">
        <v>-0.28926715460571006</v>
      </c>
      <c r="N762" s="26"/>
    </row>
    <row r="763" spans="10:14" x14ac:dyDescent="0.25">
      <c r="J763" s="25">
        <v>-0.36748198612815908</v>
      </c>
      <c r="N763" s="26"/>
    </row>
    <row r="764" spans="10:14" x14ac:dyDescent="0.25">
      <c r="J764" s="25">
        <v>-0.32188843113874033</v>
      </c>
      <c r="N764" s="26"/>
    </row>
    <row r="765" spans="10:14" x14ac:dyDescent="0.25">
      <c r="J765" s="25">
        <v>1.0258275511727977E-2</v>
      </c>
      <c r="N765" s="26"/>
    </row>
    <row r="766" spans="10:14" x14ac:dyDescent="0.25">
      <c r="J766" s="25">
        <v>-0.45914933725173468</v>
      </c>
      <c r="N766" s="26"/>
    </row>
    <row r="767" spans="10:14" x14ac:dyDescent="0.25">
      <c r="J767" s="25">
        <v>-0.25517822853902727</v>
      </c>
      <c r="N767" s="26"/>
    </row>
    <row r="768" spans="10:14" x14ac:dyDescent="0.25">
      <c r="J768" s="25">
        <v>0.21841418576179228</v>
      </c>
      <c r="N768" s="26"/>
    </row>
    <row r="769" spans="10:14" x14ac:dyDescent="0.25">
      <c r="J769" s="25">
        <v>-0.26609230464144495</v>
      </c>
      <c r="N769" s="26"/>
    </row>
    <row r="770" spans="10:14" x14ac:dyDescent="0.25">
      <c r="J770" s="25">
        <v>-0.25847798777412434</v>
      </c>
      <c r="N770" s="26"/>
    </row>
    <row r="771" spans="10:14" x14ac:dyDescent="0.25">
      <c r="J771" s="25">
        <v>-0.17186017872259363</v>
      </c>
      <c r="N771" s="26"/>
    </row>
    <row r="772" spans="10:14" x14ac:dyDescent="0.25">
      <c r="J772" s="25">
        <v>-5.0786812281651939E-2</v>
      </c>
      <c r="N772" s="26"/>
    </row>
    <row r="773" spans="10:14" x14ac:dyDescent="0.25">
      <c r="J773" s="25">
        <v>-2.7825907262077232E-2</v>
      </c>
      <c r="N773" s="26"/>
    </row>
    <row r="774" spans="10:14" x14ac:dyDescent="0.25">
      <c r="J774" s="25">
        <v>-0.34933805268406726</v>
      </c>
      <c r="N774" s="26"/>
    </row>
    <row r="775" spans="10:14" x14ac:dyDescent="0.25">
      <c r="J775" s="25">
        <v>-2.6844607249113972E-2</v>
      </c>
      <c r="N775" s="26"/>
    </row>
    <row r="776" spans="10:14" x14ac:dyDescent="0.25">
      <c r="J776" s="25">
        <v>0.6201797011085155</v>
      </c>
      <c r="N776" s="26"/>
    </row>
    <row r="777" spans="10:14" x14ac:dyDescent="0.25">
      <c r="J777" s="25">
        <v>0.42490690633451256</v>
      </c>
      <c r="N777" s="26"/>
    </row>
    <row r="778" spans="10:14" x14ac:dyDescent="0.25">
      <c r="J778" s="25">
        <v>0.75406953414171429</v>
      </c>
      <c r="N778" s="26"/>
    </row>
    <row r="779" spans="10:14" x14ac:dyDescent="0.25">
      <c r="J779" s="25">
        <v>-0.13003821850125041</v>
      </c>
      <c r="N779" s="26"/>
    </row>
    <row r="780" spans="10:14" x14ac:dyDescent="0.25">
      <c r="J780" s="25">
        <v>-0.23257453681363871</v>
      </c>
      <c r="N780" s="26"/>
    </row>
    <row r="781" spans="10:14" x14ac:dyDescent="0.25">
      <c r="J781" s="25">
        <v>1.914199860216903E-2</v>
      </c>
      <c r="N781" s="26"/>
    </row>
    <row r="782" spans="10:14" x14ac:dyDescent="0.25">
      <c r="J782" s="25">
        <v>-0.39573690960083063</v>
      </c>
      <c r="N782" s="26"/>
    </row>
    <row r="783" spans="10:14" x14ac:dyDescent="0.25">
      <c r="J783" s="25">
        <v>-7.524186681914613E-2</v>
      </c>
      <c r="N783" s="26"/>
    </row>
    <row r="784" spans="10:14" x14ac:dyDescent="0.25">
      <c r="J784" s="25">
        <v>0.17272249936692163</v>
      </c>
      <c r="N784" s="26"/>
    </row>
    <row r="785" spans="10:14" x14ac:dyDescent="0.25">
      <c r="J785" s="25">
        <v>0.77506762806717888</v>
      </c>
      <c r="N785" s="26"/>
    </row>
    <row r="786" spans="10:14" x14ac:dyDescent="0.25">
      <c r="J786" s="25">
        <v>-6.7116200647240554E-2</v>
      </c>
      <c r="N786" s="26"/>
    </row>
    <row r="787" spans="10:14" x14ac:dyDescent="0.25">
      <c r="J787" s="25">
        <v>-0.3644301576807556</v>
      </c>
      <c r="N787" s="26"/>
    </row>
    <row r="788" spans="10:14" x14ac:dyDescent="0.25">
      <c r="J788" s="25">
        <v>-0.24282287509237233</v>
      </c>
      <c r="N788" s="26"/>
    </row>
    <row r="789" spans="10:14" x14ac:dyDescent="0.25">
      <c r="J789" s="25">
        <v>-0.30032808338079786</v>
      </c>
      <c r="N789" s="26"/>
    </row>
    <row r="790" spans="10:14" x14ac:dyDescent="0.25">
      <c r="J790" s="25">
        <v>-4.3080212578375132E-2</v>
      </c>
      <c r="N790" s="26"/>
    </row>
    <row r="791" spans="10:14" x14ac:dyDescent="0.25">
      <c r="J791" s="25">
        <v>-0.38705128890570695</v>
      </c>
      <c r="N791" s="26"/>
    </row>
    <row r="792" spans="10:14" x14ac:dyDescent="0.25">
      <c r="J792" s="25">
        <v>-5.8703070788661438E-2</v>
      </c>
      <c r="N792" s="26"/>
    </row>
    <row r="793" spans="10:14" x14ac:dyDescent="0.25">
      <c r="J793" s="25">
        <v>0.36945175970697686</v>
      </c>
      <c r="N793" s="26"/>
    </row>
    <row r="794" spans="10:14" x14ac:dyDescent="0.25">
      <c r="J794" s="25">
        <v>0.3861816921219654</v>
      </c>
      <c r="N794" s="26"/>
    </row>
    <row r="795" spans="10:14" x14ac:dyDescent="0.25">
      <c r="J795" s="25">
        <v>-6.7311838798383761E-2</v>
      </c>
      <c r="N795" s="26"/>
    </row>
    <row r="796" spans="10:14" x14ac:dyDescent="0.25">
      <c r="J796" s="25">
        <v>-0.49393490327654632</v>
      </c>
      <c r="N796" s="26"/>
    </row>
    <row r="797" spans="10:14" x14ac:dyDescent="0.25">
      <c r="J797" s="25">
        <v>-0.43542264024140165</v>
      </c>
      <c r="N797" s="26"/>
    </row>
    <row r="798" spans="10:14" x14ac:dyDescent="0.25">
      <c r="J798" s="25">
        <v>-2.0002031262276732E-2</v>
      </c>
      <c r="N798" s="26"/>
    </row>
    <row r="799" spans="10:14" x14ac:dyDescent="0.25">
      <c r="J799" s="25">
        <v>-0.41585746505607324</v>
      </c>
      <c r="N799" s="26"/>
    </row>
    <row r="800" spans="10:14" x14ac:dyDescent="0.25">
      <c r="J800" s="25">
        <v>-7.0530148544863946E-3</v>
      </c>
      <c r="N800" s="26"/>
    </row>
    <row r="801" spans="10:14" x14ac:dyDescent="0.25">
      <c r="J801" s="25">
        <v>-0.4079768540479185</v>
      </c>
      <c r="N801" s="26"/>
    </row>
    <row r="802" spans="10:14" x14ac:dyDescent="0.25">
      <c r="J802" s="25">
        <v>0.20443092874684776</v>
      </c>
      <c r="N802" s="26"/>
    </row>
    <row r="803" spans="10:14" x14ac:dyDescent="0.25">
      <c r="J803" s="25">
        <v>0.4615726566345022</v>
      </c>
      <c r="N803" s="26"/>
    </row>
    <row r="804" spans="10:14" x14ac:dyDescent="0.25">
      <c r="J804" s="25">
        <v>5.2936152234503986E-3</v>
      </c>
      <c r="N804" s="26"/>
    </row>
    <row r="805" spans="10:14" x14ac:dyDescent="0.25">
      <c r="J805" s="25">
        <v>7.073798235306894E-2</v>
      </c>
      <c r="N805" s="26"/>
    </row>
    <row r="806" spans="10:14" x14ac:dyDescent="0.25">
      <c r="J806" s="25">
        <v>0.57760109379096947</v>
      </c>
      <c r="N806" s="26"/>
    </row>
    <row r="807" spans="10:14" x14ac:dyDescent="0.25">
      <c r="J807" s="25">
        <v>-0.15218540100228251</v>
      </c>
      <c r="N807" s="26"/>
    </row>
    <row r="808" spans="10:14" x14ac:dyDescent="0.25">
      <c r="J808" s="25">
        <v>1.1265906095523803E-2</v>
      </c>
      <c r="N808" s="26"/>
    </row>
    <row r="809" spans="10:14" x14ac:dyDescent="0.25">
      <c r="J809" s="25">
        <v>-0.11942671768107205</v>
      </c>
      <c r="N809" s="26"/>
    </row>
    <row r="810" spans="10:14" x14ac:dyDescent="0.25">
      <c r="J810" s="25">
        <v>-5.1693150962214829E-2</v>
      </c>
      <c r="N810" s="26"/>
    </row>
    <row r="811" spans="10:14" x14ac:dyDescent="0.25">
      <c r="J811" s="25">
        <v>0.2241024390006896</v>
      </c>
      <c r="N811" s="26"/>
    </row>
    <row r="812" spans="10:14" x14ac:dyDescent="0.25">
      <c r="J812" s="25">
        <v>-0.36122461972065467</v>
      </c>
      <c r="N812" s="26"/>
    </row>
    <row r="813" spans="10:14" x14ac:dyDescent="0.25">
      <c r="J813" s="25">
        <v>0.76940419387039882</v>
      </c>
      <c r="N813" s="26"/>
    </row>
    <row r="814" spans="10:14" x14ac:dyDescent="0.25">
      <c r="J814" s="25">
        <v>5.5979238076171445E-2</v>
      </c>
      <c r="N814" s="26"/>
    </row>
    <row r="815" spans="10:14" x14ac:dyDescent="0.25">
      <c r="J815" s="25">
        <v>-0.20113695577405732</v>
      </c>
      <c r="N815" s="26"/>
    </row>
    <row r="816" spans="10:14" x14ac:dyDescent="0.25">
      <c r="J816" s="25">
        <v>0.13760820966756304</v>
      </c>
      <c r="N816" s="26"/>
    </row>
    <row r="817" spans="10:14" x14ac:dyDescent="0.25">
      <c r="J817" s="25">
        <v>-0.4385769039377343</v>
      </c>
      <c r="N817" s="26"/>
    </row>
    <row r="818" spans="10:14" x14ac:dyDescent="0.25">
      <c r="J818" s="25">
        <v>0.6222150117596752</v>
      </c>
      <c r="N818" s="26"/>
    </row>
    <row r="819" spans="10:14" x14ac:dyDescent="0.25">
      <c r="J819" s="25">
        <v>0.65360519982547349</v>
      </c>
      <c r="N819" s="26"/>
    </row>
    <row r="820" spans="10:14" x14ac:dyDescent="0.25">
      <c r="J820" s="25">
        <v>-4.8385122023741012E-2</v>
      </c>
      <c r="N820" s="26"/>
    </row>
    <row r="821" spans="10:14" x14ac:dyDescent="0.25">
      <c r="J821" s="25">
        <v>-0.12242642082797706</v>
      </c>
      <c r="N821" s="26"/>
    </row>
    <row r="822" spans="10:14" x14ac:dyDescent="0.25">
      <c r="J822" s="25">
        <v>-0.42553558279157344</v>
      </c>
      <c r="N822" s="26"/>
    </row>
    <row r="823" spans="10:14" x14ac:dyDescent="0.25">
      <c r="J823" s="25">
        <v>-0.31138783237389622</v>
      </c>
      <c r="N823" s="26"/>
    </row>
    <row r="824" spans="10:14" x14ac:dyDescent="0.25">
      <c r="J824" s="25">
        <v>-0.47823104568894526</v>
      </c>
      <c r="N824" s="26"/>
    </row>
    <row r="825" spans="10:14" x14ac:dyDescent="0.25">
      <c r="J825" s="25">
        <v>-5.1615382778868013E-2</v>
      </c>
      <c r="N825" s="26"/>
    </row>
    <row r="826" spans="10:14" x14ac:dyDescent="0.25">
      <c r="J826" s="25">
        <v>-0.17175912589139386</v>
      </c>
      <c r="N826" s="26"/>
    </row>
    <row r="827" spans="10:14" x14ac:dyDescent="0.25">
      <c r="J827" s="25">
        <v>-0.13140564897124041</v>
      </c>
      <c r="N827" s="26"/>
    </row>
    <row r="828" spans="10:14" x14ac:dyDescent="0.25">
      <c r="J828" s="25">
        <v>6.9903030745473993E-2</v>
      </c>
      <c r="N828" s="26"/>
    </row>
    <row r="829" spans="10:14" x14ac:dyDescent="0.25">
      <c r="J829" s="25">
        <v>-3.8141831794478276E-2</v>
      </c>
      <c r="N829" s="26"/>
    </row>
    <row r="830" spans="10:14" x14ac:dyDescent="0.25">
      <c r="J830" s="25">
        <v>2.1531792336998645E-2</v>
      </c>
      <c r="N830" s="26"/>
    </row>
    <row r="831" spans="10:14" x14ac:dyDescent="0.25">
      <c r="J831" s="25">
        <v>4.5021091782307954E-2</v>
      </c>
      <c r="N831" s="26"/>
    </row>
    <row r="832" spans="10:14" x14ac:dyDescent="0.25">
      <c r="J832" s="25">
        <v>0.4468750087997766</v>
      </c>
      <c r="N832" s="26"/>
    </row>
    <row r="833" spans="10:14" x14ac:dyDescent="0.25">
      <c r="J833" s="25">
        <v>-0.17231311792717752</v>
      </c>
      <c r="N833" s="26"/>
    </row>
    <row r="834" spans="10:14" x14ac:dyDescent="0.25">
      <c r="J834" s="25">
        <v>-0.11179138971362146</v>
      </c>
      <c r="N834" s="26"/>
    </row>
    <row r="835" spans="10:14" x14ac:dyDescent="0.25">
      <c r="J835" s="25">
        <v>0.12381459992852051</v>
      </c>
      <c r="N835" s="26"/>
    </row>
    <row r="836" spans="10:14" x14ac:dyDescent="0.25">
      <c r="J836" s="25">
        <v>-1.8933494050287214E-2</v>
      </c>
      <c r="N836" s="26"/>
    </row>
    <row r="837" spans="10:14" x14ac:dyDescent="0.25">
      <c r="J837" s="25">
        <v>0.84488906674840303</v>
      </c>
      <c r="N837" s="26"/>
    </row>
    <row r="838" spans="10:14" x14ac:dyDescent="0.25">
      <c r="J838" s="25">
        <v>-0.3930874706389299</v>
      </c>
      <c r="N838" s="26"/>
    </row>
    <row r="839" spans="10:14" x14ac:dyDescent="0.25">
      <c r="J839" s="25">
        <v>3.4938642005967857E-2</v>
      </c>
      <c r="N839" s="26"/>
    </row>
    <row r="840" spans="10:14" x14ac:dyDescent="0.25">
      <c r="J840" s="25">
        <v>6.1403207791752568E-3</v>
      </c>
      <c r="N840" s="26"/>
    </row>
    <row r="841" spans="10:14" x14ac:dyDescent="0.25">
      <c r="J841" s="25">
        <v>3.4756695198116194E-2</v>
      </c>
      <c r="N841" s="26"/>
    </row>
    <row r="842" spans="10:14" x14ac:dyDescent="0.25">
      <c r="J842" s="25">
        <v>3.8026302177702309E-2</v>
      </c>
      <c r="N842" s="26"/>
    </row>
    <row r="843" spans="10:14" x14ac:dyDescent="0.25">
      <c r="J843" s="25">
        <v>-0.13332320665310449</v>
      </c>
      <c r="N843" s="26"/>
    </row>
    <row r="844" spans="10:14" x14ac:dyDescent="0.25">
      <c r="J844" s="25">
        <v>0.87588602370580459</v>
      </c>
      <c r="N844" s="26"/>
    </row>
    <row r="845" spans="10:14" x14ac:dyDescent="0.25">
      <c r="J845" s="25">
        <v>2.2837805650999909E-2</v>
      </c>
      <c r="N845" s="26"/>
    </row>
    <row r="846" spans="10:14" x14ac:dyDescent="0.25">
      <c r="J846" s="25">
        <v>-0.30006904300183856</v>
      </c>
      <c r="N846" s="26"/>
    </row>
    <row r="847" spans="10:14" x14ac:dyDescent="0.25">
      <c r="J847" s="25">
        <v>0.56858297514049183</v>
      </c>
      <c r="N847" s="26"/>
    </row>
    <row r="848" spans="10:14" x14ac:dyDescent="0.25">
      <c r="J848" s="25">
        <v>0.79886424884595653</v>
      </c>
      <c r="N848" s="26"/>
    </row>
    <row r="849" spans="10:14" x14ac:dyDescent="0.25">
      <c r="J849" s="25">
        <v>0.51241143141539403</v>
      </c>
      <c r="N849" s="26"/>
    </row>
    <row r="850" spans="10:14" x14ac:dyDescent="0.25">
      <c r="J850" s="25">
        <v>-0.11539982404661797</v>
      </c>
      <c r="N850" s="26"/>
    </row>
    <row r="851" spans="10:14" x14ac:dyDescent="0.25">
      <c r="J851" s="25">
        <v>-0.3486128367397151</v>
      </c>
      <c r="N851" s="26"/>
    </row>
    <row r="852" spans="10:14" x14ac:dyDescent="0.25">
      <c r="J852" s="25">
        <v>0.85339175200927464</v>
      </c>
      <c r="N852" s="26"/>
    </row>
    <row r="853" spans="10:14" x14ac:dyDescent="0.25">
      <c r="J853" s="25">
        <v>0.28046819328709205</v>
      </c>
      <c r="N853" s="26"/>
    </row>
    <row r="854" spans="10:14" x14ac:dyDescent="0.25">
      <c r="J854" s="25">
        <v>-1.2928731979468977E-2</v>
      </c>
      <c r="N854" s="26"/>
    </row>
    <row r="855" spans="10:14" x14ac:dyDescent="0.25">
      <c r="J855" s="25">
        <v>0.73879855953238449</v>
      </c>
      <c r="N855" s="26"/>
    </row>
    <row r="856" spans="10:14" x14ac:dyDescent="0.25">
      <c r="J856" s="25">
        <v>-0.40388549873522805</v>
      </c>
      <c r="N856" s="26"/>
    </row>
    <row r="857" spans="10:14" x14ac:dyDescent="0.25">
      <c r="J857" s="25">
        <v>-0.40318126314068869</v>
      </c>
      <c r="N857" s="26"/>
    </row>
    <row r="858" spans="10:14" x14ac:dyDescent="0.25">
      <c r="J858" s="25">
        <v>0.55048394745521212</v>
      </c>
      <c r="N858" s="26"/>
    </row>
    <row r="859" spans="10:14" x14ac:dyDescent="0.25">
      <c r="J859" s="25">
        <v>-0.3545140751779936</v>
      </c>
      <c r="N859" s="26"/>
    </row>
    <row r="860" spans="10:14" x14ac:dyDescent="0.25">
      <c r="J860" s="25">
        <v>0.1664085748452675</v>
      </c>
      <c r="N860" s="26"/>
    </row>
    <row r="861" spans="10:14" x14ac:dyDescent="0.25">
      <c r="J861" s="25">
        <v>-0.22541703741662111</v>
      </c>
      <c r="N861" s="26"/>
    </row>
    <row r="862" spans="10:14" x14ac:dyDescent="0.25">
      <c r="J862" s="25">
        <v>-0.12517379319693844</v>
      </c>
      <c r="N862" s="26"/>
    </row>
    <row r="863" spans="10:14" x14ac:dyDescent="0.25">
      <c r="J863" s="25">
        <v>0.5397072565946972</v>
      </c>
      <c r="N863" s="26"/>
    </row>
    <row r="864" spans="10:14" x14ac:dyDescent="0.25">
      <c r="J864" s="25">
        <v>-1.7036305406585961E-2</v>
      </c>
      <c r="N864" s="26"/>
    </row>
    <row r="865" spans="10:14" x14ac:dyDescent="0.25">
      <c r="J865" s="25">
        <v>0.16898793110241317</v>
      </c>
      <c r="N865" s="26"/>
    </row>
    <row r="866" spans="10:14" x14ac:dyDescent="0.25">
      <c r="J866" s="25">
        <v>0.806775604368837</v>
      </c>
      <c r="N866" s="26"/>
    </row>
    <row r="867" spans="10:14" x14ac:dyDescent="0.25">
      <c r="J867" s="25">
        <v>0.25753491924769412</v>
      </c>
      <c r="N867" s="26"/>
    </row>
    <row r="868" spans="10:14" x14ac:dyDescent="0.25">
      <c r="J868" s="25">
        <v>0.73346525832635057</v>
      </c>
      <c r="N868" s="26"/>
    </row>
    <row r="869" spans="10:14" x14ac:dyDescent="0.25">
      <c r="J869" s="25">
        <v>-0.16810878568829302</v>
      </c>
      <c r="N869" s="26"/>
    </row>
    <row r="870" spans="10:14" x14ac:dyDescent="0.25">
      <c r="J870" s="25">
        <v>-0.14370720631725209</v>
      </c>
      <c r="N870" s="26"/>
    </row>
    <row r="871" spans="10:14" x14ac:dyDescent="0.25">
      <c r="J871" s="25">
        <v>-0.40050833189763924</v>
      </c>
      <c r="N871" s="26"/>
    </row>
    <row r="872" spans="10:14" x14ac:dyDescent="0.25">
      <c r="J872" s="25">
        <v>-0.28324491202344815</v>
      </c>
      <c r="N872" s="26"/>
    </row>
    <row r="873" spans="10:14" x14ac:dyDescent="0.25">
      <c r="J873" s="25">
        <v>-9.3415564843683407E-2</v>
      </c>
      <c r="N873" s="26"/>
    </row>
    <row r="874" spans="10:14" x14ac:dyDescent="0.25">
      <c r="J874" s="25">
        <v>1.0302771404386415</v>
      </c>
      <c r="N874" s="26"/>
    </row>
    <row r="875" spans="10:14" x14ac:dyDescent="0.25">
      <c r="J875" s="25">
        <v>-2.7446911856592315E-2</v>
      </c>
      <c r="N875" s="26"/>
    </row>
    <row r="876" spans="10:14" x14ac:dyDescent="0.25">
      <c r="J876" s="25">
        <v>-2.5839907927307615E-2</v>
      </c>
      <c r="N876" s="26"/>
    </row>
    <row r="877" spans="10:14" x14ac:dyDescent="0.25">
      <c r="J877" s="25">
        <v>0.43119016706926749</v>
      </c>
      <c r="N877" s="26"/>
    </row>
    <row r="878" spans="10:14" x14ac:dyDescent="0.25">
      <c r="J878" s="25">
        <v>0.72191235130743681</v>
      </c>
      <c r="N878" s="26"/>
    </row>
    <row r="879" spans="10:14" x14ac:dyDescent="0.25">
      <c r="J879" s="25">
        <v>-0.40994709562633702</v>
      </c>
      <c r="N879" s="26"/>
    </row>
    <row r="880" spans="10:14" x14ac:dyDescent="0.25">
      <c r="J880" s="25">
        <v>-0.24779235571996983</v>
      </c>
      <c r="N880" s="26"/>
    </row>
    <row r="881" spans="10:14" x14ac:dyDescent="0.25">
      <c r="J881" s="25">
        <v>0.55724274837540699</v>
      </c>
      <c r="N881" s="26"/>
    </row>
    <row r="882" spans="10:14" x14ac:dyDescent="0.25">
      <c r="J882" s="25">
        <v>5.6146725356218452E-2</v>
      </c>
      <c r="N882" s="26"/>
    </row>
    <row r="883" spans="10:14" x14ac:dyDescent="0.25">
      <c r="J883" s="25">
        <v>-3.9540448182059373E-2</v>
      </c>
      <c r="N883" s="26"/>
    </row>
    <row r="884" spans="10:14" x14ac:dyDescent="0.25">
      <c r="J884" s="25">
        <v>0.94988003444353319</v>
      </c>
      <c r="N884" s="26"/>
    </row>
    <row r="885" spans="10:14" x14ac:dyDescent="0.25">
      <c r="J885" s="25">
        <v>-0.12233665966622298</v>
      </c>
      <c r="N885" s="26"/>
    </row>
    <row r="886" spans="10:14" x14ac:dyDescent="0.25">
      <c r="J886" s="25">
        <v>0.62369184440674941</v>
      </c>
      <c r="N886" s="26"/>
    </row>
    <row r="887" spans="10:14" x14ac:dyDescent="0.25">
      <c r="J887" s="25">
        <v>-6.6623960970119023E-2</v>
      </c>
      <c r="N887" s="26"/>
    </row>
    <row r="888" spans="10:14" x14ac:dyDescent="0.25">
      <c r="J888" s="25">
        <v>0.59053198787049621</v>
      </c>
      <c r="N888" s="26"/>
    </row>
    <row r="889" spans="10:14" x14ac:dyDescent="0.25">
      <c r="J889" s="25">
        <v>-7.5769338843674539E-2</v>
      </c>
      <c r="N889" s="26"/>
    </row>
    <row r="890" spans="10:14" x14ac:dyDescent="0.25">
      <c r="J890" s="25">
        <v>9.2826827179327998E-2</v>
      </c>
      <c r="N890" s="26"/>
    </row>
    <row r="891" spans="10:14" x14ac:dyDescent="0.25">
      <c r="J891" s="25">
        <v>-3.8328419204127662E-2</v>
      </c>
      <c r="N891" s="26"/>
    </row>
    <row r="892" spans="10:14" x14ac:dyDescent="0.25">
      <c r="J892" s="25">
        <v>-0.15537226309662311</v>
      </c>
      <c r="N892" s="26"/>
    </row>
    <row r="893" spans="10:14" x14ac:dyDescent="0.25">
      <c r="J893" s="25">
        <v>-0.23013143978524964</v>
      </c>
      <c r="N893" s="26"/>
    </row>
    <row r="894" spans="10:14" x14ac:dyDescent="0.25">
      <c r="J894" s="25">
        <v>-0.50615080546161417</v>
      </c>
      <c r="N894" s="26"/>
    </row>
    <row r="895" spans="10:14" x14ac:dyDescent="0.25">
      <c r="J895" s="25">
        <v>6.2392258201557915E-3</v>
      </c>
      <c r="N895" s="26"/>
    </row>
    <row r="896" spans="10:14" x14ac:dyDescent="0.25">
      <c r="J896" s="25">
        <v>-6.3939857448204407E-2</v>
      </c>
      <c r="N896" s="26"/>
    </row>
    <row r="897" spans="10:14" x14ac:dyDescent="0.25">
      <c r="J897" s="25">
        <v>0.16349067224028291</v>
      </c>
      <c r="N897" s="26"/>
    </row>
    <row r="898" spans="10:14" x14ac:dyDescent="0.25">
      <c r="J898" s="25">
        <v>0.19894615303560603</v>
      </c>
      <c r="N898" s="26"/>
    </row>
    <row r="899" spans="10:14" x14ac:dyDescent="0.25">
      <c r="J899" s="25">
        <v>-0.34370291084327709</v>
      </c>
      <c r="N899" s="26"/>
    </row>
    <row r="900" spans="10:14" x14ac:dyDescent="0.25">
      <c r="J900" s="25">
        <v>-0.1619735191892927</v>
      </c>
      <c r="N900" s="26"/>
    </row>
    <row r="901" spans="10:14" x14ac:dyDescent="0.25">
      <c r="J901" s="25">
        <v>-0.26842058164637295</v>
      </c>
      <c r="N901" s="26"/>
    </row>
    <row r="902" spans="10:14" x14ac:dyDescent="0.25">
      <c r="J902" s="25">
        <v>-0.40868081179510485</v>
      </c>
      <c r="N902" s="26"/>
    </row>
    <row r="903" spans="10:14" x14ac:dyDescent="0.25">
      <c r="J903" s="25">
        <v>8.4146587689966079E-2</v>
      </c>
      <c r="N903" s="26"/>
    </row>
    <row r="904" spans="10:14" x14ac:dyDescent="0.25">
      <c r="J904" s="25">
        <v>4.8001204139390685E-2</v>
      </c>
      <c r="N904" s="26"/>
    </row>
    <row r="905" spans="10:14" x14ac:dyDescent="0.25">
      <c r="J905" s="25">
        <v>0.71644062234755168</v>
      </c>
      <c r="N905" s="26"/>
    </row>
    <row r="906" spans="10:14" x14ac:dyDescent="0.25">
      <c r="J906" s="25">
        <v>0.4967916231320848</v>
      </c>
      <c r="N906" s="26"/>
    </row>
    <row r="907" spans="10:14" x14ac:dyDescent="0.25">
      <c r="J907" s="25">
        <v>-0.19868489137263579</v>
      </c>
      <c r="N907" s="26"/>
    </row>
    <row r="908" spans="10:14" x14ac:dyDescent="0.25">
      <c r="J908" s="25">
        <v>-0.11530566607916959</v>
      </c>
      <c r="N908" s="26"/>
    </row>
    <row r="909" spans="10:14" x14ac:dyDescent="0.25">
      <c r="J909" s="25">
        <v>0.50925974958067521</v>
      </c>
      <c r="N909" s="26"/>
    </row>
    <row r="910" spans="10:14" x14ac:dyDescent="0.25">
      <c r="J910" s="25">
        <v>-0.37935515613069459</v>
      </c>
      <c r="N910" s="26"/>
    </row>
    <row r="911" spans="10:14" x14ac:dyDescent="0.25">
      <c r="J911" s="25">
        <v>0.22735228437580401</v>
      </c>
      <c r="N911" s="26"/>
    </row>
    <row r="912" spans="10:14" x14ac:dyDescent="0.25">
      <c r="J912" s="25">
        <v>-0.15941474687995094</v>
      </c>
      <c r="N912" s="26"/>
    </row>
    <row r="913" spans="10:14" x14ac:dyDescent="0.25">
      <c r="J913" s="25">
        <v>-0.1869793568386604</v>
      </c>
      <c r="N913" s="26"/>
    </row>
    <row r="914" spans="10:14" x14ac:dyDescent="0.25">
      <c r="J914" s="25">
        <v>3.7803346398749049E-2</v>
      </c>
      <c r="N914" s="26"/>
    </row>
    <row r="915" spans="10:14" x14ac:dyDescent="0.25">
      <c r="J915" s="25">
        <v>-4.5464916887336337E-2</v>
      </c>
      <c r="N915" s="26"/>
    </row>
    <row r="916" spans="10:14" x14ac:dyDescent="0.25">
      <c r="J916" s="25">
        <v>0.54027311090012531</v>
      </c>
      <c r="N916" s="26"/>
    </row>
    <row r="917" spans="10:14" x14ac:dyDescent="0.25">
      <c r="J917" s="25">
        <v>-0.28224162901685335</v>
      </c>
      <c r="N917" s="26"/>
    </row>
    <row r="918" spans="10:14" x14ac:dyDescent="0.25">
      <c r="J918" s="25">
        <v>0.26798264376065317</v>
      </c>
      <c r="N918" s="26"/>
    </row>
    <row r="919" spans="10:14" x14ac:dyDescent="0.25">
      <c r="J919" s="25">
        <v>-0.40396885493991075</v>
      </c>
      <c r="N919" s="26"/>
    </row>
    <row r="920" spans="10:14" x14ac:dyDescent="0.25">
      <c r="J920" s="25">
        <v>-0.48790063087988511</v>
      </c>
      <c r="N920" s="26"/>
    </row>
    <row r="921" spans="10:14" x14ac:dyDescent="0.25">
      <c r="J921" s="25">
        <v>0.35375178817371555</v>
      </c>
      <c r="N921" s="26"/>
    </row>
    <row r="922" spans="10:14" x14ac:dyDescent="0.25">
      <c r="J922" s="25">
        <v>0.42787593866816054</v>
      </c>
      <c r="N922" s="26"/>
    </row>
    <row r="923" spans="10:14" x14ac:dyDescent="0.25">
      <c r="J923" s="25">
        <v>-0.43082805935950097</v>
      </c>
      <c r="N923" s="26"/>
    </row>
    <row r="924" spans="10:14" x14ac:dyDescent="0.25">
      <c r="J924" s="25">
        <v>0.23021227983469328</v>
      </c>
      <c r="N924" s="26"/>
    </row>
    <row r="925" spans="10:14" x14ac:dyDescent="0.25">
      <c r="J925" s="25">
        <v>0.17442579900850586</v>
      </c>
      <c r="N925" s="26"/>
    </row>
    <row r="926" spans="10:14" x14ac:dyDescent="0.25">
      <c r="J926" s="25">
        <v>0.20353447415278136</v>
      </c>
      <c r="N926" s="26"/>
    </row>
    <row r="927" spans="10:14" x14ac:dyDescent="0.25">
      <c r="J927" s="25">
        <v>8.0597392407744328E-2</v>
      </c>
      <c r="N927" s="26"/>
    </row>
    <row r="928" spans="10:14" x14ac:dyDescent="0.25">
      <c r="J928" s="25">
        <v>-0.36585952223986051</v>
      </c>
      <c r="N928" s="26"/>
    </row>
    <row r="929" spans="10:14" x14ac:dyDescent="0.25">
      <c r="J929" s="25">
        <v>0.36045227058352203</v>
      </c>
      <c r="N929" s="26"/>
    </row>
    <row r="930" spans="10:14" x14ac:dyDescent="0.25">
      <c r="J930" s="25">
        <v>-0.24998765015632363</v>
      </c>
      <c r="N930" s="26"/>
    </row>
    <row r="931" spans="10:14" x14ac:dyDescent="0.25">
      <c r="J931" s="25">
        <v>-0.2722978453563164</v>
      </c>
      <c r="N931" s="26"/>
    </row>
    <row r="932" spans="10:14" x14ac:dyDescent="0.25">
      <c r="J932" s="25">
        <v>0.5226449909136377</v>
      </c>
      <c r="N932" s="26"/>
    </row>
    <row r="933" spans="10:14" x14ac:dyDescent="0.25">
      <c r="J933" s="25">
        <v>-0.38850965067442211</v>
      </c>
      <c r="N933" s="26"/>
    </row>
    <row r="934" spans="10:14" x14ac:dyDescent="0.25">
      <c r="J934" s="25">
        <v>-0.27609612767854408</v>
      </c>
      <c r="N934" s="26"/>
    </row>
    <row r="935" spans="10:14" x14ac:dyDescent="0.25">
      <c r="J935" s="25">
        <v>0.34610146004090159</v>
      </c>
      <c r="N935" s="26"/>
    </row>
    <row r="936" spans="10:14" x14ac:dyDescent="0.25">
      <c r="J936" s="25">
        <v>-1.489144200861181E-2</v>
      </c>
      <c r="N936" s="26"/>
    </row>
    <row r="937" spans="10:14" x14ac:dyDescent="0.25">
      <c r="J937" s="25">
        <v>-7.1765976886888683E-2</v>
      </c>
      <c r="N937" s="26"/>
    </row>
    <row r="938" spans="10:14" x14ac:dyDescent="0.25">
      <c r="J938" s="25">
        <v>0.1956244016360591</v>
      </c>
      <c r="N938" s="26"/>
    </row>
    <row r="939" spans="10:14" x14ac:dyDescent="0.25">
      <c r="J939" s="25">
        <v>0.18309903355643042</v>
      </c>
      <c r="N939" s="26"/>
    </row>
    <row r="940" spans="10:14" x14ac:dyDescent="0.25">
      <c r="J940" s="25">
        <v>0.57432052181483817</v>
      </c>
      <c r="N940" s="26"/>
    </row>
    <row r="941" spans="10:14" x14ac:dyDescent="0.25">
      <c r="J941" s="25">
        <v>0.9855184414824536</v>
      </c>
      <c r="N941" s="26"/>
    </row>
    <row r="942" spans="10:14" x14ac:dyDescent="0.25">
      <c r="J942" s="25">
        <v>-0.36925357600692743</v>
      </c>
      <c r="N942" s="26"/>
    </row>
    <row r="943" spans="10:14" x14ac:dyDescent="0.25">
      <c r="J943" s="25">
        <v>0.61229828585902357</v>
      </c>
      <c r="N943" s="26"/>
    </row>
    <row r="944" spans="10:14" x14ac:dyDescent="0.25">
      <c r="J944" s="25">
        <v>-0.21125777897807607</v>
      </c>
      <c r="N944" s="26"/>
    </row>
    <row r="945" spans="10:14" x14ac:dyDescent="0.25">
      <c r="J945" s="25">
        <v>0.40867173411296909</v>
      </c>
      <c r="N945" s="26"/>
    </row>
    <row r="946" spans="10:14" x14ac:dyDescent="0.25">
      <c r="J946" s="25">
        <v>-0.2004300133756225</v>
      </c>
      <c r="N946" s="26"/>
    </row>
    <row r="947" spans="10:14" x14ac:dyDescent="0.25">
      <c r="J947" s="25">
        <v>-0.15231775018574378</v>
      </c>
      <c r="N947" s="26"/>
    </row>
    <row r="948" spans="10:14" x14ac:dyDescent="0.25">
      <c r="J948" s="25">
        <v>-0.36502965379273755</v>
      </c>
      <c r="N948" s="26"/>
    </row>
    <row r="949" spans="10:14" x14ac:dyDescent="0.25">
      <c r="J949" s="25">
        <v>-0.37864991033186723</v>
      </c>
      <c r="N949" s="26"/>
    </row>
    <row r="950" spans="10:14" x14ac:dyDescent="0.25">
      <c r="J950" s="25">
        <v>-0.4727338752127237</v>
      </c>
      <c r="N950" s="26"/>
    </row>
    <row r="951" spans="10:14" x14ac:dyDescent="0.25">
      <c r="J951" s="25">
        <v>-0.23439279926693435</v>
      </c>
      <c r="N951" s="26"/>
    </row>
    <row r="952" spans="10:14" x14ac:dyDescent="0.25">
      <c r="J952" s="25">
        <v>0.22880962232486302</v>
      </c>
      <c r="N952" s="26"/>
    </row>
    <row r="953" spans="10:14" x14ac:dyDescent="0.25">
      <c r="J953" s="25">
        <v>0.45250081127535857</v>
      </c>
      <c r="N953" s="26"/>
    </row>
    <row r="954" spans="10:14" x14ac:dyDescent="0.25">
      <c r="J954" s="25">
        <v>-0.17714471084270855</v>
      </c>
      <c r="N954" s="26"/>
    </row>
    <row r="955" spans="10:14" x14ac:dyDescent="0.25">
      <c r="J955" s="25">
        <v>-0.17194971988345986</v>
      </c>
      <c r="N955" s="26"/>
    </row>
    <row r="956" spans="10:14" x14ac:dyDescent="0.25">
      <c r="J956" s="25">
        <v>-0.49086470592737563</v>
      </c>
      <c r="N956" s="26"/>
    </row>
    <row r="957" spans="10:14" x14ac:dyDescent="0.25">
      <c r="J957" s="25">
        <v>8.683043587395245E-3</v>
      </c>
      <c r="N957" s="26"/>
    </row>
    <row r="958" spans="10:14" x14ac:dyDescent="0.25">
      <c r="J958" s="25">
        <v>-4.0019595319103485E-2</v>
      </c>
      <c r="N958" s="26"/>
    </row>
    <row r="959" spans="10:14" x14ac:dyDescent="0.25">
      <c r="J959" s="25">
        <v>0.74878385506577039</v>
      </c>
      <c r="N959" s="26"/>
    </row>
    <row r="960" spans="10:14" x14ac:dyDescent="0.25">
      <c r="J960" s="25">
        <v>2.9750428831164299E-2</v>
      </c>
      <c r="N960" s="26"/>
    </row>
    <row r="961" spans="10:14" x14ac:dyDescent="0.25">
      <c r="J961" s="25">
        <v>0.33406813913379896</v>
      </c>
      <c r="N961" s="26"/>
    </row>
    <row r="962" spans="10:14" x14ac:dyDescent="0.25">
      <c r="J962" s="25">
        <v>7.7528026923726179E-2</v>
      </c>
      <c r="N962" s="26"/>
    </row>
    <row r="963" spans="10:14" x14ac:dyDescent="0.25">
      <c r="J963" s="25">
        <v>-0.17359758531990488</v>
      </c>
      <c r="N963" s="26"/>
    </row>
    <row r="964" spans="10:14" x14ac:dyDescent="0.25">
      <c r="J964" s="25">
        <v>0.22516774453674304</v>
      </c>
      <c r="N964" s="26"/>
    </row>
    <row r="965" spans="10:14" x14ac:dyDescent="0.25">
      <c r="J965" s="25">
        <v>0.22800163186990807</v>
      </c>
      <c r="N965" s="26"/>
    </row>
    <row r="966" spans="10:14" x14ac:dyDescent="0.25">
      <c r="J966" s="25">
        <v>7.3025482698616084E-2</v>
      </c>
      <c r="N966" s="26"/>
    </row>
    <row r="967" spans="10:14" x14ac:dyDescent="0.25">
      <c r="J967" s="25">
        <v>0.55538436931154456</v>
      </c>
      <c r="N967" s="26"/>
    </row>
    <row r="968" spans="10:14" x14ac:dyDescent="0.25">
      <c r="J968" s="25">
        <v>0.34074899443485474</v>
      </c>
      <c r="N968" s="26"/>
    </row>
    <row r="969" spans="10:14" x14ac:dyDescent="0.25">
      <c r="J969" s="25">
        <v>0.45749105697563541</v>
      </c>
      <c r="N969" s="26"/>
    </row>
    <row r="970" spans="10:14" x14ac:dyDescent="0.25">
      <c r="J970" s="25">
        <v>0.51886440887861562</v>
      </c>
      <c r="N970" s="26"/>
    </row>
    <row r="971" spans="10:14" x14ac:dyDescent="0.25">
      <c r="J971" s="25">
        <v>-0.2454584052430363</v>
      </c>
      <c r="N971" s="26"/>
    </row>
    <row r="972" spans="10:14" x14ac:dyDescent="0.25">
      <c r="J972" s="25">
        <v>-0.19203729739898701</v>
      </c>
      <c r="N972" s="26"/>
    </row>
    <row r="973" spans="10:14" x14ac:dyDescent="0.25">
      <c r="J973" s="25">
        <v>-0.36107119826688694</v>
      </c>
      <c r="N973" s="26"/>
    </row>
    <row r="974" spans="10:14" x14ac:dyDescent="0.25">
      <c r="J974" s="25">
        <v>6.6546707830539287E-2</v>
      </c>
      <c r="N974" s="26"/>
    </row>
    <row r="975" spans="10:14" x14ac:dyDescent="0.25">
      <c r="J975" s="25">
        <v>-0.208909670474558</v>
      </c>
      <c r="N975" s="26"/>
    </row>
    <row r="976" spans="10:14" x14ac:dyDescent="0.25">
      <c r="J976" s="25">
        <v>0.92048489843108494</v>
      </c>
      <c r="N976" s="26"/>
    </row>
    <row r="977" spans="10:14" x14ac:dyDescent="0.25">
      <c r="J977" s="25">
        <v>-0.33724683392689658</v>
      </c>
      <c r="N977" s="26"/>
    </row>
    <row r="978" spans="10:14" x14ac:dyDescent="0.25">
      <c r="J978" s="25">
        <v>8.6515113685945E-2</v>
      </c>
      <c r="N978" s="26"/>
    </row>
    <row r="979" spans="10:14" x14ac:dyDescent="0.25">
      <c r="J979" s="25">
        <v>-0.11800775753829351</v>
      </c>
      <c r="N979" s="26"/>
    </row>
    <row r="980" spans="10:14" x14ac:dyDescent="0.25">
      <c r="J980" s="25">
        <v>6.9654988643435889E-2</v>
      </c>
      <c r="N980" s="26"/>
    </row>
    <row r="981" spans="10:14" x14ac:dyDescent="0.25">
      <c r="J981" s="25">
        <v>0.18714323234980079</v>
      </c>
      <c r="N981" s="26"/>
    </row>
    <row r="982" spans="10:14" x14ac:dyDescent="0.25">
      <c r="J982" s="25">
        <v>0.5672703377725905</v>
      </c>
      <c r="N982" s="26"/>
    </row>
    <row r="983" spans="10:14" x14ac:dyDescent="0.25">
      <c r="J983" s="25">
        <v>0.12817936689266585</v>
      </c>
      <c r="N983" s="26"/>
    </row>
    <row r="984" spans="10:14" x14ac:dyDescent="0.25">
      <c r="J984" s="25">
        <v>-3.7971798390453615E-2</v>
      </c>
      <c r="N984" s="26"/>
    </row>
    <row r="985" spans="10:14" x14ac:dyDescent="0.25">
      <c r="J985" s="25">
        <v>0.39564959301663172</v>
      </c>
      <c r="N985" s="26"/>
    </row>
    <row r="986" spans="10:14" x14ac:dyDescent="0.25">
      <c r="J986" s="25">
        <v>0.97891148185763943</v>
      </c>
      <c r="N986" s="26"/>
    </row>
    <row r="987" spans="10:14" x14ac:dyDescent="0.25">
      <c r="J987" s="25">
        <v>-0.17884236277532528</v>
      </c>
      <c r="N987" s="26"/>
    </row>
    <row r="988" spans="10:14" x14ac:dyDescent="0.25">
      <c r="J988" s="25">
        <v>-5.8005053993905764E-2</v>
      </c>
      <c r="N988" s="26"/>
    </row>
    <row r="989" spans="10:14" x14ac:dyDescent="0.25">
      <c r="J989" s="25">
        <v>-5.1375207896820263E-2</v>
      </c>
      <c r="N989" s="26"/>
    </row>
    <row r="990" spans="10:14" x14ac:dyDescent="0.25">
      <c r="J990" s="25">
        <v>0.74256822436817815</v>
      </c>
      <c r="N990" s="26"/>
    </row>
    <row r="991" spans="10:14" x14ac:dyDescent="0.25">
      <c r="J991" s="25">
        <v>0.86750810034732395</v>
      </c>
      <c r="N991" s="26"/>
    </row>
    <row r="992" spans="10:14" x14ac:dyDescent="0.25">
      <c r="J992" s="25">
        <v>0.51328586735689963</v>
      </c>
      <c r="N992" s="26"/>
    </row>
    <row r="993" spans="10:14" x14ac:dyDescent="0.25">
      <c r="J993" s="25">
        <v>-0.355274628941468</v>
      </c>
      <c r="N993" s="26"/>
    </row>
    <row r="994" spans="10:14" x14ac:dyDescent="0.25">
      <c r="J994" s="25">
        <v>1.7650363122779122E-2</v>
      </c>
      <c r="N994" s="26"/>
    </row>
    <row r="995" spans="10:14" x14ac:dyDescent="0.25">
      <c r="J995" s="25">
        <v>7.7491063287307815E-2</v>
      </c>
      <c r="N995" s="26"/>
    </row>
    <row r="996" spans="10:14" x14ac:dyDescent="0.25">
      <c r="J996" s="25">
        <v>-0.37363565327181036</v>
      </c>
      <c r="N996" s="26"/>
    </row>
    <row r="997" spans="10:14" x14ac:dyDescent="0.25">
      <c r="J997" s="25">
        <v>0.52134987437181679</v>
      </c>
      <c r="N997" s="26"/>
    </row>
    <row r="998" spans="10:14" x14ac:dyDescent="0.25">
      <c r="J998" s="25">
        <v>-0.2268938333069026</v>
      </c>
      <c r="N998" s="26"/>
    </row>
    <row r="999" spans="10:14" x14ac:dyDescent="0.25">
      <c r="J999" s="25">
        <v>-0.41787322417115902</v>
      </c>
      <c r="N999" s="26"/>
    </row>
    <row r="1000" spans="10:14" x14ac:dyDescent="0.25">
      <c r="J1000" s="25">
        <v>0.46771864186032031</v>
      </c>
      <c r="N1000" s="26"/>
    </row>
    <row r="1001" spans="10:14" x14ac:dyDescent="0.25">
      <c r="J1001" s="25">
        <v>7.2744282800769167E-2</v>
      </c>
      <c r="N1001" s="26"/>
    </row>
    <row r="1002" spans="10:14" x14ac:dyDescent="0.25">
      <c r="J1002" s="25">
        <v>-0.17028093578402503</v>
      </c>
      <c r="N1002" s="26"/>
    </row>
    <row r="1003" spans="10:14" x14ac:dyDescent="0.25">
      <c r="J1003" s="25">
        <v>-0.51303820516750975</v>
      </c>
      <c r="N1003" s="26"/>
    </row>
    <row r="1004" spans="10:14" x14ac:dyDescent="0.25">
      <c r="J1004" s="25">
        <v>0.23055791381370927</v>
      </c>
      <c r="N1004" s="26"/>
    </row>
    <row r="1005" spans="10:14" x14ac:dyDescent="0.25">
      <c r="J1005" s="25">
        <v>-0.41386316268660106</v>
      </c>
      <c r="N1005" s="26"/>
    </row>
    <row r="1006" spans="10:14" x14ac:dyDescent="0.25">
      <c r="J1006" s="25">
        <v>3.3397669334832569E-2</v>
      </c>
      <c r="N1006" s="26"/>
    </row>
    <row r="1007" spans="10:14" x14ac:dyDescent="0.25">
      <c r="J1007" s="25">
        <v>-0.15209905549060487</v>
      </c>
      <c r="N1007" s="26"/>
    </row>
    <row r="1008" spans="10:14" x14ac:dyDescent="0.25">
      <c r="J1008" s="25">
        <v>1.5748716805233931E-2</v>
      </c>
      <c r="N1008" s="26"/>
    </row>
    <row r="1009" spans="10:14" x14ac:dyDescent="0.25">
      <c r="J1009" s="25">
        <v>0.3675445200716021</v>
      </c>
      <c r="N1009" s="26"/>
    </row>
    <row r="1010" spans="10:14" x14ac:dyDescent="0.25">
      <c r="J1010" s="25">
        <v>9.5657199472296117E-2</v>
      </c>
      <c r="N1010" s="26"/>
    </row>
    <row r="1011" spans="10:14" x14ac:dyDescent="0.25">
      <c r="J1011" s="25">
        <v>-0.36297278603175087</v>
      </c>
      <c r="N1011" s="26"/>
    </row>
    <row r="1012" spans="10:14" x14ac:dyDescent="0.25">
      <c r="J1012" s="25">
        <v>-0.12622271610148295</v>
      </c>
      <c r="N1012" s="26"/>
    </row>
    <row r="1013" spans="10:14" x14ac:dyDescent="0.25">
      <c r="J1013" s="25">
        <v>8.7946377808880705E-3</v>
      </c>
      <c r="N1013" s="26"/>
    </row>
    <row r="1014" spans="10:14" x14ac:dyDescent="0.25">
      <c r="J1014" s="25">
        <v>-6.9558750711043005E-2</v>
      </c>
      <c r="N1014" s="26"/>
    </row>
    <row r="1015" spans="10:14" x14ac:dyDescent="0.25">
      <c r="J1015" s="25">
        <v>7.1546861153960917E-2</v>
      </c>
      <c r="N1015" s="26"/>
    </row>
    <row r="1016" spans="10:14" x14ac:dyDescent="0.25">
      <c r="J1016" s="25">
        <v>0.3823038356609838</v>
      </c>
      <c r="N1016" s="26"/>
    </row>
    <row r="1017" spans="10:14" x14ac:dyDescent="0.25">
      <c r="J1017" s="25">
        <v>0.71498446158541329</v>
      </c>
      <c r="N1017" s="26"/>
    </row>
    <row r="1018" spans="10:14" x14ac:dyDescent="0.25">
      <c r="J1018" s="25">
        <v>0.56884117897460218</v>
      </c>
      <c r="N1018" s="26"/>
    </row>
    <row r="1019" spans="10:14" x14ac:dyDescent="0.25">
      <c r="J1019" s="25">
        <v>5.7686377046542558E-2</v>
      </c>
      <c r="N1019" s="26"/>
    </row>
    <row r="1020" spans="10:14" x14ac:dyDescent="0.25">
      <c r="J1020" s="25">
        <v>0.31374609054243163</v>
      </c>
      <c r="N1020" s="26"/>
    </row>
    <row r="1021" spans="10:14" x14ac:dyDescent="0.25">
      <c r="J1021" s="25">
        <v>9.1282263329572899E-2</v>
      </c>
      <c r="N1021" s="26"/>
    </row>
    <row r="1022" spans="10:14" x14ac:dyDescent="0.25">
      <c r="J1022" s="25">
        <v>-6.8400710423786593E-2</v>
      </c>
      <c r="N1022" s="26"/>
    </row>
    <row r="1023" spans="10:14" x14ac:dyDescent="0.25">
      <c r="J1023" s="25">
        <v>-0.49804986581343791</v>
      </c>
      <c r="N1023" s="26"/>
    </row>
    <row r="1024" spans="10:14" x14ac:dyDescent="0.25">
      <c r="J1024" s="25">
        <v>-0.20515600542359425</v>
      </c>
      <c r="N1024" s="26"/>
    </row>
    <row r="1025" spans="10:14" x14ac:dyDescent="0.25">
      <c r="J1025" s="25">
        <v>-0.26083035416737044</v>
      </c>
      <c r="N1025" s="26"/>
    </row>
    <row r="1026" spans="10:14" x14ac:dyDescent="0.25">
      <c r="J1026" s="25">
        <v>-0.11003844230372029</v>
      </c>
      <c r="N1026" s="26"/>
    </row>
    <row r="1027" spans="10:14" x14ac:dyDescent="0.25">
      <c r="J1027" s="25">
        <v>2.3816958444898395E-2</v>
      </c>
      <c r="N1027" s="26"/>
    </row>
    <row r="1028" spans="10:14" x14ac:dyDescent="0.25">
      <c r="J1028" s="25">
        <v>-0.19089970247166588</v>
      </c>
      <c r="N1028" s="26"/>
    </row>
    <row r="1029" spans="10:14" x14ac:dyDescent="0.25">
      <c r="J1029" s="25">
        <v>0.89745943577605347</v>
      </c>
      <c r="N1029" s="26"/>
    </row>
    <row r="1030" spans="10:14" x14ac:dyDescent="0.25">
      <c r="J1030" s="25">
        <v>-0.23625257410428613</v>
      </c>
      <c r="N1030" s="26"/>
    </row>
    <row r="1031" spans="10:14" x14ac:dyDescent="0.25">
      <c r="J1031" s="25">
        <v>0.56681852316292014</v>
      </c>
      <c r="N1031" s="26"/>
    </row>
    <row r="1032" spans="10:14" x14ac:dyDescent="0.25">
      <c r="J1032" s="25">
        <v>-0.20406192569906945</v>
      </c>
      <c r="N1032" s="26"/>
    </row>
    <row r="1033" spans="10:14" x14ac:dyDescent="0.25">
      <c r="J1033" s="25">
        <v>0.59636675981529153</v>
      </c>
      <c r="N1033" s="26"/>
    </row>
    <row r="1034" spans="10:14" x14ac:dyDescent="0.25">
      <c r="J1034" s="25">
        <v>0.45679372953026554</v>
      </c>
      <c r="N1034" s="26"/>
    </row>
    <row r="1035" spans="10:14" x14ac:dyDescent="0.25">
      <c r="J1035" s="25">
        <v>0.6718988654302398</v>
      </c>
      <c r="N1035" s="26"/>
    </row>
    <row r="1036" spans="10:14" x14ac:dyDescent="0.25">
      <c r="J1036" s="25">
        <v>0.25418909262058342</v>
      </c>
      <c r="N1036" s="26"/>
    </row>
    <row r="1037" spans="10:14" x14ac:dyDescent="0.25">
      <c r="J1037" s="25">
        <v>0.62574498023359282</v>
      </c>
      <c r="N1037" s="26"/>
    </row>
    <row r="1038" spans="10:14" x14ac:dyDescent="0.25">
      <c r="J1038" s="25">
        <v>-0.4070388844484053</v>
      </c>
      <c r="N1038" s="26"/>
    </row>
    <row r="1039" spans="10:14" x14ac:dyDescent="0.25">
      <c r="J1039" s="25">
        <v>-0.11762094742487317</v>
      </c>
      <c r="N1039" s="26"/>
    </row>
    <row r="1040" spans="10:14" x14ac:dyDescent="0.25">
      <c r="J1040" s="25">
        <v>-0.4430250891787586</v>
      </c>
      <c r="N1040" s="26"/>
    </row>
    <row r="1041" spans="10:14" x14ac:dyDescent="0.25">
      <c r="J1041" s="25">
        <v>-0.35726493460007935</v>
      </c>
      <c r="N1041" s="26"/>
    </row>
    <row r="1042" spans="10:14" x14ac:dyDescent="0.25">
      <c r="J1042" s="25">
        <v>-0.38390307985591166</v>
      </c>
      <c r="N1042" s="26"/>
    </row>
    <row r="1043" spans="10:14" x14ac:dyDescent="0.25">
      <c r="J1043" s="25">
        <v>8.5576807041753966E-2</v>
      </c>
      <c r="N1043" s="26"/>
    </row>
    <row r="1044" spans="10:14" x14ac:dyDescent="0.25">
      <c r="J1044" s="25">
        <v>-0.51591589551691408</v>
      </c>
      <c r="N1044" s="26"/>
    </row>
    <row r="1045" spans="10:14" x14ac:dyDescent="0.25">
      <c r="J1045" s="25">
        <v>0.49973761935913008</v>
      </c>
      <c r="N1045" s="26"/>
    </row>
    <row r="1046" spans="10:14" x14ac:dyDescent="0.25">
      <c r="J1046" s="25">
        <v>9.5930800575808606E-2</v>
      </c>
      <c r="N1046" s="26"/>
    </row>
    <row r="1047" spans="10:14" x14ac:dyDescent="0.25">
      <c r="J1047" s="25">
        <v>0.45049231554190339</v>
      </c>
      <c r="N1047" s="26"/>
    </row>
    <row r="1048" spans="10:14" x14ac:dyDescent="0.25">
      <c r="J1048" s="25">
        <v>0.12493616086457027</v>
      </c>
      <c r="N1048" s="26"/>
    </row>
    <row r="1049" spans="10:14" x14ac:dyDescent="0.25">
      <c r="J1049" s="25">
        <v>-0.38828200129611135</v>
      </c>
      <c r="N1049" s="26"/>
    </row>
    <row r="1050" spans="10:14" x14ac:dyDescent="0.25">
      <c r="J1050" s="25">
        <v>-0.36123136698876734</v>
      </c>
      <c r="N1050" s="26"/>
    </row>
    <row r="1051" spans="10:14" x14ac:dyDescent="0.25">
      <c r="J1051" s="25">
        <v>-3.3752986079073288E-2</v>
      </c>
      <c r="N1051" s="26"/>
    </row>
    <row r="1052" spans="10:14" x14ac:dyDescent="0.25">
      <c r="J1052" s="25">
        <v>-0.24905121624375592</v>
      </c>
      <c r="N1052" s="26"/>
    </row>
    <row r="1053" spans="10:14" x14ac:dyDescent="0.25">
      <c r="J1053" s="25">
        <v>0.50440972796911865</v>
      </c>
      <c r="N1053" s="26"/>
    </row>
    <row r="1054" spans="10:14" x14ac:dyDescent="0.25">
      <c r="J1054" s="25">
        <v>-0.36184717878645878</v>
      </c>
      <c r="N1054" s="26"/>
    </row>
    <row r="1055" spans="10:14" x14ac:dyDescent="0.25">
      <c r="J1055" s="25">
        <v>0.64769151159187244</v>
      </c>
      <c r="N1055" s="26"/>
    </row>
    <row r="1056" spans="10:14" x14ac:dyDescent="0.25">
      <c r="J1056" s="25">
        <v>-0.36868573025924434</v>
      </c>
      <c r="N1056" s="26"/>
    </row>
    <row r="1057" spans="10:14" x14ac:dyDescent="0.25">
      <c r="J1057" s="25">
        <v>0.13364286290622829</v>
      </c>
      <c r="N1057" s="26"/>
    </row>
    <row r="1058" spans="10:14" x14ac:dyDescent="0.25">
      <c r="J1058" s="25">
        <v>-0.38716942085455341</v>
      </c>
      <c r="N1058" s="26"/>
    </row>
    <row r="1059" spans="10:14" x14ac:dyDescent="0.25">
      <c r="J1059" s="25">
        <v>0.14491177067209371</v>
      </c>
      <c r="N1059" s="26"/>
    </row>
    <row r="1060" spans="10:14" x14ac:dyDescent="0.25">
      <c r="J1060" s="25">
        <v>0.42528998111545557</v>
      </c>
      <c r="N1060" s="26"/>
    </row>
    <row r="1061" spans="10:14" x14ac:dyDescent="0.25">
      <c r="J1061" s="25">
        <v>0.40501060746571405</v>
      </c>
      <c r="N1061" s="26"/>
    </row>
    <row r="1062" spans="10:14" x14ac:dyDescent="0.25">
      <c r="J1062" s="25">
        <v>-2.9260512909500158E-2</v>
      </c>
      <c r="N1062" s="26"/>
    </row>
    <row r="1063" spans="10:14" x14ac:dyDescent="0.25">
      <c r="J1063" s="25">
        <v>2.1147319680097088E-2</v>
      </c>
      <c r="N1063" s="26"/>
    </row>
    <row r="1064" spans="10:14" x14ac:dyDescent="0.25">
      <c r="J1064" s="25">
        <v>0.70655864805731072</v>
      </c>
      <c r="N1064" s="26"/>
    </row>
    <row r="1065" spans="10:14" x14ac:dyDescent="0.25">
      <c r="J1065" s="25">
        <v>0.42907105670178125</v>
      </c>
      <c r="N1065" s="26"/>
    </row>
    <row r="1066" spans="10:14" x14ac:dyDescent="0.25">
      <c r="J1066" s="25">
        <v>-0.26486968934211819</v>
      </c>
      <c r="N1066" s="26"/>
    </row>
    <row r="1067" spans="10:14" x14ac:dyDescent="0.25">
      <c r="J1067" s="25">
        <v>0.87773568448386552</v>
      </c>
      <c r="N1067" s="26"/>
    </row>
    <row r="1068" spans="10:14" x14ac:dyDescent="0.25">
      <c r="J1068" s="25">
        <v>-0.4216695984313773</v>
      </c>
      <c r="N1068" s="26"/>
    </row>
    <row r="1069" spans="10:14" x14ac:dyDescent="0.25">
      <c r="J1069" s="25">
        <v>0.15874564674055613</v>
      </c>
      <c r="N1069" s="26"/>
    </row>
    <row r="1070" spans="10:14" x14ac:dyDescent="0.25">
      <c r="J1070" s="25">
        <v>-0.34234330806814472</v>
      </c>
      <c r="N1070" s="26"/>
    </row>
    <row r="1071" spans="10:14" x14ac:dyDescent="0.25">
      <c r="J1071" s="25">
        <v>-7.2951455119243169E-2</v>
      </c>
      <c r="N1071" s="26"/>
    </row>
    <row r="1072" spans="10:14" x14ac:dyDescent="0.25">
      <c r="J1072" s="25">
        <v>0.11578069008084824</v>
      </c>
      <c r="N1072" s="26"/>
    </row>
    <row r="1073" spans="10:14" x14ac:dyDescent="0.25">
      <c r="J1073" s="25">
        <v>0.56962086596555928</v>
      </c>
      <c r="N1073" s="26"/>
    </row>
    <row r="1074" spans="10:14" x14ac:dyDescent="0.25">
      <c r="J1074" s="25">
        <v>0.8298488355841831</v>
      </c>
      <c r="N1074" s="26"/>
    </row>
    <row r="1075" spans="10:14" x14ac:dyDescent="0.25">
      <c r="J1075" s="25">
        <v>0.30044193221264059</v>
      </c>
      <c r="N1075" s="26"/>
    </row>
    <row r="1076" spans="10:14" x14ac:dyDescent="0.25">
      <c r="J1076" s="25">
        <v>1.6247820612956598E-2</v>
      </c>
      <c r="N1076" s="26"/>
    </row>
    <row r="1077" spans="10:14" x14ac:dyDescent="0.25">
      <c r="J1077" s="25">
        <v>-3.4523883598315819E-2</v>
      </c>
      <c r="N1077" s="26"/>
    </row>
    <row r="1078" spans="10:14" x14ac:dyDescent="0.25">
      <c r="J1078" s="25">
        <v>1.8927042150518325E-2</v>
      </c>
      <c r="N1078" s="26"/>
    </row>
    <row r="1079" spans="10:14" x14ac:dyDescent="0.25">
      <c r="J1079" s="25">
        <v>0.22159931650292708</v>
      </c>
      <c r="N1079" s="26"/>
    </row>
    <row r="1080" spans="10:14" x14ac:dyDescent="0.25">
      <c r="J1080" s="25">
        <v>-1.1979942012251499E-2</v>
      </c>
      <c r="N1080" s="26"/>
    </row>
    <row r="1081" spans="10:14" x14ac:dyDescent="0.25">
      <c r="J1081" s="25">
        <v>-7.3599130195523998E-2</v>
      </c>
      <c r="N1081" s="26"/>
    </row>
    <row r="1082" spans="10:14" x14ac:dyDescent="0.25">
      <c r="J1082" s="25">
        <v>7.3111303922573923E-2</v>
      </c>
      <c r="N1082" s="26"/>
    </row>
    <row r="1083" spans="10:14" x14ac:dyDescent="0.25">
      <c r="J1083" s="25">
        <v>0.23228151528782903</v>
      </c>
      <c r="N1083" s="26"/>
    </row>
    <row r="1084" spans="10:14" x14ac:dyDescent="0.25">
      <c r="J1084" s="25">
        <v>0.61005618571318498</v>
      </c>
      <c r="N1084" s="26"/>
    </row>
    <row r="1085" spans="10:14" x14ac:dyDescent="0.25">
      <c r="J1085" s="25">
        <v>1.0074583699146853</v>
      </c>
      <c r="N1085" s="26"/>
    </row>
    <row r="1086" spans="10:14" x14ac:dyDescent="0.25">
      <c r="J1086" s="25">
        <v>-8.4700654061088065E-2</v>
      </c>
      <c r="N1086" s="26"/>
    </row>
    <row r="1087" spans="10:14" x14ac:dyDescent="0.25">
      <c r="J1087" s="25">
        <v>5.9719109699460926E-3</v>
      </c>
      <c r="N1087" s="26"/>
    </row>
    <row r="1088" spans="10:14" x14ac:dyDescent="0.25">
      <c r="J1088" s="25">
        <v>0.86538876418237587</v>
      </c>
      <c r="N1088" s="26"/>
    </row>
    <row r="1089" spans="10:14" x14ac:dyDescent="0.25">
      <c r="J1089" s="25">
        <v>1.5991934509248074E-2</v>
      </c>
      <c r="N1089" s="26"/>
    </row>
    <row r="1090" spans="10:14" x14ac:dyDescent="0.25">
      <c r="J1090" s="25">
        <v>1.177161319883302E-2</v>
      </c>
      <c r="N1090" s="26"/>
    </row>
    <row r="1091" spans="10:14" x14ac:dyDescent="0.25">
      <c r="J1091" s="25">
        <v>-0.23228571022269773</v>
      </c>
      <c r="N1091" s="26"/>
    </row>
    <row r="1092" spans="10:14" x14ac:dyDescent="0.25">
      <c r="J1092" s="25">
        <v>1.030635660879633</v>
      </c>
      <c r="N1092" s="26"/>
    </row>
    <row r="1093" spans="10:14" x14ac:dyDescent="0.25">
      <c r="J1093" s="25">
        <v>2.1967015628758135E-2</v>
      </c>
      <c r="N1093" s="26"/>
    </row>
    <row r="1094" spans="10:14" x14ac:dyDescent="0.25">
      <c r="J1094" s="25">
        <v>-7.2991673254380274E-2</v>
      </c>
      <c r="N1094" s="26"/>
    </row>
    <row r="1095" spans="10:14" x14ac:dyDescent="0.25">
      <c r="J1095" s="25">
        <v>-0.108574863257625</v>
      </c>
      <c r="N1095" s="26"/>
    </row>
    <row r="1096" spans="10:14" x14ac:dyDescent="0.25">
      <c r="J1096" s="25">
        <v>0.33189932053616267</v>
      </c>
      <c r="N1096" s="26"/>
    </row>
    <row r="1097" spans="10:14" x14ac:dyDescent="0.25">
      <c r="J1097" s="25">
        <v>-0.21059530566624363</v>
      </c>
      <c r="N1097" s="26"/>
    </row>
    <row r="1098" spans="10:14" x14ac:dyDescent="0.25">
      <c r="J1098" s="25">
        <v>0.88940821037330009</v>
      </c>
      <c r="N1098" s="26"/>
    </row>
    <row r="1099" spans="10:14" x14ac:dyDescent="0.25">
      <c r="J1099" s="25">
        <v>-0.36523744419742687</v>
      </c>
      <c r="N1099" s="26"/>
    </row>
    <row r="1100" spans="10:14" x14ac:dyDescent="0.25">
      <c r="J1100" s="25">
        <v>0.43996983219872265</v>
      </c>
      <c r="N1100" s="26"/>
    </row>
    <row r="1101" spans="10:14" x14ac:dyDescent="0.25">
      <c r="J1101" s="25">
        <v>-0.3542690720082281</v>
      </c>
      <c r="N1101" s="26"/>
    </row>
    <row r="1102" spans="10:14" x14ac:dyDescent="0.25">
      <c r="J1102" s="25">
        <v>-0.42556724306075722</v>
      </c>
      <c r="N1102" s="26"/>
    </row>
    <row r="1103" spans="10:14" x14ac:dyDescent="0.25">
      <c r="J1103" s="25">
        <v>4.5474457241504673E-2</v>
      </c>
      <c r="N1103" s="26"/>
    </row>
    <row r="1104" spans="10:14" x14ac:dyDescent="0.25">
      <c r="J1104" s="25">
        <v>0.3750565066754834</v>
      </c>
      <c r="N1104" s="26"/>
    </row>
    <row r="1105" spans="10:14" x14ac:dyDescent="0.25">
      <c r="J1105" s="25">
        <v>0.10582045489838432</v>
      </c>
      <c r="N1105" s="26"/>
    </row>
    <row r="1106" spans="10:14" x14ac:dyDescent="0.25">
      <c r="J1106" s="25">
        <v>-0.24732184175225302</v>
      </c>
      <c r="N1106" s="26"/>
    </row>
    <row r="1107" spans="10:14" x14ac:dyDescent="0.25">
      <c r="J1107" s="25">
        <v>0.63662479716807763</v>
      </c>
      <c r="N1107" s="26"/>
    </row>
    <row r="1108" spans="10:14" x14ac:dyDescent="0.25">
      <c r="J1108" s="25">
        <v>-0.11679933720048041</v>
      </c>
      <c r="N1108" s="26"/>
    </row>
    <row r="1109" spans="10:14" x14ac:dyDescent="0.25">
      <c r="J1109" s="25">
        <v>-0.3421982656403284</v>
      </c>
      <c r="N1109" s="26"/>
    </row>
    <row r="1110" spans="10:14" x14ac:dyDescent="0.25">
      <c r="J1110" s="25">
        <v>0.35714579426318438</v>
      </c>
      <c r="N1110" s="26"/>
    </row>
    <row r="1111" spans="10:14" x14ac:dyDescent="0.25">
      <c r="J1111" s="25">
        <v>-0.40682982055446104</v>
      </c>
      <c r="N1111" s="26"/>
    </row>
    <row r="1112" spans="10:14" x14ac:dyDescent="0.25">
      <c r="J1112" s="25">
        <v>-0.37024359400050566</v>
      </c>
      <c r="N1112" s="26"/>
    </row>
    <row r="1113" spans="10:14" x14ac:dyDescent="0.25">
      <c r="J1113" s="25">
        <v>-0.32948147674504702</v>
      </c>
      <c r="N1113" s="26"/>
    </row>
    <row r="1114" spans="10:14" x14ac:dyDescent="0.25">
      <c r="J1114" s="25">
        <v>-8.1998739110058505E-3</v>
      </c>
      <c r="N1114" s="26"/>
    </row>
    <row r="1115" spans="10:14" x14ac:dyDescent="0.25">
      <c r="J1115" s="25">
        <v>2.4252647318413034E-2</v>
      </c>
      <c r="N1115" s="26"/>
    </row>
    <row r="1116" spans="10:14" x14ac:dyDescent="0.25">
      <c r="J1116" s="25">
        <v>-0.24649102470125006</v>
      </c>
      <c r="N1116" s="26"/>
    </row>
    <row r="1117" spans="10:14" x14ac:dyDescent="0.25">
      <c r="J1117" s="25">
        <v>0.390832390959863</v>
      </c>
      <c r="N1117" s="26"/>
    </row>
    <row r="1118" spans="10:14" x14ac:dyDescent="0.25">
      <c r="J1118" s="25">
        <v>-0.1122969307200703</v>
      </c>
      <c r="N1118" s="26"/>
    </row>
    <row r="1119" spans="10:14" x14ac:dyDescent="0.25">
      <c r="J1119" s="25">
        <v>-0.22384682511688503</v>
      </c>
      <c r="N1119" s="26"/>
    </row>
    <row r="1120" spans="10:14" x14ac:dyDescent="0.25">
      <c r="J1120" s="25">
        <v>-8.7884228964819955E-2</v>
      </c>
      <c r="N1120" s="26"/>
    </row>
    <row r="1121" spans="10:14" x14ac:dyDescent="0.25">
      <c r="J1121" s="25">
        <v>0.50721922088023108</v>
      </c>
      <c r="N1121" s="26"/>
    </row>
    <row r="1122" spans="10:14" x14ac:dyDescent="0.25">
      <c r="J1122" s="25">
        <v>-1.9608214879027974E-2</v>
      </c>
      <c r="N1122" s="26"/>
    </row>
    <row r="1123" spans="10:14" x14ac:dyDescent="0.25">
      <c r="J1123" s="25">
        <v>-7.2613509827783029E-2</v>
      </c>
      <c r="N1123" s="26"/>
    </row>
    <row r="1124" spans="10:14" x14ac:dyDescent="0.25">
      <c r="J1124" s="25">
        <v>2.4641885775532835E-2</v>
      </c>
      <c r="N1124" s="26"/>
    </row>
    <row r="1125" spans="10:14" x14ac:dyDescent="0.25">
      <c r="J1125" s="25">
        <v>0.3465158795649852</v>
      </c>
      <c r="N1125" s="26"/>
    </row>
    <row r="1126" spans="10:14" x14ac:dyDescent="0.25">
      <c r="J1126" s="25">
        <v>4.9992327417451854E-3</v>
      </c>
      <c r="N1126" s="26"/>
    </row>
    <row r="1127" spans="10:14" x14ac:dyDescent="0.25">
      <c r="J1127" s="25">
        <v>0.21843263587517292</v>
      </c>
      <c r="N1127" s="26"/>
    </row>
    <row r="1128" spans="10:14" x14ac:dyDescent="0.25">
      <c r="J1128" s="25">
        <v>0.69443209396925898</v>
      </c>
      <c r="N1128" s="26"/>
    </row>
    <row r="1129" spans="10:14" x14ac:dyDescent="0.25">
      <c r="J1129" s="25">
        <v>6.3777574328554243E-2</v>
      </c>
      <c r="N1129" s="26"/>
    </row>
    <row r="1130" spans="10:14" x14ac:dyDescent="0.25">
      <c r="J1130" s="25">
        <v>-0.22720723635098283</v>
      </c>
      <c r="N1130" s="26"/>
    </row>
    <row r="1131" spans="10:14" x14ac:dyDescent="0.25">
      <c r="J1131" s="25">
        <v>-0.38025476606391473</v>
      </c>
      <c r="N1131" s="26"/>
    </row>
    <row r="1132" spans="10:14" x14ac:dyDescent="0.25">
      <c r="J1132" s="25">
        <v>-0.46619942401700143</v>
      </c>
      <c r="N1132" s="26"/>
    </row>
    <row r="1133" spans="10:14" x14ac:dyDescent="0.25">
      <c r="J1133" s="25">
        <v>0.62965551405055642</v>
      </c>
      <c r="N1133" s="26"/>
    </row>
    <row r="1134" spans="10:14" x14ac:dyDescent="0.25">
      <c r="J1134" s="25">
        <v>0.42037145543937648</v>
      </c>
      <c r="N1134" s="26"/>
    </row>
    <row r="1135" spans="10:14" x14ac:dyDescent="0.25">
      <c r="J1135" s="25">
        <v>3.476420298800087E-2</v>
      </c>
      <c r="N1135" s="26"/>
    </row>
    <row r="1136" spans="10:14" x14ac:dyDescent="0.25">
      <c r="J1136" s="25">
        <v>-0.49487295865358583</v>
      </c>
      <c r="N1136" s="26"/>
    </row>
    <row r="1137" spans="10:14" x14ac:dyDescent="0.25">
      <c r="J1137" s="25">
        <v>3.963456235795948E-2</v>
      </c>
      <c r="N1137" s="26"/>
    </row>
    <row r="1138" spans="10:14" x14ac:dyDescent="0.25">
      <c r="J1138" s="25">
        <v>-0.23024642759513392</v>
      </c>
      <c r="N1138" s="26"/>
    </row>
    <row r="1139" spans="10:14" x14ac:dyDescent="0.25">
      <c r="J1139" s="25">
        <v>-0.40851711390652268</v>
      </c>
      <c r="N1139" s="26"/>
    </row>
    <row r="1140" spans="10:14" x14ac:dyDescent="0.25">
      <c r="J1140" s="25">
        <v>0.57219239764484109</v>
      </c>
      <c r="N1140" s="26"/>
    </row>
    <row r="1141" spans="10:14" x14ac:dyDescent="0.25">
      <c r="J1141" s="25">
        <v>0.15119484550081563</v>
      </c>
      <c r="N1141" s="26"/>
    </row>
    <row r="1142" spans="10:14" x14ac:dyDescent="0.25">
      <c r="J1142" s="25">
        <v>-0.19146292477144478</v>
      </c>
      <c r="N1142" s="26"/>
    </row>
    <row r="1143" spans="10:14" x14ac:dyDescent="0.25">
      <c r="J1143" s="25">
        <v>-0.4935181110682002</v>
      </c>
      <c r="N1143" s="26"/>
    </row>
    <row r="1144" spans="10:14" x14ac:dyDescent="0.25">
      <c r="J1144" s="25">
        <v>9.6817542421010705E-2</v>
      </c>
      <c r="N1144" s="26"/>
    </row>
    <row r="1145" spans="10:14" x14ac:dyDescent="0.25">
      <c r="J1145" s="25">
        <v>-9.7116978957419997E-3</v>
      </c>
      <c r="N1145" s="26"/>
    </row>
    <row r="1146" spans="10:14" x14ac:dyDescent="0.25">
      <c r="J1146" s="25">
        <v>0.53778866173847928</v>
      </c>
      <c r="N1146" s="26"/>
    </row>
    <row r="1147" spans="10:14" x14ac:dyDescent="0.25">
      <c r="J1147" s="25">
        <v>-0.31347339265604912</v>
      </c>
      <c r="N1147" s="26"/>
    </row>
    <row r="1148" spans="10:14" x14ac:dyDescent="0.25">
      <c r="J1148" s="25">
        <v>-0.25153327495219235</v>
      </c>
      <c r="N1148" s="26"/>
    </row>
    <row r="1149" spans="10:14" x14ac:dyDescent="0.25">
      <c r="J1149" s="25">
        <v>1.6946998961848703E-2</v>
      </c>
      <c r="N1149" s="26"/>
    </row>
    <row r="1150" spans="10:14" x14ac:dyDescent="0.25">
      <c r="J1150" s="25">
        <v>0.58175176663707751</v>
      </c>
      <c r="N1150" s="26"/>
    </row>
    <row r="1151" spans="10:14" x14ac:dyDescent="0.25">
      <c r="J1151" s="25">
        <v>-0.1756729414592213</v>
      </c>
      <c r="N1151" s="26"/>
    </row>
    <row r="1152" spans="10:14" x14ac:dyDescent="0.25">
      <c r="J1152" s="25">
        <v>-0.34069311185361806</v>
      </c>
      <c r="N1152" s="26"/>
    </row>
    <row r="1153" spans="10:14" x14ac:dyDescent="0.25">
      <c r="J1153" s="25">
        <v>-2.6974156682397887E-2</v>
      </c>
      <c r="N1153" s="26"/>
    </row>
    <row r="1154" spans="10:14" x14ac:dyDescent="0.25">
      <c r="J1154" s="25">
        <v>-0.21019639855956795</v>
      </c>
      <c r="N1154" s="26"/>
    </row>
    <row r="1155" spans="10:14" x14ac:dyDescent="0.25">
      <c r="J1155" s="25">
        <v>-4.619560343280682E-2</v>
      </c>
      <c r="N1155" s="26"/>
    </row>
    <row r="1156" spans="10:14" x14ac:dyDescent="0.25">
      <c r="J1156" s="25">
        <v>0.22605936241334978</v>
      </c>
      <c r="N1156" s="26"/>
    </row>
    <row r="1157" spans="10:14" x14ac:dyDescent="0.25">
      <c r="J1157" s="25">
        <v>0.27177409109300754</v>
      </c>
      <c r="N1157" s="26"/>
    </row>
    <row r="1158" spans="10:14" x14ac:dyDescent="0.25">
      <c r="J1158" s="25">
        <v>0.13415480379915778</v>
      </c>
      <c r="N1158" s="26"/>
    </row>
    <row r="1159" spans="10:14" x14ac:dyDescent="0.25">
      <c r="J1159" s="25">
        <v>0.3886697842003155</v>
      </c>
      <c r="N1159" s="26"/>
    </row>
    <row r="1160" spans="10:14" x14ac:dyDescent="0.25">
      <c r="J1160" s="25">
        <v>1.0552304754456427</v>
      </c>
      <c r="N1160" s="26"/>
    </row>
    <row r="1161" spans="10:14" x14ac:dyDescent="0.25">
      <c r="J1161" s="25">
        <v>-8.3280626165673444E-2</v>
      </c>
      <c r="N1161" s="26"/>
    </row>
    <row r="1162" spans="10:14" x14ac:dyDescent="0.25">
      <c r="J1162" s="25">
        <v>0.58495307520127882</v>
      </c>
      <c r="N1162" s="26"/>
    </row>
    <row r="1163" spans="10:14" x14ac:dyDescent="0.25">
      <c r="J1163" s="25">
        <v>-2.402340812741155E-2</v>
      </c>
      <c r="N1163" s="26"/>
    </row>
    <row r="1164" spans="10:14" x14ac:dyDescent="0.25">
      <c r="J1164" s="25">
        <v>6.612128532431738E-2</v>
      </c>
      <c r="N1164" s="26"/>
    </row>
    <row r="1165" spans="10:14" x14ac:dyDescent="0.25">
      <c r="J1165" s="25">
        <v>-0.15511072385495905</v>
      </c>
      <c r="N1165" s="26"/>
    </row>
    <row r="1166" spans="10:14" x14ac:dyDescent="0.25">
      <c r="J1166" s="25">
        <v>-4.5226914050142453E-2</v>
      </c>
      <c r="N1166" s="26"/>
    </row>
    <row r="1167" spans="10:14" x14ac:dyDescent="0.25">
      <c r="J1167" s="25">
        <v>-0.122407402992884</v>
      </c>
      <c r="N1167" s="26"/>
    </row>
    <row r="1168" spans="10:14" x14ac:dyDescent="0.25">
      <c r="J1168" s="25">
        <v>8.386936374796794E-2</v>
      </c>
      <c r="N1168" s="26"/>
    </row>
    <row r="1169" spans="10:14" x14ac:dyDescent="0.25">
      <c r="J1169" s="25">
        <v>-4.5412100935504629E-4</v>
      </c>
      <c r="N1169" s="26"/>
    </row>
    <row r="1170" spans="10:14" x14ac:dyDescent="0.25">
      <c r="J1170" s="25">
        <v>0.47426414815369933</v>
      </c>
      <c r="N1170" s="26"/>
    </row>
    <row r="1171" spans="10:14" x14ac:dyDescent="0.25">
      <c r="J1171" s="25">
        <v>-0.11144285975798551</v>
      </c>
      <c r="N1171" s="26"/>
    </row>
    <row r="1172" spans="10:14" x14ac:dyDescent="0.25">
      <c r="J1172" s="25">
        <v>-8.7637606009532965E-2</v>
      </c>
      <c r="N1172" s="26"/>
    </row>
    <row r="1173" spans="10:14" x14ac:dyDescent="0.25">
      <c r="J1173" s="25">
        <v>0.14298855643108843</v>
      </c>
      <c r="N1173" s="26"/>
    </row>
    <row r="1174" spans="10:14" x14ac:dyDescent="0.25">
      <c r="J1174" s="25">
        <v>-7.341355575071784E-2</v>
      </c>
      <c r="N1174" s="26"/>
    </row>
    <row r="1175" spans="10:14" x14ac:dyDescent="0.25">
      <c r="J1175" s="25">
        <v>4.7348860822028049E-2</v>
      </c>
      <c r="N1175" s="26"/>
    </row>
    <row r="1176" spans="10:14" x14ac:dyDescent="0.25">
      <c r="J1176" s="25">
        <v>0.41323668459025842</v>
      </c>
      <c r="N1176" s="26"/>
    </row>
    <row r="1177" spans="10:14" x14ac:dyDescent="0.25">
      <c r="J1177" s="25">
        <v>1.0339670630707238</v>
      </c>
      <c r="N1177" s="26"/>
    </row>
    <row r="1178" spans="10:14" x14ac:dyDescent="0.25">
      <c r="J1178" s="25">
        <v>0.94951462772145723</v>
      </c>
      <c r="N1178" s="26"/>
    </row>
    <row r="1179" spans="10:14" x14ac:dyDescent="0.25">
      <c r="J1179" s="25">
        <v>8.0183630119270433E-2</v>
      </c>
      <c r="N1179" s="26"/>
    </row>
    <row r="1180" spans="10:14" x14ac:dyDescent="0.25">
      <c r="J1180" s="25">
        <v>-0.30856947774727528</v>
      </c>
      <c r="N1180" s="26"/>
    </row>
    <row r="1181" spans="10:14" x14ac:dyDescent="0.25">
      <c r="J1181" s="25">
        <v>-0.18147650542454452</v>
      </c>
      <c r="N1181" s="26"/>
    </row>
    <row r="1182" spans="10:14" x14ac:dyDescent="0.25">
      <c r="J1182" s="25">
        <v>-0.37371876993567343</v>
      </c>
      <c r="N1182" s="26"/>
    </row>
    <row r="1183" spans="10:14" x14ac:dyDescent="0.25">
      <c r="J1183" s="25">
        <v>-0.26324897278745329</v>
      </c>
      <c r="N1183" s="26"/>
    </row>
    <row r="1184" spans="10:14" x14ac:dyDescent="0.25">
      <c r="J1184" s="25">
        <v>2.4558684867870495E-2</v>
      </c>
      <c r="N1184" s="26"/>
    </row>
    <row r="1185" spans="10:14" x14ac:dyDescent="0.25">
      <c r="J1185" s="25">
        <v>-0.26486117380712759</v>
      </c>
      <c r="N1185" s="26"/>
    </row>
    <row r="1186" spans="10:14" x14ac:dyDescent="0.25">
      <c r="J1186" s="25">
        <v>6.1334130033980916E-3</v>
      </c>
      <c r="N1186" s="26"/>
    </row>
    <row r="1187" spans="10:14" x14ac:dyDescent="0.25">
      <c r="J1187" s="25">
        <v>-4.5170186461701234E-2</v>
      </c>
      <c r="N1187" s="26"/>
    </row>
    <row r="1188" spans="10:14" x14ac:dyDescent="0.25">
      <c r="J1188" s="25">
        <v>0.20548917464524474</v>
      </c>
      <c r="N1188" s="26"/>
    </row>
    <row r="1189" spans="10:14" x14ac:dyDescent="0.25">
      <c r="J1189" s="25">
        <v>0.85768065129589077</v>
      </c>
      <c r="N1189" s="26"/>
    </row>
    <row r="1190" spans="10:14" x14ac:dyDescent="0.25">
      <c r="J1190" s="25">
        <v>-5.8621026416267874E-2</v>
      </c>
      <c r="N1190" s="26"/>
    </row>
    <row r="1191" spans="10:14" x14ac:dyDescent="0.25">
      <c r="J1191" s="25">
        <v>1.2212892102139827E-2</v>
      </c>
      <c r="N1191" s="26"/>
    </row>
    <row r="1192" spans="10:14" x14ac:dyDescent="0.25">
      <c r="J1192" s="25">
        <v>-0.3767037354006697</v>
      </c>
      <c r="N1192" s="26"/>
    </row>
    <row r="1193" spans="10:14" x14ac:dyDescent="0.25">
      <c r="J1193" s="25">
        <v>-0.43915760772696311</v>
      </c>
      <c r="N1193" s="26"/>
    </row>
    <row r="1194" spans="10:14" x14ac:dyDescent="0.25">
      <c r="J1194" s="25">
        <v>-0.12435578651099566</v>
      </c>
      <c r="N1194" s="26"/>
    </row>
    <row r="1195" spans="10:14" x14ac:dyDescent="0.25">
      <c r="J1195" s="25">
        <v>-0.24582358055565345</v>
      </c>
      <c r="N1195" s="26"/>
    </row>
    <row r="1196" spans="10:14" x14ac:dyDescent="0.25">
      <c r="J1196" s="25">
        <v>0.17402635943458167</v>
      </c>
      <c r="N1196" s="26"/>
    </row>
    <row r="1197" spans="10:14" x14ac:dyDescent="0.25">
      <c r="J1197" s="25">
        <v>-0.32549898828183677</v>
      </c>
      <c r="N1197" s="26"/>
    </row>
    <row r="1198" spans="10:14" x14ac:dyDescent="0.25">
      <c r="J1198" s="25">
        <v>9.3916761270107285E-2</v>
      </c>
      <c r="N1198" s="26"/>
    </row>
    <row r="1199" spans="10:14" x14ac:dyDescent="0.25">
      <c r="J1199" s="25">
        <v>-0.37818976403549442</v>
      </c>
      <c r="N1199" s="26"/>
    </row>
    <row r="1200" spans="10:14" x14ac:dyDescent="0.25">
      <c r="J1200" s="25">
        <v>0.39474742603855884</v>
      </c>
      <c r="N1200" s="26"/>
    </row>
    <row r="1201" spans="10:14" x14ac:dyDescent="0.25">
      <c r="J1201" s="25">
        <v>0.9944663840212431</v>
      </c>
      <c r="N1201" s="26"/>
    </row>
    <row r="1202" spans="10:14" x14ac:dyDescent="0.25">
      <c r="J1202" s="25">
        <v>-0.28614005678576582</v>
      </c>
      <c r="N1202" s="26"/>
    </row>
    <row r="1203" spans="10:14" x14ac:dyDescent="0.25">
      <c r="J1203" s="25">
        <v>1.5650660822611462E-2</v>
      </c>
      <c r="N1203" s="26"/>
    </row>
    <row r="1204" spans="10:14" x14ac:dyDescent="0.25">
      <c r="J1204" s="25">
        <v>-0.38833567925184231</v>
      </c>
      <c r="N1204" s="26"/>
    </row>
    <row r="1205" spans="10:14" x14ac:dyDescent="0.25">
      <c r="J1205" s="25">
        <v>8.0092378279430498E-3</v>
      </c>
      <c r="N1205" s="26"/>
    </row>
    <row r="1206" spans="10:14" x14ac:dyDescent="0.25">
      <c r="J1206" s="25">
        <v>0.3439078793582262</v>
      </c>
      <c r="N1206" s="26"/>
    </row>
    <row r="1207" spans="10:14" x14ac:dyDescent="0.25">
      <c r="J1207" s="25">
        <v>2.2125511084411853E-2</v>
      </c>
      <c r="N1207" s="26"/>
    </row>
    <row r="1208" spans="10:14" x14ac:dyDescent="0.25">
      <c r="J1208" s="25">
        <v>0.69447868247854871</v>
      </c>
      <c r="N1208" s="26"/>
    </row>
    <row r="1209" spans="10:14" x14ac:dyDescent="0.25">
      <c r="J1209" s="25">
        <v>-3.1699606547847536E-2</v>
      </c>
      <c r="N1209" s="26"/>
    </row>
    <row r="1210" spans="10:14" x14ac:dyDescent="0.25">
      <c r="J1210" s="25">
        <v>0.61384764839903849</v>
      </c>
      <c r="N1210" s="26"/>
    </row>
    <row r="1211" spans="10:14" x14ac:dyDescent="0.25">
      <c r="J1211" s="25">
        <v>-1.8833837642916462E-3</v>
      </c>
      <c r="N1211" s="26"/>
    </row>
    <row r="1212" spans="10:14" x14ac:dyDescent="0.25">
      <c r="J1212" s="25">
        <v>0.11718775557000649</v>
      </c>
      <c r="N1212" s="26"/>
    </row>
    <row r="1213" spans="10:14" x14ac:dyDescent="0.25">
      <c r="J1213" s="25">
        <v>-0.43153973243909782</v>
      </c>
      <c r="N1213" s="26"/>
    </row>
    <row r="1214" spans="10:14" x14ac:dyDescent="0.25">
      <c r="J1214" s="25">
        <v>0.2374285200480124</v>
      </c>
      <c r="N1214" s="26"/>
    </row>
    <row r="1215" spans="10:14" x14ac:dyDescent="0.25">
      <c r="J1215" s="25">
        <v>0.15566940418299091</v>
      </c>
      <c r="N1215" s="26"/>
    </row>
    <row r="1216" spans="10:14" x14ac:dyDescent="0.25">
      <c r="J1216" s="25">
        <v>-0.27889536275402393</v>
      </c>
      <c r="N1216" s="26"/>
    </row>
    <row r="1217" spans="10:14" x14ac:dyDescent="0.25">
      <c r="J1217" s="25">
        <v>0.59861291114812976</v>
      </c>
      <c r="N1217" s="26"/>
    </row>
    <row r="1218" spans="10:14" x14ac:dyDescent="0.25">
      <c r="J1218" s="25">
        <v>-0.31997577922884723</v>
      </c>
      <c r="N1218" s="26"/>
    </row>
    <row r="1219" spans="10:14" x14ac:dyDescent="0.25">
      <c r="J1219" s="25">
        <v>-4.3940718606656826E-2</v>
      </c>
      <c r="N1219" s="26"/>
    </row>
    <row r="1220" spans="10:14" x14ac:dyDescent="0.25">
      <c r="J1220" s="25">
        <v>0.42588070354271101</v>
      </c>
      <c r="N1220" s="26"/>
    </row>
    <row r="1221" spans="10:14" x14ac:dyDescent="0.25">
      <c r="J1221" s="25">
        <v>0.1450674367543785</v>
      </c>
      <c r="N1221" s="26"/>
    </row>
    <row r="1222" spans="10:14" x14ac:dyDescent="0.25">
      <c r="J1222" s="25">
        <v>0.17589967262007189</v>
      </c>
      <c r="N1222" s="26"/>
    </row>
    <row r="1223" spans="10:14" x14ac:dyDescent="0.25">
      <c r="J1223" s="25">
        <v>0.21584459636260478</v>
      </c>
      <c r="N1223" s="26"/>
    </row>
    <row r="1224" spans="10:14" x14ac:dyDescent="0.25">
      <c r="J1224" s="25">
        <v>0.34189237289348084</v>
      </c>
      <c r="N1224" s="26"/>
    </row>
    <row r="1225" spans="10:14" x14ac:dyDescent="0.25">
      <c r="J1225" s="25">
        <v>1.150154258854891</v>
      </c>
      <c r="N1225" s="26"/>
    </row>
    <row r="1226" spans="10:14" x14ac:dyDescent="0.25">
      <c r="J1226" s="25">
        <v>-0.23399074089942573</v>
      </c>
      <c r="N1226" s="26"/>
    </row>
    <row r="1227" spans="10:14" x14ac:dyDescent="0.25">
      <c r="J1227" s="25">
        <v>-0.34274150849746821</v>
      </c>
      <c r="N1227" s="26"/>
    </row>
    <row r="1228" spans="10:14" x14ac:dyDescent="0.25">
      <c r="J1228" s="25">
        <v>0.11557308180335202</v>
      </c>
      <c r="N1228" s="26"/>
    </row>
    <row r="1229" spans="10:14" x14ac:dyDescent="0.25">
      <c r="J1229" s="25">
        <v>4.7198578173641703E-3</v>
      </c>
      <c r="N1229" s="26"/>
    </row>
    <row r="1230" spans="10:14" x14ac:dyDescent="0.25">
      <c r="J1230" s="25">
        <v>0.17205320309589722</v>
      </c>
      <c r="N1230" s="26"/>
    </row>
    <row r="1231" spans="10:14" x14ac:dyDescent="0.25">
      <c r="J1231" s="25">
        <v>-3.7310190671095977E-2</v>
      </c>
      <c r="N1231" s="26"/>
    </row>
    <row r="1232" spans="10:14" x14ac:dyDescent="0.25">
      <c r="J1232" s="25">
        <v>0.11930734517821007</v>
      </c>
      <c r="N1232" s="26"/>
    </row>
    <row r="1233" spans="10:14" x14ac:dyDescent="0.25">
      <c r="J1233" s="25">
        <v>0.15195547629282746</v>
      </c>
      <c r="N1233" s="26"/>
    </row>
    <row r="1234" spans="10:14" x14ac:dyDescent="0.25">
      <c r="J1234" s="25">
        <v>0.43397332748690243</v>
      </c>
      <c r="N1234" s="26"/>
    </row>
    <row r="1235" spans="10:14" x14ac:dyDescent="0.25">
      <c r="J1235" s="25">
        <v>-1.3989138327222594E-2</v>
      </c>
      <c r="N1235" s="26"/>
    </row>
    <row r="1236" spans="10:14" x14ac:dyDescent="0.25">
      <c r="J1236" s="25">
        <v>-0.33938346549427056</v>
      </c>
      <c r="N1236" s="26"/>
    </row>
    <row r="1237" spans="10:14" x14ac:dyDescent="0.25">
      <c r="J1237" s="25">
        <v>-3.0568025534758569E-2</v>
      </c>
      <c r="N1237" s="26"/>
    </row>
    <row r="1238" spans="10:14" x14ac:dyDescent="0.25">
      <c r="J1238" s="25">
        <v>-0.44542478865891899</v>
      </c>
      <c r="N1238" s="26"/>
    </row>
    <row r="1239" spans="10:14" x14ac:dyDescent="0.25">
      <c r="J1239" s="25">
        <v>0.69568023537054713</v>
      </c>
      <c r="N1239" s="26"/>
    </row>
    <row r="1240" spans="10:14" x14ac:dyDescent="0.25">
      <c r="J1240" s="25">
        <v>0.56541583053145184</v>
      </c>
      <c r="N1240" s="26"/>
    </row>
    <row r="1241" spans="10:14" x14ac:dyDescent="0.25">
      <c r="J1241" s="25">
        <v>-0.18508480739427091</v>
      </c>
      <c r="N1241" s="26"/>
    </row>
    <row r="1242" spans="10:14" x14ac:dyDescent="0.25">
      <c r="J1242" s="25">
        <v>-0.33736529862098286</v>
      </c>
      <c r="N1242" s="26"/>
    </row>
    <row r="1243" spans="10:14" x14ac:dyDescent="0.25">
      <c r="J1243" s="25">
        <v>0.62951336746746178</v>
      </c>
      <c r="N1243" s="26"/>
    </row>
    <row r="1244" spans="10:14" x14ac:dyDescent="0.25">
      <c r="J1244" s="25">
        <v>0.47459318985847854</v>
      </c>
      <c r="N1244" s="26"/>
    </row>
    <row r="1245" spans="10:14" x14ac:dyDescent="0.25">
      <c r="J1245" s="25">
        <v>-0.2383004410206303</v>
      </c>
      <c r="N1245" s="26"/>
    </row>
    <row r="1246" spans="10:14" x14ac:dyDescent="0.25">
      <c r="J1246" s="25">
        <v>0.53457961320343861</v>
      </c>
      <c r="N1246" s="26"/>
    </row>
    <row r="1247" spans="10:14" x14ac:dyDescent="0.25">
      <c r="J1247" s="25">
        <v>0.68690914229299715</v>
      </c>
      <c r="N1247" s="26"/>
    </row>
    <row r="1248" spans="10:14" x14ac:dyDescent="0.25">
      <c r="J1248" s="25">
        <v>2.0519098009985193E-2</v>
      </c>
      <c r="N1248" s="26"/>
    </row>
    <row r="1249" spans="10:14" x14ac:dyDescent="0.25">
      <c r="J1249" s="25">
        <v>-0.30523642320348821</v>
      </c>
      <c r="N1249" s="26"/>
    </row>
    <row r="1250" spans="10:14" x14ac:dyDescent="0.25">
      <c r="J1250" s="25">
        <v>0.10394154514017639</v>
      </c>
      <c r="N1250" s="26"/>
    </row>
    <row r="1251" spans="10:14" x14ac:dyDescent="0.25">
      <c r="J1251" s="25">
        <v>-0.1711651318424231</v>
      </c>
      <c r="N1251" s="26"/>
    </row>
    <row r="1252" spans="10:14" x14ac:dyDescent="0.25">
      <c r="J1252" s="25">
        <v>-0.25680303096926227</v>
      </c>
      <c r="N1252" s="26"/>
    </row>
    <row r="1253" spans="10:14" x14ac:dyDescent="0.25">
      <c r="J1253" s="25">
        <v>0.19739261125877361</v>
      </c>
      <c r="N1253" s="26"/>
    </row>
    <row r="1254" spans="10:14" x14ac:dyDescent="0.25">
      <c r="J1254" s="25">
        <v>0.19004115030544377</v>
      </c>
      <c r="N1254" s="26"/>
    </row>
    <row r="1255" spans="10:14" x14ac:dyDescent="0.25">
      <c r="J1255" s="25">
        <v>-0.38304208918684801</v>
      </c>
      <c r="N1255" s="26"/>
    </row>
    <row r="1256" spans="10:14" x14ac:dyDescent="0.25">
      <c r="J1256" s="25">
        <v>0.67412022201345079</v>
      </c>
      <c r="N1256" s="26"/>
    </row>
    <row r="1257" spans="10:14" x14ac:dyDescent="0.25">
      <c r="J1257" s="25">
        <v>2.9387697765628662E-2</v>
      </c>
      <c r="N1257" s="26"/>
    </row>
    <row r="1258" spans="10:14" x14ac:dyDescent="0.25">
      <c r="J1258" s="25">
        <v>-0.50288179268828981</v>
      </c>
      <c r="N1258" s="26"/>
    </row>
    <row r="1259" spans="10:14" x14ac:dyDescent="0.25">
      <c r="J1259" s="25">
        <v>5.5211663549685541E-2</v>
      </c>
      <c r="N1259" s="26"/>
    </row>
    <row r="1260" spans="10:14" x14ac:dyDescent="0.25">
      <c r="J1260" s="25">
        <v>0.60409546597125008</v>
      </c>
      <c r="N1260" s="26"/>
    </row>
    <row r="1261" spans="10:14" x14ac:dyDescent="0.25">
      <c r="J1261" s="25">
        <v>-0.10600047972241344</v>
      </c>
      <c r="N1261" s="26"/>
    </row>
    <row r="1262" spans="10:14" x14ac:dyDescent="0.25">
      <c r="J1262" s="25">
        <v>0.75800599530266544</v>
      </c>
      <c r="N1262" s="26"/>
    </row>
    <row r="1263" spans="10:14" x14ac:dyDescent="0.25">
      <c r="J1263" s="25">
        <v>0.180828299619892</v>
      </c>
      <c r="N1263" s="26"/>
    </row>
    <row r="1264" spans="10:14" x14ac:dyDescent="0.25">
      <c r="J1264" s="25">
        <v>-0.17793550284304616</v>
      </c>
      <c r="N1264" s="26"/>
    </row>
    <row r="1265" spans="10:14" x14ac:dyDescent="0.25">
      <c r="J1265" s="25">
        <v>2.7994772258455924E-2</v>
      </c>
      <c r="N1265" s="26"/>
    </row>
    <row r="1266" spans="10:14" x14ac:dyDescent="0.25">
      <c r="J1266" s="25">
        <v>0.419975961502701</v>
      </c>
      <c r="N1266" s="26"/>
    </row>
    <row r="1267" spans="10:14" x14ac:dyDescent="0.25">
      <c r="J1267" s="25">
        <v>0.16629536617109975</v>
      </c>
      <c r="N1267" s="26"/>
    </row>
    <row r="1268" spans="10:14" x14ac:dyDescent="0.25">
      <c r="J1268" s="25">
        <v>-6.7063788586400164E-2</v>
      </c>
      <c r="N1268" s="26"/>
    </row>
    <row r="1269" spans="10:14" x14ac:dyDescent="0.25">
      <c r="J1269" s="25">
        <v>-7.9325042013786984E-3</v>
      </c>
      <c r="N1269" s="26"/>
    </row>
    <row r="1270" spans="10:14" x14ac:dyDescent="0.25">
      <c r="J1270" s="25">
        <v>4.6623417944698486E-2</v>
      </c>
      <c r="N1270" s="26"/>
    </row>
    <row r="1271" spans="10:14" x14ac:dyDescent="0.25">
      <c r="J1271" s="25">
        <v>-0.39795631624349681</v>
      </c>
      <c r="N1271" s="26"/>
    </row>
    <row r="1272" spans="10:14" x14ac:dyDescent="0.25">
      <c r="J1272" s="25">
        <v>0.59599087808111628</v>
      </c>
      <c r="N1272" s="26"/>
    </row>
    <row r="1273" spans="10:14" x14ac:dyDescent="0.25">
      <c r="J1273" s="25">
        <v>0.14549505107741667</v>
      </c>
      <c r="N1273" s="26"/>
    </row>
    <row r="1274" spans="10:14" x14ac:dyDescent="0.25">
      <c r="J1274" s="25">
        <v>0.32030785207662293</v>
      </c>
      <c r="N1274" s="26"/>
    </row>
    <row r="1275" spans="10:14" x14ac:dyDescent="0.25">
      <c r="J1275" s="25">
        <v>-0.39536128828343731</v>
      </c>
      <c r="N1275" s="26"/>
    </row>
    <row r="1276" spans="10:14" x14ac:dyDescent="0.25">
      <c r="J1276" s="25">
        <v>-0.42443736602270232</v>
      </c>
      <c r="N1276" s="26"/>
    </row>
    <row r="1277" spans="10:14" x14ac:dyDescent="0.25">
      <c r="J1277" s="25">
        <v>-0.44223627082434425</v>
      </c>
      <c r="N1277" s="26"/>
    </row>
    <row r="1278" spans="10:14" x14ac:dyDescent="0.25">
      <c r="J1278" s="25">
        <v>1.1567559498938405</v>
      </c>
      <c r="N1278" s="26"/>
    </row>
    <row r="1279" spans="10:14" x14ac:dyDescent="0.25">
      <c r="J1279" s="25">
        <v>0.65717456187666157</v>
      </c>
      <c r="N1279" s="26"/>
    </row>
    <row r="1280" spans="10:14" x14ac:dyDescent="0.25">
      <c r="J1280" s="25">
        <v>-0.4828461265828371</v>
      </c>
      <c r="N1280" s="26"/>
    </row>
    <row r="1281" spans="10:14" x14ac:dyDescent="0.25">
      <c r="J1281" s="25">
        <v>-1.2607049454391173E-2</v>
      </c>
      <c r="N1281" s="26"/>
    </row>
    <row r="1282" spans="10:14" x14ac:dyDescent="0.25">
      <c r="J1282" s="25">
        <v>3.0859344337573091E-2</v>
      </c>
      <c r="N1282" s="26"/>
    </row>
    <row r="1283" spans="10:14" x14ac:dyDescent="0.25">
      <c r="J1283" s="25">
        <v>0.89949621862317075</v>
      </c>
      <c r="N1283" s="26"/>
    </row>
    <row r="1284" spans="10:14" x14ac:dyDescent="0.25">
      <c r="J1284" s="25">
        <v>0.80570376947260369</v>
      </c>
      <c r="N1284" s="26"/>
    </row>
    <row r="1285" spans="10:14" x14ac:dyDescent="0.25">
      <c r="J1285" s="25">
        <v>-0.30147507760955594</v>
      </c>
      <c r="N1285" s="26"/>
    </row>
    <row r="1286" spans="10:14" x14ac:dyDescent="0.25">
      <c r="J1286" s="25">
        <v>6.0711052170069557E-2</v>
      </c>
      <c r="N1286" s="26"/>
    </row>
    <row r="1287" spans="10:14" x14ac:dyDescent="0.25">
      <c r="J1287" s="25">
        <v>0.25579793934318373</v>
      </c>
      <c r="N1287" s="26"/>
    </row>
    <row r="1288" spans="10:14" x14ac:dyDescent="0.25">
      <c r="J1288" s="25">
        <v>-0.16473102795372363</v>
      </c>
      <c r="N1288" s="26"/>
    </row>
    <row r="1289" spans="10:14" x14ac:dyDescent="0.25">
      <c r="J1289" s="25">
        <v>-0.44924783752170994</v>
      </c>
      <c r="N1289" s="26"/>
    </row>
    <row r="1290" spans="10:14" x14ac:dyDescent="0.25">
      <c r="J1290" s="25">
        <v>-5.8320692967415266E-2</v>
      </c>
      <c r="N1290" s="26"/>
    </row>
    <row r="1291" spans="10:14" x14ac:dyDescent="0.25">
      <c r="J1291" s="25">
        <v>0.32733900549137829</v>
      </c>
      <c r="N1291" s="26"/>
    </row>
    <row r="1292" spans="10:14" x14ac:dyDescent="0.25">
      <c r="J1292" s="25">
        <v>-9.8581950485601588E-2</v>
      </c>
      <c r="N1292" s="26"/>
    </row>
    <row r="1293" spans="10:14" x14ac:dyDescent="0.25">
      <c r="J1293" s="25">
        <v>0.39746684359545204</v>
      </c>
      <c r="N1293" s="26"/>
    </row>
    <row r="1294" spans="10:14" x14ac:dyDescent="0.25">
      <c r="J1294" s="25">
        <v>-0.3531444078102669</v>
      </c>
      <c r="N1294" s="26"/>
    </row>
    <row r="1295" spans="10:14" x14ac:dyDescent="0.25">
      <c r="J1295" s="25">
        <v>0.52417042890773957</v>
      </c>
      <c r="N1295" s="26"/>
    </row>
    <row r="1296" spans="10:14" x14ac:dyDescent="0.25">
      <c r="J1296" s="25">
        <v>-0.16258164565424393</v>
      </c>
      <c r="N1296" s="26"/>
    </row>
    <row r="1297" spans="10:14" x14ac:dyDescent="0.25">
      <c r="J1297" s="25">
        <v>0.90392486468034949</v>
      </c>
      <c r="N1297" s="26"/>
    </row>
    <row r="1298" spans="10:14" x14ac:dyDescent="0.25">
      <c r="J1298" s="25">
        <v>0.35830089604297877</v>
      </c>
      <c r="N1298" s="26"/>
    </row>
    <row r="1299" spans="10:14" x14ac:dyDescent="0.25">
      <c r="J1299" s="25">
        <v>-0.26585267348463004</v>
      </c>
      <c r="N1299" s="26"/>
    </row>
    <row r="1300" spans="10:14" x14ac:dyDescent="0.25">
      <c r="J1300" s="25">
        <v>-0.19337757187704963</v>
      </c>
      <c r="N1300" s="26"/>
    </row>
    <row r="1301" spans="10:14" x14ac:dyDescent="0.25">
      <c r="J1301" s="25">
        <v>0.19300836807130661</v>
      </c>
      <c r="N1301" s="26"/>
    </row>
    <row r="1302" spans="10:14" x14ac:dyDescent="0.25">
      <c r="J1302" s="25">
        <v>9.282972333322359E-2</v>
      </c>
      <c r="N1302" s="26"/>
    </row>
    <row r="1303" spans="10:14" x14ac:dyDescent="0.25">
      <c r="J1303" s="25">
        <v>0.97179955989842748</v>
      </c>
      <c r="N1303" s="26"/>
    </row>
    <row r="1304" spans="10:14" x14ac:dyDescent="0.25">
      <c r="J1304" s="25">
        <v>0.12498732998612949</v>
      </c>
      <c r="N1304" s="26"/>
    </row>
    <row r="1305" spans="10:14" x14ac:dyDescent="0.25">
      <c r="J1305" s="25">
        <v>-0.36372187611604179</v>
      </c>
      <c r="N1305" s="26"/>
    </row>
    <row r="1306" spans="10:14" x14ac:dyDescent="0.25">
      <c r="J1306" s="25">
        <v>6.9271784137519221E-2</v>
      </c>
      <c r="N1306" s="26"/>
    </row>
    <row r="1307" spans="10:14" x14ac:dyDescent="0.25">
      <c r="J1307" s="25">
        <v>-0.31701182209467904</v>
      </c>
      <c r="N1307" s="26"/>
    </row>
    <row r="1308" spans="10:14" x14ac:dyDescent="0.25">
      <c r="J1308" s="25">
        <v>0.14281214636544037</v>
      </c>
      <c r="N1308" s="26"/>
    </row>
    <row r="1309" spans="10:14" x14ac:dyDescent="0.25">
      <c r="J1309" s="25">
        <v>1.0451796213407696</v>
      </c>
      <c r="N1309" s="26"/>
    </row>
    <row r="1310" spans="10:14" x14ac:dyDescent="0.25">
      <c r="J1310" s="25">
        <v>-0.32947544019280883</v>
      </c>
      <c r="N1310" s="26"/>
    </row>
    <row r="1311" spans="10:14" x14ac:dyDescent="0.25">
      <c r="J1311" s="25">
        <v>9.9720844008786891E-2</v>
      </c>
      <c r="N1311" s="26"/>
    </row>
    <row r="1312" spans="10:14" x14ac:dyDescent="0.25">
      <c r="J1312" s="25">
        <v>0.2836500615989539</v>
      </c>
      <c r="N1312" s="26"/>
    </row>
    <row r="1313" spans="10:14" x14ac:dyDescent="0.25">
      <c r="J1313" s="25">
        <v>-9.4651910083361379E-2</v>
      </c>
      <c r="N1313" s="26"/>
    </row>
    <row r="1314" spans="10:14" x14ac:dyDescent="0.25">
      <c r="J1314" s="25">
        <v>6.7823790597638656E-3</v>
      </c>
      <c r="N1314" s="26"/>
    </row>
    <row r="1315" spans="10:14" x14ac:dyDescent="0.25">
      <c r="J1315" s="25">
        <v>9.4525731212554032E-2</v>
      </c>
      <c r="N1315" s="26"/>
    </row>
    <row r="1316" spans="10:14" x14ac:dyDescent="0.25">
      <c r="J1316" s="25">
        <v>2.1293897675985773E-2</v>
      </c>
      <c r="N1316" s="26"/>
    </row>
    <row r="1317" spans="10:14" x14ac:dyDescent="0.25">
      <c r="J1317" s="25">
        <v>-4.620933896779611E-2</v>
      </c>
      <c r="N1317" s="26"/>
    </row>
    <row r="1318" spans="10:14" x14ac:dyDescent="0.25">
      <c r="J1318" s="25">
        <v>3.2213817036890191E-2</v>
      </c>
      <c r="N1318" s="26"/>
    </row>
    <row r="1319" spans="10:14" x14ac:dyDescent="0.25">
      <c r="J1319" s="25">
        <v>-6.2406755328620611E-2</v>
      </c>
      <c r="N1319" s="26"/>
    </row>
    <row r="1320" spans="10:14" x14ac:dyDescent="0.25">
      <c r="J1320" s="25">
        <v>0.12691193250438415</v>
      </c>
      <c r="N1320" s="26"/>
    </row>
    <row r="1321" spans="10:14" x14ac:dyDescent="0.25">
      <c r="J1321" s="25">
        <v>-0.11728322940765024</v>
      </c>
      <c r="N1321" s="26"/>
    </row>
    <row r="1322" spans="10:14" x14ac:dyDescent="0.25">
      <c r="J1322" s="25">
        <v>-0.39959065850231212</v>
      </c>
      <c r="N1322" s="26"/>
    </row>
    <row r="1323" spans="10:14" x14ac:dyDescent="0.25">
      <c r="J1323" s="25">
        <v>4.5062173917925552E-2</v>
      </c>
      <c r="N1323" s="26"/>
    </row>
    <row r="1324" spans="10:14" x14ac:dyDescent="0.25">
      <c r="J1324" s="25">
        <v>4.3764945189239457E-2</v>
      </c>
      <c r="N1324" s="26"/>
    </row>
    <row r="1325" spans="10:14" x14ac:dyDescent="0.25">
      <c r="J1325" s="25">
        <v>-0.39252686325113217</v>
      </c>
      <c r="N1325" s="26"/>
    </row>
    <row r="1326" spans="10:14" x14ac:dyDescent="0.25">
      <c r="J1326" s="25">
        <v>0.19180249466232713</v>
      </c>
      <c r="N1326" s="26"/>
    </row>
    <row r="1327" spans="10:14" x14ac:dyDescent="0.25">
      <c r="J1327" s="25">
        <v>-0.32385501609902922</v>
      </c>
      <c r="N1327" s="26"/>
    </row>
    <row r="1328" spans="10:14" x14ac:dyDescent="0.25">
      <c r="J1328" s="25">
        <v>-6.9660634542991984E-2</v>
      </c>
      <c r="N1328" s="26"/>
    </row>
    <row r="1329" spans="10:14" x14ac:dyDescent="0.25">
      <c r="J1329" s="25">
        <v>-8.8571992530769861E-2</v>
      </c>
      <c r="N1329" s="26"/>
    </row>
    <row r="1330" spans="10:14" x14ac:dyDescent="0.25">
      <c r="J1330" s="25">
        <v>0.54248834090547549</v>
      </c>
      <c r="N1330" s="26"/>
    </row>
    <row r="1331" spans="10:14" x14ac:dyDescent="0.25">
      <c r="J1331" s="25">
        <v>-0.26466372528935134</v>
      </c>
      <c r="N1331" s="26"/>
    </row>
    <row r="1332" spans="10:14" x14ac:dyDescent="0.25">
      <c r="J1332" s="25">
        <v>-2.9580091855259338E-2</v>
      </c>
      <c r="N1332" s="26"/>
    </row>
    <row r="1333" spans="10:14" x14ac:dyDescent="0.25">
      <c r="J1333" s="25">
        <v>-2.7008213620106525E-2</v>
      </c>
      <c r="N1333" s="26"/>
    </row>
    <row r="1334" spans="10:14" x14ac:dyDescent="0.25">
      <c r="J1334" s="25">
        <v>1.0246230431965468</v>
      </c>
      <c r="N1334" s="26"/>
    </row>
    <row r="1335" spans="10:14" x14ac:dyDescent="0.25">
      <c r="J1335" s="25">
        <v>0.56703484343846333</v>
      </c>
      <c r="N1335" s="26"/>
    </row>
    <row r="1336" spans="10:14" x14ac:dyDescent="0.25">
      <c r="J1336" s="25">
        <v>0.13637908161460777</v>
      </c>
      <c r="N1336" s="26"/>
    </row>
    <row r="1337" spans="10:14" x14ac:dyDescent="0.25">
      <c r="J1337" s="25">
        <v>-0.36263399504720351</v>
      </c>
      <c r="N1337" s="26"/>
    </row>
    <row r="1338" spans="10:14" x14ac:dyDescent="0.25">
      <c r="J1338" s="25">
        <v>0.52927181308050164</v>
      </c>
      <c r="N1338" s="26"/>
    </row>
    <row r="1339" spans="10:14" x14ac:dyDescent="0.25">
      <c r="J1339" s="25">
        <v>-0.36907224453744403</v>
      </c>
      <c r="N1339" s="26"/>
    </row>
    <row r="1340" spans="10:14" x14ac:dyDescent="0.25">
      <c r="J1340" s="25">
        <v>0.71451317784603119</v>
      </c>
      <c r="N1340" s="26"/>
    </row>
    <row r="1341" spans="10:14" x14ac:dyDescent="0.25">
      <c r="J1341" s="25">
        <v>-0.17820365432158625</v>
      </c>
      <c r="N1341" s="26"/>
    </row>
    <row r="1342" spans="10:14" x14ac:dyDescent="0.25">
      <c r="J1342" s="25">
        <v>-0.11014483312438716</v>
      </c>
      <c r="N1342" s="26"/>
    </row>
    <row r="1343" spans="10:14" x14ac:dyDescent="0.25">
      <c r="J1343" s="25">
        <v>-0.41453539193329236</v>
      </c>
      <c r="N1343" s="26"/>
    </row>
    <row r="1344" spans="10:14" x14ac:dyDescent="0.25">
      <c r="J1344" s="25">
        <v>7.2506589823289724E-2</v>
      </c>
      <c r="N1344" s="26"/>
    </row>
    <row r="1345" spans="10:14" x14ac:dyDescent="0.25">
      <c r="J1345" s="25">
        <v>9.8717684543564443E-2</v>
      </c>
      <c r="N1345" s="26"/>
    </row>
    <row r="1346" spans="10:14" x14ac:dyDescent="0.25">
      <c r="J1346" s="25">
        <v>1.0332848617278572</v>
      </c>
      <c r="N1346" s="26"/>
    </row>
    <row r="1347" spans="10:14" x14ac:dyDescent="0.25">
      <c r="J1347" s="25">
        <v>0.3734099724755382</v>
      </c>
      <c r="N1347" s="26"/>
    </row>
    <row r="1348" spans="10:14" x14ac:dyDescent="0.25">
      <c r="J1348" s="25">
        <v>-0.38638710537767851</v>
      </c>
      <c r="N1348" s="26"/>
    </row>
    <row r="1349" spans="10:14" x14ac:dyDescent="0.25">
      <c r="J1349" s="25">
        <v>4.3216566420374303E-2</v>
      </c>
      <c r="N1349" s="26"/>
    </row>
    <row r="1350" spans="10:14" x14ac:dyDescent="0.25">
      <c r="J1350" s="25">
        <v>0.18506215284692673</v>
      </c>
      <c r="N1350" s="26"/>
    </row>
    <row r="1351" spans="10:14" x14ac:dyDescent="0.25">
      <c r="J1351" s="25">
        <v>-0.27248418856962398</v>
      </c>
      <c r="N1351" s="26"/>
    </row>
    <row r="1352" spans="10:14" x14ac:dyDescent="0.25">
      <c r="J1352" s="25">
        <v>-1.6239577171178299E-2</v>
      </c>
      <c r="N1352" s="26"/>
    </row>
    <row r="1353" spans="10:14" x14ac:dyDescent="0.25">
      <c r="J1353" s="25">
        <v>0.73071001458706331</v>
      </c>
      <c r="N1353" s="26"/>
    </row>
    <row r="1354" spans="10:14" x14ac:dyDescent="0.25">
      <c r="J1354" s="25">
        <v>-4.0708273841504328E-2</v>
      </c>
      <c r="N1354" s="26"/>
    </row>
    <row r="1355" spans="10:14" x14ac:dyDescent="0.25">
      <c r="J1355" s="25">
        <v>-0.39540438534450595</v>
      </c>
      <c r="N1355" s="26"/>
    </row>
    <row r="1356" spans="10:14" x14ac:dyDescent="0.25">
      <c r="J1356" s="25">
        <v>0.2232035251614588</v>
      </c>
      <c r="N1356" s="26"/>
    </row>
    <row r="1357" spans="10:14" x14ac:dyDescent="0.25">
      <c r="J1357" s="25">
        <v>0.17733117299726175</v>
      </c>
      <c r="N1357" s="26"/>
    </row>
    <row r="1358" spans="10:14" x14ac:dyDescent="0.25">
      <c r="J1358" s="25">
        <v>0.55397173571226022</v>
      </c>
      <c r="N1358" s="26"/>
    </row>
    <row r="1359" spans="10:14" x14ac:dyDescent="0.25">
      <c r="J1359" s="25">
        <v>0.568097844453892</v>
      </c>
      <c r="N1359" s="26"/>
    </row>
    <row r="1360" spans="10:14" x14ac:dyDescent="0.25">
      <c r="J1360" s="25">
        <v>0.31568619474964099</v>
      </c>
      <c r="N1360" s="26"/>
    </row>
    <row r="1361" spans="10:14" x14ac:dyDescent="0.25">
      <c r="J1361" s="25">
        <v>-0.26672472968716443</v>
      </c>
      <c r="N1361" s="26"/>
    </row>
    <row r="1362" spans="10:14" x14ac:dyDescent="0.25">
      <c r="J1362" s="25">
        <v>-0.11790354386569224</v>
      </c>
      <c r="N1362" s="26"/>
    </row>
    <row r="1363" spans="10:14" x14ac:dyDescent="0.25">
      <c r="J1363" s="25">
        <v>9.7894295764966444E-2</v>
      </c>
      <c r="N1363" s="26"/>
    </row>
    <row r="1364" spans="10:14" x14ac:dyDescent="0.25">
      <c r="J1364" s="25">
        <v>-0.46848395499131978</v>
      </c>
      <c r="N1364" s="26"/>
    </row>
    <row r="1365" spans="10:14" x14ac:dyDescent="0.25">
      <c r="J1365" s="25">
        <v>-0.51809190869794142</v>
      </c>
      <c r="N1365" s="26"/>
    </row>
    <row r="1366" spans="10:14" x14ac:dyDescent="0.25">
      <c r="J1366" s="25">
        <v>-0.11062856381192998</v>
      </c>
      <c r="N1366" s="26"/>
    </row>
    <row r="1367" spans="10:14" x14ac:dyDescent="0.25">
      <c r="J1367" s="25">
        <v>5.1267451492147842E-2</v>
      </c>
      <c r="N1367" s="26"/>
    </row>
    <row r="1368" spans="10:14" x14ac:dyDescent="0.25">
      <c r="J1368" s="25">
        <v>-0.35302408612878422</v>
      </c>
      <c r="N1368" s="26"/>
    </row>
    <row r="1369" spans="10:14" x14ac:dyDescent="0.25">
      <c r="J1369" s="25">
        <v>-0.44511593370979663</v>
      </c>
      <c r="N1369" s="26"/>
    </row>
    <row r="1370" spans="10:14" x14ac:dyDescent="0.25">
      <c r="J1370" s="25">
        <v>0.38200208326343432</v>
      </c>
      <c r="N1370" s="26"/>
    </row>
    <row r="1371" spans="10:14" x14ac:dyDescent="0.25">
      <c r="J1371" s="25">
        <v>0.14618030096112866</v>
      </c>
      <c r="N1371" s="26"/>
    </row>
    <row r="1372" spans="10:14" x14ac:dyDescent="0.25">
      <c r="J1372" s="25">
        <v>7.191770852328494E-2</v>
      </c>
      <c r="N1372" s="26"/>
    </row>
    <row r="1373" spans="10:14" x14ac:dyDescent="0.25">
      <c r="J1373" s="25">
        <v>-0.21520547020647374</v>
      </c>
      <c r="N1373" s="26"/>
    </row>
    <row r="1374" spans="10:14" x14ac:dyDescent="0.25">
      <c r="J1374" s="25">
        <v>0.30420349541207337</v>
      </c>
      <c r="N1374" s="26"/>
    </row>
    <row r="1375" spans="10:14" x14ac:dyDescent="0.25">
      <c r="J1375" s="25">
        <v>0.22161280275342987</v>
      </c>
      <c r="N1375" s="26"/>
    </row>
    <row r="1376" spans="10:14" x14ac:dyDescent="0.25">
      <c r="J1376" s="25">
        <v>-0.50303656381800321</v>
      </c>
      <c r="N1376" s="26"/>
    </row>
    <row r="1377" spans="10:14" x14ac:dyDescent="0.25">
      <c r="J1377" s="25">
        <v>-4.1963115979264942E-2</v>
      </c>
      <c r="N1377" s="26"/>
    </row>
    <row r="1378" spans="10:14" x14ac:dyDescent="0.25">
      <c r="J1378" s="25">
        <v>-0.45747058024704934</v>
      </c>
      <c r="N1378" s="26"/>
    </row>
    <row r="1379" spans="10:14" x14ac:dyDescent="0.25">
      <c r="J1379" s="25">
        <v>-0.37454985470721325</v>
      </c>
      <c r="N1379" s="26"/>
    </row>
    <row r="1380" spans="10:14" x14ac:dyDescent="0.25">
      <c r="J1380" s="25">
        <v>0.73552844274546669</v>
      </c>
      <c r="N1380" s="26"/>
    </row>
    <row r="1381" spans="10:14" x14ac:dyDescent="0.25">
      <c r="J1381" s="25">
        <v>4.0393736706982875E-2</v>
      </c>
      <c r="N1381" s="26"/>
    </row>
    <row r="1382" spans="10:14" x14ac:dyDescent="0.25">
      <c r="J1382" s="25">
        <v>0.29443333536145255</v>
      </c>
      <c r="N1382" s="26"/>
    </row>
    <row r="1383" spans="10:14" x14ac:dyDescent="0.25">
      <c r="J1383" s="25">
        <v>0.74092770489391757</v>
      </c>
      <c r="N1383" s="26"/>
    </row>
    <row r="1384" spans="10:14" x14ac:dyDescent="0.25">
      <c r="J1384" s="25">
        <v>0.92562607490981641</v>
      </c>
      <c r="N1384" s="26"/>
    </row>
    <row r="1385" spans="10:14" x14ac:dyDescent="0.25">
      <c r="J1385" s="25">
        <v>-9.2376816261751427E-2</v>
      </c>
      <c r="N1385" s="26"/>
    </row>
    <row r="1386" spans="10:14" x14ac:dyDescent="0.25">
      <c r="J1386" s="25">
        <v>0.38162171810448342</v>
      </c>
      <c r="N1386" s="26"/>
    </row>
    <row r="1387" spans="10:14" x14ac:dyDescent="0.25">
      <c r="J1387" s="25">
        <v>0.87847691841094089</v>
      </c>
      <c r="N1387" s="26"/>
    </row>
    <row r="1388" spans="10:14" x14ac:dyDescent="0.25">
      <c r="J1388" s="25">
        <v>0.71088227525186132</v>
      </c>
      <c r="N1388" s="26"/>
    </row>
    <row r="1389" spans="10:14" x14ac:dyDescent="0.25">
      <c r="J1389" s="25">
        <v>6.0939348927290915E-2</v>
      </c>
      <c r="N1389" s="26"/>
    </row>
    <row r="1390" spans="10:14" x14ac:dyDescent="0.25">
      <c r="J1390" s="25">
        <v>0.30215709759845022</v>
      </c>
      <c r="N1390" s="26"/>
    </row>
    <row r="1391" spans="10:14" x14ac:dyDescent="0.25">
      <c r="J1391" s="25">
        <v>0.14462243810163766</v>
      </c>
      <c r="N1391" s="26"/>
    </row>
    <row r="1392" spans="10:14" x14ac:dyDescent="0.25">
      <c r="J1392" s="25">
        <v>0.1290490676881626</v>
      </c>
      <c r="N1392" s="26"/>
    </row>
    <row r="1393" spans="10:14" x14ac:dyDescent="0.25">
      <c r="J1393" s="25">
        <v>-0.37119871716037833</v>
      </c>
      <c r="N1393" s="26"/>
    </row>
    <row r="1394" spans="10:14" x14ac:dyDescent="0.25">
      <c r="J1394" s="25">
        <v>-0.20087272017225843</v>
      </c>
      <c r="N1394" s="26"/>
    </row>
    <row r="1395" spans="10:14" x14ac:dyDescent="0.25">
      <c r="J1395" s="25">
        <v>-0.2831693977030959</v>
      </c>
      <c r="N1395" s="26"/>
    </row>
    <row r="1396" spans="10:14" x14ac:dyDescent="0.25">
      <c r="J1396" s="25">
        <v>-0.21899359814746278</v>
      </c>
      <c r="N1396" s="26"/>
    </row>
    <row r="1397" spans="10:14" x14ac:dyDescent="0.25">
      <c r="J1397" s="25">
        <v>-0.21289044980273819</v>
      </c>
      <c r="N1397" s="26"/>
    </row>
    <row r="1398" spans="10:14" x14ac:dyDescent="0.25">
      <c r="J1398" s="25">
        <v>-0.44521992190355086</v>
      </c>
      <c r="N1398" s="26"/>
    </row>
    <row r="1399" spans="10:14" x14ac:dyDescent="0.25">
      <c r="J1399" s="25">
        <v>-0.2047095588517458</v>
      </c>
      <c r="N1399" s="26"/>
    </row>
    <row r="1400" spans="10:14" x14ac:dyDescent="0.25">
      <c r="J1400" s="25">
        <v>-0.34823655122514285</v>
      </c>
      <c r="N1400" s="26"/>
    </row>
    <row r="1401" spans="10:14" x14ac:dyDescent="0.25">
      <c r="J1401" s="25">
        <v>0.10112361173122197</v>
      </c>
      <c r="N1401" s="26"/>
    </row>
    <row r="1402" spans="10:14" x14ac:dyDescent="0.25">
      <c r="J1402" s="25">
        <v>6.6349185273672395E-2</v>
      </c>
      <c r="N1402" s="26"/>
    </row>
    <row r="1403" spans="10:14" x14ac:dyDescent="0.25">
      <c r="J1403" s="25">
        <v>7.5984993088479058E-2</v>
      </c>
      <c r="N1403" s="26"/>
    </row>
    <row r="1404" spans="10:14" x14ac:dyDescent="0.25">
      <c r="J1404" s="25">
        <v>0.33847392749920702</v>
      </c>
      <c r="N1404" s="26"/>
    </row>
    <row r="1405" spans="10:14" x14ac:dyDescent="0.25">
      <c r="J1405" s="25">
        <v>-0.2780612740300783</v>
      </c>
      <c r="N1405" s="26"/>
    </row>
    <row r="1406" spans="10:14" x14ac:dyDescent="0.25">
      <c r="J1406" s="25">
        <v>0.60617944455200301</v>
      </c>
      <c r="N1406" s="26"/>
    </row>
    <row r="1407" spans="10:14" x14ac:dyDescent="0.25">
      <c r="J1407" s="25">
        <v>-0.10423423325094405</v>
      </c>
      <c r="N1407" s="26"/>
    </row>
    <row r="1408" spans="10:14" x14ac:dyDescent="0.25">
      <c r="J1408" s="25">
        <v>-0.25147651167296037</v>
      </c>
      <c r="N1408" s="26"/>
    </row>
    <row r="1409" spans="10:14" x14ac:dyDescent="0.25">
      <c r="J1409" s="25">
        <v>-0.39972030550450255</v>
      </c>
      <c r="N1409" s="26"/>
    </row>
    <row r="1410" spans="10:14" x14ac:dyDescent="0.25">
      <c r="J1410" s="25">
        <v>0.63598236679670328</v>
      </c>
      <c r="N1410" s="26"/>
    </row>
    <row r="1411" spans="10:14" x14ac:dyDescent="0.25">
      <c r="J1411" s="25">
        <v>0.23746714285667592</v>
      </c>
      <c r="N1411" s="26"/>
    </row>
    <row r="1412" spans="10:14" x14ac:dyDescent="0.25">
      <c r="J1412" s="25">
        <v>-0.3473764828307222</v>
      </c>
      <c r="N1412" s="26"/>
    </row>
    <row r="1413" spans="10:14" x14ac:dyDescent="0.25">
      <c r="J1413" s="25">
        <v>-0.29566228937293715</v>
      </c>
      <c r="N1413" s="26"/>
    </row>
    <row r="1414" spans="10:14" x14ac:dyDescent="0.25">
      <c r="J1414" s="25">
        <v>9.3806529520607862E-2</v>
      </c>
      <c r="N1414" s="26"/>
    </row>
    <row r="1415" spans="10:14" x14ac:dyDescent="0.25">
      <c r="J1415" s="25">
        <v>-0.47727574190620781</v>
      </c>
      <c r="N1415" s="26"/>
    </row>
    <row r="1416" spans="10:14" x14ac:dyDescent="0.25">
      <c r="J1416" s="25">
        <v>-0.18341181218407576</v>
      </c>
      <c r="N1416" s="26"/>
    </row>
    <row r="1417" spans="10:14" x14ac:dyDescent="0.25">
      <c r="J1417" s="25">
        <v>-0.33339166629951822</v>
      </c>
      <c r="N1417" s="26"/>
    </row>
    <row r="1418" spans="10:14" x14ac:dyDescent="0.25">
      <c r="J1418" s="25">
        <v>-0.18436854170992467</v>
      </c>
      <c r="N1418" s="26"/>
    </row>
    <row r="1419" spans="10:14" x14ac:dyDescent="0.25">
      <c r="J1419" s="25">
        <v>-7.4464641971501599E-2</v>
      </c>
      <c r="N1419" s="26"/>
    </row>
    <row r="1420" spans="10:14" x14ac:dyDescent="0.25">
      <c r="J1420" s="25">
        <v>-0.3547288048510896</v>
      </c>
      <c r="N1420" s="26"/>
    </row>
    <row r="1421" spans="10:14" x14ac:dyDescent="0.25">
      <c r="J1421" s="25">
        <v>0.50291661457365255</v>
      </c>
      <c r="N1421" s="26"/>
    </row>
    <row r="1422" spans="10:14" x14ac:dyDescent="0.25">
      <c r="J1422" s="25">
        <v>3.5298597266713028E-3</v>
      </c>
      <c r="N1422" s="26"/>
    </row>
    <row r="1423" spans="10:14" x14ac:dyDescent="0.25">
      <c r="J1423" s="25">
        <v>-0.53097186898194548</v>
      </c>
      <c r="N1423" s="26"/>
    </row>
    <row r="1424" spans="10:14" x14ac:dyDescent="0.25">
      <c r="J1424" s="25">
        <v>0.86133576323977312</v>
      </c>
      <c r="N1424" s="26"/>
    </row>
    <row r="1425" spans="10:14" x14ac:dyDescent="0.25">
      <c r="J1425" s="25">
        <v>-4.52667899536916E-2</v>
      </c>
      <c r="N1425" s="26"/>
    </row>
    <row r="1426" spans="10:14" x14ac:dyDescent="0.25">
      <c r="J1426" s="25">
        <v>0.27646265643944434</v>
      </c>
      <c r="N1426" s="26"/>
    </row>
    <row r="1427" spans="10:14" x14ac:dyDescent="0.25">
      <c r="J1427" s="25">
        <v>-4.417920031031719E-2</v>
      </c>
      <c r="N1427" s="26"/>
    </row>
    <row r="1428" spans="10:14" x14ac:dyDescent="0.25">
      <c r="J1428" s="25">
        <v>0.5593830667074069</v>
      </c>
      <c r="N1428" s="26"/>
    </row>
    <row r="1429" spans="10:14" x14ac:dyDescent="0.25">
      <c r="J1429" s="25">
        <v>-0.11665804730697715</v>
      </c>
      <c r="N1429" s="26"/>
    </row>
    <row r="1430" spans="10:14" x14ac:dyDescent="0.25">
      <c r="J1430" s="25">
        <v>-0.46418457093275733</v>
      </c>
      <c r="N1430" s="26"/>
    </row>
    <row r="1431" spans="10:14" x14ac:dyDescent="0.25">
      <c r="J1431" s="25">
        <v>-0.11851335302129684</v>
      </c>
      <c r="N1431" s="26"/>
    </row>
    <row r="1432" spans="10:14" x14ac:dyDescent="0.25">
      <c r="J1432" s="25">
        <v>0.65012169683281296</v>
      </c>
      <c r="N1432" s="26"/>
    </row>
    <row r="1433" spans="10:14" x14ac:dyDescent="0.25">
      <c r="J1433" s="25">
        <v>-0.20970711045432633</v>
      </c>
      <c r="N1433" s="26"/>
    </row>
    <row r="1434" spans="10:14" x14ac:dyDescent="0.25">
      <c r="J1434" s="25">
        <v>1.2278647854438551E-2</v>
      </c>
      <c r="N1434" s="26"/>
    </row>
    <row r="1435" spans="10:14" x14ac:dyDescent="0.25">
      <c r="J1435" s="25">
        <v>-0.11294841504078446</v>
      </c>
      <c r="N1435" s="26"/>
    </row>
    <row r="1436" spans="10:14" x14ac:dyDescent="0.25">
      <c r="J1436" s="25">
        <v>-0.39962493429987411</v>
      </c>
      <c r="N1436" s="26"/>
    </row>
    <row r="1437" spans="10:14" x14ac:dyDescent="0.25">
      <c r="J1437" s="25">
        <v>1.1119078661347537E-2</v>
      </c>
      <c r="N1437" s="26"/>
    </row>
    <row r="1438" spans="10:14" x14ac:dyDescent="0.25">
      <c r="J1438" s="25">
        <v>-0.50015980098505142</v>
      </c>
      <c r="N1438" s="26"/>
    </row>
    <row r="1439" spans="10:14" x14ac:dyDescent="0.25">
      <c r="J1439" s="25">
        <v>-0.3494023181171344</v>
      </c>
      <c r="N1439" s="26"/>
    </row>
    <row r="1440" spans="10:14" x14ac:dyDescent="0.25">
      <c r="J1440" s="25">
        <v>0.57621582817160277</v>
      </c>
      <c r="N1440" s="26"/>
    </row>
    <row r="1441" spans="10:14" x14ac:dyDescent="0.25">
      <c r="J1441" s="25">
        <v>-0.28776514809319609</v>
      </c>
      <c r="N1441" s="26"/>
    </row>
    <row r="1442" spans="10:14" x14ac:dyDescent="0.25">
      <c r="J1442" s="25">
        <v>-0.43513077831496005</v>
      </c>
      <c r="N1442" s="26"/>
    </row>
    <row r="1443" spans="10:14" x14ac:dyDescent="0.25">
      <c r="J1443" s="25">
        <v>-0.5276879868967923</v>
      </c>
      <c r="N1443" s="26"/>
    </row>
    <row r="1444" spans="10:14" x14ac:dyDescent="0.25">
      <c r="J1444" s="25">
        <v>-4.4813278592642614E-2</v>
      </c>
      <c r="N1444" s="26"/>
    </row>
    <row r="1445" spans="10:14" x14ac:dyDescent="0.25">
      <c r="J1445" s="25">
        <v>-0.38782376366293747</v>
      </c>
      <c r="N1445" s="26"/>
    </row>
    <row r="1446" spans="10:14" x14ac:dyDescent="0.25">
      <c r="J1446" s="25">
        <v>0.80808917812017067</v>
      </c>
      <c r="N1446" s="26"/>
    </row>
    <row r="1447" spans="10:14" x14ac:dyDescent="0.25">
      <c r="J1447" s="25">
        <v>0.5913865801795597</v>
      </c>
      <c r="N1447" s="26"/>
    </row>
    <row r="1448" spans="10:14" x14ac:dyDescent="0.25">
      <c r="J1448" s="25">
        <v>1.0789530794750939</v>
      </c>
      <c r="N1448" s="26"/>
    </row>
    <row r="1449" spans="10:14" x14ac:dyDescent="0.25">
      <c r="J1449" s="25">
        <v>0.91597753799716153</v>
      </c>
      <c r="N1449" s="26"/>
    </row>
    <row r="1450" spans="10:14" x14ac:dyDescent="0.25">
      <c r="J1450" s="25">
        <v>0.45808503981014015</v>
      </c>
      <c r="N1450" s="26"/>
    </row>
    <row r="1451" spans="10:14" x14ac:dyDescent="0.25">
      <c r="J1451" s="25">
        <v>-0.1523456566888779</v>
      </c>
      <c r="N1451" s="26"/>
    </row>
    <row r="1452" spans="10:14" x14ac:dyDescent="0.25">
      <c r="J1452" s="25">
        <v>0.53950674777540653</v>
      </c>
      <c r="N1452" s="26"/>
    </row>
    <row r="1453" spans="10:14" x14ac:dyDescent="0.25">
      <c r="J1453" s="25">
        <v>0.12003488156502007</v>
      </c>
      <c r="N1453" s="26"/>
    </row>
    <row r="1454" spans="10:14" x14ac:dyDescent="0.25">
      <c r="J1454" s="25">
        <v>0.38845178460576268</v>
      </c>
      <c r="N1454" s="26"/>
    </row>
    <row r="1455" spans="10:14" x14ac:dyDescent="0.25">
      <c r="J1455" s="25">
        <v>0.22079075410888205</v>
      </c>
      <c r="N1455" s="26"/>
    </row>
    <row r="1456" spans="10:14" x14ac:dyDescent="0.25">
      <c r="J1456" s="25">
        <v>0.81181935955410744</v>
      </c>
      <c r="N1456" s="26"/>
    </row>
    <row r="1457" spans="10:14" x14ac:dyDescent="0.25">
      <c r="J1457" s="25">
        <v>-0.29990611016705826</v>
      </c>
      <c r="N1457" s="26"/>
    </row>
    <row r="1458" spans="10:14" x14ac:dyDescent="0.25">
      <c r="J1458" s="25">
        <v>0.49860926660555349</v>
      </c>
      <c r="N1458" s="26"/>
    </row>
    <row r="1459" spans="10:14" x14ac:dyDescent="0.25">
      <c r="J1459" s="25">
        <v>-7.345824353519359E-2</v>
      </c>
      <c r="N1459" s="26"/>
    </row>
    <row r="1460" spans="10:14" x14ac:dyDescent="0.25">
      <c r="J1460" s="25">
        <v>0.34882775545051281</v>
      </c>
      <c r="N1460" s="26"/>
    </row>
    <row r="1461" spans="10:14" x14ac:dyDescent="0.25">
      <c r="J1461" s="25">
        <v>3.4008719012616151E-2</v>
      </c>
      <c r="N1461" s="26"/>
    </row>
    <row r="1462" spans="10:14" x14ac:dyDescent="0.25">
      <c r="J1462" s="25">
        <v>0.99853560472546321</v>
      </c>
      <c r="N1462" s="26"/>
    </row>
    <row r="1463" spans="10:14" x14ac:dyDescent="0.25">
      <c r="J1463" s="25">
        <v>-0.38106227901424961</v>
      </c>
      <c r="N1463" s="26"/>
    </row>
    <row r="1464" spans="10:14" x14ac:dyDescent="0.25">
      <c r="J1464" s="25">
        <v>-0.31957247133464961</v>
      </c>
      <c r="N1464" s="26"/>
    </row>
    <row r="1465" spans="10:14" x14ac:dyDescent="0.25">
      <c r="J1465" s="25">
        <v>0.52880384852599871</v>
      </c>
      <c r="N1465" s="26"/>
    </row>
    <row r="1466" spans="10:14" x14ac:dyDescent="0.25">
      <c r="J1466" s="25">
        <v>-2.6902053098711964E-2</v>
      </c>
      <c r="N1466" s="26"/>
    </row>
    <row r="1467" spans="10:14" x14ac:dyDescent="0.25">
      <c r="J1467" s="25">
        <v>-0.16599555418330569</v>
      </c>
      <c r="N1467" s="26"/>
    </row>
    <row r="1468" spans="10:14" x14ac:dyDescent="0.25">
      <c r="J1468" s="25">
        <v>-0.18842478058579948</v>
      </c>
      <c r="N1468" s="26"/>
    </row>
    <row r="1469" spans="10:14" x14ac:dyDescent="0.25">
      <c r="J1469" s="25">
        <v>-1.7979525209652181E-2</v>
      </c>
      <c r="N1469" s="26"/>
    </row>
    <row r="1470" spans="10:14" x14ac:dyDescent="0.25">
      <c r="J1470" s="25">
        <v>0.98341017447132373</v>
      </c>
      <c r="N1470" s="26"/>
    </row>
    <row r="1471" spans="10:14" x14ac:dyDescent="0.25">
      <c r="J1471" s="25">
        <v>-4.7415264022126258E-2</v>
      </c>
      <c r="N1471" s="26"/>
    </row>
    <row r="1472" spans="10:14" x14ac:dyDescent="0.25">
      <c r="J1472" s="25">
        <v>0.1182186574507047</v>
      </c>
      <c r="N1472" s="26"/>
    </row>
    <row r="1473" spans="10:14" x14ac:dyDescent="0.25">
      <c r="J1473" s="25">
        <v>0.1361177897413175</v>
      </c>
      <c r="N1473" s="26"/>
    </row>
    <row r="1474" spans="10:14" x14ac:dyDescent="0.25">
      <c r="J1474" s="25">
        <v>0.33804768945501595</v>
      </c>
      <c r="N1474" s="26"/>
    </row>
    <row r="1475" spans="10:14" x14ac:dyDescent="0.25">
      <c r="J1475" s="25">
        <v>-0.15343856284005852</v>
      </c>
      <c r="N1475" s="26"/>
    </row>
    <row r="1476" spans="10:14" x14ac:dyDescent="0.25">
      <c r="J1476" s="25">
        <v>4.1844748095457351E-2</v>
      </c>
      <c r="N1476" s="26"/>
    </row>
    <row r="1477" spans="10:14" x14ac:dyDescent="0.25">
      <c r="J1477" s="25">
        <v>-4.2835017560254318E-2</v>
      </c>
      <c r="N1477" s="26"/>
    </row>
    <row r="1478" spans="10:14" x14ac:dyDescent="0.25">
      <c r="J1478" s="25">
        <v>-0.14971624686066742</v>
      </c>
      <c r="N1478" s="26"/>
    </row>
    <row r="1479" spans="10:14" x14ac:dyDescent="0.25">
      <c r="J1479" s="25">
        <v>0.4944642483482582</v>
      </c>
      <c r="N1479" s="26"/>
    </row>
    <row r="1480" spans="10:14" x14ac:dyDescent="0.25">
      <c r="J1480" s="25">
        <v>-0.18804975269714286</v>
      </c>
      <c r="N1480" s="26"/>
    </row>
    <row r="1481" spans="10:14" x14ac:dyDescent="0.25">
      <c r="J1481" s="25">
        <v>0.16806034641468903</v>
      </c>
      <c r="N1481" s="26"/>
    </row>
    <row r="1482" spans="10:14" x14ac:dyDescent="0.25">
      <c r="J1482" s="25">
        <v>-0.18147465345373515</v>
      </c>
      <c r="N1482" s="26"/>
    </row>
    <row r="1483" spans="10:14" x14ac:dyDescent="0.25">
      <c r="J1483" s="25">
        <v>0.23047848005572757</v>
      </c>
      <c r="N1483" s="26"/>
    </row>
    <row r="1484" spans="10:14" x14ac:dyDescent="0.25">
      <c r="J1484" s="25">
        <v>0.11036465227966663</v>
      </c>
      <c r="N1484" s="26"/>
    </row>
    <row r="1485" spans="10:14" x14ac:dyDescent="0.25">
      <c r="J1485" s="25">
        <v>-0.38583318271143385</v>
      </c>
      <c r="N1485" s="26"/>
    </row>
    <row r="1486" spans="10:14" x14ac:dyDescent="0.25">
      <c r="J1486" s="25">
        <v>-0.24796104328291269</v>
      </c>
      <c r="N1486" s="26"/>
    </row>
    <row r="1487" spans="10:14" x14ac:dyDescent="0.25">
      <c r="J1487" s="25">
        <v>-9.8949812826569894E-2</v>
      </c>
      <c r="N1487" s="26"/>
    </row>
    <row r="1488" spans="10:14" x14ac:dyDescent="0.25">
      <c r="J1488" s="25">
        <v>0.50501759326920226</v>
      </c>
      <c r="N1488" s="26"/>
    </row>
    <row r="1489" spans="10:14" x14ac:dyDescent="0.25">
      <c r="J1489" s="25">
        <v>0.25923259013878042</v>
      </c>
      <c r="N1489" s="26"/>
    </row>
    <row r="1490" spans="10:14" x14ac:dyDescent="0.25">
      <c r="J1490" s="25">
        <v>7.1703363311722779E-2</v>
      </c>
      <c r="N1490" s="26"/>
    </row>
    <row r="1491" spans="10:14" x14ac:dyDescent="0.25">
      <c r="J1491" s="25">
        <v>0.12859748552900752</v>
      </c>
      <c r="N1491" s="26"/>
    </row>
    <row r="1492" spans="10:14" x14ac:dyDescent="0.25">
      <c r="J1492" s="25">
        <v>3.9859922271041848E-2</v>
      </c>
      <c r="N1492" s="26"/>
    </row>
    <row r="1493" spans="10:14" x14ac:dyDescent="0.25">
      <c r="J1493" s="25">
        <v>-0.37902265713076067</v>
      </c>
      <c r="N1493" s="26"/>
    </row>
    <row r="1494" spans="10:14" x14ac:dyDescent="0.25">
      <c r="J1494" s="25">
        <v>0.26736920841955669</v>
      </c>
      <c r="N1494" s="26"/>
    </row>
    <row r="1495" spans="10:14" x14ac:dyDescent="0.25">
      <c r="J1495" s="25">
        <v>-2.5729230733844921E-2</v>
      </c>
      <c r="N1495" s="26"/>
    </row>
    <row r="1496" spans="10:14" x14ac:dyDescent="0.25">
      <c r="J1496" s="25">
        <v>5.3522153439065523E-2</v>
      </c>
      <c r="N1496" s="26"/>
    </row>
    <row r="1497" spans="10:14" x14ac:dyDescent="0.25">
      <c r="J1497" s="25">
        <v>0.17637766638175778</v>
      </c>
      <c r="N1497" s="26"/>
    </row>
    <row r="1498" spans="10:14" x14ac:dyDescent="0.25">
      <c r="J1498" s="25">
        <v>-0.12659946206302175</v>
      </c>
      <c r="N1498" s="26"/>
    </row>
    <row r="1499" spans="10:14" x14ac:dyDescent="0.25">
      <c r="J1499" s="25">
        <v>-0.4353197040963851</v>
      </c>
      <c r="N1499" s="26"/>
    </row>
    <row r="1500" spans="10:14" x14ac:dyDescent="0.25">
      <c r="J1500" s="25">
        <v>0.64121427767775896</v>
      </c>
      <c r="N1500" s="26"/>
    </row>
    <row r="1501" spans="10:14" x14ac:dyDescent="0.25">
      <c r="J1501" s="25">
        <v>0.23723222892392792</v>
      </c>
      <c r="N1501" s="26"/>
    </row>
    <row r="1502" spans="10:14" x14ac:dyDescent="0.25">
      <c r="J1502" s="25">
        <v>0.57141863990735242</v>
      </c>
      <c r="N1502" s="26"/>
    </row>
    <row r="1503" spans="10:14" x14ac:dyDescent="0.25">
      <c r="J1503" s="25">
        <v>6.4538533610043469E-3</v>
      </c>
      <c r="N1503" s="26"/>
    </row>
    <row r="1504" spans="10:14" x14ac:dyDescent="0.25">
      <c r="J1504" s="25">
        <v>-2.8194441787909308E-2</v>
      </c>
      <c r="N1504" s="26"/>
    </row>
    <row r="1505" spans="10:14" x14ac:dyDescent="0.25">
      <c r="J1505" s="25">
        <v>-0.51095971058624789</v>
      </c>
      <c r="N1505" s="26"/>
    </row>
    <row r="1506" spans="10:14" x14ac:dyDescent="0.25">
      <c r="J1506" s="25">
        <v>-0.21121275263591477</v>
      </c>
      <c r="N1506" s="26"/>
    </row>
    <row r="1507" spans="10:14" x14ac:dyDescent="0.25">
      <c r="J1507" s="25">
        <v>-0.24635011751516644</v>
      </c>
      <c r="N1507" s="26"/>
    </row>
    <row r="1508" spans="10:14" x14ac:dyDescent="0.25">
      <c r="J1508" s="25">
        <v>-0.2230556892548613</v>
      </c>
      <c r="N1508" s="26"/>
    </row>
    <row r="1509" spans="10:14" x14ac:dyDescent="0.25">
      <c r="J1509" s="25">
        <v>0.5702024790102751</v>
      </c>
      <c r="N1509" s="26"/>
    </row>
    <row r="1510" spans="10:14" x14ac:dyDescent="0.25">
      <c r="J1510" s="25">
        <v>0.91314040092390902</v>
      </c>
      <c r="N1510" s="26"/>
    </row>
    <row r="1511" spans="10:14" x14ac:dyDescent="0.25">
      <c r="J1511" s="25">
        <v>-4.2887648216475172E-2</v>
      </c>
      <c r="N1511" s="26"/>
    </row>
    <row r="1512" spans="10:14" x14ac:dyDescent="0.25">
      <c r="J1512" s="25">
        <v>-0.40643951034835335</v>
      </c>
      <c r="N1512" s="26"/>
    </row>
    <row r="1513" spans="10:14" x14ac:dyDescent="0.25">
      <c r="J1513" s="25">
        <v>-0.10662061064288231</v>
      </c>
      <c r="N1513" s="26"/>
    </row>
    <row r="1514" spans="10:14" x14ac:dyDescent="0.25">
      <c r="J1514" s="25">
        <v>-0.12010087300685979</v>
      </c>
      <c r="N1514" s="26"/>
    </row>
    <row r="1515" spans="10:14" x14ac:dyDescent="0.25">
      <c r="J1515" s="25">
        <v>-0.31809860027268166</v>
      </c>
      <c r="N1515" s="26"/>
    </row>
    <row r="1516" spans="10:14" x14ac:dyDescent="0.25">
      <c r="J1516" s="25">
        <v>-0.34211769921540325</v>
      </c>
      <c r="N1516" s="26"/>
    </row>
    <row r="1517" spans="10:14" x14ac:dyDescent="0.25">
      <c r="J1517" s="25">
        <v>-0.48896311498856249</v>
      </c>
      <c r="N1517" s="26"/>
    </row>
    <row r="1518" spans="10:14" x14ac:dyDescent="0.25">
      <c r="J1518" s="25">
        <v>0.1337128807520791</v>
      </c>
      <c r="N1518" s="26"/>
    </row>
    <row r="1519" spans="10:14" x14ac:dyDescent="0.25">
      <c r="J1519" s="25">
        <v>0.99752993014144153</v>
      </c>
      <c r="N1519" s="26"/>
    </row>
    <row r="1520" spans="10:14" x14ac:dyDescent="0.25">
      <c r="J1520" s="25">
        <v>-0.3800792734262447</v>
      </c>
      <c r="N1520" s="26"/>
    </row>
    <row r="1521" spans="10:14" x14ac:dyDescent="0.25">
      <c r="J1521" s="25">
        <v>-0.1689049926363223</v>
      </c>
      <c r="N1521" s="26"/>
    </row>
    <row r="1522" spans="10:14" x14ac:dyDescent="0.25">
      <c r="J1522" s="25">
        <v>-2.436822957751994E-2</v>
      </c>
      <c r="N1522" s="26"/>
    </row>
    <row r="1523" spans="10:14" x14ac:dyDescent="0.25">
      <c r="J1523" s="25">
        <v>-0.42688346174567637</v>
      </c>
      <c r="N1523" s="26"/>
    </row>
    <row r="1524" spans="10:14" x14ac:dyDescent="0.25">
      <c r="J1524" s="25">
        <v>-0.18683741182858449</v>
      </c>
      <c r="N1524" s="26"/>
    </row>
    <row r="1525" spans="10:14" x14ac:dyDescent="0.25">
      <c r="J1525" s="25">
        <v>3.7234709544327949E-2</v>
      </c>
      <c r="N1525" s="26"/>
    </row>
    <row r="1526" spans="10:14" x14ac:dyDescent="0.25">
      <c r="J1526" s="25">
        <v>-0.28482794843798542</v>
      </c>
      <c r="N1526" s="26"/>
    </row>
    <row r="1527" spans="10:14" x14ac:dyDescent="0.25">
      <c r="J1527" s="25">
        <v>-0.38996498901996279</v>
      </c>
      <c r="N1527" s="26"/>
    </row>
    <row r="1528" spans="10:14" x14ac:dyDescent="0.25">
      <c r="J1528" s="25">
        <v>-0.2877001587771727</v>
      </c>
      <c r="N1528" s="26"/>
    </row>
    <row r="1529" spans="10:14" x14ac:dyDescent="0.25">
      <c r="J1529" s="25">
        <v>-3.9232816200284848E-2</v>
      </c>
      <c r="N1529" s="26"/>
    </row>
    <row r="1530" spans="10:14" x14ac:dyDescent="0.25">
      <c r="J1530" s="25">
        <v>-0.28182896443386829</v>
      </c>
      <c r="N1530" s="26"/>
    </row>
    <row r="1531" spans="10:14" x14ac:dyDescent="0.25">
      <c r="J1531" s="25">
        <v>-2.70103223764383E-2</v>
      </c>
      <c r="N1531" s="26"/>
    </row>
    <row r="1532" spans="10:14" x14ac:dyDescent="0.25">
      <c r="J1532" s="25">
        <v>-0.29917061059785865</v>
      </c>
      <c r="N1532" s="26"/>
    </row>
    <row r="1533" spans="10:14" x14ac:dyDescent="0.25">
      <c r="J1533" s="25">
        <v>0.35981945328110299</v>
      </c>
      <c r="N1533" s="26"/>
    </row>
    <row r="1534" spans="10:14" x14ac:dyDescent="0.25">
      <c r="J1534" s="25">
        <v>0.54419820894090232</v>
      </c>
      <c r="N1534" s="26"/>
    </row>
    <row r="1535" spans="10:14" x14ac:dyDescent="0.25">
      <c r="J1535" s="25">
        <v>-0.18976515832909302</v>
      </c>
      <c r="N1535" s="26"/>
    </row>
    <row r="1536" spans="10:14" x14ac:dyDescent="0.25">
      <c r="J1536" s="25">
        <v>2.4280034259612338E-2</v>
      </c>
      <c r="N1536" s="26"/>
    </row>
    <row r="1537" spans="10:14" x14ac:dyDescent="0.25">
      <c r="J1537" s="25">
        <v>5.8602409681588918E-2</v>
      </c>
      <c r="N1537" s="26"/>
    </row>
    <row r="1538" spans="10:14" x14ac:dyDescent="0.25">
      <c r="J1538" s="25">
        <v>0.53822451844136077</v>
      </c>
      <c r="N1538" s="26"/>
    </row>
    <row r="1539" spans="10:14" x14ac:dyDescent="0.25">
      <c r="J1539" s="25">
        <v>-0.33003996455996687</v>
      </c>
      <c r="N1539" s="26"/>
    </row>
    <row r="1540" spans="10:14" x14ac:dyDescent="0.25">
      <c r="J1540" s="25">
        <v>-0.37123209402939683</v>
      </c>
      <c r="N1540" s="26"/>
    </row>
    <row r="1541" spans="10:14" x14ac:dyDescent="0.25">
      <c r="J1541" s="25">
        <v>4.7146907835166729E-2</v>
      </c>
      <c r="N1541" s="26"/>
    </row>
    <row r="1542" spans="10:14" x14ac:dyDescent="0.25">
      <c r="J1542" s="25">
        <v>-0.47052441548384982</v>
      </c>
      <c r="N1542" s="26"/>
    </row>
    <row r="1543" spans="10:14" x14ac:dyDescent="0.25">
      <c r="J1543" s="25">
        <v>0.58951155611029482</v>
      </c>
      <c r="N1543" s="26"/>
    </row>
    <row r="1544" spans="10:14" x14ac:dyDescent="0.25">
      <c r="J1544" s="25">
        <v>-0.39827925358144611</v>
      </c>
      <c r="N1544" s="26"/>
    </row>
    <row r="1545" spans="10:14" x14ac:dyDescent="0.25">
      <c r="J1545" s="25">
        <v>-9.0348159850471288E-2</v>
      </c>
      <c r="N1545" s="26"/>
    </row>
    <row r="1546" spans="10:14" x14ac:dyDescent="0.25">
      <c r="J1546" s="25">
        <v>-0.39529210529870129</v>
      </c>
      <c r="N1546" s="26"/>
    </row>
    <row r="1547" spans="10:14" x14ac:dyDescent="0.25">
      <c r="J1547" s="25">
        <v>6.6868284513491139E-2</v>
      </c>
      <c r="N1547" s="26"/>
    </row>
    <row r="1548" spans="10:14" x14ac:dyDescent="0.25">
      <c r="J1548" s="25">
        <v>-3.6557824679151252E-2</v>
      </c>
      <c r="N1548" s="26"/>
    </row>
    <row r="1549" spans="10:14" x14ac:dyDescent="0.25">
      <c r="J1549" s="25">
        <v>1.0525119310472584</v>
      </c>
      <c r="N1549" s="26"/>
    </row>
    <row r="1550" spans="10:14" x14ac:dyDescent="0.25">
      <c r="J1550" s="25">
        <v>0.85908925684088988</v>
      </c>
      <c r="N1550" s="26"/>
    </row>
    <row r="1551" spans="10:14" x14ac:dyDescent="0.25">
      <c r="J1551" s="25">
        <v>0.55374559489408792</v>
      </c>
      <c r="N1551" s="26"/>
    </row>
    <row r="1552" spans="10:14" x14ac:dyDescent="0.25">
      <c r="J1552" s="25">
        <v>0.45513637630232195</v>
      </c>
      <c r="N1552" s="26"/>
    </row>
    <row r="1553" spans="10:14" x14ac:dyDescent="0.25">
      <c r="J1553" s="25">
        <v>0.34884964990325917</v>
      </c>
      <c r="N1553" s="26"/>
    </row>
    <row r="1554" spans="10:14" x14ac:dyDescent="0.25">
      <c r="J1554" s="25">
        <v>0.53082445918811527</v>
      </c>
      <c r="N1554" s="26"/>
    </row>
    <row r="1555" spans="10:14" x14ac:dyDescent="0.25">
      <c r="J1555" s="25">
        <v>0.22812951391349068</v>
      </c>
      <c r="N1555" s="26"/>
    </row>
    <row r="1556" spans="10:14" x14ac:dyDescent="0.25">
      <c r="J1556" s="25">
        <v>7.2594873852427799E-2</v>
      </c>
      <c r="N1556" s="26"/>
    </row>
    <row r="1557" spans="10:14" x14ac:dyDescent="0.25">
      <c r="J1557" s="25">
        <v>-0.18717742873910281</v>
      </c>
      <c r="N1557" s="26"/>
    </row>
    <row r="1558" spans="10:14" x14ac:dyDescent="0.25">
      <c r="J1558" s="25">
        <v>4.9451339535268257E-2</v>
      </c>
      <c r="N1558" s="26"/>
    </row>
    <row r="1559" spans="10:14" x14ac:dyDescent="0.25">
      <c r="J1559" s="25">
        <v>0.53844476050206258</v>
      </c>
      <c r="N1559" s="26"/>
    </row>
    <row r="1560" spans="10:14" x14ac:dyDescent="0.25">
      <c r="J1560" s="25">
        <v>-0.45847251649732079</v>
      </c>
      <c r="N1560" s="26"/>
    </row>
    <row r="1561" spans="10:14" x14ac:dyDescent="0.25">
      <c r="J1561" s="25">
        <v>-0.47353193624541035</v>
      </c>
      <c r="N1561" s="26"/>
    </row>
    <row r="1562" spans="10:14" x14ac:dyDescent="0.25">
      <c r="J1562" s="25">
        <v>-0.3945783391201878</v>
      </c>
      <c r="N1562" s="26"/>
    </row>
    <row r="1563" spans="10:14" x14ac:dyDescent="0.25">
      <c r="J1563" s="25">
        <v>-0.4813089334477596</v>
      </c>
      <c r="N1563" s="26"/>
    </row>
    <row r="1564" spans="10:14" x14ac:dyDescent="0.25">
      <c r="J1564" s="25">
        <v>-0.2577010863333018</v>
      </c>
      <c r="N1564" s="26"/>
    </row>
    <row r="1565" spans="10:14" x14ac:dyDescent="0.25">
      <c r="J1565" s="25">
        <v>8.2395042570346799E-2</v>
      </c>
      <c r="N1565" s="26"/>
    </row>
    <row r="1566" spans="10:14" x14ac:dyDescent="0.25">
      <c r="J1566" s="25">
        <v>0.57167117526876687</v>
      </c>
      <c r="N1566" s="26"/>
    </row>
    <row r="1567" spans="10:14" x14ac:dyDescent="0.25">
      <c r="J1567" s="25">
        <v>4.5342598746057172E-2</v>
      </c>
      <c r="N1567" s="26"/>
    </row>
    <row r="1568" spans="10:14" x14ac:dyDescent="0.25">
      <c r="J1568" s="25">
        <v>0.36504841040496516</v>
      </c>
      <c r="N1568" s="26"/>
    </row>
    <row r="1569" spans="10:14" x14ac:dyDescent="0.25">
      <c r="J1569" s="25">
        <v>4.6372000000327152E-2</v>
      </c>
      <c r="N1569" s="26"/>
    </row>
    <row r="1570" spans="10:14" x14ac:dyDescent="0.25">
      <c r="J1570" s="25">
        <v>0.43334093383274874</v>
      </c>
      <c r="N1570" s="26"/>
    </row>
    <row r="1571" spans="10:14" x14ac:dyDescent="0.25">
      <c r="J1571" s="25">
        <v>-3.2403962939676623E-3</v>
      </c>
      <c r="N1571" s="26"/>
    </row>
    <row r="1572" spans="10:14" x14ac:dyDescent="0.25">
      <c r="J1572" s="25">
        <v>-0.20279558074317761</v>
      </c>
      <c r="N1572" s="26"/>
    </row>
    <row r="1573" spans="10:14" x14ac:dyDescent="0.25">
      <c r="J1573" s="25">
        <v>0.12065385515760951</v>
      </c>
      <c r="N1573" s="26"/>
    </row>
    <row r="1574" spans="10:14" x14ac:dyDescent="0.25">
      <c r="J1574" s="25">
        <v>-0.24568358512823507</v>
      </c>
      <c r="N1574" s="26"/>
    </row>
    <row r="1575" spans="10:14" x14ac:dyDescent="0.25">
      <c r="J1575" s="25">
        <v>1.834960695703014E-2</v>
      </c>
      <c r="N1575" s="26"/>
    </row>
    <row r="1576" spans="10:14" x14ac:dyDescent="0.25">
      <c r="J1576" s="25">
        <v>-0.49276496232574896</v>
      </c>
      <c r="N1576" s="26"/>
    </row>
    <row r="1577" spans="10:14" x14ac:dyDescent="0.25">
      <c r="J1577" s="25">
        <v>-0.35668743962855542</v>
      </c>
      <c r="N1577" s="26"/>
    </row>
    <row r="1578" spans="10:14" x14ac:dyDescent="0.25">
      <c r="J1578" s="25">
        <v>0.84317601040583834</v>
      </c>
      <c r="N1578" s="26"/>
    </row>
    <row r="1579" spans="10:14" x14ac:dyDescent="0.25">
      <c r="J1579" s="25">
        <v>8.5112816501399013E-2</v>
      </c>
      <c r="N1579" s="26"/>
    </row>
    <row r="1580" spans="10:14" x14ac:dyDescent="0.25">
      <c r="J1580" s="25">
        <v>-0.36515913635111519</v>
      </c>
      <c r="N1580" s="26"/>
    </row>
    <row r="1581" spans="10:14" x14ac:dyDescent="0.25">
      <c r="J1581" s="25">
        <v>0.45151922960275059</v>
      </c>
      <c r="N1581" s="26"/>
    </row>
    <row r="1582" spans="10:14" x14ac:dyDescent="0.25">
      <c r="J1582" s="25">
        <v>-5.0957912118525517E-2</v>
      </c>
      <c r="N1582" s="26"/>
    </row>
    <row r="1583" spans="10:14" x14ac:dyDescent="0.25">
      <c r="J1583" s="25">
        <v>8.8656567020098498E-2</v>
      </c>
      <c r="N1583" s="26"/>
    </row>
    <row r="1584" spans="10:14" x14ac:dyDescent="0.25">
      <c r="J1584" s="25">
        <v>0.38405303822047854</v>
      </c>
      <c r="N1584" s="26"/>
    </row>
    <row r="1585" spans="10:14" x14ac:dyDescent="0.25">
      <c r="J1585" s="25">
        <v>-0.12869794214541441</v>
      </c>
      <c r="N1585" s="26"/>
    </row>
    <row r="1586" spans="10:14" x14ac:dyDescent="0.25">
      <c r="J1586" s="25">
        <v>0.87780802390075285</v>
      </c>
      <c r="N1586" s="26"/>
    </row>
    <row r="1587" spans="10:14" x14ac:dyDescent="0.25">
      <c r="J1587" s="25">
        <v>-0.10465257302331732</v>
      </c>
      <c r="N1587" s="26"/>
    </row>
    <row r="1588" spans="10:14" x14ac:dyDescent="0.25">
      <c r="J1588" s="25">
        <v>-0.25070327142446791</v>
      </c>
      <c r="N1588" s="26"/>
    </row>
    <row r="1589" spans="10:14" x14ac:dyDescent="0.25">
      <c r="J1589" s="25">
        <v>0.14308448633189519</v>
      </c>
      <c r="N1589" s="26"/>
    </row>
    <row r="1590" spans="10:14" x14ac:dyDescent="0.25">
      <c r="J1590" s="25">
        <v>0.58811794636471282</v>
      </c>
      <c r="N1590" s="26"/>
    </row>
    <row r="1591" spans="10:14" x14ac:dyDescent="0.25">
      <c r="J1591" s="25">
        <v>0.5340838017123708</v>
      </c>
      <c r="N1591" s="26"/>
    </row>
    <row r="1592" spans="10:14" x14ac:dyDescent="0.25">
      <c r="J1592" s="25">
        <v>-0.50028934887619037</v>
      </c>
      <c r="N1592" s="26"/>
    </row>
    <row r="1593" spans="10:14" x14ac:dyDescent="0.25">
      <c r="J1593" s="25">
        <v>-0.18884682096982486</v>
      </c>
      <c r="N1593" s="26"/>
    </row>
    <row r="1594" spans="10:14" x14ac:dyDescent="0.25">
      <c r="J1594" s="25">
        <v>-8.1742730444771872E-2</v>
      </c>
      <c r="N1594" s="26"/>
    </row>
    <row r="1595" spans="10:14" x14ac:dyDescent="0.25">
      <c r="J1595" s="25">
        <v>0.29207061661699174</v>
      </c>
      <c r="N1595" s="26"/>
    </row>
    <row r="1596" spans="10:14" x14ac:dyDescent="0.25">
      <c r="J1596" s="25">
        <v>-0.28986235623628887</v>
      </c>
      <c r="N1596" s="26"/>
    </row>
    <row r="1597" spans="10:14" x14ac:dyDescent="0.25">
      <c r="J1597" s="25">
        <v>0.69425724877174377</v>
      </c>
      <c r="N1597" s="26"/>
    </row>
    <row r="1598" spans="10:14" x14ac:dyDescent="0.25">
      <c r="J1598" s="25">
        <v>-0.2740109867637921</v>
      </c>
      <c r="N1598" s="26"/>
    </row>
    <row r="1599" spans="10:14" x14ac:dyDescent="0.25">
      <c r="J1599" s="25">
        <v>-0.17779331860079184</v>
      </c>
      <c r="N1599" s="26"/>
    </row>
    <row r="1600" spans="10:14" x14ac:dyDescent="0.25">
      <c r="J1600" s="25">
        <v>0.29497593189631366</v>
      </c>
      <c r="N1600" s="26"/>
    </row>
    <row r="1601" spans="10:14" x14ac:dyDescent="0.25">
      <c r="J1601" s="25">
        <v>-0.51314030246577591</v>
      </c>
      <c r="N1601" s="26"/>
    </row>
    <row r="1602" spans="10:14" x14ac:dyDescent="0.25">
      <c r="J1602" s="25">
        <v>0.10263177950539304</v>
      </c>
      <c r="N1602" s="26"/>
    </row>
    <row r="1603" spans="10:14" x14ac:dyDescent="0.25">
      <c r="J1603" s="25">
        <v>-0.19848211415966588</v>
      </c>
      <c r="N1603" s="26"/>
    </row>
    <row r="1604" spans="10:14" x14ac:dyDescent="0.25">
      <c r="J1604" s="25">
        <v>-0.34848445863157229</v>
      </c>
      <c r="N1604" s="26"/>
    </row>
    <row r="1605" spans="10:14" x14ac:dyDescent="0.25">
      <c r="J1605" s="25">
        <v>-0.1495687567269196</v>
      </c>
      <c r="N1605" s="26"/>
    </row>
    <row r="1606" spans="10:14" x14ac:dyDescent="0.25">
      <c r="J1606" s="25">
        <v>-0.40916842655345875</v>
      </c>
      <c r="N1606" s="26"/>
    </row>
    <row r="1607" spans="10:14" x14ac:dyDescent="0.25">
      <c r="J1607" s="25">
        <v>0.56689941511537434</v>
      </c>
      <c r="N1607" s="26"/>
    </row>
    <row r="1608" spans="10:14" x14ac:dyDescent="0.25">
      <c r="J1608" s="25">
        <v>-8.1577131294657268E-2</v>
      </c>
      <c r="N1608" s="26"/>
    </row>
    <row r="1609" spans="10:14" x14ac:dyDescent="0.25">
      <c r="J1609" s="25">
        <v>0.80097599178670542</v>
      </c>
      <c r="N1609" s="26"/>
    </row>
    <row r="1610" spans="10:14" x14ac:dyDescent="0.25">
      <c r="J1610" s="25">
        <v>1.4604375626757093E-2</v>
      </c>
      <c r="N1610" s="26"/>
    </row>
    <row r="1611" spans="10:14" x14ac:dyDescent="0.25">
      <c r="J1611" s="25">
        <v>-5.9966564055800031E-3</v>
      </c>
      <c r="N1611" s="26"/>
    </row>
    <row r="1612" spans="10:14" x14ac:dyDescent="0.25">
      <c r="J1612" s="25">
        <v>-0.38596154142825478</v>
      </c>
      <c r="N1612" s="26"/>
    </row>
    <row r="1613" spans="10:14" x14ac:dyDescent="0.25">
      <c r="J1613" s="25">
        <v>0.47362592589603203</v>
      </c>
      <c r="N1613" s="26"/>
    </row>
    <row r="1614" spans="10:14" x14ac:dyDescent="0.25">
      <c r="J1614" s="25">
        <v>-0.27766819778476592</v>
      </c>
      <c r="N1614" s="26"/>
    </row>
    <row r="1615" spans="10:14" x14ac:dyDescent="0.25">
      <c r="J1615" s="25">
        <v>-0.33166102215393456</v>
      </c>
      <c r="N1615" s="26"/>
    </row>
    <row r="1616" spans="10:14" x14ac:dyDescent="0.25">
      <c r="J1616" s="25">
        <v>-6.8988808167587901E-2</v>
      </c>
      <c r="N1616" s="26"/>
    </row>
    <row r="1617" spans="10:14" x14ac:dyDescent="0.25">
      <c r="J1617" s="25">
        <v>-0.27226944877526926</v>
      </c>
      <c r="N1617" s="26"/>
    </row>
    <row r="1618" spans="10:14" x14ac:dyDescent="0.25">
      <c r="J1618" s="25">
        <v>-0.10672539857118124</v>
      </c>
      <c r="N1618" s="26"/>
    </row>
    <row r="1619" spans="10:14" x14ac:dyDescent="0.25">
      <c r="J1619" s="25">
        <v>-0.35836234174543036</v>
      </c>
      <c r="N1619" s="26"/>
    </row>
    <row r="1620" spans="10:14" x14ac:dyDescent="0.25">
      <c r="J1620" s="25">
        <v>-0.43605459850191841</v>
      </c>
      <c r="N1620" s="26"/>
    </row>
    <row r="1621" spans="10:14" x14ac:dyDescent="0.25">
      <c r="J1621" s="25">
        <v>-0.13707044226514176</v>
      </c>
      <c r="N1621" s="26"/>
    </row>
    <row r="1622" spans="10:14" x14ac:dyDescent="0.25">
      <c r="J1622" s="25">
        <v>-3.51299005672987E-2</v>
      </c>
      <c r="N1622" s="26"/>
    </row>
    <row r="1623" spans="10:14" x14ac:dyDescent="0.25">
      <c r="J1623" s="25">
        <v>0.67320556091116468</v>
      </c>
      <c r="N1623" s="26"/>
    </row>
    <row r="1624" spans="10:14" x14ac:dyDescent="0.25">
      <c r="J1624" s="25">
        <v>-0.47430722457814023</v>
      </c>
      <c r="N1624" s="26"/>
    </row>
    <row r="1625" spans="10:14" x14ac:dyDescent="0.25">
      <c r="J1625" s="25">
        <v>0.18111181785015851</v>
      </c>
      <c r="N1625" s="26"/>
    </row>
    <row r="1626" spans="10:14" x14ac:dyDescent="0.25">
      <c r="J1626" s="25">
        <v>0.78697335092111631</v>
      </c>
      <c r="N1626" s="26"/>
    </row>
    <row r="1627" spans="10:14" x14ac:dyDescent="0.25">
      <c r="J1627" s="25">
        <v>-6.5701921473922398E-2</v>
      </c>
      <c r="N1627" s="26"/>
    </row>
    <row r="1628" spans="10:14" x14ac:dyDescent="0.25">
      <c r="J1628" s="25">
        <v>0.36469363536661148</v>
      </c>
      <c r="N1628" s="26"/>
    </row>
    <row r="1629" spans="10:14" x14ac:dyDescent="0.25">
      <c r="J1629" s="25">
        <v>0.76516577209438985</v>
      </c>
      <c r="N1629" s="26"/>
    </row>
    <row r="1630" spans="10:14" x14ac:dyDescent="0.25">
      <c r="J1630" s="25">
        <v>3.6886435261406003E-2</v>
      </c>
      <c r="N1630" s="26"/>
    </row>
    <row r="1631" spans="10:14" x14ac:dyDescent="0.25">
      <c r="J1631" s="25">
        <v>-0.34631698368245867</v>
      </c>
      <c r="N1631" s="26"/>
    </row>
    <row r="1632" spans="10:14" x14ac:dyDescent="0.25">
      <c r="J1632" s="25">
        <v>0.76100171906374414</v>
      </c>
      <c r="N1632" s="26"/>
    </row>
    <row r="1633" spans="10:14" x14ac:dyDescent="0.25">
      <c r="J1633" s="25">
        <v>-0.31591921915120058</v>
      </c>
      <c r="N1633" s="26"/>
    </row>
    <row r="1634" spans="10:14" x14ac:dyDescent="0.25">
      <c r="J1634" s="25">
        <v>-0.12896149300981852</v>
      </c>
      <c r="N1634" s="26"/>
    </row>
    <row r="1635" spans="10:14" x14ac:dyDescent="0.25">
      <c r="J1635" s="25">
        <v>0.22547731405103</v>
      </c>
      <c r="N1635" s="26"/>
    </row>
    <row r="1636" spans="10:14" x14ac:dyDescent="0.25">
      <c r="J1636" s="25">
        <v>0.55534623387882776</v>
      </c>
      <c r="N1636" s="26"/>
    </row>
    <row r="1637" spans="10:14" x14ac:dyDescent="0.25">
      <c r="J1637" s="25">
        <v>0.61732441111405056</v>
      </c>
      <c r="N1637" s="26"/>
    </row>
    <row r="1638" spans="10:14" x14ac:dyDescent="0.25">
      <c r="J1638" s="25">
        <v>0.40049680829632672</v>
      </c>
      <c r="N1638" s="26"/>
    </row>
    <row r="1639" spans="10:14" x14ac:dyDescent="0.25">
      <c r="J1639" s="25">
        <v>-0.37769297565702564</v>
      </c>
      <c r="N1639" s="26"/>
    </row>
    <row r="1640" spans="10:14" x14ac:dyDescent="0.25">
      <c r="J1640" s="25">
        <v>-0.21860557344587961</v>
      </c>
      <c r="N1640" s="26"/>
    </row>
    <row r="1641" spans="10:14" x14ac:dyDescent="0.25">
      <c r="J1641" s="25">
        <v>-0.3871487041733942</v>
      </c>
      <c r="N1641" s="26"/>
    </row>
    <row r="1642" spans="10:14" x14ac:dyDescent="0.25">
      <c r="J1642" s="25">
        <v>6.6270211942623725E-2</v>
      </c>
      <c r="N1642" s="26"/>
    </row>
    <row r="1643" spans="10:14" x14ac:dyDescent="0.25">
      <c r="J1643" s="25">
        <v>-2.5812371101666565E-2</v>
      </c>
      <c r="N1643" s="26"/>
    </row>
    <row r="1644" spans="10:14" x14ac:dyDescent="0.25">
      <c r="J1644" s="25">
        <v>-8.5713312151700638E-3</v>
      </c>
      <c r="N1644" s="26"/>
    </row>
    <row r="1645" spans="10:14" x14ac:dyDescent="0.25">
      <c r="J1645" s="25">
        <v>-0.22415030432602934</v>
      </c>
      <c r="N1645" s="26"/>
    </row>
    <row r="1646" spans="10:14" x14ac:dyDescent="0.25">
      <c r="J1646" s="25">
        <v>-0.25269354625562057</v>
      </c>
      <c r="N1646" s="26"/>
    </row>
    <row r="1647" spans="10:14" x14ac:dyDescent="0.25">
      <c r="J1647" s="25">
        <v>1.9479045037934073E-2</v>
      </c>
      <c r="N1647" s="26"/>
    </row>
    <row r="1648" spans="10:14" x14ac:dyDescent="0.25">
      <c r="J1648" s="25">
        <v>1.3545435530744721E-2</v>
      </c>
      <c r="N1648" s="26"/>
    </row>
    <row r="1649" spans="10:14" x14ac:dyDescent="0.25">
      <c r="J1649" s="25">
        <v>-0.12597695259923281</v>
      </c>
      <c r="N1649" s="26"/>
    </row>
    <row r="1650" spans="10:14" x14ac:dyDescent="0.25">
      <c r="J1650" s="25">
        <v>-4.1023623641656348E-2</v>
      </c>
      <c r="N1650" s="26"/>
    </row>
    <row r="1651" spans="10:14" x14ac:dyDescent="0.25">
      <c r="J1651" s="25">
        <v>-0.11976309535217167</v>
      </c>
      <c r="N1651" s="26"/>
    </row>
    <row r="1652" spans="10:14" x14ac:dyDescent="0.25">
      <c r="J1652" s="25">
        <v>-0.10735970091883817</v>
      </c>
      <c r="N1652" s="26"/>
    </row>
    <row r="1653" spans="10:14" x14ac:dyDescent="0.25">
      <c r="J1653" s="25">
        <v>9.0193856817303741E-2</v>
      </c>
      <c r="N1653" s="26"/>
    </row>
    <row r="1654" spans="10:14" x14ac:dyDescent="0.25">
      <c r="J1654" s="25">
        <v>-6.4072702659710545E-2</v>
      </c>
      <c r="N1654" s="26"/>
    </row>
    <row r="1655" spans="10:14" x14ac:dyDescent="0.25">
      <c r="J1655" s="25">
        <v>-0.49404422072097431</v>
      </c>
      <c r="N1655" s="26"/>
    </row>
    <row r="1656" spans="10:14" x14ac:dyDescent="0.25">
      <c r="J1656" s="25">
        <v>-0.22006840144917328</v>
      </c>
      <c r="N1656" s="26"/>
    </row>
    <row r="1657" spans="10:14" x14ac:dyDescent="0.25">
      <c r="J1657" s="25">
        <v>0.47358935002380464</v>
      </c>
      <c r="N1657" s="26"/>
    </row>
    <row r="1658" spans="10:14" x14ac:dyDescent="0.25">
      <c r="J1658" s="25">
        <v>-0.51524777199577598</v>
      </c>
      <c r="N1658" s="26"/>
    </row>
    <row r="1659" spans="10:14" x14ac:dyDescent="0.25">
      <c r="J1659" s="25">
        <v>-0.41670380652924044</v>
      </c>
      <c r="N1659" s="26"/>
    </row>
    <row r="1660" spans="10:14" x14ac:dyDescent="0.25">
      <c r="J1660" s="25">
        <v>0.84573614060879754</v>
      </c>
      <c r="N1660" s="26"/>
    </row>
    <row r="1661" spans="10:14" x14ac:dyDescent="0.25">
      <c r="J1661" s="25">
        <v>0.17867015367313721</v>
      </c>
      <c r="N1661" s="26"/>
    </row>
    <row r="1662" spans="10:14" x14ac:dyDescent="0.25">
      <c r="J1662" s="25">
        <v>-4.6190468468829016E-2</v>
      </c>
      <c r="N1662" s="26"/>
    </row>
    <row r="1663" spans="10:14" x14ac:dyDescent="0.25">
      <c r="J1663" s="25">
        <v>0.86450156404586442</v>
      </c>
      <c r="N1663" s="26"/>
    </row>
    <row r="1664" spans="10:14" x14ac:dyDescent="0.25">
      <c r="J1664" s="25">
        <v>-0.3318647014951317</v>
      </c>
      <c r="N1664" s="26"/>
    </row>
    <row r="1665" spans="10:14" x14ac:dyDescent="0.25">
      <c r="J1665" s="25">
        <v>-6.716738398345512E-2</v>
      </c>
      <c r="N1665" s="26"/>
    </row>
    <row r="1666" spans="10:14" x14ac:dyDescent="0.25">
      <c r="J1666" s="25">
        <v>0.55493046164837279</v>
      </c>
      <c r="N1666" s="26"/>
    </row>
    <row r="1667" spans="10:14" x14ac:dyDescent="0.25">
      <c r="J1667" s="25">
        <v>-0.39075636384228851</v>
      </c>
      <c r="N1667" s="26"/>
    </row>
    <row r="1668" spans="10:14" x14ac:dyDescent="0.25">
      <c r="J1668" s="25">
        <v>0.26185703823969142</v>
      </c>
      <c r="N1668" s="26"/>
    </row>
    <row r="1669" spans="10:14" x14ac:dyDescent="0.25">
      <c r="J1669" s="25">
        <v>0.492676978718249</v>
      </c>
      <c r="N1669" s="26"/>
    </row>
    <row r="1670" spans="10:14" x14ac:dyDescent="0.25">
      <c r="J1670" s="25">
        <v>-1.2865952072207532E-2</v>
      </c>
      <c r="N1670" s="26"/>
    </row>
    <row r="1671" spans="10:14" x14ac:dyDescent="0.25">
      <c r="J1671" s="25">
        <v>-0.3429034137944138</v>
      </c>
      <c r="N1671" s="26"/>
    </row>
    <row r="1672" spans="10:14" x14ac:dyDescent="0.25">
      <c r="J1672" s="25">
        <v>-0.11593885472818899</v>
      </c>
      <c r="N1672" s="26"/>
    </row>
    <row r="1673" spans="10:14" x14ac:dyDescent="0.25">
      <c r="J1673" s="25">
        <v>0.1209800795406315</v>
      </c>
      <c r="N1673" s="26"/>
    </row>
    <row r="1674" spans="10:14" x14ac:dyDescent="0.25">
      <c r="J1674" s="25">
        <v>1.1980630553030558E-2</v>
      </c>
      <c r="N1674" s="26"/>
    </row>
    <row r="1675" spans="10:14" x14ac:dyDescent="0.25">
      <c r="J1675" s="25">
        <v>4.8954747484625472E-2</v>
      </c>
      <c r="N1675" s="26"/>
    </row>
    <row r="1676" spans="10:14" x14ac:dyDescent="0.25">
      <c r="J1676" s="25">
        <v>0.29805493684983664</v>
      </c>
      <c r="N1676" s="26"/>
    </row>
    <row r="1677" spans="10:14" x14ac:dyDescent="0.25">
      <c r="J1677" s="25">
        <v>0.54939276183642449</v>
      </c>
      <c r="N1677" s="26"/>
    </row>
    <row r="1678" spans="10:14" x14ac:dyDescent="0.25">
      <c r="J1678" s="25">
        <v>-4.3256476204357575E-2</v>
      </c>
      <c r="N1678" s="26"/>
    </row>
    <row r="1679" spans="10:14" x14ac:dyDescent="0.25">
      <c r="J1679" s="25">
        <v>0.12422387339632857</v>
      </c>
      <c r="N1679" s="26"/>
    </row>
    <row r="1680" spans="10:14" x14ac:dyDescent="0.25">
      <c r="J1680" s="25">
        <v>0.3738811625127505</v>
      </c>
      <c r="N1680" s="26"/>
    </row>
    <row r="1681" spans="10:14" x14ac:dyDescent="0.25">
      <c r="J1681" s="25">
        <v>-0.21339281205486293</v>
      </c>
      <c r="N1681" s="26"/>
    </row>
    <row r="1682" spans="10:14" x14ac:dyDescent="0.25">
      <c r="J1682" s="25">
        <v>0.88303944514870847</v>
      </c>
      <c r="N1682" s="26"/>
    </row>
    <row r="1683" spans="10:14" x14ac:dyDescent="0.25">
      <c r="J1683" s="25">
        <v>0.48004666054398681</v>
      </c>
      <c r="N1683" s="26"/>
    </row>
    <row r="1684" spans="10:14" x14ac:dyDescent="0.25">
      <c r="J1684" s="25">
        <v>-0.29717087393500785</v>
      </c>
      <c r="N1684" s="26"/>
    </row>
    <row r="1685" spans="10:14" x14ac:dyDescent="0.25">
      <c r="J1685" s="25">
        <v>0.17233373473718983</v>
      </c>
      <c r="N1685" s="26"/>
    </row>
    <row r="1686" spans="10:14" x14ac:dyDescent="0.25">
      <c r="J1686" s="25">
        <v>3.8139530569275326E-2</v>
      </c>
      <c r="N1686" s="26"/>
    </row>
    <row r="1687" spans="10:14" x14ac:dyDescent="0.25">
      <c r="J1687" s="25">
        <v>0.20843584864075693</v>
      </c>
      <c r="N1687" s="26"/>
    </row>
    <row r="1688" spans="10:14" x14ac:dyDescent="0.25">
      <c r="J1688" s="25">
        <v>1.0904651469226367E-2</v>
      </c>
      <c r="N1688" s="26"/>
    </row>
    <row r="1689" spans="10:14" x14ac:dyDescent="0.25">
      <c r="J1689" s="25">
        <v>-0.26385660392937726</v>
      </c>
      <c r="N1689" s="26"/>
    </row>
    <row r="1690" spans="10:14" x14ac:dyDescent="0.25">
      <c r="J1690" s="25">
        <v>-0.3616112004593236</v>
      </c>
      <c r="N1690" s="26"/>
    </row>
    <row r="1691" spans="10:14" x14ac:dyDescent="0.25">
      <c r="J1691" s="25">
        <v>-0.4046707589041536</v>
      </c>
      <c r="N1691" s="26"/>
    </row>
    <row r="1692" spans="10:14" x14ac:dyDescent="0.25">
      <c r="J1692" s="25">
        <v>-0.19907624019169912</v>
      </c>
      <c r="N1692" s="26"/>
    </row>
    <row r="1693" spans="10:14" x14ac:dyDescent="0.25">
      <c r="J1693" s="25">
        <v>4.7519527122329208E-2</v>
      </c>
      <c r="N1693" s="26"/>
    </row>
    <row r="1694" spans="10:14" x14ac:dyDescent="0.25">
      <c r="J1694" s="25">
        <v>-0.12403667703975618</v>
      </c>
      <c r="N1694" s="26"/>
    </row>
    <row r="1695" spans="10:14" x14ac:dyDescent="0.25">
      <c r="J1695" s="25">
        <v>-0.14355104330608282</v>
      </c>
      <c r="N1695" s="26"/>
    </row>
    <row r="1696" spans="10:14" x14ac:dyDescent="0.25">
      <c r="J1696" s="25">
        <v>0.22971168541054277</v>
      </c>
      <c r="N1696" s="26"/>
    </row>
    <row r="1697" spans="10:14" x14ac:dyDescent="0.25">
      <c r="J1697" s="25">
        <v>0.10252261738272139</v>
      </c>
      <c r="N1697" s="26"/>
    </row>
    <row r="1698" spans="10:14" x14ac:dyDescent="0.25">
      <c r="J1698" s="25">
        <v>0.29723501787635476</v>
      </c>
      <c r="N1698" s="26"/>
    </row>
    <row r="1699" spans="10:14" x14ac:dyDescent="0.25">
      <c r="J1699" s="25">
        <v>-0.4397462771643309</v>
      </c>
      <c r="N1699" s="26"/>
    </row>
    <row r="1700" spans="10:14" x14ac:dyDescent="0.25">
      <c r="J1700" s="25">
        <v>-0.16881943409044253</v>
      </c>
      <c r="N1700" s="26"/>
    </row>
    <row r="1701" spans="10:14" x14ac:dyDescent="0.25">
      <c r="J1701" s="25">
        <v>0.18915015680801606</v>
      </c>
      <c r="N1701" s="26"/>
    </row>
    <row r="1702" spans="10:14" x14ac:dyDescent="0.25">
      <c r="J1702" s="25">
        <v>-4.467649329567791E-2</v>
      </c>
      <c r="N1702" s="26"/>
    </row>
    <row r="1703" spans="10:14" x14ac:dyDescent="0.25">
      <c r="J1703" s="25">
        <v>-0.23980163921444941</v>
      </c>
      <c r="N1703" s="26"/>
    </row>
    <row r="1704" spans="10:14" x14ac:dyDescent="0.25">
      <c r="J1704" s="25">
        <v>0.19989325777309075</v>
      </c>
      <c r="N1704" s="26"/>
    </row>
    <row r="1705" spans="10:14" x14ac:dyDescent="0.25">
      <c r="J1705" s="25">
        <v>-0.29569381608505152</v>
      </c>
      <c r="N1705" s="26"/>
    </row>
    <row r="1706" spans="10:14" x14ac:dyDescent="0.25">
      <c r="J1706" s="25">
        <v>-0.39866687803429834</v>
      </c>
      <c r="N1706" s="26"/>
    </row>
    <row r="1707" spans="10:14" x14ac:dyDescent="0.25">
      <c r="J1707" s="25">
        <v>2.6096310149938962E-3</v>
      </c>
      <c r="N1707" s="26"/>
    </row>
    <row r="1708" spans="10:14" x14ac:dyDescent="0.25">
      <c r="J1708" s="25">
        <v>0.37426201498475109</v>
      </c>
      <c r="N1708" s="26"/>
    </row>
    <row r="1709" spans="10:14" x14ac:dyDescent="0.25">
      <c r="J1709" s="25">
        <v>-0.10383870698103459</v>
      </c>
      <c r="N1709" s="26"/>
    </row>
    <row r="1710" spans="10:14" x14ac:dyDescent="0.25">
      <c r="J1710" s="25">
        <v>0.71759455425353202</v>
      </c>
      <c r="N1710" s="26"/>
    </row>
    <row r="1711" spans="10:14" x14ac:dyDescent="0.25">
      <c r="J1711" s="25">
        <v>-0.11344020558866297</v>
      </c>
      <c r="N1711" s="26"/>
    </row>
    <row r="1712" spans="10:14" x14ac:dyDescent="0.25">
      <c r="J1712" s="25">
        <v>-5.0804954541433855E-2</v>
      </c>
      <c r="N1712" s="26"/>
    </row>
    <row r="1713" spans="10:14" x14ac:dyDescent="0.25">
      <c r="J1713" s="25">
        <v>-1.3910579999470873E-2</v>
      </c>
      <c r="N1713" s="26"/>
    </row>
    <row r="1714" spans="10:14" x14ac:dyDescent="0.25">
      <c r="J1714" s="25">
        <v>0.6359336984524</v>
      </c>
      <c r="N1714" s="26"/>
    </row>
    <row r="1715" spans="10:14" x14ac:dyDescent="0.25">
      <c r="J1715" s="25">
        <v>0.72765958222948113</v>
      </c>
      <c r="N1715" s="26"/>
    </row>
    <row r="1716" spans="10:14" x14ac:dyDescent="0.25">
      <c r="J1716" s="25">
        <v>-0.40134225138280677</v>
      </c>
      <c r="N1716" s="26"/>
    </row>
    <row r="1717" spans="10:14" x14ac:dyDescent="0.25">
      <c r="J1717" s="25">
        <v>-0.29168819840956339</v>
      </c>
      <c r="N1717" s="26"/>
    </row>
    <row r="1718" spans="10:14" x14ac:dyDescent="0.25">
      <c r="J1718" s="25">
        <v>0.99345153014273357</v>
      </c>
      <c r="N1718" s="26"/>
    </row>
    <row r="1719" spans="10:14" x14ac:dyDescent="0.25">
      <c r="J1719" s="25">
        <v>0.52336382744244059</v>
      </c>
      <c r="N1719" s="26"/>
    </row>
    <row r="1720" spans="10:14" x14ac:dyDescent="0.25">
      <c r="J1720" s="25">
        <v>1.1549382130983101</v>
      </c>
      <c r="N1720" s="26"/>
    </row>
    <row r="1721" spans="10:14" x14ac:dyDescent="0.25">
      <c r="J1721" s="25">
        <v>-6.7071028803736388E-2</v>
      </c>
      <c r="N1721" s="26"/>
    </row>
    <row r="1722" spans="10:14" x14ac:dyDescent="0.25">
      <c r="J1722" s="25">
        <v>0.55391709905288145</v>
      </c>
      <c r="N1722" s="26"/>
    </row>
    <row r="1723" spans="10:14" x14ac:dyDescent="0.25">
      <c r="J1723" s="25">
        <v>-0.35561746270751216</v>
      </c>
      <c r="N1723" s="26"/>
    </row>
    <row r="1724" spans="10:14" x14ac:dyDescent="0.25">
      <c r="J1724" s="25">
        <v>0.21845036090639458</v>
      </c>
      <c r="N1724" s="26"/>
    </row>
    <row r="1725" spans="10:14" x14ac:dyDescent="0.25">
      <c r="J1725" s="25">
        <v>-0.47112177294136737</v>
      </c>
      <c r="N1725" s="26"/>
    </row>
    <row r="1726" spans="10:14" x14ac:dyDescent="0.25">
      <c r="J1726" s="25">
        <v>0.35887925739795024</v>
      </c>
      <c r="N1726" s="26"/>
    </row>
    <row r="1727" spans="10:14" x14ac:dyDescent="0.25">
      <c r="J1727" s="25">
        <v>0.7445956523114825</v>
      </c>
      <c r="N1727" s="26"/>
    </row>
    <row r="1728" spans="10:14" x14ac:dyDescent="0.25">
      <c r="J1728" s="25">
        <v>-0.36340388890782993</v>
      </c>
      <c r="N1728" s="26"/>
    </row>
    <row r="1729" spans="10:14" x14ac:dyDescent="0.25">
      <c r="J1729" s="25">
        <v>-0.40743646695303248</v>
      </c>
      <c r="N1729" s="26"/>
    </row>
    <row r="1730" spans="10:14" x14ac:dyDescent="0.25">
      <c r="J1730" s="25">
        <v>4.0586082480641883E-2</v>
      </c>
      <c r="N1730" s="26"/>
    </row>
    <row r="1731" spans="10:14" x14ac:dyDescent="0.25">
      <c r="J1731" s="25">
        <v>-4.2669367330947394E-2</v>
      </c>
      <c r="N1731" s="26"/>
    </row>
    <row r="1732" spans="10:14" x14ac:dyDescent="0.25">
      <c r="J1732" s="25">
        <v>2.8751381295041067E-2</v>
      </c>
      <c r="N1732" s="26"/>
    </row>
    <row r="1733" spans="10:14" x14ac:dyDescent="0.25">
      <c r="J1733" s="25">
        <v>-0.16241233016077983</v>
      </c>
      <c r="N1733" s="26"/>
    </row>
    <row r="1734" spans="10:14" x14ac:dyDescent="0.25">
      <c r="J1734" s="25">
        <v>0.27983474353718552</v>
      </c>
      <c r="N1734" s="26"/>
    </row>
    <row r="1735" spans="10:14" x14ac:dyDescent="0.25">
      <c r="J1735" s="25">
        <v>-0.23689502967755793</v>
      </c>
      <c r="N1735" s="26"/>
    </row>
    <row r="1736" spans="10:14" x14ac:dyDescent="0.25">
      <c r="J1736" s="25">
        <v>-5.5626041864441866E-2</v>
      </c>
      <c r="N1736" s="26"/>
    </row>
    <row r="1737" spans="10:14" x14ac:dyDescent="0.25">
      <c r="J1737" s="25">
        <v>0.22062727945458405</v>
      </c>
      <c r="N1737" s="26"/>
    </row>
    <row r="1738" spans="10:14" x14ac:dyDescent="0.25">
      <c r="J1738" s="25">
        <v>-2.5191567536887227E-2</v>
      </c>
      <c r="N1738" s="26"/>
    </row>
    <row r="1739" spans="10:14" x14ac:dyDescent="0.25">
      <c r="J1739" s="25">
        <v>-0.20680555486449204</v>
      </c>
      <c r="N1739" s="26"/>
    </row>
    <row r="1740" spans="10:14" x14ac:dyDescent="0.25">
      <c r="J1740" s="25">
        <v>0.22455473141518034</v>
      </c>
      <c r="N1740" s="26"/>
    </row>
    <row r="1741" spans="10:14" x14ac:dyDescent="0.25">
      <c r="J1741" s="25">
        <v>0.46357993653088236</v>
      </c>
      <c r="N1741" s="26"/>
    </row>
    <row r="1742" spans="10:14" x14ac:dyDescent="0.25">
      <c r="J1742" s="25">
        <v>-9.1545454399080683E-2</v>
      </c>
      <c r="N1742" s="26"/>
    </row>
    <row r="1743" spans="10:14" x14ac:dyDescent="0.25">
      <c r="J1743" s="25">
        <v>-3.3602650348701357E-2</v>
      </c>
      <c r="N1743" s="26"/>
    </row>
    <row r="1744" spans="10:14" x14ac:dyDescent="0.25">
      <c r="J1744" s="25">
        <v>-0.18045541884148397</v>
      </c>
      <c r="N1744" s="26"/>
    </row>
    <row r="1745" spans="10:14" x14ac:dyDescent="0.25">
      <c r="J1745" s="25">
        <v>0.16387153254654341</v>
      </c>
      <c r="N1745" s="26"/>
    </row>
    <row r="1746" spans="10:14" x14ac:dyDescent="0.25">
      <c r="J1746" s="25">
        <v>0.40768357600163752</v>
      </c>
      <c r="N1746" s="26"/>
    </row>
    <row r="1747" spans="10:14" x14ac:dyDescent="0.25">
      <c r="J1747" s="25">
        <v>-6.2046466625270358E-2</v>
      </c>
      <c r="N1747" s="26"/>
    </row>
    <row r="1748" spans="10:14" x14ac:dyDescent="0.25">
      <c r="J1748" s="25">
        <v>0.39606626009634449</v>
      </c>
      <c r="N1748" s="26"/>
    </row>
    <row r="1749" spans="10:14" x14ac:dyDescent="0.25">
      <c r="J1749" s="25">
        <v>-0.37953162847880084</v>
      </c>
      <c r="N1749" s="26"/>
    </row>
    <row r="1750" spans="10:14" x14ac:dyDescent="0.25">
      <c r="J1750" s="25">
        <v>0.23460205758659014</v>
      </c>
      <c r="N1750" s="26"/>
    </row>
    <row r="1751" spans="10:14" x14ac:dyDescent="0.25">
      <c r="J1751" s="25">
        <v>-7.66940632018418E-2</v>
      </c>
      <c r="N1751" s="26"/>
    </row>
    <row r="1752" spans="10:14" x14ac:dyDescent="0.25">
      <c r="J1752" s="25">
        <v>0.13868050620161476</v>
      </c>
      <c r="N1752" s="26"/>
    </row>
    <row r="1753" spans="10:14" x14ac:dyDescent="0.25">
      <c r="J1753" s="25">
        <v>0.56110410751738393</v>
      </c>
      <c r="N1753" s="26"/>
    </row>
    <row r="1754" spans="10:14" x14ac:dyDescent="0.25">
      <c r="J1754" s="25">
        <v>-0.26017293215095549</v>
      </c>
      <c r="N1754" s="26"/>
    </row>
    <row r="1755" spans="10:14" x14ac:dyDescent="0.25">
      <c r="J1755" s="25">
        <v>7.4555329531294845E-2</v>
      </c>
      <c r="N1755" s="26"/>
    </row>
    <row r="1756" spans="10:14" x14ac:dyDescent="0.25">
      <c r="J1756" s="25">
        <v>2.843509826892876E-2</v>
      </c>
      <c r="N1756" s="26"/>
    </row>
    <row r="1757" spans="10:14" x14ac:dyDescent="0.25">
      <c r="J1757" s="25">
        <v>0.49865703118966875</v>
      </c>
      <c r="N1757" s="26"/>
    </row>
    <row r="1758" spans="10:14" x14ac:dyDescent="0.25">
      <c r="J1758" s="25">
        <v>-0.13577146114555183</v>
      </c>
      <c r="N1758" s="26"/>
    </row>
    <row r="1759" spans="10:14" x14ac:dyDescent="0.25">
      <c r="J1759" s="25">
        <v>-0.30908936409199372</v>
      </c>
      <c r="N1759" s="26"/>
    </row>
    <row r="1760" spans="10:14" x14ac:dyDescent="0.25">
      <c r="J1760" s="25">
        <v>0.36278429124728739</v>
      </c>
      <c r="N1760" s="26"/>
    </row>
    <row r="1761" spans="10:14" x14ac:dyDescent="0.25">
      <c r="J1761" s="25">
        <v>0.45961352979088299</v>
      </c>
      <c r="N1761" s="26"/>
    </row>
    <row r="1762" spans="10:14" x14ac:dyDescent="0.25">
      <c r="J1762" s="25">
        <v>6.5649430310736223E-2</v>
      </c>
      <c r="N1762" s="26"/>
    </row>
    <row r="1763" spans="10:14" x14ac:dyDescent="0.25">
      <c r="J1763" s="25">
        <v>-4.4420195634080728E-2</v>
      </c>
      <c r="N1763" s="26"/>
    </row>
    <row r="1764" spans="10:14" x14ac:dyDescent="0.25">
      <c r="J1764" s="25">
        <v>-0.32768583608049062</v>
      </c>
      <c r="N1764" s="26"/>
    </row>
    <row r="1765" spans="10:14" x14ac:dyDescent="0.25">
      <c r="J1765" s="25">
        <v>0.15279011905619155</v>
      </c>
      <c r="N1765" s="26"/>
    </row>
    <row r="1766" spans="10:14" x14ac:dyDescent="0.25">
      <c r="J1766" s="25">
        <v>0.31784397426214972</v>
      </c>
      <c r="N1766" s="26"/>
    </row>
    <row r="1767" spans="10:14" x14ac:dyDescent="0.25">
      <c r="J1767" s="25">
        <v>-0.35514883656884177</v>
      </c>
      <c r="N1767" s="26"/>
    </row>
    <row r="1768" spans="10:14" x14ac:dyDescent="0.25">
      <c r="J1768" s="25">
        <v>0.23175969322075662</v>
      </c>
      <c r="N1768" s="26"/>
    </row>
    <row r="1769" spans="10:14" x14ac:dyDescent="0.25">
      <c r="J1769" s="25">
        <v>0.14910896942064178</v>
      </c>
      <c r="N1769" s="26"/>
    </row>
    <row r="1770" spans="10:14" x14ac:dyDescent="0.25">
      <c r="J1770" s="25">
        <v>-7.36729740094062E-2</v>
      </c>
      <c r="N1770" s="26"/>
    </row>
    <row r="1771" spans="10:14" x14ac:dyDescent="0.25">
      <c r="J1771" s="25">
        <v>-0.34269203271805737</v>
      </c>
      <c r="N1771" s="26"/>
    </row>
    <row r="1772" spans="10:14" x14ac:dyDescent="0.25">
      <c r="J1772" s="25">
        <v>-0.36926371015195425</v>
      </c>
      <c r="N1772" s="26"/>
    </row>
    <row r="1773" spans="10:14" x14ac:dyDescent="0.25">
      <c r="J1773" s="25">
        <v>-0.1902375817118197</v>
      </c>
      <c r="N1773" s="26"/>
    </row>
    <row r="1774" spans="10:14" x14ac:dyDescent="0.25">
      <c r="J1774" s="25">
        <v>0.64651500904340575</v>
      </c>
      <c r="N1774" s="26"/>
    </row>
    <row r="1775" spans="10:14" x14ac:dyDescent="0.25">
      <c r="J1775" s="25">
        <v>0.25240990866667512</v>
      </c>
      <c r="N1775" s="26"/>
    </row>
    <row r="1776" spans="10:14" x14ac:dyDescent="0.25">
      <c r="J1776" s="25">
        <v>-0.2240944900511439</v>
      </c>
      <c r="N1776" s="26"/>
    </row>
    <row r="1777" spans="10:14" x14ac:dyDescent="0.25">
      <c r="J1777" s="25">
        <v>0.16728258717878441</v>
      </c>
      <c r="N1777" s="26"/>
    </row>
    <row r="1778" spans="10:14" x14ac:dyDescent="0.25">
      <c r="J1778" s="25">
        <v>-6.3015095291014678E-2</v>
      </c>
      <c r="N1778" s="26"/>
    </row>
    <row r="1779" spans="10:14" x14ac:dyDescent="0.25">
      <c r="J1779" s="25">
        <v>0.17903700307509585</v>
      </c>
      <c r="N1779" s="26"/>
    </row>
    <row r="1780" spans="10:14" x14ac:dyDescent="0.25">
      <c r="J1780" s="25">
        <v>-0.23405705519918585</v>
      </c>
      <c r="N1780" s="26"/>
    </row>
    <row r="1781" spans="10:14" x14ac:dyDescent="0.25">
      <c r="J1781" s="25">
        <v>-0.16857767407995894</v>
      </c>
      <c r="N1781" s="26"/>
    </row>
    <row r="1782" spans="10:14" x14ac:dyDescent="0.25">
      <c r="J1782" s="25">
        <v>4.1494735355470658E-2</v>
      </c>
      <c r="N1782" s="26"/>
    </row>
    <row r="1783" spans="10:14" x14ac:dyDescent="0.25">
      <c r="J1783" s="25">
        <v>-1.2641912577536218E-2</v>
      </c>
      <c r="N1783" s="26"/>
    </row>
    <row r="1784" spans="10:14" x14ac:dyDescent="0.25">
      <c r="J1784" s="25">
        <v>2.4484926386492356E-2</v>
      </c>
      <c r="N1784" s="26"/>
    </row>
    <row r="1785" spans="10:14" x14ac:dyDescent="0.25">
      <c r="J1785" s="25">
        <v>0.15903094604053103</v>
      </c>
      <c r="N1785" s="26"/>
    </row>
    <row r="1786" spans="10:14" x14ac:dyDescent="0.25">
      <c r="J1786" s="25">
        <v>5.1473391434597726E-2</v>
      </c>
      <c r="N1786" s="26"/>
    </row>
    <row r="1787" spans="10:14" x14ac:dyDescent="0.25">
      <c r="J1787" s="25">
        <v>-0.19528756489237598</v>
      </c>
      <c r="N1787" s="26"/>
    </row>
    <row r="1788" spans="10:14" x14ac:dyDescent="0.25">
      <c r="J1788" s="25">
        <v>-0.37683087146832694</v>
      </c>
      <c r="N1788" s="26"/>
    </row>
    <row r="1789" spans="10:14" x14ac:dyDescent="0.25">
      <c r="J1789" s="25">
        <v>-3.7336412039292055E-2</v>
      </c>
      <c r="N1789" s="26"/>
    </row>
    <row r="1790" spans="10:14" x14ac:dyDescent="0.25">
      <c r="J1790" s="25">
        <v>-2.0235547106461027E-2</v>
      </c>
      <c r="N1790" s="26"/>
    </row>
    <row r="1791" spans="10:14" x14ac:dyDescent="0.25">
      <c r="J1791" s="25">
        <v>0.15844634669930246</v>
      </c>
      <c r="N1791" s="26"/>
    </row>
    <row r="1792" spans="10:14" x14ac:dyDescent="0.25">
      <c r="J1792" s="25">
        <v>0.48735374810098842</v>
      </c>
      <c r="N1792" s="26"/>
    </row>
    <row r="1793" spans="10:14" x14ac:dyDescent="0.25">
      <c r="J1793" s="25">
        <v>-0.19002429383953734</v>
      </c>
      <c r="N1793" s="26"/>
    </row>
    <row r="1794" spans="10:14" x14ac:dyDescent="0.25">
      <c r="J1794" s="25">
        <v>-0.17868678249101</v>
      </c>
      <c r="N1794" s="26"/>
    </row>
    <row r="1795" spans="10:14" x14ac:dyDescent="0.25">
      <c r="J1795" s="25">
        <v>-0.32036423440652195</v>
      </c>
      <c r="N1795" s="26"/>
    </row>
    <row r="1796" spans="10:14" x14ac:dyDescent="0.25">
      <c r="J1796" s="25">
        <v>0.65722011529049196</v>
      </c>
      <c r="N1796" s="26"/>
    </row>
    <row r="1797" spans="10:14" x14ac:dyDescent="0.25">
      <c r="J1797" s="25">
        <v>0.99588620105022874</v>
      </c>
      <c r="N1797" s="26"/>
    </row>
    <row r="1798" spans="10:14" x14ac:dyDescent="0.25">
      <c r="J1798" s="25">
        <v>0.39113130171767319</v>
      </c>
      <c r="N1798" s="26"/>
    </row>
    <row r="1799" spans="10:14" x14ac:dyDescent="0.25">
      <c r="J1799" s="25">
        <v>0.49511480015553699</v>
      </c>
      <c r="N1799" s="26"/>
    </row>
    <row r="1800" spans="10:14" x14ac:dyDescent="0.25">
      <c r="J1800" s="25">
        <v>0.12515798966693459</v>
      </c>
      <c r="N1800" s="26"/>
    </row>
    <row r="1801" spans="10:14" x14ac:dyDescent="0.25">
      <c r="J1801" s="25">
        <v>5.2347825940821657E-2</v>
      </c>
      <c r="N1801" s="26"/>
    </row>
    <row r="1802" spans="10:14" x14ac:dyDescent="0.25">
      <c r="J1802" s="25">
        <v>-0.22364120197854243</v>
      </c>
      <c r="N1802" s="26"/>
    </row>
    <row r="1803" spans="10:14" x14ac:dyDescent="0.25">
      <c r="J1803" s="25">
        <v>-0.1547856581825775</v>
      </c>
      <c r="N1803" s="26"/>
    </row>
    <row r="1804" spans="10:14" x14ac:dyDescent="0.25">
      <c r="J1804" s="25">
        <v>-0.11169130824786822</v>
      </c>
      <c r="N1804" s="26"/>
    </row>
    <row r="1805" spans="10:14" x14ac:dyDescent="0.25">
      <c r="J1805" s="25">
        <v>0.1156147858757155</v>
      </c>
      <c r="N1805" s="26"/>
    </row>
    <row r="1806" spans="10:14" x14ac:dyDescent="0.25">
      <c r="J1806" s="25">
        <v>-2.9024115463571865E-2</v>
      </c>
      <c r="N1806" s="26"/>
    </row>
    <row r="1807" spans="10:14" x14ac:dyDescent="0.25">
      <c r="J1807" s="25">
        <v>0.48185099118753572</v>
      </c>
      <c r="N1807" s="26"/>
    </row>
    <row r="1808" spans="10:14" x14ac:dyDescent="0.25">
      <c r="J1808" s="25">
        <v>-4.5772031616922781E-2</v>
      </c>
      <c r="N1808" s="26"/>
    </row>
    <row r="1809" spans="10:14" x14ac:dyDescent="0.25">
      <c r="J1809" s="25">
        <v>-9.0276566129339764E-2</v>
      </c>
      <c r="N1809" s="26"/>
    </row>
    <row r="1810" spans="10:14" x14ac:dyDescent="0.25">
      <c r="J1810" s="25">
        <v>7.4761773865380077E-2</v>
      </c>
      <c r="N1810" s="26"/>
    </row>
    <row r="1811" spans="10:14" x14ac:dyDescent="0.25">
      <c r="J1811" s="25">
        <v>0.47802382575320657</v>
      </c>
      <c r="N1811" s="26"/>
    </row>
    <row r="1812" spans="10:14" x14ac:dyDescent="0.25">
      <c r="J1812" s="25">
        <v>0.49602829532680648</v>
      </c>
      <c r="N1812" s="26"/>
    </row>
    <row r="1813" spans="10:14" x14ac:dyDescent="0.25">
      <c r="J1813" s="25">
        <v>-4.5425690030235444E-2</v>
      </c>
      <c r="N1813" s="26"/>
    </row>
    <row r="1814" spans="10:14" x14ac:dyDescent="0.25">
      <c r="J1814" s="25">
        <v>5.0623846194715716E-2</v>
      </c>
      <c r="N1814" s="26"/>
    </row>
    <row r="1815" spans="10:14" x14ac:dyDescent="0.25">
      <c r="J1815" s="25">
        <v>-2.8429098010921638E-2</v>
      </c>
      <c r="N1815" s="26"/>
    </row>
    <row r="1816" spans="10:14" x14ac:dyDescent="0.25">
      <c r="J1816" s="25">
        <v>0.25505738879717721</v>
      </c>
      <c r="N1816" s="26"/>
    </row>
    <row r="1817" spans="10:14" x14ac:dyDescent="0.25">
      <c r="J1817" s="25">
        <v>-2.114947479441931E-2</v>
      </c>
      <c r="N1817" s="26"/>
    </row>
    <row r="1818" spans="10:14" x14ac:dyDescent="0.25">
      <c r="J1818" s="25">
        <v>6.0431245055723171E-3</v>
      </c>
      <c r="N1818" s="26"/>
    </row>
    <row r="1819" spans="10:14" x14ac:dyDescent="0.25">
      <c r="J1819" s="25">
        <v>0.54557541833759049</v>
      </c>
      <c r="N1819" s="26"/>
    </row>
    <row r="1820" spans="10:14" x14ac:dyDescent="0.25">
      <c r="J1820" s="25">
        <v>0.11701150717298248</v>
      </c>
      <c r="N1820" s="26"/>
    </row>
    <row r="1821" spans="10:14" x14ac:dyDescent="0.25">
      <c r="J1821" s="25">
        <v>-0.1441180917269933</v>
      </c>
      <c r="N1821" s="26"/>
    </row>
    <row r="1822" spans="10:14" x14ac:dyDescent="0.25">
      <c r="J1822" s="25">
        <v>-0.50171928124413323</v>
      </c>
      <c r="N1822" s="26"/>
    </row>
    <row r="1823" spans="10:14" x14ac:dyDescent="0.25">
      <c r="J1823" s="25">
        <v>-0.32252345833303131</v>
      </c>
      <c r="N1823" s="26"/>
    </row>
    <row r="1824" spans="10:14" x14ac:dyDescent="0.25">
      <c r="J1824" s="25">
        <v>-0.4453511554064451</v>
      </c>
      <c r="N1824" s="26"/>
    </row>
    <row r="1825" spans="10:14" x14ac:dyDescent="0.25">
      <c r="J1825" s="25">
        <v>6.6389440754218931E-2</v>
      </c>
      <c r="N1825" s="26"/>
    </row>
    <row r="1826" spans="10:14" x14ac:dyDescent="0.25">
      <c r="J1826" s="25">
        <v>-1.6082470035859164E-2</v>
      </c>
      <c r="N1826" s="26"/>
    </row>
    <row r="1827" spans="10:14" x14ac:dyDescent="0.25">
      <c r="J1827" s="25">
        <v>-1.0137391142001628E-2</v>
      </c>
      <c r="N1827" s="26"/>
    </row>
    <row r="1828" spans="10:14" x14ac:dyDescent="0.25">
      <c r="J1828" s="25">
        <v>-0.15530936066461931</v>
      </c>
      <c r="N1828" s="26"/>
    </row>
    <row r="1829" spans="10:14" x14ac:dyDescent="0.25">
      <c r="J1829" s="25">
        <v>-0.2591185104880479</v>
      </c>
      <c r="N1829" s="26"/>
    </row>
    <row r="1830" spans="10:14" x14ac:dyDescent="0.25">
      <c r="J1830" s="25">
        <v>-0.24770333746685658</v>
      </c>
      <c r="N1830" s="26"/>
    </row>
    <row r="1831" spans="10:14" x14ac:dyDescent="0.25">
      <c r="J1831" s="25">
        <v>6.758206798236488E-2</v>
      </c>
      <c r="N1831" s="26"/>
    </row>
    <row r="1832" spans="10:14" x14ac:dyDescent="0.25">
      <c r="J1832" s="25">
        <v>3.900595324460232E-2</v>
      </c>
      <c r="N1832" s="26"/>
    </row>
    <row r="1833" spans="10:14" x14ac:dyDescent="0.25">
      <c r="J1833" s="25">
        <v>-0.14874762912038897</v>
      </c>
      <c r="N1833" s="26"/>
    </row>
    <row r="1834" spans="10:14" x14ac:dyDescent="0.25">
      <c r="J1834" s="25">
        <v>5.8344011109498384E-2</v>
      </c>
      <c r="N1834" s="26"/>
    </row>
    <row r="1835" spans="10:14" x14ac:dyDescent="0.25">
      <c r="J1835" s="25">
        <v>0.29429200200239358</v>
      </c>
      <c r="N1835" s="26"/>
    </row>
    <row r="1836" spans="10:14" x14ac:dyDescent="0.25">
      <c r="J1836" s="25">
        <v>-9.8715342701830577E-3</v>
      </c>
      <c r="N1836" s="26"/>
    </row>
    <row r="1837" spans="10:14" x14ac:dyDescent="0.25">
      <c r="J1837" s="25">
        <v>0.29679226705518658</v>
      </c>
      <c r="N1837" s="26"/>
    </row>
    <row r="1838" spans="10:14" x14ac:dyDescent="0.25">
      <c r="J1838" s="25">
        <v>-0.48319953024601203</v>
      </c>
      <c r="N1838" s="26"/>
    </row>
    <row r="1839" spans="10:14" x14ac:dyDescent="0.25">
      <c r="J1839" s="25">
        <v>7.9870466113842964E-2</v>
      </c>
      <c r="N1839" s="26"/>
    </row>
    <row r="1840" spans="10:14" x14ac:dyDescent="0.25">
      <c r="J1840" s="25">
        <v>3.312318857419716E-2</v>
      </c>
      <c r="N1840" s="26"/>
    </row>
    <row r="1841" spans="10:14" x14ac:dyDescent="0.25">
      <c r="J1841" s="25">
        <v>-6.776713464718831E-2</v>
      </c>
      <c r="N1841" s="26"/>
    </row>
    <row r="1842" spans="10:14" x14ac:dyDescent="0.25">
      <c r="J1842" s="25">
        <v>-0.27615993215800139</v>
      </c>
      <c r="N1842" s="26"/>
    </row>
    <row r="1843" spans="10:14" x14ac:dyDescent="0.25">
      <c r="J1843" s="25">
        <v>-0.38499365068015601</v>
      </c>
      <c r="N1843" s="26"/>
    </row>
    <row r="1844" spans="10:14" x14ac:dyDescent="0.25">
      <c r="J1844" s="25">
        <v>3.1705496895537699E-2</v>
      </c>
      <c r="N1844" s="26"/>
    </row>
    <row r="1845" spans="10:14" x14ac:dyDescent="0.25">
      <c r="J1845" s="25">
        <v>-0.40346964855017209</v>
      </c>
      <c r="N1845" s="26"/>
    </row>
    <row r="1846" spans="10:14" x14ac:dyDescent="0.25">
      <c r="J1846" s="25">
        <v>0.15618299351367493</v>
      </c>
      <c r="N1846" s="26"/>
    </row>
    <row r="1847" spans="10:14" x14ac:dyDescent="0.25">
      <c r="J1847" s="25">
        <v>0.41843292043509783</v>
      </c>
      <c r="N1847" s="26"/>
    </row>
    <row r="1848" spans="10:14" x14ac:dyDescent="0.25">
      <c r="J1848" s="25">
        <v>1.5506624083331699E-2</v>
      </c>
      <c r="N1848" s="26"/>
    </row>
    <row r="1849" spans="10:14" x14ac:dyDescent="0.25">
      <c r="J1849" s="25">
        <v>-0.40797999389339568</v>
      </c>
      <c r="N1849" s="26"/>
    </row>
    <row r="1850" spans="10:14" x14ac:dyDescent="0.25">
      <c r="J1850" s="25">
        <v>-0.4533825719469905</v>
      </c>
      <c r="N1850" s="26"/>
    </row>
    <row r="1851" spans="10:14" x14ac:dyDescent="0.25">
      <c r="J1851" s="25">
        <v>-0.20892682933421425</v>
      </c>
      <c r="N1851" s="26"/>
    </row>
    <row r="1852" spans="10:14" x14ac:dyDescent="0.25">
      <c r="J1852" s="25">
        <v>3.9317994973717907E-2</v>
      </c>
      <c r="N1852" s="26"/>
    </row>
    <row r="1853" spans="10:14" x14ac:dyDescent="0.25">
      <c r="J1853" s="25">
        <v>0.59562951359023386</v>
      </c>
      <c r="N1853" s="26"/>
    </row>
    <row r="1854" spans="10:14" x14ac:dyDescent="0.25">
      <c r="J1854" s="25">
        <v>0.45749696493280889</v>
      </c>
      <c r="N1854" s="26"/>
    </row>
    <row r="1855" spans="10:14" x14ac:dyDescent="0.25">
      <c r="J1855" s="25">
        <v>0.19178621513006511</v>
      </c>
      <c r="N1855" s="26"/>
    </row>
    <row r="1856" spans="10:14" x14ac:dyDescent="0.25">
      <c r="J1856" s="25">
        <v>-6.5213066543979514E-2</v>
      </c>
      <c r="N1856" s="26"/>
    </row>
    <row r="1857" spans="10:14" x14ac:dyDescent="0.25">
      <c r="J1857" s="25">
        <v>-2.1065653883778346E-4</v>
      </c>
      <c r="N1857" s="26"/>
    </row>
    <row r="1858" spans="10:14" x14ac:dyDescent="0.25">
      <c r="J1858" s="25">
        <v>0.56824304511860868</v>
      </c>
      <c r="N1858" s="26"/>
    </row>
    <row r="1859" spans="10:14" x14ac:dyDescent="0.25">
      <c r="J1859" s="25">
        <v>4.5724972070230407E-2</v>
      </c>
      <c r="N1859" s="26"/>
    </row>
    <row r="1860" spans="10:14" x14ac:dyDescent="0.25">
      <c r="J1860" s="25">
        <v>-0.449586866169846</v>
      </c>
      <c r="N1860" s="26"/>
    </row>
    <row r="1861" spans="10:14" x14ac:dyDescent="0.25">
      <c r="J1861" s="25">
        <v>0.43912654272718199</v>
      </c>
      <c r="N1861" s="26"/>
    </row>
    <row r="1862" spans="10:14" x14ac:dyDescent="0.25">
      <c r="J1862" s="25">
        <v>0.53071781472677437</v>
      </c>
      <c r="N1862" s="26"/>
    </row>
    <row r="1863" spans="10:14" x14ac:dyDescent="0.25">
      <c r="J1863" s="25">
        <v>5.9096750112581642E-3</v>
      </c>
      <c r="N1863" s="26"/>
    </row>
    <row r="1864" spans="10:14" x14ac:dyDescent="0.25">
      <c r="J1864" s="25">
        <v>-0.39840433850894397</v>
      </c>
      <c r="N1864" s="26"/>
    </row>
    <row r="1865" spans="10:14" x14ac:dyDescent="0.25">
      <c r="J1865" s="25">
        <v>0.24999887262797804</v>
      </c>
      <c r="N1865" s="26"/>
    </row>
    <row r="1866" spans="10:14" x14ac:dyDescent="0.25">
      <c r="J1866" s="25">
        <v>-0.37637017363308101</v>
      </c>
      <c r="N1866" s="26"/>
    </row>
    <row r="1867" spans="10:14" x14ac:dyDescent="0.25">
      <c r="J1867" s="25">
        <v>4.7306507229788686E-2</v>
      </c>
      <c r="N1867" s="26"/>
    </row>
    <row r="1868" spans="10:14" x14ac:dyDescent="0.25">
      <c r="J1868" s="25">
        <v>-0.47136945276277942</v>
      </c>
      <c r="N1868" s="26"/>
    </row>
    <row r="1869" spans="10:14" x14ac:dyDescent="0.25">
      <c r="J1869" s="25">
        <v>0.97810800834274203</v>
      </c>
      <c r="N1869" s="26"/>
    </row>
    <row r="1870" spans="10:14" x14ac:dyDescent="0.25">
      <c r="J1870" s="25">
        <v>-0.27581362316879576</v>
      </c>
      <c r="N1870" s="26"/>
    </row>
    <row r="1871" spans="10:14" x14ac:dyDescent="0.25">
      <c r="J1871" s="25">
        <v>3.7984211811475044E-2</v>
      </c>
      <c r="N1871" s="26"/>
    </row>
    <row r="1872" spans="10:14" x14ac:dyDescent="0.25">
      <c r="J1872" s="25">
        <v>-0.44681962768375005</v>
      </c>
      <c r="N1872" s="26"/>
    </row>
    <row r="1873" spans="10:14" x14ac:dyDescent="0.25">
      <c r="J1873" s="25">
        <v>-0.16777950517161377</v>
      </c>
      <c r="N1873" s="26"/>
    </row>
    <row r="1874" spans="10:14" x14ac:dyDescent="0.25">
      <c r="J1874" s="25">
        <v>2.260664440568938E-3</v>
      </c>
      <c r="N1874" s="26"/>
    </row>
    <row r="1875" spans="10:14" x14ac:dyDescent="0.25">
      <c r="J1875" s="25">
        <v>0.29284221596293114</v>
      </c>
      <c r="N1875" s="26"/>
    </row>
    <row r="1876" spans="10:14" x14ac:dyDescent="0.25">
      <c r="J1876" s="25">
        <v>-0.27076451998308215</v>
      </c>
      <c r="N1876" s="26"/>
    </row>
    <row r="1877" spans="10:14" x14ac:dyDescent="0.25">
      <c r="J1877" s="25">
        <v>-0.15128648849199611</v>
      </c>
      <c r="N1877" s="26"/>
    </row>
    <row r="1878" spans="10:14" x14ac:dyDescent="0.25">
      <c r="J1878" s="25">
        <v>0.39731719378921415</v>
      </c>
      <c r="N1878" s="26"/>
    </row>
    <row r="1879" spans="10:14" x14ac:dyDescent="0.25">
      <c r="J1879" s="25">
        <v>-0.10994399346457862</v>
      </c>
      <c r="N1879" s="26"/>
    </row>
    <row r="1880" spans="10:14" x14ac:dyDescent="0.25">
      <c r="J1880" s="25">
        <v>-0.37046393229059527</v>
      </c>
      <c r="N1880" s="26"/>
    </row>
    <row r="1881" spans="10:14" x14ac:dyDescent="0.25">
      <c r="J1881" s="25">
        <v>-0.19375389683190225</v>
      </c>
      <c r="N1881" s="26"/>
    </row>
    <row r="1882" spans="10:14" x14ac:dyDescent="0.25">
      <c r="J1882" s="25">
        <v>-0.11173855224242768</v>
      </c>
      <c r="N1882" s="26"/>
    </row>
    <row r="1883" spans="10:14" x14ac:dyDescent="0.25">
      <c r="J1883" s="25">
        <v>-4.6740997765064018E-2</v>
      </c>
      <c r="N1883" s="26"/>
    </row>
    <row r="1884" spans="10:14" x14ac:dyDescent="0.25">
      <c r="J1884" s="25">
        <v>-0.43574986811569372</v>
      </c>
      <c r="N1884" s="26"/>
    </row>
    <row r="1885" spans="10:14" x14ac:dyDescent="0.25">
      <c r="J1885" s="25">
        <v>-3.826217963275147E-2</v>
      </c>
      <c r="N1885" s="26"/>
    </row>
    <row r="1886" spans="10:14" x14ac:dyDescent="0.25">
      <c r="J1886" s="25">
        <v>-0.41473367902374725</v>
      </c>
      <c r="N1886" s="26"/>
    </row>
    <row r="1887" spans="10:14" x14ac:dyDescent="0.25">
      <c r="J1887" s="25">
        <v>-0.18372293017027286</v>
      </c>
      <c r="N1887" s="26"/>
    </row>
    <row r="1888" spans="10:14" x14ac:dyDescent="0.25">
      <c r="J1888" s="25">
        <v>-0.21011212475916574</v>
      </c>
      <c r="N1888" s="26"/>
    </row>
    <row r="1889" spans="10:14" x14ac:dyDescent="0.25">
      <c r="J1889" s="25">
        <v>6.5405720248852051E-2</v>
      </c>
      <c r="N1889" s="26"/>
    </row>
    <row r="1890" spans="10:14" x14ac:dyDescent="0.25">
      <c r="J1890" s="25">
        <v>-0.43432261483817369</v>
      </c>
      <c r="N1890" s="26"/>
    </row>
    <row r="1891" spans="10:14" x14ac:dyDescent="0.25">
      <c r="J1891" s="25">
        <v>-0.40507537236016367</v>
      </c>
      <c r="N1891" s="26"/>
    </row>
    <row r="1892" spans="10:14" x14ac:dyDescent="0.25">
      <c r="J1892" s="25">
        <v>0.45351013326924261</v>
      </c>
      <c r="N1892" s="26"/>
    </row>
    <row r="1893" spans="10:14" x14ac:dyDescent="0.25">
      <c r="J1893" s="25">
        <v>0.71517614716749756</v>
      </c>
      <c r="N1893" s="26"/>
    </row>
    <row r="1894" spans="10:14" x14ac:dyDescent="0.25">
      <c r="J1894" s="25">
        <v>-0.34901723532965923</v>
      </c>
      <c r="N1894" s="26"/>
    </row>
    <row r="1895" spans="10:14" x14ac:dyDescent="0.25">
      <c r="J1895" s="25">
        <v>0.34402587800154971</v>
      </c>
      <c r="N1895" s="26"/>
    </row>
    <row r="1896" spans="10:14" x14ac:dyDescent="0.25">
      <c r="J1896" s="25">
        <v>0.83152785055618961</v>
      </c>
      <c r="N1896" s="26"/>
    </row>
    <row r="1897" spans="10:14" x14ac:dyDescent="0.25">
      <c r="J1897" s="25">
        <v>-0.19365848790493112</v>
      </c>
      <c r="N1897" s="26"/>
    </row>
    <row r="1898" spans="10:14" x14ac:dyDescent="0.25">
      <c r="J1898" s="25">
        <v>2.6590761360256954E-2</v>
      </c>
      <c r="N1898" s="26"/>
    </row>
    <row r="1899" spans="10:14" x14ac:dyDescent="0.25">
      <c r="J1899" s="25">
        <v>0.2286929095697563</v>
      </c>
      <c r="N1899" s="26"/>
    </row>
    <row r="1900" spans="10:14" x14ac:dyDescent="0.25">
      <c r="J1900" s="25">
        <v>9.6547016024379761E-3</v>
      </c>
      <c r="N1900" s="26"/>
    </row>
    <row r="1901" spans="10:14" x14ac:dyDescent="0.25">
      <c r="J1901" s="25">
        <v>-0.25141715919725949</v>
      </c>
      <c r="N1901" s="26"/>
    </row>
    <row r="1902" spans="10:14" x14ac:dyDescent="0.25">
      <c r="J1902" s="25">
        <v>2.6804639789685725E-2</v>
      </c>
      <c r="N1902" s="26"/>
    </row>
    <row r="1903" spans="10:14" x14ac:dyDescent="0.25">
      <c r="J1903" s="25">
        <v>0.37704118009981835</v>
      </c>
      <c r="N1903" s="26"/>
    </row>
    <row r="1904" spans="10:14" x14ac:dyDescent="0.25">
      <c r="J1904" s="25">
        <v>-0.37372249954848302</v>
      </c>
      <c r="N1904" s="26"/>
    </row>
    <row r="1905" spans="10:14" x14ac:dyDescent="0.25">
      <c r="J1905" s="25">
        <v>0.87805668780365331</v>
      </c>
      <c r="N1905" s="26"/>
    </row>
    <row r="1906" spans="10:14" x14ac:dyDescent="0.25">
      <c r="J1906" s="25">
        <v>-0.1609552341121393</v>
      </c>
      <c r="N1906" s="26"/>
    </row>
    <row r="1907" spans="10:14" x14ac:dyDescent="0.25">
      <c r="J1907" s="25">
        <v>-2.7630421851871478E-2</v>
      </c>
      <c r="N1907" s="26"/>
    </row>
    <row r="1908" spans="10:14" x14ac:dyDescent="0.25">
      <c r="J1908" s="25">
        <v>-5.8286094623708928E-2</v>
      </c>
      <c r="N1908" s="26"/>
    </row>
    <row r="1909" spans="10:14" x14ac:dyDescent="0.25">
      <c r="J1909" s="25">
        <v>-7.3551661336481833E-2</v>
      </c>
      <c r="N1909" s="26"/>
    </row>
    <row r="1910" spans="10:14" x14ac:dyDescent="0.25">
      <c r="J1910" s="25">
        <v>4.1227231349199034E-2</v>
      </c>
      <c r="N1910" s="26"/>
    </row>
    <row r="1911" spans="10:14" x14ac:dyDescent="0.25">
      <c r="J1911" s="25">
        <v>-0.18511297986601405</v>
      </c>
      <c r="N1911" s="26"/>
    </row>
    <row r="1912" spans="10:14" x14ac:dyDescent="0.25">
      <c r="J1912" s="25">
        <v>-0.21921797740386106</v>
      </c>
      <c r="N1912" s="26"/>
    </row>
    <row r="1913" spans="10:14" x14ac:dyDescent="0.25">
      <c r="J1913" s="25">
        <v>0.37774720324840594</v>
      </c>
      <c r="N1913" s="26"/>
    </row>
    <row r="1914" spans="10:14" x14ac:dyDescent="0.25">
      <c r="J1914" s="25">
        <v>-4.6456245578273436E-2</v>
      </c>
      <c r="N1914" s="26"/>
    </row>
    <row r="1915" spans="10:14" x14ac:dyDescent="0.25">
      <c r="J1915" s="25">
        <v>6.9940293056869995E-2</v>
      </c>
      <c r="N1915" s="26"/>
    </row>
    <row r="1916" spans="10:14" x14ac:dyDescent="0.25">
      <c r="J1916" s="25">
        <v>6.3675420941251337E-2</v>
      </c>
      <c r="N1916" s="26"/>
    </row>
    <row r="1917" spans="10:14" x14ac:dyDescent="0.25">
      <c r="J1917" s="25">
        <v>2.7996702702260956E-2</v>
      </c>
      <c r="N1917" s="26"/>
    </row>
    <row r="1918" spans="10:14" x14ac:dyDescent="0.25">
      <c r="J1918" s="25">
        <v>2.7076319571674778E-2</v>
      </c>
      <c r="N1918" s="26"/>
    </row>
    <row r="1919" spans="10:14" x14ac:dyDescent="0.25">
      <c r="J1919" s="25">
        <v>-0.30454032143723819</v>
      </c>
      <c r="N1919" s="26"/>
    </row>
    <row r="1920" spans="10:14" x14ac:dyDescent="0.25">
      <c r="J1920" s="25">
        <v>0.44340490342765593</v>
      </c>
      <c r="N1920" s="26"/>
    </row>
    <row r="1921" spans="10:14" x14ac:dyDescent="0.25">
      <c r="J1921" s="25">
        <v>0.200635505158405</v>
      </c>
      <c r="N1921" s="26"/>
    </row>
    <row r="1922" spans="10:14" x14ac:dyDescent="0.25">
      <c r="J1922" s="25">
        <v>0.40037722465743641</v>
      </c>
      <c r="N1922" s="26"/>
    </row>
    <row r="1923" spans="10:14" x14ac:dyDescent="0.25">
      <c r="J1923" s="25">
        <v>-0.12293888386092189</v>
      </c>
      <c r="N1923" s="26"/>
    </row>
    <row r="1924" spans="10:14" x14ac:dyDescent="0.25">
      <c r="J1924" s="25">
        <v>8.1969543627218089E-2</v>
      </c>
      <c r="N1924" s="26"/>
    </row>
    <row r="1925" spans="10:14" x14ac:dyDescent="0.25">
      <c r="J1925" s="25">
        <v>8.4478453266818354E-2</v>
      </c>
      <c r="N1925" s="26"/>
    </row>
    <row r="1926" spans="10:14" x14ac:dyDescent="0.25">
      <c r="J1926" s="25">
        <v>7.0703734471275759E-2</v>
      </c>
      <c r="N1926" s="26"/>
    </row>
    <row r="1927" spans="10:14" x14ac:dyDescent="0.25">
      <c r="J1927" s="25">
        <v>0.47069319578676683</v>
      </c>
      <c r="N1927" s="26"/>
    </row>
    <row r="1928" spans="10:14" x14ac:dyDescent="0.25">
      <c r="J1928" s="25">
        <v>0.25710093414919877</v>
      </c>
      <c r="N1928" s="26"/>
    </row>
    <row r="1929" spans="10:14" x14ac:dyDescent="0.25">
      <c r="J1929" s="25">
        <v>0.629880634479695</v>
      </c>
      <c r="N1929" s="26"/>
    </row>
    <row r="1930" spans="10:14" x14ac:dyDescent="0.25">
      <c r="J1930" s="25">
        <v>0.34384338372715417</v>
      </c>
      <c r="N1930" s="26"/>
    </row>
    <row r="1931" spans="10:14" x14ac:dyDescent="0.25">
      <c r="J1931" s="25">
        <v>0.26977905769609922</v>
      </c>
      <c r="N1931" s="26"/>
    </row>
    <row r="1932" spans="10:14" x14ac:dyDescent="0.25">
      <c r="J1932" s="25">
        <v>-0.2369476714348594</v>
      </c>
      <c r="N1932" s="26"/>
    </row>
    <row r="1933" spans="10:14" x14ac:dyDescent="0.25">
      <c r="J1933" s="25">
        <v>0.39578518600860546</v>
      </c>
      <c r="N1933" s="26"/>
    </row>
    <row r="1934" spans="10:14" x14ac:dyDescent="0.25">
      <c r="J1934" s="25">
        <v>0.63994728582400096</v>
      </c>
      <c r="N1934" s="26"/>
    </row>
    <row r="1935" spans="10:14" x14ac:dyDescent="0.25">
      <c r="J1935" s="25">
        <v>7.2412520100418876E-2</v>
      </c>
      <c r="N1935" s="26"/>
    </row>
    <row r="1936" spans="10:14" x14ac:dyDescent="0.25">
      <c r="J1936" s="25">
        <v>0.65996039557668928</v>
      </c>
      <c r="N1936" s="26"/>
    </row>
    <row r="1937" spans="10:14" x14ac:dyDescent="0.25">
      <c r="J1937" s="25">
        <v>-8.1239838040827794E-2</v>
      </c>
      <c r="N1937" s="26"/>
    </row>
    <row r="1938" spans="10:14" x14ac:dyDescent="0.25">
      <c r="J1938" s="25">
        <v>-0.2624117879352057</v>
      </c>
      <c r="N1938" s="26"/>
    </row>
    <row r="1939" spans="10:14" x14ac:dyDescent="0.25">
      <c r="J1939" s="25">
        <v>0.39319333492980335</v>
      </c>
      <c r="N1939" s="26"/>
    </row>
    <row r="1940" spans="10:14" x14ac:dyDescent="0.25">
      <c r="J1940" s="25">
        <v>0.64596960664084913</v>
      </c>
      <c r="N1940" s="26"/>
    </row>
    <row r="1941" spans="10:14" x14ac:dyDescent="0.25">
      <c r="J1941" s="25">
        <v>-0.3519463331888536</v>
      </c>
      <c r="N1941" s="26"/>
    </row>
    <row r="1942" spans="10:14" x14ac:dyDescent="0.25">
      <c r="J1942" s="25">
        <v>-0.40539002615859998</v>
      </c>
      <c r="N1942" s="26"/>
    </row>
    <row r="1943" spans="10:14" x14ac:dyDescent="0.25">
      <c r="J1943" s="25">
        <v>-8.0165942974308013E-2</v>
      </c>
      <c r="N1943" s="26"/>
    </row>
    <row r="1944" spans="10:14" x14ac:dyDescent="0.25">
      <c r="J1944" s="25">
        <v>9.9423334564212595E-2</v>
      </c>
      <c r="N1944" s="26"/>
    </row>
    <row r="1945" spans="10:14" x14ac:dyDescent="0.25">
      <c r="J1945" s="25">
        <v>-0.40840529427460281</v>
      </c>
      <c r="N1945" s="26"/>
    </row>
    <row r="1946" spans="10:14" x14ac:dyDescent="0.25">
      <c r="J1946" s="25">
        <v>-0.35282001391392392</v>
      </c>
      <c r="N1946" s="26"/>
    </row>
    <row r="1947" spans="10:14" x14ac:dyDescent="0.25">
      <c r="J1947" s="25">
        <v>0.38835329616588088</v>
      </c>
      <c r="N1947" s="26"/>
    </row>
    <row r="1948" spans="10:14" x14ac:dyDescent="0.25">
      <c r="J1948" s="25">
        <v>-6.6948495988456425E-2</v>
      </c>
      <c r="N1948" s="26"/>
    </row>
    <row r="1949" spans="10:14" x14ac:dyDescent="0.25">
      <c r="J1949" s="25">
        <v>0.49112950000239919</v>
      </c>
      <c r="N1949" s="26"/>
    </row>
    <row r="1950" spans="10:14" x14ac:dyDescent="0.25">
      <c r="J1950" s="25">
        <v>-4.9031849404907457E-2</v>
      </c>
      <c r="N1950" s="26"/>
    </row>
    <row r="1951" spans="10:14" x14ac:dyDescent="0.25">
      <c r="J1951" s="25">
        <v>-0.43366857868644992</v>
      </c>
      <c r="N1951" s="26"/>
    </row>
    <row r="1952" spans="10:14" x14ac:dyDescent="0.25">
      <c r="J1952" s="25">
        <v>-0.18873530477603873</v>
      </c>
      <c r="N1952" s="26"/>
    </row>
    <row r="1953" spans="10:14" x14ac:dyDescent="0.25">
      <c r="J1953" s="25">
        <v>4.7869284542747303E-2</v>
      </c>
      <c r="N1953" s="26"/>
    </row>
    <row r="1954" spans="10:14" x14ac:dyDescent="0.25">
      <c r="J1954" s="25">
        <v>-6.0564560392910027E-2</v>
      </c>
      <c r="N1954" s="26"/>
    </row>
    <row r="1955" spans="10:14" x14ac:dyDescent="0.25">
      <c r="J1955" s="25">
        <v>3.7275759242939577E-2</v>
      </c>
      <c r="N1955" s="26"/>
    </row>
    <row r="1956" spans="10:14" x14ac:dyDescent="0.25">
      <c r="J1956" s="25">
        <v>-0.20645865327573143</v>
      </c>
      <c r="N1956" s="26"/>
    </row>
    <row r="1957" spans="10:14" x14ac:dyDescent="0.25">
      <c r="J1957" s="25">
        <v>-0.28562831720487269</v>
      </c>
      <c r="N1957" s="26"/>
    </row>
    <row r="1958" spans="10:14" x14ac:dyDescent="0.25">
      <c r="J1958" s="25">
        <v>8.1402353741333755E-2</v>
      </c>
      <c r="N1958" s="26"/>
    </row>
    <row r="1959" spans="10:14" x14ac:dyDescent="0.25">
      <c r="J1959" s="25">
        <v>-0.30490169220535179</v>
      </c>
      <c r="N1959" s="26"/>
    </row>
    <row r="1960" spans="10:14" x14ac:dyDescent="0.25">
      <c r="J1960" s="25">
        <v>-0.36174675463998052</v>
      </c>
      <c r="N1960" s="26"/>
    </row>
    <row r="1961" spans="10:14" x14ac:dyDescent="0.25">
      <c r="J1961" s="25">
        <v>9.5695450110247826E-2</v>
      </c>
      <c r="N1961" s="26"/>
    </row>
    <row r="1962" spans="10:14" x14ac:dyDescent="0.25">
      <c r="J1962" s="25">
        <v>0.66752479038928803</v>
      </c>
      <c r="N1962" s="26"/>
    </row>
    <row r="1963" spans="10:14" x14ac:dyDescent="0.25">
      <c r="J1963" s="25">
        <v>-0.3529872492043723</v>
      </c>
      <c r="N1963" s="26"/>
    </row>
    <row r="1964" spans="10:14" x14ac:dyDescent="0.25">
      <c r="J1964" s="25">
        <v>0.49238430038308256</v>
      </c>
      <c r="N1964" s="26"/>
    </row>
    <row r="1965" spans="10:14" x14ac:dyDescent="0.25">
      <c r="J1965" s="25">
        <v>0.66182779023287375</v>
      </c>
      <c r="N1965" s="26"/>
    </row>
    <row r="1966" spans="10:14" x14ac:dyDescent="0.25">
      <c r="J1966" s="25">
        <v>0.17234469839696898</v>
      </c>
      <c r="N1966" s="26"/>
    </row>
    <row r="1967" spans="10:14" x14ac:dyDescent="0.25">
      <c r="J1967" s="25">
        <v>0.18781580074619453</v>
      </c>
      <c r="N1967" s="26"/>
    </row>
    <row r="1968" spans="10:14" x14ac:dyDescent="0.25">
      <c r="J1968" s="25">
        <v>-0.11685353656434039</v>
      </c>
      <c r="N1968" s="26"/>
    </row>
    <row r="1969" spans="10:14" x14ac:dyDescent="0.25">
      <c r="J1969" s="25">
        <v>0.17182044680120656</v>
      </c>
      <c r="N1969" s="26"/>
    </row>
    <row r="1970" spans="10:14" x14ac:dyDescent="0.25">
      <c r="J1970" s="25">
        <v>-0.24945218655363965</v>
      </c>
      <c r="N1970" s="26"/>
    </row>
    <row r="1971" spans="10:14" x14ac:dyDescent="0.25">
      <c r="J1971" s="25">
        <v>-1.7387062766601069E-2</v>
      </c>
      <c r="N1971" s="26"/>
    </row>
    <row r="1972" spans="10:14" x14ac:dyDescent="0.25">
      <c r="J1972" s="25">
        <v>-6.2640997902529971E-4</v>
      </c>
      <c r="N1972" s="26"/>
    </row>
    <row r="1973" spans="10:14" x14ac:dyDescent="0.25">
      <c r="J1973" s="25">
        <v>-7.0629251637099766E-2</v>
      </c>
      <c r="N1973" s="26"/>
    </row>
    <row r="1974" spans="10:14" x14ac:dyDescent="0.25">
      <c r="J1974" s="25">
        <v>-0.20303535430592179</v>
      </c>
      <c r="N1974" s="26"/>
    </row>
    <row r="1975" spans="10:14" x14ac:dyDescent="0.25">
      <c r="J1975" s="25">
        <v>0.45580209296865326</v>
      </c>
      <c r="N1975" s="26"/>
    </row>
    <row r="1976" spans="10:14" x14ac:dyDescent="0.25">
      <c r="J1976" s="25">
        <v>8.0852139357267649E-2</v>
      </c>
      <c r="N1976" s="26"/>
    </row>
    <row r="1977" spans="10:14" x14ac:dyDescent="0.25">
      <c r="J1977" s="25">
        <v>-5.3072896736100827E-2</v>
      </c>
      <c r="N1977" s="26"/>
    </row>
    <row r="1978" spans="10:14" x14ac:dyDescent="0.25">
      <c r="J1978" s="25">
        <v>-0.36384092539695156</v>
      </c>
      <c r="N1978" s="26"/>
    </row>
    <row r="1979" spans="10:14" x14ac:dyDescent="0.25">
      <c r="J1979" s="25">
        <v>-0.11416670367315429</v>
      </c>
      <c r="N1979" s="26"/>
    </row>
    <row r="1980" spans="10:14" x14ac:dyDescent="0.25">
      <c r="J1980" s="25">
        <v>0.27820607011623433</v>
      </c>
      <c r="N1980" s="26"/>
    </row>
    <row r="1981" spans="10:14" x14ac:dyDescent="0.25">
      <c r="J1981" s="25">
        <v>-0.32461017243816614</v>
      </c>
      <c r="N1981" s="26"/>
    </row>
    <row r="1982" spans="10:14" x14ac:dyDescent="0.25">
      <c r="J1982" s="25">
        <v>0.3903383320922833</v>
      </c>
      <c r="N1982" s="26"/>
    </row>
    <row r="1983" spans="10:14" x14ac:dyDescent="0.25">
      <c r="J1983" s="25">
        <v>0.74886610401480014</v>
      </c>
      <c r="N1983" s="26"/>
    </row>
    <row r="1984" spans="10:14" x14ac:dyDescent="0.25">
      <c r="J1984" s="25">
        <v>4.7835690094375938E-2</v>
      </c>
      <c r="N1984" s="26"/>
    </row>
    <row r="1985" spans="10:14" x14ac:dyDescent="0.25">
      <c r="J1985" s="25">
        <v>0.44782456380257862</v>
      </c>
      <c r="N1985" s="26"/>
    </row>
    <row r="1986" spans="10:14" x14ac:dyDescent="0.25">
      <c r="J1986" s="25">
        <v>0.38547120292164516</v>
      </c>
      <c r="N1986" s="26"/>
    </row>
    <row r="1987" spans="10:14" x14ac:dyDescent="0.25">
      <c r="J1987" s="25">
        <v>-0.39360715714409145</v>
      </c>
      <c r="N1987" s="26"/>
    </row>
    <row r="1988" spans="10:14" x14ac:dyDescent="0.25">
      <c r="J1988" s="25">
        <v>-0.32020324022175639</v>
      </c>
      <c r="N1988" s="26"/>
    </row>
    <row r="1989" spans="10:14" x14ac:dyDescent="0.25">
      <c r="J1989" s="25">
        <v>9.021735451730839E-2</v>
      </c>
      <c r="N1989" s="26"/>
    </row>
    <row r="1990" spans="10:14" x14ac:dyDescent="0.25">
      <c r="J1990" s="25">
        <v>-2.3531919448721128E-2</v>
      </c>
      <c r="N1990" s="26"/>
    </row>
    <row r="1991" spans="10:14" x14ac:dyDescent="0.25">
      <c r="J1991" s="25">
        <v>0.60452598483137887</v>
      </c>
      <c r="N1991" s="26"/>
    </row>
    <row r="1992" spans="10:14" x14ac:dyDescent="0.25">
      <c r="J1992" s="25">
        <v>0.33589610101073486</v>
      </c>
      <c r="N1992" s="26"/>
    </row>
    <row r="1993" spans="10:14" x14ac:dyDescent="0.25">
      <c r="J1993" s="25">
        <v>0.67947782173327553</v>
      </c>
      <c r="N1993" s="26"/>
    </row>
    <row r="1994" spans="10:14" x14ac:dyDescent="0.25">
      <c r="J1994" s="25">
        <v>-0.14864082076590124</v>
      </c>
      <c r="N1994" s="26"/>
    </row>
    <row r="1995" spans="10:14" x14ac:dyDescent="0.25">
      <c r="J1995" s="25">
        <v>0.20876887681442713</v>
      </c>
      <c r="N1995" s="26"/>
    </row>
    <row r="1996" spans="10:14" x14ac:dyDescent="0.25">
      <c r="J1996" s="25">
        <v>0.80850031676106227</v>
      </c>
      <c r="N1996" s="26"/>
    </row>
    <row r="1997" spans="10:14" x14ac:dyDescent="0.25">
      <c r="J1997" s="25">
        <v>-0.25518075088264269</v>
      </c>
      <c r="N1997" s="26"/>
    </row>
    <row r="1998" spans="10:14" x14ac:dyDescent="0.25">
      <c r="J1998" s="25">
        <v>0.18275046918572824</v>
      </c>
      <c r="N1998" s="26"/>
    </row>
    <row r="1999" spans="10:14" x14ac:dyDescent="0.25">
      <c r="J1999" s="25">
        <v>-0.40004692470524583</v>
      </c>
      <c r="N1999" s="26"/>
    </row>
    <row r="2000" spans="10:14" x14ac:dyDescent="0.25">
      <c r="J2000" s="25">
        <v>-2.3470495360261578E-2</v>
      </c>
      <c r="N2000" s="26"/>
    </row>
    <row r="2001" spans="10:14" x14ac:dyDescent="0.25">
      <c r="J2001" s="25">
        <v>0.75698541853277379</v>
      </c>
      <c r="N2001" s="26"/>
    </row>
    <row r="2002" spans="10:14" x14ac:dyDescent="0.25">
      <c r="J2002" s="25">
        <v>0.19684516679880426</v>
      </c>
      <c r="N2002" s="26"/>
    </row>
    <row r="2003" spans="10:14" x14ac:dyDescent="0.25">
      <c r="J2003" s="25">
        <v>7.190572000936335E-2</v>
      </c>
      <c r="N2003" s="26"/>
    </row>
    <row r="2004" spans="10:14" x14ac:dyDescent="0.25">
      <c r="J2004" s="25">
        <v>0.32608661479432532</v>
      </c>
      <c r="N2004" s="26"/>
    </row>
    <row r="2005" spans="10:14" x14ac:dyDescent="0.25">
      <c r="J2005" s="25">
        <v>-0.30981679910760351</v>
      </c>
      <c r="N2005" s="26"/>
    </row>
    <row r="2006" spans="10:14" x14ac:dyDescent="0.25">
      <c r="J2006" s="25">
        <v>-1.1346120961872486E-2</v>
      </c>
      <c r="N2006" s="26"/>
    </row>
    <row r="2007" spans="10:14" x14ac:dyDescent="0.25">
      <c r="J2007" s="25">
        <v>0.28065616119637693</v>
      </c>
      <c r="N2007" s="26"/>
    </row>
    <row r="2008" spans="10:14" x14ac:dyDescent="0.25">
      <c r="J2008" s="25">
        <v>0.62216585531285307</v>
      </c>
      <c r="N2008" s="26"/>
    </row>
    <row r="2009" spans="10:14" x14ac:dyDescent="0.25">
      <c r="J2009" s="25">
        <v>0.32101378267684799</v>
      </c>
      <c r="N2009" s="26"/>
    </row>
    <row r="2010" spans="10:14" x14ac:dyDescent="0.25">
      <c r="J2010" s="25">
        <v>0.62469218937766136</v>
      </c>
      <c r="N2010" s="26"/>
    </row>
    <row r="2011" spans="10:14" x14ac:dyDescent="0.25">
      <c r="J2011" s="25">
        <v>-0.47993651813122862</v>
      </c>
      <c r="N2011" s="26"/>
    </row>
    <row r="2012" spans="10:14" x14ac:dyDescent="0.25">
      <c r="J2012" s="25">
        <v>-2.2296863740832285E-2</v>
      </c>
      <c r="N2012" s="26"/>
    </row>
    <row r="2013" spans="10:14" x14ac:dyDescent="0.25">
      <c r="J2013" s="25">
        <v>-0.16828844714474311</v>
      </c>
      <c r="N2013" s="26"/>
    </row>
    <row r="2014" spans="10:14" x14ac:dyDescent="0.25">
      <c r="J2014" s="25">
        <v>0.68699963252142471</v>
      </c>
      <c r="N2014" s="26"/>
    </row>
    <row r="2015" spans="10:14" x14ac:dyDescent="0.25">
      <c r="J2015" s="25">
        <v>-0.33069569915013819</v>
      </c>
      <c r="N2015" s="26"/>
    </row>
    <row r="2016" spans="10:14" x14ac:dyDescent="0.25">
      <c r="J2016" s="25">
        <v>-2.5484520954230927E-3</v>
      </c>
      <c r="N2016" s="26"/>
    </row>
    <row r="2017" spans="10:14" x14ac:dyDescent="0.25">
      <c r="J2017" s="25">
        <v>8.1269353215587037E-2</v>
      </c>
      <c r="N2017" s="26"/>
    </row>
    <row r="2018" spans="10:14" x14ac:dyDescent="0.25">
      <c r="J2018" s="25">
        <v>-0.31849329790343228</v>
      </c>
      <c r="N2018" s="26"/>
    </row>
    <row r="2019" spans="10:14" x14ac:dyDescent="0.25">
      <c r="J2019" s="25">
        <v>-0.14139316786150635</v>
      </c>
      <c r="N2019" s="26"/>
    </row>
    <row r="2020" spans="10:14" x14ac:dyDescent="0.25">
      <c r="J2020" s="25">
        <v>0.45587479744524773</v>
      </c>
      <c r="N2020" s="26"/>
    </row>
    <row r="2021" spans="10:14" x14ac:dyDescent="0.25">
      <c r="J2021" s="25">
        <v>0.65440684711427588</v>
      </c>
      <c r="N2021" s="26"/>
    </row>
    <row r="2022" spans="10:14" x14ac:dyDescent="0.25">
      <c r="J2022" s="25">
        <v>-0.4385989827128941</v>
      </c>
      <c r="N2022" s="26"/>
    </row>
    <row r="2023" spans="10:14" x14ac:dyDescent="0.25">
      <c r="J2023" s="25">
        <v>-2.9020135674445502E-2</v>
      </c>
      <c r="N2023" s="26"/>
    </row>
    <row r="2024" spans="10:14" x14ac:dyDescent="0.25">
      <c r="J2024" s="25">
        <v>-0.40626742187840081</v>
      </c>
      <c r="N2024" s="26"/>
    </row>
    <row r="2025" spans="10:14" x14ac:dyDescent="0.25">
      <c r="J2025" s="25">
        <v>0.69135269169100333</v>
      </c>
      <c r="N2025" s="26"/>
    </row>
    <row r="2026" spans="10:14" x14ac:dyDescent="0.25">
      <c r="J2026" s="25">
        <v>-0.38726468622384813</v>
      </c>
      <c r="N2026" s="26"/>
    </row>
    <row r="2027" spans="10:14" x14ac:dyDescent="0.25">
      <c r="J2027" s="25">
        <v>0.20791775094928866</v>
      </c>
      <c r="N2027" s="26"/>
    </row>
    <row r="2028" spans="10:14" x14ac:dyDescent="0.25">
      <c r="J2028" s="25">
        <v>1.2270780438419226E-2</v>
      </c>
      <c r="N2028" s="26"/>
    </row>
    <row r="2029" spans="10:14" x14ac:dyDescent="0.25">
      <c r="J2029" s="25">
        <v>0.58227529384375365</v>
      </c>
      <c r="N2029" s="26"/>
    </row>
    <row r="2030" spans="10:14" x14ac:dyDescent="0.25">
      <c r="J2030" s="25">
        <v>-0.53216265082287317</v>
      </c>
      <c r="N2030" s="26"/>
    </row>
    <row r="2031" spans="10:14" x14ac:dyDescent="0.25">
      <c r="J2031" s="25">
        <v>-0.18555818594583839</v>
      </c>
      <c r="N2031" s="26"/>
    </row>
    <row r="2032" spans="10:14" x14ac:dyDescent="0.25">
      <c r="J2032" s="25">
        <v>0.44018690515478798</v>
      </c>
      <c r="N2032" s="26"/>
    </row>
    <row r="2033" spans="10:14" x14ac:dyDescent="0.25">
      <c r="J2033" s="25">
        <v>-0.32129952999581102</v>
      </c>
      <c r="N2033" s="26"/>
    </row>
    <row r="2034" spans="10:14" x14ac:dyDescent="0.25">
      <c r="J2034" s="25">
        <v>5.5291699655371174E-2</v>
      </c>
      <c r="N2034" s="26"/>
    </row>
    <row r="2035" spans="10:14" x14ac:dyDescent="0.25">
      <c r="J2035" s="25">
        <v>9.208001646806574E-3</v>
      </c>
      <c r="N2035" s="26"/>
    </row>
    <row r="2036" spans="10:14" x14ac:dyDescent="0.25">
      <c r="J2036" s="25">
        <v>-0.14741775152902614</v>
      </c>
      <c r="N2036" s="26"/>
    </row>
    <row r="2037" spans="10:14" x14ac:dyDescent="0.25">
      <c r="J2037" s="25">
        <v>-0.3552073813495934</v>
      </c>
      <c r="N2037" s="26"/>
    </row>
    <row r="2038" spans="10:14" x14ac:dyDescent="0.25">
      <c r="J2038" s="25">
        <v>-0.10821377341205918</v>
      </c>
      <c r="N2038" s="26"/>
    </row>
    <row r="2039" spans="10:14" x14ac:dyDescent="0.25">
      <c r="J2039" s="25">
        <v>5.754411364989398E-2</v>
      </c>
      <c r="N2039" s="26"/>
    </row>
    <row r="2040" spans="10:14" x14ac:dyDescent="0.25">
      <c r="J2040" s="25">
        <v>-3.0439669734250829E-2</v>
      </c>
      <c r="N2040" s="26"/>
    </row>
    <row r="2041" spans="10:14" x14ac:dyDescent="0.25">
      <c r="J2041" s="25">
        <v>3.3544551506025311E-2</v>
      </c>
      <c r="N2041" s="26"/>
    </row>
    <row r="2042" spans="10:14" x14ac:dyDescent="0.25">
      <c r="J2042" s="25">
        <v>-3.0928364609366654E-2</v>
      </c>
      <c r="N2042" s="26"/>
    </row>
    <row r="2043" spans="10:14" x14ac:dyDescent="0.25">
      <c r="J2043" s="25">
        <v>1.6525220458981194E-2</v>
      </c>
      <c r="N2043" s="26"/>
    </row>
    <row r="2044" spans="10:14" x14ac:dyDescent="0.25">
      <c r="J2044" s="25">
        <v>5.1171560889408108E-2</v>
      </c>
      <c r="N2044" s="26"/>
    </row>
    <row r="2045" spans="10:14" x14ac:dyDescent="0.25">
      <c r="J2045" s="25">
        <v>-0.37957843970376381</v>
      </c>
      <c r="N2045" s="26"/>
    </row>
    <row r="2046" spans="10:14" x14ac:dyDescent="0.25">
      <c r="J2046" s="25">
        <v>0.60481750555911873</v>
      </c>
      <c r="N2046" s="26"/>
    </row>
    <row r="2047" spans="10:14" x14ac:dyDescent="0.25">
      <c r="J2047" s="25">
        <v>-0.38090084734826191</v>
      </c>
      <c r="N2047" s="26"/>
    </row>
    <row r="2048" spans="10:14" x14ac:dyDescent="0.25">
      <c r="J2048" s="25">
        <v>-0.27109687398447224</v>
      </c>
      <c r="N2048" s="26"/>
    </row>
    <row r="2049" spans="10:14" x14ac:dyDescent="0.25">
      <c r="J2049" s="25">
        <v>0.55178692996237144</v>
      </c>
      <c r="N2049" s="26"/>
    </row>
    <row r="2050" spans="10:14" x14ac:dyDescent="0.25">
      <c r="J2050" s="25">
        <v>-0.35094466114014922</v>
      </c>
      <c r="N2050" s="26"/>
    </row>
    <row r="2051" spans="10:14" x14ac:dyDescent="0.25">
      <c r="J2051" s="25">
        <v>-9.4737762338005238E-2</v>
      </c>
      <c r="N2051" s="26"/>
    </row>
    <row r="2052" spans="10:14" x14ac:dyDescent="0.25">
      <c r="J2052" s="25">
        <v>-0.23458446772312858</v>
      </c>
      <c r="N2052" s="26"/>
    </row>
    <row r="2053" spans="10:14" x14ac:dyDescent="0.25">
      <c r="J2053" s="25">
        <v>0.52248771247616665</v>
      </c>
      <c r="N2053" s="26"/>
    </row>
    <row r="2054" spans="10:14" x14ac:dyDescent="0.25">
      <c r="J2054" s="25">
        <v>-0.1573367366360271</v>
      </c>
      <c r="N2054" s="26"/>
    </row>
    <row r="2055" spans="10:14" x14ac:dyDescent="0.25">
      <c r="J2055" s="25">
        <v>0.24868115664795298</v>
      </c>
      <c r="N2055" s="26"/>
    </row>
    <row r="2056" spans="10:14" x14ac:dyDescent="0.25">
      <c r="J2056" s="25">
        <v>0.26166228238892342</v>
      </c>
      <c r="N2056" s="26"/>
    </row>
    <row r="2057" spans="10:14" x14ac:dyDescent="0.25">
      <c r="J2057" s="25">
        <v>-0.51331222432944745</v>
      </c>
      <c r="N2057" s="26"/>
    </row>
    <row r="2058" spans="10:14" x14ac:dyDescent="0.25">
      <c r="J2058" s="25">
        <v>0.16793685919738421</v>
      </c>
      <c r="N2058" s="26"/>
    </row>
    <row r="2059" spans="10:14" x14ac:dyDescent="0.25">
      <c r="J2059" s="25">
        <v>4.7080622356998836E-2</v>
      </c>
      <c r="N2059" s="26"/>
    </row>
    <row r="2060" spans="10:14" x14ac:dyDescent="0.25">
      <c r="J2060" s="25">
        <v>-7.2169697911703468E-2</v>
      </c>
      <c r="N2060" s="26"/>
    </row>
    <row r="2061" spans="10:14" x14ac:dyDescent="0.25">
      <c r="J2061" s="25">
        <v>0.1027305003565504</v>
      </c>
      <c r="N2061" s="26"/>
    </row>
    <row r="2062" spans="10:14" x14ac:dyDescent="0.25">
      <c r="J2062" s="25">
        <v>4.3159028491417173E-2</v>
      </c>
      <c r="N2062" s="26"/>
    </row>
    <row r="2063" spans="10:14" x14ac:dyDescent="0.25">
      <c r="J2063" s="25">
        <v>-2.99257407860124E-2</v>
      </c>
      <c r="N2063" s="26"/>
    </row>
    <row r="2064" spans="10:14" x14ac:dyDescent="0.25">
      <c r="J2064" s="25">
        <v>0.54335164209549114</v>
      </c>
      <c r="N2064" s="26"/>
    </row>
    <row r="2065" spans="10:14" x14ac:dyDescent="0.25">
      <c r="J2065" s="25">
        <v>-0.10971309284077901</v>
      </c>
      <c r="N2065" s="26"/>
    </row>
    <row r="2066" spans="10:14" x14ac:dyDescent="0.25">
      <c r="J2066" s="25">
        <v>5.6722910433797402E-3</v>
      </c>
      <c r="N2066" s="26"/>
    </row>
    <row r="2067" spans="10:14" x14ac:dyDescent="0.25">
      <c r="J2067" s="25">
        <v>4.6837815990803389E-3</v>
      </c>
      <c r="N2067" s="26"/>
    </row>
    <row r="2068" spans="10:14" x14ac:dyDescent="0.25">
      <c r="J2068" s="25">
        <v>-0.50359529690398963</v>
      </c>
      <c r="N2068" s="26"/>
    </row>
    <row r="2069" spans="10:14" x14ac:dyDescent="0.25">
      <c r="J2069" s="25">
        <v>0.66406719890599697</v>
      </c>
      <c r="N2069" s="26"/>
    </row>
    <row r="2070" spans="10:14" x14ac:dyDescent="0.25">
      <c r="J2070" s="25">
        <v>0.12313481084213174</v>
      </c>
      <c r="N2070" s="26"/>
    </row>
    <row r="2071" spans="10:14" x14ac:dyDescent="0.25">
      <c r="J2071" s="25">
        <v>-0.22795814487009902</v>
      </c>
      <c r="N2071" s="26"/>
    </row>
    <row r="2072" spans="10:14" x14ac:dyDescent="0.25">
      <c r="J2072" s="25">
        <v>-0.15495530562813487</v>
      </c>
      <c r="N2072" s="26"/>
    </row>
    <row r="2073" spans="10:14" x14ac:dyDescent="0.25">
      <c r="J2073" s="25">
        <v>-4.3214980959639715E-2</v>
      </c>
      <c r="N2073" s="26"/>
    </row>
    <row r="2074" spans="10:14" x14ac:dyDescent="0.25">
      <c r="J2074" s="25">
        <v>-6.7994608568100467E-4</v>
      </c>
      <c r="N2074" s="26"/>
    </row>
    <row r="2075" spans="10:14" x14ac:dyDescent="0.25">
      <c r="J2075" s="25">
        <v>-0.20240258966160563</v>
      </c>
      <c r="N2075" s="26"/>
    </row>
    <row r="2076" spans="10:14" x14ac:dyDescent="0.25">
      <c r="J2076" s="25">
        <v>-0.35849290335765704</v>
      </c>
      <c r="N2076" s="26"/>
    </row>
    <row r="2077" spans="10:14" x14ac:dyDescent="0.25">
      <c r="J2077" s="25">
        <v>7.2115482218057636E-2</v>
      </c>
      <c r="N2077" s="26"/>
    </row>
    <row r="2078" spans="10:14" x14ac:dyDescent="0.25">
      <c r="J2078" s="25">
        <v>0.48675179600905527</v>
      </c>
      <c r="N2078" s="26"/>
    </row>
    <row r="2079" spans="10:14" x14ac:dyDescent="0.25">
      <c r="J2079" s="25">
        <v>-0.3366772662126003</v>
      </c>
      <c r="N2079" s="26"/>
    </row>
    <row r="2080" spans="10:14" x14ac:dyDescent="0.25">
      <c r="J2080" s="25">
        <v>-0.25741147989737034</v>
      </c>
      <c r="N2080" s="26"/>
    </row>
    <row r="2081" spans="10:14" x14ac:dyDescent="0.25">
      <c r="J2081" s="25">
        <v>0.71170116011220896</v>
      </c>
      <c r="N2081" s="26"/>
    </row>
    <row r="2082" spans="10:14" x14ac:dyDescent="0.25">
      <c r="J2082" s="25">
        <v>0.42033084519165897</v>
      </c>
      <c r="N2082" s="26"/>
    </row>
    <row r="2083" spans="10:14" x14ac:dyDescent="0.25">
      <c r="J2083" s="25">
        <v>-0.15149811090172904</v>
      </c>
      <c r="N2083" s="26"/>
    </row>
    <row r="2084" spans="10:14" x14ac:dyDescent="0.25">
      <c r="J2084" s="25">
        <v>7.0884433614927023E-2</v>
      </c>
      <c r="N2084" s="26"/>
    </row>
    <row r="2085" spans="10:14" x14ac:dyDescent="0.25">
      <c r="J2085" s="25">
        <v>0.3954849872347137</v>
      </c>
      <c r="N2085" s="26"/>
    </row>
    <row r="2086" spans="10:14" x14ac:dyDescent="0.25">
      <c r="J2086" s="25">
        <v>-0.29503351823119983</v>
      </c>
      <c r="N2086" s="26"/>
    </row>
    <row r="2087" spans="10:14" x14ac:dyDescent="0.25">
      <c r="J2087" s="25">
        <v>-2.329098449168332E-2</v>
      </c>
      <c r="N2087" s="26"/>
    </row>
    <row r="2088" spans="10:14" x14ac:dyDescent="0.25">
      <c r="J2088" s="25">
        <v>0.18423151751804823</v>
      </c>
      <c r="N2088" s="26"/>
    </row>
    <row r="2089" spans="10:14" x14ac:dyDescent="0.25">
      <c r="J2089" s="25">
        <v>-0.42501508447038672</v>
      </c>
      <c r="N2089" s="26"/>
    </row>
    <row r="2090" spans="10:14" x14ac:dyDescent="0.25">
      <c r="J2090" s="25">
        <v>-5.3460054947723767E-2</v>
      </c>
      <c r="N2090" s="26"/>
    </row>
    <row r="2091" spans="10:14" x14ac:dyDescent="0.25">
      <c r="J2091" s="25">
        <v>4.2562389298212544E-2</v>
      </c>
      <c r="N2091" s="26"/>
    </row>
    <row r="2092" spans="10:14" x14ac:dyDescent="0.25">
      <c r="J2092" s="25">
        <v>-0.36769879219353396</v>
      </c>
      <c r="N2092" s="26"/>
    </row>
    <row r="2093" spans="10:14" x14ac:dyDescent="0.25">
      <c r="J2093" s="25">
        <v>0.48028575892006886</v>
      </c>
      <c r="N2093" s="26"/>
    </row>
    <row r="2094" spans="10:14" x14ac:dyDescent="0.25">
      <c r="J2094" s="25">
        <v>-3.9314951363969342E-2</v>
      </c>
      <c r="N2094" s="26"/>
    </row>
    <row r="2095" spans="10:14" x14ac:dyDescent="0.25">
      <c r="J2095" s="25">
        <v>-0.21140088725893469</v>
      </c>
      <c r="N2095" s="26"/>
    </row>
    <row r="2096" spans="10:14" x14ac:dyDescent="0.25">
      <c r="J2096" s="25">
        <v>-8.8402045528573114E-2</v>
      </c>
      <c r="N2096" s="26"/>
    </row>
    <row r="2097" spans="10:14" x14ac:dyDescent="0.25">
      <c r="J2097" s="25">
        <v>-0.45919911601745544</v>
      </c>
      <c r="N2097" s="26"/>
    </row>
    <row r="2098" spans="10:14" x14ac:dyDescent="0.25">
      <c r="J2098" s="25">
        <v>1.7611509478490106E-3</v>
      </c>
      <c r="N2098" s="26"/>
    </row>
    <row r="2099" spans="10:14" x14ac:dyDescent="0.25">
      <c r="J2099" s="25">
        <v>1.1344438387791831</v>
      </c>
      <c r="N2099" s="26"/>
    </row>
    <row r="2100" spans="10:14" x14ac:dyDescent="0.25">
      <c r="J2100" s="25">
        <v>0.31810542045321433</v>
      </c>
      <c r="N2100" s="26"/>
    </row>
    <row r="2101" spans="10:14" x14ac:dyDescent="0.25">
      <c r="J2101" s="25">
        <v>-0.38289439208572773</v>
      </c>
      <c r="N2101" s="26"/>
    </row>
    <row r="2102" spans="10:14" x14ac:dyDescent="0.25">
      <c r="J2102" s="25">
        <v>0.10651522215983444</v>
      </c>
      <c r="N2102" s="26"/>
    </row>
    <row r="2103" spans="10:14" x14ac:dyDescent="0.25">
      <c r="J2103" s="25">
        <v>0.85774186151982468</v>
      </c>
      <c r="N2103" s="26"/>
    </row>
    <row r="2104" spans="10:14" x14ac:dyDescent="0.25">
      <c r="J2104" s="25">
        <v>0.20998825328914439</v>
      </c>
      <c r="N2104" s="26"/>
    </row>
    <row r="2105" spans="10:14" x14ac:dyDescent="0.25">
      <c r="J2105" s="25">
        <v>-0.12730082509922125</v>
      </c>
      <c r="N2105" s="26"/>
    </row>
    <row r="2106" spans="10:14" x14ac:dyDescent="0.25">
      <c r="J2106" s="25">
        <v>0.53213950069833782</v>
      </c>
      <c r="N2106" s="26"/>
    </row>
    <row r="2107" spans="10:14" x14ac:dyDescent="0.25">
      <c r="J2107" s="25">
        <v>-0.32716304903383442</v>
      </c>
      <c r="N2107" s="26"/>
    </row>
    <row r="2108" spans="10:14" x14ac:dyDescent="0.25">
      <c r="J2108" s="25">
        <v>8.7434706416771979E-2</v>
      </c>
      <c r="N2108" s="26"/>
    </row>
    <row r="2109" spans="10:14" x14ac:dyDescent="0.25">
      <c r="J2109" s="25">
        <v>9.9044542578676564E-2</v>
      </c>
      <c r="N2109" s="26"/>
    </row>
    <row r="2110" spans="10:14" x14ac:dyDescent="0.25">
      <c r="J2110" s="25">
        <v>-4.6886822234525227E-2</v>
      </c>
      <c r="N2110" s="26"/>
    </row>
    <row r="2111" spans="10:14" x14ac:dyDescent="0.25">
      <c r="J2111" s="25">
        <v>-0.22086751302913499</v>
      </c>
      <c r="N2111" s="26"/>
    </row>
    <row r="2112" spans="10:14" x14ac:dyDescent="0.25">
      <c r="J2112" s="25">
        <v>-0.35361281239131404</v>
      </c>
      <c r="N2112" s="26"/>
    </row>
    <row r="2113" spans="10:14" x14ac:dyDescent="0.25">
      <c r="J2113" s="25">
        <v>-0.2471448146433336</v>
      </c>
      <c r="N2113" s="26"/>
    </row>
    <row r="2114" spans="10:14" x14ac:dyDescent="0.25">
      <c r="J2114" s="25">
        <v>3.4606681552312946E-2</v>
      </c>
      <c r="N2114" s="26"/>
    </row>
    <row r="2115" spans="10:14" x14ac:dyDescent="0.25">
      <c r="J2115" s="25">
        <v>0.60243355362413231</v>
      </c>
      <c r="N2115" s="26"/>
    </row>
    <row r="2116" spans="10:14" x14ac:dyDescent="0.25">
      <c r="J2116" s="25">
        <v>-0.24044402134945764</v>
      </c>
      <c r="N2116" s="26"/>
    </row>
    <row r="2117" spans="10:14" x14ac:dyDescent="0.25">
      <c r="J2117" s="25">
        <v>1.8095685179293941E-2</v>
      </c>
      <c r="N2117" s="26"/>
    </row>
    <row r="2118" spans="10:14" x14ac:dyDescent="0.25">
      <c r="J2118" s="25">
        <v>0.2760181668359778</v>
      </c>
      <c r="N2118" s="26"/>
    </row>
    <row r="2119" spans="10:14" x14ac:dyDescent="0.25">
      <c r="J2119" s="25">
        <v>0.25947260956075935</v>
      </c>
      <c r="N2119" s="26"/>
    </row>
    <row r="2120" spans="10:14" x14ac:dyDescent="0.25">
      <c r="J2120" s="25">
        <v>-0.3766327405599762</v>
      </c>
      <c r="N2120" s="26"/>
    </row>
    <row r="2121" spans="10:14" x14ac:dyDescent="0.25">
      <c r="J2121" s="25">
        <v>0.12931488225177801</v>
      </c>
      <c r="N2121" s="26"/>
    </row>
    <row r="2122" spans="10:14" x14ac:dyDescent="0.25">
      <c r="J2122" s="25">
        <v>-0.41384260512784521</v>
      </c>
      <c r="N2122" s="26"/>
    </row>
    <row r="2123" spans="10:14" x14ac:dyDescent="0.25">
      <c r="J2123" s="25">
        <v>-0.16444888906728894</v>
      </c>
      <c r="N2123" s="26"/>
    </row>
    <row r="2124" spans="10:14" x14ac:dyDescent="0.25">
      <c r="J2124" s="25">
        <v>6.096191627626979E-4</v>
      </c>
      <c r="N2124" s="26"/>
    </row>
    <row r="2125" spans="10:14" x14ac:dyDescent="0.25">
      <c r="J2125" s="25">
        <v>0.28542562039402108</v>
      </c>
      <c r="N2125" s="26"/>
    </row>
    <row r="2126" spans="10:14" x14ac:dyDescent="0.25">
      <c r="J2126" s="25">
        <v>-0.1275018742475017</v>
      </c>
      <c r="N2126" s="26"/>
    </row>
    <row r="2127" spans="10:14" x14ac:dyDescent="0.25">
      <c r="J2127" s="25">
        <v>-0.16579093085169372</v>
      </c>
      <c r="N2127" s="26"/>
    </row>
    <row r="2128" spans="10:14" x14ac:dyDescent="0.25">
      <c r="J2128" s="25">
        <v>-0.11638205426762083</v>
      </c>
      <c r="N2128" s="26"/>
    </row>
    <row r="2129" spans="10:14" x14ac:dyDescent="0.25">
      <c r="J2129" s="25">
        <v>0.31190294098180793</v>
      </c>
      <c r="N2129" s="26"/>
    </row>
    <row r="2130" spans="10:14" x14ac:dyDescent="0.25">
      <c r="J2130" s="25">
        <v>-0.37212883735539259</v>
      </c>
      <c r="N2130" s="26"/>
    </row>
    <row r="2131" spans="10:14" x14ac:dyDescent="0.25">
      <c r="J2131" s="25">
        <v>1.0629912642804515</v>
      </c>
      <c r="N2131" s="26"/>
    </row>
    <row r="2132" spans="10:14" x14ac:dyDescent="0.25">
      <c r="J2132" s="25">
        <v>0.33321365915211776</v>
      </c>
      <c r="N2132" s="26"/>
    </row>
    <row r="2133" spans="10:14" x14ac:dyDescent="0.25">
      <c r="J2133" s="25">
        <v>-0.31888577269754359</v>
      </c>
      <c r="N2133" s="26"/>
    </row>
    <row r="2134" spans="10:14" x14ac:dyDescent="0.25">
      <c r="J2134" s="25">
        <v>0.81738414163256623</v>
      </c>
      <c r="N2134" s="26"/>
    </row>
    <row r="2135" spans="10:14" x14ac:dyDescent="0.25">
      <c r="J2135" s="25">
        <v>2.4134669402591236E-3</v>
      </c>
      <c r="N2135" s="26"/>
    </row>
    <row r="2136" spans="10:14" x14ac:dyDescent="0.25">
      <c r="J2136" s="25">
        <v>-0.33178050990623054</v>
      </c>
      <c r="N2136" s="26"/>
    </row>
    <row r="2137" spans="10:14" x14ac:dyDescent="0.25">
      <c r="J2137" s="25">
        <v>0.27999735441779472</v>
      </c>
      <c r="N2137" s="26"/>
    </row>
    <row r="2138" spans="10:14" x14ac:dyDescent="0.25">
      <c r="J2138" s="25">
        <v>-0.38869740056673929</v>
      </c>
      <c r="N2138" s="26"/>
    </row>
    <row r="2139" spans="10:14" x14ac:dyDescent="0.25">
      <c r="J2139" s="25">
        <v>-0.13222044963089519</v>
      </c>
      <c r="N2139" s="26"/>
    </row>
    <row r="2140" spans="10:14" x14ac:dyDescent="0.25">
      <c r="J2140" s="25">
        <v>-0.12371818547380575</v>
      </c>
      <c r="N2140" s="26"/>
    </row>
    <row r="2141" spans="10:14" x14ac:dyDescent="0.25">
      <c r="J2141" s="25">
        <v>0.36719574107712072</v>
      </c>
      <c r="N2141" s="26"/>
    </row>
    <row r="2142" spans="10:14" x14ac:dyDescent="0.25">
      <c r="J2142" s="25">
        <v>0.48723768412424895</v>
      </c>
      <c r="N2142" s="26"/>
    </row>
    <row r="2143" spans="10:14" x14ac:dyDescent="0.25">
      <c r="J2143" s="25">
        <v>-0.3871002544815344</v>
      </c>
      <c r="N2143" s="26"/>
    </row>
    <row r="2144" spans="10:14" x14ac:dyDescent="0.25">
      <c r="J2144" s="25">
        <v>-0.37761897299082603</v>
      </c>
      <c r="N2144" s="26"/>
    </row>
    <row r="2145" spans="10:14" x14ac:dyDescent="0.25">
      <c r="J2145" s="25">
        <v>-0.11200301026413162</v>
      </c>
      <c r="N2145" s="26"/>
    </row>
    <row r="2146" spans="10:14" x14ac:dyDescent="0.25">
      <c r="J2146" s="25">
        <v>-0.43089307163248369</v>
      </c>
      <c r="N2146" s="26"/>
    </row>
    <row r="2147" spans="10:14" x14ac:dyDescent="0.25">
      <c r="J2147" s="25">
        <v>3.4875333430719913E-2</v>
      </c>
      <c r="N2147" s="26"/>
    </row>
    <row r="2148" spans="10:14" x14ac:dyDescent="0.25">
      <c r="J2148" s="25">
        <v>-9.6760232165191695E-2</v>
      </c>
      <c r="N2148" s="26"/>
    </row>
    <row r="2149" spans="10:14" x14ac:dyDescent="0.25">
      <c r="J2149" s="25">
        <v>0.19366351455597375</v>
      </c>
      <c r="N2149" s="26"/>
    </row>
    <row r="2150" spans="10:14" x14ac:dyDescent="0.25">
      <c r="J2150" s="25">
        <v>-0.20833751320926175</v>
      </c>
      <c r="N2150" s="26"/>
    </row>
    <row r="2151" spans="10:14" x14ac:dyDescent="0.25">
      <c r="J2151" s="25">
        <v>0.1611422004405858</v>
      </c>
      <c r="N2151" s="26"/>
    </row>
    <row r="2152" spans="10:14" x14ac:dyDescent="0.25">
      <c r="J2152" s="25">
        <v>0.22056221713677271</v>
      </c>
      <c r="N2152" s="26"/>
    </row>
    <row r="2153" spans="10:14" x14ac:dyDescent="0.25">
      <c r="J2153" s="25">
        <v>0.18317929772311992</v>
      </c>
      <c r="N2153" s="26"/>
    </row>
    <row r="2154" spans="10:14" x14ac:dyDescent="0.25">
      <c r="J2154" s="25">
        <v>0.7588733733407873</v>
      </c>
      <c r="N2154" s="26"/>
    </row>
    <row r="2155" spans="10:14" x14ac:dyDescent="0.25">
      <c r="J2155" s="25">
        <v>-0.19453344565675901</v>
      </c>
      <c r="N2155" s="26"/>
    </row>
    <row r="2156" spans="10:14" x14ac:dyDescent="0.25">
      <c r="J2156" s="25">
        <v>-3.8225711758876235E-2</v>
      </c>
      <c r="N2156" s="26"/>
    </row>
    <row r="2157" spans="10:14" x14ac:dyDescent="0.25">
      <c r="J2157" s="25">
        <v>-0.36607098532163074</v>
      </c>
      <c r="N2157" s="26"/>
    </row>
    <row r="2158" spans="10:14" x14ac:dyDescent="0.25">
      <c r="J2158" s="25">
        <v>3.5394935648230152E-2</v>
      </c>
      <c r="N2158" s="26"/>
    </row>
    <row r="2159" spans="10:14" x14ac:dyDescent="0.25">
      <c r="J2159" s="25">
        <v>0.6481732200926611</v>
      </c>
      <c r="N2159" s="26"/>
    </row>
    <row r="2160" spans="10:14" x14ac:dyDescent="0.25">
      <c r="J2160" s="25">
        <v>-7.3040027810991726E-2</v>
      </c>
      <c r="N2160" s="26"/>
    </row>
    <row r="2161" spans="10:14" x14ac:dyDescent="0.25">
      <c r="J2161" s="25">
        <v>-6.2894861959908899E-2</v>
      </c>
      <c r="N2161" s="26"/>
    </row>
    <row r="2162" spans="10:14" x14ac:dyDescent="0.25">
      <c r="J2162" s="25">
        <v>-0.24342983600226686</v>
      </c>
      <c r="N2162" s="26"/>
    </row>
    <row r="2163" spans="10:14" x14ac:dyDescent="0.25">
      <c r="J2163" s="25">
        <v>-0.16488793741335883</v>
      </c>
      <c r="N2163" s="26"/>
    </row>
    <row r="2164" spans="10:14" x14ac:dyDescent="0.25">
      <c r="J2164" s="25">
        <v>0.47509711598278104</v>
      </c>
      <c r="N2164" s="26"/>
    </row>
    <row r="2165" spans="10:14" x14ac:dyDescent="0.25">
      <c r="J2165" s="25">
        <v>-0.34851034437535566</v>
      </c>
      <c r="N2165" s="26"/>
    </row>
    <row r="2166" spans="10:14" x14ac:dyDescent="0.25">
      <c r="J2166" s="25">
        <v>1.0244689231349824</v>
      </c>
      <c r="N2166" s="26"/>
    </row>
    <row r="2167" spans="10:14" x14ac:dyDescent="0.25">
      <c r="J2167" s="25">
        <v>7.5469996701728048E-2</v>
      </c>
      <c r="N2167" s="26"/>
    </row>
    <row r="2168" spans="10:14" x14ac:dyDescent="0.25">
      <c r="J2168" s="25">
        <v>0.4396998550689708</v>
      </c>
      <c r="N2168" s="26"/>
    </row>
    <row r="2169" spans="10:14" x14ac:dyDescent="0.25">
      <c r="J2169" s="25">
        <v>0.16131170672668782</v>
      </c>
      <c r="N2169" s="26"/>
    </row>
    <row r="2170" spans="10:14" x14ac:dyDescent="0.25">
      <c r="J2170" s="25">
        <v>-5.1909223472720201E-2</v>
      </c>
      <c r="N2170" s="26"/>
    </row>
    <row r="2171" spans="10:14" x14ac:dyDescent="0.25">
      <c r="J2171" s="25">
        <v>6.1387098391586292E-2</v>
      </c>
      <c r="N2171" s="26"/>
    </row>
    <row r="2172" spans="10:14" x14ac:dyDescent="0.25">
      <c r="J2172" s="25">
        <v>-0.18531712289200153</v>
      </c>
      <c r="N2172" s="26"/>
    </row>
    <row r="2173" spans="10:14" x14ac:dyDescent="0.25">
      <c r="J2173" s="25">
        <v>0.46143922739485466</v>
      </c>
      <c r="N2173" s="26"/>
    </row>
    <row r="2174" spans="10:14" x14ac:dyDescent="0.25">
      <c r="J2174" s="25">
        <v>8.2673876864829632E-2</v>
      </c>
      <c r="N2174" s="26"/>
    </row>
    <row r="2175" spans="10:14" x14ac:dyDescent="0.25">
      <c r="J2175" s="25">
        <v>-0.41865743501035058</v>
      </c>
      <c r="N2175" s="26"/>
    </row>
    <row r="2176" spans="10:14" x14ac:dyDescent="0.25">
      <c r="J2176" s="25">
        <v>-3.3219447193159168E-2</v>
      </c>
      <c r="N2176" s="26"/>
    </row>
    <row r="2177" spans="10:14" x14ac:dyDescent="0.25">
      <c r="J2177" s="25">
        <v>8.3311418893623257E-2</v>
      </c>
      <c r="N2177" s="26"/>
    </row>
    <row r="2178" spans="10:14" x14ac:dyDescent="0.25">
      <c r="J2178" s="25">
        <v>-0.19611211279625462</v>
      </c>
      <c r="N2178" s="26"/>
    </row>
    <row r="2179" spans="10:14" x14ac:dyDescent="0.25">
      <c r="J2179" s="25">
        <v>0.64803892747122105</v>
      </c>
      <c r="N2179" s="26"/>
    </row>
    <row r="2180" spans="10:14" x14ac:dyDescent="0.25">
      <c r="J2180" s="25">
        <v>-8.9878435381663291E-2</v>
      </c>
      <c r="N2180" s="26"/>
    </row>
    <row r="2181" spans="10:14" x14ac:dyDescent="0.25">
      <c r="J2181" s="25">
        <v>-0.28823432419503925</v>
      </c>
      <c r="N2181" s="26"/>
    </row>
    <row r="2182" spans="10:14" x14ac:dyDescent="0.25">
      <c r="J2182" s="25">
        <v>-0.40597923083559173</v>
      </c>
      <c r="N2182" s="26"/>
    </row>
    <row r="2183" spans="10:14" x14ac:dyDescent="0.25">
      <c r="J2183" s="25">
        <v>2.8603782573630498E-2</v>
      </c>
      <c r="N2183" s="26"/>
    </row>
    <row r="2184" spans="10:14" x14ac:dyDescent="0.25">
      <c r="J2184" s="25">
        <v>-0.15932959694961613</v>
      </c>
      <c r="N2184" s="26"/>
    </row>
    <row r="2185" spans="10:14" x14ac:dyDescent="0.25">
      <c r="J2185" s="25">
        <v>-0.39239525682834131</v>
      </c>
      <c r="N2185" s="26"/>
    </row>
    <row r="2186" spans="10:14" x14ac:dyDescent="0.25">
      <c r="J2186" s="25">
        <v>-0.23234956312404387</v>
      </c>
      <c r="N2186" s="26"/>
    </row>
    <row r="2187" spans="10:14" x14ac:dyDescent="0.25">
      <c r="J2187" s="25">
        <v>0.17824038417210497</v>
      </c>
      <c r="N2187" s="26"/>
    </row>
    <row r="2188" spans="10:14" x14ac:dyDescent="0.25">
      <c r="J2188" s="25">
        <v>0.59598691872221865</v>
      </c>
      <c r="N2188" s="26"/>
    </row>
    <row r="2189" spans="10:14" x14ac:dyDescent="0.25">
      <c r="J2189" s="25">
        <v>-6.3040320821394769E-3</v>
      </c>
      <c r="N2189" s="26"/>
    </row>
    <row r="2190" spans="10:14" x14ac:dyDescent="0.25">
      <c r="J2190" s="25">
        <v>0.29098855590017791</v>
      </c>
      <c r="N2190" s="26"/>
    </row>
    <row r="2191" spans="10:14" x14ac:dyDescent="0.25">
      <c r="J2191" s="25">
        <v>3.7591920284933744E-2</v>
      </c>
      <c r="N2191" s="26"/>
    </row>
    <row r="2192" spans="10:14" x14ac:dyDescent="0.25">
      <c r="J2192" s="25">
        <v>0.59185809723081939</v>
      </c>
      <c r="N2192" s="26"/>
    </row>
    <row r="2193" spans="10:14" x14ac:dyDescent="0.25">
      <c r="J2193" s="25">
        <v>-4.6062095188928787E-2</v>
      </c>
      <c r="N2193" s="26"/>
    </row>
    <row r="2194" spans="10:14" x14ac:dyDescent="0.25">
      <c r="J2194" s="25">
        <v>0.24301170798200444</v>
      </c>
      <c r="N2194" s="26"/>
    </row>
    <row r="2195" spans="10:14" x14ac:dyDescent="0.25">
      <c r="J2195" s="25">
        <v>-0.18081693348439021</v>
      </c>
      <c r="N2195" s="26"/>
    </row>
    <row r="2196" spans="10:14" x14ac:dyDescent="0.25">
      <c r="J2196" s="25">
        <v>-0.32399238245321704</v>
      </c>
      <c r="N2196" s="26"/>
    </row>
    <row r="2197" spans="10:14" x14ac:dyDescent="0.25">
      <c r="J2197" s="25">
        <v>6.9140942250634385E-2</v>
      </c>
      <c r="N2197" s="26"/>
    </row>
    <row r="2198" spans="10:14" x14ac:dyDescent="0.25">
      <c r="J2198" s="25">
        <v>1.0845754533046406</v>
      </c>
      <c r="N2198" s="26"/>
    </row>
    <row r="2199" spans="10:14" x14ac:dyDescent="0.25">
      <c r="J2199" s="25">
        <v>-9.1763585614463294E-2</v>
      </c>
      <c r="N2199" s="26"/>
    </row>
    <row r="2200" spans="10:14" x14ac:dyDescent="0.25">
      <c r="J2200" s="25">
        <v>-0.46574574860723295</v>
      </c>
      <c r="N2200" s="26"/>
    </row>
    <row r="2201" spans="10:14" x14ac:dyDescent="0.25">
      <c r="J2201" s="25">
        <v>0.96624030319881093</v>
      </c>
      <c r="N2201" s="26"/>
    </row>
    <row r="2202" spans="10:14" x14ac:dyDescent="0.25">
      <c r="J2202" s="25">
        <v>-8.2646257663053113E-2</v>
      </c>
      <c r="N2202" s="26"/>
    </row>
    <row r="2203" spans="10:14" x14ac:dyDescent="0.25">
      <c r="J2203" s="25">
        <v>-5.6085019150071913E-2</v>
      </c>
      <c r="N2203" s="26"/>
    </row>
    <row r="2204" spans="10:14" x14ac:dyDescent="0.25">
      <c r="J2204" s="25">
        <v>-0.32001359732079471</v>
      </c>
      <c r="N2204" s="26"/>
    </row>
    <row r="2205" spans="10:14" x14ac:dyDescent="0.25">
      <c r="J2205" s="25">
        <v>-0.41452109834443363</v>
      </c>
      <c r="N2205" s="26"/>
    </row>
    <row r="2206" spans="10:14" x14ac:dyDescent="0.25">
      <c r="J2206" s="25">
        <v>-0.40482813436474141</v>
      </c>
      <c r="N2206" s="26"/>
    </row>
    <row r="2207" spans="10:14" x14ac:dyDescent="0.25">
      <c r="J2207" s="25">
        <v>-1.3157431521325758E-2</v>
      </c>
      <c r="N2207" s="26"/>
    </row>
    <row r="2208" spans="10:14" x14ac:dyDescent="0.25">
      <c r="J2208" s="25">
        <v>-0.27333472110485368</v>
      </c>
      <c r="N2208" s="26"/>
    </row>
    <row r="2209" spans="10:14" x14ac:dyDescent="0.25">
      <c r="J2209" s="25">
        <v>-0.34177023118472682</v>
      </c>
      <c r="N2209" s="26"/>
    </row>
    <row r="2210" spans="10:14" x14ac:dyDescent="0.25">
      <c r="J2210" s="25">
        <v>0.53255466024099274</v>
      </c>
      <c r="N2210" s="26"/>
    </row>
    <row r="2211" spans="10:14" x14ac:dyDescent="0.25">
      <c r="J2211" s="25">
        <v>-0.35734407654507605</v>
      </c>
      <c r="N2211" s="26"/>
    </row>
    <row r="2212" spans="10:14" x14ac:dyDescent="0.25">
      <c r="J2212" s="25">
        <v>8.1705711734379793E-2</v>
      </c>
      <c r="N2212" s="26"/>
    </row>
    <row r="2213" spans="10:14" x14ac:dyDescent="0.25">
      <c r="J2213" s="25">
        <v>2.4707579218653519E-2</v>
      </c>
      <c r="N2213" s="26"/>
    </row>
    <row r="2214" spans="10:14" x14ac:dyDescent="0.25">
      <c r="J2214" s="25">
        <v>-0.23547264099729293</v>
      </c>
      <c r="N2214" s="26"/>
    </row>
    <row r="2215" spans="10:14" x14ac:dyDescent="0.25">
      <c r="J2215" s="25">
        <v>0.15832806513684194</v>
      </c>
      <c r="N2215" s="26"/>
    </row>
    <row r="2216" spans="10:14" x14ac:dyDescent="0.25">
      <c r="J2216" s="25">
        <v>-0.39521630855103651</v>
      </c>
      <c r="N2216" s="26"/>
    </row>
    <row r="2217" spans="10:14" x14ac:dyDescent="0.25">
      <c r="J2217" s="25">
        <v>-0.5090095782358165</v>
      </c>
      <c r="N2217" s="26"/>
    </row>
    <row r="2218" spans="10:14" x14ac:dyDescent="0.25">
      <c r="J2218" s="25">
        <v>0.50478271152631859</v>
      </c>
      <c r="N2218" s="26"/>
    </row>
    <row r="2219" spans="10:14" x14ac:dyDescent="0.25">
      <c r="J2219" s="25">
        <v>-0.18110587458141891</v>
      </c>
      <c r="N2219" s="26"/>
    </row>
    <row r="2220" spans="10:14" x14ac:dyDescent="0.25">
      <c r="J2220" s="25">
        <v>0.50651153616182043</v>
      </c>
      <c r="N2220" s="26"/>
    </row>
    <row r="2221" spans="10:14" x14ac:dyDescent="0.25">
      <c r="J2221" s="25">
        <v>0.12699126427528262</v>
      </c>
      <c r="N2221" s="26"/>
    </row>
    <row r="2222" spans="10:14" x14ac:dyDescent="0.25">
      <c r="J2222" s="25">
        <v>-0.33217530320514732</v>
      </c>
      <c r="N2222" s="26"/>
    </row>
    <row r="2223" spans="10:14" x14ac:dyDescent="0.25">
      <c r="J2223" s="25">
        <v>2.987341711383662E-2</v>
      </c>
      <c r="N2223" s="26"/>
    </row>
    <row r="2224" spans="10:14" x14ac:dyDescent="0.25">
      <c r="J2224" s="25">
        <v>-4.4646172578646004E-2</v>
      </c>
      <c r="N2224" s="26"/>
    </row>
    <row r="2225" spans="10:14" x14ac:dyDescent="0.25">
      <c r="J2225" s="25">
        <v>1.0852864557636863</v>
      </c>
      <c r="N2225" s="26"/>
    </row>
    <row r="2226" spans="10:14" x14ac:dyDescent="0.25">
      <c r="J2226" s="25">
        <v>0.16501832763727453</v>
      </c>
      <c r="N2226" s="26"/>
    </row>
    <row r="2227" spans="10:14" x14ac:dyDescent="0.25">
      <c r="J2227" s="25">
        <v>0.19089480374112044</v>
      </c>
      <c r="N2227" s="26"/>
    </row>
    <row r="2228" spans="10:14" x14ac:dyDescent="0.25">
      <c r="J2228" s="25">
        <v>-0.44665479720622248</v>
      </c>
      <c r="N2228" s="26"/>
    </row>
    <row r="2229" spans="10:14" x14ac:dyDescent="0.25">
      <c r="J2229" s="25">
        <v>-0.18504503247888804</v>
      </c>
      <c r="N2229" s="26"/>
    </row>
    <row r="2230" spans="10:14" x14ac:dyDescent="0.25">
      <c r="J2230" s="25">
        <v>0.29864022517588418</v>
      </c>
      <c r="N2230" s="26"/>
    </row>
    <row r="2231" spans="10:14" x14ac:dyDescent="0.25">
      <c r="J2231" s="25">
        <v>0.35819380168732562</v>
      </c>
      <c r="N2231" s="26"/>
    </row>
    <row r="2232" spans="10:14" x14ac:dyDescent="0.25">
      <c r="J2232" s="25">
        <v>-0.3341529146534401</v>
      </c>
      <c r="N2232" s="26"/>
    </row>
    <row r="2233" spans="10:14" x14ac:dyDescent="0.25">
      <c r="J2233" s="25">
        <v>-0.2745767235415868</v>
      </c>
      <c r="N2233" s="26"/>
    </row>
    <row r="2234" spans="10:14" x14ac:dyDescent="0.25">
      <c r="J2234" s="25">
        <v>4.3073686142358625E-3</v>
      </c>
      <c r="N2234" s="26"/>
    </row>
    <row r="2235" spans="10:14" x14ac:dyDescent="0.25">
      <c r="J2235" s="25">
        <v>0.71604843537721719</v>
      </c>
      <c r="N2235" s="26"/>
    </row>
    <row r="2236" spans="10:14" x14ac:dyDescent="0.25">
      <c r="J2236" s="25">
        <v>-0.34735314973971076</v>
      </c>
      <c r="N2236" s="26"/>
    </row>
    <row r="2237" spans="10:14" x14ac:dyDescent="0.25">
      <c r="J2237" s="25">
        <v>-3.6354899344888891E-2</v>
      </c>
      <c r="N2237" s="26"/>
    </row>
    <row r="2238" spans="10:14" x14ac:dyDescent="0.25">
      <c r="J2238" s="25">
        <v>-4.3919210511056406E-2</v>
      </c>
      <c r="N2238" s="26"/>
    </row>
    <row r="2239" spans="10:14" x14ac:dyDescent="0.25">
      <c r="J2239" s="25">
        <v>-0.36847068487117896</v>
      </c>
      <c r="N2239" s="26"/>
    </row>
    <row r="2240" spans="10:14" x14ac:dyDescent="0.25">
      <c r="J2240" s="25">
        <v>0.97729394540225578</v>
      </c>
      <c r="N2240" s="26"/>
    </row>
    <row r="2241" spans="10:14" x14ac:dyDescent="0.25">
      <c r="J2241" s="25">
        <v>-3.3223190234559885E-2</v>
      </c>
      <c r="N2241" s="26"/>
    </row>
    <row r="2242" spans="10:14" x14ac:dyDescent="0.25">
      <c r="J2242" s="25">
        <v>0.24902198991285318</v>
      </c>
      <c r="N2242" s="26"/>
    </row>
    <row r="2243" spans="10:14" x14ac:dyDescent="0.25">
      <c r="J2243" s="25">
        <v>0.44407434776038035</v>
      </c>
      <c r="N2243" s="26"/>
    </row>
    <row r="2244" spans="10:14" x14ac:dyDescent="0.25">
      <c r="J2244" s="25">
        <v>-0.34265938565917331</v>
      </c>
      <c r="N2244" s="26"/>
    </row>
    <row r="2245" spans="10:14" x14ac:dyDescent="0.25">
      <c r="J2245" s="25">
        <v>4.5054754697003707E-2</v>
      </c>
      <c r="N2245" s="26"/>
    </row>
    <row r="2246" spans="10:14" x14ac:dyDescent="0.25">
      <c r="J2246" s="25">
        <v>0.52825521703356859</v>
      </c>
      <c r="N2246" s="26"/>
    </row>
    <row r="2247" spans="10:14" x14ac:dyDescent="0.25">
      <c r="J2247" s="25">
        <v>0.41366634570075655</v>
      </c>
      <c r="N2247" s="26"/>
    </row>
    <row r="2248" spans="10:14" x14ac:dyDescent="0.25">
      <c r="J2248" s="25">
        <v>3.8295258778660024E-3</v>
      </c>
      <c r="N2248" s="26"/>
    </row>
    <row r="2249" spans="10:14" x14ac:dyDescent="0.25">
      <c r="J2249" s="25">
        <v>-0.17433856194993969</v>
      </c>
      <c r="N2249" s="26"/>
    </row>
    <row r="2250" spans="10:14" x14ac:dyDescent="0.25">
      <c r="J2250" s="25">
        <v>-0.33846383491265775</v>
      </c>
      <c r="N2250" s="26"/>
    </row>
    <row r="2251" spans="10:14" x14ac:dyDescent="0.25">
      <c r="J2251" s="25">
        <v>4.8446510492717421E-2</v>
      </c>
      <c r="N2251" s="26"/>
    </row>
    <row r="2252" spans="10:14" x14ac:dyDescent="0.25">
      <c r="J2252" s="25">
        <v>-8.4906252143683636E-2</v>
      </c>
      <c r="N2252" s="26"/>
    </row>
    <row r="2253" spans="10:14" x14ac:dyDescent="0.25">
      <c r="J2253" s="25">
        <v>7.2885049981244565E-2</v>
      </c>
      <c r="N2253" s="26"/>
    </row>
    <row r="2254" spans="10:14" x14ac:dyDescent="0.25">
      <c r="J2254" s="25">
        <v>0.20905448703927232</v>
      </c>
      <c r="N2254" s="26"/>
    </row>
    <row r="2255" spans="10:14" x14ac:dyDescent="0.25">
      <c r="J2255" s="25">
        <v>-0.23997815959715685</v>
      </c>
      <c r="N2255" s="26"/>
    </row>
    <row r="2256" spans="10:14" x14ac:dyDescent="0.25">
      <c r="J2256" s="25">
        <v>0.27737757056399293</v>
      </c>
      <c r="N2256" s="26"/>
    </row>
    <row r="2257" spans="10:14" x14ac:dyDescent="0.25">
      <c r="J2257" s="25">
        <v>0.58851319344493946</v>
      </c>
      <c r="N2257" s="26"/>
    </row>
    <row r="2258" spans="10:14" x14ac:dyDescent="0.25">
      <c r="J2258" s="25">
        <v>0.38236053079875143</v>
      </c>
      <c r="N2258" s="26"/>
    </row>
    <row r="2259" spans="10:14" x14ac:dyDescent="0.25">
      <c r="J2259" s="25">
        <v>-0.36026394079833068</v>
      </c>
      <c r="N2259" s="26"/>
    </row>
    <row r="2260" spans="10:14" x14ac:dyDescent="0.25">
      <c r="J2260" s="25">
        <v>-0.14645657709565041</v>
      </c>
      <c r="N2260" s="26"/>
    </row>
    <row r="2261" spans="10:14" x14ac:dyDescent="0.25">
      <c r="J2261" s="25">
        <v>-0.14355151099186036</v>
      </c>
      <c r="N2261" s="26"/>
    </row>
    <row r="2262" spans="10:14" x14ac:dyDescent="0.25">
      <c r="J2262" s="25">
        <v>0.10158664987264987</v>
      </c>
      <c r="N2262" s="26"/>
    </row>
    <row r="2263" spans="10:14" x14ac:dyDescent="0.25">
      <c r="J2263" s="25">
        <v>0.8674381543066032</v>
      </c>
      <c r="N2263" s="26"/>
    </row>
    <row r="2264" spans="10:14" x14ac:dyDescent="0.25">
      <c r="J2264" s="25">
        <v>0.56816723844127792</v>
      </c>
      <c r="N2264" s="26"/>
    </row>
    <row r="2265" spans="10:14" x14ac:dyDescent="0.25">
      <c r="J2265" s="25">
        <v>-0.38194198046154959</v>
      </c>
      <c r="N2265" s="26"/>
    </row>
    <row r="2266" spans="10:14" x14ac:dyDescent="0.25">
      <c r="J2266" s="25">
        <v>-0.18131236014944541</v>
      </c>
      <c r="N2266" s="26"/>
    </row>
    <row r="2267" spans="10:14" x14ac:dyDescent="0.25">
      <c r="J2267" s="25">
        <v>-3.8187510334058983E-2</v>
      </c>
      <c r="N2267" s="26"/>
    </row>
    <row r="2268" spans="10:14" x14ac:dyDescent="0.25">
      <c r="J2268" s="25">
        <v>1.0830899419214286</v>
      </c>
      <c r="N2268" s="26"/>
    </row>
    <row r="2269" spans="10:14" x14ac:dyDescent="0.25">
      <c r="J2269" s="25">
        <v>0.29073930082556654</v>
      </c>
      <c r="N2269" s="26"/>
    </row>
    <row r="2270" spans="10:14" x14ac:dyDescent="0.25">
      <c r="J2270" s="25">
        <v>6.2290975236388491E-2</v>
      </c>
      <c r="N2270" s="26"/>
    </row>
    <row r="2271" spans="10:14" x14ac:dyDescent="0.25">
      <c r="J2271" s="25">
        <v>-0.35690530477867155</v>
      </c>
      <c r="N2271" s="26"/>
    </row>
    <row r="2272" spans="10:14" x14ac:dyDescent="0.25">
      <c r="J2272" s="25">
        <v>-0.17136891734828041</v>
      </c>
      <c r="N2272" s="26"/>
    </row>
    <row r="2273" spans="10:14" x14ac:dyDescent="0.25">
      <c r="J2273" s="25">
        <v>-0.47079588298563357</v>
      </c>
      <c r="N2273" s="26"/>
    </row>
    <row r="2274" spans="10:14" x14ac:dyDescent="0.25">
      <c r="J2274" s="25">
        <v>-0.31516377110097016</v>
      </c>
      <c r="N2274" s="26"/>
    </row>
    <row r="2275" spans="10:14" x14ac:dyDescent="0.25">
      <c r="J2275" s="25">
        <v>0.1119529846118541</v>
      </c>
      <c r="N2275" s="26"/>
    </row>
    <row r="2276" spans="10:14" x14ac:dyDescent="0.25">
      <c r="J2276" s="25">
        <v>-2.4827511243973088E-2</v>
      </c>
      <c r="N2276" s="26"/>
    </row>
    <row r="2277" spans="10:14" x14ac:dyDescent="0.25">
      <c r="J2277" s="25">
        <v>-5.1065962497961137E-2</v>
      </c>
      <c r="N2277" s="26"/>
    </row>
    <row r="2278" spans="10:14" x14ac:dyDescent="0.25">
      <c r="J2278" s="25">
        <v>6.8968263043233113E-2</v>
      </c>
      <c r="N2278" s="26"/>
    </row>
    <row r="2279" spans="10:14" x14ac:dyDescent="0.25">
      <c r="J2279" s="25">
        <v>0.32964264467266791</v>
      </c>
      <c r="N2279" s="26"/>
    </row>
    <row r="2280" spans="10:14" x14ac:dyDescent="0.25">
      <c r="J2280" s="25">
        <v>-0.29115606287643092</v>
      </c>
      <c r="N2280" s="26"/>
    </row>
    <row r="2281" spans="10:14" x14ac:dyDescent="0.25">
      <c r="J2281" s="25">
        <v>-0.44945400968878479</v>
      </c>
      <c r="N2281" s="26"/>
    </row>
    <row r="2282" spans="10:14" x14ac:dyDescent="0.25">
      <c r="J2282" s="25">
        <v>0.46537160827437907</v>
      </c>
      <c r="N2282" s="26"/>
    </row>
    <row r="2283" spans="10:14" x14ac:dyDescent="0.25">
      <c r="J2283" s="25">
        <v>0.47553343926595115</v>
      </c>
      <c r="N2283" s="26"/>
    </row>
    <row r="2284" spans="10:14" x14ac:dyDescent="0.25">
      <c r="J2284" s="25">
        <v>1.4338838102343265E-2</v>
      </c>
      <c r="N2284" s="26"/>
    </row>
    <row r="2285" spans="10:14" x14ac:dyDescent="0.25">
      <c r="J2285" s="25">
        <v>-0.20057730414773034</v>
      </c>
      <c r="N2285" s="26"/>
    </row>
    <row r="2286" spans="10:14" x14ac:dyDescent="0.25">
      <c r="J2286" s="25">
        <v>-0.350243636705589</v>
      </c>
      <c r="N2286" s="26"/>
    </row>
    <row r="2287" spans="10:14" x14ac:dyDescent="0.25">
      <c r="J2287" s="25">
        <v>0.65533816018495661</v>
      </c>
      <c r="N2287" s="26"/>
    </row>
    <row r="2288" spans="10:14" x14ac:dyDescent="0.25">
      <c r="J2288" s="25">
        <v>0.275893397320228</v>
      </c>
      <c r="N2288" s="26"/>
    </row>
    <row r="2289" spans="10:14" x14ac:dyDescent="0.25">
      <c r="J2289" s="25">
        <v>-0.3492313950122552</v>
      </c>
      <c r="N2289" s="26"/>
    </row>
    <row r="2290" spans="10:14" x14ac:dyDescent="0.25">
      <c r="J2290" s="25">
        <v>2.7239172498729314E-2</v>
      </c>
      <c r="N2290" s="26"/>
    </row>
    <row r="2291" spans="10:14" x14ac:dyDescent="0.25">
      <c r="J2291" s="25">
        <v>0.3442486649719485</v>
      </c>
      <c r="N2291" s="26"/>
    </row>
    <row r="2292" spans="10:14" x14ac:dyDescent="0.25">
      <c r="J2292" s="25">
        <v>9.0675338450895593E-2</v>
      </c>
      <c r="N2292" s="26"/>
    </row>
    <row r="2293" spans="10:14" x14ac:dyDescent="0.25">
      <c r="J2293" s="25">
        <v>-0.42964162435377107</v>
      </c>
      <c r="N2293" s="26"/>
    </row>
    <row r="2294" spans="10:14" x14ac:dyDescent="0.25">
      <c r="J2294" s="25">
        <v>-6.8505499283023297E-2</v>
      </c>
      <c r="N2294" s="26"/>
    </row>
    <row r="2295" spans="10:14" x14ac:dyDescent="0.25">
      <c r="J2295" s="25">
        <v>0.98021409567412188</v>
      </c>
      <c r="N2295" s="26"/>
    </row>
    <row r="2296" spans="10:14" x14ac:dyDescent="0.25">
      <c r="J2296" s="25">
        <v>-0.11659766964673368</v>
      </c>
      <c r="N2296" s="26"/>
    </row>
    <row r="2297" spans="10:14" x14ac:dyDescent="0.25">
      <c r="J2297" s="25">
        <v>-0.36400218533784001</v>
      </c>
      <c r="N2297" s="26"/>
    </row>
    <row r="2298" spans="10:14" x14ac:dyDescent="0.25">
      <c r="J2298" s="25">
        <v>0.30954811306850893</v>
      </c>
      <c r="N2298" s="26"/>
    </row>
    <row r="2299" spans="10:14" x14ac:dyDescent="0.25">
      <c r="J2299" s="25">
        <v>0.43744634688149442</v>
      </c>
      <c r="N2299" s="26"/>
    </row>
    <row r="2300" spans="10:14" x14ac:dyDescent="0.25">
      <c r="J2300" s="25">
        <v>-0.41032932989452553</v>
      </c>
      <c r="N2300" s="26"/>
    </row>
    <row r="2301" spans="10:14" x14ac:dyDescent="0.25">
      <c r="J2301" s="25">
        <v>-0.47395815613392622</v>
      </c>
      <c r="N2301" s="26"/>
    </row>
    <row r="2302" spans="10:14" x14ac:dyDescent="0.25">
      <c r="J2302" s="25">
        <v>0.33147021339570504</v>
      </c>
      <c r="N2302" s="26"/>
    </row>
    <row r="2303" spans="10:14" x14ac:dyDescent="0.25">
      <c r="J2303" s="25">
        <v>0.25726605567759964</v>
      </c>
      <c r="N2303" s="26"/>
    </row>
    <row r="2304" spans="10:14" x14ac:dyDescent="0.25">
      <c r="J2304" s="25">
        <v>-0.35124080090645615</v>
      </c>
      <c r="N2304" s="26"/>
    </row>
    <row r="2305" spans="10:14" x14ac:dyDescent="0.25">
      <c r="J2305" s="25">
        <v>-6.7424292885002735E-2</v>
      </c>
      <c r="N2305" s="26"/>
    </row>
    <row r="2306" spans="10:14" x14ac:dyDescent="0.25">
      <c r="J2306" s="25">
        <v>-0.38918133610700234</v>
      </c>
      <c r="N2306" s="26"/>
    </row>
    <row r="2307" spans="10:14" x14ac:dyDescent="0.25">
      <c r="J2307" s="25">
        <v>-0.3308840801215629</v>
      </c>
      <c r="N2307" s="26"/>
    </row>
    <row r="2308" spans="10:14" x14ac:dyDescent="0.25">
      <c r="J2308" s="25">
        <v>-3.0944672511273086E-2</v>
      </c>
      <c r="N2308" s="26"/>
    </row>
    <row r="2309" spans="10:14" x14ac:dyDescent="0.25">
      <c r="J2309" s="25">
        <v>-0.3999158550212436</v>
      </c>
      <c r="N2309" s="26"/>
    </row>
    <row r="2310" spans="10:14" x14ac:dyDescent="0.25">
      <c r="J2310" s="25">
        <v>0.95509736675854051</v>
      </c>
      <c r="N2310" s="26"/>
    </row>
    <row r="2311" spans="10:14" x14ac:dyDescent="0.25">
      <c r="J2311" s="25">
        <v>-0.43206574654337193</v>
      </c>
      <c r="N2311" s="26"/>
    </row>
    <row r="2312" spans="10:14" x14ac:dyDescent="0.25">
      <c r="J2312" s="25">
        <v>0.31365916695927742</v>
      </c>
      <c r="N2312" s="26"/>
    </row>
    <row r="2313" spans="10:14" x14ac:dyDescent="0.25">
      <c r="J2313" s="25">
        <v>-0.15960758859227597</v>
      </c>
      <c r="N2313" s="26"/>
    </row>
    <row r="2314" spans="10:14" x14ac:dyDescent="0.25">
      <c r="J2314" s="25">
        <v>0.50480098358463943</v>
      </c>
      <c r="N2314" s="26"/>
    </row>
    <row r="2315" spans="10:14" x14ac:dyDescent="0.25">
      <c r="J2315" s="25">
        <v>-0.27365202975205416</v>
      </c>
      <c r="N2315" s="26"/>
    </row>
    <row r="2316" spans="10:14" x14ac:dyDescent="0.25">
      <c r="J2316" s="25">
        <v>0.2242337919916797</v>
      </c>
      <c r="N2316" s="26"/>
    </row>
    <row r="2317" spans="10:14" x14ac:dyDescent="0.25">
      <c r="J2317" s="25">
        <v>-0.38328772800175837</v>
      </c>
      <c r="N2317" s="26"/>
    </row>
    <row r="2318" spans="10:14" x14ac:dyDescent="0.25">
      <c r="J2318" s="25">
        <v>-0.34560560295106735</v>
      </c>
      <c r="N2318" s="26"/>
    </row>
    <row r="2319" spans="10:14" x14ac:dyDescent="0.25">
      <c r="J2319" s="25">
        <v>-0.10521898439770028</v>
      </c>
      <c r="N2319" s="26"/>
    </row>
    <row r="2320" spans="10:14" x14ac:dyDescent="0.25">
      <c r="J2320" s="25">
        <v>8.8747474342240062E-2</v>
      </c>
      <c r="N2320" s="26"/>
    </row>
    <row r="2321" spans="10:14" x14ac:dyDescent="0.25">
      <c r="J2321" s="25">
        <v>-0.19959741704376255</v>
      </c>
      <c r="N2321" s="26"/>
    </row>
    <row r="2322" spans="10:14" x14ac:dyDescent="0.25">
      <c r="J2322" s="25">
        <v>0.3292462384039625</v>
      </c>
      <c r="N2322" s="26"/>
    </row>
    <row r="2323" spans="10:14" x14ac:dyDescent="0.25">
      <c r="J2323" s="25">
        <v>0.19759577671047412</v>
      </c>
      <c r="N2323" s="26"/>
    </row>
    <row r="2324" spans="10:14" x14ac:dyDescent="0.25">
      <c r="J2324" s="25">
        <v>0.3008117084886397</v>
      </c>
      <c r="N2324" s="26"/>
    </row>
    <row r="2325" spans="10:14" x14ac:dyDescent="0.25">
      <c r="J2325" s="25">
        <v>-0.38880629727391447</v>
      </c>
      <c r="N2325" s="26"/>
    </row>
    <row r="2326" spans="10:14" x14ac:dyDescent="0.25">
      <c r="J2326" s="25">
        <v>-0.12721825302267242</v>
      </c>
      <c r="N2326" s="26"/>
    </row>
    <row r="2327" spans="10:14" x14ac:dyDescent="0.25">
      <c r="J2327" s="25">
        <v>-7.3140045725525016E-2</v>
      </c>
      <c r="N2327" s="26"/>
    </row>
    <row r="2328" spans="10:14" x14ac:dyDescent="0.25">
      <c r="J2328" s="25">
        <v>-0.40481345803236812</v>
      </c>
      <c r="N2328" s="26"/>
    </row>
    <row r="2329" spans="10:14" x14ac:dyDescent="0.25">
      <c r="J2329" s="25">
        <v>-0.29916153245829824</v>
      </c>
      <c r="N2329" s="26"/>
    </row>
    <row r="2330" spans="10:14" x14ac:dyDescent="0.25">
      <c r="J2330" s="25">
        <v>-0.36036741416204365</v>
      </c>
      <c r="N2330" s="26"/>
    </row>
    <row r="2331" spans="10:14" x14ac:dyDescent="0.25">
      <c r="J2331" s="25">
        <v>-6.335059138724819E-2</v>
      </c>
      <c r="N2331" s="26"/>
    </row>
    <row r="2332" spans="10:14" x14ac:dyDescent="0.25">
      <c r="J2332" s="25">
        <v>-5.216011279343713E-2</v>
      </c>
      <c r="N2332" s="26"/>
    </row>
    <row r="2333" spans="10:14" x14ac:dyDescent="0.25">
      <c r="J2333" s="25">
        <v>-0.30706016958519022</v>
      </c>
      <c r="N2333" s="26"/>
    </row>
    <row r="2334" spans="10:14" x14ac:dyDescent="0.25">
      <c r="J2334" s="25">
        <v>0.14161219305874662</v>
      </c>
      <c r="N2334" s="26"/>
    </row>
    <row r="2335" spans="10:14" x14ac:dyDescent="0.25">
      <c r="J2335" s="25">
        <v>1.0297376728454188</v>
      </c>
      <c r="N2335" s="26"/>
    </row>
    <row r="2336" spans="10:14" x14ac:dyDescent="0.25">
      <c r="J2336" s="25">
        <v>-0.33110141954030348</v>
      </c>
      <c r="N2336" s="26"/>
    </row>
    <row r="2337" spans="10:14" x14ac:dyDescent="0.25">
      <c r="J2337" s="25">
        <v>-0.28433297197833562</v>
      </c>
      <c r="N2337" s="26"/>
    </row>
    <row r="2338" spans="10:14" x14ac:dyDescent="0.25">
      <c r="J2338" s="25">
        <v>0.67540359570293362</v>
      </c>
      <c r="N2338" s="26"/>
    </row>
    <row r="2339" spans="10:14" x14ac:dyDescent="0.25">
      <c r="J2339" s="25">
        <v>-5.602309663286642E-2</v>
      </c>
      <c r="N2339" s="26"/>
    </row>
    <row r="2340" spans="10:14" x14ac:dyDescent="0.25">
      <c r="J2340" s="25">
        <v>-0.31467197447791151</v>
      </c>
      <c r="N2340" s="26"/>
    </row>
    <row r="2341" spans="10:14" x14ac:dyDescent="0.25">
      <c r="J2341" s="25">
        <v>-7.1420747785122973E-2</v>
      </c>
      <c r="N2341" s="26"/>
    </row>
    <row r="2342" spans="10:14" x14ac:dyDescent="0.25">
      <c r="J2342" s="25">
        <v>-1.8560952637722394E-2</v>
      </c>
      <c r="N2342" s="26"/>
    </row>
    <row r="2343" spans="10:14" x14ac:dyDescent="0.25">
      <c r="J2343" s="25">
        <v>-0.26338317738152939</v>
      </c>
      <c r="N2343" s="26"/>
    </row>
    <row r="2344" spans="10:14" x14ac:dyDescent="0.25">
      <c r="J2344" s="25">
        <v>0.35023132534635892</v>
      </c>
      <c r="N2344" s="26"/>
    </row>
    <row r="2345" spans="10:14" x14ac:dyDescent="0.25">
      <c r="J2345" s="25">
        <v>0.2615513400196221</v>
      </c>
      <c r="N2345" s="26"/>
    </row>
    <row r="2346" spans="10:14" x14ac:dyDescent="0.25">
      <c r="J2346" s="25">
        <v>0.25221123697071368</v>
      </c>
      <c r="N2346" s="26"/>
    </row>
    <row r="2347" spans="10:14" x14ac:dyDescent="0.25">
      <c r="J2347" s="25">
        <v>-0.40019499742073372</v>
      </c>
      <c r="N2347" s="26"/>
    </row>
    <row r="2348" spans="10:14" x14ac:dyDescent="0.25">
      <c r="J2348" s="25">
        <v>0.97469516999096117</v>
      </c>
      <c r="N2348" s="26"/>
    </row>
    <row r="2349" spans="10:14" x14ac:dyDescent="0.25">
      <c r="J2349" s="25">
        <v>4.1499493669028942E-2</v>
      </c>
      <c r="N2349" s="26"/>
    </row>
    <row r="2350" spans="10:14" x14ac:dyDescent="0.25">
      <c r="J2350" s="25">
        <v>-0.15748106997279765</v>
      </c>
      <c r="N2350" s="26"/>
    </row>
    <row r="2351" spans="10:14" x14ac:dyDescent="0.25">
      <c r="J2351" s="25">
        <v>0.53559302102376427</v>
      </c>
      <c r="N2351" s="26"/>
    </row>
    <row r="2352" spans="10:14" x14ac:dyDescent="0.25">
      <c r="J2352" s="25">
        <v>4.8003954868979681E-2</v>
      </c>
      <c r="N2352" s="26"/>
    </row>
    <row r="2353" spans="10:14" x14ac:dyDescent="0.25">
      <c r="J2353" s="25">
        <v>0.18646093024002419</v>
      </c>
      <c r="N2353" s="26"/>
    </row>
    <row r="2354" spans="10:14" x14ac:dyDescent="0.25">
      <c r="J2354" s="25">
        <v>0.5407003188925168</v>
      </c>
      <c r="N2354" s="26"/>
    </row>
    <row r="2355" spans="10:14" x14ac:dyDescent="0.25">
      <c r="J2355" s="25">
        <v>-0.33034352229397967</v>
      </c>
      <c r="N2355" s="26"/>
    </row>
    <row r="2356" spans="10:14" x14ac:dyDescent="0.25">
      <c r="J2356" s="25">
        <v>9.4941659942344714E-3</v>
      </c>
      <c r="N2356" s="26"/>
    </row>
    <row r="2357" spans="10:14" x14ac:dyDescent="0.25">
      <c r="J2357" s="25">
        <v>0.38970493802582551</v>
      </c>
      <c r="N2357" s="26"/>
    </row>
    <row r="2358" spans="10:14" x14ac:dyDescent="0.25">
      <c r="J2358" s="25">
        <v>-2.8897884681184483E-2</v>
      </c>
      <c r="N2358" s="26"/>
    </row>
    <row r="2359" spans="10:14" x14ac:dyDescent="0.25">
      <c r="J2359" s="25">
        <v>-0.19725250108594794</v>
      </c>
      <c r="N2359" s="26"/>
    </row>
    <row r="2360" spans="10:14" x14ac:dyDescent="0.25">
      <c r="J2360" s="25">
        <v>-0.15939049608384148</v>
      </c>
      <c r="N2360" s="26"/>
    </row>
    <row r="2361" spans="10:14" x14ac:dyDescent="0.25">
      <c r="J2361" s="25">
        <v>-0.30364704085466754</v>
      </c>
      <c r="N2361" s="26"/>
    </row>
    <row r="2362" spans="10:14" x14ac:dyDescent="0.25">
      <c r="J2362" s="25">
        <v>-0.17926976570003339</v>
      </c>
      <c r="N2362" s="26"/>
    </row>
    <row r="2363" spans="10:14" x14ac:dyDescent="0.25">
      <c r="J2363" s="25">
        <v>0.22187044585029803</v>
      </c>
      <c r="N2363" s="26"/>
    </row>
    <row r="2364" spans="10:14" x14ac:dyDescent="0.25">
      <c r="J2364" s="25">
        <v>-0.23787779895524885</v>
      </c>
      <c r="N2364" s="26"/>
    </row>
    <row r="2365" spans="10:14" x14ac:dyDescent="0.25">
      <c r="J2365" s="25">
        <v>0.85495920034813166</v>
      </c>
      <c r="N2365" s="26"/>
    </row>
    <row r="2366" spans="10:14" x14ac:dyDescent="0.25">
      <c r="J2366" s="25">
        <v>-0.10413558438901238</v>
      </c>
      <c r="N2366" s="26"/>
    </row>
    <row r="2367" spans="10:14" x14ac:dyDescent="0.25">
      <c r="J2367" s="25">
        <v>2.7636107686195066E-2</v>
      </c>
      <c r="N2367" s="26"/>
    </row>
    <row r="2368" spans="10:14" x14ac:dyDescent="0.25">
      <c r="J2368" s="25">
        <v>-2.2834764205522773E-2</v>
      </c>
      <c r="N2368" s="26"/>
    </row>
    <row r="2369" spans="10:14" x14ac:dyDescent="0.25">
      <c r="J2369" s="25">
        <v>8.7487525635469465E-2</v>
      </c>
      <c r="N2369" s="26"/>
    </row>
    <row r="2370" spans="10:14" x14ac:dyDescent="0.25">
      <c r="J2370" s="25">
        <v>3.7082526020455919E-2</v>
      </c>
      <c r="N2370" s="26"/>
    </row>
    <row r="2371" spans="10:14" x14ac:dyDescent="0.25">
      <c r="J2371" s="25">
        <v>-0.15459799014425468</v>
      </c>
      <c r="N2371" s="26"/>
    </row>
    <row r="2372" spans="10:14" x14ac:dyDescent="0.25">
      <c r="J2372" s="25">
        <v>-0.34226045572888308</v>
      </c>
      <c r="N2372" s="26"/>
    </row>
    <row r="2373" spans="10:14" x14ac:dyDescent="0.25">
      <c r="J2373" s="25">
        <v>-0.21719311397434216</v>
      </c>
      <c r="N2373" s="26"/>
    </row>
    <row r="2374" spans="10:14" x14ac:dyDescent="0.25">
      <c r="J2374" s="25">
        <v>-0.19627567791122535</v>
      </c>
      <c r="N2374" s="26"/>
    </row>
    <row r="2375" spans="10:14" x14ac:dyDescent="0.25">
      <c r="J2375" s="25">
        <v>-8.8842185324078837E-2</v>
      </c>
      <c r="N2375" s="26"/>
    </row>
    <row r="2376" spans="10:14" x14ac:dyDescent="0.25">
      <c r="J2376" s="25">
        <v>-0.27581949795834249</v>
      </c>
      <c r="N2376" s="26"/>
    </row>
    <row r="2377" spans="10:14" x14ac:dyDescent="0.25">
      <c r="J2377" s="25">
        <v>0.44364504662734805</v>
      </c>
      <c r="N2377" s="26"/>
    </row>
    <row r="2378" spans="10:14" x14ac:dyDescent="0.25">
      <c r="J2378" s="25">
        <v>0.70787692339479169</v>
      </c>
      <c r="N2378" s="26"/>
    </row>
    <row r="2379" spans="10:14" x14ac:dyDescent="0.25">
      <c r="J2379" s="25">
        <v>-0.10841495710538573</v>
      </c>
      <c r="N2379" s="26"/>
    </row>
    <row r="2380" spans="10:14" x14ac:dyDescent="0.25">
      <c r="J2380" s="25">
        <v>0.29935714881398479</v>
      </c>
      <c r="N2380" s="26"/>
    </row>
    <row r="2381" spans="10:14" x14ac:dyDescent="0.25">
      <c r="J2381" s="25">
        <v>0.49444665161479029</v>
      </c>
      <c r="N2381" s="26"/>
    </row>
    <row r="2382" spans="10:14" x14ac:dyDescent="0.25">
      <c r="J2382" s="25">
        <v>1.2705072487720459E-2</v>
      </c>
      <c r="N2382" s="26"/>
    </row>
    <row r="2383" spans="10:14" x14ac:dyDescent="0.25">
      <c r="J2383" s="25">
        <v>0.16706539288877797</v>
      </c>
      <c r="N2383" s="26"/>
    </row>
    <row r="2384" spans="10:14" x14ac:dyDescent="0.25">
      <c r="J2384" s="25">
        <v>-0.15771707187136741</v>
      </c>
      <c r="N2384" s="26"/>
    </row>
    <row r="2385" spans="10:14" x14ac:dyDescent="0.25">
      <c r="J2385" s="25">
        <v>-1.8599283786674414E-2</v>
      </c>
      <c r="N2385" s="26"/>
    </row>
    <row r="2386" spans="10:14" x14ac:dyDescent="0.25">
      <c r="J2386" s="25">
        <v>-4.0891055818629396E-2</v>
      </c>
      <c r="N2386" s="26"/>
    </row>
    <row r="2387" spans="10:14" x14ac:dyDescent="0.25">
      <c r="J2387" s="25">
        <v>0.10627726905518142</v>
      </c>
      <c r="N2387" s="26"/>
    </row>
    <row r="2388" spans="10:14" x14ac:dyDescent="0.25">
      <c r="J2388" s="25">
        <v>3.8000419952433084E-3</v>
      </c>
      <c r="N2388" s="26"/>
    </row>
    <row r="2389" spans="10:14" x14ac:dyDescent="0.25">
      <c r="J2389" s="25">
        <v>-0.49967129863486071</v>
      </c>
      <c r="N2389" s="26"/>
    </row>
    <row r="2390" spans="10:14" x14ac:dyDescent="0.25">
      <c r="J2390" s="25">
        <v>-2.8859757281904153E-2</v>
      </c>
      <c r="N2390" s="26"/>
    </row>
    <row r="2391" spans="10:14" x14ac:dyDescent="0.25">
      <c r="J2391" s="25">
        <v>-0.19684499683548284</v>
      </c>
      <c r="N2391" s="26"/>
    </row>
    <row r="2392" spans="10:14" x14ac:dyDescent="0.25">
      <c r="J2392" s="25">
        <v>-0.23522840602958639</v>
      </c>
      <c r="N2392" s="26"/>
    </row>
    <row r="2393" spans="10:14" x14ac:dyDescent="0.25">
      <c r="J2393" s="25">
        <v>0.35342832006844693</v>
      </c>
      <c r="N2393" s="26"/>
    </row>
    <row r="2394" spans="10:14" x14ac:dyDescent="0.25">
      <c r="J2394" s="25">
        <v>-0.18169543547655997</v>
      </c>
      <c r="N2394" s="26"/>
    </row>
    <row r="2395" spans="10:14" x14ac:dyDescent="0.25">
      <c r="J2395" s="25">
        <v>-4.1544201704858952E-2</v>
      </c>
      <c r="N2395" s="26"/>
    </row>
    <row r="2396" spans="10:14" x14ac:dyDescent="0.25">
      <c r="J2396" s="25">
        <v>-0.37992792609217374</v>
      </c>
      <c r="N2396" s="26"/>
    </row>
    <row r="2397" spans="10:14" x14ac:dyDescent="0.25">
      <c r="J2397" s="25">
        <v>-0.28627448194123084</v>
      </c>
      <c r="N2397" s="26"/>
    </row>
    <row r="2398" spans="10:14" x14ac:dyDescent="0.25">
      <c r="J2398" s="25">
        <v>0.46440782838806394</v>
      </c>
      <c r="N2398" s="26"/>
    </row>
    <row r="2399" spans="10:14" x14ac:dyDescent="0.25">
      <c r="J2399" s="25">
        <v>3.8976105197251698E-2</v>
      </c>
      <c r="N2399" s="26"/>
    </row>
    <row r="2400" spans="10:14" x14ac:dyDescent="0.25">
      <c r="J2400" s="25">
        <v>-0.48285440973508564</v>
      </c>
      <c r="N2400" s="26"/>
    </row>
    <row r="2401" spans="10:14" x14ac:dyDescent="0.25">
      <c r="J2401" s="25">
        <v>-0.32432059883919695</v>
      </c>
      <c r="N2401" s="26"/>
    </row>
    <row r="2402" spans="10:14" x14ac:dyDescent="0.25">
      <c r="J2402" s="25">
        <v>-0.1613458775286406</v>
      </c>
      <c r="N2402" s="26"/>
    </row>
    <row r="2403" spans="10:14" x14ac:dyDescent="0.25">
      <c r="J2403" s="25">
        <v>0.22714357110548078</v>
      </c>
      <c r="N2403" s="26"/>
    </row>
    <row r="2404" spans="10:14" x14ac:dyDescent="0.25">
      <c r="J2404" s="25">
        <v>-0.34809564665528003</v>
      </c>
      <c r="N2404" s="26"/>
    </row>
    <row r="2405" spans="10:14" x14ac:dyDescent="0.25">
      <c r="J2405" s="25">
        <v>-0.51447938282030603</v>
      </c>
      <c r="N2405" s="26"/>
    </row>
    <row r="2406" spans="10:14" x14ac:dyDescent="0.25">
      <c r="J2406" s="25">
        <v>2.4259024032353471E-2</v>
      </c>
      <c r="N2406" s="26"/>
    </row>
    <row r="2407" spans="10:14" x14ac:dyDescent="0.25">
      <c r="J2407" s="25">
        <v>0.22325165446484907</v>
      </c>
      <c r="N2407" s="26"/>
    </row>
    <row r="2408" spans="10:14" x14ac:dyDescent="0.25">
      <c r="J2408" s="25">
        <v>-0.15506402205234837</v>
      </c>
      <c r="N2408" s="26"/>
    </row>
    <row r="2409" spans="10:14" x14ac:dyDescent="0.25">
      <c r="J2409" s="25">
        <v>0.14818854308920604</v>
      </c>
      <c r="N2409" s="26"/>
    </row>
    <row r="2410" spans="10:14" x14ac:dyDescent="0.25">
      <c r="J2410" s="25">
        <v>-0.48858352407154759</v>
      </c>
      <c r="N2410" s="26"/>
    </row>
    <row r="2411" spans="10:14" x14ac:dyDescent="0.25">
      <c r="J2411" s="25">
        <v>0.389131981312276</v>
      </c>
      <c r="N2411" s="26"/>
    </row>
    <row r="2412" spans="10:14" x14ac:dyDescent="0.25">
      <c r="J2412" s="25">
        <v>1.2125591247209355E-2</v>
      </c>
      <c r="N2412" s="26"/>
    </row>
    <row r="2413" spans="10:14" x14ac:dyDescent="0.25">
      <c r="J2413" s="25">
        <v>-0.3896979356613075</v>
      </c>
      <c r="N2413" s="26"/>
    </row>
    <row r="2414" spans="10:14" x14ac:dyDescent="0.25">
      <c r="J2414" s="25">
        <v>2.4623566457789403E-2</v>
      </c>
      <c r="N2414" s="26"/>
    </row>
    <row r="2415" spans="10:14" x14ac:dyDescent="0.25">
      <c r="J2415" s="25">
        <v>-0.22059021746965624</v>
      </c>
      <c r="N2415" s="26"/>
    </row>
    <row r="2416" spans="10:14" x14ac:dyDescent="0.25">
      <c r="J2416" s="25">
        <v>0.29880466992945576</v>
      </c>
      <c r="N2416" s="26"/>
    </row>
    <row r="2417" spans="10:14" x14ac:dyDescent="0.25">
      <c r="J2417" s="25">
        <v>0.64947288040544082</v>
      </c>
      <c r="N2417" s="26"/>
    </row>
    <row r="2418" spans="10:14" x14ac:dyDescent="0.25">
      <c r="J2418" s="25">
        <v>3.2341542759311892E-2</v>
      </c>
      <c r="N2418" s="26"/>
    </row>
    <row r="2419" spans="10:14" x14ac:dyDescent="0.25">
      <c r="J2419" s="25">
        <v>0.2767587690596125</v>
      </c>
      <c r="N2419" s="26"/>
    </row>
    <row r="2420" spans="10:14" x14ac:dyDescent="0.25">
      <c r="J2420" s="25">
        <v>-0.42313366339359448</v>
      </c>
      <c r="N2420" s="26"/>
    </row>
    <row r="2421" spans="10:14" x14ac:dyDescent="0.25">
      <c r="J2421" s="25">
        <v>-6.2789357540307456E-2</v>
      </c>
      <c r="N2421" s="26"/>
    </row>
    <row r="2422" spans="10:14" x14ac:dyDescent="0.25">
      <c r="J2422" s="25">
        <v>-0.5034485360024461</v>
      </c>
      <c r="N2422" s="26"/>
    </row>
    <row r="2423" spans="10:14" x14ac:dyDescent="0.25">
      <c r="J2423" s="25">
        <v>-0.23227211130473657</v>
      </c>
      <c r="N2423" s="26"/>
    </row>
    <row r="2424" spans="10:14" x14ac:dyDescent="0.25">
      <c r="J2424" s="25">
        <v>-0.40797509035432389</v>
      </c>
      <c r="N2424" s="26"/>
    </row>
    <row r="2425" spans="10:14" x14ac:dyDescent="0.25">
      <c r="J2425" s="25">
        <v>-5.9067483123022568E-2</v>
      </c>
      <c r="N2425" s="26"/>
    </row>
    <row r="2426" spans="10:14" x14ac:dyDescent="0.25">
      <c r="J2426" s="25">
        <v>-0.30546506708973942</v>
      </c>
      <c r="N2426" s="26"/>
    </row>
    <row r="2427" spans="10:14" x14ac:dyDescent="0.25">
      <c r="J2427" s="25">
        <v>0.9101736930328943</v>
      </c>
      <c r="N2427" s="26"/>
    </row>
    <row r="2428" spans="10:14" x14ac:dyDescent="0.25">
      <c r="J2428" s="25">
        <v>0.51610623421415935</v>
      </c>
      <c r="N2428" s="26"/>
    </row>
    <row r="2429" spans="10:14" x14ac:dyDescent="0.25">
      <c r="J2429" s="25">
        <v>-0.41319394170631607</v>
      </c>
      <c r="N2429" s="26"/>
    </row>
    <row r="2430" spans="10:14" x14ac:dyDescent="0.25">
      <c r="J2430" s="25">
        <v>3.499764655157489E-2</v>
      </c>
      <c r="N2430" s="26"/>
    </row>
    <row r="2431" spans="10:14" x14ac:dyDescent="0.25">
      <c r="J2431" s="25">
        <v>-6.2565354920575245E-2</v>
      </c>
      <c r="N2431" s="26"/>
    </row>
    <row r="2432" spans="10:14" x14ac:dyDescent="0.25">
      <c r="J2432" s="25">
        <v>-0.15431888029230123</v>
      </c>
      <c r="N2432" s="26"/>
    </row>
    <row r="2433" spans="10:14" x14ac:dyDescent="0.25">
      <c r="J2433" s="25">
        <v>0.81266540363810358</v>
      </c>
      <c r="N2433" s="26"/>
    </row>
    <row r="2434" spans="10:14" x14ac:dyDescent="0.25">
      <c r="J2434" s="25">
        <v>0.75145993339744521</v>
      </c>
      <c r="N2434" s="26"/>
    </row>
    <row r="2435" spans="10:14" x14ac:dyDescent="0.25">
      <c r="J2435" s="25">
        <v>0.18596953561565166</v>
      </c>
      <c r="N2435" s="26"/>
    </row>
    <row r="2436" spans="10:14" x14ac:dyDescent="0.25">
      <c r="J2436" s="25">
        <v>-9.3230805456345767E-4</v>
      </c>
      <c r="N2436" s="26"/>
    </row>
    <row r="2437" spans="10:14" x14ac:dyDescent="0.25">
      <c r="J2437" s="25">
        <v>-9.88173730209152E-2</v>
      </c>
      <c r="N2437" s="26"/>
    </row>
    <row r="2438" spans="10:14" x14ac:dyDescent="0.25">
      <c r="J2438" s="25">
        <v>0.39366165949127585</v>
      </c>
      <c r="N2438" s="26"/>
    </row>
    <row r="2439" spans="10:14" x14ac:dyDescent="0.25">
      <c r="J2439" s="25">
        <v>-0.2756669116147592</v>
      </c>
      <c r="N2439" s="26"/>
    </row>
    <row r="2440" spans="10:14" x14ac:dyDescent="0.25">
      <c r="J2440" s="25">
        <v>2.3832953568400095E-2</v>
      </c>
      <c r="N2440" s="26"/>
    </row>
    <row r="2441" spans="10:14" x14ac:dyDescent="0.25">
      <c r="J2441" s="25">
        <v>-8.2636521982898392E-3</v>
      </c>
      <c r="N2441" s="26"/>
    </row>
    <row r="2442" spans="10:14" x14ac:dyDescent="0.25">
      <c r="J2442" s="25">
        <v>-0.29600590909405045</v>
      </c>
      <c r="N2442" s="26"/>
    </row>
    <row r="2443" spans="10:14" x14ac:dyDescent="0.25">
      <c r="J2443" s="25">
        <v>8.2805191134347478E-2</v>
      </c>
      <c r="N2443" s="26"/>
    </row>
    <row r="2444" spans="10:14" x14ac:dyDescent="0.25">
      <c r="J2444" s="25">
        <v>0.73181018380463847</v>
      </c>
      <c r="N2444" s="26"/>
    </row>
    <row r="2445" spans="10:14" x14ac:dyDescent="0.25">
      <c r="J2445" s="25">
        <v>-0.26973630973119489</v>
      </c>
      <c r="N2445" s="26"/>
    </row>
    <row r="2446" spans="10:14" x14ac:dyDescent="0.25">
      <c r="J2446" s="25">
        <v>0.53716396418089096</v>
      </c>
      <c r="N2446" s="26"/>
    </row>
    <row r="2447" spans="10:14" x14ac:dyDescent="0.25">
      <c r="J2447" s="25">
        <v>2.3415231719281948E-2</v>
      </c>
      <c r="N2447" s="26"/>
    </row>
    <row r="2448" spans="10:14" x14ac:dyDescent="0.25">
      <c r="J2448" s="25">
        <v>0.70676626403963505</v>
      </c>
      <c r="N2448" s="26"/>
    </row>
    <row r="2449" spans="10:14" x14ac:dyDescent="0.25">
      <c r="J2449" s="25">
        <v>3.4855815972831383E-2</v>
      </c>
      <c r="N2449" s="26"/>
    </row>
    <row r="2450" spans="10:14" x14ac:dyDescent="0.25">
      <c r="J2450" s="25">
        <v>-0.24805216395771579</v>
      </c>
      <c r="N2450" s="26"/>
    </row>
    <row r="2451" spans="10:14" x14ac:dyDescent="0.25">
      <c r="J2451" s="25">
        <v>0.75077721638380379</v>
      </c>
      <c r="N2451" s="26"/>
    </row>
    <row r="2452" spans="10:14" x14ac:dyDescent="0.25">
      <c r="J2452" s="25">
        <v>0.74422589705757392</v>
      </c>
      <c r="N2452" s="26"/>
    </row>
    <row r="2453" spans="10:14" x14ac:dyDescent="0.25">
      <c r="J2453" s="25">
        <v>0.62417589730439604</v>
      </c>
      <c r="N2453" s="26"/>
    </row>
    <row r="2454" spans="10:14" x14ac:dyDescent="0.25">
      <c r="J2454" s="25">
        <v>0.12937199333699434</v>
      </c>
      <c r="N2454" s="26"/>
    </row>
    <row r="2455" spans="10:14" x14ac:dyDescent="0.25">
      <c r="J2455" s="25">
        <v>-0.39417835264552226</v>
      </c>
      <c r="N2455" s="26"/>
    </row>
    <row r="2456" spans="10:14" x14ac:dyDescent="0.25">
      <c r="J2456" s="25">
        <v>0.54585377542937863</v>
      </c>
      <c r="N2456" s="26"/>
    </row>
    <row r="2457" spans="10:14" x14ac:dyDescent="0.25">
      <c r="J2457" s="25">
        <v>-0.1920458005329998</v>
      </c>
      <c r="N2457" s="26"/>
    </row>
    <row r="2458" spans="10:14" x14ac:dyDescent="0.25">
      <c r="J2458" s="25">
        <v>-0.3887942632400373</v>
      </c>
      <c r="N2458" s="26"/>
    </row>
    <row r="2459" spans="10:14" x14ac:dyDescent="0.25">
      <c r="J2459" s="25">
        <v>-0.37183709658556752</v>
      </c>
      <c r="N2459" s="26"/>
    </row>
    <row r="2460" spans="10:14" x14ac:dyDescent="0.25">
      <c r="J2460" s="25">
        <v>-0.34709666536134043</v>
      </c>
      <c r="N2460" s="26"/>
    </row>
    <row r="2461" spans="10:14" x14ac:dyDescent="0.25">
      <c r="J2461" s="25">
        <v>-0.23632137893759986</v>
      </c>
      <c r="N2461" s="26"/>
    </row>
    <row r="2462" spans="10:14" x14ac:dyDescent="0.25">
      <c r="J2462" s="25">
        <v>5.9658321240647627E-2</v>
      </c>
      <c r="N2462" s="26"/>
    </row>
    <row r="2463" spans="10:14" x14ac:dyDescent="0.25">
      <c r="J2463" s="25">
        <v>2.7106127073157404E-2</v>
      </c>
      <c r="N2463" s="26"/>
    </row>
    <row r="2464" spans="10:14" x14ac:dyDescent="0.25">
      <c r="J2464" s="25">
        <v>-7.9623984132497827E-2</v>
      </c>
      <c r="N2464" s="26"/>
    </row>
    <row r="2465" spans="10:14" x14ac:dyDescent="0.25">
      <c r="J2465" s="25">
        <v>0.529144667264833</v>
      </c>
      <c r="N2465" s="26"/>
    </row>
    <row r="2466" spans="10:14" x14ac:dyDescent="0.25">
      <c r="J2466" s="25">
        <v>0.35564143548141791</v>
      </c>
      <c r="N2466" s="26"/>
    </row>
    <row r="2467" spans="10:14" x14ac:dyDescent="0.25">
      <c r="J2467" s="25">
        <v>-3.0597409991228619E-2</v>
      </c>
      <c r="N2467" s="26"/>
    </row>
    <row r="2468" spans="10:14" x14ac:dyDescent="0.25">
      <c r="J2468" s="25">
        <v>-3.009279687560984E-2</v>
      </c>
      <c r="N2468" s="26"/>
    </row>
    <row r="2469" spans="10:14" x14ac:dyDescent="0.25">
      <c r="J2469" s="25">
        <v>0.43657338353743946</v>
      </c>
      <c r="N2469" s="26"/>
    </row>
    <row r="2470" spans="10:14" x14ac:dyDescent="0.25">
      <c r="J2470" s="25">
        <v>0.19631112576737242</v>
      </c>
      <c r="N2470" s="26"/>
    </row>
    <row r="2471" spans="10:14" x14ac:dyDescent="0.25">
      <c r="J2471" s="25">
        <v>0.34647504871507939</v>
      </c>
      <c r="N2471" s="26"/>
    </row>
    <row r="2472" spans="10:14" x14ac:dyDescent="0.25">
      <c r="J2472" s="25">
        <v>-6.5353348768016017E-2</v>
      </c>
      <c r="N2472" s="26"/>
    </row>
    <row r="2473" spans="10:14" x14ac:dyDescent="0.25">
      <c r="J2473" s="25">
        <v>-6.0268232665108501E-2</v>
      </c>
      <c r="N2473" s="26"/>
    </row>
    <row r="2474" spans="10:14" x14ac:dyDescent="0.25">
      <c r="J2474" s="25">
        <v>-3.3065929524063842E-2</v>
      </c>
      <c r="N2474" s="26"/>
    </row>
    <row r="2475" spans="10:14" x14ac:dyDescent="0.25">
      <c r="J2475" s="25">
        <v>0.37005487892612332</v>
      </c>
      <c r="N2475" s="26"/>
    </row>
    <row r="2476" spans="10:14" x14ac:dyDescent="0.25">
      <c r="J2476" s="25">
        <v>0.75127325325121586</v>
      </c>
      <c r="N2476" s="26"/>
    </row>
    <row r="2477" spans="10:14" x14ac:dyDescent="0.25">
      <c r="J2477" s="25">
        <v>-0.33624745003555989</v>
      </c>
      <c r="N2477" s="26"/>
    </row>
    <row r="2478" spans="10:14" x14ac:dyDescent="0.25">
      <c r="J2478" s="25">
        <v>-0.11781576127240723</v>
      </c>
      <c r="N2478" s="26"/>
    </row>
    <row r="2479" spans="10:14" x14ac:dyDescent="0.25">
      <c r="J2479" s="25">
        <v>-0.23257408878511987</v>
      </c>
      <c r="N2479" s="26"/>
    </row>
    <row r="2480" spans="10:14" x14ac:dyDescent="0.25">
      <c r="J2480" s="25">
        <v>0.23375609775115702</v>
      </c>
      <c r="N2480" s="26"/>
    </row>
    <row r="2481" spans="10:14" x14ac:dyDescent="0.25">
      <c r="J2481" s="25">
        <v>0.22093489442076364</v>
      </c>
      <c r="N2481" s="26"/>
    </row>
    <row r="2482" spans="10:14" x14ac:dyDescent="0.25">
      <c r="J2482" s="25">
        <v>6.2702304286760713E-2</v>
      </c>
      <c r="N2482" s="26"/>
    </row>
    <row r="2483" spans="10:14" x14ac:dyDescent="0.25">
      <c r="J2483" s="25">
        <v>0.22000621410557852</v>
      </c>
      <c r="N2483" s="26"/>
    </row>
    <row r="2484" spans="10:14" x14ac:dyDescent="0.25">
      <c r="J2484" s="25">
        <v>0.19067902145776383</v>
      </c>
      <c r="N2484" s="26"/>
    </row>
    <row r="2485" spans="10:14" x14ac:dyDescent="0.25">
      <c r="J2485" s="25">
        <v>0.12829482390873537</v>
      </c>
      <c r="N2485" s="26"/>
    </row>
    <row r="2486" spans="10:14" x14ac:dyDescent="0.25">
      <c r="J2486" s="25">
        <v>0.47307414264580894</v>
      </c>
      <c r="N2486" s="26"/>
    </row>
    <row r="2487" spans="10:14" x14ac:dyDescent="0.25">
      <c r="J2487" s="25">
        <v>0.87632268185064643</v>
      </c>
      <c r="N2487" s="26"/>
    </row>
    <row r="2488" spans="10:14" x14ac:dyDescent="0.25">
      <c r="J2488" s="25">
        <v>0.25363135463644326</v>
      </c>
      <c r="N2488" s="26"/>
    </row>
    <row r="2489" spans="10:14" x14ac:dyDescent="0.25">
      <c r="J2489" s="25">
        <v>0.45617464071128677</v>
      </c>
      <c r="N2489" s="26"/>
    </row>
    <row r="2490" spans="10:14" x14ac:dyDescent="0.25">
      <c r="J2490" s="25">
        <v>-3.2203556560051028E-2</v>
      </c>
      <c r="N2490" s="26"/>
    </row>
    <row r="2491" spans="10:14" x14ac:dyDescent="0.25">
      <c r="J2491" s="25">
        <v>-0.24593031593581371</v>
      </c>
      <c r="N2491" s="26"/>
    </row>
    <row r="2492" spans="10:14" x14ac:dyDescent="0.25">
      <c r="J2492" s="25">
        <v>0.19914865269798265</v>
      </c>
      <c r="N2492" s="26"/>
    </row>
    <row r="2493" spans="10:14" x14ac:dyDescent="0.25">
      <c r="J2493" s="25">
        <v>4.0109829865528912E-3</v>
      </c>
      <c r="N2493" s="26"/>
    </row>
    <row r="2494" spans="10:14" x14ac:dyDescent="0.25">
      <c r="J2494" s="25">
        <v>8.5392868844126557E-2</v>
      </c>
      <c r="N2494" s="26"/>
    </row>
    <row r="2495" spans="10:14" x14ac:dyDescent="0.25">
      <c r="J2495" s="25">
        <v>-0.25962718397013629</v>
      </c>
      <c r="N2495" s="26"/>
    </row>
    <row r="2496" spans="10:14" x14ac:dyDescent="0.25">
      <c r="J2496" s="25">
        <v>-0.1879666425485339</v>
      </c>
      <c r="N2496" s="26"/>
    </row>
    <row r="2497" spans="10:14" x14ac:dyDescent="0.25">
      <c r="J2497" s="25">
        <v>-0.2284799391025818</v>
      </c>
      <c r="N2497" s="26"/>
    </row>
    <row r="2498" spans="10:14" x14ac:dyDescent="0.25">
      <c r="J2498" s="25">
        <v>-9.8298914815487803E-2</v>
      </c>
      <c r="N2498" s="26"/>
    </row>
    <row r="2499" spans="10:14" x14ac:dyDescent="0.25">
      <c r="J2499" s="25">
        <v>-0.42730286281483087</v>
      </c>
      <c r="N2499" s="26"/>
    </row>
    <row r="2500" spans="10:14" x14ac:dyDescent="0.25">
      <c r="J2500" s="25">
        <v>-2.1929148732646175E-2</v>
      </c>
      <c r="N2500" s="26"/>
    </row>
    <row r="2501" spans="10:14" x14ac:dyDescent="0.25">
      <c r="J2501" s="25">
        <v>0.52437076362942059</v>
      </c>
      <c r="N2501" s="26"/>
    </row>
    <row r="2502" spans="10:14" x14ac:dyDescent="0.25">
      <c r="J2502" s="25">
        <v>0.73386393085459956</v>
      </c>
      <c r="N2502" s="26"/>
    </row>
    <row r="2503" spans="10:14" x14ac:dyDescent="0.25">
      <c r="J2503" s="25">
        <v>0.39038686224075314</v>
      </c>
      <c r="N2503" s="26"/>
    </row>
    <row r="2504" spans="10:14" x14ac:dyDescent="0.25">
      <c r="J2504" s="25">
        <v>0.20084367569415562</v>
      </c>
      <c r="N2504" s="26"/>
    </row>
    <row r="2505" spans="10:14" x14ac:dyDescent="0.25">
      <c r="J2505" s="25">
        <v>-0.37491103479629684</v>
      </c>
      <c r="N2505" s="26"/>
    </row>
    <row r="2506" spans="10:14" x14ac:dyDescent="0.25">
      <c r="J2506" s="25">
        <v>-0.39455242112835021</v>
      </c>
      <c r="N2506" s="26"/>
    </row>
    <row r="2507" spans="10:14" x14ac:dyDescent="0.25">
      <c r="J2507" s="25">
        <v>0.19163135724007963</v>
      </c>
      <c r="N2507" s="26"/>
    </row>
    <row r="2508" spans="10:14" x14ac:dyDescent="0.25">
      <c r="J2508" s="25">
        <v>-7.7769451298988157E-2</v>
      </c>
      <c r="N2508" s="26"/>
    </row>
    <row r="2509" spans="10:14" x14ac:dyDescent="0.25">
      <c r="J2509" s="25">
        <v>-0.37484186990302182</v>
      </c>
      <c r="N2509" s="26"/>
    </row>
    <row r="2510" spans="10:14" x14ac:dyDescent="0.25">
      <c r="J2510" s="25">
        <v>-0.36792908767090671</v>
      </c>
      <c r="N2510" s="26"/>
    </row>
    <row r="2511" spans="10:14" x14ac:dyDescent="0.25">
      <c r="J2511" s="25">
        <v>-8.2353587868198352E-2</v>
      </c>
      <c r="N2511" s="26"/>
    </row>
    <row r="2512" spans="10:14" x14ac:dyDescent="0.25">
      <c r="J2512" s="25">
        <v>0.70697775327304013</v>
      </c>
      <c r="N2512" s="26"/>
    </row>
    <row r="2513" spans="10:14" x14ac:dyDescent="0.25">
      <c r="J2513" s="25">
        <v>-1.0045094023177659E-2</v>
      </c>
      <c r="N2513" s="26"/>
    </row>
    <row r="2514" spans="10:14" x14ac:dyDescent="0.25">
      <c r="J2514" s="25">
        <v>1.9435320994421135E-2</v>
      </c>
      <c r="N2514" s="26"/>
    </row>
    <row r="2515" spans="10:14" x14ac:dyDescent="0.25">
      <c r="J2515" s="25">
        <v>-7.4897241043987317E-2</v>
      </c>
      <c r="N2515" s="26"/>
    </row>
    <row r="2516" spans="10:14" x14ac:dyDescent="0.25">
      <c r="J2516" s="25">
        <v>0.15913983990887504</v>
      </c>
      <c r="N2516" s="26"/>
    </row>
    <row r="2517" spans="10:14" x14ac:dyDescent="0.25">
      <c r="J2517" s="25">
        <v>7.2327802607212943E-2</v>
      </c>
      <c r="N2517" s="26"/>
    </row>
    <row r="2518" spans="10:14" x14ac:dyDescent="0.25">
      <c r="J2518" s="25">
        <v>0.5823467141681169</v>
      </c>
      <c r="N2518" s="26"/>
    </row>
    <row r="2519" spans="10:14" x14ac:dyDescent="0.25">
      <c r="J2519" s="25">
        <v>0.18401883278992792</v>
      </c>
      <c r="N2519" s="26"/>
    </row>
    <row r="2520" spans="10:14" x14ac:dyDescent="0.25">
      <c r="J2520" s="25">
        <v>-0.40202975903698657</v>
      </c>
      <c r="N2520" s="26"/>
    </row>
    <row r="2521" spans="10:14" x14ac:dyDescent="0.25">
      <c r="J2521" s="25">
        <v>7.8691184480646159E-2</v>
      </c>
      <c r="N2521" s="26"/>
    </row>
    <row r="2522" spans="10:14" x14ac:dyDescent="0.25">
      <c r="J2522" s="25">
        <v>0.74430941712051113</v>
      </c>
      <c r="N2522" s="26"/>
    </row>
    <row r="2523" spans="10:14" x14ac:dyDescent="0.25">
      <c r="J2523" s="25">
        <v>0.94863334689158574</v>
      </c>
      <c r="N2523" s="26"/>
    </row>
    <row r="2524" spans="10:14" x14ac:dyDescent="0.25">
      <c r="J2524" s="25">
        <v>0.70089458767501878</v>
      </c>
      <c r="N2524" s="26"/>
    </row>
    <row r="2525" spans="10:14" x14ac:dyDescent="0.25">
      <c r="J2525" s="25">
        <v>0.61367660512587352</v>
      </c>
      <c r="N2525" s="26"/>
    </row>
    <row r="2526" spans="10:14" x14ac:dyDescent="0.25">
      <c r="J2526" s="25">
        <v>0.25062020331028223</v>
      </c>
      <c r="N2526" s="26"/>
    </row>
    <row r="2527" spans="10:14" x14ac:dyDescent="0.25">
      <c r="J2527" s="25">
        <v>1.9726930575466595E-2</v>
      </c>
      <c r="N2527" s="26"/>
    </row>
    <row r="2528" spans="10:14" x14ac:dyDescent="0.25">
      <c r="J2528" s="25">
        <v>0.29900815000748926</v>
      </c>
      <c r="N2528" s="26"/>
    </row>
    <row r="2529" spans="10:14" x14ac:dyDescent="0.25">
      <c r="J2529" s="25">
        <v>-0.27636823369908337</v>
      </c>
      <c r="N2529" s="26"/>
    </row>
    <row r="2530" spans="10:14" x14ac:dyDescent="0.25">
      <c r="J2530" s="25">
        <v>0.24239737250663906</v>
      </c>
      <c r="N2530" s="26"/>
    </row>
    <row r="2531" spans="10:14" x14ac:dyDescent="0.25">
      <c r="J2531" s="25">
        <v>-6.3764525576731623E-3</v>
      </c>
      <c r="N2531" s="26"/>
    </row>
    <row r="2532" spans="10:14" x14ac:dyDescent="0.25">
      <c r="J2532" s="25">
        <v>3.1622685265225048E-2</v>
      </c>
      <c r="N2532" s="26"/>
    </row>
    <row r="2533" spans="10:14" x14ac:dyDescent="0.25">
      <c r="J2533" s="25">
        <v>-0.3475621408742916</v>
      </c>
      <c r="N2533" s="26"/>
    </row>
    <row r="2534" spans="10:14" x14ac:dyDescent="0.25">
      <c r="J2534" s="25">
        <v>-9.2285106636190606E-2</v>
      </c>
      <c r="N2534" s="26"/>
    </row>
    <row r="2535" spans="10:14" x14ac:dyDescent="0.25">
      <c r="J2535" s="25">
        <v>-0.25751327395214907</v>
      </c>
      <c r="N2535" s="26"/>
    </row>
    <row r="2536" spans="10:14" x14ac:dyDescent="0.25">
      <c r="J2536" s="25">
        <v>-3.9938529595764383E-2</v>
      </c>
      <c r="N2536" s="26"/>
    </row>
    <row r="2537" spans="10:14" x14ac:dyDescent="0.25">
      <c r="J2537" s="25">
        <v>4.3566859158640225E-2</v>
      </c>
      <c r="N2537" s="26"/>
    </row>
    <row r="2538" spans="10:14" x14ac:dyDescent="0.25">
      <c r="J2538" s="25">
        <v>-2.3083807393673106E-2</v>
      </c>
      <c r="N2538" s="26"/>
    </row>
    <row r="2539" spans="10:14" x14ac:dyDescent="0.25">
      <c r="J2539" s="25">
        <v>-0.25811713654362756</v>
      </c>
      <c r="N2539" s="26"/>
    </row>
    <row r="2540" spans="10:14" x14ac:dyDescent="0.25">
      <c r="J2540" s="25">
        <v>-7.2914076657022098E-2</v>
      </c>
      <c r="N2540" s="26"/>
    </row>
    <row r="2541" spans="10:14" x14ac:dyDescent="0.25">
      <c r="J2541" s="25">
        <v>4.3601191618548141E-2</v>
      </c>
      <c r="N2541" s="26"/>
    </row>
    <row r="2542" spans="10:14" x14ac:dyDescent="0.25">
      <c r="J2542" s="25">
        <v>6.2751942220952817E-2</v>
      </c>
      <c r="N2542" s="26"/>
    </row>
    <row r="2543" spans="10:14" x14ac:dyDescent="0.25">
      <c r="J2543" s="25">
        <v>-0.23270661915204172</v>
      </c>
      <c r="N2543" s="26"/>
    </row>
    <row r="2544" spans="10:14" x14ac:dyDescent="0.25">
      <c r="J2544" s="25">
        <v>6.0716612376020773E-2</v>
      </c>
      <c r="N2544" s="26"/>
    </row>
    <row r="2545" spans="10:14" x14ac:dyDescent="0.25">
      <c r="J2545" s="25">
        <v>-1.4173404291646152E-2</v>
      </c>
      <c r="N2545" s="26"/>
    </row>
    <row r="2546" spans="10:14" x14ac:dyDescent="0.25">
      <c r="J2546" s="25">
        <v>0.11372205264094348</v>
      </c>
      <c r="N2546" s="26"/>
    </row>
    <row r="2547" spans="10:14" x14ac:dyDescent="0.25">
      <c r="J2547" s="25">
        <v>-0.21547244909239804</v>
      </c>
      <c r="N2547" s="26"/>
    </row>
    <row r="2548" spans="10:14" x14ac:dyDescent="0.25">
      <c r="J2548" s="25">
        <v>0.24437480959561175</v>
      </c>
      <c r="N2548" s="26"/>
    </row>
    <row r="2549" spans="10:14" x14ac:dyDescent="0.25">
      <c r="J2549" s="25">
        <v>0.53957905987996213</v>
      </c>
      <c r="N2549" s="26"/>
    </row>
    <row r="2550" spans="10:14" x14ac:dyDescent="0.25">
      <c r="J2550" s="25">
        <v>-0.36253789796195024</v>
      </c>
      <c r="N2550" s="26"/>
    </row>
    <row r="2551" spans="10:14" x14ac:dyDescent="0.25">
      <c r="J2551" s="25">
        <v>-0.11962134373126054</v>
      </c>
      <c r="N2551" s="26"/>
    </row>
    <row r="2552" spans="10:14" x14ac:dyDescent="0.25">
      <c r="J2552" s="25">
        <v>-0.44939121893398082</v>
      </c>
      <c r="N2552" s="26"/>
    </row>
    <row r="2553" spans="10:14" x14ac:dyDescent="0.25">
      <c r="J2553" s="25">
        <v>0.35244943164704901</v>
      </c>
      <c r="N2553" s="26"/>
    </row>
    <row r="2554" spans="10:14" x14ac:dyDescent="0.25">
      <c r="J2554" s="25">
        <v>-8.9321051688278974E-2</v>
      </c>
      <c r="N2554" s="26"/>
    </row>
    <row r="2555" spans="10:14" x14ac:dyDescent="0.25">
      <c r="J2555" s="25">
        <v>0.23873249465280932</v>
      </c>
      <c r="N2555" s="26"/>
    </row>
    <row r="2556" spans="10:14" x14ac:dyDescent="0.25">
      <c r="J2556" s="25">
        <v>-0.33302286826441196</v>
      </c>
      <c r="N2556" s="26"/>
    </row>
    <row r="2557" spans="10:14" x14ac:dyDescent="0.25">
      <c r="J2557" s="25">
        <v>0.23316146739017163</v>
      </c>
      <c r="N2557" s="26"/>
    </row>
    <row r="2558" spans="10:14" x14ac:dyDescent="0.25">
      <c r="J2558" s="25">
        <v>-0.51703810247177739</v>
      </c>
      <c r="N2558" s="26"/>
    </row>
    <row r="2559" spans="10:14" x14ac:dyDescent="0.25">
      <c r="J2559" s="25">
        <v>0.3570388292638349</v>
      </c>
      <c r="N2559" s="26"/>
    </row>
    <row r="2560" spans="10:14" x14ac:dyDescent="0.25">
      <c r="J2560" s="25">
        <v>1.0215157059518432</v>
      </c>
      <c r="N2560" s="26"/>
    </row>
    <row r="2561" spans="10:14" x14ac:dyDescent="0.25">
      <c r="J2561" s="25">
        <v>0.47663206255433854</v>
      </c>
      <c r="N2561" s="26"/>
    </row>
    <row r="2562" spans="10:14" x14ac:dyDescent="0.25">
      <c r="J2562" s="25">
        <v>-0.41550473175905511</v>
      </c>
      <c r="N2562" s="26"/>
    </row>
    <row r="2563" spans="10:14" x14ac:dyDescent="0.25">
      <c r="J2563" s="25">
        <v>5.9398419734675079E-2</v>
      </c>
      <c r="N2563" s="26"/>
    </row>
    <row r="2564" spans="10:14" x14ac:dyDescent="0.25">
      <c r="J2564" s="25">
        <v>3.5872351925037682E-2</v>
      </c>
      <c r="N2564" s="26"/>
    </row>
    <row r="2565" spans="10:14" x14ac:dyDescent="0.25">
      <c r="J2565" s="25">
        <v>-6.6860906958898902E-2</v>
      </c>
      <c r="N2565" s="26"/>
    </row>
    <row r="2566" spans="10:14" x14ac:dyDescent="0.25">
      <c r="J2566" s="25">
        <v>3.7564313953576178E-2</v>
      </c>
      <c r="N2566" s="26"/>
    </row>
    <row r="2567" spans="10:14" x14ac:dyDescent="0.25">
      <c r="J2567" s="25">
        <v>-0.4056538579970097</v>
      </c>
      <c r="N2567" s="26"/>
    </row>
    <row r="2568" spans="10:14" x14ac:dyDescent="0.25">
      <c r="J2568" s="25">
        <v>0.27660169680171198</v>
      </c>
      <c r="N2568" s="26"/>
    </row>
    <row r="2569" spans="10:14" x14ac:dyDescent="0.25">
      <c r="J2569" s="25">
        <v>-0.25319204595473899</v>
      </c>
      <c r="N2569" s="26"/>
    </row>
    <row r="2570" spans="10:14" x14ac:dyDescent="0.25">
      <c r="J2570" s="25">
        <v>0.68427370103069851</v>
      </c>
      <c r="N2570" s="26"/>
    </row>
    <row r="2571" spans="10:14" x14ac:dyDescent="0.25">
      <c r="J2571" s="25">
        <v>-0.33605073161114352</v>
      </c>
      <c r="N2571" s="26"/>
    </row>
    <row r="2572" spans="10:14" x14ac:dyDescent="0.25">
      <c r="J2572" s="25">
        <v>-6.888225369192913E-2</v>
      </c>
      <c r="N2572" s="26"/>
    </row>
    <row r="2573" spans="10:14" x14ac:dyDescent="0.25">
      <c r="J2573" s="25">
        <v>0.3656119079262321</v>
      </c>
      <c r="N2573" s="26"/>
    </row>
    <row r="2574" spans="10:14" x14ac:dyDescent="0.25">
      <c r="J2574" s="25">
        <v>-0.3760542302546912</v>
      </c>
      <c r="N2574" s="26"/>
    </row>
    <row r="2575" spans="10:14" x14ac:dyDescent="0.25">
      <c r="J2575" s="25">
        <v>-0.11391332381340658</v>
      </c>
      <c r="N2575" s="26"/>
    </row>
    <row r="2576" spans="10:14" x14ac:dyDescent="0.25">
      <c r="J2576" s="25">
        <v>5.7418952804210832E-2</v>
      </c>
      <c r="N2576" s="26"/>
    </row>
    <row r="2577" spans="10:14" x14ac:dyDescent="0.25">
      <c r="J2577" s="25">
        <v>-7.3667887384844311E-2</v>
      </c>
      <c r="N2577" s="26"/>
    </row>
    <row r="2578" spans="10:14" x14ac:dyDescent="0.25">
      <c r="J2578" s="25">
        <v>0.54272811239889696</v>
      </c>
      <c r="N2578" s="26"/>
    </row>
    <row r="2579" spans="10:14" x14ac:dyDescent="0.25">
      <c r="J2579" s="25">
        <v>8.4785051799136868E-2</v>
      </c>
      <c r="N2579" s="26"/>
    </row>
    <row r="2580" spans="10:14" x14ac:dyDescent="0.25">
      <c r="J2580" s="25">
        <v>-0.44504733015725606</v>
      </c>
      <c r="N2580" s="26"/>
    </row>
    <row r="2581" spans="10:14" x14ac:dyDescent="0.25">
      <c r="J2581" s="25">
        <v>0.24125405536974887</v>
      </c>
      <c r="N2581" s="26"/>
    </row>
    <row r="2582" spans="10:14" x14ac:dyDescent="0.25">
      <c r="J2582" s="25">
        <v>1.0066708870284895</v>
      </c>
      <c r="N2582" s="26"/>
    </row>
    <row r="2583" spans="10:14" x14ac:dyDescent="0.25">
      <c r="J2583" s="25">
        <v>0.39050720339816647</v>
      </c>
      <c r="N2583" s="26"/>
    </row>
    <row r="2584" spans="10:14" x14ac:dyDescent="0.25">
      <c r="J2584" s="25">
        <v>8.3804435234386077E-2</v>
      </c>
      <c r="N2584" s="26"/>
    </row>
    <row r="2585" spans="10:14" x14ac:dyDescent="0.25">
      <c r="J2585" s="25">
        <v>0.46314047927174351</v>
      </c>
      <c r="N2585" s="26"/>
    </row>
    <row r="2586" spans="10:14" x14ac:dyDescent="0.25">
      <c r="J2586" s="25">
        <v>-0.4375527492256015</v>
      </c>
      <c r="N2586" s="26"/>
    </row>
    <row r="2587" spans="10:14" x14ac:dyDescent="0.25">
      <c r="J2587" s="25">
        <v>-4.5139401938586787E-2</v>
      </c>
      <c r="N2587" s="26"/>
    </row>
    <row r="2588" spans="10:14" x14ac:dyDescent="0.25">
      <c r="J2588" s="25">
        <v>-7.5977983138522109E-2</v>
      </c>
      <c r="N2588" s="26"/>
    </row>
    <row r="2589" spans="10:14" x14ac:dyDescent="0.25">
      <c r="J2589" s="25">
        <v>0.26219430435785585</v>
      </c>
      <c r="N2589" s="26"/>
    </row>
    <row r="2590" spans="10:14" x14ac:dyDescent="0.25">
      <c r="J2590" s="25">
        <v>-0.23077308714640599</v>
      </c>
      <c r="N2590" s="26"/>
    </row>
    <row r="2591" spans="10:14" x14ac:dyDescent="0.25">
      <c r="J2591" s="25">
        <v>0.12798903585644439</v>
      </c>
      <c r="N2591" s="26"/>
    </row>
    <row r="2592" spans="10:14" x14ac:dyDescent="0.25">
      <c r="J2592" s="25">
        <v>0.61816326642940722</v>
      </c>
      <c r="N2592" s="26"/>
    </row>
    <row r="2593" spans="10:14" x14ac:dyDescent="0.25">
      <c r="J2593" s="25">
        <v>9.9999657514565854E-2</v>
      </c>
      <c r="N2593" s="26"/>
    </row>
    <row r="2594" spans="10:14" x14ac:dyDescent="0.25">
      <c r="J2594" s="25">
        <v>-8.0655215071290698E-2</v>
      </c>
      <c r="N2594" s="26"/>
    </row>
    <row r="2595" spans="10:14" x14ac:dyDescent="0.25">
      <c r="J2595" s="25">
        <v>-0.1186528072947286</v>
      </c>
      <c r="N2595" s="26"/>
    </row>
    <row r="2596" spans="10:14" x14ac:dyDescent="0.25">
      <c r="J2596" s="25">
        <v>-0.20810557763835658</v>
      </c>
      <c r="N2596" s="26"/>
    </row>
    <row r="2597" spans="10:14" x14ac:dyDescent="0.25">
      <c r="J2597" s="25">
        <v>-0.13708335057683563</v>
      </c>
      <c r="N2597" s="26"/>
    </row>
    <row r="2598" spans="10:14" x14ac:dyDescent="0.25">
      <c r="J2598" s="25">
        <v>-2.3172220453999026E-2</v>
      </c>
      <c r="N2598" s="26"/>
    </row>
    <row r="2599" spans="10:14" x14ac:dyDescent="0.25">
      <c r="J2599" s="25">
        <v>1.0461673967793184E-2</v>
      </c>
      <c r="N2599" s="26"/>
    </row>
    <row r="2600" spans="10:14" x14ac:dyDescent="0.25">
      <c r="J2600" s="25">
        <v>3.2611466361509578E-2</v>
      </c>
      <c r="N2600" s="26"/>
    </row>
    <row r="2601" spans="10:14" x14ac:dyDescent="0.25">
      <c r="J2601" s="25">
        <v>0.33980263651805909</v>
      </c>
      <c r="N2601" s="26"/>
    </row>
    <row r="2602" spans="10:14" x14ac:dyDescent="0.25">
      <c r="J2602" s="25">
        <v>0.47044994398911077</v>
      </c>
      <c r="N2602" s="26"/>
    </row>
    <row r="2603" spans="10:14" x14ac:dyDescent="0.25">
      <c r="J2603" s="25">
        <v>0.46672087049683531</v>
      </c>
      <c r="N2603" s="26"/>
    </row>
    <row r="2604" spans="10:14" x14ac:dyDescent="0.25">
      <c r="J2604" s="25">
        <v>0.98108780570927623</v>
      </c>
      <c r="N2604" s="26"/>
    </row>
    <row r="2605" spans="10:14" x14ac:dyDescent="0.25">
      <c r="J2605" s="25">
        <v>-0.28103468194203207</v>
      </c>
      <c r="N2605" s="26"/>
    </row>
    <row r="2606" spans="10:14" x14ac:dyDescent="0.25">
      <c r="J2606" s="25">
        <v>6.3272696081992708E-2</v>
      </c>
      <c r="N2606" s="26"/>
    </row>
    <row r="2607" spans="10:14" x14ac:dyDescent="0.25">
      <c r="J2607" s="25">
        <v>0.42575055385956206</v>
      </c>
      <c r="N2607" s="26"/>
    </row>
    <row r="2608" spans="10:14" x14ac:dyDescent="0.25">
      <c r="J2608" s="25">
        <v>-0.36685555684568893</v>
      </c>
      <c r="N2608" s="26"/>
    </row>
    <row r="2609" spans="10:14" x14ac:dyDescent="0.25">
      <c r="J2609" s="25">
        <v>0.10270258767636409</v>
      </c>
      <c r="N2609" s="26"/>
    </row>
    <row r="2610" spans="10:14" x14ac:dyDescent="0.25">
      <c r="J2610" s="25">
        <v>0.23584539095904278</v>
      </c>
      <c r="N2610" s="26"/>
    </row>
    <row r="2611" spans="10:14" x14ac:dyDescent="0.25">
      <c r="J2611" s="25">
        <v>4.9655024375182322E-2</v>
      </c>
      <c r="N2611" s="26"/>
    </row>
    <row r="2612" spans="10:14" x14ac:dyDescent="0.25">
      <c r="J2612" s="25">
        <v>0.11892181407103264</v>
      </c>
      <c r="N2612" s="26"/>
    </row>
    <row r="2613" spans="10:14" x14ac:dyDescent="0.25">
      <c r="J2613" s="25">
        <v>0.56035953993927579</v>
      </c>
      <c r="N2613" s="26"/>
    </row>
    <row r="2614" spans="10:14" x14ac:dyDescent="0.25">
      <c r="J2614" s="25">
        <v>0.44389219164345706</v>
      </c>
      <c r="N2614" s="26"/>
    </row>
    <row r="2615" spans="10:14" x14ac:dyDescent="0.25">
      <c r="J2615" s="25">
        <v>3.8947064653456875E-2</v>
      </c>
      <c r="N2615" s="26"/>
    </row>
    <row r="2616" spans="10:14" x14ac:dyDescent="0.25">
      <c r="J2616" s="25">
        <v>3.6008435789950388E-2</v>
      </c>
      <c r="N2616" s="26"/>
    </row>
    <row r="2617" spans="10:14" x14ac:dyDescent="0.25">
      <c r="J2617" s="25">
        <v>0.47137610322313606</v>
      </c>
      <c r="N2617" s="26"/>
    </row>
    <row r="2618" spans="10:14" x14ac:dyDescent="0.25">
      <c r="J2618" s="25">
        <v>-0.15352632804315092</v>
      </c>
      <c r="N2618" s="26"/>
    </row>
    <row r="2619" spans="10:14" x14ac:dyDescent="0.25">
      <c r="J2619" s="25">
        <v>-0.25555135738882662</v>
      </c>
      <c r="N2619" s="26"/>
    </row>
    <row r="2620" spans="10:14" x14ac:dyDescent="0.25">
      <c r="J2620" s="25">
        <v>0.16785695350326457</v>
      </c>
      <c r="N2620" s="26"/>
    </row>
    <row r="2621" spans="10:14" x14ac:dyDescent="0.25">
      <c r="J2621" s="25">
        <v>-2.3643555436777541E-3</v>
      </c>
      <c r="N2621" s="26"/>
    </row>
    <row r="2622" spans="10:14" x14ac:dyDescent="0.25">
      <c r="J2622" s="25">
        <v>-0.39435282056290588</v>
      </c>
      <c r="N2622" s="26"/>
    </row>
    <row r="2623" spans="10:14" x14ac:dyDescent="0.25">
      <c r="J2623" s="25">
        <v>-0.15593941329061622</v>
      </c>
      <c r="N2623" s="26"/>
    </row>
    <row r="2624" spans="10:14" x14ac:dyDescent="0.25">
      <c r="J2624" s="25">
        <v>0.21735354504291826</v>
      </c>
      <c r="N2624" s="26"/>
    </row>
    <row r="2625" spans="10:14" x14ac:dyDescent="0.25">
      <c r="J2625" s="25">
        <v>-0.43747136853124124</v>
      </c>
      <c r="N2625" s="26"/>
    </row>
    <row r="2626" spans="10:14" x14ac:dyDescent="0.25">
      <c r="J2626" s="25">
        <v>0.26166370296116015</v>
      </c>
      <c r="N2626" s="26"/>
    </row>
    <row r="2627" spans="10:14" x14ac:dyDescent="0.25">
      <c r="J2627" s="25">
        <v>0.17486976795321785</v>
      </c>
      <c r="N2627" s="26"/>
    </row>
    <row r="2628" spans="10:14" x14ac:dyDescent="0.25">
      <c r="J2628" s="25">
        <v>-0.35469347564527809</v>
      </c>
      <c r="N2628" s="26"/>
    </row>
    <row r="2629" spans="10:14" x14ac:dyDescent="0.25">
      <c r="J2629" s="25">
        <v>0.56872084417928348</v>
      </c>
      <c r="N2629" s="26"/>
    </row>
    <row r="2630" spans="10:14" x14ac:dyDescent="0.25">
      <c r="J2630" s="25">
        <v>-9.6861174215865042E-2</v>
      </c>
      <c r="N2630" s="26"/>
    </row>
    <row r="2631" spans="10:14" x14ac:dyDescent="0.25">
      <c r="J2631" s="25">
        <v>4.4374321276437145E-2</v>
      </c>
      <c r="N2631" s="26"/>
    </row>
    <row r="2632" spans="10:14" x14ac:dyDescent="0.25">
      <c r="J2632" s="25">
        <v>4.3715512134700818E-2</v>
      </c>
      <c r="N2632" s="26"/>
    </row>
    <row r="2633" spans="10:14" x14ac:dyDescent="0.25">
      <c r="J2633" s="25">
        <v>5.3237762094539898E-2</v>
      </c>
      <c r="N2633" s="26"/>
    </row>
    <row r="2634" spans="10:14" x14ac:dyDescent="0.25">
      <c r="J2634" s="25">
        <v>4.4019266014709402E-2</v>
      </c>
      <c r="N2634" s="26"/>
    </row>
    <row r="2635" spans="10:14" x14ac:dyDescent="0.25">
      <c r="J2635" s="25">
        <v>-0.33855065616312485</v>
      </c>
      <c r="N2635" s="26"/>
    </row>
    <row r="2636" spans="10:14" x14ac:dyDescent="0.25">
      <c r="J2636" s="25">
        <v>-0.38350332379724783</v>
      </c>
      <c r="N2636" s="26"/>
    </row>
    <row r="2637" spans="10:14" x14ac:dyDescent="0.25">
      <c r="J2637" s="25">
        <v>2.7276666767834801E-2</v>
      </c>
      <c r="N2637" s="26"/>
    </row>
    <row r="2638" spans="10:14" x14ac:dyDescent="0.25">
      <c r="J2638" s="25">
        <v>0.5582829502177451</v>
      </c>
      <c r="N2638" s="26"/>
    </row>
    <row r="2639" spans="10:14" x14ac:dyDescent="0.25">
      <c r="J2639" s="25">
        <v>0.27409262354648778</v>
      </c>
      <c r="N2639" s="26"/>
    </row>
    <row r="2640" spans="10:14" x14ac:dyDescent="0.25">
      <c r="J2640" s="25">
        <v>-0.15069099185610146</v>
      </c>
      <c r="N2640" s="26"/>
    </row>
    <row r="2641" spans="10:14" x14ac:dyDescent="0.25">
      <c r="J2641" s="25">
        <v>-0.41708867987962173</v>
      </c>
      <c r="N2641" s="26"/>
    </row>
    <row r="2642" spans="10:14" x14ac:dyDescent="0.25">
      <c r="J2642" s="25">
        <v>-9.7218730384445284E-2</v>
      </c>
      <c r="N2642" s="26"/>
    </row>
    <row r="2643" spans="10:14" x14ac:dyDescent="0.25">
      <c r="J2643" s="25">
        <v>0.49815546465699989</v>
      </c>
      <c r="N2643" s="26"/>
    </row>
    <row r="2644" spans="10:14" x14ac:dyDescent="0.25">
      <c r="J2644" s="25">
        <v>0.58313748656194764</v>
      </c>
      <c r="N2644" s="26"/>
    </row>
    <row r="2645" spans="10:14" x14ac:dyDescent="0.25">
      <c r="J2645" s="25">
        <v>-6.2195292948438174E-3</v>
      </c>
      <c r="N2645" s="26"/>
    </row>
    <row r="2646" spans="10:14" x14ac:dyDescent="0.25">
      <c r="J2646" s="25">
        <v>-0.39219351215520637</v>
      </c>
      <c r="N2646" s="26"/>
    </row>
    <row r="2647" spans="10:14" x14ac:dyDescent="0.25">
      <c r="J2647" s="25">
        <v>0.19716709073215077</v>
      </c>
      <c r="N2647" s="26"/>
    </row>
    <row r="2648" spans="10:14" x14ac:dyDescent="0.25">
      <c r="J2648" s="25">
        <v>-0.26771096410901274</v>
      </c>
      <c r="N2648" s="26"/>
    </row>
    <row r="2649" spans="10:14" x14ac:dyDescent="0.25">
      <c r="J2649" s="25">
        <v>7.694824436481551E-2</v>
      </c>
      <c r="N2649" s="26"/>
    </row>
    <row r="2650" spans="10:14" x14ac:dyDescent="0.25">
      <c r="J2650" s="25">
        <v>-3.2699965400056707E-2</v>
      </c>
      <c r="N2650" s="26"/>
    </row>
    <row r="2651" spans="10:14" x14ac:dyDescent="0.25">
      <c r="J2651" s="25">
        <v>0.39785999235286074</v>
      </c>
      <c r="N2651" s="26"/>
    </row>
    <row r="2652" spans="10:14" x14ac:dyDescent="0.25">
      <c r="J2652" s="25">
        <v>-0.4661438645121162</v>
      </c>
      <c r="N2652" s="26"/>
    </row>
    <row r="2653" spans="10:14" x14ac:dyDescent="0.25">
      <c r="J2653" s="25">
        <v>0.38498799954873175</v>
      </c>
      <c r="N2653" s="26"/>
    </row>
    <row r="2654" spans="10:14" x14ac:dyDescent="0.25">
      <c r="J2654" s="25">
        <v>0.70530830350639895</v>
      </c>
      <c r="N2654" s="26"/>
    </row>
    <row r="2655" spans="10:14" x14ac:dyDescent="0.25">
      <c r="J2655" s="25">
        <v>0.59403825983862557</v>
      </c>
      <c r="N2655" s="26"/>
    </row>
    <row r="2656" spans="10:14" x14ac:dyDescent="0.25">
      <c r="J2656" s="25">
        <v>0.5494412967657647</v>
      </c>
      <c r="N2656" s="26"/>
    </row>
    <row r="2657" spans="10:14" x14ac:dyDescent="0.25">
      <c r="J2657" s="25">
        <v>-0.29716166013535128</v>
      </c>
      <c r="N2657" s="26"/>
    </row>
    <row r="2658" spans="10:14" x14ac:dyDescent="0.25">
      <c r="J2658" s="25">
        <v>-0.32066111403365705</v>
      </c>
      <c r="N2658" s="26"/>
    </row>
    <row r="2659" spans="10:14" x14ac:dyDescent="0.25">
      <c r="J2659" s="25">
        <v>-0.35192092357211746</v>
      </c>
      <c r="N2659" s="26"/>
    </row>
    <row r="2660" spans="10:14" x14ac:dyDescent="0.25">
      <c r="J2660" s="25">
        <v>2.509201895218105E-2</v>
      </c>
      <c r="N2660" s="26"/>
    </row>
    <row r="2661" spans="10:14" x14ac:dyDescent="0.25">
      <c r="J2661" s="25">
        <v>0.2319831125029479</v>
      </c>
      <c r="N2661" s="26"/>
    </row>
    <row r="2662" spans="10:14" x14ac:dyDescent="0.25">
      <c r="J2662" s="25">
        <v>-3.110503389834085E-2</v>
      </c>
      <c r="N2662" s="26"/>
    </row>
    <row r="2663" spans="10:14" x14ac:dyDescent="0.25">
      <c r="J2663" s="25">
        <v>0.3033599481719873</v>
      </c>
      <c r="N2663" s="26"/>
    </row>
    <row r="2664" spans="10:14" x14ac:dyDescent="0.25">
      <c r="J2664" s="25">
        <v>3.4607293218516411E-2</v>
      </c>
      <c r="N2664" s="26"/>
    </row>
    <row r="2665" spans="10:14" x14ac:dyDescent="0.25">
      <c r="J2665" s="25">
        <v>0.92698536275164312</v>
      </c>
      <c r="N2665" s="26"/>
    </row>
    <row r="2666" spans="10:14" x14ac:dyDescent="0.25">
      <c r="J2666" s="25">
        <v>0.46509690897915013</v>
      </c>
      <c r="N2666" s="26"/>
    </row>
    <row r="2667" spans="10:14" x14ac:dyDescent="0.25">
      <c r="J2667" s="25">
        <v>-0.46434231743849896</v>
      </c>
      <c r="N2667" s="26"/>
    </row>
    <row r="2668" spans="10:14" x14ac:dyDescent="0.25">
      <c r="J2668" s="25">
        <v>-0.22989433263262204</v>
      </c>
      <c r="N2668" s="26"/>
    </row>
    <row r="2669" spans="10:14" x14ac:dyDescent="0.25">
      <c r="J2669" s="25">
        <v>-0.11487206677256301</v>
      </c>
      <c r="N2669" s="26"/>
    </row>
    <row r="2670" spans="10:14" x14ac:dyDescent="0.25">
      <c r="J2670" s="25">
        <v>-0.37645747836148791</v>
      </c>
      <c r="N2670" s="26"/>
    </row>
    <row r="2671" spans="10:14" x14ac:dyDescent="0.25">
      <c r="J2671" s="25">
        <v>-0.46454357892345743</v>
      </c>
      <c r="N2671" s="26"/>
    </row>
    <row r="2672" spans="10:14" x14ac:dyDescent="0.25">
      <c r="J2672" s="25">
        <v>-0.43884829037907325</v>
      </c>
      <c r="N2672" s="26"/>
    </row>
    <row r="2673" spans="10:14" x14ac:dyDescent="0.25">
      <c r="J2673" s="25">
        <v>-0.19844452492693088</v>
      </c>
      <c r="N2673" s="26"/>
    </row>
    <row r="2674" spans="10:14" x14ac:dyDescent="0.25">
      <c r="J2674" s="25">
        <v>1.12101395229356</v>
      </c>
      <c r="N2674" s="26"/>
    </row>
    <row r="2675" spans="10:14" x14ac:dyDescent="0.25">
      <c r="J2675" s="25">
        <v>-0.20159339734445125</v>
      </c>
      <c r="N2675" s="26"/>
    </row>
    <row r="2676" spans="10:14" x14ac:dyDescent="0.25">
      <c r="J2676" s="25">
        <v>-0.20549842724057932</v>
      </c>
      <c r="N2676" s="26"/>
    </row>
    <row r="2677" spans="10:14" x14ac:dyDescent="0.25">
      <c r="J2677" s="25">
        <v>-0.18668502814341492</v>
      </c>
      <c r="N2677" s="26"/>
    </row>
    <row r="2678" spans="10:14" x14ac:dyDescent="0.25">
      <c r="J2678" s="25">
        <v>-0.25472175787996865</v>
      </c>
      <c r="N2678" s="26"/>
    </row>
    <row r="2679" spans="10:14" x14ac:dyDescent="0.25">
      <c r="J2679" s="25">
        <v>0.18211840274211966</v>
      </c>
      <c r="N2679" s="26"/>
    </row>
    <row r="2680" spans="10:14" x14ac:dyDescent="0.25">
      <c r="J2680" s="25">
        <v>0.52367528024931587</v>
      </c>
      <c r="N2680" s="26"/>
    </row>
    <row r="2681" spans="10:14" x14ac:dyDescent="0.25">
      <c r="J2681" s="25">
        <v>-3.3414882501416998E-2</v>
      </c>
      <c r="N2681" s="26"/>
    </row>
    <row r="2682" spans="10:14" x14ac:dyDescent="0.25">
      <c r="J2682" s="25">
        <v>-2.5472762191041332E-2</v>
      </c>
      <c r="N2682" s="26"/>
    </row>
    <row r="2683" spans="10:14" x14ac:dyDescent="0.25">
      <c r="J2683" s="25">
        <v>0.88771233364914104</v>
      </c>
      <c r="N2683" s="26"/>
    </row>
    <row r="2684" spans="10:14" x14ac:dyDescent="0.25">
      <c r="J2684" s="25">
        <v>1.8780975196282412E-2</v>
      </c>
      <c r="N2684" s="26"/>
    </row>
    <row r="2685" spans="10:14" x14ac:dyDescent="0.25">
      <c r="J2685" s="25">
        <v>-2.9262632933774624E-2</v>
      </c>
      <c r="N2685" s="26"/>
    </row>
    <row r="2686" spans="10:14" x14ac:dyDescent="0.25">
      <c r="J2686" s="25">
        <v>-5.0374070729645504E-2</v>
      </c>
      <c r="N2686" s="26"/>
    </row>
    <row r="2687" spans="10:14" x14ac:dyDescent="0.25">
      <c r="J2687" s="25">
        <v>-4.3036129059302874E-2</v>
      </c>
      <c r="N2687" s="26"/>
    </row>
    <row r="2688" spans="10:14" x14ac:dyDescent="0.25">
      <c r="J2688" s="25">
        <v>0.93144475025239415</v>
      </c>
      <c r="N2688" s="26"/>
    </row>
    <row r="2689" spans="10:14" x14ac:dyDescent="0.25">
      <c r="J2689" s="25">
        <v>-0.30286302488120143</v>
      </c>
      <c r="N2689" s="26"/>
    </row>
    <row r="2690" spans="10:14" x14ac:dyDescent="0.25">
      <c r="J2690" s="25">
        <v>4.8960508199080932E-2</v>
      </c>
      <c r="N2690" s="26"/>
    </row>
    <row r="2691" spans="10:14" x14ac:dyDescent="0.25">
      <c r="J2691" s="25">
        <v>0.34876302936624004</v>
      </c>
      <c r="N2691" s="26"/>
    </row>
    <row r="2692" spans="10:14" x14ac:dyDescent="0.25">
      <c r="J2692" s="25">
        <v>-0.51233277893644991</v>
      </c>
      <c r="N2692" s="26"/>
    </row>
    <row r="2693" spans="10:14" x14ac:dyDescent="0.25">
      <c r="J2693" s="25">
        <v>-3.4881593999533389E-2</v>
      </c>
      <c r="N2693" s="26"/>
    </row>
    <row r="2694" spans="10:14" x14ac:dyDescent="0.25">
      <c r="J2694" s="25">
        <v>-0.16019261643266802</v>
      </c>
      <c r="N2694" s="26"/>
    </row>
    <row r="2695" spans="10:14" x14ac:dyDescent="0.25">
      <c r="J2695" s="25">
        <v>2.5151153441356433E-2</v>
      </c>
      <c r="N2695" s="26"/>
    </row>
    <row r="2696" spans="10:14" x14ac:dyDescent="0.25">
      <c r="J2696" s="25">
        <v>-0.25357720886208668</v>
      </c>
      <c r="N2696" s="26"/>
    </row>
    <row r="2697" spans="10:14" x14ac:dyDescent="0.25">
      <c r="J2697" s="25">
        <v>0.29948595907360298</v>
      </c>
      <c r="N2697" s="26"/>
    </row>
    <row r="2698" spans="10:14" x14ac:dyDescent="0.25">
      <c r="J2698" s="25">
        <v>-2.5326895535244809E-2</v>
      </c>
      <c r="N2698" s="26"/>
    </row>
    <row r="2699" spans="10:14" x14ac:dyDescent="0.25">
      <c r="J2699" s="25">
        <v>0.3526430488881569</v>
      </c>
      <c r="N2699" s="26"/>
    </row>
    <row r="2700" spans="10:14" x14ac:dyDescent="0.25">
      <c r="J2700" s="25">
        <v>-0.44903036897159398</v>
      </c>
      <c r="N2700" s="26"/>
    </row>
    <row r="2701" spans="10:14" x14ac:dyDescent="0.25">
      <c r="J2701" s="25">
        <v>-0.54142923059379422</v>
      </c>
      <c r="N2701" s="26"/>
    </row>
    <row r="2702" spans="10:14" x14ac:dyDescent="0.25">
      <c r="J2702" s="25">
        <v>-0.40236156099468023</v>
      </c>
      <c r="N2702" s="26"/>
    </row>
    <row r="2703" spans="10:14" x14ac:dyDescent="0.25">
      <c r="J2703" s="25">
        <v>0.25894043372117226</v>
      </c>
      <c r="N2703" s="26"/>
    </row>
    <row r="2704" spans="10:14" x14ac:dyDescent="0.25">
      <c r="J2704" s="25">
        <v>-0.3160108853663619</v>
      </c>
      <c r="N2704" s="26"/>
    </row>
    <row r="2705" spans="10:14" x14ac:dyDescent="0.25">
      <c r="J2705" s="25">
        <v>0.7773601827391392</v>
      </c>
      <c r="N2705" s="26"/>
    </row>
    <row r="2706" spans="10:14" x14ac:dyDescent="0.25">
      <c r="J2706" s="25">
        <v>0.19143974175881429</v>
      </c>
      <c r="N2706" s="26"/>
    </row>
    <row r="2707" spans="10:14" x14ac:dyDescent="0.25">
      <c r="J2707" s="25">
        <v>2.363380767268719E-2</v>
      </c>
      <c r="N2707" s="26"/>
    </row>
    <row r="2708" spans="10:14" x14ac:dyDescent="0.25">
      <c r="J2708" s="25">
        <v>-0.18498671991702575</v>
      </c>
      <c r="N2708" s="26"/>
    </row>
    <row r="2709" spans="10:14" x14ac:dyDescent="0.25">
      <c r="J2709" s="25">
        <v>0.27749631867323643</v>
      </c>
      <c r="N2709" s="26"/>
    </row>
    <row r="2710" spans="10:14" x14ac:dyDescent="0.25">
      <c r="J2710" s="25">
        <v>0.42448355288511586</v>
      </c>
      <c r="N2710" s="26"/>
    </row>
    <row r="2711" spans="10:14" x14ac:dyDescent="0.25">
      <c r="J2711" s="25">
        <v>0.50397959692918426</v>
      </c>
      <c r="N2711" s="26"/>
    </row>
    <row r="2712" spans="10:14" x14ac:dyDescent="0.25">
      <c r="J2712" s="25">
        <v>3.8535006024150942E-2</v>
      </c>
      <c r="N2712" s="26"/>
    </row>
    <row r="2713" spans="10:14" x14ac:dyDescent="0.25">
      <c r="J2713" s="25">
        <v>-0.36549548390729836</v>
      </c>
      <c r="N2713" s="26"/>
    </row>
    <row r="2714" spans="10:14" x14ac:dyDescent="0.25">
      <c r="J2714" s="25">
        <v>0.50233196801090929</v>
      </c>
      <c r="N2714" s="26"/>
    </row>
    <row r="2715" spans="10:14" x14ac:dyDescent="0.25">
      <c r="J2715" s="25">
        <v>-7.004877429705747E-2</v>
      </c>
      <c r="N2715" s="26"/>
    </row>
    <row r="2716" spans="10:14" x14ac:dyDescent="0.25">
      <c r="J2716" s="25">
        <v>0.1662926670951157</v>
      </c>
      <c r="N2716" s="26"/>
    </row>
    <row r="2717" spans="10:14" x14ac:dyDescent="0.25">
      <c r="J2717" s="25">
        <v>-0.28447038457520069</v>
      </c>
      <c r="N2717" s="26"/>
    </row>
    <row r="2718" spans="10:14" x14ac:dyDescent="0.25">
      <c r="J2718" s="25">
        <v>-0.30965159182273572</v>
      </c>
      <c r="N2718" s="26"/>
    </row>
    <row r="2719" spans="10:14" x14ac:dyDescent="0.25">
      <c r="J2719" s="25">
        <v>4.0912167778069941E-2</v>
      </c>
      <c r="N2719" s="26"/>
    </row>
    <row r="2720" spans="10:14" x14ac:dyDescent="0.25">
      <c r="J2720" s="25">
        <v>-0.36768963430267632</v>
      </c>
      <c r="N2720" s="26"/>
    </row>
    <row r="2721" spans="10:14" x14ac:dyDescent="0.25">
      <c r="J2721" s="25">
        <v>4.7090490966380738E-2</v>
      </c>
      <c r="N2721" s="26"/>
    </row>
    <row r="2722" spans="10:14" x14ac:dyDescent="0.25">
      <c r="J2722" s="25">
        <v>6.729843539630842E-2</v>
      </c>
      <c r="N2722" s="26"/>
    </row>
    <row r="2723" spans="10:14" x14ac:dyDescent="0.25">
      <c r="J2723" s="25">
        <v>1.0820547189295904</v>
      </c>
      <c r="N2723" s="26"/>
    </row>
    <row r="2724" spans="10:14" x14ac:dyDescent="0.25">
      <c r="J2724" s="25">
        <v>-0.13910745625847809</v>
      </c>
      <c r="N2724" s="26"/>
    </row>
    <row r="2725" spans="10:14" x14ac:dyDescent="0.25">
      <c r="J2725" s="25">
        <v>-0.37730156015293637</v>
      </c>
      <c r="N2725" s="26"/>
    </row>
    <row r="2726" spans="10:14" x14ac:dyDescent="0.25">
      <c r="J2726" s="25">
        <v>0.12354041791422055</v>
      </c>
      <c r="N2726" s="26"/>
    </row>
    <row r="2727" spans="10:14" x14ac:dyDescent="0.25">
      <c r="J2727" s="25">
        <v>0.26127365172355366</v>
      </c>
      <c r="N2727" s="26"/>
    </row>
    <row r="2728" spans="10:14" x14ac:dyDescent="0.25">
      <c r="J2728" s="25">
        <v>6.1754141288500985E-2</v>
      </c>
      <c r="N2728" s="26"/>
    </row>
    <row r="2729" spans="10:14" x14ac:dyDescent="0.25">
      <c r="J2729" s="25">
        <v>0.26587198460876071</v>
      </c>
      <c r="N2729" s="26"/>
    </row>
    <row r="2730" spans="10:14" x14ac:dyDescent="0.25">
      <c r="J2730" s="25">
        <v>4.3260124058537519E-2</v>
      </c>
      <c r="N2730" s="26"/>
    </row>
    <row r="2731" spans="10:14" x14ac:dyDescent="0.25">
      <c r="J2731" s="25">
        <v>0.20736656818777743</v>
      </c>
      <c r="N2731" s="26"/>
    </row>
    <row r="2732" spans="10:14" x14ac:dyDescent="0.25">
      <c r="J2732" s="25">
        <v>-6.6508790073157686E-2</v>
      </c>
      <c r="N2732" s="26"/>
    </row>
    <row r="2733" spans="10:14" x14ac:dyDescent="0.25">
      <c r="J2733" s="25">
        <v>0.23097624802636885</v>
      </c>
      <c r="N2733" s="26"/>
    </row>
    <row r="2734" spans="10:14" x14ac:dyDescent="0.25">
      <c r="J2734" s="25">
        <v>-0.4202684396504196</v>
      </c>
      <c r="N2734" s="26"/>
    </row>
    <row r="2735" spans="10:14" x14ac:dyDescent="0.25">
      <c r="J2735" s="25">
        <v>-0.12339088894496053</v>
      </c>
      <c r="N2735" s="26"/>
    </row>
    <row r="2736" spans="10:14" x14ac:dyDescent="0.25">
      <c r="J2736" s="25">
        <v>1.0429155133645036</v>
      </c>
      <c r="N2736" s="26"/>
    </row>
    <row r="2737" spans="10:14" x14ac:dyDescent="0.25">
      <c r="J2737" s="25">
        <v>-0.42201383439231077</v>
      </c>
      <c r="N2737" s="26"/>
    </row>
    <row r="2738" spans="10:14" x14ac:dyDescent="0.25">
      <c r="J2738" s="25">
        <v>-0.31354301561178255</v>
      </c>
      <c r="N2738" s="26"/>
    </row>
    <row r="2739" spans="10:14" x14ac:dyDescent="0.25">
      <c r="J2739" s="25">
        <v>3.4495192355056492E-2</v>
      </c>
      <c r="N2739" s="26"/>
    </row>
    <row r="2740" spans="10:14" x14ac:dyDescent="0.25">
      <c r="J2740" s="25">
        <v>0.71211983663336831</v>
      </c>
      <c r="N2740" s="26"/>
    </row>
    <row r="2741" spans="10:14" x14ac:dyDescent="0.25">
      <c r="J2741" s="25">
        <v>0.34427951039974847</v>
      </c>
      <c r="N2741" s="26"/>
    </row>
    <row r="2742" spans="10:14" x14ac:dyDescent="0.25">
      <c r="J2742" s="25">
        <v>4.9302328146536789E-2</v>
      </c>
      <c r="N2742" s="26"/>
    </row>
    <row r="2743" spans="10:14" x14ac:dyDescent="0.25">
      <c r="J2743" s="25">
        <v>0.63583025611934874</v>
      </c>
      <c r="N2743" s="26"/>
    </row>
    <row r="2744" spans="10:14" x14ac:dyDescent="0.25">
      <c r="J2744" s="25">
        <v>-0.42060611994669062</v>
      </c>
      <c r="N2744" s="26"/>
    </row>
    <row r="2745" spans="10:14" x14ac:dyDescent="0.25">
      <c r="J2745" s="25">
        <v>2.5828504544209041E-2</v>
      </c>
      <c r="N2745" s="26"/>
    </row>
    <row r="2746" spans="10:14" x14ac:dyDescent="0.25">
      <c r="J2746" s="25">
        <v>1.0483979895924413</v>
      </c>
      <c r="N2746" s="26"/>
    </row>
    <row r="2747" spans="10:14" x14ac:dyDescent="0.25">
      <c r="J2747" s="25">
        <v>0.60791702681067727</v>
      </c>
      <c r="N2747" s="26"/>
    </row>
    <row r="2748" spans="10:14" x14ac:dyDescent="0.25">
      <c r="J2748" s="25">
        <v>0.27685227518494915</v>
      </c>
      <c r="N2748" s="26"/>
    </row>
    <row r="2749" spans="10:14" x14ac:dyDescent="0.25">
      <c r="J2749" s="25">
        <v>-0.28031478583375558</v>
      </c>
      <c r="N2749" s="26"/>
    </row>
    <row r="2750" spans="10:14" x14ac:dyDescent="0.25">
      <c r="J2750" s="25">
        <v>-5.5624177926851481E-2</v>
      </c>
      <c r="N2750" s="26"/>
    </row>
    <row r="2751" spans="10:14" x14ac:dyDescent="0.25">
      <c r="J2751" s="25">
        <v>0.19583448262460235</v>
      </c>
      <c r="N2751" s="26"/>
    </row>
    <row r="2752" spans="10:14" x14ac:dyDescent="0.25">
      <c r="J2752" s="25">
        <v>0.60648422985265316</v>
      </c>
      <c r="N2752" s="26"/>
    </row>
    <row r="2753" spans="10:14" x14ac:dyDescent="0.25">
      <c r="J2753" s="25">
        <v>0.3967154225035876</v>
      </c>
      <c r="N2753" s="26"/>
    </row>
    <row r="2754" spans="10:14" x14ac:dyDescent="0.25">
      <c r="J2754" s="25">
        <v>0.57409840793438072</v>
      </c>
      <c r="N2754" s="26"/>
    </row>
    <row r="2755" spans="10:14" x14ac:dyDescent="0.25">
      <c r="J2755" s="25">
        <v>-0.36961382923044739</v>
      </c>
      <c r="N2755" s="26"/>
    </row>
    <row r="2756" spans="10:14" x14ac:dyDescent="0.25">
      <c r="J2756" s="25">
        <v>-7.0510086851147347E-2</v>
      </c>
      <c r="N2756" s="26"/>
    </row>
    <row r="2757" spans="10:14" x14ac:dyDescent="0.25">
      <c r="J2757" s="25">
        <v>-0.34978752906646859</v>
      </c>
      <c r="N2757" s="26"/>
    </row>
    <row r="2758" spans="10:14" x14ac:dyDescent="0.25">
      <c r="J2758" s="25">
        <v>0.39874683359390883</v>
      </c>
      <c r="N2758" s="26"/>
    </row>
    <row r="2759" spans="10:14" x14ac:dyDescent="0.25">
      <c r="J2759" s="25">
        <v>-0.3519928851518056</v>
      </c>
      <c r="N2759" s="26"/>
    </row>
    <row r="2760" spans="10:14" x14ac:dyDescent="0.25">
      <c r="J2760" s="25">
        <v>-2.7961512572750591E-2</v>
      </c>
      <c r="N2760" s="26"/>
    </row>
    <row r="2761" spans="10:14" x14ac:dyDescent="0.25">
      <c r="J2761" s="25">
        <v>5.1751352910445858E-2</v>
      </c>
      <c r="N2761" s="26"/>
    </row>
    <row r="2762" spans="10:14" x14ac:dyDescent="0.25">
      <c r="J2762" s="25">
        <v>3.5217853410403954E-2</v>
      </c>
      <c r="N2762" s="26"/>
    </row>
    <row r="2763" spans="10:14" x14ac:dyDescent="0.25">
      <c r="J2763" s="25">
        <v>0.46343443952393315</v>
      </c>
      <c r="N2763" s="26"/>
    </row>
    <row r="2764" spans="10:14" x14ac:dyDescent="0.25">
      <c r="J2764" s="25">
        <v>-0.37183551660433123</v>
      </c>
      <c r="N2764" s="26"/>
    </row>
    <row r="2765" spans="10:14" x14ac:dyDescent="0.25">
      <c r="J2765" s="25">
        <v>7.7418108275825626E-2</v>
      </c>
      <c r="N2765" s="26"/>
    </row>
    <row r="2766" spans="10:14" x14ac:dyDescent="0.25">
      <c r="J2766" s="25">
        <v>-0.21725874760727948</v>
      </c>
      <c r="N2766" s="26"/>
    </row>
    <row r="2767" spans="10:14" x14ac:dyDescent="0.25">
      <c r="J2767" s="25">
        <v>0.51649642745820312</v>
      </c>
      <c r="N2767" s="26"/>
    </row>
    <row r="2768" spans="10:14" x14ac:dyDescent="0.25">
      <c r="J2768" s="25">
        <v>0.12637233479228782</v>
      </c>
      <c r="N2768" s="26"/>
    </row>
    <row r="2769" spans="10:14" x14ac:dyDescent="0.25">
      <c r="J2769" s="25">
        <v>-6.6155011483961301E-2</v>
      </c>
      <c r="N2769" s="26"/>
    </row>
    <row r="2770" spans="10:14" x14ac:dyDescent="0.25">
      <c r="J2770" s="25">
        <v>-8.7503654456855817E-2</v>
      </c>
      <c r="N2770" s="26"/>
    </row>
    <row r="2771" spans="10:14" x14ac:dyDescent="0.25">
      <c r="J2771" s="25">
        <v>-4.1472630187494475E-2</v>
      </c>
      <c r="N2771" s="26"/>
    </row>
    <row r="2772" spans="10:14" x14ac:dyDescent="0.25">
      <c r="J2772" s="25">
        <v>0.24390056523704184</v>
      </c>
      <c r="N2772" s="26"/>
    </row>
    <row r="2773" spans="10:14" x14ac:dyDescent="0.25">
      <c r="J2773" s="25">
        <v>-0.25771840386884615</v>
      </c>
      <c r="N2773" s="26"/>
    </row>
    <row r="2774" spans="10:14" x14ac:dyDescent="0.25">
      <c r="J2774" s="25">
        <v>0.21920360115823212</v>
      </c>
      <c r="N2774" s="26"/>
    </row>
    <row r="2775" spans="10:14" x14ac:dyDescent="0.25">
      <c r="J2775" s="25">
        <v>0.1877633783470567</v>
      </c>
      <c r="N2775" s="26"/>
    </row>
    <row r="2776" spans="10:14" x14ac:dyDescent="0.25">
      <c r="J2776" s="25">
        <v>-2.5495538110822169E-2</v>
      </c>
      <c r="N2776" s="26"/>
    </row>
    <row r="2777" spans="10:14" x14ac:dyDescent="0.25">
      <c r="J2777" s="25">
        <v>9.7529668893780785E-2</v>
      </c>
      <c r="N2777" s="26"/>
    </row>
    <row r="2778" spans="10:14" x14ac:dyDescent="0.25">
      <c r="J2778" s="25">
        <v>0.29731970358790605</v>
      </c>
      <c r="N2778" s="26"/>
    </row>
    <row r="2779" spans="10:14" x14ac:dyDescent="0.25">
      <c r="J2779" s="25">
        <v>-0.17421972237993655</v>
      </c>
      <c r="N2779" s="26"/>
    </row>
    <row r="2780" spans="10:14" x14ac:dyDescent="0.25">
      <c r="J2780" s="25">
        <v>0.67033211517623426</v>
      </c>
      <c r="N2780" s="26"/>
    </row>
    <row r="2781" spans="10:14" x14ac:dyDescent="0.25">
      <c r="J2781" s="25">
        <v>-0.11253969393750385</v>
      </c>
      <c r="N2781" s="26"/>
    </row>
    <row r="2782" spans="10:14" x14ac:dyDescent="0.25">
      <c r="J2782" s="25">
        <v>-0.19411964798037695</v>
      </c>
      <c r="N2782" s="26"/>
    </row>
    <row r="2783" spans="10:14" x14ac:dyDescent="0.25">
      <c r="J2783" s="25">
        <v>0.42600356978160026</v>
      </c>
      <c r="N2783" s="26"/>
    </row>
    <row r="2784" spans="10:14" x14ac:dyDescent="0.25">
      <c r="J2784" s="25">
        <v>-0.47234444285788779</v>
      </c>
      <c r="N2784" s="26"/>
    </row>
    <row r="2785" spans="10:14" x14ac:dyDescent="0.25">
      <c r="J2785" s="25">
        <v>-0.14862615818446334</v>
      </c>
      <c r="N2785" s="26"/>
    </row>
    <row r="2786" spans="10:14" x14ac:dyDescent="0.25">
      <c r="J2786" s="25">
        <v>-3.0551769612970792E-2</v>
      </c>
      <c r="N2786" s="26"/>
    </row>
    <row r="2787" spans="10:14" x14ac:dyDescent="0.25">
      <c r="J2787" s="25">
        <v>0.16083504663017489</v>
      </c>
      <c r="N2787" s="26"/>
    </row>
    <row r="2788" spans="10:14" x14ac:dyDescent="0.25">
      <c r="J2788" s="25">
        <v>-0.39001112662237991</v>
      </c>
      <c r="N2788" s="26"/>
    </row>
    <row r="2789" spans="10:14" x14ac:dyDescent="0.25">
      <c r="J2789" s="25">
        <v>0.46221105686523245</v>
      </c>
      <c r="N2789" s="26"/>
    </row>
    <row r="2790" spans="10:14" x14ac:dyDescent="0.25">
      <c r="J2790" s="25">
        <v>0.12400773272329024</v>
      </c>
      <c r="N2790" s="26"/>
    </row>
    <row r="2791" spans="10:14" x14ac:dyDescent="0.25">
      <c r="J2791" s="25">
        <v>-0.4344968803523106</v>
      </c>
      <c r="N2791" s="26"/>
    </row>
    <row r="2792" spans="10:14" x14ac:dyDescent="0.25">
      <c r="J2792" s="25">
        <v>-0.15512984788049189</v>
      </c>
      <c r="N2792" s="26"/>
    </row>
    <row r="2793" spans="10:14" x14ac:dyDescent="0.25">
      <c r="J2793" s="25">
        <v>2.7560305197844137E-2</v>
      </c>
      <c r="N2793" s="26"/>
    </row>
    <row r="2794" spans="10:14" x14ac:dyDescent="0.25">
      <c r="J2794" s="25">
        <v>-0.18699766505338999</v>
      </c>
      <c r="N2794" s="26"/>
    </row>
    <row r="2795" spans="10:14" x14ac:dyDescent="0.25">
      <c r="J2795" s="25">
        <v>-2.7409445915815733E-2</v>
      </c>
      <c r="N2795" s="26"/>
    </row>
    <row r="2796" spans="10:14" x14ac:dyDescent="0.25">
      <c r="J2796" s="25">
        <v>0.14881051696167447</v>
      </c>
      <c r="N2796" s="26"/>
    </row>
    <row r="2797" spans="10:14" x14ac:dyDescent="0.25">
      <c r="J2797" s="25">
        <v>0.80690721029007295</v>
      </c>
      <c r="N2797" s="26"/>
    </row>
    <row r="2798" spans="10:14" x14ac:dyDescent="0.25">
      <c r="J2798" s="25">
        <v>0.33507825513843637</v>
      </c>
      <c r="N2798" s="26"/>
    </row>
    <row r="2799" spans="10:14" x14ac:dyDescent="0.25">
      <c r="J2799" s="25">
        <v>-2.9682760375167039E-3</v>
      </c>
      <c r="N2799" s="26"/>
    </row>
    <row r="2800" spans="10:14" x14ac:dyDescent="0.25">
      <c r="J2800" s="25">
        <v>0.1885344858932505</v>
      </c>
      <c r="N2800" s="26"/>
    </row>
    <row r="2801" spans="10:14" x14ac:dyDescent="0.25">
      <c r="J2801" s="25">
        <v>0.82001755863875014</v>
      </c>
      <c r="N2801" s="26"/>
    </row>
    <row r="2802" spans="10:14" x14ac:dyDescent="0.25">
      <c r="J2802" s="25">
        <v>0.3013843027314751</v>
      </c>
      <c r="N2802" s="26"/>
    </row>
    <row r="2803" spans="10:14" x14ac:dyDescent="0.25">
      <c r="J2803" s="25">
        <v>0.12191000832430787</v>
      </c>
      <c r="N2803" s="26"/>
    </row>
    <row r="2804" spans="10:14" x14ac:dyDescent="0.25">
      <c r="J2804" s="25">
        <v>0.42031297299998926</v>
      </c>
      <c r="N2804" s="26"/>
    </row>
    <row r="2805" spans="10:14" x14ac:dyDescent="0.25">
      <c r="J2805" s="25">
        <v>-0.39405568455341988</v>
      </c>
      <c r="N2805" s="26"/>
    </row>
    <row r="2806" spans="10:14" x14ac:dyDescent="0.25">
      <c r="J2806" s="25">
        <v>5.9629769483733552E-2</v>
      </c>
      <c r="N2806" s="26"/>
    </row>
    <row r="2807" spans="10:14" x14ac:dyDescent="0.25">
      <c r="J2807" s="25">
        <v>0.27679264779212365</v>
      </c>
      <c r="N2807" s="26"/>
    </row>
    <row r="2808" spans="10:14" x14ac:dyDescent="0.25">
      <c r="J2808" s="25">
        <v>0.18992085705744755</v>
      </c>
      <c r="N2808" s="26"/>
    </row>
    <row r="2809" spans="10:14" x14ac:dyDescent="0.25">
      <c r="J2809" s="25">
        <v>-0.45266200048192728</v>
      </c>
      <c r="N2809" s="26"/>
    </row>
    <row r="2810" spans="10:14" x14ac:dyDescent="0.25">
      <c r="J2810" s="25">
        <v>-5.86567689637848E-2</v>
      </c>
      <c r="N2810" s="26"/>
    </row>
    <row r="2811" spans="10:14" x14ac:dyDescent="0.25">
      <c r="J2811" s="25">
        <v>0.18852467098075532</v>
      </c>
      <c r="N2811" s="26"/>
    </row>
    <row r="2812" spans="10:14" x14ac:dyDescent="0.25">
      <c r="J2812" s="25">
        <v>0.47679461154524683</v>
      </c>
      <c r="N2812" s="26"/>
    </row>
    <row r="2813" spans="10:14" x14ac:dyDescent="0.25">
      <c r="J2813" s="25">
        <v>-3.6051091217511821E-2</v>
      </c>
      <c r="N2813" s="26"/>
    </row>
    <row r="2814" spans="10:14" x14ac:dyDescent="0.25">
      <c r="J2814" s="25">
        <v>-2.4246425028962015E-2</v>
      </c>
      <c r="N2814" s="26"/>
    </row>
    <row r="2815" spans="10:14" x14ac:dyDescent="0.25">
      <c r="J2815" s="25">
        <v>2.9387637311588444E-2</v>
      </c>
      <c r="N2815" s="26"/>
    </row>
    <row r="2816" spans="10:14" x14ac:dyDescent="0.25">
      <c r="J2816" s="25">
        <v>0.20513735689841361</v>
      </c>
      <c r="N2816" s="26"/>
    </row>
    <row r="2817" spans="10:14" x14ac:dyDescent="0.25">
      <c r="J2817" s="25">
        <v>-0.20486128113178859</v>
      </c>
      <c r="N2817" s="26"/>
    </row>
    <row r="2818" spans="10:14" x14ac:dyDescent="0.25">
      <c r="J2818" s="25">
        <v>-0.37640123745867449</v>
      </c>
      <c r="N2818" s="26"/>
    </row>
    <row r="2819" spans="10:14" x14ac:dyDescent="0.25">
      <c r="J2819" s="25">
        <v>1.8118455917593757E-2</v>
      </c>
      <c r="N2819" s="26"/>
    </row>
    <row r="2820" spans="10:14" x14ac:dyDescent="0.25">
      <c r="J2820" s="25">
        <v>7.027584985877855E-2</v>
      </c>
      <c r="N2820" s="26"/>
    </row>
    <row r="2821" spans="10:14" x14ac:dyDescent="0.25">
      <c r="J2821" s="25">
        <v>-0.11701700802099824</v>
      </c>
      <c r="N2821" s="26"/>
    </row>
    <row r="2822" spans="10:14" x14ac:dyDescent="0.25">
      <c r="J2822" s="25">
        <v>0.89248491430381671</v>
      </c>
      <c r="N2822" s="26"/>
    </row>
    <row r="2823" spans="10:14" x14ac:dyDescent="0.25">
      <c r="J2823" s="25">
        <v>-4.645890920564999E-3</v>
      </c>
      <c r="N2823" s="26"/>
    </row>
    <row r="2824" spans="10:14" x14ac:dyDescent="0.25">
      <c r="J2824" s="25">
        <v>-0.24295931103730495</v>
      </c>
      <c r="N2824" s="26"/>
    </row>
    <row r="2825" spans="10:14" x14ac:dyDescent="0.25">
      <c r="J2825" s="25">
        <v>0.77241928229931922</v>
      </c>
      <c r="N2825" s="26"/>
    </row>
    <row r="2826" spans="10:14" x14ac:dyDescent="0.25">
      <c r="J2826" s="25">
        <v>0.53457516335908117</v>
      </c>
      <c r="N2826" s="26"/>
    </row>
    <row r="2827" spans="10:14" x14ac:dyDescent="0.25">
      <c r="J2827" s="25">
        <v>0.27587116434169912</v>
      </c>
      <c r="N2827" s="26"/>
    </row>
    <row r="2828" spans="10:14" x14ac:dyDescent="0.25">
      <c r="J2828" s="25">
        <v>-3.3882954546693655E-2</v>
      </c>
      <c r="N2828" s="26"/>
    </row>
    <row r="2829" spans="10:14" x14ac:dyDescent="0.25">
      <c r="J2829" s="25">
        <v>2.0726816599673015E-2</v>
      </c>
      <c r="N2829" s="26"/>
    </row>
    <row r="2830" spans="10:14" x14ac:dyDescent="0.25">
      <c r="J2830" s="25">
        <v>-0.39422595246970626</v>
      </c>
      <c r="N2830" s="26"/>
    </row>
    <row r="2831" spans="10:14" x14ac:dyDescent="0.25">
      <c r="J2831" s="25">
        <v>8.9741700153287418E-2</v>
      </c>
      <c r="N2831" s="26"/>
    </row>
    <row r="2832" spans="10:14" x14ac:dyDescent="0.25">
      <c r="J2832" s="25">
        <v>0.92219237073201099</v>
      </c>
      <c r="N2832" s="26"/>
    </row>
    <row r="2833" spans="10:14" x14ac:dyDescent="0.25">
      <c r="J2833" s="25">
        <v>5.0572777151331572E-2</v>
      </c>
      <c r="N2833" s="26"/>
    </row>
    <row r="2834" spans="10:14" x14ac:dyDescent="0.25">
      <c r="J2834" s="25">
        <v>-0.31100516254076704</v>
      </c>
      <c r="N2834" s="26"/>
    </row>
    <row r="2835" spans="10:14" x14ac:dyDescent="0.25">
      <c r="J2835" s="25">
        <v>-0.19263211671790381</v>
      </c>
      <c r="N2835" s="26"/>
    </row>
    <row r="2836" spans="10:14" x14ac:dyDescent="0.25">
      <c r="J2836" s="25">
        <v>1.0753949627092156</v>
      </c>
      <c r="N2836" s="26"/>
    </row>
    <row r="2837" spans="10:14" x14ac:dyDescent="0.25">
      <c r="J2837" s="25">
        <v>6.9506633675616269E-2</v>
      </c>
      <c r="N2837" s="26"/>
    </row>
    <row r="2838" spans="10:14" x14ac:dyDescent="0.25">
      <c r="J2838" s="25">
        <v>-0.49619926976026685</v>
      </c>
      <c r="N2838" s="26"/>
    </row>
    <row r="2839" spans="10:14" x14ac:dyDescent="0.25">
      <c r="J2839" s="25">
        <v>0.33946850518823113</v>
      </c>
      <c r="N2839" s="26"/>
    </row>
    <row r="2840" spans="10:14" x14ac:dyDescent="0.25">
      <c r="J2840" s="25">
        <v>-9.1171942312072707E-3</v>
      </c>
      <c r="N2840" s="26"/>
    </row>
    <row r="2841" spans="10:14" x14ac:dyDescent="0.25">
      <c r="J2841" s="25">
        <v>-0.11870063563166344</v>
      </c>
      <c r="N2841" s="26"/>
    </row>
    <row r="2842" spans="10:14" x14ac:dyDescent="0.25">
      <c r="J2842" s="25">
        <v>-1.9706508373830811E-2</v>
      </c>
      <c r="N2842" s="26"/>
    </row>
    <row r="2843" spans="10:14" x14ac:dyDescent="0.25">
      <c r="J2843" s="25">
        <v>-0.15702942011952237</v>
      </c>
      <c r="N2843" s="26"/>
    </row>
    <row r="2844" spans="10:14" x14ac:dyDescent="0.25">
      <c r="J2844" s="25">
        <v>-0.10722277877625008</v>
      </c>
      <c r="N2844" s="26"/>
    </row>
    <row r="2845" spans="10:14" x14ac:dyDescent="0.25">
      <c r="J2845" s="25">
        <v>1.0459944325517379</v>
      </c>
      <c r="N2845" s="26"/>
    </row>
    <row r="2846" spans="10:14" x14ac:dyDescent="0.25">
      <c r="J2846" s="25">
        <v>-0.31162634468962169</v>
      </c>
      <c r="N2846" s="26"/>
    </row>
    <row r="2847" spans="10:14" x14ac:dyDescent="0.25">
      <c r="J2847" s="25">
        <v>0.11126010986445123</v>
      </c>
      <c r="N2847" s="26"/>
    </row>
    <row r="2848" spans="10:14" x14ac:dyDescent="0.25">
      <c r="J2848" s="25">
        <v>0.11778403745573929</v>
      </c>
      <c r="N2848" s="26"/>
    </row>
    <row r="2849" spans="10:14" x14ac:dyDescent="0.25">
      <c r="J2849" s="25">
        <v>-0.40143241028397147</v>
      </c>
      <c r="N2849" s="26"/>
    </row>
    <row r="2850" spans="10:14" x14ac:dyDescent="0.25">
      <c r="J2850" s="25">
        <v>-8.9670235305672419E-2</v>
      </c>
      <c r="N2850" s="26"/>
    </row>
    <row r="2851" spans="10:14" x14ac:dyDescent="0.25">
      <c r="J2851" s="25">
        <v>-0.24935534012775185</v>
      </c>
      <c r="N2851" s="26"/>
    </row>
    <row r="2852" spans="10:14" x14ac:dyDescent="0.25">
      <c r="J2852" s="25">
        <v>-0.14384824205219371</v>
      </c>
      <c r="N2852" s="26"/>
    </row>
    <row r="2853" spans="10:14" x14ac:dyDescent="0.25">
      <c r="J2853" s="25">
        <v>-0.39285336823214401</v>
      </c>
      <c r="N2853" s="26"/>
    </row>
    <row r="2854" spans="10:14" x14ac:dyDescent="0.25">
      <c r="J2854" s="25">
        <v>-0.37666959740134187</v>
      </c>
      <c r="N2854" s="26"/>
    </row>
    <row r="2855" spans="10:14" x14ac:dyDescent="0.25">
      <c r="J2855" s="25">
        <v>-0.18251955892696881</v>
      </c>
      <c r="N2855" s="26"/>
    </row>
    <row r="2856" spans="10:14" x14ac:dyDescent="0.25">
      <c r="J2856" s="25">
        <v>-5.6384553820275962E-2</v>
      </c>
      <c r="N2856" s="26"/>
    </row>
    <row r="2857" spans="10:14" x14ac:dyDescent="0.25">
      <c r="J2857" s="25">
        <v>-5.296226533847781E-2</v>
      </c>
      <c r="N2857" s="26"/>
    </row>
    <row r="2858" spans="10:14" x14ac:dyDescent="0.25">
      <c r="J2858" s="25">
        <v>0.33226814457070986</v>
      </c>
      <c r="N2858" s="26"/>
    </row>
    <row r="2859" spans="10:14" x14ac:dyDescent="0.25">
      <c r="J2859" s="25">
        <v>0.16766646406701624</v>
      </c>
      <c r="N2859" s="26"/>
    </row>
    <row r="2860" spans="10:14" x14ac:dyDescent="0.25">
      <c r="J2860" s="25">
        <v>-5.4481524508360968E-2</v>
      </c>
      <c r="N2860" s="26"/>
    </row>
    <row r="2861" spans="10:14" x14ac:dyDescent="0.25">
      <c r="J2861" s="25">
        <v>0.91166730840308019</v>
      </c>
      <c r="N2861" s="26"/>
    </row>
    <row r="2862" spans="10:14" x14ac:dyDescent="0.25">
      <c r="J2862" s="25">
        <v>-0.43218061560155663</v>
      </c>
      <c r="N2862" s="26"/>
    </row>
    <row r="2863" spans="10:14" x14ac:dyDescent="0.25">
      <c r="J2863" s="25">
        <v>0.22953127028377662</v>
      </c>
      <c r="N2863" s="26"/>
    </row>
    <row r="2864" spans="10:14" x14ac:dyDescent="0.25">
      <c r="J2864" s="25">
        <v>0.11703356375654361</v>
      </c>
      <c r="N2864" s="26"/>
    </row>
    <row r="2865" spans="10:14" x14ac:dyDescent="0.25">
      <c r="J2865" s="25">
        <v>2.0770874060922484E-2</v>
      </c>
      <c r="N2865" s="26"/>
    </row>
    <row r="2866" spans="10:14" x14ac:dyDescent="0.25">
      <c r="J2866" s="25">
        <v>-6.1541017700382339E-2</v>
      </c>
      <c r="N2866" s="26"/>
    </row>
    <row r="2867" spans="10:14" x14ac:dyDescent="0.25">
      <c r="J2867" s="25">
        <v>1.5766244368968563E-2</v>
      </c>
      <c r="N2867" s="26"/>
    </row>
    <row r="2868" spans="10:14" x14ac:dyDescent="0.25">
      <c r="J2868" s="25">
        <v>-0.53146300410655789</v>
      </c>
      <c r="N2868" s="26"/>
    </row>
    <row r="2869" spans="10:14" x14ac:dyDescent="0.25">
      <c r="J2869" s="25">
        <v>-0.43086769660741742</v>
      </c>
      <c r="N2869" s="26"/>
    </row>
    <row r="2870" spans="10:14" x14ac:dyDescent="0.25">
      <c r="J2870" s="25">
        <v>-0.34956098914096478</v>
      </c>
      <c r="N2870" s="26"/>
    </row>
    <row r="2871" spans="10:14" x14ac:dyDescent="0.25">
      <c r="J2871" s="25">
        <v>2.6225020101924512E-2</v>
      </c>
      <c r="N2871" s="26"/>
    </row>
    <row r="2872" spans="10:14" x14ac:dyDescent="0.25">
      <c r="J2872" s="25">
        <v>-0.21593678807567218</v>
      </c>
      <c r="N2872" s="26"/>
    </row>
    <row r="2873" spans="10:14" x14ac:dyDescent="0.25">
      <c r="J2873" s="25">
        <v>-0.19001408756054883</v>
      </c>
      <c r="N2873" s="26"/>
    </row>
    <row r="2874" spans="10:14" x14ac:dyDescent="0.25">
      <c r="J2874" s="25">
        <v>-0.36717045863427278</v>
      </c>
      <c r="N2874" s="26"/>
    </row>
    <row r="2875" spans="10:14" x14ac:dyDescent="0.25">
      <c r="J2875" s="25">
        <v>-0.20516742966080448</v>
      </c>
      <c r="N2875" s="26"/>
    </row>
    <row r="2876" spans="10:14" x14ac:dyDescent="0.25">
      <c r="J2876" s="25">
        <v>0.35582684074357296</v>
      </c>
      <c r="N2876" s="26"/>
    </row>
    <row r="2877" spans="10:14" x14ac:dyDescent="0.25">
      <c r="J2877" s="25">
        <v>0.48150621679791872</v>
      </c>
      <c r="N2877" s="26"/>
    </row>
    <row r="2878" spans="10:14" x14ac:dyDescent="0.25">
      <c r="J2878" s="25">
        <v>0.67903043797705198</v>
      </c>
      <c r="N2878" s="26"/>
    </row>
    <row r="2879" spans="10:14" x14ac:dyDescent="0.25">
      <c r="J2879" s="25">
        <v>0.31367425968367124</v>
      </c>
      <c r="N2879" s="26"/>
    </row>
    <row r="2880" spans="10:14" x14ac:dyDescent="0.25">
      <c r="J2880" s="25">
        <v>0.1960124460564141</v>
      </c>
      <c r="N2880" s="26"/>
    </row>
    <row r="2881" spans="10:14" x14ac:dyDescent="0.25">
      <c r="J2881" s="25">
        <v>0.28957583795890285</v>
      </c>
      <c r="N2881" s="26"/>
    </row>
    <row r="2882" spans="10:14" x14ac:dyDescent="0.25">
      <c r="J2882" s="25">
        <v>-0.45304274926831956</v>
      </c>
      <c r="N2882" s="26"/>
    </row>
    <row r="2883" spans="10:14" x14ac:dyDescent="0.25">
      <c r="J2883" s="25">
        <v>-0.32038177773159815</v>
      </c>
      <c r="N2883" s="26"/>
    </row>
    <row r="2884" spans="10:14" x14ac:dyDescent="0.25">
      <c r="J2884" s="25">
        <v>-2.8111354098327879E-2</v>
      </c>
      <c r="N2884" s="26"/>
    </row>
    <row r="2885" spans="10:14" x14ac:dyDescent="0.25">
      <c r="J2885" s="25">
        <v>0.92292754431094481</v>
      </c>
      <c r="N2885" s="26"/>
    </row>
    <row r="2886" spans="10:14" x14ac:dyDescent="0.25">
      <c r="J2886" s="25">
        <v>-0.262587160364538</v>
      </c>
      <c r="N2886" s="26"/>
    </row>
    <row r="2887" spans="10:14" x14ac:dyDescent="0.25">
      <c r="J2887" s="25">
        <v>2.1010627129246284E-2</v>
      </c>
      <c r="N2887" s="26"/>
    </row>
    <row r="2888" spans="10:14" x14ac:dyDescent="0.25">
      <c r="J2888" s="25">
        <v>-0.26703861639206017</v>
      </c>
      <c r="N2888" s="26"/>
    </row>
    <row r="2889" spans="10:14" x14ac:dyDescent="0.25">
      <c r="J2889" s="25">
        <v>0.11653505057784441</v>
      </c>
      <c r="N2889" s="26"/>
    </row>
    <row r="2890" spans="10:14" x14ac:dyDescent="0.25">
      <c r="J2890" s="25">
        <v>0.53811313433136343</v>
      </c>
      <c r="N2890" s="26"/>
    </row>
    <row r="2891" spans="10:14" x14ac:dyDescent="0.25">
      <c r="J2891" s="25">
        <v>0.18139922822382082</v>
      </c>
      <c r="N2891" s="26"/>
    </row>
    <row r="2892" spans="10:14" x14ac:dyDescent="0.25">
      <c r="J2892" s="25">
        <v>-0.30961083077041529</v>
      </c>
      <c r="N2892" s="26"/>
    </row>
    <row r="2893" spans="10:14" x14ac:dyDescent="0.25">
      <c r="J2893" s="25">
        <v>-0.26532514020500397</v>
      </c>
      <c r="N2893" s="26"/>
    </row>
    <row r="2894" spans="10:14" x14ac:dyDescent="0.25">
      <c r="J2894" s="25">
        <v>0.23567151856034663</v>
      </c>
      <c r="N2894" s="26"/>
    </row>
    <row r="2895" spans="10:14" x14ac:dyDescent="0.25">
      <c r="J2895" s="25">
        <v>0.68890461618686594</v>
      </c>
      <c r="N2895" s="26"/>
    </row>
    <row r="2896" spans="10:14" x14ac:dyDescent="0.25">
      <c r="J2896" s="25">
        <v>0.17795691143785697</v>
      </c>
      <c r="N2896" s="26"/>
    </row>
    <row r="2897" spans="10:14" x14ac:dyDescent="0.25">
      <c r="J2897" s="25">
        <v>-1.0826969132434083E-2</v>
      </c>
      <c r="N2897" s="26"/>
    </row>
    <row r="2898" spans="10:14" x14ac:dyDescent="0.25">
      <c r="J2898" s="25">
        <v>0.54300090374386545</v>
      </c>
      <c r="N2898" s="26"/>
    </row>
    <row r="2899" spans="10:14" x14ac:dyDescent="0.25">
      <c r="J2899" s="25">
        <v>0.60298290001743782</v>
      </c>
      <c r="N2899" s="26"/>
    </row>
    <row r="2900" spans="10:14" x14ac:dyDescent="0.25">
      <c r="J2900" s="25">
        <v>0.57066597752299897</v>
      </c>
      <c r="N2900" s="26"/>
    </row>
    <row r="2901" spans="10:14" x14ac:dyDescent="0.25">
      <c r="J2901" s="25">
        <v>1.4742062769199205E-2</v>
      </c>
      <c r="N2901" s="26"/>
    </row>
    <row r="2902" spans="10:14" x14ac:dyDescent="0.25">
      <c r="J2902" s="25">
        <v>-0.25552532898143665</v>
      </c>
      <c r="N2902" s="26"/>
    </row>
    <row r="2903" spans="10:14" x14ac:dyDescent="0.25">
      <c r="J2903" s="25">
        <v>-0.38082555860919143</v>
      </c>
      <c r="N2903" s="26"/>
    </row>
    <row r="2904" spans="10:14" x14ac:dyDescent="0.25">
      <c r="J2904" s="25">
        <v>-0.15233520422308333</v>
      </c>
      <c r="N2904" s="26"/>
    </row>
    <row r="2905" spans="10:14" x14ac:dyDescent="0.25">
      <c r="J2905" s="25">
        <v>0.68110789187919596</v>
      </c>
      <c r="N2905" s="26"/>
    </row>
    <row r="2906" spans="10:14" x14ac:dyDescent="0.25">
      <c r="J2906" s="25">
        <v>-3.4802169081340928E-2</v>
      </c>
      <c r="N2906" s="26"/>
    </row>
    <row r="2907" spans="10:14" x14ac:dyDescent="0.25">
      <c r="J2907" s="25">
        <v>-0.3004566664430034</v>
      </c>
      <c r="N2907" s="26"/>
    </row>
    <row r="2908" spans="10:14" x14ac:dyDescent="0.25">
      <c r="J2908" s="25">
        <v>-0.37427281913449206</v>
      </c>
      <c r="N2908" s="26"/>
    </row>
    <row r="2909" spans="10:14" x14ac:dyDescent="0.25">
      <c r="J2909" s="25">
        <v>1.1288477106271122E-2</v>
      </c>
      <c r="N2909" s="26"/>
    </row>
    <row r="2910" spans="10:14" x14ac:dyDescent="0.25">
      <c r="J2910" s="25">
        <v>-0.27861924335583088</v>
      </c>
      <c r="N2910" s="26"/>
    </row>
    <row r="2911" spans="10:14" x14ac:dyDescent="0.25">
      <c r="J2911" s="25">
        <v>4.1240820995527505E-2</v>
      </c>
      <c r="N2911" s="26"/>
    </row>
    <row r="2912" spans="10:14" x14ac:dyDescent="0.25">
      <c r="J2912" s="25">
        <v>-0.1817654882457348</v>
      </c>
      <c r="N2912" s="26"/>
    </row>
    <row r="2913" spans="10:14" x14ac:dyDescent="0.25">
      <c r="J2913" s="25">
        <v>-0.49559353442174159</v>
      </c>
      <c r="N2913" s="26"/>
    </row>
    <row r="2914" spans="10:14" x14ac:dyDescent="0.25">
      <c r="J2914" s="25">
        <v>0.42122794614795156</v>
      </c>
      <c r="N2914" s="26"/>
    </row>
    <row r="2915" spans="10:14" x14ac:dyDescent="0.25">
      <c r="J2915" s="25">
        <v>-0.25672762945495275</v>
      </c>
      <c r="N2915" s="26"/>
    </row>
    <row r="2916" spans="10:14" x14ac:dyDescent="0.25">
      <c r="J2916" s="25">
        <v>-0.31566275552303391</v>
      </c>
      <c r="N2916" s="26"/>
    </row>
    <row r="2917" spans="10:14" x14ac:dyDescent="0.25">
      <c r="J2917" s="25">
        <v>0.70971628029710088</v>
      </c>
      <c r="N2917" s="26"/>
    </row>
    <row r="2918" spans="10:14" x14ac:dyDescent="0.25">
      <c r="J2918" s="25">
        <v>-0.2688674786019376</v>
      </c>
      <c r="N2918" s="26"/>
    </row>
    <row r="2919" spans="10:14" x14ac:dyDescent="0.25">
      <c r="J2919" s="25">
        <v>-0.37785071379046742</v>
      </c>
      <c r="N2919" s="26"/>
    </row>
    <row r="2920" spans="10:14" x14ac:dyDescent="0.25">
      <c r="J2920" s="25">
        <v>-0.37674962558209779</v>
      </c>
      <c r="N2920" s="26"/>
    </row>
    <row r="2921" spans="10:14" x14ac:dyDescent="0.25">
      <c r="J2921" s="25">
        <v>0.32107143784916592</v>
      </c>
      <c r="N2921" s="26"/>
    </row>
    <row r="2922" spans="10:14" x14ac:dyDescent="0.25">
      <c r="J2922" s="25">
        <v>0.88552430420366357</v>
      </c>
      <c r="N2922" s="26"/>
    </row>
    <row r="2923" spans="10:14" x14ac:dyDescent="0.25">
      <c r="J2923" s="25">
        <v>0.33241497782499785</v>
      </c>
      <c r="N2923" s="26"/>
    </row>
    <row r="2924" spans="10:14" x14ac:dyDescent="0.25">
      <c r="J2924" s="25">
        <v>0.39587457538010962</v>
      </c>
      <c r="N2924" s="26"/>
    </row>
    <row r="2925" spans="10:14" x14ac:dyDescent="0.25">
      <c r="J2925" s="25">
        <v>0.96683310577931469</v>
      </c>
      <c r="N2925" s="26"/>
    </row>
    <row r="2926" spans="10:14" x14ac:dyDescent="0.25">
      <c r="J2926" s="25">
        <v>-0.35576431410888198</v>
      </c>
      <c r="N2926" s="26"/>
    </row>
    <row r="2927" spans="10:14" x14ac:dyDescent="0.25">
      <c r="J2927" s="25">
        <v>-0.35837555775779151</v>
      </c>
      <c r="N2927" s="26"/>
    </row>
    <row r="2928" spans="10:14" x14ac:dyDescent="0.25">
      <c r="J2928" s="25">
        <v>-0.4049668117667391</v>
      </c>
      <c r="N2928" s="26"/>
    </row>
    <row r="2929" spans="10:14" x14ac:dyDescent="0.25">
      <c r="J2929" s="25">
        <v>-0.15171554881582683</v>
      </c>
      <c r="N2929" s="26"/>
    </row>
    <row r="2930" spans="10:14" x14ac:dyDescent="0.25">
      <c r="J2930" s="25">
        <v>0.32110359373216824</v>
      </c>
      <c r="N2930" s="26"/>
    </row>
    <row r="2931" spans="10:14" x14ac:dyDescent="0.25">
      <c r="J2931" s="25">
        <v>-0.17454896014835442</v>
      </c>
      <c r="N2931" s="26"/>
    </row>
    <row r="2932" spans="10:14" x14ac:dyDescent="0.25">
      <c r="J2932" s="25">
        <v>-4.0240411110057939E-2</v>
      </c>
      <c r="N2932" s="26"/>
    </row>
    <row r="2933" spans="10:14" x14ac:dyDescent="0.25">
      <c r="J2933" s="25">
        <v>-4.8485445193985122E-2</v>
      </c>
      <c r="N2933" s="26"/>
    </row>
    <row r="2934" spans="10:14" x14ac:dyDescent="0.25">
      <c r="J2934" s="25">
        <v>-0.36951255012242046</v>
      </c>
      <c r="N2934" s="26"/>
    </row>
    <row r="2935" spans="10:14" x14ac:dyDescent="0.25">
      <c r="J2935" s="25">
        <v>-0.48970606665540939</v>
      </c>
      <c r="N2935" s="26"/>
    </row>
    <row r="2936" spans="10:14" x14ac:dyDescent="0.25">
      <c r="J2936" s="25">
        <v>0.60589583956446358</v>
      </c>
      <c r="N2936" s="26"/>
    </row>
    <row r="2937" spans="10:14" x14ac:dyDescent="0.25">
      <c r="J2937" s="25">
        <v>-0.12814449655969806</v>
      </c>
      <c r="N2937" s="26"/>
    </row>
    <row r="2938" spans="10:14" x14ac:dyDescent="0.25">
      <c r="J2938" s="25">
        <v>0.14947315697627306</v>
      </c>
      <c r="N2938" s="26"/>
    </row>
    <row r="2939" spans="10:14" x14ac:dyDescent="0.25">
      <c r="J2939" s="25">
        <v>0.65887566640002948</v>
      </c>
      <c r="N2939" s="26"/>
    </row>
    <row r="2940" spans="10:14" x14ac:dyDescent="0.25">
      <c r="J2940" s="25">
        <v>-5.8318146207453792E-2</v>
      </c>
      <c r="N2940" s="26"/>
    </row>
    <row r="2941" spans="10:14" x14ac:dyDescent="0.25">
      <c r="J2941" s="25">
        <v>4.6794923680137712E-2</v>
      </c>
      <c r="N2941" s="26"/>
    </row>
    <row r="2942" spans="10:14" x14ac:dyDescent="0.25">
      <c r="J2942" s="25">
        <v>0.72090663590420734</v>
      </c>
      <c r="N2942" s="26"/>
    </row>
    <row r="2943" spans="10:14" x14ac:dyDescent="0.25">
      <c r="J2943" s="25">
        <v>0.39871254290433678</v>
      </c>
      <c r="N2943" s="26"/>
    </row>
    <row r="2944" spans="10:14" x14ac:dyDescent="0.25">
      <c r="J2944" s="25">
        <v>-0.2333028145727617</v>
      </c>
      <c r="N2944" s="26"/>
    </row>
    <row r="2945" spans="10:14" x14ac:dyDescent="0.25">
      <c r="J2945" s="25">
        <v>-0.26961216320741033</v>
      </c>
      <c r="N2945" s="26"/>
    </row>
    <row r="2946" spans="10:14" x14ac:dyDescent="0.25">
      <c r="J2946" s="25">
        <v>0.17903926717998164</v>
      </c>
      <c r="N2946" s="26"/>
    </row>
    <row r="2947" spans="10:14" x14ac:dyDescent="0.25">
      <c r="J2947" s="25">
        <v>-0.36706839078499698</v>
      </c>
      <c r="N2947" s="26"/>
    </row>
    <row r="2948" spans="10:14" x14ac:dyDescent="0.25">
      <c r="J2948" s="25">
        <v>5.7674445891808812E-2</v>
      </c>
      <c r="N2948" s="26"/>
    </row>
    <row r="2949" spans="10:14" x14ac:dyDescent="0.25">
      <c r="J2949" s="25">
        <v>-0.39476356599857565</v>
      </c>
      <c r="N2949" s="26"/>
    </row>
    <row r="2950" spans="10:14" x14ac:dyDescent="0.25">
      <c r="J2950" s="25">
        <v>-0.35225019949515501</v>
      </c>
      <c r="N2950" s="26"/>
    </row>
    <row r="2951" spans="10:14" x14ac:dyDescent="0.25">
      <c r="J2951" s="25">
        <v>6.6181687853692273E-2</v>
      </c>
      <c r="N2951" s="26"/>
    </row>
    <row r="2952" spans="10:14" x14ac:dyDescent="0.25">
      <c r="J2952" s="25">
        <v>0.46909526633545795</v>
      </c>
      <c r="N2952" s="26"/>
    </row>
    <row r="2953" spans="10:14" x14ac:dyDescent="0.25">
      <c r="J2953" s="25">
        <v>3.4400664395448421E-2</v>
      </c>
      <c r="N2953" s="26"/>
    </row>
    <row r="2954" spans="10:14" x14ac:dyDescent="0.25">
      <c r="J2954" s="25">
        <v>0.52617980855411517</v>
      </c>
      <c r="N2954" s="26"/>
    </row>
    <row r="2955" spans="10:14" x14ac:dyDescent="0.25">
      <c r="J2955" s="25">
        <v>0.12004490722889138</v>
      </c>
      <c r="N2955" s="26"/>
    </row>
    <row r="2956" spans="10:14" x14ac:dyDescent="0.25">
      <c r="J2956" s="25">
        <v>-0.21490154582373278</v>
      </c>
      <c r="N2956" s="26"/>
    </row>
    <row r="2957" spans="10:14" x14ac:dyDescent="0.25">
      <c r="J2957" s="25">
        <v>3.8344057489086092E-2</v>
      </c>
      <c r="N2957" s="26"/>
    </row>
    <row r="2958" spans="10:14" x14ac:dyDescent="0.25">
      <c r="J2958" s="25">
        <v>-0.19542060463951005</v>
      </c>
      <c r="N2958" s="26"/>
    </row>
    <row r="2959" spans="10:14" x14ac:dyDescent="0.25">
      <c r="J2959" s="25">
        <v>-0.12036732322557653</v>
      </c>
      <c r="N2959" s="26"/>
    </row>
    <row r="2960" spans="10:14" x14ac:dyDescent="0.25">
      <c r="J2960" s="25">
        <v>0.34619425396269055</v>
      </c>
      <c r="N2960" s="26"/>
    </row>
    <row r="2961" spans="10:14" x14ac:dyDescent="0.25">
      <c r="J2961" s="25">
        <v>-0.46653230998014128</v>
      </c>
      <c r="N2961" s="26"/>
    </row>
    <row r="2962" spans="10:14" x14ac:dyDescent="0.25">
      <c r="J2962" s="25">
        <v>0.16212066638717038</v>
      </c>
      <c r="N2962" s="26"/>
    </row>
    <row r="2963" spans="10:14" x14ac:dyDescent="0.25">
      <c r="J2963" s="25">
        <v>-0.22258026368655282</v>
      </c>
      <c r="N2963" s="26"/>
    </row>
    <row r="2964" spans="10:14" x14ac:dyDescent="0.25">
      <c r="J2964" s="25">
        <v>0.22667360112926782</v>
      </c>
      <c r="N2964" s="26"/>
    </row>
    <row r="2965" spans="10:14" x14ac:dyDescent="0.25">
      <c r="J2965" s="25">
        <v>-0.5308255737599834</v>
      </c>
      <c r="N2965" s="26"/>
    </row>
    <row r="2966" spans="10:14" x14ac:dyDescent="0.25">
      <c r="J2966" s="25">
        <v>1.8127807744337421E-2</v>
      </c>
      <c r="N2966" s="26"/>
    </row>
    <row r="2967" spans="10:14" x14ac:dyDescent="0.25">
      <c r="J2967" s="25">
        <v>0.19163471775887908</v>
      </c>
      <c r="N2967" s="26"/>
    </row>
    <row r="2968" spans="10:14" x14ac:dyDescent="0.25">
      <c r="J2968" s="25">
        <v>-3.1008054367269833E-2</v>
      </c>
      <c r="N2968" s="26"/>
    </row>
    <row r="2969" spans="10:14" x14ac:dyDescent="0.25">
      <c r="J2969" s="25">
        <v>-7.0179650837617014E-2</v>
      </c>
      <c r="N2969" s="26"/>
    </row>
    <row r="2970" spans="10:14" x14ac:dyDescent="0.25">
      <c r="J2970" s="25">
        <v>0.46309016966554384</v>
      </c>
      <c r="N2970" s="26"/>
    </row>
    <row r="2971" spans="10:14" x14ac:dyDescent="0.25">
      <c r="J2971" s="25">
        <v>-0.38731507199947479</v>
      </c>
      <c r="N2971" s="26"/>
    </row>
    <row r="2972" spans="10:14" x14ac:dyDescent="0.25">
      <c r="J2972" s="25">
        <v>6.94386148069428E-2</v>
      </c>
      <c r="N2972" s="26"/>
    </row>
    <row r="2973" spans="10:14" x14ac:dyDescent="0.25">
      <c r="J2973" s="25">
        <v>-0.32053907227922218</v>
      </c>
      <c r="N2973" s="26"/>
    </row>
    <row r="2974" spans="10:14" x14ac:dyDescent="0.25">
      <c r="J2974" s="25">
        <v>0.33852244244450191</v>
      </c>
      <c r="N2974" s="26"/>
    </row>
    <row r="2975" spans="10:14" x14ac:dyDescent="0.25">
      <c r="J2975" s="25">
        <v>0.57870766458947087</v>
      </c>
      <c r="N2975" s="26"/>
    </row>
    <row r="2976" spans="10:14" x14ac:dyDescent="0.25">
      <c r="J2976" s="25">
        <v>-0.15883148609838094</v>
      </c>
      <c r="N2976" s="26"/>
    </row>
    <row r="2977" spans="10:14" x14ac:dyDescent="0.25">
      <c r="J2977" s="25">
        <v>-0.13910606960151117</v>
      </c>
      <c r="N2977" s="26"/>
    </row>
    <row r="2978" spans="10:14" x14ac:dyDescent="0.25">
      <c r="J2978" s="25">
        <v>-4.2114417588753117E-2</v>
      </c>
      <c r="N2978" s="26"/>
    </row>
    <row r="2979" spans="10:14" x14ac:dyDescent="0.25">
      <c r="J2979" s="25">
        <v>0.35479723631029159</v>
      </c>
      <c r="N2979" s="26"/>
    </row>
    <row r="2980" spans="10:14" x14ac:dyDescent="0.25">
      <c r="J2980" s="25">
        <v>0.55143882103158814</v>
      </c>
      <c r="N2980" s="26"/>
    </row>
    <row r="2981" spans="10:14" x14ac:dyDescent="0.25">
      <c r="J2981" s="25">
        <v>-7.4743915597144217E-2</v>
      </c>
      <c r="N2981" s="26"/>
    </row>
    <row r="2982" spans="10:14" x14ac:dyDescent="0.25">
      <c r="J2982" s="25">
        <v>0.27319080903960091</v>
      </c>
      <c r="N2982" s="26"/>
    </row>
    <row r="2983" spans="10:14" x14ac:dyDescent="0.25">
      <c r="J2983" s="25">
        <v>0.54210891516072301</v>
      </c>
      <c r="N2983" s="26"/>
    </row>
    <row r="2984" spans="10:14" x14ac:dyDescent="0.25">
      <c r="J2984" s="25">
        <v>7.1428695664095043E-2</v>
      </c>
      <c r="N2984" s="26"/>
    </row>
    <row r="2985" spans="10:14" x14ac:dyDescent="0.25">
      <c r="J2985" s="25">
        <v>0.38078726901748117</v>
      </c>
      <c r="N2985" s="26"/>
    </row>
    <row r="2986" spans="10:14" x14ac:dyDescent="0.25">
      <c r="J2986" s="25">
        <v>-0.23866802486630723</v>
      </c>
      <c r="N2986" s="26"/>
    </row>
    <row r="2987" spans="10:14" x14ac:dyDescent="0.25">
      <c r="J2987" s="25">
        <v>1.4493721640899793E-2</v>
      </c>
      <c r="N2987" s="26"/>
    </row>
    <row r="2988" spans="10:14" x14ac:dyDescent="0.25">
      <c r="J2988" s="25">
        <v>-4.4484782513909971E-2</v>
      </c>
      <c r="N2988" s="26"/>
    </row>
    <row r="2989" spans="10:14" x14ac:dyDescent="0.25">
      <c r="J2989" s="25">
        <v>-0.28841416154265653</v>
      </c>
      <c r="N2989" s="26"/>
    </row>
    <row r="2990" spans="10:14" x14ac:dyDescent="0.25">
      <c r="J2990" s="25">
        <v>1.02469497755453</v>
      </c>
      <c r="N2990" s="26"/>
    </row>
    <row r="2991" spans="10:14" x14ac:dyDescent="0.25">
      <c r="J2991" s="25">
        <v>-0.18853640687410389</v>
      </c>
      <c r="N2991" s="26"/>
    </row>
    <row r="2992" spans="10:14" x14ac:dyDescent="0.25">
      <c r="J2992" s="25">
        <v>-4.4649372247631769E-2</v>
      </c>
      <c r="N2992" s="26"/>
    </row>
    <row r="2993" spans="10:14" x14ac:dyDescent="0.25">
      <c r="J2993" s="25">
        <v>-0.38364974426189591</v>
      </c>
      <c r="N2993" s="26"/>
    </row>
    <row r="2994" spans="10:14" x14ac:dyDescent="0.25">
      <c r="J2994" s="25">
        <v>-4.6041390394043202E-2</v>
      </c>
      <c r="N2994" s="26"/>
    </row>
    <row r="2995" spans="10:14" x14ac:dyDescent="0.25">
      <c r="J2995" s="25">
        <v>0.47119801125373062</v>
      </c>
      <c r="N2995" s="26"/>
    </row>
    <row r="2996" spans="10:14" x14ac:dyDescent="0.25">
      <c r="J2996" s="25">
        <v>0.59973853166535851</v>
      </c>
      <c r="N2996" s="26"/>
    </row>
    <row r="2997" spans="10:14" x14ac:dyDescent="0.25">
      <c r="J2997" s="25">
        <v>0.64276992102981367</v>
      </c>
      <c r="N2997" s="26"/>
    </row>
    <row r="2998" spans="10:14" x14ac:dyDescent="0.25">
      <c r="J2998" s="25">
        <v>-3.5758705001762703E-3</v>
      </c>
      <c r="N2998" s="26"/>
    </row>
    <row r="2999" spans="10:14" x14ac:dyDescent="0.25">
      <c r="J2999" s="25">
        <v>2.6936777085205366E-2</v>
      </c>
      <c r="N2999" s="26"/>
    </row>
    <row r="3000" spans="10:14" x14ac:dyDescent="0.25">
      <c r="J3000" s="25">
        <v>-0.32032795554796534</v>
      </c>
      <c r="N3000" s="26"/>
    </row>
    <row r="3001" spans="10:14" x14ac:dyDescent="0.25">
      <c r="J3001" s="25">
        <v>-0.42388270360383073</v>
      </c>
      <c r="N3001" s="26"/>
    </row>
    <row r="3002" spans="10:14" x14ac:dyDescent="0.25">
      <c r="J3002" s="25">
        <v>-0.264205709550282</v>
      </c>
      <c r="N3002" s="26"/>
    </row>
    <row r="3003" spans="10:14" x14ac:dyDescent="0.25">
      <c r="J3003" s="25">
        <v>0.79755029352247653</v>
      </c>
      <c r="N3003" s="26"/>
    </row>
    <row r="3004" spans="10:14" x14ac:dyDescent="0.25">
      <c r="J3004" s="25">
        <v>0.64308542129826507</v>
      </c>
      <c r="N3004" s="26"/>
    </row>
    <row r="3005" spans="10:14" x14ac:dyDescent="0.25">
      <c r="J3005" s="25">
        <v>-1.6457364837234922E-2</v>
      </c>
      <c r="N3005" s="26"/>
    </row>
    <row r="3006" spans="10:14" x14ac:dyDescent="0.25">
      <c r="J3006" s="25">
        <v>-7.0975612997928872E-2</v>
      </c>
      <c r="N3006" s="26"/>
    </row>
    <row r="3007" spans="10:14" x14ac:dyDescent="0.25">
      <c r="J3007" s="25">
        <v>0.51886515384333465</v>
      </c>
      <c r="N3007" s="26"/>
    </row>
    <row r="3008" spans="10:14" x14ac:dyDescent="0.25">
      <c r="J3008" s="25">
        <v>5.4840446400625131E-2</v>
      </c>
      <c r="N3008" s="26"/>
    </row>
    <row r="3009" spans="10:14" x14ac:dyDescent="0.25">
      <c r="J3009" s="25">
        <v>-0.1764473207319126</v>
      </c>
      <c r="N3009" s="26"/>
    </row>
    <row r="3010" spans="10:14" x14ac:dyDescent="0.25">
      <c r="J3010" s="25">
        <v>0.58923146809395543</v>
      </c>
      <c r="N3010" s="26"/>
    </row>
    <row r="3011" spans="10:14" x14ac:dyDescent="0.25">
      <c r="J3011" s="25">
        <v>0.15820851397109692</v>
      </c>
      <c r="N3011" s="26"/>
    </row>
    <row r="3012" spans="10:14" x14ac:dyDescent="0.25">
      <c r="J3012" s="25">
        <v>-0.31987227642959959</v>
      </c>
      <c r="N3012" s="26"/>
    </row>
    <row r="3013" spans="10:14" x14ac:dyDescent="0.25">
      <c r="J3013" s="25">
        <v>-0.14223726740427878</v>
      </c>
      <c r="N3013" s="26"/>
    </row>
    <row r="3014" spans="10:14" x14ac:dyDescent="0.25">
      <c r="J3014" s="25">
        <v>0.9690912266960563</v>
      </c>
      <c r="N3014" s="26"/>
    </row>
    <row r="3015" spans="10:14" x14ac:dyDescent="0.25">
      <c r="J3015" s="25">
        <v>-0.1549653013483745</v>
      </c>
      <c r="N3015" s="26"/>
    </row>
    <row r="3016" spans="10:14" x14ac:dyDescent="0.25">
      <c r="J3016" s="25">
        <v>-0.23375384842312696</v>
      </c>
      <c r="N3016" s="26"/>
    </row>
    <row r="3017" spans="10:14" x14ac:dyDescent="0.25">
      <c r="J3017" s="25">
        <v>2.2987532640969199E-2</v>
      </c>
      <c r="N3017" s="26"/>
    </row>
    <row r="3018" spans="10:14" x14ac:dyDescent="0.25">
      <c r="J3018" s="25">
        <v>-0.13907901211386819</v>
      </c>
      <c r="N3018" s="26"/>
    </row>
    <row r="3019" spans="10:14" x14ac:dyDescent="0.25">
      <c r="J3019" s="25">
        <v>-0.46341838140022062</v>
      </c>
      <c r="N3019" s="26"/>
    </row>
    <row r="3020" spans="10:14" x14ac:dyDescent="0.25">
      <c r="J3020" s="25">
        <v>1.3144082209286978E-2</v>
      </c>
      <c r="N3020" s="26"/>
    </row>
    <row r="3021" spans="10:14" x14ac:dyDescent="0.25">
      <c r="J3021" s="25">
        <v>-0.13638378439301957</v>
      </c>
      <c r="N3021" s="26"/>
    </row>
    <row r="3022" spans="10:14" x14ac:dyDescent="0.25">
      <c r="J3022" s="25">
        <v>-3.7991958018636307E-2</v>
      </c>
      <c r="N3022" s="26"/>
    </row>
    <row r="3023" spans="10:14" x14ac:dyDescent="0.25">
      <c r="J3023" s="25">
        <v>-0.21338218223970606</v>
      </c>
      <c r="N3023" s="26"/>
    </row>
    <row r="3024" spans="10:14" x14ac:dyDescent="0.25">
      <c r="J3024" s="25">
        <v>-0.51624570812424508</v>
      </c>
      <c r="N3024" s="26"/>
    </row>
    <row r="3025" spans="10:14" x14ac:dyDescent="0.25">
      <c r="J3025" s="25">
        <v>-0.10855001398057296</v>
      </c>
      <c r="N3025" s="26"/>
    </row>
    <row r="3026" spans="10:14" x14ac:dyDescent="0.25">
      <c r="J3026" s="25">
        <v>-3.7821050971510894E-2</v>
      </c>
      <c r="N3026" s="26"/>
    </row>
    <row r="3027" spans="10:14" x14ac:dyDescent="0.25">
      <c r="J3027" s="25">
        <v>-7.7763199358869772E-2</v>
      </c>
      <c r="N3027" s="26"/>
    </row>
    <row r="3028" spans="10:14" x14ac:dyDescent="0.25">
      <c r="J3028" s="25">
        <v>-0.47723560313574587</v>
      </c>
      <c r="N3028" s="26"/>
    </row>
    <row r="3029" spans="10:14" x14ac:dyDescent="0.25">
      <c r="J3029" s="25">
        <v>-3.7721875213690748E-2</v>
      </c>
      <c r="N3029" s="26"/>
    </row>
    <row r="3030" spans="10:14" x14ac:dyDescent="0.25">
      <c r="J3030" s="25">
        <v>-0.25173089163788143</v>
      </c>
      <c r="N3030" s="26"/>
    </row>
    <row r="3031" spans="10:14" x14ac:dyDescent="0.25">
      <c r="J3031" s="25">
        <v>-0.10658525716158618</v>
      </c>
      <c r="N3031" s="26"/>
    </row>
    <row r="3032" spans="10:14" x14ac:dyDescent="0.25">
      <c r="J3032" s="25">
        <v>-3.0432747172687846E-2</v>
      </c>
      <c r="N3032" s="26"/>
    </row>
    <row r="3033" spans="10:14" x14ac:dyDescent="0.25">
      <c r="J3033" s="25">
        <v>3.7541740849894367E-2</v>
      </c>
      <c r="N3033" s="26"/>
    </row>
    <row r="3034" spans="10:14" x14ac:dyDescent="0.25">
      <c r="J3034" s="25">
        <v>0.52082272982143007</v>
      </c>
      <c r="N3034" s="26"/>
    </row>
    <row r="3035" spans="10:14" x14ac:dyDescent="0.25">
      <c r="J3035" s="25">
        <v>-0.20678354319085135</v>
      </c>
      <c r="N3035" s="26"/>
    </row>
    <row r="3036" spans="10:14" x14ac:dyDescent="0.25">
      <c r="J3036" s="25">
        <v>5.5207384299887696E-2</v>
      </c>
      <c r="N3036" s="26"/>
    </row>
    <row r="3037" spans="10:14" x14ac:dyDescent="0.25">
      <c r="J3037" s="25">
        <v>1.1129306786677717</v>
      </c>
      <c r="N3037" s="26"/>
    </row>
    <row r="3038" spans="10:14" x14ac:dyDescent="0.25">
      <c r="J3038" s="25">
        <v>-0.21112865047525597</v>
      </c>
      <c r="N3038" s="26"/>
    </row>
    <row r="3039" spans="10:14" x14ac:dyDescent="0.25">
      <c r="J3039" s="25">
        <v>-0.2212849011814233</v>
      </c>
      <c r="N3039" s="26"/>
    </row>
    <row r="3040" spans="10:14" x14ac:dyDescent="0.25">
      <c r="J3040" s="25">
        <v>0.64766549012558161</v>
      </c>
      <c r="N3040" s="26"/>
    </row>
    <row r="3041" spans="10:14" x14ac:dyDescent="0.25">
      <c r="J3041" s="25">
        <v>0.29153374825035727</v>
      </c>
      <c r="N3041" s="26"/>
    </row>
    <row r="3042" spans="10:14" x14ac:dyDescent="0.25">
      <c r="J3042" s="25">
        <v>9.6112806365779457E-2</v>
      </c>
      <c r="N3042" s="26"/>
    </row>
    <row r="3043" spans="10:14" x14ac:dyDescent="0.25">
      <c r="J3043" s="25">
        <v>0.17747954719888126</v>
      </c>
      <c r="N3043" s="26"/>
    </row>
    <row r="3044" spans="10:14" x14ac:dyDescent="0.25">
      <c r="J3044" s="25">
        <v>-2.7040892325266852E-2</v>
      </c>
      <c r="N3044" s="26"/>
    </row>
    <row r="3045" spans="10:14" x14ac:dyDescent="0.25">
      <c r="J3045" s="25">
        <v>-0.47642635505389286</v>
      </c>
      <c r="N3045" s="26"/>
    </row>
    <row r="3046" spans="10:14" x14ac:dyDescent="0.25">
      <c r="J3046" s="25">
        <v>-0.22596251273888024</v>
      </c>
      <c r="N3046" s="26"/>
    </row>
    <row r="3047" spans="10:14" x14ac:dyDescent="0.25">
      <c r="J3047" s="25">
        <v>-0.35751391995101278</v>
      </c>
      <c r="N3047" s="26"/>
    </row>
    <row r="3048" spans="10:14" x14ac:dyDescent="0.25">
      <c r="J3048" s="25">
        <v>0.34054674649534178</v>
      </c>
      <c r="N3048" s="26"/>
    </row>
    <row r="3049" spans="10:14" x14ac:dyDescent="0.25">
      <c r="J3049" s="25">
        <v>-0.32035266453423383</v>
      </c>
      <c r="N3049" s="26"/>
    </row>
    <row r="3050" spans="10:14" x14ac:dyDescent="0.25">
      <c r="J3050" s="25">
        <v>-0.47091524370968718</v>
      </c>
      <c r="N3050" s="26"/>
    </row>
    <row r="3051" spans="10:14" x14ac:dyDescent="0.25">
      <c r="J3051" s="25">
        <v>-0.2458734587321193</v>
      </c>
      <c r="N3051" s="26"/>
    </row>
    <row r="3052" spans="10:14" x14ac:dyDescent="0.25">
      <c r="J3052" s="25">
        <v>-1.6331251762641275E-3</v>
      </c>
      <c r="N3052" s="26"/>
    </row>
    <row r="3053" spans="10:14" x14ac:dyDescent="0.25">
      <c r="J3053" s="25">
        <v>-0.14589991267564395</v>
      </c>
      <c r="N3053" s="26"/>
    </row>
    <row r="3054" spans="10:14" x14ac:dyDescent="0.25">
      <c r="J3054" s="25">
        <v>0.40907603988910912</v>
      </c>
      <c r="N3054" s="26"/>
    </row>
    <row r="3055" spans="10:14" x14ac:dyDescent="0.25">
      <c r="J3055" s="25">
        <v>0.38028420820264697</v>
      </c>
      <c r="N3055" s="26"/>
    </row>
    <row r="3056" spans="10:14" x14ac:dyDescent="0.25">
      <c r="J3056" s="25">
        <v>0.39839365865754406</v>
      </c>
      <c r="N3056" s="26"/>
    </row>
    <row r="3057" spans="10:14" x14ac:dyDescent="0.25">
      <c r="J3057" s="25">
        <v>-0.38253640802995315</v>
      </c>
      <c r="N3057" s="26"/>
    </row>
    <row r="3058" spans="10:14" x14ac:dyDescent="0.25">
      <c r="J3058" s="25">
        <v>-0.3467104611119296</v>
      </c>
      <c r="N3058" s="26"/>
    </row>
    <row r="3059" spans="10:14" x14ac:dyDescent="0.25">
      <c r="J3059" s="25">
        <v>-0.23034456512604595</v>
      </c>
      <c r="N3059" s="26"/>
    </row>
    <row r="3060" spans="10:14" x14ac:dyDescent="0.25">
      <c r="J3060" s="25">
        <v>0.24460129296939837</v>
      </c>
      <c r="N3060" s="26"/>
    </row>
    <row r="3061" spans="10:14" x14ac:dyDescent="0.25">
      <c r="J3061" s="25">
        <v>0.48398612421166809</v>
      </c>
      <c r="N3061" s="26"/>
    </row>
    <row r="3062" spans="10:14" x14ac:dyDescent="0.25">
      <c r="J3062" s="25">
        <v>-0.36319097814540369</v>
      </c>
      <c r="N3062" s="26"/>
    </row>
    <row r="3063" spans="10:14" x14ac:dyDescent="0.25">
      <c r="J3063" s="25">
        <v>-7.4241164124983161E-2</v>
      </c>
      <c r="N3063" s="26"/>
    </row>
    <row r="3064" spans="10:14" x14ac:dyDescent="0.25">
      <c r="J3064" s="25">
        <v>-0.12208082563590572</v>
      </c>
      <c r="N3064" s="26"/>
    </row>
    <row r="3065" spans="10:14" x14ac:dyDescent="0.25">
      <c r="J3065" s="25">
        <v>-0.48152321706480206</v>
      </c>
      <c r="N3065" s="26"/>
    </row>
    <row r="3066" spans="10:14" x14ac:dyDescent="0.25">
      <c r="J3066" s="25">
        <v>-0.32802046392858419</v>
      </c>
      <c r="N3066" s="26"/>
    </row>
    <row r="3067" spans="10:14" x14ac:dyDescent="0.25">
      <c r="J3067" s="25">
        <v>1.006638835291048</v>
      </c>
      <c r="N3067" s="26"/>
    </row>
    <row r="3068" spans="10:14" x14ac:dyDescent="0.25">
      <c r="J3068" s="25">
        <v>-0.23719086573954451</v>
      </c>
      <c r="N3068" s="26"/>
    </row>
    <row r="3069" spans="10:14" x14ac:dyDescent="0.25">
      <c r="J3069" s="25">
        <v>-0.21795141734521017</v>
      </c>
      <c r="N3069" s="26"/>
    </row>
    <row r="3070" spans="10:14" x14ac:dyDescent="0.25">
      <c r="J3070" s="25">
        <v>0.36412834178202824</v>
      </c>
      <c r="N3070" s="26"/>
    </row>
    <row r="3071" spans="10:14" x14ac:dyDescent="0.25">
      <c r="J3071" s="25">
        <v>0.52095266504948068</v>
      </c>
      <c r="N3071" s="26"/>
    </row>
    <row r="3072" spans="10:14" x14ac:dyDescent="0.25">
      <c r="J3072" s="25">
        <v>0.22385512859081658</v>
      </c>
      <c r="N3072" s="26"/>
    </row>
    <row r="3073" spans="10:14" x14ac:dyDescent="0.25">
      <c r="J3073" s="25">
        <v>-0.18161225730871167</v>
      </c>
      <c r="N3073" s="26"/>
    </row>
    <row r="3074" spans="10:14" x14ac:dyDescent="0.25">
      <c r="J3074" s="25">
        <v>-0.27129797230679409</v>
      </c>
      <c r="N3074" s="26"/>
    </row>
    <row r="3075" spans="10:14" x14ac:dyDescent="0.25">
      <c r="J3075" s="25">
        <v>4.1393500558394525E-2</v>
      </c>
      <c r="N3075" s="26"/>
    </row>
    <row r="3076" spans="10:14" x14ac:dyDescent="0.25">
      <c r="J3076" s="25">
        <v>5.5172400996300608E-2</v>
      </c>
      <c r="N3076" s="26"/>
    </row>
    <row r="3077" spans="10:14" x14ac:dyDescent="0.25">
      <c r="J3077" s="25">
        <v>1.0215767540461567</v>
      </c>
      <c r="N3077" s="26"/>
    </row>
    <row r="3078" spans="10:14" x14ac:dyDescent="0.25">
      <c r="J3078" s="25">
        <v>0.13689176042208895</v>
      </c>
      <c r="N3078" s="26"/>
    </row>
    <row r="3079" spans="10:14" x14ac:dyDescent="0.25">
      <c r="J3079" s="25">
        <v>-4.3670491261421529E-2</v>
      </c>
      <c r="N3079" s="26"/>
    </row>
    <row r="3080" spans="10:14" x14ac:dyDescent="0.25">
      <c r="J3080" s="25">
        <v>0.14157064790887186</v>
      </c>
      <c r="N3080" s="26"/>
    </row>
    <row r="3081" spans="10:14" x14ac:dyDescent="0.25">
      <c r="J3081" s="25">
        <v>-0.30635670900619827</v>
      </c>
      <c r="N3081" s="26"/>
    </row>
    <row r="3082" spans="10:14" x14ac:dyDescent="0.25">
      <c r="J3082" s="25">
        <v>-0.35365906171762884</v>
      </c>
      <c r="N3082" s="26"/>
    </row>
    <row r="3083" spans="10:14" x14ac:dyDescent="0.25">
      <c r="J3083" s="25">
        <v>8.7492071800929327E-2</v>
      </c>
      <c r="N3083" s="26"/>
    </row>
    <row r="3084" spans="10:14" x14ac:dyDescent="0.25">
      <c r="J3084" s="25">
        <v>-0.48778184780165157</v>
      </c>
      <c r="N3084" s="26"/>
    </row>
    <row r="3085" spans="10:14" x14ac:dyDescent="0.25">
      <c r="J3085" s="25">
        <v>0.16577016235303366</v>
      </c>
      <c r="N3085" s="26"/>
    </row>
    <row r="3086" spans="10:14" x14ac:dyDescent="0.25">
      <c r="J3086" s="25">
        <v>0.1729785171715883</v>
      </c>
      <c r="N3086" s="26"/>
    </row>
    <row r="3087" spans="10:14" x14ac:dyDescent="0.25">
      <c r="J3087" s="25">
        <v>0.26943829263179619</v>
      </c>
      <c r="N3087" s="26"/>
    </row>
    <row r="3088" spans="10:14" x14ac:dyDescent="0.25">
      <c r="J3088" s="25">
        <v>-0.39838786513146618</v>
      </c>
      <c r="N3088" s="26"/>
    </row>
    <row r="3089" spans="10:14" x14ac:dyDescent="0.25">
      <c r="J3089" s="25">
        <v>0.29965064279709086</v>
      </c>
      <c r="N3089" s="26"/>
    </row>
    <row r="3090" spans="10:14" x14ac:dyDescent="0.25">
      <c r="J3090" s="25">
        <v>1.1132798925912679E-2</v>
      </c>
      <c r="N3090" s="26"/>
    </row>
    <row r="3091" spans="10:14" x14ac:dyDescent="0.25">
      <c r="J3091" s="25">
        <v>-6.4582565273398118E-2</v>
      </c>
      <c r="N3091" s="26"/>
    </row>
    <row r="3092" spans="10:14" x14ac:dyDescent="0.25">
      <c r="J3092" s="25">
        <v>-0.37503968701540547</v>
      </c>
      <c r="N3092" s="26"/>
    </row>
    <row r="3093" spans="10:14" x14ac:dyDescent="0.25">
      <c r="J3093" s="25">
        <v>-6.6830273689199471E-2</v>
      </c>
      <c r="N3093" s="26"/>
    </row>
    <row r="3094" spans="10:14" x14ac:dyDescent="0.25">
      <c r="J3094" s="25">
        <v>-3.452464019315904E-2</v>
      </c>
      <c r="N3094" s="26"/>
    </row>
    <row r="3095" spans="10:14" x14ac:dyDescent="0.25">
      <c r="J3095" s="25">
        <v>0.51210700246326057</v>
      </c>
      <c r="N3095" s="26"/>
    </row>
    <row r="3096" spans="10:14" x14ac:dyDescent="0.25">
      <c r="J3096" s="25">
        <v>0.40058096841425228</v>
      </c>
      <c r="N3096" s="26"/>
    </row>
    <row r="3097" spans="10:14" x14ac:dyDescent="0.25">
      <c r="J3097" s="25">
        <v>-8.7737568590709025E-2</v>
      </c>
      <c r="N3097" s="26"/>
    </row>
    <row r="3098" spans="10:14" x14ac:dyDescent="0.25">
      <c r="J3098" s="25">
        <v>0.56657832355211069</v>
      </c>
      <c r="N3098" s="26"/>
    </row>
    <row r="3099" spans="10:14" x14ac:dyDescent="0.25">
      <c r="J3099" s="25">
        <v>0.14000439363118322</v>
      </c>
      <c r="N3099" s="26"/>
    </row>
    <row r="3100" spans="10:14" x14ac:dyDescent="0.25">
      <c r="J3100" s="25">
        <v>-6.421317533506532E-2</v>
      </c>
      <c r="N3100" s="26"/>
    </row>
    <row r="3101" spans="10:14" x14ac:dyDescent="0.25">
      <c r="J3101" s="25">
        <v>0.59875502745343701</v>
      </c>
      <c r="N3101" s="26"/>
    </row>
    <row r="3102" spans="10:14" x14ac:dyDescent="0.25">
      <c r="J3102" s="25">
        <v>-0.27973850836688663</v>
      </c>
      <c r="N3102" s="26"/>
    </row>
    <row r="3103" spans="10:14" x14ac:dyDescent="0.25">
      <c r="J3103" s="25">
        <v>-0.44124070933625414</v>
      </c>
      <c r="N3103" s="26"/>
    </row>
    <row r="3104" spans="10:14" x14ac:dyDescent="0.25">
      <c r="J3104" s="25">
        <v>2.40462473260874E-2</v>
      </c>
      <c r="N3104" s="26"/>
    </row>
    <row r="3105" spans="10:14" x14ac:dyDescent="0.25">
      <c r="J3105" s="25">
        <v>8.0763386954551875E-2</v>
      </c>
      <c r="N3105" s="26"/>
    </row>
    <row r="3106" spans="10:14" x14ac:dyDescent="0.25">
      <c r="J3106" s="25">
        <v>0.38678685105535604</v>
      </c>
      <c r="N3106" s="26"/>
    </row>
    <row r="3107" spans="10:14" x14ac:dyDescent="0.25">
      <c r="J3107" s="25">
        <v>-6.0699681243411852E-2</v>
      </c>
      <c r="N3107" s="26"/>
    </row>
    <row r="3108" spans="10:14" x14ac:dyDescent="0.25">
      <c r="J3108" s="25">
        <v>0.61428186458608147</v>
      </c>
      <c r="N3108" s="26"/>
    </row>
    <row r="3109" spans="10:14" x14ac:dyDescent="0.25">
      <c r="J3109" s="25">
        <v>6.9623057922802767E-2</v>
      </c>
      <c r="N3109" s="26"/>
    </row>
    <row r="3110" spans="10:14" x14ac:dyDescent="0.25">
      <c r="J3110" s="25">
        <v>0.57217505287342973</v>
      </c>
      <c r="N3110" s="26"/>
    </row>
    <row r="3111" spans="10:14" x14ac:dyDescent="0.25">
      <c r="J3111" s="25">
        <v>-0.33380755360631031</v>
      </c>
      <c r="N3111" s="26"/>
    </row>
    <row r="3112" spans="10:14" x14ac:dyDescent="0.25">
      <c r="J3112" s="25">
        <v>4.3069985584470727E-2</v>
      </c>
      <c r="N3112" s="26"/>
    </row>
    <row r="3113" spans="10:14" x14ac:dyDescent="0.25">
      <c r="J3113" s="25">
        <v>0.93027463063458304</v>
      </c>
      <c r="N3113" s="26"/>
    </row>
    <row r="3114" spans="10:14" x14ac:dyDescent="0.25">
      <c r="J3114" s="25">
        <v>0.57752380024373107</v>
      </c>
      <c r="N3114" s="26"/>
    </row>
    <row r="3115" spans="10:14" x14ac:dyDescent="0.25">
      <c r="J3115" s="25">
        <v>1.7993894407081434E-2</v>
      </c>
      <c r="N3115" s="26"/>
    </row>
    <row r="3116" spans="10:14" x14ac:dyDescent="0.25">
      <c r="J3116" s="25">
        <v>0.31579565545047084</v>
      </c>
      <c r="N3116" s="26"/>
    </row>
    <row r="3117" spans="10:14" x14ac:dyDescent="0.25">
      <c r="J3117" s="25">
        <v>-0.5058701088933194</v>
      </c>
      <c r="N3117" s="26"/>
    </row>
    <row r="3118" spans="10:14" x14ac:dyDescent="0.25">
      <c r="J3118" s="25">
        <v>-0.10581700708417174</v>
      </c>
      <c r="N3118" s="26"/>
    </row>
    <row r="3119" spans="10:14" x14ac:dyDescent="0.25">
      <c r="J3119" s="25">
        <v>-0.19364146739893218</v>
      </c>
      <c r="N3119" s="26"/>
    </row>
    <row r="3120" spans="10:14" x14ac:dyDescent="0.25">
      <c r="J3120" s="25">
        <v>-0.19331049236941922</v>
      </c>
      <c r="N3120" s="26"/>
    </row>
    <row r="3121" spans="10:14" x14ac:dyDescent="0.25">
      <c r="J3121" s="25">
        <v>-0.36154421326463981</v>
      </c>
      <c r="N3121" s="26"/>
    </row>
    <row r="3122" spans="10:14" x14ac:dyDescent="0.25">
      <c r="J3122" s="25">
        <v>-0.10935706477961771</v>
      </c>
      <c r="N3122" s="26"/>
    </row>
    <row r="3123" spans="10:14" x14ac:dyDescent="0.25">
      <c r="J3123" s="25">
        <v>3.6068838861621266E-2</v>
      </c>
      <c r="N3123" s="26"/>
    </row>
    <row r="3124" spans="10:14" x14ac:dyDescent="0.25">
      <c r="J3124" s="25">
        <v>0.15822837641676402</v>
      </c>
      <c r="N3124" s="26"/>
    </row>
    <row r="3125" spans="10:14" x14ac:dyDescent="0.25">
      <c r="J3125" s="25">
        <v>-1.6346553499738459E-2</v>
      </c>
      <c r="N3125" s="26"/>
    </row>
    <row r="3126" spans="10:14" x14ac:dyDescent="0.25">
      <c r="J3126" s="25">
        <v>-2.5476853533917709E-2</v>
      </c>
      <c r="N3126" s="26"/>
    </row>
    <row r="3127" spans="10:14" x14ac:dyDescent="0.25">
      <c r="J3127" s="25">
        <v>0.36356095562763491</v>
      </c>
      <c r="N3127" s="26"/>
    </row>
    <row r="3128" spans="10:14" x14ac:dyDescent="0.25">
      <c r="J3128" s="25">
        <v>0.20591280061322803</v>
      </c>
      <c r="N3128" s="26"/>
    </row>
    <row r="3129" spans="10:14" x14ac:dyDescent="0.25">
      <c r="J3129" s="25">
        <v>0.53612428115303756</v>
      </c>
      <c r="N3129" s="26"/>
    </row>
    <row r="3130" spans="10:14" x14ac:dyDescent="0.25">
      <c r="J3130" s="25">
        <v>3.8107704321734159E-2</v>
      </c>
      <c r="N3130" s="26"/>
    </row>
    <row r="3131" spans="10:14" x14ac:dyDescent="0.25">
      <c r="J3131" s="25">
        <v>-8.46215696655922E-2</v>
      </c>
      <c r="N3131" s="26"/>
    </row>
    <row r="3132" spans="10:14" x14ac:dyDescent="0.25">
      <c r="J3132" s="25">
        <v>1.1282508850630562</v>
      </c>
      <c r="N3132" s="26"/>
    </row>
    <row r="3133" spans="10:14" x14ac:dyDescent="0.25">
      <c r="J3133" s="25">
        <v>-0.28125717943800199</v>
      </c>
      <c r="N3133" s="26"/>
    </row>
    <row r="3134" spans="10:14" x14ac:dyDescent="0.25">
      <c r="J3134" s="25">
        <v>-0.18681768992118797</v>
      </c>
      <c r="N3134" s="26"/>
    </row>
    <row r="3135" spans="10:14" x14ac:dyDescent="0.25">
      <c r="J3135" s="25">
        <v>0.52803037060758062</v>
      </c>
      <c r="N3135" s="26"/>
    </row>
    <row r="3136" spans="10:14" x14ac:dyDescent="0.25">
      <c r="J3136" s="25">
        <v>-0.29852658946592725</v>
      </c>
      <c r="N3136" s="26"/>
    </row>
    <row r="3137" spans="10:14" x14ac:dyDescent="0.25">
      <c r="J3137" s="25">
        <v>0.40397096871796356</v>
      </c>
      <c r="N3137" s="26"/>
    </row>
    <row r="3138" spans="10:14" x14ac:dyDescent="0.25">
      <c r="J3138" s="25">
        <v>-5.2364601556980861E-2</v>
      </c>
      <c r="N3138" s="26"/>
    </row>
    <row r="3139" spans="10:14" x14ac:dyDescent="0.25">
      <c r="J3139" s="25">
        <v>-0.40527569022533827</v>
      </c>
      <c r="N3139" s="26"/>
    </row>
    <row r="3140" spans="10:14" x14ac:dyDescent="0.25">
      <c r="J3140" s="25">
        <v>0.13615335682787677</v>
      </c>
      <c r="N3140" s="26"/>
    </row>
    <row r="3141" spans="10:14" x14ac:dyDescent="0.25">
      <c r="J3141" s="25">
        <v>0.4795605503444591</v>
      </c>
      <c r="N3141" s="26"/>
    </row>
    <row r="3142" spans="10:14" x14ac:dyDescent="0.25">
      <c r="J3142" s="25">
        <v>-0.3938150892456892</v>
      </c>
      <c r="N3142" s="26"/>
    </row>
    <row r="3143" spans="10:14" x14ac:dyDescent="0.25">
      <c r="J3143" s="25">
        <v>0.25140143187219821</v>
      </c>
      <c r="N3143" s="26"/>
    </row>
    <row r="3144" spans="10:14" x14ac:dyDescent="0.25">
      <c r="J3144" s="25">
        <v>0.54661623851080354</v>
      </c>
      <c r="N3144" s="26"/>
    </row>
    <row r="3145" spans="10:14" x14ac:dyDescent="0.25">
      <c r="J3145" s="25">
        <v>-0.35239475880809579</v>
      </c>
      <c r="N3145" s="26"/>
    </row>
    <row r="3146" spans="10:14" x14ac:dyDescent="0.25">
      <c r="J3146" s="25">
        <v>0.28040721776006006</v>
      </c>
      <c r="N3146" s="26"/>
    </row>
    <row r="3147" spans="10:14" x14ac:dyDescent="0.25">
      <c r="J3147" s="25">
        <v>0.42744362050137741</v>
      </c>
      <c r="N3147" s="26"/>
    </row>
    <row r="3148" spans="10:14" x14ac:dyDescent="0.25">
      <c r="J3148" s="25">
        <v>0.52176416498946687</v>
      </c>
      <c r="N3148" s="26"/>
    </row>
    <row r="3149" spans="10:14" x14ac:dyDescent="0.25">
      <c r="J3149" s="25">
        <v>0.1384304258352147</v>
      </c>
      <c r="N3149" s="26"/>
    </row>
    <row r="3150" spans="10:14" x14ac:dyDescent="0.25">
      <c r="J3150" s="25">
        <v>0.95564132125218015</v>
      </c>
      <c r="N3150" s="26"/>
    </row>
    <row r="3151" spans="10:14" x14ac:dyDescent="0.25">
      <c r="J3151" s="25">
        <v>-0.23917659670536606</v>
      </c>
      <c r="N3151" s="26"/>
    </row>
    <row r="3152" spans="10:14" x14ac:dyDescent="0.25">
      <c r="J3152" s="25">
        <v>0.20612845003855451</v>
      </c>
      <c r="N3152" s="26"/>
    </row>
    <row r="3153" spans="10:14" x14ac:dyDescent="0.25">
      <c r="J3153" s="25">
        <v>-0.29132967548901101</v>
      </c>
      <c r="N3153" s="26"/>
    </row>
    <row r="3154" spans="10:14" x14ac:dyDescent="0.25">
      <c r="J3154" s="25">
        <v>-0.10129505192866228</v>
      </c>
      <c r="N3154" s="26"/>
    </row>
    <row r="3155" spans="10:14" x14ac:dyDescent="0.25">
      <c r="J3155" s="25">
        <v>0.55587408468541755</v>
      </c>
      <c r="N3155" s="26"/>
    </row>
    <row r="3156" spans="10:14" x14ac:dyDescent="0.25">
      <c r="J3156" s="25">
        <v>2.1824601305668212E-2</v>
      </c>
      <c r="N3156" s="26"/>
    </row>
    <row r="3157" spans="10:14" x14ac:dyDescent="0.25">
      <c r="J3157" s="25">
        <v>4.761173716385203E-2</v>
      </c>
      <c r="N3157" s="26"/>
    </row>
    <row r="3158" spans="10:14" x14ac:dyDescent="0.25">
      <c r="J3158" s="25">
        <v>-0.11523452543703794</v>
      </c>
      <c r="N3158" s="26"/>
    </row>
    <row r="3159" spans="10:14" x14ac:dyDescent="0.25">
      <c r="J3159" s="25">
        <v>0.53469446103198881</v>
      </c>
      <c r="N3159" s="26"/>
    </row>
    <row r="3160" spans="10:14" x14ac:dyDescent="0.25">
      <c r="J3160" s="25">
        <v>-0.34530312775870242</v>
      </c>
      <c r="N3160" s="26"/>
    </row>
    <row r="3161" spans="10:14" x14ac:dyDescent="0.25">
      <c r="J3161" s="25">
        <v>0.4021396617192301</v>
      </c>
      <c r="N3161" s="26"/>
    </row>
    <row r="3162" spans="10:14" x14ac:dyDescent="0.25">
      <c r="J3162" s="25">
        <v>-0.31044177012534047</v>
      </c>
      <c r="N3162" s="26"/>
    </row>
    <row r="3163" spans="10:14" x14ac:dyDescent="0.25">
      <c r="J3163" s="25">
        <v>4.6957975330550017E-2</v>
      </c>
      <c r="N3163" s="26"/>
    </row>
    <row r="3164" spans="10:14" x14ac:dyDescent="0.25">
      <c r="J3164" s="25">
        <v>-4.9475643965834148E-2</v>
      </c>
      <c r="N3164" s="26"/>
    </row>
    <row r="3165" spans="10:14" x14ac:dyDescent="0.25">
      <c r="J3165" s="25">
        <v>1.014991493336538</v>
      </c>
      <c r="N3165" s="26"/>
    </row>
    <row r="3166" spans="10:14" x14ac:dyDescent="0.25">
      <c r="J3166" s="25">
        <v>-0.23289472126646726</v>
      </c>
      <c r="N3166" s="26"/>
    </row>
    <row r="3167" spans="10:14" x14ac:dyDescent="0.25">
      <c r="J3167" s="25">
        <v>3.9749224284791662E-2</v>
      </c>
      <c r="N3167" s="26"/>
    </row>
    <row r="3168" spans="10:14" x14ac:dyDescent="0.25">
      <c r="J3168" s="25">
        <v>-0.2379904384703927</v>
      </c>
      <c r="N3168" s="26"/>
    </row>
    <row r="3169" spans="10:14" x14ac:dyDescent="0.25">
      <c r="J3169" s="25">
        <v>5.4267433787846819E-4</v>
      </c>
      <c r="N3169" s="26"/>
    </row>
    <row r="3170" spans="10:14" x14ac:dyDescent="0.25">
      <c r="J3170" s="25">
        <v>-0.36692155090325018</v>
      </c>
      <c r="N3170" s="26"/>
    </row>
    <row r="3171" spans="10:14" x14ac:dyDescent="0.25">
      <c r="J3171" s="25">
        <v>-0.22075368237071868</v>
      </c>
      <c r="N3171" s="26"/>
    </row>
    <row r="3172" spans="10:14" x14ac:dyDescent="0.25">
      <c r="J3172" s="25">
        <v>-0.16072509807336943</v>
      </c>
      <c r="N3172" s="26"/>
    </row>
    <row r="3173" spans="10:14" x14ac:dyDescent="0.25">
      <c r="J3173" s="25">
        <v>-0.20909738517928833</v>
      </c>
      <c r="N3173" s="26"/>
    </row>
    <row r="3174" spans="10:14" x14ac:dyDescent="0.25">
      <c r="J3174" s="25">
        <v>1.0531984307104301</v>
      </c>
      <c r="N3174" s="26"/>
    </row>
    <row r="3175" spans="10:14" x14ac:dyDescent="0.25">
      <c r="J3175" s="25">
        <v>5.1152348829309524E-2</v>
      </c>
      <c r="N3175" s="26"/>
    </row>
    <row r="3176" spans="10:14" x14ac:dyDescent="0.25">
      <c r="J3176" s="25">
        <v>-0.42541987861981789</v>
      </c>
      <c r="N3176" s="26"/>
    </row>
    <row r="3177" spans="10:14" x14ac:dyDescent="0.25">
      <c r="J3177" s="25">
        <v>-0.37498132693995045</v>
      </c>
      <c r="N3177" s="26"/>
    </row>
    <row r="3178" spans="10:14" x14ac:dyDescent="0.25">
      <c r="J3178" s="25">
        <v>-0.36960816154783149</v>
      </c>
      <c r="N3178" s="26"/>
    </row>
    <row r="3179" spans="10:14" x14ac:dyDescent="0.25">
      <c r="J3179" s="25">
        <v>-0.16580380835659725</v>
      </c>
      <c r="N3179" s="26"/>
    </row>
    <row r="3180" spans="10:14" x14ac:dyDescent="0.25">
      <c r="J3180" s="25">
        <v>0.32531067388866153</v>
      </c>
      <c r="N3180" s="26"/>
    </row>
    <row r="3181" spans="10:14" x14ac:dyDescent="0.25">
      <c r="J3181" s="25">
        <v>-0.27883716887541665</v>
      </c>
      <c r="N3181" s="26"/>
    </row>
    <row r="3182" spans="10:14" x14ac:dyDescent="0.25">
      <c r="J3182" s="25">
        <v>-1.3576390544142725E-2</v>
      </c>
      <c r="N3182" s="26"/>
    </row>
    <row r="3183" spans="10:14" x14ac:dyDescent="0.25">
      <c r="J3183" s="25">
        <v>-3.5212342472122793E-2</v>
      </c>
      <c r="N3183" s="26"/>
    </row>
    <row r="3184" spans="10:14" x14ac:dyDescent="0.25">
      <c r="J3184" s="25">
        <v>1.2038365065227818E-2</v>
      </c>
      <c r="N3184" s="26"/>
    </row>
    <row r="3185" spans="10:14" x14ac:dyDescent="0.25">
      <c r="J3185" s="25">
        <v>0.67550319367097433</v>
      </c>
      <c r="N3185" s="26"/>
    </row>
    <row r="3186" spans="10:14" x14ac:dyDescent="0.25">
      <c r="J3186" s="25">
        <v>-0.42232805943757212</v>
      </c>
      <c r="N3186" s="26"/>
    </row>
    <row r="3187" spans="10:14" x14ac:dyDescent="0.25">
      <c r="J3187" s="25">
        <v>0.61049543742105694</v>
      </c>
      <c r="N3187" s="26"/>
    </row>
    <row r="3188" spans="10:14" x14ac:dyDescent="0.25">
      <c r="J3188" s="25">
        <v>0.20312663928576824</v>
      </c>
      <c r="N3188" s="26"/>
    </row>
    <row r="3189" spans="10:14" x14ac:dyDescent="0.25">
      <c r="J3189" s="25">
        <v>-0.22988975334570649</v>
      </c>
      <c r="N3189" s="26"/>
    </row>
    <row r="3190" spans="10:14" x14ac:dyDescent="0.25">
      <c r="J3190" s="25">
        <v>0.63479955270657018</v>
      </c>
      <c r="N3190" s="26"/>
    </row>
    <row r="3191" spans="10:14" x14ac:dyDescent="0.25">
      <c r="J3191" s="25">
        <v>-0.14450386515685698</v>
      </c>
      <c r="N3191" s="26"/>
    </row>
    <row r="3192" spans="10:14" x14ac:dyDescent="0.25">
      <c r="J3192" s="25">
        <v>-0.268741327965487</v>
      </c>
      <c r="N3192" s="26"/>
    </row>
    <row r="3193" spans="10:14" x14ac:dyDescent="0.25">
      <c r="J3193" s="25">
        <v>0.5508929464971255</v>
      </c>
      <c r="N3193" s="26"/>
    </row>
    <row r="3194" spans="10:14" x14ac:dyDescent="0.25">
      <c r="J3194" s="25">
        <v>-0.22381855250485672</v>
      </c>
      <c r="N3194" s="26"/>
    </row>
    <row r="3195" spans="10:14" x14ac:dyDescent="0.25">
      <c r="J3195" s="25">
        <v>-0.21971507342096641</v>
      </c>
      <c r="N3195" s="26"/>
    </row>
    <row r="3196" spans="10:14" x14ac:dyDescent="0.25">
      <c r="J3196" s="25">
        <v>-0.4451611348313318</v>
      </c>
      <c r="N3196" s="26"/>
    </row>
    <row r="3197" spans="10:14" x14ac:dyDescent="0.25">
      <c r="J3197" s="25">
        <v>0.3264668435116298</v>
      </c>
      <c r="N3197" s="26"/>
    </row>
    <row r="3198" spans="10:14" x14ac:dyDescent="0.25">
      <c r="J3198" s="25">
        <v>-9.7264145566648974E-3</v>
      </c>
      <c r="N3198" s="26"/>
    </row>
    <row r="3199" spans="10:14" x14ac:dyDescent="0.25">
      <c r="J3199" s="25">
        <v>-0.36944655934608084</v>
      </c>
      <c r="N3199" s="26"/>
    </row>
    <row r="3200" spans="10:14" x14ac:dyDescent="0.25">
      <c r="J3200" s="25">
        <v>-0.11715408719338471</v>
      </c>
      <c r="N3200" s="26"/>
    </row>
    <row r="3201" spans="10:14" x14ac:dyDescent="0.25">
      <c r="J3201" s="25">
        <v>0.11954472668622396</v>
      </c>
      <c r="N3201" s="26"/>
    </row>
    <row r="3202" spans="10:14" x14ac:dyDescent="0.25">
      <c r="J3202" s="25">
        <v>0.55298701066893718</v>
      </c>
      <c r="N3202" s="26"/>
    </row>
    <row r="3203" spans="10:14" x14ac:dyDescent="0.25">
      <c r="J3203" s="25">
        <v>-0.38067618698330408</v>
      </c>
      <c r="N3203" s="26"/>
    </row>
    <row r="3204" spans="10:14" x14ac:dyDescent="0.25">
      <c r="J3204" s="25">
        <v>0.10687199907481948</v>
      </c>
      <c r="N3204" s="26"/>
    </row>
    <row r="3205" spans="10:14" x14ac:dyDescent="0.25">
      <c r="J3205" s="25">
        <v>0.49444504578726733</v>
      </c>
      <c r="N3205" s="26"/>
    </row>
    <row r="3206" spans="10:14" x14ac:dyDescent="0.25">
      <c r="J3206" s="25">
        <v>7.59932595086803E-2</v>
      </c>
      <c r="N3206" s="26"/>
    </row>
    <row r="3207" spans="10:14" x14ac:dyDescent="0.25">
      <c r="J3207" s="25">
        <v>-0.1936210739916312</v>
      </c>
      <c r="N3207" s="26"/>
    </row>
    <row r="3208" spans="10:14" x14ac:dyDescent="0.25">
      <c r="J3208" s="25">
        <v>6.7662339182388731E-2</v>
      </c>
      <c r="N3208" s="26"/>
    </row>
    <row r="3209" spans="10:14" x14ac:dyDescent="0.25">
      <c r="J3209" s="25">
        <v>0.27019901828554338</v>
      </c>
      <c r="N3209" s="26"/>
    </row>
    <row r="3210" spans="10:14" x14ac:dyDescent="0.25">
      <c r="J3210" s="25">
        <v>-0.49278599701719228</v>
      </c>
      <c r="N3210" s="26"/>
    </row>
    <row r="3211" spans="10:14" x14ac:dyDescent="0.25">
      <c r="J3211" s="25">
        <v>-7.8497034268237731E-2</v>
      </c>
      <c r="N3211" s="26"/>
    </row>
    <row r="3212" spans="10:14" x14ac:dyDescent="0.25">
      <c r="J3212" s="25">
        <v>-0.15549070201282478</v>
      </c>
      <c r="N3212" s="26"/>
    </row>
    <row r="3213" spans="10:14" x14ac:dyDescent="0.25">
      <c r="J3213" s="25">
        <v>0.48074363194064262</v>
      </c>
      <c r="N3213" s="26"/>
    </row>
    <row r="3214" spans="10:14" x14ac:dyDescent="0.25">
      <c r="J3214" s="25">
        <v>1.0464413883097152</v>
      </c>
      <c r="N3214" s="26"/>
    </row>
    <row r="3215" spans="10:14" x14ac:dyDescent="0.25">
      <c r="J3215" s="25">
        <v>5.8026304665651729E-2</v>
      </c>
      <c r="N3215" s="26"/>
    </row>
    <row r="3216" spans="10:14" x14ac:dyDescent="0.25">
      <c r="J3216" s="25">
        <v>-0.26789430013917859</v>
      </c>
      <c r="N3216" s="26"/>
    </row>
    <row r="3217" spans="10:14" x14ac:dyDescent="0.25">
      <c r="J3217" s="25">
        <v>0.35058093229233256</v>
      </c>
      <c r="N3217" s="26"/>
    </row>
    <row r="3218" spans="10:14" x14ac:dyDescent="0.25">
      <c r="J3218" s="25">
        <v>0.2379848929684476</v>
      </c>
      <c r="N3218" s="26"/>
    </row>
    <row r="3219" spans="10:14" x14ac:dyDescent="0.25">
      <c r="J3219" s="25">
        <v>0.23037305846085543</v>
      </c>
      <c r="N3219" s="26"/>
    </row>
    <row r="3220" spans="10:14" x14ac:dyDescent="0.25">
      <c r="J3220" s="25">
        <v>-0.22839828639377624</v>
      </c>
      <c r="N3220" s="26"/>
    </row>
    <row r="3221" spans="10:14" x14ac:dyDescent="0.25">
      <c r="J3221" s="25">
        <v>0.1960092332049701</v>
      </c>
      <c r="N3221" s="26"/>
    </row>
    <row r="3222" spans="10:14" x14ac:dyDescent="0.25">
      <c r="J3222" s="25">
        <v>0.44362156929957686</v>
      </c>
      <c r="N3222" s="26"/>
    </row>
    <row r="3223" spans="10:14" x14ac:dyDescent="0.25">
      <c r="J3223" s="25">
        <v>-0.40598758442554206</v>
      </c>
      <c r="N3223" s="26"/>
    </row>
    <row r="3224" spans="10:14" x14ac:dyDescent="0.25">
      <c r="J3224" s="25">
        <v>-0.37672013705893137</v>
      </c>
      <c r="N3224" s="26"/>
    </row>
    <row r="3225" spans="10:14" x14ac:dyDescent="0.25">
      <c r="J3225" s="25">
        <v>-3.8458307018803151E-2</v>
      </c>
      <c r="N3225" s="26"/>
    </row>
    <row r="3226" spans="10:14" x14ac:dyDescent="0.25">
      <c r="J3226" s="25">
        <v>0.64146041496116135</v>
      </c>
      <c r="N3226" s="26"/>
    </row>
    <row r="3227" spans="10:14" x14ac:dyDescent="0.25">
      <c r="J3227" s="25">
        <v>-0.25726130032671557</v>
      </c>
      <c r="N3227" s="26"/>
    </row>
    <row r="3228" spans="10:14" x14ac:dyDescent="0.25">
      <c r="J3228" s="25">
        <v>-0.13367056008788214</v>
      </c>
      <c r="N3228" s="26"/>
    </row>
    <row r="3229" spans="10:14" x14ac:dyDescent="0.25">
      <c r="J3229" s="25">
        <v>0.35544019548133754</v>
      </c>
      <c r="N3229" s="26"/>
    </row>
    <row r="3230" spans="10:14" x14ac:dyDescent="0.25">
      <c r="J3230" s="25">
        <v>0.28323523699986786</v>
      </c>
      <c r="N3230" s="26"/>
    </row>
    <row r="3231" spans="10:14" x14ac:dyDescent="0.25">
      <c r="J3231" s="25">
        <v>0.535277624381713</v>
      </c>
      <c r="N3231" s="26"/>
    </row>
    <row r="3232" spans="10:14" x14ac:dyDescent="0.25">
      <c r="J3232" s="25">
        <v>6.4092616259511903E-2</v>
      </c>
      <c r="N3232" s="26"/>
    </row>
    <row r="3233" spans="10:14" x14ac:dyDescent="0.25">
      <c r="J3233" s="25">
        <v>0.18139954738582276</v>
      </c>
      <c r="N3233" s="26"/>
    </row>
    <row r="3234" spans="10:14" x14ac:dyDescent="0.25">
      <c r="J3234" s="25">
        <v>-0.26171455051620041</v>
      </c>
      <c r="N3234" s="26"/>
    </row>
    <row r="3235" spans="10:14" x14ac:dyDescent="0.25">
      <c r="J3235" s="25">
        <v>0.86000798451300131</v>
      </c>
      <c r="N3235" s="26"/>
    </row>
    <row r="3236" spans="10:14" x14ac:dyDescent="0.25">
      <c r="J3236" s="25">
        <v>-0.27253911448920165</v>
      </c>
      <c r="N3236" s="26"/>
    </row>
    <row r="3237" spans="10:14" x14ac:dyDescent="0.25">
      <c r="J3237" s="25">
        <v>-0.33619384617612591</v>
      </c>
      <c r="N3237" s="26"/>
    </row>
    <row r="3238" spans="10:14" x14ac:dyDescent="0.25">
      <c r="J3238" s="25">
        <v>0.18594606490498156</v>
      </c>
      <c r="N3238" s="26"/>
    </row>
    <row r="3239" spans="10:14" x14ac:dyDescent="0.25">
      <c r="J3239" s="25">
        <v>-5.4260706610658516E-2</v>
      </c>
      <c r="N3239" s="26"/>
    </row>
    <row r="3240" spans="10:14" x14ac:dyDescent="0.25">
      <c r="J3240" s="25">
        <v>-8.3756728602372266E-2</v>
      </c>
      <c r="N3240" s="26"/>
    </row>
    <row r="3241" spans="10:14" x14ac:dyDescent="0.25">
      <c r="J3241" s="25">
        <v>-0.18657490789054076</v>
      </c>
      <c r="N3241" s="26"/>
    </row>
    <row r="3242" spans="10:14" x14ac:dyDescent="0.25">
      <c r="J3242" s="25">
        <v>0.7329664846958559</v>
      </c>
      <c r="N3242" s="26"/>
    </row>
    <row r="3243" spans="10:14" x14ac:dyDescent="0.25">
      <c r="J3243" s="25">
        <v>0.2544876593856098</v>
      </c>
      <c r="N3243" s="26"/>
    </row>
    <row r="3244" spans="10:14" x14ac:dyDescent="0.25">
      <c r="J3244" s="25">
        <v>0.14894838438368785</v>
      </c>
      <c r="N3244" s="26"/>
    </row>
    <row r="3245" spans="10:14" x14ac:dyDescent="0.25">
      <c r="J3245" s="25">
        <v>-0.27417050357528794</v>
      </c>
      <c r="N3245" s="26"/>
    </row>
    <row r="3246" spans="10:14" x14ac:dyDescent="0.25">
      <c r="J3246" s="25">
        <v>-0.12090020562703674</v>
      </c>
      <c r="N3246" s="26"/>
    </row>
    <row r="3247" spans="10:14" x14ac:dyDescent="0.25">
      <c r="J3247" s="25">
        <v>-0.23633320222452958</v>
      </c>
      <c r="N3247" s="26"/>
    </row>
    <row r="3248" spans="10:14" x14ac:dyDescent="0.25">
      <c r="J3248" s="25">
        <v>-9.7174975601112101E-2</v>
      </c>
      <c r="N3248" s="26"/>
    </row>
    <row r="3249" spans="10:14" x14ac:dyDescent="0.25">
      <c r="J3249" s="25">
        <v>-2.9655283369813046E-2</v>
      </c>
      <c r="N3249" s="26"/>
    </row>
    <row r="3250" spans="10:14" x14ac:dyDescent="0.25">
      <c r="J3250" s="25">
        <v>2.260654542903584E-2</v>
      </c>
      <c r="N3250" s="26"/>
    </row>
    <row r="3251" spans="10:14" x14ac:dyDescent="0.25">
      <c r="J3251" s="25">
        <v>-4.9852891826507317E-4</v>
      </c>
      <c r="N3251" s="26"/>
    </row>
    <row r="3252" spans="10:14" x14ac:dyDescent="0.25">
      <c r="J3252" s="25">
        <v>0.48233358830382378</v>
      </c>
      <c r="N3252" s="26"/>
    </row>
    <row r="3253" spans="10:14" x14ac:dyDescent="0.25">
      <c r="J3253" s="25">
        <v>-9.41232777935328E-2</v>
      </c>
      <c r="N3253" s="26"/>
    </row>
    <row r="3254" spans="10:14" x14ac:dyDescent="0.25">
      <c r="J3254" s="25">
        <v>-4.3974043945101293E-2</v>
      </c>
      <c r="N3254" s="26"/>
    </row>
    <row r="3255" spans="10:14" x14ac:dyDescent="0.25">
      <c r="J3255" s="25">
        <v>-0.12729101280114241</v>
      </c>
      <c r="N3255" s="26"/>
    </row>
    <row r="3256" spans="10:14" x14ac:dyDescent="0.25">
      <c r="J3256" s="25">
        <v>-0.52171096704507769</v>
      </c>
      <c r="N3256" s="26"/>
    </row>
    <row r="3257" spans="10:14" x14ac:dyDescent="0.25">
      <c r="J3257" s="25">
        <v>-0.37430237631639807</v>
      </c>
      <c r="N3257" s="26"/>
    </row>
    <row r="3258" spans="10:14" x14ac:dyDescent="0.25">
      <c r="J3258" s="25">
        <v>0.51121038075927894</v>
      </c>
      <c r="N3258" s="26"/>
    </row>
    <row r="3259" spans="10:14" x14ac:dyDescent="0.25">
      <c r="J3259" s="25">
        <v>9.7282745811637206E-2</v>
      </c>
      <c r="N3259" s="26"/>
    </row>
    <row r="3260" spans="10:14" x14ac:dyDescent="0.25">
      <c r="J3260" s="25">
        <v>0.13723516341763364</v>
      </c>
      <c r="N3260" s="26"/>
    </row>
    <row r="3261" spans="10:14" x14ac:dyDescent="0.25">
      <c r="J3261" s="25">
        <v>0.10775187276135201</v>
      </c>
      <c r="N3261" s="26"/>
    </row>
    <row r="3262" spans="10:14" x14ac:dyDescent="0.25">
      <c r="J3262" s="25">
        <v>0.83224813014781551</v>
      </c>
      <c r="N3262" s="26"/>
    </row>
    <row r="3263" spans="10:14" x14ac:dyDescent="0.25">
      <c r="J3263" s="25">
        <v>0.41291799314863797</v>
      </c>
      <c r="N3263" s="26"/>
    </row>
    <row r="3264" spans="10:14" x14ac:dyDescent="0.25">
      <c r="J3264" s="25">
        <v>-0.11637377138529481</v>
      </c>
      <c r="N3264" s="26"/>
    </row>
    <row r="3265" spans="10:14" x14ac:dyDescent="0.25">
      <c r="J3265" s="25">
        <v>-0.38185767233064827</v>
      </c>
      <c r="N3265" s="26"/>
    </row>
    <row r="3266" spans="10:14" x14ac:dyDescent="0.25">
      <c r="J3266" s="25">
        <v>0.67511819379562987</v>
      </c>
      <c r="N3266" s="26"/>
    </row>
    <row r="3267" spans="10:14" x14ac:dyDescent="0.25">
      <c r="J3267" s="25">
        <v>-0.37376510590127243</v>
      </c>
      <c r="N3267" s="26"/>
    </row>
    <row r="3268" spans="10:14" x14ac:dyDescent="0.25">
      <c r="J3268" s="25">
        <v>-1.0452106384803872E-2</v>
      </c>
      <c r="N3268" s="26"/>
    </row>
    <row r="3269" spans="10:14" x14ac:dyDescent="0.25">
      <c r="J3269" s="25">
        <v>-0.26687785595360314</v>
      </c>
      <c r="N3269" s="26"/>
    </row>
    <row r="3270" spans="10:14" x14ac:dyDescent="0.25">
      <c r="J3270" s="25">
        <v>-0.50154155122243094</v>
      </c>
      <c r="N3270" s="26"/>
    </row>
    <row r="3271" spans="10:14" x14ac:dyDescent="0.25">
      <c r="J3271" s="25">
        <v>0.30470350651372358</v>
      </c>
      <c r="N3271" s="26"/>
    </row>
    <row r="3272" spans="10:14" x14ac:dyDescent="0.25">
      <c r="J3272" s="25">
        <v>0.50388828263341257</v>
      </c>
      <c r="N3272" s="26"/>
    </row>
    <row r="3273" spans="10:14" x14ac:dyDescent="0.25">
      <c r="J3273" s="25">
        <v>-5.8042581662045456E-2</v>
      </c>
      <c r="N3273" s="26"/>
    </row>
    <row r="3274" spans="10:14" x14ac:dyDescent="0.25">
      <c r="J3274" s="25">
        <v>0.21490336753421069</v>
      </c>
      <c r="N3274" s="26"/>
    </row>
    <row r="3275" spans="10:14" x14ac:dyDescent="0.25">
      <c r="J3275" s="25">
        <v>0.45435292887641143</v>
      </c>
      <c r="N3275" s="26"/>
    </row>
    <row r="3276" spans="10:14" x14ac:dyDescent="0.25">
      <c r="J3276" s="25">
        <v>0.46070250878462926</v>
      </c>
      <c r="N3276" s="26"/>
    </row>
    <row r="3277" spans="10:14" x14ac:dyDescent="0.25">
      <c r="J3277" s="25">
        <v>2.0561520126706645E-2</v>
      </c>
      <c r="N3277" s="26"/>
    </row>
    <row r="3278" spans="10:14" x14ac:dyDescent="0.25">
      <c r="J3278" s="25">
        <v>4.1770703194255354E-2</v>
      </c>
      <c r="N3278" s="26"/>
    </row>
    <row r="3279" spans="10:14" x14ac:dyDescent="0.25">
      <c r="J3279" s="25">
        <v>-3.839087289658083E-2</v>
      </c>
      <c r="N3279" s="26"/>
    </row>
    <row r="3280" spans="10:14" x14ac:dyDescent="0.25">
      <c r="J3280" s="25">
        <v>-9.3873680351937328E-2</v>
      </c>
      <c r="N3280" s="26"/>
    </row>
    <row r="3281" spans="10:14" x14ac:dyDescent="0.25">
      <c r="J3281" s="25">
        <v>7.0688909019556823E-2</v>
      </c>
      <c r="N3281" s="26"/>
    </row>
    <row r="3282" spans="10:14" x14ac:dyDescent="0.25">
      <c r="J3282" s="25">
        <v>-0.40107124071781475</v>
      </c>
      <c r="N3282" s="26"/>
    </row>
    <row r="3283" spans="10:14" x14ac:dyDescent="0.25">
      <c r="J3283" s="25">
        <v>-3.7736389223746336E-2</v>
      </c>
      <c r="N3283" s="26"/>
    </row>
    <row r="3284" spans="10:14" x14ac:dyDescent="0.25">
      <c r="J3284" s="25">
        <v>-9.1361388061152793E-2</v>
      </c>
      <c r="N3284" s="26"/>
    </row>
    <row r="3285" spans="10:14" x14ac:dyDescent="0.25">
      <c r="J3285" s="25">
        <v>0.38564626346193132</v>
      </c>
      <c r="N3285" s="26"/>
    </row>
    <row r="3286" spans="10:14" x14ac:dyDescent="0.25">
      <c r="J3286" s="25">
        <v>0.14544367185010953</v>
      </c>
      <c r="N3286" s="26"/>
    </row>
    <row r="3287" spans="10:14" x14ac:dyDescent="0.25">
      <c r="J3287" s="25">
        <v>-0.16568647143104875</v>
      </c>
      <c r="N3287" s="26"/>
    </row>
    <row r="3288" spans="10:14" x14ac:dyDescent="0.25">
      <c r="J3288" s="25">
        <v>0.13509998656997957</v>
      </c>
      <c r="N3288" s="26"/>
    </row>
    <row r="3289" spans="10:14" x14ac:dyDescent="0.25">
      <c r="J3289" s="25">
        <v>-7.9461614302608008E-2</v>
      </c>
      <c r="N3289" s="26"/>
    </row>
    <row r="3290" spans="10:14" x14ac:dyDescent="0.25">
      <c r="J3290" s="25">
        <v>-9.319392695794626E-3</v>
      </c>
      <c r="N3290" s="26"/>
    </row>
    <row r="3291" spans="10:14" x14ac:dyDescent="0.25">
      <c r="J3291" s="25">
        <v>-9.6896732227349514E-2</v>
      </c>
      <c r="N3291" s="26"/>
    </row>
    <row r="3292" spans="10:14" x14ac:dyDescent="0.25">
      <c r="J3292" s="25">
        <v>0.60113079667514868</v>
      </c>
      <c r="N3292" s="26"/>
    </row>
    <row r="3293" spans="10:14" x14ac:dyDescent="0.25">
      <c r="J3293" s="25">
        <v>-0.24217042399083311</v>
      </c>
      <c r="N3293" s="26"/>
    </row>
    <row r="3294" spans="10:14" x14ac:dyDescent="0.25">
      <c r="J3294" s="25">
        <v>-5.9623741650942197E-2</v>
      </c>
      <c r="N3294" s="26"/>
    </row>
    <row r="3295" spans="10:14" x14ac:dyDescent="0.25">
      <c r="J3295" s="25">
        <v>-3.0973683646281391E-2</v>
      </c>
      <c r="N3295" s="26"/>
    </row>
    <row r="3296" spans="10:14" x14ac:dyDescent="0.25">
      <c r="J3296" s="25">
        <v>-0.22550546434071406</v>
      </c>
      <c r="N3296" s="26"/>
    </row>
    <row r="3297" spans="10:14" x14ac:dyDescent="0.25">
      <c r="J3297" s="25">
        <v>-0.26728630579274582</v>
      </c>
      <c r="N3297" s="26"/>
    </row>
    <row r="3298" spans="10:14" x14ac:dyDescent="0.25">
      <c r="J3298" s="25">
        <v>0.36259802150834664</v>
      </c>
      <c r="N3298" s="26"/>
    </row>
    <row r="3299" spans="10:14" x14ac:dyDescent="0.25">
      <c r="J3299" s="25">
        <v>-0.38692082436703634</v>
      </c>
      <c r="N3299" s="26"/>
    </row>
    <row r="3300" spans="10:14" x14ac:dyDescent="0.25">
      <c r="J3300" s="25">
        <v>0.22610604841512338</v>
      </c>
      <c r="N3300" s="26"/>
    </row>
    <row r="3301" spans="10:14" x14ac:dyDescent="0.25">
      <c r="J3301" s="25">
        <v>-0.35380227221124849</v>
      </c>
      <c r="N3301" s="26"/>
    </row>
    <row r="3302" spans="10:14" x14ac:dyDescent="0.25">
      <c r="J3302" s="25">
        <v>-2.9736447293175927E-2</v>
      </c>
      <c r="N3302" s="26"/>
    </row>
    <row r="3303" spans="10:14" x14ac:dyDescent="0.25">
      <c r="J3303" s="25">
        <v>0.98711230129775362</v>
      </c>
      <c r="N3303" s="26"/>
    </row>
    <row r="3304" spans="10:14" x14ac:dyDescent="0.25">
      <c r="J3304" s="25">
        <v>-0.17566596780070676</v>
      </c>
      <c r="N3304" s="26"/>
    </row>
    <row r="3305" spans="10:14" x14ac:dyDescent="0.25">
      <c r="J3305" s="25">
        <v>-0.19826452296884878</v>
      </c>
      <c r="N3305" s="26"/>
    </row>
    <row r="3306" spans="10:14" x14ac:dyDescent="0.25">
      <c r="J3306" s="25">
        <v>0.50216701512356909</v>
      </c>
      <c r="N3306" s="26"/>
    </row>
    <row r="3307" spans="10:14" x14ac:dyDescent="0.25">
      <c r="J3307" s="25">
        <v>-0.26585249208445461</v>
      </c>
      <c r="N3307" s="26"/>
    </row>
    <row r="3308" spans="10:14" x14ac:dyDescent="0.25">
      <c r="J3308" s="25">
        <v>0.33323203792147593</v>
      </c>
      <c r="N3308" s="26"/>
    </row>
    <row r="3309" spans="10:14" x14ac:dyDescent="0.25">
      <c r="J3309" s="25">
        <v>-0.10002427177401185</v>
      </c>
      <c r="N3309" s="26"/>
    </row>
    <row r="3310" spans="10:14" x14ac:dyDescent="0.25">
      <c r="J3310" s="25">
        <v>0.68407853914467465</v>
      </c>
      <c r="N3310" s="26"/>
    </row>
    <row r="3311" spans="10:14" x14ac:dyDescent="0.25">
      <c r="J3311" s="25">
        <v>0.54674635221248047</v>
      </c>
      <c r="N3311" s="26"/>
    </row>
    <row r="3312" spans="10:14" x14ac:dyDescent="0.25">
      <c r="J3312" s="25">
        <v>-0.23383704955568996</v>
      </c>
      <c r="N3312" s="26"/>
    </row>
    <row r="3313" spans="10:14" x14ac:dyDescent="0.25">
      <c r="J3313" s="25">
        <v>-5.143563941082363E-2</v>
      </c>
      <c r="N3313" s="26"/>
    </row>
    <row r="3314" spans="10:14" x14ac:dyDescent="0.25">
      <c r="J3314" s="25">
        <v>-0.45401393113540456</v>
      </c>
      <c r="N3314" s="26"/>
    </row>
    <row r="3315" spans="10:14" x14ac:dyDescent="0.25">
      <c r="J3315" s="25">
        <v>-0.36835745794090602</v>
      </c>
      <c r="N3315" s="26"/>
    </row>
    <row r="3316" spans="10:14" x14ac:dyDescent="0.25">
      <c r="J3316" s="25">
        <v>1.925337832131313E-2</v>
      </c>
      <c r="N3316" s="26"/>
    </row>
    <row r="3317" spans="10:14" x14ac:dyDescent="0.25">
      <c r="J3317" s="25">
        <v>-0.28467103074321354</v>
      </c>
      <c r="N3317" s="26"/>
    </row>
    <row r="3318" spans="10:14" x14ac:dyDescent="0.25">
      <c r="J3318" s="25">
        <v>0.53023999837157776</v>
      </c>
      <c r="N3318" s="26"/>
    </row>
    <row r="3319" spans="10:14" x14ac:dyDescent="0.25">
      <c r="J3319" s="25">
        <v>-2.065631314678984E-2</v>
      </c>
      <c r="N3319" s="26"/>
    </row>
    <row r="3320" spans="10:14" x14ac:dyDescent="0.25">
      <c r="J3320" s="25">
        <v>0.70846770646824209</v>
      </c>
      <c r="N3320" s="26"/>
    </row>
    <row r="3321" spans="10:14" x14ac:dyDescent="0.25">
      <c r="J3321" s="25">
        <v>0.7328132299746708</v>
      </c>
      <c r="N3321" s="26"/>
    </row>
    <row r="3322" spans="10:14" x14ac:dyDescent="0.25">
      <c r="J3322" s="25">
        <v>-0.44978961917640325</v>
      </c>
      <c r="N3322" s="26"/>
    </row>
    <row r="3323" spans="10:14" x14ac:dyDescent="0.25">
      <c r="J3323" s="25">
        <v>-4.5302482047556047E-2</v>
      </c>
      <c r="N3323" s="26"/>
    </row>
    <row r="3324" spans="10:14" x14ac:dyDescent="0.25">
      <c r="J3324" s="25">
        <v>2.3367546425642649E-2</v>
      </c>
      <c r="N3324" s="26"/>
    </row>
    <row r="3325" spans="10:14" x14ac:dyDescent="0.25">
      <c r="J3325" s="25">
        <v>0.67510095654755831</v>
      </c>
      <c r="N3325" s="26"/>
    </row>
    <row r="3326" spans="10:14" x14ac:dyDescent="0.25">
      <c r="J3326" s="25">
        <v>-0.37057524993714952</v>
      </c>
      <c r="N3326" s="26"/>
    </row>
    <row r="3327" spans="10:14" x14ac:dyDescent="0.25">
      <c r="J3327" s="25">
        <v>0.20529690955385305</v>
      </c>
      <c r="N3327" s="26"/>
    </row>
    <row r="3328" spans="10:14" x14ac:dyDescent="0.25">
      <c r="J3328" s="25">
        <v>-0.10212352962961335</v>
      </c>
      <c r="N3328" s="26"/>
    </row>
    <row r="3329" spans="10:14" x14ac:dyDescent="0.25">
      <c r="J3329" s="25">
        <v>1.7485761142728817E-2</v>
      </c>
      <c r="N3329" s="26"/>
    </row>
    <row r="3330" spans="10:14" x14ac:dyDescent="0.25">
      <c r="J3330" s="25">
        <v>-0.17961897413929218</v>
      </c>
      <c r="N3330" s="26"/>
    </row>
    <row r="3331" spans="10:14" x14ac:dyDescent="0.25">
      <c r="J3331" s="25">
        <v>-0.1881470720464713</v>
      </c>
      <c r="N3331" s="26"/>
    </row>
    <row r="3332" spans="10:14" x14ac:dyDescent="0.25">
      <c r="J3332" s="25">
        <v>-0.28755199607056403</v>
      </c>
      <c r="N3332" s="26"/>
    </row>
    <row r="3333" spans="10:14" x14ac:dyDescent="0.25">
      <c r="J3333" s="25">
        <v>-0.17588777759178753</v>
      </c>
      <c r="N3333" s="26"/>
    </row>
    <row r="3334" spans="10:14" x14ac:dyDescent="0.25">
      <c r="J3334" s="25">
        <v>-0.37000863404156392</v>
      </c>
      <c r="N3334" s="26"/>
    </row>
    <row r="3335" spans="10:14" x14ac:dyDescent="0.25">
      <c r="J3335" s="25">
        <v>-0.34643001212426716</v>
      </c>
      <c r="N3335" s="26"/>
    </row>
    <row r="3336" spans="10:14" x14ac:dyDescent="0.25">
      <c r="J3336" s="25">
        <v>1.2302255980734782</v>
      </c>
      <c r="N3336" s="26"/>
    </row>
    <row r="3337" spans="10:14" x14ac:dyDescent="0.25">
      <c r="J3337" s="25">
        <v>0.11176055583481159</v>
      </c>
      <c r="N3337" s="26"/>
    </row>
    <row r="3338" spans="10:14" x14ac:dyDescent="0.25">
      <c r="J3338" s="25">
        <v>-0.44871374130835584</v>
      </c>
      <c r="N3338" s="26"/>
    </row>
    <row r="3339" spans="10:14" x14ac:dyDescent="0.25">
      <c r="J3339" s="25">
        <v>-0.29051043220340056</v>
      </c>
      <c r="N3339" s="26"/>
    </row>
    <row r="3340" spans="10:14" x14ac:dyDescent="0.25">
      <c r="J3340" s="25">
        <v>0.87048605474691976</v>
      </c>
      <c r="N3340" s="26"/>
    </row>
    <row r="3341" spans="10:14" x14ac:dyDescent="0.25">
      <c r="J3341" s="25">
        <v>6.3992326023454948E-2</v>
      </c>
      <c r="N3341" s="26"/>
    </row>
    <row r="3342" spans="10:14" x14ac:dyDescent="0.25">
      <c r="J3342" s="25">
        <v>7.9172988215166384E-2</v>
      </c>
      <c r="N3342" s="26"/>
    </row>
    <row r="3343" spans="10:14" x14ac:dyDescent="0.25">
      <c r="J3343" s="25">
        <v>0.29852266645994763</v>
      </c>
      <c r="N3343" s="26"/>
    </row>
    <row r="3344" spans="10:14" x14ac:dyDescent="0.25">
      <c r="J3344" s="25">
        <v>0.21232355120683222</v>
      </c>
      <c r="N3344" s="26"/>
    </row>
    <row r="3345" spans="10:14" x14ac:dyDescent="0.25">
      <c r="J3345" s="25">
        <v>5.0528529811842526E-2</v>
      </c>
      <c r="N3345" s="26"/>
    </row>
    <row r="3346" spans="10:14" x14ac:dyDescent="0.25">
      <c r="J3346" s="25">
        <v>-8.3985706008258165E-2</v>
      </c>
      <c r="N3346" s="26"/>
    </row>
    <row r="3347" spans="10:14" x14ac:dyDescent="0.25">
      <c r="J3347" s="25">
        <v>0.25910461800756712</v>
      </c>
      <c r="N3347" s="26"/>
    </row>
    <row r="3348" spans="10:14" x14ac:dyDescent="0.25">
      <c r="J3348" s="25">
        <v>4.1390640719514815E-2</v>
      </c>
      <c r="N3348" s="26"/>
    </row>
    <row r="3349" spans="10:14" x14ac:dyDescent="0.25">
      <c r="J3349" s="25">
        <v>0.2603644168457282</v>
      </c>
      <c r="N3349" s="26"/>
    </row>
    <row r="3350" spans="10:14" x14ac:dyDescent="0.25">
      <c r="J3350" s="25">
        <v>-0.12065655202374415</v>
      </c>
      <c r="N3350" s="26"/>
    </row>
    <row r="3351" spans="10:14" x14ac:dyDescent="0.25">
      <c r="J3351" s="25">
        <v>0.33373410477624788</v>
      </c>
      <c r="N3351" s="26"/>
    </row>
    <row r="3352" spans="10:14" x14ac:dyDescent="0.25">
      <c r="J3352" s="25">
        <v>-0.3932675890759465</v>
      </c>
      <c r="N3352" s="26"/>
    </row>
    <row r="3353" spans="10:14" x14ac:dyDescent="0.25">
      <c r="J3353" s="25">
        <v>-0.47722723527607591</v>
      </c>
      <c r="N3353" s="26"/>
    </row>
    <row r="3354" spans="10:14" x14ac:dyDescent="0.25">
      <c r="J3354" s="25">
        <v>0.18218247205810023</v>
      </c>
      <c r="N3354" s="26"/>
    </row>
    <row r="3355" spans="10:14" x14ac:dyDescent="0.25">
      <c r="J3355" s="25">
        <v>3.1143945715796928E-3</v>
      </c>
      <c r="N3355" s="26"/>
    </row>
    <row r="3356" spans="10:14" x14ac:dyDescent="0.25">
      <c r="J3356" s="25">
        <v>0.72678455089912797</v>
      </c>
      <c r="N3356" s="26"/>
    </row>
    <row r="3357" spans="10:14" x14ac:dyDescent="0.25">
      <c r="J3357" s="25">
        <v>-0.49475169611533065</v>
      </c>
      <c r="N3357" s="26"/>
    </row>
    <row r="3358" spans="10:14" x14ac:dyDescent="0.25">
      <c r="J3358" s="25">
        <v>0.22068846364888106</v>
      </c>
      <c r="N3358" s="26"/>
    </row>
    <row r="3359" spans="10:14" x14ac:dyDescent="0.25">
      <c r="J3359" s="25">
        <v>5.9353691339733006E-2</v>
      </c>
      <c r="N3359" s="26"/>
    </row>
    <row r="3360" spans="10:14" x14ac:dyDescent="0.25">
      <c r="J3360" s="25">
        <v>0.93211446396668252</v>
      </c>
      <c r="N3360" s="26"/>
    </row>
    <row r="3361" spans="10:14" x14ac:dyDescent="0.25">
      <c r="J3361" s="25">
        <v>0.23662716274916717</v>
      </c>
      <c r="N3361" s="26"/>
    </row>
    <row r="3362" spans="10:14" x14ac:dyDescent="0.25">
      <c r="J3362" s="25">
        <v>0.28971092483287819</v>
      </c>
      <c r="N3362" s="26"/>
    </row>
    <row r="3363" spans="10:14" x14ac:dyDescent="0.25">
      <c r="J3363" s="25">
        <v>-0.14854762122477905</v>
      </c>
      <c r="N3363" s="26"/>
    </row>
    <row r="3364" spans="10:14" x14ac:dyDescent="0.25">
      <c r="J3364" s="25">
        <v>-7.9459860849856456E-2</v>
      </c>
      <c r="N3364" s="26"/>
    </row>
    <row r="3365" spans="10:14" x14ac:dyDescent="0.25">
      <c r="J3365" s="25">
        <v>-1.5452852960822661E-2</v>
      </c>
      <c r="N3365" s="26"/>
    </row>
    <row r="3366" spans="10:14" x14ac:dyDescent="0.25">
      <c r="J3366" s="25">
        <v>-0.241144319417256</v>
      </c>
      <c r="N3366" s="26"/>
    </row>
    <row r="3367" spans="10:14" x14ac:dyDescent="0.25">
      <c r="J3367" s="25">
        <v>-0.42559220033795675</v>
      </c>
      <c r="N3367" s="26"/>
    </row>
    <row r="3368" spans="10:14" x14ac:dyDescent="0.25">
      <c r="J3368" s="25">
        <v>-0.165525809580506</v>
      </c>
      <c r="N3368" s="26"/>
    </row>
    <row r="3369" spans="10:14" x14ac:dyDescent="0.25">
      <c r="J3369" s="25">
        <v>-0.40365727660147521</v>
      </c>
      <c r="N3369" s="26"/>
    </row>
    <row r="3370" spans="10:14" x14ac:dyDescent="0.25">
      <c r="J3370" s="25">
        <v>0.22629324526521422</v>
      </c>
      <c r="N3370" s="26"/>
    </row>
    <row r="3371" spans="10:14" x14ac:dyDescent="0.25">
      <c r="J3371" s="25">
        <v>-0.36616802483290134</v>
      </c>
      <c r="N3371" s="26"/>
    </row>
    <row r="3372" spans="10:14" x14ac:dyDescent="0.25">
      <c r="J3372" s="25">
        <v>1.1420603796328495</v>
      </c>
      <c r="N3372" s="26"/>
    </row>
    <row r="3373" spans="10:14" x14ac:dyDescent="0.25">
      <c r="J3373" s="25">
        <v>-0.49797878283241692</v>
      </c>
      <c r="N3373" s="26"/>
    </row>
    <row r="3374" spans="10:14" x14ac:dyDescent="0.25">
      <c r="J3374" s="25">
        <v>0.17190234032901452</v>
      </c>
      <c r="N3374" s="26"/>
    </row>
    <row r="3375" spans="10:14" x14ac:dyDescent="0.25">
      <c r="J3375" s="25">
        <v>0.1608417032813354</v>
      </c>
      <c r="N3375" s="26"/>
    </row>
    <row r="3376" spans="10:14" x14ac:dyDescent="0.25">
      <c r="J3376" s="25">
        <v>0.29909059289027495</v>
      </c>
      <c r="N3376" s="26"/>
    </row>
    <row r="3377" spans="10:14" x14ac:dyDescent="0.25">
      <c r="J3377" s="25">
        <v>-0.25850481846293505</v>
      </c>
      <c r="N3377" s="26"/>
    </row>
    <row r="3378" spans="10:14" x14ac:dyDescent="0.25">
      <c r="J3378" s="25">
        <v>0.12216366771828957</v>
      </c>
      <c r="N3378" s="26"/>
    </row>
    <row r="3379" spans="10:14" x14ac:dyDescent="0.25">
      <c r="J3379" s="25">
        <v>0.57292010914376479</v>
      </c>
      <c r="N3379" s="26"/>
    </row>
    <row r="3380" spans="10:14" x14ac:dyDescent="0.25">
      <c r="J3380" s="25">
        <v>0.16307119650061241</v>
      </c>
      <c r="N3380" s="26"/>
    </row>
    <row r="3381" spans="10:14" x14ac:dyDescent="0.25">
      <c r="J3381" s="25">
        <v>0.2090514649872679</v>
      </c>
      <c r="N3381" s="26"/>
    </row>
    <row r="3382" spans="10:14" x14ac:dyDescent="0.25">
      <c r="J3382" s="25">
        <v>0.20127087092403695</v>
      </c>
      <c r="N3382" s="26"/>
    </row>
    <row r="3383" spans="10:14" x14ac:dyDescent="0.25">
      <c r="J3383" s="25">
        <v>2.7015657066824295E-2</v>
      </c>
      <c r="N3383" s="26"/>
    </row>
    <row r="3384" spans="10:14" x14ac:dyDescent="0.25">
      <c r="J3384" s="25">
        <v>-0.44635806313404103</v>
      </c>
      <c r="N3384" s="26"/>
    </row>
    <row r="3385" spans="10:14" x14ac:dyDescent="0.25">
      <c r="J3385" s="25">
        <v>2.4785823748486147E-2</v>
      </c>
      <c r="N3385" s="26"/>
    </row>
    <row r="3386" spans="10:14" x14ac:dyDescent="0.25">
      <c r="J3386" s="25">
        <v>0.58430457703640948</v>
      </c>
      <c r="N3386" s="26"/>
    </row>
    <row r="3387" spans="10:14" x14ac:dyDescent="0.25">
      <c r="J3387" s="25">
        <v>-0.33710131821457168</v>
      </c>
      <c r="N3387" s="26"/>
    </row>
    <row r="3388" spans="10:14" x14ac:dyDescent="0.25">
      <c r="J3388" s="25">
        <v>0.39735136917102643</v>
      </c>
      <c r="N3388" s="26"/>
    </row>
    <row r="3389" spans="10:14" x14ac:dyDescent="0.25">
      <c r="J3389" s="25">
        <v>0.70028923331330706</v>
      </c>
      <c r="N3389" s="26"/>
    </row>
    <row r="3390" spans="10:14" x14ac:dyDescent="0.25">
      <c r="J3390" s="25">
        <v>6.4029114872602433E-2</v>
      </c>
      <c r="N3390" s="26"/>
    </row>
    <row r="3391" spans="10:14" x14ac:dyDescent="0.25">
      <c r="J3391" s="25">
        <v>0.19703435767167621</v>
      </c>
      <c r="N3391" s="26"/>
    </row>
    <row r="3392" spans="10:14" x14ac:dyDescent="0.25">
      <c r="J3392" s="25">
        <v>-0.1689291046270136</v>
      </c>
      <c r="N3392" s="26"/>
    </row>
    <row r="3393" spans="10:14" x14ac:dyDescent="0.25">
      <c r="J3393" s="25">
        <v>-0.31133044546326982</v>
      </c>
      <c r="N3393" s="26"/>
    </row>
    <row r="3394" spans="10:14" x14ac:dyDescent="0.25">
      <c r="J3394" s="25">
        <v>-3.7796136245983547E-2</v>
      </c>
      <c r="N3394" s="26"/>
    </row>
    <row r="3395" spans="10:14" x14ac:dyDescent="0.25">
      <c r="J3395" s="25">
        <v>0.21580473643241094</v>
      </c>
      <c r="N3395" s="26"/>
    </row>
    <row r="3396" spans="10:14" x14ac:dyDescent="0.25">
      <c r="J3396" s="25">
        <v>7.3852711360705481E-2</v>
      </c>
      <c r="N3396" s="26"/>
    </row>
    <row r="3397" spans="10:14" x14ac:dyDescent="0.25">
      <c r="J3397" s="25">
        <v>1.8621763438870342E-2</v>
      </c>
      <c r="N3397" s="26"/>
    </row>
    <row r="3398" spans="10:14" x14ac:dyDescent="0.25">
      <c r="J3398" s="25">
        <v>0.2622504671066701</v>
      </c>
      <c r="N3398" s="26"/>
    </row>
    <row r="3399" spans="10:14" x14ac:dyDescent="0.25">
      <c r="J3399" s="25">
        <v>0.55838005671930357</v>
      </c>
      <c r="N3399" s="26"/>
    </row>
    <row r="3400" spans="10:14" x14ac:dyDescent="0.25">
      <c r="J3400" s="25">
        <v>0.31058350611795205</v>
      </c>
      <c r="N3400" s="26"/>
    </row>
    <row r="3401" spans="10:14" x14ac:dyDescent="0.25">
      <c r="J3401" s="25">
        <v>0.53369224434474805</v>
      </c>
      <c r="N3401" s="26"/>
    </row>
    <row r="3402" spans="10:14" x14ac:dyDescent="0.25">
      <c r="J3402" s="25">
        <v>5.3784689063436364E-3</v>
      </c>
      <c r="N3402" s="26"/>
    </row>
    <row r="3403" spans="10:14" x14ac:dyDescent="0.25">
      <c r="J3403" s="25">
        <v>-9.684128531359959E-2</v>
      </c>
      <c r="N3403" s="26"/>
    </row>
    <row r="3404" spans="10:14" x14ac:dyDescent="0.25">
      <c r="J3404" s="25">
        <v>-0.30190245847462005</v>
      </c>
      <c r="N3404" s="26"/>
    </row>
    <row r="3405" spans="10:14" x14ac:dyDescent="0.25">
      <c r="J3405" s="25">
        <v>-0.23176792155940018</v>
      </c>
      <c r="N3405" s="26"/>
    </row>
    <row r="3406" spans="10:14" x14ac:dyDescent="0.25">
      <c r="J3406" s="25">
        <v>-0.53677338963260712</v>
      </c>
      <c r="N3406" s="26"/>
    </row>
    <row r="3407" spans="10:14" x14ac:dyDescent="0.25">
      <c r="J3407" s="25">
        <v>-0.34380168989150217</v>
      </c>
      <c r="N3407" s="26"/>
    </row>
    <row r="3408" spans="10:14" x14ac:dyDescent="0.25">
      <c r="J3408" s="25">
        <v>0.53851385924365447</v>
      </c>
      <c r="N3408" s="26"/>
    </row>
    <row r="3409" spans="10:14" x14ac:dyDescent="0.25">
      <c r="J3409" s="25">
        <v>-0.31153661734161098</v>
      </c>
      <c r="N3409" s="26"/>
    </row>
    <row r="3410" spans="10:14" x14ac:dyDescent="0.25">
      <c r="J3410" s="25">
        <v>-0.17342703679077642</v>
      </c>
      <c r="N3410" s="26"/>
    </row>
    <row r="3411" spans="10:14" x14ac:dyDescent="0.25">
      <c r="J3411" s="25">
        <v>-0.2341247812632048</v>
      </c>
      <c r="N3411" s="26"/>
    </row>
    <row r="3412" spans="10:14" x14ac:dyDescent="0.25">
      <c r="J3412" s="25">
        <v>0.23046234802629573</v>
      </c>
      <c r="N3412" s="26"/>
    </row>
    <row r="3413" spans="10:14" x14ac:dyDescent="0.25">
      <c r="J3413" s="25">
        <v>-1.0987286473293834E-2</v>
      </c>
      <c r="N3413" s="26"/>
    </row>
    <row r="3414" spans="10:14" x14ac:dyDescent="0.25">
      <c r="J3414" s="25">
        <v>7.6046631645951823E-3</v>
      </c>
      <c r="N3414" s="26"/>
    </row>
    <row r="3415" spans="10:14" x14ac:dyDescent="0.25">
      <c r="J3415" s="25">
        <v>-8.4679214166906269E-2</v>
      </c>
      <c r="N3415" s="26"/>
    </row>
    <row r="3416" spans="10:14" x14ac:dyDescent="0.25">
      <c r="J3416" s="25">
        <v>0.10079718781814684</v>
      </c>
      <c r="N3416" s="26"/>
    </row>
    <row r="3417" spans="10:14" x14ac:dyDescent="0.25">
      <c r="J3417" s="25">
        <v>0.25159014893582987</v>
      </c>
      <c r="N3417" s="26"/>
    </row>
    <row r="3418" spans="10:14" x14ac:dyDescent="0.25">
      <c r="J3418" s="25">
        <v>5.0088065464021225E-2</v>
      </c>
      <c r="N3418" s="26"/>
    </row>
    <row r="3419" spans="10:14" x14ac:dyDescent="0.25">
      <c r="J3419" s="25">
        <v>-0.22232682673124227</v>
      </c>
      <c r="N3419" s="26"/>
    </row>
    <row r="3420" spans="10:14" x14ac:dyDescent="0.25">
      <c r="J3420" s="25">
        <v>1.1430832545287775</v>
      </c>
      <c r="N3420" s="26"/>
    </row>
    <row r="3421" spans="10:14" x14ac:dyDescent="0.25">
      <c r="J3421" s="25">
        <v>0.30404185938446227</v>
      </c>
      <c r="N3421" s="26"/>
    </row>
    <row r="3422" spans="10:14" x14ac:dyDescent="0.25">
      <c r="J3422" s="25">
        <v>-0.17908066274736345</v>
      </c>
      <c r="N3422" s="26"/>
    </row>
    <row r="3423" spans="10:14" x14ac:dyDescent="0.25">
      <c r="J3423" s="25">
        <v>-3.3962371730935637E-2</v>
      </c>
      <c r="N3423" s="26"/>
    </row>
    <row r="3424" spans="10:14" x14ac:dyDescent="0.25">
      <c r="J3424" s="25">
        <v>0.92367934901749704</v>
      </c>
      <c r="N3424" s="26"/>
    </row>
    <row r="3425" spans="10:14" x14ac:dyDescent="0.25">
      <c r="J3425" s="25">
        <v>-0.38016512119113921</v>
      </c>
      <c r="N3425" s="26"/>
    </row>
    <row r="3426" spans="10:14" x14ac:dyDescent="0.25">
      <c r="J3426" s="25">
        <v>0.56680141538491258</v>
      </c>
      <c r="N3426" s="26"/>
    </row>
    <row r="3427" spans="10:14" x14ac:dyDescent="0.25">
      <c r="J3427" s="25">
        <v>-0.28289255457067597</v>
      </c>
      <c r="N3427" s="26"/>
    </row>
    <row r="3428" spans="10:14" x14ac:dyDescent="0.25">
      <c r="J3428" s="25">
        <v>0.89364121802837704</v>
      </c>
      <c r="N3428" s="26"/>
    </row>
    <row r="3429" spans="10:14" x14ac:dyDescent="0.25">
      <c r="J3429" s="25">
        <v>4.8463506693770197E-2</v>
      </c>
      <c r="N3429" s="26"/>
    </row>
    <row r="3430" spans="10:14" x14ac:dyDescent="0.25">
      <c r="J3430" s="25">
        <v>0.79469994336162264</v>
      </c>
      <c r="N3430" s="26"/>
    </row>
    <row r="3431" spans="10:14" x14ac:dyDescent="0.25">
      <c r="J3431" s="25">
        <v>0.26420217299702542</v>
      </c>
      <c r="N3431" s="26"/>
    </row>
    <row r="3432" spans="10:14" x14ac:dyDescent="0.25">
      <c r="J3432" s="25">
        <v>-0.29642395230194518</v>
      </c>
      <c r="N3432" s="26"/>
    </row>
    <row r="3433" spans="10:14" x14ac:dyDescent="0.25">
      <c r="J3433" s="25">
        <v>-0.2223535176713306</v>
      </c>
      <c r="N3433" s="26"/>
    </row>
    <row r="3434" spans="10:14" x14ac:dyDescent="0.25">
      <c r="J3434" s="25">
        <v>0.40485998673382007</v>
      </c>
      <c r="N3434" s="26"/>
    </row>
    <row r="3435" spans="10:14" x14ac:dyDescent="0.25">
      <c r="J3435" s="25">
        <v>9.6248118065093813E-2</v>
      </c>
      <c r="N3435" s="26"/>
    </row>
    <row r="3436" spans="10:14" x14ac:dyDescent="0.25">
      <c r="J3436" s="25">
        <v>0.59501258500257759</v>
      </c>
      <c r="N3436" s="26"/>
    </row>
    <row r="3437" spans="10:14" x14ac:dyDescent="0.25">
      <c r="J3437" s="25">
        <v>-0.40383612999458041</v>
      </c>
      <c r="N3437" s="26"/>
    </row>
    <row r="3438" spans="10:14" x14ac:dyDescent="0.25">
      <c r="J3438" s="25">
        <v>-4.1754413339147201E-2</v>
      </c>
      <c r="N3438" s="26"/>
    </row>
    <row r="3439" spans="10:14" x14ac:dyDescent="0.25">
      <c r="J3439" s="25">
        <v>-4.5375398529868827E-2</v>
      </c>
      <c r="N3439" s="26"/>
    </row>
    <row r="3440" spans="10:14" x14ac:dyDescent="0.25">
      <c r="J3440" s="25">
        <v>-0.40438133480686345</v>
      </c>
      <c r="N3440" s="26"/>
    </row>
    <row r="3441" spans="10:14" x14ac:dyDescent="0.25">
      <c r="J3441" s="25">
        <v>-0.3922894813988842</v>
      </c>
      <c r="N3441" s="26"/>
    </row>
    <row r="3442" spans="10:14" x14ac:dyDescent="0.25">
      <c r="J3442" s="25">
        <v>-0.34891820501893633</v>
      </c>
      <c r="N3442" s="26"/>
    </row>
    <row r="3443" spans="10:14" x14ac:dyDescent="0.25">
      <c r="J3443" s="25">
        <v>0.43889967501994143</v>
      </c>
      <c r="N3443" s="26"/>
    </row>
    <row r="3444" spans="10:14" x14ac:dyDescent="0.25">
      <c r="J3444" s="25">
        <v>1.046155468567</v>
      </c>
      <c r="N3444" s="26"/>
    </row>
    <row r="3445" spans="10:14" x14ac:dyDescent="0.25">
      <c r="J3445" s="25">
        <v>0.58547988595428402</v>
      </c>
      <c r="N3445" s="26"/>
    </row>
    <row r="3446" spans="10:14" x14ac:dyDescent="0.25">
      <c r="J3446" s="25">
        <v>-0.25848969399592858</v>
      </c>
      <c r="N3446" s="26"/>
    </row>
    <row r="3447" spans="10:14" x14ac:dyDescent="0.25">
      <c r="J3447" s="25">
        <v>-0.22511631420489742</v>
      </c>
      <c r="N3447" s="26"/>
    </row>
    <row r="3448" spans="10:14" x14ac:dyDescent="0.25">
      <c r="J3448" s="25">
        <v>-0.28751299935815322</v>
      </c>
      <c r="N3448" s="26"/>
    </row>
    <row r="3449" spans="10:14" x14ac:dyDescent="0.25">
      <c r="J3449" s="25">
        <v>0.17105781462767733</v>
      </c>
      <c r="N3449" s="26"/>
    </row>
    <row r="3450" spans="10:14" x14ac:dyDescent="0.25">
      <c r="J3450" s="25">
        <v>0.20571524699815646</v>
      </c>
      <c r="N3450" s="26"/>
    </row>
    <row r="3451" spans="10:14" x14ac:dyDescent="0.25">
      <c r="J3451" s="25">
        <v>0.40972955792099253</v>
      </c>
      <c r="N3451" s="26"/>
    </row>
    <row r="3452" spans="10:14" x14ac:dyDescent="0.25">
      <c r="J3452" s="25">
        <v>-0.40168780090781653</v>
      </c>
      <c r="N3452" s="26"/>
    </row>
    <row r="3453" spans="10:14" x14ac:dyDescent="0.25">
      <c r="J3453" s="25">
        <v>2.8182134700512895E-2</v>
      </c>
      <c r="N3453" s="26"/>
    </row>
    <row r="3454" spans="10:14" x14ac:dyDescent="0.25">
      <c r="J3454" s="25">
        <v>0.29501859341652525</v>
      </c>
      <c r="N3454" s="26"/>
    </row>
    <row r="3455" spans="10:14" x14ac:dyDescent="0.25">
      <c r="J3455" s="25">
        <v>-0.22355281795525772</v>
      </c>
      <c r="N3455" s="26"/>
    </row>
    <row r="3456" spans="10:14" x14ac:dyDescent="0.25">
      <c r="J3456" s="25">
        <v>0.17624290384624341</v>
      </c>
      <c r="N3456" s="26"/>
    </row>
    <row r="3457" spans="10:14" x14ac:dyDescent="0.25">
      <c r="J3457" s="25">
        <v>-0.1186753704246124</v>
      </c>
      <c r="N3457" s="26"/>
    </row>
    <row r="3458" spans="10:14" x14ac:dyDescent="0.25">
      <c r="J3458" s="25">
        <v>0.91266373833279402</v>
      </c>
      <c r="N3458" s="26"/>
    </row>
    <row r="3459" spans="10:14" x14ac:dyDescent="0.25">
      <c r="J3459" s="25">
        <v>5.8418412516498819E-2</v>
      </c>
      <c r="N3459" s="26"/>
    </row>
    <row r="3460" spans="10:14" x14ac:dyDescent="0.25">
      <c r="J3460" s="25">
        <v>0.12537080993884953</v>
      </c>
      <c r="N3460" s="26"/>
    </row>
    <row r="3461" spans="10:14" x14ac:dyDescent="0.25">
      <c r="J3461" s="25">
        <v>-0.2747533272531808</v>
      </c>
      <c r="N3461" s="26"/>
    </row>
    <row r="3462" spans="10:14" x14ac:dyDescent="0.25">
      <c r="J3462" s="25">
        <v>-0.32491226571392029</v>
      </c>
      <c r="N3462" s="26"/>
    </row>
    <row r="3463" spans="10:14" x14ac:dyDescent="0.25">
      <c r="J3463" s="25">
        <v>0.30469676742633656</v>
      </c>
      <c r="N3463" s="26"/>
    </row>
    <row r="3464" spans="10:14" x14ac:dyDescent="0.25">
      <c r="J3464" s="25">
        <v>-0.10328182222903015</v>
      </c>
      <c r="N3464" s="26"/>
    </row>
    <row r="3465" spans="10:14" x14ac:dyDescent="0.25">
      <c r="J3465" s="25">
        <v>-0.28674834975326235</v>
      </c>
      <c r="N3465" s="26"/>
    </row>
    <row r="3466" spans="10:14" x14ac:dyDescent="0.25">
      <c r="J3466" s="25">
        <v>6.7501135692318526E-2</v>
      </c>
      <c r="N3466" s="26"/>
    </row>
    <row r="3467" spans="10:14" x14ac:dyDescent="0.25">
      <c r="J3467" s="25">
        <v>-0.12987652586719911</v>
      </c>
      <c r="N3467" s="26"/>
    </row>
    <row r="3468" spans="10:14" x14ac:dyDescent="0.25">
      <c r="J3468" s="25">
        <v>0.28758405642724827</v>
      </c>
      <c r="N3468" s="26"/>
    </row>
    <row r="3469" spans="10:14" x14ac:dyDescent="0.25">
      <c r="J3469" s="25">
        <v>0.54215436529409766</v>
      </c>
      <c r="N3469" s="26"/>
    </row>
    <row r="3470" spans="10:14" x14ac:dyDescent="0.25">
      <c r="J3470" s="25">
        <v>-0.43831626227151332</v>
      </c>
      <c r="N3470" s="26"/>
    </row>
    <row r="3471" spans="10:14" x14ac:dyDescent="0.25">
      <c r="J3471" s="25">
        <v>1.0235507702761493</v>
      </c>
      <c r="N3471" s="26"/>
    </row>
    <row r="3472" spans="10:14" x14ac:dyDescent="0.25">
      <c r="J3472" s="25">
        <v>0.46386018407636143</v>
      </c>
      <c r="N3472" s="26"/>
    </row>
    <row r="3473" spans="10:14" x14ac:dyDescent="0.25">
      <c r="J3473" s="25">
        <v>0.16953096492424202</v>
      </c>
      <c r="N3473" s="26"/>
    </row>
    <row r="3474" spans="10:14" x14ac:dyDescent="0.25">
      <c r="J3474" s="25">
        <v>-0.14282352483628569</v>
      </c>
      <c r="N3474" s="26"/>
    </row>
    <row r="3475" spans="10:14" x14ac:dyDescent="0.25">
      <c r="J3475" s="25">
        <v>6.016909577557561E-2</v>
      </c>
      <c r="N3475" s="26"/>
    </row>
    <row r="3476" spans="10:14" x14ac:dyDescent="0.25">
      <c r="J3476" s="25">
        <v>0.26162239404977838</v>
      </c>
      <c r="N3476" s="26"/>
    </row>
    <row r="3477" spans="10:14" x14ac:dyDescent="0.25">
      <c r="J3477" s="25">
        <v>-0.19438164093938581</v>
      </c>
      <c r="N3477" s="26"/>
    </row>
    <row r="3478" spans="10:14" x14ac:dyDescent="0.25">
      <c r="J3478" s="25">
        <v>0.20381318697594919</v>
      </c>
      <c r="N3478" s="26"/>
    </row>
    <row r="3479" spans="10:14" x14ac:dyDescent="0.25">
      <c r="J3479" s="25">
        <v>3.8853237665822826E-2</v>
      </c>
      <c r="N3479" s="26"/>
    </row>
    <row r="3480" spans="10:14" x14ac:dyDescent="0.25">
      <c r="J3480" s="25">
        <v>0.33646201213990734</v>
      </c>
      <c r="N3480" s="26"/>
    </row>
    <row r="3481" spans="10:14" x14ac:dyDescent="0.25">
      <c r="J3481" s="25">
        <v>-0.11189489635750705</v>
      </c>
      <c r="N3481" s="26"/>
    </row>
    <row r="3482" spans="10:14" x14ac:dyDescent="0.25">
      <c r="J3482" s="25">
        <v>0.53072455567533106</v>
      </c>
      <c r="N3482" s="26"/>
    </row>
    <row r="3483" spans="10:14" x14ac:dyDescent="0.25">
      <c r="J3483" s="25">
        <v>-0.36781299048846428</v>
      </c>
      <c r="N3483" s="26"/>
    </row>
    <row r="3484" spans="10:14" x14ac:dyDescent="0.25">
      <c r="J3484" s="25">
        <v>0.37066187179094912</v>
      </c>
      <c r="N3484" s="26"/>
    </row>
    <row r="3485" spans="10:14" x14ac:dyDescent="0.25">
      <c r="J3485" s="25">
        <v>-0.33825248789234841</v>
      </c>
      <c r="N3485" s="26"/>
    </row>
    <row r="3486" spans="10:14" x14ac:dyDescent="0.25">
      <c r="J3486" s="25">
        <v>3.9960792084106966E-2</v>
      </c>
      <c r="N3486" s="26"/>
    </row>
    <row r="3487" spans="10:14" x14ac:dyDescent="0.25">
      <c r="J3487" s="25">
        <v>-0.37819424842695371</v>
      </c>
      <c r="N3487" s="26"/>
    </row>
    <row r="3488" spans="10:14" x14ac:dyDescent="0.25">
      <c r="J3488" s="25">
        <v>-0.32620035662032354</v>
      </c>
      <c r="N3488" s="26"/>
    </row>
    <row r="3489" spans="10:14" x14ac:dyDescent="0.25">
      <c r="J3489" s="25">
        <v>0.43252748857531476</v>
      </c>
      <c r="N3489" s="26"/>
    </row>
    <row r="3490" spans="10:14" x14ac:dyDescent="0.25">
      <c r="J3490" s="25">
        <v>-0.20953835324873094</v>
      </c>
      <c r="N3490" s="26"/>
    </row>
    <row r="3491" spans="10:14" x14ac:dyDescent="0.25">
      <c r="J3491" s="25">
        <v>-9.6095660343096134E-2</v>
      </c>
      <c r="N3491" s="26"/>
    </row>
    <row r="3492" spans="10:14" x14ac:dyDescent="0.25">
      <c r="J3492" s="25">
        <v>-2.7217935936794224E-2</v>
      </c>
      <c r="N3492" s="26"/>
    </row>
    <row r="3493" spans="10:14" x14ac:dyDescent="0.25">
      <c r="J3493" s="25">
        <v>-0.50290921588547111</v>
      </c>
      <c r="N3493" s="26"/>
    </row>
    <row r="3494" spans="10:14" x14ac:dyDescent="0.25">
      <c r="J3494" s="25">
        <v>-0.39948033217380974</v>
      </c>
      <c r="N3494" s="26"/>
    </row>
    <row r="3495" spans="10:14" x14ac:dyDescent="0.25">
      <c r="J3495" s="25">
        <v>-0.47686442090926129</v>
      </c>
      <c r="N3495" s="26"/>
    </row>
    <row r="3496" spans="10:14" x14ac:dyDescent="0.25">
      <c r="J3496" s="25">
        <v>-0.38116993327957627</v>
      </c>
      <c r="N3496" s="26"/>
    </row>
    <row r="3497" spans="10:14" x14ac:dyDescent="0.25">
      <c r="J3497" s="25">
        <v>0.2176715403709133</v>
      </c>
      <c r="N3497" s="26"/>
    </row>
    <row r="3498" spans="10:14" x14ac:dyDescent="0.25">
      <c r="J3498" s="25">
        <v>-0.27429319400243024</v>
      </c>
      <c r="N3498" s="26"/>
    </row>
    <row r="3499" spans="10:14" x14ac:dyDescent="0.25">
      <c r="J3499" s="25">
        <v>-0.39854598313728939</v>
      </c>
      <c r="N3499" s="26"/>
    </row>
    <row r="3500" spans="10:14" x14ac:dyDescent="0.25">
      <c r="J3500" s="25">
        <v>0.48481585566783791</v>
      </c>
      <c r="N3500" s="26"/>
    </row>
    <row r="3501" spans="10:14" x14ac:dyDescent="0.25">
      <c r="J3501" s="25">
        <v>0.3171250001768473</v>
      </c>
      <c r="N3501" s="26"/>
    </row>
    <row r="3502" spans="10:14" x14ac:dyDescent="0.25">
      <c r="J3502" s="25">
        <v>0.31942718184125707</v>
      </c>
      <c r="N3502" s="26"/>
    </row>
    <row r="3503" spans="10:14" x14ac:dyDescent="0.25">
      <c r="J3503" s="25">
        <v>-0.3745879415848038</v>
      </c>
      <c r="N3503" s="26"/>
    </row>
    <row r="3504" spans="10:14" x14ac:dyDescent="0.25">
      <c r="J3504" s="25">
        <v>-0.20649774204850602</v>
      </c>
      <c r="N3504" s="26"/>
    </row>
    <row r="3505" spans="10:14" x14ac:dyDescent="0.25">
      <c r="J3505" s="25">
        <v>-0.20713800458954701</v>
      </c>
      <c r="N3505" s="26"/>
    </row>
    <row r="3506" spans="10:14" x14ac:dyDescent="0.25">
      <c r="J3506" s="25">
        <v>-0.1364921858077619</v>
      </c>
      <c r="N3506" s="26"/>
    </row>
    <row r="3507" spans="10:14" x14ac:dyDescent="0.25">
      <c r="J3507" s="25">
        <v>0.10455380477460974</v>
      </c>
      <c r="N3507" s="26"/>
    </row>
    <row r="3508" spans="10:14" x14ac:dyDescent="0.25">
      <c r="J3508" s="25">
        <v>0.38484351169573139</v>
      </c>
      <c r="N3508" s="26"/>
    </row>
    <row r="3509" spans="10:14" x14ac:dyDescent="0.25">
      <c r="J3509" s="25">
        <v>0.19047577152637096</v>
      </c>
      <c r="N3509" s="26"/>
    </row>
    <row r="3510" spans="10:14" x14ac:dyDescent="0.25">
      <c r="J3510" s="25">
        <v>0.57635821091723094</v>
      </c>
      <c r="N3510" s="26"/>
    </row>
    <row r="3511" spans="10:14" x14ac:dyDescent="0.25">
      <c r="J3511" s="25">
        <v>-0.19977704432874477</v>
      </c>
      <c r="N3511" s="26"/>
    </row>
    <row r="3512" spans="10:14" x14ac:dyDescent="0.25">
      <c r="J3512" s="25">
        <v>0.28277092838014672</v>
      </c>
      <c r="N3512" s="26"/>
    </row>
    <row r="3513" spans="10:14" x14ac:dyDescent="0.25">
      <c r="J3513" s="25">
        <v>-0.28944814301880162</v>
      </c>
      <c r="N3513" s="26"/>
    </row>
    <row r="3514" spans="10:14" x14ac:dyDescent="0.25">
      <c r="J3514" s="25">
        <v>-1.0513554573081008E-2</v>
      </c>
      <c r="N3514" s="26"/>
    </row>
    <row r="3515" spans="10:14" x14ac:dyDescent="0.25">
      <c r="J3515" s="25">
        <v>0.28158831630508097</v>
      </c>
      <c r="N3515" s="26"/>
    </row>
    <row r="3516" spans="10:14" x14ac:dyDescent="0.25">
      <c r="J3516" s="25">
        <v>0.73397635256194982</v>
      </c>
      <c r="N3516" s="26"/>
    </row>
    <row r="3517" spans="10:14" x14ac:dyDescent="0.25">
      <c r="J3517" s="25">
        <v>-5.4882664974793771E-2</v>
      </c>
      <c r="N3517" s="26"/>
    </row>
    <row r="3518" spans="10:14" x14ac:dyDescent="0.25">
      <c r="J3518" s="25">
        <v>0.56020141738679197</v>
      </c>
      <c r="N3518" s="26"/>
    </row>
    <row r="3519" spans="10:14" x14ac:dyDescent="0.25">
      <c r="J3519" s="25">
        <v>-0.37874711127057048</v>
      </c>
      <c r="N3519" s="26"/>
    </row>
    <row r="3520" spans="10:14" x14ac:dyDescent="0.25">
      <c r="J3520" s="25">
        <v>0.95855226268290705</v>
      </c>
      <c r="N3520" s="26"/>
    </row>
    <row r="3521" spans="10:14" x14ac:dyDescent="0.25">
      <c r="J3521" s="25">
        <v>0.63009729083523625</v>
      </c>
      <c r="N3521" s="26"/>
    </row>
    <row r="3522" spans="10:14" x14ac:dyDescent="0.25">
      <c r="J3522" s="25">
        <v>-0.21732257609274874</v>
      </c>
      <c r="N3522" s="26"/>
    </row>
    <row r="3523" spans="10:14" x14ac:dyDescent="0.25">
      <c r="J3523" s="25">
        <v>-0.40927711326452143</v>
      </c>
      <c r="N3523" s="26"/>
    </row>
    <row r="3524" spans="10:14" x14ac:dyDescent="0.25">
      <c r="J3524" s="25">
        <v>0.59465884495554322</v>
      </c>
      <c r="N3524" s="26"/>
    </row>
    <row r="3525" spans="10:14" x14ac:dyDescent="0.25">
      <c r="J3525" s="25">
        <v>0.2294613057142354</v>
      </c>
      <c r="N3525" s="26"/>
    </row>
    <row r="3526" spans="10:14" x14ac:dyDescent="0.25">
      <c r="J3526" s="25">
        <v>-0.30732303250313864</v>
      </c>
      <c r="N3526" s="26"/>
    </row>
    <row r="3527" spans="10:14" x14ac:dyDescent="0.25">
      <c r="J3527" s="25">
        <v>0.94081220972520319</v>
      </c>
      <c r="N3527" s="26"/>
    </row>
    <row r="3528" spans="10:14" x14ac:dyDescent="0.25">
      <c r="J3528" s="25">
        <v>-0.23651228935030144</v>
      </c>
      <c r="N3528" s="26"/>
    </row>
    <row r="3529" spans="10:14" x14ac:dyDescent="0.25">
      <c r="J3529" s="25">
        <v>0.39896800316415759</v>
      </c>
      <c r="N3529" s="26"/>
    </row>
    <row r="3530" spans="10:14" x14ac:dyDescent="0.25">
      <c r="J3530" s="25">
        <v>-0.40877834933737822</v>
      </c>
      <c r="N3530" s="26"/>
    </row>
    <row r="3531" spans="10:14" x14ac:dyDescent="0.25">
      <c r="J3531" s="25">
        <v>-0.27405121967249169</v>
      </c>
      <c r="N3531" s="26"/>
    </row>
    <row r="3532" spans="10:14" x14ac:dyDescent="0.25">
      <c r="J3532" s="25">
        <v>3.1062601719407112E-2</v>
      </c>
      <c r="N3532" s="26"/>
    </row>
    <row r="3533" spans="10:14" x14ac:dyDescent="0.25">
      <c r="J3533" s="25">
        <v>0.39527087285307427</v>
      </c>
      <c r="N3533" s="26"/>
    </row>
    <row r="3534" spans="10:14" x14ac:dyDescent="0.25">
      <c r="J3534" s="25">
        <v>-0.48978492823661435</v>
      </c>
      <c r="N3534" s="26"/>
    </row>
    <row r="3535" spans="10:14" x14ac:dyDescent="0.25">
      <c r="J3535" s="25">
        <v>-7.6721479387225289E-2</v>
      </c>
      <c r="N3535" s="26"/>
    </row>
    <row r="3536" spans="10:14" x14ac:dyDescent="0.25">
      <c r="J3536" s="25">
        <v>0.34401251297758884</v>
      </c>
      <c r="N3536" s="26"/>
    </row>
    <row r="3537" spans="10:14" x14ac:dyDescent="0.25">
      <c r="J3537" s="25">
        <v>0.54462856613289423</v>
      </c>
      <c r="N3537" s="26"/>
    </row>
    <row r="3538" spans="10:14" x14ac:dyDescent="0.25">
      <c r="J3538" s="25">
        <v>-7.4731102095800361E-2</v>
      </c>
      <c r="N3538" s="26"/>
    </row>
    <row r="3539" spans="10:14" x14ac:dyDescent="0.25">
      <c r="J3539" s="25">
        <v>0.95615766764747434</v>
      </c>
      <c r="N3539" s="26"/>
    </row>
    <row r="3540" spans="10:14" x14ac:dyDescent="0.25">
      <c r="J3540" s="25">
        <v>0.57530224670074581</v>
      </c>
      <c r="N3540" s="26"/>
    </row>
    <row r="3541" spans="10:14" x14ac:dyDescent="0.25">
      <c r="J3541" s="25">
        <v>0.44084467897702506</v>
      </c>
      <c r="N3541" s="26"/>
    </row>
    <row r="3542" spans="10:14" x14ac:dyDescent="0.25">
      <c r="J3542" s="25">
        <v>0.1347494699686369</v>
      </c>
      <c r="N3542" s="26"/>
    </row>
    <row r="3543" spans="10:14" x14ac:dyDescent="0.25">
      <c r="J3543" s="25">
        <v>-6.2244942176563955E-2</v>
      </c>
      <c r="N3543" s="26"/>
    </row>
    <row r="3544" spans="10:14" x14ac:dyDescent="0.25">
      <c r="J3544" s="25">
        <v>0.2695468613266534</v>
      </c>
      <c r="N3544" s="26"/>
    </row>
    <row r="3545" spans="10:14" x14ac:dyDescent="0.25">
      <c r="J3545" s="25">
        <v>-2.453404755959554E-2</v>
      </c>
      <c r="N3545" s="26"/>
    </row>
    <row r="3546" spans="10:14" x14ac:dyDescent="0.25">
      <c r="J3546" s="25">
        <v>-4.9351772996231502E-2</v>
      </c>
      <c r="N3546" s="26"/>
    </row>
    <row r="3547" spans="10:14" x14ac:dyDescent="0.25">
      <c r="J3547" s="25">
        <v>-0.3606494429245839</v>
      </c>
      <c r="N3547" s="26"/>
    </row>
    <row r="3548" spans="10:14" x14ac:dyDescent="0.25">
      <c r="J3548" s="25">
        <v>0.62021549567966239</v>
      </c>
      <c r="N3548" s="26"/>
    </row>
    <row r="3549" spans="10:14" x14ac:dyDescent="0.25">
      <c r="J3549" s="25">
        <v>-0.46684922731210599</v>
      </c>
      <c r="N3549" s="26"/>
    </row>
    <row r="3550" spans="10:14" x14ac:dyDescent="0.25">
      <c r="J3550" s="25">
        <v>0.16433060206047889</v>
      </c>
      <c r="N3550" s="26"/>
    </row>
    <row r="3551" spans="10:14" x14ac:dyDescent="0.25">
      <c r="J3551" s="25">
        <v>-0.38690668145613349</v>
      </c>
      <c r="N3551" s="26"/>
    </row>
    <row r="3552" spans="10:14" x14ac:dyDescent="0.25">
      <c r="J3552" s="25">
        <v>-0.13015992619941619</v>
      </c>
      <c r="N3552" s="26"/>
    </row>
    <row r="3553" spans="10:14" x14ac:dyDescent="0.25">
      <c r="J3553" s="25">
        <v>-0.32647037446304827</v>
      </c>
      <c r="N3553" s="26"/>
    </row>
    <row r="3554" spans="10:14" x14ac:dyDescent="0.25">
      <c r="J3554" s="25">
        <v>0.56424926559563704</v>
      </c>
      <c r="N3554" s="26"/>
    </row>
    <row r="3555" spans="10:14" x14ac:dyDescent="0.25">
      <c r="J3555" s="25">
        <v>-0.29038648656121291</v>
      </c>
      <c r="N3555" s="26"/>
    </row>
    <row r="3556" spans="10:14" x14ac:dyDescent="0.25">
      <c r="J3556" s="25">
        <v>-0.39339153067388311</v>
      </c>
      <c r="N3556" s="26"/>
    </row>
    <row r="3557" spans="10:14" x14ac:dyDescent="0.25">
      <c r="J3557" s="25">
        <v>0.13242986753573316</v>
      </c>
      <c r="N3557" s="26"/>
    </row>
    <row r="3558" spans="10:14" x14ac:dyDescent="0.25">
      <c r="J3558" s="25">
        <v>0.54623690789494872</v>
      </c>
      <c r="N3558" s="26"/>
    </row>
    <row r="3559" spans="10:14" x14ac:dyDescent="0.25">
      <c r="J3559" s="25">
        <v>-0.19338398828086156</v>
      </c>
      <c r="N3559" s="26"/>
    </row>
    <row r="3560" spans="10:14" x14ac:dyDescent="0.25">
      <c r="J3560" s="25">
        <v>-0.36401674657713734</v>
      </c>
      <c r="N3560" s="26"/>
    </row>
    <row r="3561" spans="10:14" x14ac:dyDescent="0.25">
      <c r="J3561" s="25">
        <v>-7.5341076393810602E-2</v>
      </c>
      <c r="N3561" s="26"/>
    </row>
    <row r="3562" spans="10:14" x14ac:dyDescent="0.25">
      <c r="J3562" s="25">
        <v>4.2148141088518942E-2</v>
      </c>
      <c r="N3562" s="26"/>
    </row>
    <row r="3563" spans="10:14" x14ac:dyDescent="0.25">
      <c r="J3563" s="25">
        <v>-0.23633820875873157</v>
      </c>
      <c r="N3563" s="26"/>
    </row>
    <row r="3564" spans="10:14" x14ac:dyDescent="0.25">
      <c r="J3564" s="25">
        <v>-0.38700370070290402</v>
      </c>
      <c r="N3564" s="26"/>
    </row>
    <row r="3565" spans="10:14" x14ac:dyDescent="0.25">
      <c r="J3565" s="25">
        <v>-0.14806822466717329</v>
      </c>
      <c r="N3565" s="26"/>
    </row>
    <row r="3566" spans="10:14" x14ac:dyDescent="0.25">
      <c r="J3566" s="25">
        <v>-0.25846778299285633</v>
      </c>
      <c r="N3566" s="26"/>
    </row>
    <row r="3567" spans="10:14" x14ac:dyDescent="0.25">
      <c r="J3567" s="25">
        <v>-0.11650336009443241</v>
      </c>
      <c r="N3567" s="26"/>
    </row>
    <row r="3568" spans="10:14" x14ac:dyDescent="0.25">
      <c r="J3568" s="25">
        <v>-0.34284687260943281</v>
      </c>
      <c r="N3568" s="26"/>
    </row>
    <row r="3569" spans="10:14" x14ac:dyDescent="0.25">
      <c r="J3569" s="25">
        <v>-4.7723687874765663E-2</v>
      </c>
      <c r="N3569" s="26"/>
    </row>
    <row r="3570" spans="10:14" x14ac:dyDescent="0.25">
      <c r="J3570" s="25">
        <v>-0.34370931342981348</v>
      </c>
      <c r="N3570" s="26"/>
    </row>
    <row r="3571" spans="10:14" x14ac:dyDescent="0.25">
      <c r="J3571" s="25">
        <v>0.71349667232681746</v>
      </c>
      <c r="N3571" s="26"/>
    </row>
    <row r="3572" spans="10:14" x14ac:dyDescent="0.25">
      <c r="J3572" s="25">
        <v>-6.0167709235868894E-2</v>
      </c>
      <c r="N3572" s="26"/>
    </row>
    <row r="3573" spans="10:14" x14ac:dyDescent="0.25">
      <c r="J3573" s="25">
        <v>0.60053465480312251</v>
      </c>
      <c r="N3573" s="26"/>
    </row>
    <row r="3574" spans="10:14" x14ac:dyDescent="0.25">
      <c r="J3574" s="25">
        <v>-0.37206162299895584</v>
      </c>
      <c r="N3574" s="26"/>
    </row>
    <row r="3575" spans="10:14" x14ac:dyDescent="0.25">
      <c r="J3575" s="25">
        <v>4.3652158403026498E-2</v>
      </c>
      <c r="N3575" s="26"/>
    </row>
    <row r="3576" spans="10:14" x14ac:dyDescent="0.25">
      <c r="J3576" s="25">
        <v>-4.3848918713358054E-2</v>
      </c>
      <c r="N3576" s="26"/>
    </row>
    <row r="3577" spans="10:14" x14ac:dyDescent="0.25">
      <c r="J3577" s="25">
        <v>-0.37850732534607434</v>
      </c>
      <c r="N3577" s="26"/>
    </row>
    <row r="3578" spans="10:14" x14ac:dyDescent="0.25">
      <c r="J3578" s="25">
        <v>9.5440794074136193E-2</v>
      </c>
      <c r="N3578" s="26"/>
    </row>
    <row r="3579" spans="10:14" x14ac:dyDescent="0.25">
      <c r="J3579" s="25">
        <v>3.972574469061807E-2</v>
      </c>
      <c r="N3579" s="26"/>
    </row>
    <row r="3580" spans="10:14" x14ac:dyDescent="0.25">
      <c r="J3580" s="25">
        <v>-0.11627989044943188</v>
      </c>
      <c r="N3580" s="26"/>
    </row>
    <row r="3581" spans="10:14" x14ac:dyDescent="0.25">
      <c r="J3581" s="25">
        <v>-0.35426828363341412</v>
      </c>
      <c r="N3581" s="26"/>
    </row>
    <row r="3582" spans="10:14" x14ac:dyDescent="0.25">
      <c r="J3582" s="25">
        <v>0.84257428531714385</v>
      </c>
      <c r="N3582" s="26"/>
    </row>
    <row r="3583" spans="10:14" x14ac:dyDescent="0.25">
      <c r="J3583" s="25">
        <v>-2.2821622629145222E-2</v>
      </c>
      <c r="N3583" s="26"/>
    </row>
    <row r="3584" spans="10:14" x14ac:dyDescent="0.25">
      <c r="J3584" s="25">
        <v>-0.23991690485772021</v>
      </c>
      <c r="N3584" s="26"/>
    </row>
    <row r="3585" spans="10:14" x14ac:dyDescent="0.25">
      <c r="J3585" s="25">
        <v>0.39911058455768544</v>
      </c>
      <c r="N3585" s="26"/>
    </row>
    <row r="3586" spans="10:14" x14ac:dyDescent="0.25">
      <c r="J3586" s="25">
        <v>0.16003150519456866</v>
      </c>
      <c r="N3586" s="26"/>
    </row>
    <row r="3587" spans="10:14" x14ac:dyDescent="0.25">
      <c r="J3587" s="25">
        <v>0.38727875509488352</v>
      </c>
      <c r="N3587" s="26"/>
    </row>
    <row r="3588" spans="10:14" x14ac:dyDescent="0.25">
      <c r="J3588" s="25">
        <v>-0.22757464971081254</v>
      </c>
      <c r="N3588" s="26"/>
    </row>
    <row r="3589" spans="10:14" x14ac:dyDescent="0.25">
      <c r="J3589" s="25">
        <v>0.63208788837195518</v>
      </c>
      <c r="N3589" s="26"/>
    </row>
    <row r="3590" spans="10:14" x14ac:dyDescent="0.25">
      <c r="J3590" s="25">
        <v>0.21314040061442729</v>
      </c>
      <c r="N3590" s="26"/>
    </row>
    <row r="3591" spans="10:14" x14ac:dyDescent="0.25">
      <c r="J3591" s="25">
        <v>7.9984543435465127E-3</v>
      </c>
      <c r="N3591" s="26"/>
    </row>
    <row r="3592" spans="10:14" x14ac:dyDescent="0.25">
      <c r="J3592" s="25">
        <v>-0.37217733254827157</v>
      </c>
      <c r="N3592" s="26"/>
    </row>
    <row r="3593" spans="10:14" x14ac:dyDescent="0.25">
      <c r="J3593" s="25">
        <v>-5.5109381199125895E-2</v>
      </c>
      <c r="N3593" s="26"/>
    </row>
    <row r="3594" spans="10:14" x14ac:dyDescent="0.25">
      <c r="J3594" s="25">
        <v>-0.462572707670591</v>
      </c>
      <c r="N3594" s="26"/>
    </row>
    <row r="3595" spans="10:14" x14ac:dyDescent="0.25">
      <c r="J3595" s="25">
        <v>0.12278868527778397</v>
      </c>
      <c r="N3595" s="26"/>
    </row>
    <row r="3596" spans="10:14" x14ac:dyDescent="0.25">
      <c r="J3596" s="25">
        <v>-0.34085061530245309</v>
      </c>
      <c r="N3596" s="26"/>
    </row>
    <row r="3597" spans="10:14" x14ac:dyDescent="0.25">
      <c r="J3597" s="25">
        <v>0.86284446074484733</v>
      </c>
      <c r="N3597" s="26"/>
    </row>
    <row r="3598" spans="10:14" x14ac:dyDescent="0.25">
      <c r="J3598" s="25">
        <v>-0.42303401577345556</v>
      </c>
      <c r="N3598" s="26"/>
    </row>
    <row r="3599" spans="10:14" x14ac:dyDescent="0.25">
      <c r="J3599" s="25">
        <v>-0.48526186480487099</v>
      </c>
      <c r="N3599" s="26"/>
    </row>
    <row r="3600" spans="10:14" x14ac:dyDescent="0.25">
      <c r="J3600" s="25">
        <v>5.2095739483003278E-2</v>
      </c>
      <c r="N3600" s="26"/>
    </row>
    <row r="3601" spans="10:14" x14ac:dyDescent="0.25">
      <c r="J3601" s="25">
        <v>-6.9380131644370735E-2</v>
      </c>
      <c r="N3601" s="26"/>
    </row>
    <row r="3602" spans="10:14" x14ac:dyDescent="0.25">
      <c r="J3602" s="25">
        <v>-0.43587099710994437</v>
      </c>
      <c r="N3602" s="26"/>
    </row>
    <row r="3603" spans="10:14" x14ac:dyDescent="0.25">
      <c r="J3603" s="25">
        <v>-0.11200525924743332</v>
      </c>
      <c r="N3603" s="26"/>
    </row>
    <row r="3604" spans="10:14" x14ac:dyDescent="0.25">
      <c r="J3604" s="25">
        <v>-0.21693728052340622</v>
      </c>
      <c r="N3604" s="26"/>
    </row>
    <row r="3605" spans="10:14" x14ac:dyDescent="0.25">
      <c r="J3605" s="25">
        <v>0.38878617012873473</v>
      </c>
      <c r="N3605" s="26"/>
    </row>
    <row r="3606" spans="10:14" x14ac:dyDescent="0.25">
      <c r="J3606" s="25">
        <v>0.19069202732599511</v>
      </c>
      <c r="N3606" s="26"/>
    </row>
    <row r="3607" spans="10:14" x14ac:dyDescent="0.25">
      <c r="J3607" s="25">
        <v>4.6003265127037007E-3</v>
      </c>
      <c r="N3607" s="26"/>
    </row>
    <row r="3608" spans="10:14" x14ac:dyDescent="0.25">
      <c r="J3608" s="25">
        <v>-0.34175980225878644</v>
      </c>
      <c r="N3608" s="26"/>
    </row>
    <row r="3609" spans="10:14" x14ac:dyDescent="0.25">
      <c r="J3609" s="25">
        <v>0.49399058922431194</v>
      </c>
      <c r="N3609" s="26"/>
    </row>
    <row r="3610" spans="10:14" x14ac:dyDescent="0.25">
      <c r="J3610" s="25">
        <v>6.0502454779722603E-2</v>
      </c>
      <c r="N3610" s="26"/>
    </row>
    <row r="3611" spans="10:14" x14ac:dyDescent="0.25">
      <c r="J3611" s="25">
        <v>-6.1919239379426227E-2</v>
      </c>
      <c r="N3611" s="26"/>
    </row>
    <row r="3612" spans="10:14" x14ac:dyDescent="0.25">
      <c r="J3612" s="25">
        <v>0.75255940710332547</v>
      </c>
      <c r="N3612" s="26"/>
    </row>
    <row r="3613" spans="10:14" x14ac:dyDescent="0.25">
      <c r="J3613" s="25">
        <v>0.62188347557574697</v>
      </c>
      <c r="N3613" s="26"/>
    </row>
    <row r="3614" spans="10:14" x14ac:dyDescent="0.25">
      <c r="J3614" s="25">
        <v>-0.35344513229263963</v>
      </c>
      <c r="N3614" s="26"/>
    </row>
    <row r="3615" spans="10:14" x14ac:dyDescent="0.25">
      <c r="J3615" s="25">
        <v>-0.46149974278801298</v>
      </c>
      <c r="N3615" s="26"/>
    </row>
    <row r="3616" spans="10:14" x14ac:dyDescent="0.25">
      <c r="J3616" s="25">
        <v>-1.9789277025450303E-2</v>
      </c>
      <c r="N3616" s="26"/>
    </row>
    <row r="3617" spans="10:14" x14ac:dyDescent="0.25">
      <c r="J3617" s="25">
        <v>-6.2407972041901627E-2</v>
      </c>
      <c r="N3617" s="26"/>
    </row>
    <row r="3618" spans="10:14" x14ac:dyDescent="0.25">
      <c r="J3618" s="25">
        <v>-0.33035698625022702</v>
      </c>
      <c r="N3618" s="26"/>
    </row>
    <row r="3619" spans="10:14" x14ac:dyDescent="0.25">
      <c r="J3619" s="25">
        <v>-0.45323328643053018</v>
      </c>
      <c r="N3619" s="26"/>
    </row>
    <row r="3620" spans="10:14" x14ac:dyDescent="0.25">
      <c r="J3620" s="25">
        <v>0.29248634714548727</v>
      </c>
      <c r="N3620" s="26"/>
    </row>
    <row r="3621" spans="10:14" x14ac:dyDescent="0.25">
      <c r="J3621" s="25">
        <v>-0.28653295320932326</v>
      </c>
      <c r="N3621" s="26"/>
    </row>
    <row r="3622" spans="10:14" x14ac:dyDescent="0.25">
      <c r="J3622" s="25">
        <v>-5.8186454773263896E-2</v>
      </c>
      <c r="N3622" s="26"/>
    </row>
    <row r="3623" spans="10:14" x14ac:dyDescent="0.25">
      <c r="J3623" s="25">
        <v>0.69651500448390391</v>
      </c>
      <c r="N3623" s="26"/>
    </row>
    <row r="3624" spans="10:14" x14ac:dyDescent="0.25">
      <c r="J3624" s="25">
        <v>6.9837983109195534E-2</v>
      </c>
      <c r="N3624" s="26"/>
    </row>
    <row r="3625" spans="10:14" x14ac:dyDescent="0.25">
      <c r="J3625" s="25">
        <v>0.88181886125839126</v>
      </c>
      <c r="N3625" s="26"/>
    </row>
    <row r="3626" spans="10:14" x14ac:dyDescent="0.25">
      <c r="J3626" s="25">
        <v>0.33806345891672795</v>
      </c>
      <c r="N3626" s="26"/>
    </row>
    <row r="3627" spans="10:14" x14ac:dyDescent="0.25">
      <c r="J3627" s="25">
        <v>-3.0030615084644885E-2</v>
      </c>
      <c r="N3627" s="26"/>
    </row>
    <row r="3628" spans="10:14" x14ac:dyDescent="0.25">
      <c r="J3628" s="25">
        <v>-0.18841406982849529</v>
      </c>
      <c r="N3628" s="26"/>
    </row>
    <row r="3629" spans="10:14" x14ac:dyDescent="0.25">
      <c r="J3629" s="25">
        <v>0.24035964549251321</v>
      </c>
      <c r="N3629" s="26"/>
    </row>
    <row r="3630" spans="10:14" x14ac:dyDescent="0.25">
      <c r="J3630" s="25">
        <v>0.85179391121527215</v>
      </c>
      <c r="N3630" s="26"/>
    </row>
    <row r="3631" spans="10:14" x14ac:dyDescent="0.25">
      <c r="J3631" s="25">
        <v>0.69514472884974543</v>
      </c>
      <c r="N3631" s="26"/>
    </row>
    <row r="3632" spans="10:14" x14ac:dyDescent="0.25">
      <c r="J3632" s="25">
        <v>-0.19191809627150758</v>
      </c>
      <c r="N3632" s="26"/>
    </row>
    <row r="3633" spans="10:14" x14ac:dyDescent="0.25">
      <c r="J3633" s="25">
        <v>-0.35002198875697021</v>
      </c>
      <c r="N3633" s="26"/>
    </row>
    <row r="3634" spans="10:14" x14ac:dyDescent="0.25">
      <c r="J3634" s="25">
        <v>0.23222955311686255</v>
      </c>
      <c r="N3634" s="26"/>
    </row>
    <row r="3635" spans="10:14" x14ac:dyDescent="0.25">
      <c r="J3635" s="25">
        <v>0.26556304642746897</v>
      </c>
      <c r="N3635" s="26"/>
    </row>
    <row r="3636" spans="10:14" x14ac:dyDescent="0.25">
      <c r="J3636" s="25">
        <v>-0.41920096453122657</v>
      </c>
      <c r="N3636" s="26"/>
    </row>
    <row r="3637" spans="10:14" x14ac:dyDescent="0.25">
      <c r="J3637" s="25">
        <v>-3.4174694981651932E-2</v>
      </c>
      <c r="N3637" s="26"/>
    </row>
    <row r="3638" spans="10:14" x14ac:dyDescent="0.25">
      <c r="J3638" s="25">
        <v>0.23221353685388824</v>
      </c>
      <c r="N3638" s="26"/>
    </row>
    <row r="3639" spans="10:14" x14ac:dyDescent="0.25">
      <c r="J3639" s="25">
        <v>1.0190980418708455</v>
      </c>
      <c r="N3639" s="26"/>
    </row>
    <row r="3640" spans="10:14" x14ac:dyDescent="0.25">
      <c r="J3640" s="25">
        <v>-0.31324659449594194</v>
      </c>
      <c r="N3640" s="26"/>
    </row>
    <row r="3641" spans="10:14" x14ac:dyDescent="0.25">
      <c r="J3641" s="25">
        <v>-0.19183927904551223</v>
      </c>
      <c r="N3641" s="26"/>
    </row>
    <row r="3642" spans="10:14" x14ac:dyDescent="0.25">
      <c r="J3642" s="25">
        <v>0.18356625567012763</v>
      </c>
      <c r="N3642" s="26"/>
    </row>
    <row r="3643" spans="10:14" x14ac:dyDescent="0.25">
      <c r="J3643" s="25">
        <v>0.47686734789873286</v>
      </c>
      <c r="N3643" s="26"/>
    </row>
    <row r="3644" spans="10:14" x14ac:dyDescent="0.25">
      <c r="J3644" s="25">
        <v>0.22491695116693888</v>
      </c>
      <c r="N3644" s="26"/>
    </row>
    <row r="3645" spans="10:14" x14ac:dyDescent="0.25">
      <c r="J3645" s="25">
        <v>0.1072327442112837</v>
      </c>
      <c r="N3645" s="26"/>
    </row>
    <row r="3646" spans="10:14" x14ac:dyDescent="0.25">
      <c r="J3646" s="25">
        <v>-0.28973492433488246</v>
      </c>
      <c r="N3646" s="26"/>
    </row>
    <row r="3647" spans="10:14" x14ac:dyDescent="0.25">
      <c r="J3647" s="25">
        <v>0.27298908165515567</v>
      </c>
      <c r="N3647" s="26"/>
    </row>
    <row r="3648" spans="10:14" x14ac:dyDescent="0.25">
      <c r="J3648" s="25">
        <v>0.68026737011132044</v>
      </c>
      <c r="N3648" s="26"/>
    </row>
    <row r="3649" spans="10:14" x14ac:dyDescent="0.25">
      <c r="J3649" s="25">
        <v>0.57048234200423975</v>
      </c>
      <c r="N3649" s="26"/>
    </row>
    <row r="3650" spans="10:14" x14ac:dyDescent="0.25">
      <c r="J3650" s="25">
        <v>3.5861305893784667E-2</v>
      </c>
      <c r="N3650" s="26"/>
    </row>
    <row r="3651" spans="10:14" x14ac:dyDescent="0.25">
      <c r="J3651" s="25">
        <v>-2.6751105894202487E-2</v>
      </c>
      <c r="N3651" s="26"/>
    </row>
    <row r="3652" spans="10:14" x14ac:dyDescent="0.25">
      <c r="J3652" s="25">
        <v>1.0515647247789861</v>
      </c>
      <c r="N3652" s="26"/>
    </row>
    <row r="3653" spans="10:14" x14ac:dyDescent="0.25">
      <c r="J3653" s="25">
        <v>0.45139281619252181</v>
      </c>
      <c r="N3653" s="26"/>
    </row>
    <row r="3654" spans="10:14" x14ac:dyDescent="0.25">
      <c r="J3654" s="25">
        <v>-0.41971014505414295</v>
      </c>
      <c r="N3654" s="26"/>
    </row>
    <row r="3655" spans="10:14" x14ac:dyDescent="0.25">
      <c r="J3655" s="25">
        <v>0.33495767443941449</v>
      </c>
      <c r="N3655" s="26"/>
    </row>
    <row r="3656" spans="10:14" x14ac:dyDescent="0.25">
      <c r="J3656" s="25">
        <v>-0.27378751771054133</v>
      </c>
      <c r="N3656" s="26"/>
    </row>
    <row r="3657" spans="10:14" x14ac:dyDescent="0.25">
      <c r="J3657" s="25">
        <v>5.8397020762821938E-2</v>
      </c>
      <c r="N3657" s="26"/>
    </row>
    <row r="3658" spans="10:14" x14ac:dyDescent="0.25">
      <c r="J3658" s="25">
        <v>-3.9664480368788113E-2</v>
      </c>
      <c r="N3658" s="26"/>
    </row>
    <row r="3659" spans="10:14" x14ac:dyDescent="0.25">
      <c r="J3659" s="25">
        <v>-0.38629507712918087</v>
      </c>
      <c r="N3659" s="26"/>
    </row>
    <row r="3660" spans="10:14" x14ac:dyDescent="0.25">
      <c r="J3660" s="25">
        <v>-0.34532085913840693</v>
      </c>
      <c r="N3660" s="26"/>
    </row>
    <row r="3661" spans="10:14" x14ac:dyDescent="0.25">
      <c r="J3661" s="25">
        <v>0.22859101426226092</v>
      </c>
      <c r="N3661" s="26"/>
    </row>
    <row r="3662" spans="10:14" x14ac:dyDescent="0.25">
      <c r="J3662" s="25">
        <v>0.35642890882774281</v>
      </c>
      <c r="N3662" s="26"/>
    </row>
    <row r="3663" spans="10:14" x14ac:dyDescent="0.25">
      <c r="J3663" s="25">
        <v>4.8797688342849366E-2</v>
      </c>
      <c r="N3663" s="26"/>
    </row>
    <row r="3664" spans="10:14" x14ac:dyDescent="0.25">
      <c r="J3664" s="25">
        <v>-0.25983432682150587</v>
      </c>
      <c r="N3664" s="26"/>
    </row>
    <row r="3665" spans="10:14" x14ac:dyDescent="0.25">
      <c r="J3665" s="25">
        <v>-0.18079211379807425</v>
      </c>
      <c r="N3665" s="26"/>
    </row>
    <row r="3666" spans="10:14" x14ac:dyDescent="0.25">
      <c r="J3666" s="25">
        <v>2.7124749891607181E-3</v>
      </c>
      <c r="N3666" s="26"/>
    </row>
    <row r="3667" spans="10:14" x14ac:dyDescent="0.25">
      <c r="J3667" s="25">
        <v>-0.21154614846950115</v>
      </c>
      <c r="N3667" s="26"/>
    </row>
    <row r="3668" spans="10:14" x14ac:dyDescent="0.25">
      <c r="J3668" s="25">
        <v>-0.48999679897562487</v>
      </c>
      <c r="N3668" s="26"/>
    </row>
    <row r="3669" spans="10:14" x14ac:dyDescent="0.25">
      <c r="J3669" s="25">
        <v>-0.3397571555288621</v>
      </c>
      <c r="N3669" s="26"/>
    </row>
    <row r="3670" spans="10:14" x14ac:dyDescent="0.25">
      <c r="J3670" s="25">
        <v>-0.29234341800704633</v>
      </c>
      <c r="N3670" s="26"/>
    </row>
    <row r="3671" spans="10:14" x14ac:dyDescent="0.25">
      <c r="J3671" s="25">
        <v>0.60561541558225018</v>
      </c>
      <c r="N3671" s="26"/>
    </row>
    <row r="3672" spans="10:14" x14ac:dyDescent="0.25">
      <c r="J3672" s="25">
        <v>-0.30181697863940216</v>
      </c>
      <c r="N3672" s="26"/>
    </row>
    <row r="3673" spans="10:14" x14ac:dyDescent="0.25">
      <c r="J3673" s="25">
        <v>-0.23363391873759687</v>
      </c>
      <c r="N3673" s="26"/>
    </row>
    <row r="3674" spans="10:14" x14ac:dyDescent="0.25">
      <c r="J3674" s="25">
        <v>6.7633196763342784E-2</v>
      </c>
      <c r="N3674" s="26"/>
    </row>
    <row r="3675" spans="10:14" x14ac:dyDescent="0.25">
      <c r="J3675" s="25">
        <v>-0.21359821762150955</v>
      </c>
      <c r="N3675" s="26"/>
    </row>
    <row r="3676" spans="10:14" x14ac:dyDescent="0.25">
      <c r="J3676" s="25">
        <v>-0.1432175387189133</v>
      </c>
      <c r="N3676" s="26"/>
    </row>
    <row r="3677" spans="10:14" x14ac:dyDescent="0.25">
      <c r="J3677" s="25">
        <v>0.12890058337124621</v>
      </c>
      <c r="N3677" s="26"/>
    </row>
    <row r="3678" spans="10:14" x14ac:dyDescent="0.25">
      <c r="J3678" s="25">
        <v>-0.46522001590830619</v>
      </c>
      <c r="N3678" s="26"/>
    </row>
    <row r="3679" spans="10:14" x14ac:dyDescent="0.25">
      <c r="J3679" s="25">
        <v>-0.25950880492106687</v>
      </c>
      <c r="N3679" s="26"/>
    </row>
    <row r="3680" spans="10:14" x14ac:dyDescent="0.25">
      <c r="J3680" s="25">
        <v>-0.43290235493247886</v>
      </c>
      <c r="N3680" s="26"/>
    </row>
    <row r="3681" spans="10:14" x14ac:dyDescent="0.25">
      <c r="J3681" s="25">
        <v>0.63590123756505545</v>
      </c>
      <c r="N3681" s="26"/>
    </row>
    <row r="3682" spans="10:14" x14ac:dyDescent="0.25">
      <c r="J3682" s="25">
        <v>-0.27771596390882869</v>
      </c>
      <c r="N3682" s="26"/>
    </row>
    <row r="3683" spans="10:14" x14ac:dyDescent="0.25">
      <c r="J3683" s="25">
        <v>-7.5417456011458217E-2</v>
      </c>
      <c r="N3683" s="26"/>
    </row>
    <row r="3684" spans="10:14" x14ac:dyDescent="0.25">
      <c r="J3684" s="25">
        <v>9.3042762002022439E-2</v>
      </c>
      <c r="N3684" s="26"/>
    </row>
    <row r="3685" spans="10:14" x14ac:dyDescent="0.25">
      <c r="J3685" s="25">
        <v>0.16498095455397799</v>
      </c>
      <c r="N3685" s="26"/>
    </row>
    <row r="3686" spans="10:14" x14ac:dyDescent="0.25">
      <c r="J3686" s="25">
        <v>-0.38102501902801678</v>
      </c>
      <c r="N3686" s="26"/>
    </row>
    <row r="3687" spans="10:14" x14ac:dyDescent="0.25">
      <c r="J3687" s="25">
        <v>-4.2295549109482855E-2</v>
      </c>
      <c r="N3687" s="26"/>
    </row>
    <row r="3688" spans="10:14" x14ac:dyDescent="0.25">
      <c r="J3688" s="25">
        <v>0.43295236272398951</v>
      </c>
      <c r="N3688" s="26"/>
    </row>
    <row r="3689" spans="10:14" x14ac:dyDescent="0.25">
      <c r="J3689" s="25">
        <v>2.3688854997866438E-2</v>
      </c>
      <c r="N3689" s="26"/>
    </row>
    <row r="3690" spans="10:14" x14ac:dyDescent="0.25">
      <c r="J3690" s="25">
        <v>0.68525882881097089</v>
      </c>
      <c r="N3690" s="26"/>
    </row>
    <row r="3691" spans="10:14" x14ac:dyDescent="0.25">
      <c r="J3691" s="25">
        <v>-0.33600583948064933</v>
      </c>
      <c r="N3691" s="26"/>
    </row>
    <row r="3692" spans="10:14" x14ac:dyDescent="0.25">
      <c r="J3692" s="25">
        <v>0.29715496046548218</v>
      </c>
      <c r="N3692" s="26"/>
    </row>
    <row r="3693" spans="10:14" x14ac:dyDescent="0.25">
      <c r="J3693" s="25">
        <v>-0.33314234756173222</v>
      </c>
      <c r="N3693" s="26"/>
    </row>
    <row r="3694" spans="10:14" x14ac:dyDescent="0.25">
      <c r="J3694" s="25">
        <v>0.93752585591146453</v>
      </c>
      <c r="N3694" s="26"/>
    </row>
    <row r="3695" spans="10:14" x14ac:dyDescent="0.25">
      <c r="J3695" s="25">
        <v>-0.18965901197063439</v>
      </c>
      <c r="N3695" s="26"/>
    </row>
    <row r="3696" spans="10:14" x14ac:dyDescent="0.25">
      <c r="J3696" s="25">
        <v>9.7486342821914374E-2</v>
      </c>
      <c r="N3696" s="26"/>
    </row>
    <row r="3697" spans="10:14" x14ac:dyDescent="0.25">
      <c r="J3697" s="25">
        <v>-0.26578120306419173</v>
      </c>
      <c r="N3697" s="26"/>
    </row>
    <row r="3698" spans="10:14" x14ac:dyDescent="0.25">
      <c r="J3698" s="25">
        <v>0.20832688534624255</v>
      </c>
      <c r="N3698" s="26"/>
    </row>
    <row r="3699" spans="10:14" x14ac:dyDescent="0.25">
      <c r="J3699" s="25">
        <v>0.57913761575907463</v>
      </c>
      <c r="N3699" s="26"/>
    </row>
    <row r="3700" spans="10:14" x14ac:dyDescent="0.25">
      <c r="J3700" s="25">
        <v>2.6410369063833761E-2</v>
      </c>
      <c r="N3700" s="26"/>
    </row>
    <row r="3701" spans="10:14" x14ac:dyDescent="0.25">
      <c r="J3701" s="25">
        <v>0.7000100513408456</v>
      </c>
      <c r="N3701" s="26"/>
    </row>
    <row r="3702" spans="10:14" x14ac:dyDescent="0.25">
      <c r="J3702" s="25">
        <v>-0.51038708002088728</v>
      </c>
      <c r="N3702" s="26"/>
    </row>
    <row r="3703" spans="10:14" x14ac:dyDescent="0.25">
      <c r="J3703" s="25">
        <v>5.3885490770646749E-2</v>
      </c>
      <c r="N3703" s="26"/>
    </row>
    <row r="3704" spans="10:14" x14ac:dyDescent="0.25">
      <c r="J3704" s="25">
        <v>-0.26178502726084818</v>
      </c>
      <c r="N3704" s="26"/>
    </row>
    <row r="3705" spans="10:14" x14ac:dyDescent="0.25">
      <c r="J3705" s="25">
        <v>0.45280901322795875</v>
      </c>
      <c r="N3705" s="26"/>
    </row>
    <row r="3706" spans="10:14" x14ac:dyDescent="0.25">
      <c r="J3706" s="25">
        <v>-6.0801225018926708E-2</v>
      </c>
      <c r="N3706" s="26"/>
    </row>
    <row r="3707" spans="10:14" x14ac:dyDescent="0.25">
      <c r="J3707" s="25">
        <v>0.45101662274487153</v>
      </c>
      <c r="N3707" s="26"/>
    </row>
    <row r="3708" spans="10:14" x14ac:dyDescent="0.25">
      <c r="J3708" s="25">
        <v>-1.4930355633560044E-2</v>
      </c>
      <c r="N3708" s="26"/>
    </row>
    <row r="3709" spans="10:14" x14ac:dyDescent="0.25">
      <c r="J3709" s="25">
        <v>-0.33060917215461505</v>
      </c>
      <c r="N3709" s="26"/>
    </row>
    <row r="3710" spans="10:14" x14ac:dyDescent="0.25">
      <c r="J3710" s="25">
        <v>0.85830588190218693</v>
      </c>
      <c r="N3710" s="26"/>
    </row>
    <row r="3711" spans="10:14" x14ac:dyDescent="0.25">
      <c r="J3711" s="25">
        <v>-7.6534725585137409E-2</v>
      </c>
      <c r="N3711" s="26"/>
    </row>
    <row r="3712" spans="10:14" x14ac:dyDescent="0.25">
      <c r="J3712" s="25">
        <v>2.8944111974301912E-2</v>
      </c>
      <c r="N3712" s="26"/>
    </row>
    <row r="3713" spans="10:14" x14ac:dyDescent="0.25">
      <c r="J3713" s="25">
        <v>-0.44404963281232201</v>
      </c>
      <c r="N3713" s="26"/>
    </row>
    <row r="3714" spans="10:14" x14ac:dyDescent="0.25">
      <c r="J3714" s="25">
        <v>-5.295225199107978E-2</v>
      </c>
      <c r="N3714" s="26"/>
    </row>
    <row r="3715" spans="10:14" x14ac:dyDescent="0.25">
      <c r="J3715" s="25">
        <v>0.14477746293131943</v>
      </c>
      <c r="N3715" s="26"/>
    </row>
    <row r="3716" spans="10:14" x14ac:dyDescent="0.25">
      <c r="J3716" s="25">
        <v>-0.38361823426553188</v>
      </c>
      <c r="N3716" s="26"/>
    </row>
    <row r="3717" spans="10:14" x14ac:dyDescent="0.25">
      <c r="J3717" s="25">
        <v>-4.8908323411413379E-2</v>
      </c>
      <c r="N3717" s="26"/>
    </row>
    <row r="3718" spans="10:14" x14ac:dyDescent="0.25">
      <c r="J3718" s="25">
        <v>-0.53415444147020696</v>
      </c>
      <c r="N3718" s="26"/>
    </row>
    <row r="3719" spans="10:14" x14ac:dyDescent="0.25">
      <c r="J3719" s="25">
        <v>0.6242840030440826</v>
      </c>
      <c r="N3719" s="26"/>
    </row>
    <row r="3720" spans="10:14" x14ac:dyDescent="0.25">
      <c r="J3720" s="25">
        <v>-6.757064294459636E-2</v>
      </c>
      <c r="N3720" s="26"/>
    </row>
    <row r="3721" spans="10:14" x14ac:dyDescent="0.25">
      <c r="J3721" s="25">
        <v>-0.30850813241040109</v>
      </c>
      <c r="N3721" s="26"/>
    </row>
    <row r="3722" spans="10:14" x14ac:dyDescent="0.25">
      <c r="J3722" s="25">
        <v>-2.3722024899881289E-2</v>
      </c>
      <c r="N3722" s="26"/>
    </row>
    <row r="3723" spans="10:14" x14ac:dyDescent="0.25">
      <c r="J3723" s="25">
        <v>1.967592869872048E-2</v>
      </c>
      <c r="N3723" s="26"/>
    </row>
    <row r="3724" spans="10:14" x14ac:dyDescent="0.25">
      <c r="J3724" s="25">
        <v>0.95184903118689324</v>
      </c>
      <c r="N3724" s="26"/>
    </row>
    <row r="3725" spans="10:14" x14ac:dyDescent="0.25">
      <c r="J3725" s="25">
        <v>-1.0271992446380773E-2</v>
      </c>
      <c r="N3725" s="26"/>
    </row>
    <row r="3726" spans="10:14" x14ac:dyDescent="0.25">
      <c r="J3726" s="25">
        <v>-0.41507641252228067</v>
      </c>
      <c r="N3726" s="26"/>
    </row>
    <row r="3727" spans="10:14" x14ac:dyDescent="0.25">
      <c r="J3727" s="25">
        <v>-0.19458954830619624</v>
      </c>
      <c r="N3727" s="26"/>
    </row>
    <row r="3728" spans="10:14" x14ac:dyDescent="0.25">
      <c r="J3728" s="25">
        <v>0.34300107114258149</v>
      </c>
      <c r="N3728" s="26"/>
    </row>
    <row r="3729" spans="10:14" x14ac:dyDescent="0.25">
      <c r="J3729" s="25">
        <v>-0.21997266513564817</v>
      </c>
      <c r="N3729" s="26"/>
    </row>
    <row r="3730" spans="10:14" x14ac:dyDescent="0.25">
      <c r="J3730" s="25">
        <v>-0.26327226712556651</v>
      </c>
      <c r="N3730" s="26"/>
    </row>
    <row r="3731" spans="10:14" x14ac:dyDescent="0.25">
      <c r="J3731" s="25">
        <v>8.0624730182595528E-2</v>
      </c>
      <c r="N3731" s="26"/>
    </row>
    <row r="3732" spans="10:14" x14ac:dyDescent="0.25">
      <c r="J3732" s="25">
        <v>7.4022486219895045E-2</v>
      </c>
      <c r="N3732" s="26"/>
    </row>
    <row r="3733" spans="10:14" x14ac:dyDescent="0.25">
      <c r="J3733" s="25">
        <v>-6.450778211173136E-2</v>
      </c>
      <c r="N3733" s="26"/>
    </row>
    <row r="3734" spans="10:14" x14ac:dyDescent="0.25">
      <c r="J3734" s="25">
        <v>-0.16203025531825421</v>
      </c>
      <c r="N3734" s="26"/>
    </row>
    <row r="3735" spans="10:14" x14ac:dyDescent="0.25">
      <c r="J3735" s="25">
        <v>-0.19122187258308598</v>
      </c>
      <c r="N3735" s="26"/>
    </row>
    <row r="3736" spans="10:14" x14ac:dyDescent="0.25">
      <c r="J3736" s="25">
        <v>-0.36620335582728847</v>
      </c>
      <c r="N3736" s="26"/>
    </row>
    <row r="3737" spans="10:14" x14ac:dyDescent="0.25">
      <c r="J3737" s="25">
        <v>0.32843996176141754</v>
      </c>
      <c r="N3737" s="26"/>
    </row>
    <row r="3738" spans="10:14" x14ac:dyDescent="0.25">
      <c r="J3738" s="25">
        <v>-0.35667963260107283</v>
      </c>
      <c r="N3738" s="26"/>
    </row>
    <row r="3739" spans="10:14" x14ac:dyDescent="0.25">
      <c r="J3739" s="25">
        <v>-5.7387847866421038E-2</v>
      </c>
      <c r="N3739" s="26"/>
    </row>
    <row r="3740" spans="10:14" x14ac:dyDescent="0.25">
      <c r="J3740" s="25">
        <v>0.46153367390515787</v>
      </c>
      <c r="N3740" s="26"/>
    </row>
    <row r="3741" spans="10:14" x14ac:dyDescent="0.25">
      <c r="J3741" s="25">
        <v>0.27258551733203618</v>
      </c>
      <c r="N3741" s="26"/>
    </row>
    <row r="3742" spans="10:14" x14ac:dyDescent="0.25">
      <c r="J3742" s="25">
        <v>-2.6783490716026703E-2</v>
      </c>
      <c r="N3742" s="26"/>
    </row>
    <row r="3743" spans="10:14" x14ac:dyDescent="0.25">
      <c r="J3743" s="25">
        <v>-0.3611926812772257</v>
      </c>
      <c r="N3743" s="26"/>
    </row>
    <row r="3744" spans="10:14" x14ac:dyDescent="0.25">
      <c r="J3744" s="25">
        <v>-0.35706165768948694</v>
      </c>
      <c r="N3744" s="26"/>
    </row>
    <row r="3745" spans="10:14" x14ac:dyDescent="0.25">
      <c r="J3745" s="25">
        <v>0.79566898727139423</v>
      </c>
      <c r="N3745" s="26"/>
    </row>
    <row r="3746" spans="10:14" x14ac:dyDescent="0.25">
      <c r="J3746" s="25">
        <v>3.830875394755795E-3</v>
      </c>
      <c r="N3746" s="26"/>
    </row>
    <row r="3747" spans="10:14" x14ac:dyDescent="0.25">
      <c r="J3747" s="25">
        <v>-0.2447774160893863</v>
      </c>
      <c r="N3747" s="26"/>
    </row>
    <row r="3748" spans="10:14" x14ac:dyDescent="0.25">
      <c r="J3748" s="25">
        <v>0.4847059659940105</v>
      </c>
      <c r="N3748" s="26"/>
    </row>
    <row r="3749" spans="10:14" x14ac:dyDescent="0.25">
      <c r="J3749" s="25">
        <v>0.30307212275838347</v>
      </c>
      <c r="N3749" s="26"/>
    </row>
    <row r="3750" spans="10:14" x14ac:dyDescent="0.25">
      <c r="J3750" s="25">
        <v>6.5575123875386332E-2</v>
      </c>
      <c r="N3750" s="26"/>
    </row>
    <row r="3751" spans="10:14" x14ac:dyDescent="0.25">
      <c r="J3751" s="25">
        <v>1.5127251399946751E-3</v>
      </c>
      <c r="N3751" s="26"/>
    </row>
    <row r="3752" spans="10:14" x14ac:dyDescent="0.25">
      <c r="J3752" s="25">
        <v>-0.40321185895629397</v>
      </c>
      <c r="N3752" s="26"/>
    </row>
    <row r="3753" spans="10:14" x14ac:dyDescent="0.25">
      <c r="J3753" s="25">
        <v>0.5726351751909049</v>
      </c>
      <c r="N3753" s="26"/>
    </row>
    <row r="3754" spans="10:14" x14ac:dyDescent="0.25">
      <c r="J3754" s="25">
        <v>0.64471839450992552</v>
      </c>
      <c r="N3754" s="26"/>
    </row>
    <row r="3755" spans="10:14" x14ac:dyDescent="0.25">
      <c r="J3755" s="25">
        <v>-0.21844027048363468</v>
      </c>
      <c r="N3755" s="26"/>
    </row>
    <row r="3756" spans="10:14" x14ac:dyDescent="0.25">
      <c r="J3756" s="25">
        <v>0.71414163354067783</v>
      </c>
      <c r="N3756" s="26"/>
    </row>
    <row r="3757" spans="10:14" x14ac:dyDescent="0.25">
      <c r="J3757" s="25">
        <v>-1.5641359046694947E-2</v>
      </c>
      <c r="N3757" s="26"/>
    </row>
    <row r="3758" spans="10:14" x14ac:dyDescent="0.25">
      <c r="J3758" s="25">
        <v>0.41258811393695494</v>
      </c>
      <c r="N3758" s="26"/>
    </row>
    <row r="3759" spans="10:14" x14ac:dyDescent="0.25">
      <c r="J3759" s="25">
        <v>0.38902151101532545</v>
      </c>
      <c r="N3759" s="26"/>
    </row>
    <row r="3760" spans="10:14" x14ac:dyDescent="0.25">
      <c r="J3760" s="25">
        <v>0.17770384638682013</v>
      </c>
      <c r="N3760" s="26"/>
    </row>
    <row r="3761" spans="10:14" x14ac:dyDescent="0.25">
      <c r="J3761" s="25">
        <v>-6.5623459034999665E-2</v>
      </c>
      <c r="N3761" s="26"/>
    </row>
    <row r="3762" spans="10:14" x14ac:dyDescent="0.25">
      <c r="J3762" s="25">
        <v>1.3900799506514128E-2</v>
      </c>
      <c r="N3762" s="26"/>
    </row>
    <row r="3763" spans="10:14" x14ac:dyDescent="0.25">
      <c r="J3763" s="25">
        <v>0.42223713745465274</v>
      </c>
      <c r="N3763" s="26"/>
    </row>
    <row r="3764" spans="10:14" x14ac:dyDescent="0.25">
      <c r="J3764" s="25">
        <v>-0.21521112458601244</v>
      </c>
      <c r="N3764" s="26"/>
    </row>
    <row r="3765" spans="10:14" x14ac:dyDescent="0.25">
      <c r="J3765" s="25">
        <v>-0.41884622896647494</v>
      </c>
      <c r="N3765" s="26"/>
    </row>
    <row r="3766" spans="10:14" x14ac:dyDescent="0.25">
      <c r="J3766" s="25">
        <v>-6.2714240838214197E-3</v>
      </c>
      <c r="N3766" s="26"/>
    </row>
    <row r="3767" spans="10:14" x14ac:dyDescent="0.25">
      <c r="J3767" s="25">
        <v>4.6857385835372467E-2</v>
      </c>
      <c r="N3767" s="26"/>
    </row>
    <row r="3768" spans="10:14" x14ac:dyDescent="0.25">
      <c r="J3768" s="25">
        <v>0.57541825059612517</v>
      </c>
      <c r="N3768" s="26"/>
    </row>
    <row r="3769" spans="10:14" x14ac:dyDescent="0.25">
      <c r="J3769" s="25">
        <v>-0.23598420150026744</v>
      </c>
      <c r="N3769" s="26"/>
    </row>
    <row r="3770" spans="10:14" x14ac:dyDescent="0.25">
      <c r="J3770" s="25">
        <v>0.22184867486957449</v>
      </c>
      <c r="N3770" s="26"/>
    </row>
    <row r="3771" spans="10:14" x14ac:dyDescent="0.25">
      <c r="J3771" s="25">
        <v>0.57234491198441617</v>
      </c>
      <c r="N3771" s="26"/>
    </row>
    <row r="3772" spans="10:14" x14ac:dyDescent="0.25">
      <c r="J3772" s="25">
        <v>-3.3343980270763351E-2</v>
      </c>
      <c r="N3772" s="26"/>
    </row>
    <row r="3773" spans="10:14" x14ac:dyDescent="0.25">
      <c r="J3773" s="25">
        <v>0.48292601234771593</v>
      </c>
      <c r="N3773" s="26"/>
    </row>
    <row r="3774" spans="10:14" x14ac:dyDescent="0.25">
      <c r="J3774" s="25">
        <v>-0.52733950603036084</v>
      </c>
      <c r="N3774" s="26"/>
    </row>
    <row r="3775" spans="10:14" x14ac:dyDescent="0.25">
      <c r="J3775" s="25">
        <v>-0.33300865854796124</v>
      </c>
      <c r="N3775" s="26"/>
    </row>
    <row r="3776" spans="10:14" x14ac:dyDescent="0.25">
      <c r="J3776" s="25">
        <v>-0.31276291813785084</v>
      </c>
      <c r="N3776" s="26"/>
    </row>
    <row r="3777" spans="10:14" x14ac:dyDescent="0.25">
      <c r="J3777" s="25">
        <v>0.11378998925173156</v>
      </c>
      <c r="N3777" s="26"/>
    </row>
    <row r="3778" spans="10:14" x14ac:dyDescent="0.25">
      <c r="J3778" s="25">
        <v>0.20520028816387392</v>
      </c>
      <c r="N3778" s="26"/>
    </row>
    <row r="3779" spans="10:14" x14ac:dyDescent="0.25">
      <c r="J3779" s="25">
        <v>-2.8151526304244778E-2</v>
      </c>
      <c r="N3779" s="26"/>
    </row>
    <row r="3780" spans="10:14" x14ac:dyDescent="0.25">
      <c r="J3780" s="25">
        <v>0.44202685619883786</v>
      </c>
      <c r="N3780" s="26"/>
    </row>
    <row r="3781" spans="10:14" x14ac:dyDescent="0.25">
      <c r="J3781" s="25">
        <v>-2.9585361087713702E-2</v>
      </c>
      <c r="N3781" s="26"/>
    </row>
    <row r="3782" spans="10:14" x14ac:dyDescent="0.25">
      <c r="J3782" s="25">
        <v>-3.6824442937568147E-2</v>
      </c>
      <c r="N3782" s="26"/>
    </row>
    <row r="3783" spans="10:14" x14ac:dyDescent="0.25">
      <c r="J3783" s="25">
        <v>3.2610675477275253E-2</v>
      </c>
      <c r="N3783" s="26"/>
    </row>
    <row r="3784" spans="10:14" x14ac:dyDescent="0.25">
      <c r="J3784" s="25">
        <v>-2.7335818893730601E-2</v>
      </c>
      <c r="N3784" s="26"/>
    </row>
    <row r="3785" spans="10:14" x14ac:dyDescent="0.25">
      <c r="J3785" s="25">
        <v>-0.22295935766157116</v>
      </c>
      <c r="N3785" s="26"/>
    </row>
    <row r="3786" spans="10:14" x14ac:dyDescent="0.25">
      <c r="J3786" s="25">
        <v>0.63028980972601434</v>
      </c>
      <c r="N3786" s="26"/>
    </row>
    <row r="3787" spans="10:14" x14ac:dyDescent="0.25">
      <c r="J3787" s="25">
        <v>-0.39871315159892651</v>
      </c>
      <c r="N3787" s="26"/>
    </row>
    <row r="3788" spans="10:14" x14ac:dyDescent="0.25">
      <c r="J3788" s="25">
        <v>0.21412721384289579</v>
      </c>
      <c r="N3788" s="26"/>
    </row>
    <row r="3789" spans="10:14" x14ac:dyDescent="0.25">
      <c r="J3789" s="25">
        <v>-0.36530813201188017</v>
      </c>
      <c r="N3789" s="26"/>
    </row>
    <row r="3790" spans="10:14" x14ac:dyDescent="0.25">
      <c r="J3790" s="25">
        <v>0.61210158828159678</v>
      </c>
      <c r="N3790" s="26"/>
    </row>
    <row r="3791" spans="10:14" x14ac:dyDescent="0.25">
      <c r="J3791" s="25">
        <v>-0.34623410918856157</v>
      </c>
      <c r="N3791" s="26"/>
    </row>
    <row r="3792" spans="10:14" x14ac:dyDescent="0.25">
      <c r="J3792" s="25">
        <v>1.0563080544623396</v>
      </c>
      <c r="N3792" s="26"/>
    </row>
    <row r="3793" spans="10:14" x14ac:dyDescent="0.25">
      <c r="J3793" s="25">
        <v>4.3502680980012309E-2</v>
      </c>
      <c r="N3793" s="26"/>
    </row>
    <row r="3794" spans="10:14" x14ac:dyDescent="0.25">
      <c r="J3794" s="25">
        <v>-0.39029253361265615</v>
      </c>
      <c r="N3794" s="26"/>
    </row>
    <row r="3795" spans="10:14" x14ac:dyDescent="0.25">
      <c r="J3795" s="25">
        <v>-5.1321761266387877E-2</v>
      </c>
      <c r="N3795" s="26"/>
    </row>
    <row r="3796" spans="10:14" x14ac:dyDescent="0.25">
      <c r="J3796" s="25">
        <v>-0.13444773673009547</v>
      </c>
      <c r="N3796" s="26"/>
    </row>
    <row r="3797" spans="10:14" x14ac:dyDescent="0.25">
      <c r="J3797" s="25">
        <v>0.15248328515458809</v>
      </c>
      <c r="N3797" s="26"/>
    </row>
    <row r="3798" spans="10:14" x14ac:dyDescent="0.25">
      <c r="J3798" s="25">
        <v>-0.32465882450263561</v>
      </c>
      <c r="N3798" s="26"/>
    </row>
    <row r="3799" spans="10:14" x14ac:dyDescent="0.25">
      <c r="J3799" s="25">
        <v>0.17054825360513926</v>
      </c>
      <c r="N3799" s="26"/>
    </row>
    <row r="3800" spans="10:14" x14ac:dyDescent="0.25">
      <c r="J3800" s="25">
        <v>0.33385925549520601</v>
      </c>
      <c r="N3800" s="26"/>
    </row>
    <row r="3801" spans="10:14" x14ac:dyDescent="0.25">
      <c r="J3801" s="25">
        <v>-0.22434142318033778</v>
      </c>
      <c r="N3801" s="26"/>
    </row>
    <row r="3802" spans="10:14" x14ac:dyDescent="0.25">
      <c r="J3802" s="25">
        <v>0.19697703868223138</v>
      </c>
      <c r="N3802" s="26"/>
    </row>
    <row r="3803" spans="10:14" x14ac:dyDescent="0.25">
      <c r="J3803" s="25">
        <v>-5.8105291286058014E-3</v>
      </c>
      <c r="N3803" s="26"/>
    </row>
    <row r="3804" spans="10:14" x14ac:dyDescent="0.25">
      <c r="J3804" s="25">
        <v>0.67439876267038068</v>
      </c>
      <c r="N3804" s="26"/>
    </row>
    <row r="3805" spans="10:14" x14ac:dyDescent="0.25">
      <c r="J3805" s="25">
        <v>-0.16790871318054801</v>
      </c>
      <c r="N3805" s="26"/>
    </row>
    <row r="3806" spans="10:14" x14ac:dyDescent="0.25">
      <c r="J3806" s="25">
        <v>-1.7371531593855183E-2</v>
      </c>
      <c r="N3806" s="26"/>
    </row>
    <row r="3807" spans="10:14" x14ac:dyDescent="0.25">
      <c r="J3807" s="25">
        <v>0.96077514878354853</v>
      </c>
      <c r="N3807" s="26"/>
    </row>
    <row r="3808" spans="10:14" x14ac:dyDescent="0.25">
      <c r="J3808" s="25">
        <v>4.1343795468492539E-2</v>
      </c>
      <c r="N3808" s="26"/>
    </row>
    <row r="3809" spans="10:14" x14ac:dyDescent="0.25">
      <c r="J3809" s="25">
        <v>0.28994222622393706</v>
      </c>
      <c r="N3809" s="26"/>
    </row>
    <row r="3810" spans="10:14" x14ac:dyDescent="0.25">
      <c r="J3810" s="25">
        <v>0.89369832796048909</v>
      </c>
      <c r="N3810" s="26"/>
    </row>
    <row r="3811" spans="10:14" x14ac:dyDescent="0.25">
      <c r="J3811" s="25">
        <v>-0.38558806954784919</v>
      </c>
      <c r="N3811" s="26"/>
    </row>
    <row r="3812" spans="10:14" x14ac:dyDescent="0.25">
      <c r="J3812" s="25">
        <v>-0.15016459034982133</v>
      </c>
      <c r="N3812" s="26"/>
    </row>
    <row r="3813" spans="10:14" x14ac:dyDescent="0.25">
      <c r="J3813" s="25">
        <v>-0.47992522613643485</v>
      </c>
      <c r="N3813" s="26"/>
    </row>
    <row r="3814" spans="10:14" x14ac:dyDescent="0.25">
      <c r="J3814" s="25">
        <v>-9.2147342467859827E-3</v>
      </c>
      <c r="N3814" s="26"/>
    </row>
    <row r="3815" spans="10:14" x14ac:dyDescent="0.25">
      <c r="J3815" s="25">
        <v>-5.4234056800972374E-2</v>
      </c>
      <c r="N3815" s="26"/>
    </row>
    <row r="3816" spans="10:14" x14ac:dyDescent="0.25">
      <c r="J3816" s="25">
        <v>0.50862415253216975</v>
      </c>
      <c r="N3816" s="26"/>
    </row>
    <row r="3817" spans="10:14" x14ac:dyDescent="0.25">
      <c r="J3817" s="25">
        <v>-0.23708269601637344</v>
      </c>
      <c r="N3817" s="26"/>
    </row>
    <row r="3818" spans="10:14" x14ac:dyDescent="0.25">
      <c r="J3818" s="25">
        <v>0.5124125781060147</v>
      </c>
      <c r="N3818" s="26"/>
    </row>
    <row r="3819" spans="10:14" x14ac:dyDescent="0.25">
      <c r="J3819" s="25">
        <v>-1.7227489036053534E-3</v>
      </c>
      <c r="N3819" s="26"/>
    </row>
    <row r="3820" spans="10:14" x14ac:dyDescent="0.25">
      <c r="J3820" s="25">
        <v>-0.49963617283651196</v>
      </c>
      <c r="N3820" s="26"/>
    </row>
    <row r="3821" spans="10:14" x14ac:dyDescent="0.25">
      <c r="J3821" s="25">
        <v>-9.095207716978293E-2</v>
      </c>
      <c r="N3821" s="26"/>
    </row>
    <row r="3822" spans="10:14" x14ac:dyDescent="0.25">
      <c r="J3822" s="25">
        <v>0.22016590830515259</v>
      </c>
      <c r="N3822" s="26"/>
    </row>
    <row r="3823" spans="10:14" x14ac:dyDescent="0.25">
      <c r="J3823" s="25">
        <v>-0.32060779889401281</v>
      </c>
      <c r="N3823" s="26"/>
    </row>
    <row r="3824" spans="10:14" x14ac:dyDescent="0.25">
      <c r="J3824" s="25">
        <v>-4.6760634750967367E-2</v>
      </c>
      <c r="N3824" s="26"/>
    </row>
    <row r="3825" spans="10:14" x14ac:dyDescent="0.25">
      <c r="J3825" s="25">
        <v>0.14612195198591293</v>
      </c>
      <c r="N3825" s="26"/>
    </row>
    <row r="3826" spans="10:14" x14ac:dyDescent="0.25">
      <c r="J3826" s="25">
        <v>-0.3314509383197044</v>
      </c>
      <c r="N3826" s="26"/>
    </row>
    <row r="3827" spans="10:14" x14ac:dyDescent="0.25">
      <c r="J3827" s="25">
        <v>0.4171768428281406</v>
      </c>
      <c r="N3827" s="26"/>
    </row>
    <row r="3828" spans="10:14" x14ac:dyDescent="0.25">
      <c r="J3828" s="25">
        <v>-0.49533246312753543</v>
      </c>
      <c r="N3828" s="26"/>
    </row>
    <row r="3829" spans="10:14" x14ac:dyDescent="0.25">
      <c r="J3829" s="25">
        <v>-0.2931810909560929</v>
      </c>
      <c r="N3829" s="26"/>
    </row>
    <row r="3830" spans="10:14" x14ac:dyDescent="0.25">
      <c r="J3830" s="25">
        <v>0.68987880212355446</v>
      </c>
      <c r="N3830" s="26"/>
    </row>
    <row r="3831" spans="10:14" x14ac:dyDescent="0.25">
      <c r="J3831" s="25">
        <v>0.29206822259631182</v>
      </c>
      <c r="N3831" s="26"/>
    </row>
    <row r="3832" spans="10:14" x14ac:dyDescent="0.25">
      <c r="J3832" s="25">
        <v>0.24444445630670542</v>
      </c>
      <c r="N3832" s="26"/>
    </row>
    <row r="3833" spans="10:14" x14ac:dyDescent="0.25">
      <c r="J3833" s="25">
        <v>-0.29688821149492506</v>
      </c>
      <c r="N3833" s="26"/>
    </row>
    <row r="3834" spans="10:14" x14ac:dyDescent="0.25">
      <c r="J3834" s="25">
        <v>-6.850558877255164E-2</v>
      </c>
      <c r="N3834" s="26"/>
    </row>
    <row r="3835" spans="10:14" x14ac:dyDescent="0.25">
      <c r="J3835" s="25">
        <v>7.6730072353908607E-2</v>
      </c>
      <c r="N3835" s="26"/>
    </row>
    <row r="3836" spans="10:14" x14ac:dyDescent="0.25">
      <c r="J3836" s="25">
        <v>6.8226887799401448E-2</v>
      </c>
      <c r="N3836" s="26"/>
    </row>
    <row r="3837" spans="10:14" x14ac:dyDescent="0.25">
      <c r="J3837" s="25">
        <v>-0.38963509670424123</v>
      </c>
      <c r="N3837" s="26"/>
    </row>
    <row r="3838" spans="10:14" x14ac:dyDescent="0.25">
      <c r="J3838" s="25">
        <v>-6.5084720853930023E-2</v>
      </c>
      <c r="N3838" s="26"/>
    </row>
    <row r="3839" spans="10:14" x14ac:dyDescent="0.25">
      <c r="J3839" s="25">
        <v>-0.25381198814851025</v>
      </c>
      <c r="N3839" s="26"/>
    </row>
    <row r="3840" spans="10:14" x14ac:dyDescent="0.25">
      <c r="J3840" s="25">
        <v>-0.34067149197023627</v>
      </c>
      <c r="N3840" s="26"/>
    </row>
    <row r="3841" spans="10:14" x14ac:dyDescent="0.25">
      <c r="J3841" s="25">
        <v>-0.13738957621417724</v>
      </c>
      <c r="N3841" s="26"/>
    </row>
    <row r="3842" spans="10:14" x14ac:dyDescent="0.25">
      <c r="J3842" s="25">
        <v>0.15538616623780266</v>
      </c>
      <c r="N3842" s="26"/>
    </row>
    <row r="3843" spans="10:14" x14ac:dyDescent="0.25">
      <c r="J3843" s="25">
        <v>-0.39769183133709973</v>
      </c>
      <c r="N3843" s="26"/>
    </row>
    <row r="3844" spans="10:14" x14ac:dyDescent="0.25">
      <c r="J3844" s="25">
        <v>0.28965211647323486</v>
      </c>
      <c r="N3844" s="26"/>
    </row>
    <row r="3845" spans="10:14" x14ac:dyDescent="0.25">
      <c r="J3845" s="25">
        <v>0.19214355647178061</v>
      </c>
      <c r="N3845" s="26"/>
    </row>
    <row r="3846" spans="10:14" x14ac:dyDescent="0.25">
      <c r="J3846" s="25">
        <v>0.11284717006075762</v>
      </c>
      <c r="N3846" s="26"/>
    </row>
    <row r="3847" spans="10:14" x14ac:dyDescent="0.25">
      <c r="J3847" s="25">
        <v>3.3598796728636859E-2</v>
      </c>
      <c r="N3847" s="26"/>
    </row>
    <row r="3848" spans="10:14" x14ac:dyDescent="0.25">
      <c r="J3848" s="25">
        <v>-0.35128743090088832</v>
      </c>
      <c r="N3848" s="26"/>
    </row>
    <row r="3849" spans="10:14" x14ac:dyDescent="0.25">
      <c r="J3849" s="25">
        <v>-0.34617792053712948</v>
      </c>
      <c r="N3849" s="26"/>
    </row>
    <row r="3850" spans="10:14" x14ac:dyDescent="0.25">
      <c r="J3850" s="25">
        <v>0.14319701039019894</v>
      </c>
      <c r="N3850" s="26"/>
    </row>
    <row r="3851" spans="10:14" x14ac:dyDescent="0.25">
      <c r="J3851" s="25">
        <v>-7.4635099038982022E-2</v>
      </c>
      <c r="N3851" s="26"/>
    </row>
    <row r="3852" spans="10:14" x14ac:dyDescent="0.25">
      <c r="J3852" s="25">
        <v>-0.36450017643301924</v>
      </c>
      <c r="N3852" s="26"/>
    </row>
    <row r="3853" spans="10:14" x14ac:dyDescent="0.25">
      <c r="J3853" s="25">
        <v>0.69712990651640827</v>
      </c>
      <c r="N3853" s="26"/>
    </row>
    <row r="3854" spans="10:14" x14ac:dyDescent="0.25">
      <c r="J3854" s="25">
        <v>-0.27021586938754827</v>
      </c>
      <c r="N3854" s="26"/>
    </row>
    <row r="3855" spans="10:14" x14ac:dyDescent="0.25">
      <c r="J3855" s="25">
        <v>3.0412586246279849E-2</v>
      </c>
      <c r="N3855" s="26"/>
    </row>
    <row r="3856" spans="10:14" x14ac:dyDescent="0.25">
      <c r="J3856" s="25">
        <v>0.26584659235868702</v>
      </c>
      <c r="N3856" s="26"/>
    </row>
    <row r="3857" spans="10:14" x14ac:dyDescent="0.25">
      <c r="J3857" s="25">
        <v>-0.1048949238082556</v>
      </c>
      <c r="N3857" s="26"/>
    </row>
    <row r="3858" spans="10:14" x14ac:dyDescent="0.25">
      <c r="J3858" s="25">
        <v>-0.2986397390819443</v>
      </c>
      <c r="N3858" s="26"/>
    </row>
    <row r="3859" spans="10:14" x14ac:dyDescent="0.25">
      <c r="J3859" s="25">
        <v>0.61510964440393279</v>
      </c>
      <c r="N3859" s="26"/>
    </row>
    <row r="3860" spans="10:14" x14ac:dyDescent="0.25">
      <c r="J3860" s="25">
        <v>-0.52582587745934628</v>
      </c>
      <c r="N3860" s="26"/>
    </row>
    <row r="3861" spans="10:14" x14ac:dyDescent="0.25">
      <c r="J3861" s="25">
        <v>0.23362289636702971</v>
      </c>
      <c r="N3861" s="26"/>
    </row>
    <row r="3862" spans="10:14" x14ac:dyDescent="0.25">
      <c r="J3862" s="25">
        <v>0.18559232938799974</v>
      </c>
      <c r="N3862" s="26"/>
    </row>
    <row r="3863" spans="10:14" x14ac:dyDescent="0.25">
      <c r="J3863" s="25">
        <v>-2.9323975510374023E-2</v>
      </c>
      <c r="N3863" s="26"/>
    </row>
    <row r="3864" spans="10:14" x14ac:dyDescent="0.25">
      <c r="J3864" s="25">
        <v>0.16209002221498281</v>
      </c>
      <c r="N3864" s="26"/>
    </row>
    <row r="3865" spans="10:14" x14ac:dyDescent="0.25">
      <c r="J3865" s="25">
        <v>0.85733113347656387</v>
      </c>
      <c r="N3865" s="26"/>
    </row>
    <row r="3866" spans="10:14" x14ac:dyDescent="0.25">
      <c r="J3866" s="25">
        <v>-0.10680317093896119</v>
      </c>
      <c r="N3866" s="26"/>
    </row>
    <row r="3867" spans="10:14" x14ac:dyDescent="0.25">
      <c r="J3867" s="25">
        <v>5.348296185396384E-2</v>
      </c>
      <c r="N3867" s="26"/>
    </row>
    <row r="3868" spans="10:14" x14ac:dyDescent="0.25">
      <c r="J3868" s="25">
        <v>-0.37899585628752708</v>
      </c>
      <c r="N3868" s="26"/>
    </row>
    <row r="3869" spans="10:14" x14ac:dyDescent="0.25">
      <c r="J3869" s="25">
        <v>-0.2650312508079613</v>
      </c>
      <c r="N3869" s="26"/>
    </row>
    <row r="3870" spans="10:14" x14ac:dyDescent="0.25">
      <c r="J3870" s="25">
        <v>-7.3217791997831294E-2</v>
      </c>
      <c r="N3870" s="26"/>
    </row>
    <row r="3871" spans="10:14" x14ac:dyDescent="0.25">
      <c r="J3871" s="25">
        <v>0.98188929677241576</v>
      </c>
      <c r="N3871" s="26"/>
    </row>
    <row r="3872" spans="10:14" x14ac:dyDescent="0.25">
      <c r="J3872" s="25">
        <v>3.1731230314279379E-2</v>
      </c>
      <c r="N3872" s="26"/>
    </row>
    <row r="3873" spans="10:14" x14ac:dyDescent="0.25">
      <c r="J3873" s="25">
        <v>0.57812306892863119</v>
      </c>
      <c r="N3873" s="26"/>
    </row>
    <row r="3874" spans="10:14" x14ac:dyDescent="0.25">
      <c r="J3874" s="25">
        <v>2.2710376112219155E-2</v>
      </c>
      <c r="N3874" s="26"/>
    </row>
    <row r="3875" spans="10:14" x14ac:dyDescent="0.25">
      <c r="J3875" s="25">
        <v>0.20092533203183049</v>
      </c>
      <c r="N3875" s="26"/>
    </row>
    <row r="3876" spans="10:14" x14ac:dyDescent="0.25">
      <c r="J3876" s="25">
        <v>0.6655128592385593</v>
      </c>
      <c r="N3876" s="26"/>
    </row>
    <row r="3877" spans="10:14" x14ac:dyDescent="0.25">
      <c r="J3877" s="25">
        <v>-0.17640331003193932</v>
      </c>
      <c r="N3877" s="26"/>
    </row>
    <row r="3878" spans="10:14" x14ac:dyDescent="0.25">
      <c r="J3878" s="25">
        <v>0.3510099622367453</v>
      </c>
      <c r="N3878" s="26"/>
    </row>
    <row r="3879" spans="10:14" x14ac:dyDescent="0.25">
      <c r="J3879" s="25">
        <v>0.18942207990632842</v>
      </c>
      <c r="N3879" s="26"/>
    </row>
    <row r="3880" spans="10:14" x14ac:dyDescent="0.25">
      <c r="J3880" s="25">
        <v>0.33902046678823772</v>
      </c>
      <c r="N3880" s="26"/>
    </row>
    <row r="3881" spans="10:14" x14ac:dyDescent="0.25">
      <c r="J3881" s="25">
        <v>6.1013224050788351E-2</v>
      </c>
      <c r="N3881" s="26"/>
    </row>
    <row r="3882" spans="10:14" x14ac:dyDescent="0.25">
      <c r="J3882" s="25">
        <v>0.65606791997734137</v>
      </c>
      <c r="N3882" s="26"/>
    </row>
    <row r="3883" spans="10:14" x14ac:dyDescent="0.25">
      <c r="J3883" s="25">
        <v>2.2810789187797331E-2</v>
      </c>
      <c r="N3883" s="26"/>
    </row>
    <row r="3884" spans="10:14" x14ac:dyDescent="0.25">
      <c r="J3884" s="25">
        <v>0.65257296382135466</v>
      </c>
      <c r="N3884" s="26"/>
    </row>
    <row r="3885" spans="10:14" x14ac:dyDescent="0.25">
      <c r="J3885" s="25">
        <v>-0.38191788544037608</v>
      </c>
      <c r="N3885" s="26"/>
    </row>
    <row r="3886" spans="10:14" x14ac:dyDescent="0.25">
      <c r="J3886" s="25">
        <v>-0.34644363987275673</v>
      </c>
      <c r="N3886" s="26"/>
    </row>
    <row r="3887" spans="10:14" x14ac:dyDescent="0.25">
      <c r="J3887" s="25">
        <v>0.13698068728799306</v>
      </c>
      <c r="N3887" s="26"/>
    </row>
    <row r="3888" spans="10:14" x14ac:dyDescent="0.25">
      <c r="J3888" s="25">
        <v>0.28372623661454632</v>
      </c>
      <c r="N3888" s="26"/>
    </row>
    <row r="3889" spans="10:14" x14ac:dyDescent="0.25">
      <c r="J3889" s="25">
        <v>-6.8451675442441018E-2</v>
      </c>
      <c r="N3889" s="26"/>
    </row>
    <row r="3890" spans="10:14" x14ac:dyDescent="0.25">
      <c r="J3890" s="25">
        <v>-4.8106018407966133E-2</v>
      </c>
      <c r="N3890" s="26"/>
    </row>
    <row r="3891" spans="10:14" x14ac:dyDescent="0.25">
      <c r="J3891" s="25">
        <v>0.73174306914833065</v>
      </c>
      <c r="N3891" s="26"/>
    </row>
    <row r="3892" spans="10:14" x14ac:dyDescent="0.25">
      <c r="J3892" s="25">
        <v>0.60013287481854416</v>
      </c>
      <c r="N3892" s="26"/>
    </row>
    <row r="3893" spans="10:14" x14ac:dyDescent="0.25">
      <c r="J3893" s="25">
        <v>-0.3825371132872617</v>
      </c>
      <c r="N3893" s="26"/>
    </row>
    <row r="3894" spans="10:14" x14ac:dyDescent="0.25">
      <c r="J3894" s="25">
        <v>0.30552516191168344</v>
      </c>
      <c r="N3894" s="26"/>
    </row>
    <row r="3895" spans="10:14" x14ac:dyDescent="0.25">
      <c r="J3895" s="25">
        <v>0.54168754778817707</v>
      </c>
      <c r="N3895" s="26"/>
    </row>
    <row r="3896" spans="10:14" x14ac:dyDescent="0.25">
      <c r="J3896" s="25">
        <v>-0.35784358280143469</v>
      </c>
      <c r="N3896" s="26"/>
    </row>
    <row r="3897" spans="10:14" x14ac:dyDescent="0.25">
      <c r="J3897" s="25">
        <v>0.33101061750562311</v>
      </c>
      <c r="N3897" s="26"/>
    </row>
    <row r="3898" spans="10:14" x14ac:dyDescent="0.25">
      <c r="J3898" s="25">
        <v>-0.2035556260388468</v>
      </c>
      <c r="N3898" s="26"/>
    </row>
    <row r="3899" spans="10:14" x14ac:dyDescent="0.25">
      <c r="J3899" s="25">
        <v>-0.5175945943746636</v>
      </c>
      <c r="N3899" s="26"/>
    </row>
    <row r="3900" spans="10:14" x14ac:dyDescent="0.25">
      <c r="J3900" s="25">
        <v>0.2116533792114117</v>
      </c>
      <c r="N3900" s="26"/>
    </row>
    <row r="3901" spans="10:14" x14ac:dyDescent="0.25">
      <c r="J3901" s="25">
        <v>-0.23582371150689574</v>
      </c>
      <c r="N3901" s="26"/>
    </row>
    <row r="3902" spans="10:14" x14ac:dyDescent="0.25">
      <c r="J3902" s="25">
        <v>-0.3104038134875079</v>
      </c>
      <c r="N3902" s="26"/>
    </row>
    <row r="3903" spans="10:14" x14ac:dyDescent="0.25">
      <c r="J3903" s="25">
        <v>-0.50879763194550598</v>
      </c>
      <c r="N3903" s="26"/>
    </row>
    <row r="3904" spans="10:14" x14ac:dyDescent="0.25">
      <c r="J3904" s="25">
        <v>-6.7812037118726187E-2</v>
      </c>
      <c r="N3904" s="26"/>
    </row>
    <row r="3905" spans="10:14" x14ac:dyDescent="0.25">
      <c r="J3905" s="25">
        <v>0.74418442482175085</v>
      </c>
      <c r="N3905" s="26"/>
    </row>
    <row r="3906" spans="10:14" x14ac:dyDescent="0.25">
      <c r="J3906" s="25">
        <v>-0.25305210022865399</v>
      </c>
      <c r="N3906" s="26"/>
    </row>
    <row r="3907" spans="10:14" x14ac:dyDescent="0.25">
      <c r="J3907" s="25">
        <v>0.34801044606215559</v>
      </c>
      <c r="N3907" s="26"/>
    </row>
    <row r="3908" spans="10:14" x14ac:dyDescent="0.25">
      <c r="J3908" s="25">
        <v>2.0318858655718142E-2</v>
      </c>
      <c r="N3908" s="26"/>
    </row>
    <row r="3909" spans="10:14" x14ac:dyDescent="0.25">
      <c r="J3909" s="25">
        <v>-0.37097633274592212</v>
      </c>
      <c r="N3909" s="26"/>
    </row>
    <row r="3910" spans="10:14" x14ac:dyDescent="0.25">
      <c r="J3910" s="25">
        <v>0.53479850679074614</v>
      </c>
      <c r="N3910" s="26"/>
    </row>
    <row r="3911" spans="10:14" x14ac:dyDescent="0.25">
      <c r="J3911" s="25">
        <v>4.5271886235299874E-2</v>
      </c>
      <c r="N3911" s="26"/>
    </row>
    <row r="3912" spans="10:14" x14ac:dyDescent="0.25">
      <c r="J3912" s="25">
        <v>-0.29990721271165433</v>
      </c>
      <c r="N3912" s="26"/>
    </row>
    <row r="3913" spans="10:14" x14ac:dyDescent="0.25">
      <c r="J3913" s="25">
        <v>5.0985898109345618E-2</v>
      </c>
      <c r="N3913" s="26"/>
    </row>
    <row r="3914" spans="10:14" x14ac:dyDescent="0.25">
      <c r="J3914" s="25">
        <v>-7.5100731532642295E-2</v>
      </c>
      <c r="N3914" s="26"/>
    </row>
    <row r="3915" spans="10:14" x14ac:dyDescent="0.25">
      <c r="J3915" s="25">
        <v>0.60610843871020892</v>
      </c>
      <c r="N3915" s="26"/>
    </row>
    <row r="3916" spans="10:14" x14ac:dyDescent="0.25">
      <c r="J3916" s="25">
        <v>-0.35337503394122072</v>
      </c>
      <c r="N3916" s="26"/>
    </row>
    <row r="3917" spans="10:14" x14ac:dyDescent="0.25">
      <c r="J3917" s="25">
        <v>0.52590027901090042</v>
      </c>
      <c r="N3917" s="26"/>
    </row>
    <row r="3918" spans="10:14" x14ac:dyDescent="0.25">
      <c r="J3918" s="25">
        <v>0.54394274450796853</v>
      </c>
      <c r="N3918" s="26"/>
    </row>
    <row r="3919" spans="10:14" x14ac:dyDescent="0.25">
      <c r="J3919" s="25">
        <v>-0.12241383089042146</v>
      </c>
      <c r="N3919" s="26"/>
    </row>
    <row r="3920" spans="10:14" x14ac:dyDescent="0.25">
      <c r="J3920" s="25">
        <v>-0.36578806982648904</v>
      </c>
      <c r="N3920" s="26"/>
    </row>
    <row r="3921" spans="10:14" x14ac:dyDescent="0.25">
      <c r="J3921" s="25">
        <v>-0.40736852804272683</v>
      </c>
      <c r="N3921" s="26"/>
    </row>
    <row r="3922" spans="10:14" x14ac:dyDescent="0.25">
      <c r="J3922" s="25">
        <v>0.42640645724380932</v>
      </c>
      <c r="N3922" s="26"/>
    </row>
    <row r="3923" spans="10:14" x14ac:dyDescent="0.25">
      <c r="J3923" s="25">
        <v>-0.35276362803481287</v>
      </c>
      <c r="N3923" s="26"/>
    </row>
    <row r="3924" spans="10:14" x14ac:dyDescent="0.25">
      <c r="J3924" s="25">
        <v>-0.18233920930190373</v>
      </c>
      <c r="N3924" s="26"/>
    </row>
    <row r="3925" spans="10:14" x14ac:dyDescent="0.25">
      <c r="J3925" s="25">
        <v>-5.3350508968231791E-2</v>
      </c>
      <c r="N3925" s="26"/>
    </row>
    <row r="3926" spans="10:14" x14ac:dyDescent="0.25">
      <c r="J3926" s="25">
        <v>0.35693243413276488</v>
      </c>
      <c r="N3926" s="26"/>
    </row>
    <row r="3927" spans="10:14" x14ac:dyDescent="0.25">
      <c r="J3927" s="25">
        <v>0.66578858297021681</v>
      </c>
      <c r="N3927" s="26"/>
    </row>
    <row r="3928" spans="10:14" x14ac:dyDescent="0.25">
      <c r="J3928" s="25">
        <v>-0.11681543007396245</v>
      </c>
      <c r="N3928" s="26"/>
    </row>
    <row r="3929" spans="10:14" x14ac:dyDescent="0.25">
      <c r="J3929" s="25">
        <v>0.11457727299092757</v>
      </c>
      <c r="N3929" s="26"/>
    </row>
    <row r="3930" spans="10:14" x14ac:dyDescent="0.25">
      <c r="J3930" s="25">
        <v>9.1361071496547819E-2</v>
      </c>
      <c r="N3930" s="26"/>
    </row>
    <row r="3931" spans="10:14" x14ac:dyDescent="0.25">
      <c r="J3931" s="25">
        <v>-0.30940810555346387</v>
      </c>
      <c r="N3931" s="26"/>
    </row>
    <row r="3932" spans="10:14" x14ac:dyDescent="0.25">
      <c r="J3932" s="25">
        <v>-0.38381390258035819</v>
      </c>
      <c r="N3932" s="26"/>
    </row>
    <row r="3933" spans="10:14" x14ac:dyDescent="0.25">
      <c r="J3933" s="25">
        <v>-6.5849790737331326E-2</v>
      </c>
      <c r="N3933" s="26"/>
    </row>
    <row r="3934" spans="10:14" x14ac:dyDescent="0.25">
      <c r="J3934" s="25">
        <v>0.54707785787973262</v>
      </c>
      <c r="N3934" s="26"/>
    </row>
    <row r="3935" spans="10:14" x14ac:dyDescent="0.25">
      <c r="J3935" s="25">
        <v>-0.35562829879781621</v>
      </c>
      <c r="N3935" s="26"/>
    </row>
    <row r="3936" spans="10:14" x14ac:dyDescent="0.25">
      <c r="J3936" s="25">
        <v>0.33140651967207102</v>
      </c>
      <c r="N3936" s="26"/>
    </row>
    <row r="3937" spans="10:14" x14ac:dyDescent="0.25">
      <c r="J3937" s="25">
        <v>-0.46450410949652932</v>
      </c>
      <c r="N3937" s="26"/>
    </row>
    <row r="3938" spans="10:14" x14ac:dyDescent="0.25">
      <c r="J3938" s="25">
        <v>1.1168418996354608</v>
      </c>
      <c r="N3938" s="26"/>
    </row>
    <row r="3939" spans="10:14" x14ac:dyDescent="0.25">
      <c r="J3939" s="25">
        <v>-0.16646961320456966</v>
      </c>
      <c r="N3939" s="26"/>
    </row>
    <row r="3940" spans="10:14" x14ac:dyDescent="0.25">
      <c r="J3940" s="25">
        <v>1.5670934360716426E-2</v>
      </c>
      <c r="N3940" s="26"/>
    </row>
    <row r="3941" spans="10:14" x14ac:dyDescent="0.25">
      <c r="J3941" s="25">
        <v>3.302799489650754E-2</v>
      </c>
      <c r="N3941" s="26"/>
    </row>
    <row r="3942" spans="10:14" x14ac:dyDescent="0.25">
      <c r="J3942" s="25">
        <v>0.11211473793420912</v>
      </c>
      <c r="N3942" s="26"/>
    </row>
    <row r="3943" spans="10:14" x14ac:dyDescent="0.25">
      <c r="J3943" s="25">
        <v>-0.16097988852720546</v>
      </c>
      <c r="N3943" s="26"/>
    </row>
    <row r="3944" spans="10:14" x14ac:dyDescent="0.25">
      <c r="J3944" s="25">
        <v>-0.25240689807480177</v>
      </c>
      <c r="N3944" s="26"/>
    </row>
    <row r="3945" spans="10:14" x14ac:dyDescent="0.25">
      <c r="J3945" s="25">
        <v>-0.32147289329361506</v>
      </c>
      <c r="N3945" s="26"/>
    </row>
    <row r="3946" spans="10:14" x14ac:dyDescent="0.25">
      <c r="J3946" s="25">
        <v>-0.3713385564165036</v>
      </c>
      <c r="N3946" s="26"/>
    </row>
    <row r="3947" spans="10:14" x14ac:dyDescent="0.25">
      <c r="J3947" s="25">
        <v>-0.33779132852660743</v>
      </c>
      <c r="N3947" s="26"/>
    </row>
    <row r="3948" spans="10:14" x14ac:dyDescent="0.25">
      <c r="J3948" s="25">
        <v>-6.7804984081296094E-2</v>
      </c>
      <c r="N3948" s="26"/>
    </row>
    <row r="3949" spans="10:14" x14ac:dyDescent="0.25">
      <c r="J3949" s="25">
        <v>0.14918224389785939</v>
      </c>
      <c r="N3949" s="26"/>
    </row>
    <row r="3950" spans="10:14" x14ac:dyDescent="0.25">
      <c r="J3950" s="25">
        <v>0.56573037799839332</v>
      </c>
      <c r="N3950" s="26"/>
    </row>
    <row r="3951" spans="10:14" x14ac:dyDescent="0.25">
      <c r="J3951" s="25">
        <v>-1.9092434737905006E-2</v>
      </c>
      <c r="N3951" s="26"/>
    </row>
    <row r="3952" spans="10:14" x14ac:dyDescent="0.25">
      <c r="J3952" s="25">
        <v>0.47946246820962091</v>
      </c>
      <c r="N3952" s="26"/>
    </row>
    <row r="3953" spans="10:14" x14ac:dyDescent="0.25">
      <c r="J3953" s="25">
        <v>0.61570308449364997</v>
      </c>
      <c r="N3953" s="26"/>
    </row>
    <row r="3954" spans="10:14" x14ac:dyDescent="0.25">
      <c r="J3954" s="25">
        <v>-0.34784650671529538</v>
      </c>
      <c r="N3954" s="26"/>
    </row>
    <row r="3955" spans="10:14" x14ac:dyDescent="0.25">
      <c r="J3955" s="25">
        <v>0.37317833279873414</v>
      </c>
      <c r="N3955" s="26"/>
    </row>
    <row r="3956" spans="10:14" x14ac:dyDescent="0.25">
      <c r="J3956" s="25">
        <v>-0.22565759044968903</v>
      </c>
      <c r="N3956" s="26"/>
    </row>
    <row r="3957" spans="10:14" x14ac:dyDescent="0.25">
      <c r="J3957" s="25">
        <v>-0.2688168924653398</v>
      </c>
      <c r="N3957" s="26"/>
    </row>
    <row r="3958" spans="10:14" x14ac:dyDescent="0.25">
      <c r="J3958" s="25">
        <v>-0.18507494384915402</v>
      </c>
      <c r="N3958" s="26"/>
    </row>
    <row r="3959" spans="10:14" x14ac:dyDescent="0.25">
      <c r="J3959" s="25">
        <v>0.20947448194623375</v>
      </c>
      <c r="N3959" s="26"/>
    </row>
    <row r="3960" spans="10:14" x14ac:dyDescent="0.25">
      <c r="J3960" s="25">
        <v>-0.18733235640955115</v>
      </c>
      <c r="N3960" s="26"/>
    </row>
    <row r="3961" spans="10:14" x14ac:dyDescent="0.25">
      <c r="J3961" s="25">
        <v>0.22492637043903829</v>
      </c>
      <c r="N3961" s="26"/>
    </row>
    <row r="3962" spans="10:14" x14ac:dyDescent="0.25">
      <c r="J3962" s="25">
        <v>7.7231685162387986E-2</v>
      </c>
      <c r="N3962" s="26"/>
    </row>
    <row r="3963" spans="10:14" x14ac:dyDescent="0.25">
      <c r="J3963" s="25">
        <v>-0.38371571386901504</v>
      </c>
      <c r="N3963" s="26"/>
    </row>
    <row r="3964" spans="10:14" x14ac:dyDescent="0.25">
      <c r="J3964" s="25">
        <v>-4.53861443397785E-2</v>
      </c>
      <c r="N3964" s="26"/>
    </row>
    <row r="3965" spans="10:14" x14ac:dyDescent="0.25">
      <c r="J3965" s="25">
        <v>-0.53817499207462105</v>
      </c>
      <c r="N3965" s="26"/>
    </row>
    <row r="3966" spans="10:14" x14ac:dyDescent="0.25">
      <c r="J3966" s="25">
        <v>0.39434523173705704</v>
      </c>
      <c r="N3966" s="26"/>
    </row>
    <row r="3967" spans="10:14" x14ac:dyDescent="0.25">
      <c r="J3967" s="25">
        <v>-0.38879128449431566</v>
      </c>
      <c r="N3967" s="26"/>
    </row>
    <row r="3968" spans="10:14" x14ac:dyDescent="0.25">
      <c r="J3968" s="25">
        <v>0.67519087655173537</v>
      </c>
      <c r="N3968" s="26"/>
    </row>
    <row r="3969" spans="10:14" x14ac:dyDescent="0.25">
      <c r="J3969" s="25">
        <v>0.52491405439854266</v>
      </c>
      <c r="N3969" s="26"/>
    </row>
    <row r="3970" spans="10:14" x14ac:dyDescent="0.25">
      <c r="J3970" s="25">
        <v>-0.49017097612281491</v>
      </c>
      <c r="N3970" s="26"/>
    </row>
    <row r="3971" spans="10:14" x14ac:dyDescent="0.25">
      <c r="J3971" s="25">
        <v>0.21579612893188771</v>
      </c>
      <c r="N3971" s="26"/>
    </row>
    <row r="3972" spans="10:14" x14ac:dyDescent="0.25">
      <c r="J3972" s="25">
        <v>0.31184088502745144</v>
      </c>
      <c r="N3972" s="26"/>
    </row>
    <row r="3973" spans="10:14" x14ac:dyDescent="0.25">
      <c r="J3973" s="25">
        <v>0.21790305559201117</v>
      </c>
      <c r="N3973" s="26"/>
    </row>
    <row r="3974" spans="10:14" x14ac:dyDescent="0.25">
      <c r="J3974" s="25">
        <v>-3.2098182408843767E-2</v>
      </c>
      <c r="N3974" s="26"/>
    </row>
    <row r="3975" spans="10:14" x14ac:dyDescent="0.25">
      <c r="J3975" s="25">
        <v>-0.19695523052190111</v>
      </c>
      <c r="N3975" s="26"/>
    </row>
    <row r="3976" spans="10:14" x14ac:dyDescent="0.25">
      <c r="J3976" s="25">
        <v>-3.3818407938438377E-2</v>
      </c>
      <c r="N3976" s="26"/>
    </row>
    <row r="3977" spans="10:14" x14ac:dyDescent="0.25">
      <c r="J3977" s="25">
        <v>-2.9597297676177581E-2</v>
      </c>
      <c r="N3977" s="26"/>
    </row>
    <row r="3978" spans="10:14" x14ac:dyDescent="0.25">
      <c r="J3978" s="25">
        <v>-0.26555279962479672</v>
      </c>
      <c r="N3978" s="26"/>
    </row>
    <row r="3979" spans="10:14" x14ac:dyDescent="0.25">
      <c r="J3979" s="25">
        <v>0.89694712449152525</v>
      </c>
      <c r="N3979" s="26"/>
    </row>
    <row r="3980" spans="10:14" x14ac:dyDescent="0.25">
      <c r="J3980" s="25">
        <v>-0.34789948135313398</v>
      </c>
      <c r="N3980" s="26"/>
    </row>
    <row r="3981" spans="10:14" x14ac:dyDescent="0.25">
      <c r="J3981" s="25">
        <v>0.1426998183766961</v>
      </c>
      <c r="N3981" s="26"/>
    </row>
    <row r="3982" spans="10:14" x14ac:dyDescent="0.25">
      <c r="J3982" s="25">
        <v>1.3751274548758907E-2</v>
      </c>
      <c r="N3982" s="26"/>
    </row>
    <row r="3983" spans="10:14" x14ac:dyDescent="0.25">
      <c r="J3983" s="25">
        <v>-5.3847795311755542E-2</v>
      </c>
      <c r="N3983" s="26"/>
    </row>
    <row r="3984" spans="10:14" x14ac:dyDescent="0.25">
      <c r="J3984" s="25">
        <v>-4.0867303729375526E-2</v>
      </c>
      <c r="N3984" s="26"/>
    </row>
    <row r="3985" spans="10:14" x14ac:dyDescent="0.25">
      <c r="J3985" s="25">
        <v>0.56254084596950693</v>
      </c>
      <c r="N3985" s="26"/>
    </row>
    <row r="3986" spans="10:14" x14ac:dyDescent="0.25">
      <c r="J3986" s="25">
        <v>0.35087551108136661</v>
      </c>
      <c r="N3986" s="26"/>
    </row>
    <row r="3987" spans="10:14" x14ac:dyDescent="0.25">
      <c r="J3987" s="25">
        <v>-0.35337472230778522</v>
      </c>
      <c r="N3987" s="26"/>
    </row>
    <row r="3988" spans="10:14" x14ac:dyDescent="0.25">
      <c r="J3988" s="25">
        <v>-2.1565393827236656E-2</v>
      </c>
      <c r="N3988" s="26"/>
    </row>
    <row r="3989" spans="10:14" x14ac:dyDescent="0.25">
      <c r="J3989" s="25">
        <v>0.23216908018710236</v>
      </c>
      <c r="N3989" s="26"/>
    </row>
    <row r="3990" spans="10:14" x14ac:dyDescent="0.25">
      <c r="J3990" s="25">
        <v>0.24166977303493065</v>
      </c>
      <c r="N3990" s="26"/>
    </row>
    <row r="3991" spans="10:14" x14ac:dyDescent="0.25">
      <c r="J3991" s="25">
        <v>1.0535458421947501</v>
      </c>
      <c r="N3991" s="26"/>
    </row>
    <row r="3992" spans="10:14" x14ac:dyDescent="0.25">
      <c r="J3992" s="25">
        <v>0.59457308026170375</v>
      </c>
      <c r="N3992" s="26"/>
    </row>
    <row r="3993" spans="10:14" x14ac:dyDescent="0.25">
      <c r="J3993" s="25">
        <v>3.7940383565724378E-3</v>
      </c>
      <c r="N3993" s="26"/>
    </row>
    <row r="3994" spans="10:14" x14ac:dyDescent="0.25">
      <c r="J3994" s="25">
        <v>-0.25311961408967365</v>
      </c>
      <c r="N3994" s="26"/>
    </row>
    <row r="3995" spans="10:14" x14ac:dyDescent="0.25">
      <c r="J3995" s="25">
        <v>0.5792188235845146</v>
      </c>
      <c r="N3995" s="26"/>
    </row>
    <row r="3996" spans="10:14" x14ac:dyDescent="0.25">
      <c r="J3996" s="25">
        <v>0.34457400211161593</v>
      </c>
      <c r="N3996" s="26"/>
    </row>
    <row r="3997" spans="10:14" x14ac:dyDescent="0.25">
      <c r="J3997" s="25">
        <v>0.53864906643498078</v>
      </c>
      <c r="N3997" s="26"/>
    </row>
    <row r="3998" spans="10:14" x14ac:dyDescent="0.25">
      <c r="J3998" s="25">
        <v>0.58559140433612322</v>
      </c>
      <c r="N3998" s="26"/>
    </row>
    <row r="3999" spans="10:14" x14ac:dyDescent="0.25">
      <c r="J3999" s="25">
        <v>0.26867410697075411</v>
      </c>
      <c r="N3999" s="26"/>
    </row>
    <row r="4000" spans="10:14" x14ac:dyDescent="0.25">
      <c r="J4000" s="25">
        <v>-0.16799902831290525</v>
      </c>
      <c r="N4000" s="26"/>
    </row>
    <row r="4001" spans="10:14" x14ac:dyDescent="0.25">
      <c r="J4001" s="25">
        <v>0.87541641263770131</v>
      </c>
      <c r="N4001" s="26"/>
    </row>
    <row r="4002" spans="10:14" x14ac:dyDescent="0.25">
      <c r="J4002" s="25">
        <v>-0.2279820286383496</v>
      </c>
      <c r="N4002" s="26"/>
    </row>
    <row r="4003" spans="10:14" x14ac:dyDescent="0.25">
      <c r="J4003" s="25">
        <v>0.66479435017108779</v>
      </c>
      <c r="N4003" s="26"/>
    </row>
    <row r="4004" spans="10:14" x14ac:dyDescent="0.25">
      <c r="J4004" s="25">
        <v>4.5398306410351363E-3</v>
      </c>
      <c r="N4004" s="26"/>
    </row>
    <row r="4005" spans="10:14" x14ac:dyDescent="0.25">
      <c r="J4005" s="25">
        <v>-0.16635911271142723</v>
      </c>
      <c r="N4005" s="26"/>
    </row>
    <row r="4006" spans="10:14" x14ac:dyDescent="0.25">
      <c r="J4006" s="25">
        <v>-8.0508392969892428E-2</v>
      </c>
      <c r="N4006" s="26"/>
    </row>
    <row r="4007" spans="10:14" x14ac:dyDescent="0.25">
      <c r="J4007" s="25">
        <v>-8.1560419839638576E-2</v>
      </c>
      <c r="N4007" s="26"/>
    </row>
    <row r="4008" spans="10:14" x14ac:dyDescent="0.25">
      <c r="J4008" s="25">
        <v>6.9781452678086442E-2</v>
      </c>
      <c r="N4008" s="26"/>
    </row>
    <row r="4009" spans="10:14" x14ac:dyDescent="0.25">
      <c r="J4009" s="25">
        <v>-0.27757190275347587</v>
      </c>
      <c r="N4009" s="26"/>
    </row>
    <row r="4010" spans="10:14" x14ac:dyDescent="0.25">
      <c r="J4010" s="25">
        <v>-0.16330794772106949</v>
      </c>
      <c r="N4010" s="26"/>
    </row>
    <row r="4011" spans="10:14" x14ac:dyDescent="0.25">
      <c r="J4011" s="25">
        <v>-0.25300916870629131</v>
      </c>
      <c r="N4011" s="26"/>
    </row>
    <row r="4012" spans="10:14" x14ac:dyDescent="0.25">
      <c r="J4012" s="25">
        <v>-5.536301148179601E-3</v>
      </c>
      <c r="N4012" s="26"/>
    </row>
    <row r="4013" spans="10:14" x14ac:dyDescent="0.25">
      <c r="J4013" s="25">
        <v>-2.5321497159219941E-2</v>
      </c>
      <c r="N4013" s="26"/>
    </row>
    <row r="4014" spans="10:14" x14ac:dyDescent="0.25">
      <c r="J4014" s="25">
        <v>-0.17995851050911094</v>
      </c>
      <c r="N4014" s="26"/>
    </row>
    <row r="4015" spans="10:14" x14ac:dyDescent="0.25">
      <c r="J4015" s="25">
        <v>-0.19870098917141232</v>
      </c>
      <c r="N4015" s="26"/>
    </row>
    <row r="4016" spans="10:14" x14ac:dyDescent="0.25">
      <c r="J4016" s="25">
        <v>-0.35092138077396184</v>
      </c>
      <c r="N4016" s="26"/>
    </row>
    <row r="4017" spans="10:14" x14ac:dyDescent="0.25">
      <c r="J4017" s="25">
        <v>0.67160352168863846</v>
      </c>
      <c r="N4017" s="26"/>
    </row>
    <row r="4018" spans="10:14" x14ac:dyDescent="0.25">
      <c r="J4018" s="25">
        <v>2.4698297555014737E-2</v>
      </c>
      <c r="N4018" s="26"/>
    </row>
    <row r="4019" spans="10:14" x14ac:dyDescent="0.25">
      <c r="J4019" s="25">
        <v>8.11766278120023E-2</v>
      </c>
      <c r="N4019" s="26"/>
    </row>
    <row r="4020" spans="10:14" x14ac:dyDescent="0.25">
      <c r="J4020" s="25">
        <v>-0.38485676568053895</v>
      </c>
      <c r="N4020" s="26"/>
    </row>
    <row r="4021" spans="10:14" x14ac:dyDescent="0.25">
      <c r="J4021" s="25">
        <v>-5.6787645852354518E-2</v>
      </c>
      <c r="N4021" s="26"/>
    </row>
    <row r="4022" spans="10:14" x14ac:dyDescent="0.25">
      <c r="J4022" s="25">
        <v>-0.28317949398206244</v>
      </c>
      <c r="N4022" s="26"/>
    </row>
    <row r="4023" spans="10:14" x14ac:dyDescent="0.25">
      <c r="J4023" s="25">
        <v>-0.41074270322865225</v>
      </c>
      <c r="N4023" s="26"/>
    </row>
    <row r="4024" spans="10:14" x14ac:dyDescent="0.25">
      <c r="J4024" s="25">
        <v>0.50504147200672866</v>
      </c>
      <c r="N4024" s="26"/>
    </row>
    <row r="4025" spans="10:14" x14ac:dyDescent="0.25">
      <c r="J4025" s="25">
        <v>-2.2683551454096396E-2</v>
      </c>
      <c r="N4025" s="26"/>
    </row>
    <row r="4026" spans="10:14" x14ac:dyDescent="0.25">
      <c r="J4026" s="25">
        <v>-6.4390321046766563E-2</v>
      </c>
      <c r="N4026" s="26"/>
    </row>
    <row r="4027" spans="10:14" x14ac:dyDescent="0.25">
      <c r="J4027" s="25">
        <v>4.1096306036348729E-2</v>
      </c>
      <c r="N4027" s="26"/>
    </row>
    <row r="4028" spans="10:14" x14ac:dyDescent="0.25">
      <c r="J4028" s="25">
        <v>-0.2456317378948859</v>
      </c>
      <c r="N4028" s="26"/>
    </row>
    <row r="4029" spans="10:14" x14ac:dyDescent="0.25">
      <c r="J4029" s="25">
        <v>0.45937732499651784</v>
      </c>
      <c r="N4029" s="26"/>
    </row>
    <row r="4030" spans="10:14" x14ac:dyDescent="0.25">
      <c r="J4030" s="25">
        <v>0.47278176082022139</v>
      </c>
      <c r="N4030" s="26"/>
    </row>
    <row r="4031" spans="10:14" x14ac:dyDescent="0.25">
      <c r="J4031" s="25">
        <v>0.65725926981700855</v>
      </c>
      <c r="N4031" s="26"/>
    </row>
    <row r="4032" spans="10:14" x14ac:dyDescent="0.25">
      <c r="J4032" s="25">
        <v>-0.29013472876725999</v>
      </c>
      <c r="N4032" s="26"/>
    </row>
    <row r="4033" spans="10:14" x14ac:dyDescent="0.25">
      <c r="J4033" s="25">
        <v>1.0298138467742488</v>
      </c>
      <c r="N4033" s="26"/>
    </row>
    <row r="4034" spans="10:14" x14ac:dyDescent="0.25">
      <c r="J4034" s="25">
        <v>-0.34683287130403939</v>
      </c>
      <c r="N4034" s="26"/>
    </row>
    <row r="4035" spans="10:14" x14ac:dyDescent="0.25">
      <c r="J4035" s="25">
        <v>-0.31532707530746285</v>
      </c>
      <c r="N4035" s="26"/>
    </row>
    <row r="4036" spans="10:14" x14ac:dyDescent="0.25">
      <c r="J4036" s="25">
        <v>-0.43656461659068369</v>
      </c>
      <c r="N4036" s="26"/>
    </row>
    <row r="4037" spans="10:14" x14ac:dyDescent="0.25">
      <c r="J4037" s="25">
        <v>-4.6016284665878149E-2</v>
      </c>
      <c r="N4037" s="26"/>
    </row>
    <row r="4038" spans="10:14" x14ac:dyDescent="0.25">
      <c r="J4038" s="25">
        <v>-0.52160254777645298</v>
      </c>
      <c r="N4038" s="26"/>
    </row>
    <row r="4039" spans="10:14" x14ac:dyDescent="0.25">
      <c r="J4039" s="25">
        <v>4.4387664744961253E-2</v>
      </c>
      <c r="N4039" s="26"/>
    </row>
    <row r="4040" spans="10:14" x14ac:dyDescent="0.25">
      <c r="J4040" s="25">
        <v>0.50150493381966843</v>
      </c>
      <c r="N4040" s="26"/>
    </row>
    <row r="4041" spans="10:14" x14ac:dyDescent="0.25">
      <c r="J4041" s="25">
        <v>2.8953839231769862E-2</v>
      </c>
      <c r="N4041" s="26"/>
    </row>
    <row r="4042" spans="10:14" x14ac:dyDescent="0.25">
      <c r="J4042" s="25">
        <v>-0.24468704459496293</v>
      </c>
      <c r="N4042" s="26"/>
    </row>
    <row r="4043" spans="10:14" x14ac:dyDescent="0.25">
      <c r="J4043" s="25">
        <v>0.94373144447950308</v>
      </c>
      <c r="N4043" s="26"/>
    </row>
    <row r="4044" spans="10:14" x14ac:dyDescent="0.25">
      <c r="J4044" s="25">
        <v>-2.3288072405138083E-2</v>
      </c>
      <c r="N4044" s="26"/>
    </row>
    <row r="4045" spans="10:14" x14ac:dyDescent="0.25">
      <c r="J4045" s="25">
        <v>3.4182693275959686E-2</v>
      </c>
      <c r="N4045" s="26"/>
    </row>
    <row r="4046" spans="10:14" x14ac:dyDescent="0.25">
      <c r="J4046" s="25">
        <v>0.52318547063226406</v>
      </c>
      <c r="N4046" s="26"/>
    </row>
    <row r="4047" spans="10:14" x14ac:dyDescent="0.25">
      <c r="J4047" s="25">
        <v>1.07647595869983</v>
      </c>
      <c r="N4047" s="26"/>
    </row>
    <row r="4048" spans="10:14" x14ac:dyDescent="0.25">
      <c r="J4048" s="25">
        <v>-0.15630973856801367</v>
      </c>
      <c r="N4048" s="26"/>
    </row>
    <row r="4049" spans="10:14" x14ac:dyDescent="0.25">
      <c r="J4049" s="25">
        <v>-0.25371469674559921</v>
      </c>
      <c r="N4049" s="26"/>
    </row>
    <row r="4050" spans="10:14" x14ac:dyDescent="0.25">
      <c r="J4050" s="25">
        <v>-0.12065842364233659</v>
      </c>
      <c r="N4050" s="26"/>
    </row>
    <row r="4051" spans="10:14" x14ac:dyDescent="0.25">
      <c r="J4051" s="25">
        <v>-3.8791647590951661E-2</v>
      </c>
      <c r="N4051" s="26"/>
    </row>
    <row r="4052" spans="10:14" x14ac:dyDescent="0.25">
      <c r="J4052" s="25">
        <v>0.32824045820129344</v>
      </c>
      <c r="N4052" s="26"/>
    </row>
    <row r="4053" spans="10:14" x14ac:dyDescent="0.25">
      <c r="J4053" s="25">
        <v>0.11125642499557542</v>
      </c>
      <c r="N4053" s="26"/>
    </row>
    <row r="4054" spans="10:14" x14ac:dyDescent="0.25">
      <c r="J4054" s="25">
        <v>0.38536276477234854</v>
      </c>
      <c r="N4054" s="26"/>
    </row>
    <row r="4055" spans="10:14" x14ac:dyDescent="0.25">
      <c r="J4055" s="25">
        <v>-0.34274150849746821</v>
      </c>
      <c r="N4055" s="26"/>
    </row>
    <row r="4056" spans="10:14" x14ac:dyDescent="0.25">
      <c r="J4056" s="25">
        <v>0.19812767475720405</v>
      </c>
      <c r="N4056" s="26"/>
    </row>
    <row r="4057" spans="10:14" x14ac:dyDescent="0.25">
      <c r="J4057" s="25">
        <v>-0.40311842013049515</v>
      </c>
      <c r="N4057" s="26"/>
    </row>
    <row r="4058" spans="10:14" x14ac:dyDescent="0.25">
      <c r="J4058" s="25">
        <v>0.2071327423832432</v>
      </c>
      <c r="N4058" s="26"/>
    </row>
    <row r="4059" spans="10:14" x14ac:dyDescent="0.25">
      <c r="J4059" s="25">
        <v>-0.23159664643010469</v>
      </c>
      <c r="N4059" s="26"/>
    </row>
    <row r="4060" spans="10:14" x14ac:dyDescent="0.25">
      <c r="J4060" s="25">
        <v>-0.48659679097229847</v>
      </c>
      <c r="N4060" s="26"/>
    </row>
    <row r="4061" spans="10:14" x14ac:dyDescent="0.25">
      <c r="J4061" s="25">
        <v>-0.20151839672520955</v>
      </c>
      <c r="N4061" s="26"/>
    </row>
    <row r="4062" spans="10:14" x14ac:dyDescent="0.25">
      <c r="J4062" s="25">
        <v>0.66083956006250921</v>
      </c>
      <c r="N4062" s="26"/>
    </row>
    <row r="4063" spans="10:14" x14ac:dyDescent="0.25">
      <c r="J4063" s="25">
        <v>-8.238017764464356E-2</v>
      </c>
      <c r="N4063" s="26"/>
    </row>
    <row r="4064" spans="10:14" x14ac:dyDescent="0.25">
      <c r="J4064" s="25">
        <v>0.5580957138278968</v>
      </c>
      <c r="N4064" s="26"/>
    </row>
    <row r="4065" spans="10:14" x14ac:dyDescent="0.25">
      <c r="J4065" s="25">
        <v>-0.14880515419089424</v>
      </c>
      <c r="N4065" s="26"/>
    </row>
    <row r="4066" spans="10:14" x14ac:dyDescent="0.25">
      <c r="J4066" s="25">
        <v>-2.6092903499451148E-2</v>
      </c>
      <c r="N4066" s="26"/>
    </row>
    <row r="4067" spans="10:14" x14ac:dyDescent="0.25">
      <c r="J4067" s="25">
        <v>-7.4903481036512898E-2</v>
      </c>
      <c r="N4067" s="26"/>
    </row>
    <row r="4068" spans="10:14" x14ac:dyDescent="0.25">
      <c r="J4068" s="25">
        <v>0.86126112961761003</v>
      </c>
      <c r="N4068" s="26"/>
    </row>
    <row r="4069" spans="10:14" x14ac:dyDescent="0.25">
      <c r="J4069" s="25">
        <v>0.35351739910304159</v>
      </c>
      <c r="N4069" s="26"/>
    </row>
    <row r="4070" spans="10:14" x14ac:dyDescent="0.25">
      <c r="J4070" s="25">
        <v>0.21649198142704784</v>
      </c>
      <c r="N4070" s="26"/>
    </row>
    <row r="4071" spans="10:14" x14ac:dyDescent="0.25">
      <c r="J4071" s="25">
        <v>9.0839565089343433E-2</v>
      </c>
      <c r="N4071" s="26"/>
    </row>
    <row r="4072" spans="10:14" x14ac:dyDescent="0.25">
      <c r="J4072" s="25">
        <v>6.8532812872772908E-2</v>
      </c>
      <c r="N4072" s="26"/>
    </row>
    <row r="4073" spans="10:14" x14ac:dyDescent="0.25">
      <c r="J4073" s="25">
        <v>-0.20423917407230074</v>
      </c>
      <c r="N4073" s="26"/>
    </row>
    <row r="4074" spans="10:14" x14ac:dyDescent="0.25">
      <c r="J4074" s="25">
        <v>-0.16048188469068747</v>
      </c>
      <c r="N4074" s="26"/>
    </row>
    <row r="4075" spans="10:14" x14ac:dyDescent="0.25">
      <c r="J4075" s="25">
        <v>-0.36727965396698203</v>
      </c>
      <c r="N4075" s="26"/>
    </row>
    <row r="4076" spans="10:14" x14ac:dyDescent="0.25">
      <c r="J4076" s="25">
        <v>0.16711791377759044</v>
      </c>
      <c r="N4076" s="26"/>
    </row>
    <row r="4077" spans="10:14" x14ac:dyDescent="0.25">
      <c r="J4077" s="25">
        <v>0.12279706333050666</v>
      </c>
      <c r="N4077" s="26"/>
    </row>
    <row r="4078" spans="10:14" x14ac:dyDescent="0.25">
      <c r="J4078" s="25">
        <v>-8.037777956616321E-2</v>
      </c>
      <c r="N4078" s="26"/>
    </row>
    <row r="4079" spans="10:14" x14ac:dyDescent="0.25">
      <c r="J4079" s="25">
        <v>2.7991184034742433E-2</v>
      </c>
      <c r="N4079" s="26"/>
    </row>
    <row r="4080" spans="10:14" x14ac:dyDescent="0.25">
      <c r="J4080" s="25">
        <v>-0.38042724656061999</v>
      </c>
      <c r="N4080" s="26"/>
    </row>
    <row r="4081" spans="10:14" x14ac:dyDescent="0.25">
      <c r="J4081" s="25">
        <v>-4.9082538016430255E-2</v>
      </c>
      <c r="N4081" s="26"/>
    </row>
    <row r="4082" spans="10:14" x14ac:dyDescent="0.25">
      <c r="J4082" s="25">
        <v>0.55224219456141022</v>
      </c>
      <c r="N4082" s="26"/>
    </row>
    <row r="4083" spans="10:14" x14ac:dyDescent="0.25">
      <c r="J4083" s="25">
        <v>0.54571839307130232</v>
      </c>
      <c r="N4083" s="26"/>
    </row>
    <row r="4084" spans="10:14" x14ac:dyDescent="0.25">
      <c r="J4084" s="25">
        <v>-0.3652783518996271</v>
      </c>
      <c r="N4084" s="26"/>
    </row>
    <row r="4085" spans="10:14" x14ac:dyDescent="0.25">
      <c r="J4085" s="25">
        <v>5.9525694189215939E-2</v>
      </c>
      <c r="N4085" s="26"/>
    </row>
    <row r="4086" spans="10:14" x14ac:dyDescent="0.25">
      <c r="J4086" s="25">
        <v>0.58419178792764437</v>
      </c>
      <c r="N4086" s="26"/>
    </row>
    <row r="4087" spans="10:14" x14ac:dyDescent="0.25">
      <c r="J4087" s="25">
        <v>0.6355254768286196</v>
      </c>
      <c r="N4087" s="26"/>
    </row>
    <row r="4088" spans="10:14" x14ac:dyDescent="0.25">
      <c r="J4088" s="25">
        <v>1.261665084628083E-2</v>
      </c>
      <c r="N4088" s="26"/>
    </row>
    <row r="4089" spans="10:14" x14ac:dyDescent="0.25">
      <c r="J4089" s="25">
        <v>5.812577545389952E-2</v>
      </c>
      <c r="N4089" s="26"/>
    </row>
    <row r="4090" spans="10:14" x14ac:dyDescent="0.25">
      <c r="J4090" s="25">
        <v>-0.27337543925746466</v>
      </c>
      <c r="N4090" s="26"/>
    </row>
    <row r="4091" spans="10:14" x14ac:dyDescent="0.25">
      <c r="J4091" s="25">
        <v>-0.18444132764923538</v>
      </c>
      <c r="N4091" s="26"/>
    </row>
    <row r="4092" spans="10:14" x14ac:dyDescent="0.25">
      <c r="J4092" s="25">
        <v>-0.36466219971753711</v>
      </c>
      <c r="N4092" s="26"/>
    </row>
    <row r="4093" spans="10:14" x14ac:dyDescent="0.25">
      <c r="J4093" s="25">
        <v>-4.1560909983775707E-2</v>
      </c>
      <c r="N4093" s="26"/>
    </row>
    <row r="4094" spans="10:14" x14ac:dyDescent="0.25">
      <c r="J4094" s="25">
        <v>-0.34865870197961535</v>
      </c>
      <c r="N4094" s="26"/>
    </row>
    <row r="4095" spans="10:14" x14ac:dyDescent="0.25">
      <c r="J4095" s="25">
        <v>-0.36306906126223648</v>
      </c>
      <c r="N4095" s="26"/>
    </row>
    <row r="4096" spans="10:14" x14ac:dyDescent="0.25">
      <c r="J4096" s="25">
        <v>8.9216626491099849E-2</v>
      </c>
      <c r="N4096" s="26"/>
    </row>
    <row r="4097" spans="10:14" x14ac:dyDescent="0.25">
      <c r="J4097" s="25">
        <v>6.8191366953568089E-2</v>
      </c>
      <c r="N4097" s="26"/>
    </row>
    <row r="4098" spans="10:14" x14ac:dyDescent="0.25">
      <c r="J4098" s="25">
        <v>-0.2140069123402556</v>
      </c>
      <c r="N4098" s="26"/>
    </row>
    <row r="4099" spans="10:14" x14ac:dyDescent="0.25">
      <c r="J4099" s="25">
        <v>0.20587595635821621</v>
      </c>
      <c r="N4099" s="26"/>
    </row>
    <row r="4100" spans="10:14" x14ac:dyDescent="0.25">
      <c r="J4100" s="25">
        <v>-0.11829939978141057</v>
      </c>
      <c r="N4100" s="26"/>
    </row>
    <row r="4101" spans="10:14" x14ac:dyDescent="0.25">
      <c r="J4101" s="25">
        <v>1.9020266463088298E-2</v>
      </c>
      <c r="N4101" s="26"/>
    </row>
    <row r="4102" spans="10:14" x14ac:dyDescent="0.25">
      <c r="J4102" s="25">
        <v>-0.31580038402974886</v>
      </c>
      <c r="N4102" s="26"/>
    </row>
    <row r="4103" spans="10:14" x14ac:dyDescent="0.25">
      <c r="J4103" s="25">
        <v>0.2051598930185472</v>
      </c>
      <c r="N4103" s="26"/>
    </row>
    <row r="4104" spans="10:14" x14ac:dyDescent="0.25">
      <c r="J4104" s="25">
        <v>2.6684882898723838E-2</v>
      </c>
      <c r="N4104" s="26"/>
    </row>
    <row r="4105" spans="10:14" x14ac:dyDescent="0.25">
      <c r="J4105" s="25">
        <v>-0.29555424979736844</v>
      </c>
      <c r="N4105" s="26"/>
    </row>
    <row r="4106" spans="10:14" x14ac:dyDescent="0.25">
      <c r="J4106" s="25">
        <v>0.53819905064757978</v>
      </c>
      <c r="N4106" s="26"/>
    </row>
    <row r="4107" spans="10:14" x14ac:dyDescent="0.25">
      <c r="J4107" s="25">
        <v>-0.28026232740607537</v>
      </c>
      <c r="N4107" s="26"/>
    </row>
    <row r="4108" spans="10:14" x14ac:dyDescent="0.25">
      <c r="J4108" s="25">
        <v>-0.12067121174295314</v>
      </c>
      <c r="N4108" s="26"/>
    </row>
    <row r="4109" spans="10:14" x14ac:dyDescent="0.25">
      <c r="J4109" s="25">
        <v>0.47268091280487834</v>
      </c>
      <c r="N4109" s="26"/>
    </row>
    <row r="4110" spans="10:14" x14ac:dyDescent="0.25">
      <c r="J4110" s="25">
        <v>-0.35687060404372439</v>
      </c>
      <c r="N4110" s="26"/>
    </row>
    <row r="4111" spans="10:14" x14ac:dyDescent="0.25">
      <c r="J4111" s="25">
        <v>-0.33035184074588952</v>
      </c>
      <c r="N4111" s="26"/>
    </row>
    <row r="4112" spans="10:14" x14ac:dyDescent="0.25">
      <c r="J4112" s="25">
        <v>-0.26911938062118446</v>
      </c>
      <c r="N4112" s="26"/>
    </row>
    <row r="4113" spans="10:14" x14ac:dyDescent="0.25">
      <c r="J4113" s="25">
        <v>1.1081389107477024E-2</v>
      </c>
      <c r="N4113" s="26"/>
    </row>
    <row r="4114" spans="10:14" x14ac:dyDescent="0.25">
      <c r="J4114" s="25">
        <v>-1.3194748778607046E-2</v>
      </c>
      <c r="N4114" s="26"/>
    </row>
    <row r="4115" spans="10:14" x14ac:dyDescent="0.25">
      <c r="J4115" s="25">
        <v>3.5675183293725654E-2</v>
      </c>
      <c r="N4115" s="26"/>
    </row>
    <row r="4116" spans="10:14" x14ac:dyDescent="0.25">
      <c r="J4116" s="25">
        <v>0.33407547843276952</v>
      </c>
      <c r="N4116" s="26"/>
    </row>
    <row r="4117" spans="10:14" x14ac:dyDescent="0.25">
      <c r="J4117" s="25">
        <v>0.30377544400806289</v>
      </c>
      <c r="N4117" s="26"/>
    </row>
    <row r="4118" spans="10:14" x14ac:dyDescent="0.25">
      <c r="J4118" s="25">
        <v>-0.35138001448789891</v>
      </c>
      <c r="N4118" s="26"/>
    </row>
    <row r="4119" spans="10:14" x14ac:dyDescent="0.25">
      <c r="J4119" s="25">
        <v>0.25832348747390799</v>
      </c>
      <c r="N4119" s="26"/>
    </row>
    <row r="4120" spans="10:14" x14ac:dyDescent="0.25">
      <c r="J4120" s="25">
        <v>0.65029174507691345</v>
      </c>
      <c r="N4120" s="26"/>
    </row>
    <row r="4121" spans="10:14" x14ac:dyDescent="0.25">
      <c r="J4121" s="25">
        <v>0.26734436624350377</v>
      </c>
      <c r="N4121" s="26"/>
    </row>
    <row r="4122" spans="10:14" x14ac:dyDescent="0.25">
      <c r="J4122" s="25">
        <v>7.555072468360291E-2</v>
      </c>
      <c r="N4122" s="26"/>
    </row>
    <row r="4123" spans="10:14" x14ac:dyDescent="0.25">
      <c r="J4123" s="25">
        <v>0.53937910965823255</v>
      </c>
      <c r="N4123" s="26"/>
    </row>
    <row r="4124" spans="10:14" x14ac:dyDescent="0.25">
      <c r="J4124" s="25">
        <v>0.4350198908262437</v>
      </c>
      <c r="N4124" s="26"/>
    </row>
    <row r="4125" spans="10:14" x14ac:dyDescent="0.25">
      <c r="J4125" s="25">
        <v>5.3462558130792814E-2</v>
      </c>
      <c r="N4125" s="26"/>
    </row>
    <row r="4126" spans="10:14" x14ac:dyDescent="0.25">
      <c r="J4126" s="25">
        <v>0.61959873636697815</v>
      </c>
      <c r="N4126" s="26"/>
    </row>
    <row r="4127" spans="10:14" x14ac:dyDescent="0.25">
      <c r="J4127" s="25">
        <v>0.2241386384685029</v>
      </c>
      <c r="N4127" s="26"/>
    </row>
    <row r="4128" spans="10:14" x14ac:dyDescent="0.25">
      <c r="J4128" s="25">
        <v>-0.28472216753582424</v>
      </c>
      <c r="N4128" s="26"/>
    </row>
    <row r="4129" spans="10:14" x14ac:dyDescent="0.25">
      <c r="J4129" s="25">
        <v>0.26399191862565274</v>
      </c>
      <c r="N4129" s="26"/>
    </row>
    <row r="4130" spans="10:14" x14ac:dyDescent="0.25">
      <c r="J4130" s="25">
        <v>-0.12388615175723627</v>
      </c>
      <c r="N4130" s="26"/>
    </row>
    <row r="4131" spans="10:14" x14ac:dyDescent="0.25">
      <c r="J4131" s="25">
        <v>0.19971107083748363</v>
      </c>
      <c r="N4131" s="26"/>
    </row>
    <row r="4132" spans="10:14" x14ac:dyDescent="0.25">
      <c r="J4132" s="25">
        <v>-0.36862242794639688</v>
      </c>
      <c r="N4132" s="26"/>
    </row>
    <row r="4133" spans="10:14" x14ac:dyDescent="0.25">
      <c r="J4133" s="25">
        <v>0.3903125824541489</v>
      </c>
      <c r="N4133" s="26"/>
    </row>
    <row r="4134" spans="10:14" x14ac:dyDescent="0.25">
      <c r="J4134" s="25">
        <v>-0.37207956544301768</v>
      </c>
      <c r="N4134" s="26"/>
    </row>
    <row r="4135" spans="10:14" x14ac:dyDescent="0.25">
      <c r="J4135" s="25">
        <v>0.14524608774366121</v>
      </c>
      <c r="N4135" s="26"/>
    </row>
    <row r="4136" spans="10:14" x14ac:dyDescent="0.25">
      <c r="J4136" s="25">
        <v>4.1355023692585702E-2</v>
      </c>
      <c r="N4136" s="26"/>
    </row>
    <row r="4137" spans="10:14" x14ac:dyDescent="0.25">
      <c r="J4137" s="25">
        <v>-0.21437294759142778</v>
      </c>
      <c r="N4137" s="26"/>
    </row>
    <row r="4138" spans="10:14" x14ac:dyDescent="0.25">
      <c r="J4138" s="25">
        <v>-0.40482489517974241</v>
      </c>
      <c r="N4138" s="26"/>
    </row>
    <row r="4139" spans="10:14" x14ac:dyDescent="0.25">
      <c r="J4139" s="25">
        <v>3.4161321758989782E-3</v>
      </c>
      <c r="N4139" s="26"/>
    </row>
    <row r="4140" spans="10:14" x14ac:dyDescent="0.25">
      <c r="J4140" s="25">
        <v>-0.2210296308912495</v>
      </c>
      <c r="N4140" s="26"/>
    </row>
    <row r="4141" spans="10:14" x14ac:dyDescent="0.25">
      <c r="J4141" s="25">
        <v>-3.610613507406224E-2</v>
      </c>
      <c r="N4141" s="26"/>
    </row>
    <row r="4142" spans="10:14" x14ac:dyDescent="0.25">
      <c r="J4142" s="25">
        <v>5.9680834956115092E-3</v>
      </c>
      <c r="N4142" s="26"/>
    </row>
    <row r="4143" spans="10:14" x14ac:dyDescent="0.25">
      <c r="J4143" s="25">
        <v>0.14970990539167239</v>
      </c>
      <c r="N4143" s="26"/>
    </row>
    <row r="4144" spans="10:14" x14ac:dyDescent="0.25">
      <c r="J4144" s="25">
        <v>0.64044986436912321</v>
      </c>
      <c r="N4144" s="26"/>
    </row>
    <row r="4145" spans="10:14" x14ac:dyDescent="0.25">
      <c r="J4145" s="25">
        <v>-3.5301173385201556E-3</v>
      </c>
      <c r="N4145" s="26"/>
    </row>
    <row r="4146" spans="10:14" x14ac:dyDescent="0.25">
      <c r="J4146" s="25">
        <v>0.18005678578488538</v>
      </c>
      <c r="N4146" s="26"/>
    </row>
    <row r="4147" spans="10:14" x14ac:dyDescent="0.25">
      <c r="J4147" s="25">
        <v>0.1273086929411511</v>
      </c>
      <c r="N4147" s="26"/>
    </row>
    <row r="4148" spans="10:14" x14ac:dyDescent="0.25">
      <c r="J4148" s="25">
        <v>6.0841209246145889E-2</v>
      </c>
      <c r="N4148" s="26"/>
    </row>
    <row r="4149" spans="10:14" x14ac:dyDescent="0.25">
      <c r="J4149" s="25">
        <v>1.0889484425842699E-2</v>
      </c>
      <c r="N4149" s="26"/>
    </row>
    <row r="4150" spans="10:14" x14ac:dyDescent="0.25">
      <c r="J4150" s="25">
        <v>0.20112950369267568</v>
      </c>
      <c r="N4150" s="26"/>
    </row>
    <row r="4151" spans="10:14" x14ac:dyDescent="0.25">
      <c r="J4151" s="25">
        <v>-0.20701740139910751</v>
      </c>
      <c r="N4151" s="26"/>
    </row>
    <row r="4152" spans="10:14" x14ac:dyDescent="0.25">
      <c r="J4152" s="25">
        <v>-0.36923239266102259</v>
      </c>
      <c r="N4152" s="26"/>
    </row>
    <row r="4153" spans="10:14" x14ac:dyDescent="0.25">
      <c r="J4153" s="25">
        <v>0.84187875505218468</v>
      </c>
      <c r="N4153" s="26"/>
    </row>
    <row r="4154" spans="10:14" x14ac:dyDescent="0.25">
      <c r="J4154" s="25">
        <v>-0.23398925528421521</v>
      </c>
      <c r="N4154" s="26"/>
    </row>
    <row r="4155" spans="10:14" x14ac:dyDescent="0.25">
      <c r="J4155" s="25">
        <v>0.42506624284094419</v>
      </c>
      <c r="N4155" s="26"/>
    </row>
    <row r="4156" spans="10:14" x14ac:dyDescent="0.25">
      <c r="J4156" s="25">
        <v>0.35161397445040521</v>
      </c>
      <c r="N4156" s="26"/>
    </row>
    <row r="4157" spans="10:14" x14ac:dyDescent="0.25">
      <c r="J4157" s="25">
        <v>-0.26884001595001983</v>
      </c>
      <c r="N4157" s="26"/>
    </row>
    <row r="4158" spans="10:14" x14ac:dyDescent="0.25">
      <c r="J4158" s="25">
        <v>0.3918729864686572</v>
      </c>
      <c r="N4158" s="26"/>
    </row>
    <row r="4159" spans="10:14" x14ac:dyDescent="0.25">
      <c r="J4159" s="25">
        <v>0.21792698860660531</v>
      </c>
      <c r="N4159" s="26"/>
    </row>
    <row r="4160" spans="10:14" x14ac:dyDescent="0.25">
      <c r="J4160" s="25">
        <v>-0.35098676081117375</v>
      </c>
      <c r="N4160" s="26"/>
    </row>
    <row r="4161" spans="10:14" x14ac:dyDescent="0.25">
      <c r="J4161" s="25">
        <v>0.46013223334815256</v>
      </c>
      <c r="N4161" s="26"/>
    </row>
    <row r="4162" spans="10:14" x14ac:dyDescent="0.25">
      <c r="J4162" s="25">
        <v>-0.19124255974413673</v>
      </c>
      <c r="N4162" s="26"/>
    </row>
    <row r="4163" spans="10:14" x14ac:dyDescent="0.25">
      <c r="J4163" s="25">
        <v>-0.25592576693813052</v>
      </c>
      <c r="N4163" s="26"/>
    </row>
    <row r="4164" spans="10:14" x14ac:dyDescent="0.25">
      <c r="J4164" s="25">
        <v>0.26906650691803402</v>
      </c>
      <c r="N4164" s="26"/>
    </row>
    <row r="4165" spans="10:14" x14ac:dyDescent="0.25">
      <c r="J4165" s="25">
        <v>-2.2041549750699274E-2</v>
      </c>
      <c r="N4165" s="26"/>
    </row>
    <row r="4166" spans="10:14" x14ac:dyDescent="0.25">
      <c r="J4166" s="25">
        <v>3.1119093613787507E-2</v>
      </c>
      <c r="N4166" s="26"/>
    </row>
    <row r="4167" spans="10:14" x14ac:dyDescent="0.25">
      <c r="J4167" s="25">
        <v>-2.7876343685748095E-2</v>
      </c>
      <c r="N4167" s="26"/>
    </row>
    <row r="4168" spans="10:14" x14ac:dyDescent="0.25">
      <c r="J4168" s="25">
        <v>0.57310373853718821</v>
      </c>
      <c r="N4168" s="26"/>
    </row>
    <row r="4169" spans="10:14" x14ac:dyDescent="0.25">
      <c r="J4169" s="25">
        <v>-0.35044961277968978</v>
      </c>
      <c r="N4169" s="26"/>
    </row>
    <row r="4170" spans="10:14" x14ac:dyDescent="0.25">
      <c r="J4170" s="25">
        <v>0.37494166955662034</v>
      </c>
      <c r="N4170" s="26"/>
    </row>
    <row r="4171" spans="10:14" x14ac:dyDescent="0.25">
      <c r="J4171" s="25">
        <v>-0.22159674730521028</v>
      </c>
      <c r="N4171" s="26"/>
    </row>
    <row r="4172" spans="10:14" x14ac:dyDescent="0.25">
      <c r="J4172" s="25">
        <v>-0.47553256685726986</v>
      </c>
      <c r="N4172" s="26"/>
    </row>
    <row r="4173" spans="10:14" x14ac:dyDescent="0.25">
      <c r="J4173" s="25">
        <v>-9.2553213007674606E-2</v>
      </c>
      <c r="N4173" s="26"/>
    </row>
    <row r="4174" spans="10:14" x14ac:dyDescent="0.25">
      <c r="J4174" s="25">
        <v>-0.16483884665531412</v>
      </c>
      <c r="N4174" s="26"/>
    </row>
    <row r="4175" spans="10:14" x14ac:dyDescent="0.25">
      <c r="J4175" s="25">
        <v>-0.25804393282807392</v>
      </c>
      <c r="N4175" s="26"/>
    </row>
    <row r="4176" spans="10:14" x14ac:dyDescent="0.25">
      <c r="J4176" s="25">
        <v>-0.2545930425985764</v>
      </c>
      <c r="N4176" s="26"/>
    </row>
    <row r="4177" spans="10:14" x14ac:dyDescent="0.25">
      <c r="J4177" s="25">
        <v>0.29530356388209511</v>
      </c>
      <c r="N4177" s="26"/>
    </row>
    <row r="4178" spans="10:14" x14ac:dyDescent="0.25">
      <c r="J4178" s="25">
        <v>-3.8482121411933079E-2</v>
      </c>
      <c r="N4178" s="26"/>
    </row>
    <row r="4179" spans="10:14" x14ac:dyDescent="0.25">
      <c r="J4179" s="25">
        <v>-0.18394784108871953</v>
      </c>
      <c r="N4179" s="26"/>
    </row>
    <row r="4180" spans="10:14" x14ac:dyDescent="0.25">
      <c r="J4180" s="25">
        <v>-0.4916177074430943</v>
      </c>
      <c r="N4180" s="26"/>
    </row>
    <row r="4181" spans="10:14" x14ac:dyDescent="0.25">
      <c r="J4181" s="25">
        <v>-0.41548823768936194</v>
      </c>
      <c r="N4181" s="26"/>
    </row>
    <row r="4182" spans="10:14" x14ac:dyDescent="0.25">
      <c r="J4182" s="25">
        <v>-0.12558292565999829</v>
      </c>
      <c r="N4182" s="26"/>
    </row>
    <row r="4183" spans="10:14" x14ac:dyDescent="0.25">
      <c r="J4183" s="25">
        <v>7.0991447986289424E-2</v>
      </c>
      <c r="N4183" s="26"/>
    </row>
    <row r="4184" spans="10:14" x14ac:dyDescent="0.25">
      <c r="J4184" s="25">
        <v>-0.15636582215630723</v>
      </c>
      <c r="N4184" s="26"/>
    </row>
    <row r="4185" spans="10:14" x14ac:dyDescent="0.25">
      <c r="J4185" s="25">
        <v>-0.12254314226076557</v>
      </c>
      <c r="N4185" s="26"/>
    </row>
    <row r="4186" spans="10:14" x14ac:dyDescent="0.25">
      <c r="J4186" s="25">
        <v>-0.12806017740293318</v>
      </c>
      <c r="N4186" s="26"/>
    </row>
    <row r="4187" spans="10:14" x14ac:dyDescent="0.25">
      <c r="J4187" s="25">
        <v>3.5399987597689586E-2</v>
      </c>
      <c r="N4187" s="26"/>
    </row>
    <row r="4188" spans="10:14" x14ac:dyDescent="0.25">
      <c r="J4188" s="25">
        <v>-0.257348694272867</v>
      </c>
      <c r="N4188" s="26"/>
    </row>
    <row r="4189" spans="10:14" x14ac:dyDescent="0.25">
      <c r="J4189" s="25">
        <v>-0.28545945531876371</v>
      </c>
      <c r="N4189" s="26"/>
    </row>
    <row r="4190" spans="10:14" x14ac:dyDescent="0.25">
      <c r="J4190" s="25">
        <v>-0.42239179868478371</v>
      </c>
      <c r="N4190" s="26"/>
    </row>
    <row r="4191" spans="10:14" x14ac:dyDescent="0.25">
      <c r="J4191" s="25">
        <v>-9.4774150975373117E-2</v>
      </c>
      <c r="N4191" s="26"/>
    </row>
    <row r="4192" spans="10:14" x14ac:dyDescent="0.25">
      <c r="J4192" s="25">
        <v>-0.42278732904233696</v>
      </c>
      <c r="N4192" s="26"/>
    </row>
    <row r="4193" spans="10:14" x14ac:dyDescent="0.25">
      <c r="J4193" s="25">
        <v>0.64774625298249533</v>
      </c>
      <c r="N4193" s="26"/>
    </row>
    <row r="4194" spans="10:14" x14ac:dyDescent="0.25">
      <c r="J4194" s="25">
        <v>0.59237071054020807</v>
      </c>
      <c r="N4194" s="26"/>
    </row>
    <row r="4195" spans="10:14" x14ac:dyDescent="0.25">
      <c r="J4195" s="25">
        <v>-0.38117719970994912</v>
      </c>
      <c r="N4195" s="26"/>
    </row>
    <row r="4196" spans="10:14" x14ac:dyDescent="0.25">
      <c r="J4196" s="25">
        <v>0.20055306855929</v>
      </c>
      <c r="N4196" s="26"/>
    </row>
    <row r="4197" spans="10:14" x14ac:dyDescent="0.25">
      <c r="J4197" s="25">
        <v>-0.19861395770311785</v>
      </c>
      <c r="N4197" s="26"/>
    </row>
    <row r="4198" spans="10:14" x14ac:dyDescent="0.25">
      <c r="J4198" s="25">
        <v>0.17160776773069331</v>
      </c>
      <c r="N4198" s="26"/>
    </row>
    <row r="4199" spans="10:14" x14ac:dyDescent="0.25">
      <c r="J4199" s="25">
        <v>-0.38954271039733523</v>
      </c>
      <c r="N4199" s="26"/>
    </row>
    <row r="4200" spans="10:14" x14ac:dyDescent="0.25">
      <c r="J4200" s="25">
        <v>-2.773754383507776E-2</v>
      </c>
      <c r="N4200" s="26"/>
    </row>
    <row r="4201" spans="10:14" x14ac:dyDescent="0.25">
      <c r="J4201" s="25">
        <v>0.64368795089826536</v>
      </c>
      <c r="N4201" s="26"/>
    </row>
    <row r="4202" spans="10:14" x14ac:dyDescent="0.25">
      <c r="J4202" s="25">
        <v>0.32402378393746134</v>
      </c>
      <c r="N4202" s="26"/>
    </row>
    <row r="4203" spans="10:14" x14ac:dyDescent="0.25">
      <c r="J4203" s="25">
        <v>-0.41997227597204434</v>
      </c>
      <c r="N4203" s="26"/>
    </row>
    <row r="4204" spans="10:14" x14ac:dyDescent="0.25">
      <c r="J4204" s="25">
        <v>5.9478896727312769E-2</v>
      </c>
      <c r="N4204" s="26"/>
    </row>
    <row r="4205" spans="10:14" x14ac:dyDescent="0.25">
      <c r="J4205" s="25">
        <v>0.38849896644035553</v>
      </c>
      <c r="N4205" s="26"/>
    </row>
    <row r="4206" spans="10:14" x14ac:dyDescent="0.25">
      <c r="J4206" s="25">
        <v>-0.31483355248673661</v>
      </c>
      <c r="N4206" s="26"/>
    </row>
    <row r="4207" spans="10:14" x14ac:dyDescent="0.25">
      <c r="J4207" s="25">
        <v>1.6141202666434706E-2</v>
      </c>
      <c r="N4207" s="26"/>
    </row>
    <row r="4208" spans="10:14" x14ac:dyDescent="0.25">
      <c r="J4208" s="25">
        <v>-0.38930232311964785</v>
      </c>
      <c r="N4208" s="26"/>
    </row>
    <row r="4209" spans="10:14" x14ac:dyDescent="0.25">
      <c r="J4209" s="25">
        <v>4.072635220023435E-2</v>
      </c>
      <c r="N4209" s="26"/>
    </row>
    <row r="4210" spans="10:14" x14ac:dyDescent="0.25">
      <c r="J4210" s="25">
        <v>2.4513758443731826E-2</v>
      </c>
      <c r="N4210" s="26"/>
    </row>
    <row r="4211" spans="10:14" x14ac:dyDescent="0.25">
      <c r="J4211" s="25">
        <v>0.53195133171668196</v>
      </c>
      <c r="N4211" s="26"/>
    </row>
    <row r="4212" spans="10:14" x14ac:dyDescent="0.25">
      <c r="J4212" s="25">
        <v>-0.14831961025636098</v>
      </c>
      <c r="N4212" s="26"/>
    </row>
    <row r="4213" spans="10:14" x14ac:dyDescent="0.25">
      <c r="J4213" s="25">
        <v>-0.36153901652346332</v>
      </c>
      <c r="N4213" s="26"/>
    </row>
    <row r="4214" spans="10:14" x14ac:dyDescent="0.25">
      <c r="J4214" s="25">
        <v>0.67360633206578724</v>
      </c>
      <c r="N4214" s="26"/>
    </row>
    <row r="4215" spans="10:14" x14ac:dyDescent="0.25">
      <c r="J4215" s="25">
        <v>-8.7086406683012374E-4</v>
      </c>
      <c r="N4215" s="26"/>
    </row>
    <row r="4216" spans="10:14" x14ac:dyDescent="0.25">
      <c r="J4216" s="25">
        <v>-0.1797007247702378</v>
      </c>
      <c r="N4216" s="26"/>
    </row>
    <row r="4217" spans="10:14" x14ac:dyDescent="0.25">
      <c r="J4217" s="25">
        <v>-0.10775326991159417</v>
      </c>
      <c r="N4217" s="26"/>
    </row>
    <row r="4218" spans="10:14" x14ac:dyDescent="0.25">
      <c r="J4218" s="25">
        <v>-0.12341544644728286</v>
      </c>
      <c r="N4218" s="26"/>
    </row>
    <row r="4219" spans="10:14" x14ac:dyDescent="0.25">
      <c r="J4219" s="25">
        <v>-0.32432325594655387</v>
      </c>
      <c r="N4219" s="26"/>
    </row>
    <row r="4220" spans="10:14" x14ac:dyDescent="0.25">
      <c r="J4220" s="25">
        <v>0.33206804742899498</v>
      </c>
      <c r="N4220" s="26"/>
    </row>
    <row r="4221" spans="10:14" x14ac:dyDescent="0.25">
      <c r="J4221" s="25">
        <v>-9.399911678083106E-2</v>
      </c>
      <c r="N4221" s="26"/>
    </row>
    <row r="4222" spans="10:14" x14ac:dyDescent="0.25">
      <c r="J4222" s="25">
        <v>0.32703190089274981</v>
      </c>
      <c r="N4222" s="26"/>
    </row>
    <row r="4223" spans="10:14" x14ac:dyDescent="0.25">
      <c r="J4223" s="25">
        <v>-0.29117274049908282</v>
      </c>
      <c r="N4223" s="26"/>
    </row>
    <row r="4224" spans="10:14" x14ac:dyDescent="0.25">
      <c r="J4224" s="25">
        <v>0.20880820552218893</v>
      </c>
      <c r="N4224" s="26"/>
    </row>
    <row r="4225" spans="10:14" x14ac:dyDescent="0.25">
      <c r="J4225" s="25">
        <v>1.0667011364854564</v>
      </c>
      <c r="N4225" s="26"/>
    </row>
    <row r="4226" spans="10:14" x14ac:dyDescent="0.25">
      <c r="J4226" s="25">
        <v>0.39959656732130933</v>
      </c>
      <c r="N4226" s="26"/>
    </row>
    <row r="4227" spans="10:14" x14ac:dyDescent="0.25">
      <c r="J4227" s="25">
        <v>0.26322609889242821</v>
      </c>
      <c r="N4227" s="26"/>
    </row>
    <row r="4228" spans="10:14" x14ac:dyDescent="0.25">
      <c r="J4228" s="25">
        <v>-0.34980650894095233</v>
      </c>
      <c r="N4228" s="26"/>
    </row>
    <row r="4229" spans="10:14" x14ac:dyDescent="0.25">
      <c r="J4229" s="25">
        <v>0.12280990898957778</v>
      </c>
      <c r="N4229" s="26"/>
    </row>
    <row r="4230" spans="10:14" x14ac:dyDescent="0.25">
      <c r="J4230" s="25">
        <v>-7.1530419784846089E-2</v>
      </c>
      <c r="N4230" s="26"/>
    </row>
    <row r="4231" spans="10:14" x14ac:dyDescent="0.25">
      <c r="J4231" s="25">
        <v>3.0935544675016136E-2</v>
      </c>
      <c r="N4231" s="26"/>
    </row>
    <row r="4232" spans="10:14" x14ac:dyDescent="0.25">
      <c r="J4232" s="25">
        <v>-0.38759357878521594</v>
      </c>
      <c r="N4232" s="26"/>
    </row>
    <row r="4233" spans="10:14" x14ac:dyDescent="0.25">
      <c r="J4233" s="25">
        <v>0.6582434662447163</v>
      </c>
      <c r="N4233" s="26"/>
    </row>
    <row r="4234" spans="10:14" x14ac:dyDescent="0.25">
      <c r="J4234" s="25">
        <v>2.5070643591607711E-2</v>
      </c>
      <c r="N4234" s="26"/>
    </row>
    <row r="4235" spans="10:14" x14ac:dyDescent="0.25">
      <c r="J4235" s="25">
        <v>7.0836241968854408E-2</v>
      </c>
      <c r="N4235" s="26"/>
    </row>
    <row r="4236" spans="10:14" x14ac:dyDescent="0.25">
      <c r="J4236" s="25">
        <v>-0.23835997759674021</v>
      </c>
      <c r="N4236" s="26"/>
    </row>
    <row r="4237" spans="10:14" x14ac:dyDescent="0.25">
      <c r="J4237" s="25">
        <v>0.32785920068491259</v>
      </c>
      <c r="N4237" s="26"/>
    </row>
    <row r="4238" spans="10:14" x14ac:dyDescent="0.25">
      <c r="J4238" s="25">
        <v>0.40534818104634263</v>
      </c>
      <c r="N4238" s="26"/>
    </row>
    <row r="4239" spans="10:14" x14ac:dyDescent="0.25">
      <c r="J4239" s="25">
        <v>1.1222896581645658E-2</v>
      </c>
      <c r="N4239" s="26"/>
    </row>
    <row r="4240" spans="10:14" x14ac:dyDescent="0.25">
      <c r="J4240" s="25">
        <v>-0.37199972922001034</v>
      </c>
      <c r="N4240" s="26"/>
    </row>
    <row r="4241" spans="10:14" x14ac:dyDescent="0.25">
      <c r="J4241" s="25">
        <v>0.38095090378322571</v>
      </c>
      <c r="N4241" s="26"/>
    </row>
    <row r="4242" spans="10:14" x14ac:dyDescent="0.25">
      <c r="J4242" s="25">
        <v>0.40195050869730808</v>
      </c>
      <c r="N4242" s="26"/>
    </row>
    <row r="4243" spans="10:14" x14ac:dyDescent="0.25">
      <c r="J4243" s="25">
        <v>0.69279251704919909</v>
      </c>
      <c r="N4243" s="26"/>
    </row>
    <row r="4244" spans="10:14" x14ac:dyDescent="0.25">
      <c r="J4244" s="25">
        <v>-4.0381404927921971E-2</v>
      </c>
      <c r="N4244" s="26"/>
    </row>
    <row r="4245" spans="10:14" x14ac:dyDescent="0.25">
      <c r="J4245" s="25">
        <v>-0.23503202449132565</v>
      </c>
      <c r="N4245" s="26"/>
    </row>
    <row r="4246" spans="10:14" x14ac:dyDescent="0.25">
      <c r="J4246" s="25">
        <v>-3.193396099871959E-2</v>
      </c>
      <c r="N4246" s="26"/>
    </row>
    <row r="4247" spans="10:14" x14ac:dyDescent="0.25">
      <c r="J4247" s="25">
        <v>8.1977874323974964E-2</v>
      </c>
      <c r="N4247" s="26"/>
    </row>
    <row r="4248" spans="10:14" x14ac:dyDescent="0.25">
      <c r="J4248" s="25">
        <v>0.21372010125693386</v>
      </c>
      <c r="N4248" s="26"/>
    </row>
    <row r="4249" spans="10:14" x14ac:dyDescent="0.25">
      <c r="J4249" s="25">
        <v>-2.4284898001139199E-2</v>
      </c>
      <c r="N4249" s="26"/>
    </row>
    <row r="4250" spans="10:14" x14ac:dyDescent="0.25">
      <c r="J4250" s="25">
        <v>-7.9719871634438388E-2</v>
      </c>
      <c r="N4250" s="26"/>
    </row>
    <row r="4251" spans="10:14" x14ac:dyDescent="0.25">
      <c r="J4251" s="25">
        <v>0.10294214392458345</v>
      </c>
      <c r="N4251" s="26"/>
    </row>
    <row r="4252" spans="10:14" x14ac:dyDescent="0.25">
      <c r="J4252" s="25">
        <v>-0.31842447979278987</v>
      </c>
      <c r="N4252" s="26"/>
    </row>
    <row r="4253" spans="10:14" x14ac:dyDescent="0.25">
      <c r="J4253" s="25">
        <v>1.0369565785915253</v>
      </c>
      <c r="N4253" s="26"/>
    </row>
    <row r="4254" spans="10:14" x14ac:dyDescent="0.25">
      <c r="J4254" s="25">
        <v>-0.48202092558949783</v>
      </c>
      <c r="N4254" s="26"/>
    </row>
    <row r="4255" spans="10:14" x14ac:dyDescent="0.25">
      <c r="J4255" s="25">
        <v>0.20889249983797487</v>
      </c>
      <c r="N4255" s="26"/>
    </row>
    <row r="4256" spans="10:14" x14ac:dyDescent="0.25">
      <c r="J4256" s="25">
        <v>0.52135409833433322</v>
      </c>
      <c r="N4256" s="26"/>
    </row>
    <row r="4257" spans="10:14" x14ac:dyDescent="0.25">
      <c r="J4257" s="25">
        <v>0.32526585838959798</v>
      </c>
      <c r="N4257" s="26"/>
    </row>
    <row r="4258" spans="10:14" x14ac:dyDescent="0.25">
      <c r="J4258" s="25">
        <v>0.32719080472657458</v>
      </c>
      <c r="N4258" s="26"/>
    </row>
    <row r="4259" spans="10:14" x14ac:dyDescent="0.25">
      <c r="J4259" s="25">
        <v>-0.3933508389885193</v>
      </c>
      <c r="N4259" s="26"/>
    </row>
    <row r="4260" spans="10:14" x14ac:dyDescent="0.25">
      <c r="J4260" s="25">
        <v>-0.43423452191705381</v>
      </c>
      <c r="N4260" s="26"/>
    </row>
    <row r="4261" spans="10:14" x14ac:dyDescent="0.25">
      <c r="J4261" s="25">
        <v>7.2776666533939993E-2</v>
      </c>
      <c r="N4261" s="26"/>
    </row>
    <row r="4262" spans="10:14" x14ac:dyDescent="0.25">
      <c r="J4262" s="25">
        <v>-0.34715305539648666</v>
      </c>
      <c r="N4262" s="26"/>
    </row>
    <row r="4263" spans="10:14" x14ac:dyDescent="0.25">
      <c r="J4263" s="25">
        <v>6.5376013188182203E-2</v>
      </c>
      <c r="N4263" s="26"/>
    </row>
    <row r="4264" spans="10:14" x14ac:dyDescent="0.25">
      <c r="J4264" s="25">
        <v>0.54974317355257596</v>
      </c>
      <c r="N4264" s="26"/>
    </row>
    <row r="4265" spans="10:14" x14ac:dyDescent="0.25">
      <c r="J4265" s="25">
        <v>2.3459264361549881E-2</v>
      </c>
      <c r="N4265" s="26"/>
    </row>
    <row r="4266" spans="10:14" x14ac:dyDescent="0.25">
      <c r="J4266" s="25">
        <v>-0.30072890000770014</v>
      </c>
      <c r="N4266" s="26"/>
    </row>
    <row r="4267" spans="10:14" x14ac:dyDescent="0.25">
      <c r="J4267" s="25">
        <v>0.82513370652455365</v>
      </c>
      <c r="N4267" s="26"/>
    </row>
    <row r="4268" spans="10:14" x14ac:dyDescent="0.25">
      <c r="J4268" s="25">
        <v>0.23685255303788977</v>
      </c>
      <c r="N4268" s="26"/>
    </row>
    <row r="4269" spans="10:14" x14ac:dyDescent="0.25">
      <c r="J4269" s="25">
        <v>-0.26298394510830359</v>
      </c>
      <c r="N4269" s="26"/>
    </row>
    <row r="4270" spans="10:14" x14ac:dyDescent="0.25">
      <c r="J4270" s="25">
        <v>0.61868095988651928</v>
      </c>
      <c r="N4270" s="26"/>
    </row>
    <row r="4271" spans="10:14" x14ac:dyDescent="0.25">
      <c r="J4271" s="25">
        <v>0.35725617239240792</v>
      </c>
      <c r="N4271" s="26"/>
    </row>
    <row r="4272" spans="10:14" x14ac:dyDescent="0.25">
      <c r="J4272" s="25">
        <v>-0.1898974525317414</v>
      </c>
      <c r="N4272" s="26"/>
    </row>
    <row r="4273" spans="10:14" x14ac:dyDescent="0.25">
      <c r="J4273" s="25">
        <v>0.73631172538689138</v>
      </c>
      <c r="N4273" s="26"/>
    </row>
    <row r="4274" spans="10:14" x14ac:dyDescent="0.25">
      <c r="J4274" s="25">
        <v>-0.34906513264822592</v>
      </c>
      <c r="N4274" s="26"/>
    </row>
    <row r="4275" spans="10:14" x14ac:dyDescent="0.25">
      <c r="J4275" s="25">
        <v>0.61636369777890265</v>
      </c>
      <c r="N4275" s="26"/>
    </row>
    <row r="4276" spans="10:14" x14ac:dyDescent="0.25">
      <c r="J4276" s="25">
        <v>0.15298273717637745</v>
      </c>
      <c r="N4276" s="26"/>
    </row>
    <row r="4277" spans="10:14" x14ac:dyDescent="0.25">
      <c r="J4277" s="25">
        <v>-0.26102899574491278</v>
      </c>
      <c r="N4277" s="26"/>
    </row>
    <row r="4278" spans="10:14" x14ac:dyDescent="0.25">
      <c r="J4278" s="25">
        <v>-0.25205500624154742</v>
      </c>
      <c r="N4278" s="26"/>
    </row>
    <row r="4279" spans="10:14" x14ac:dyDescent="0.25">
      <c r="J4279" s="25">
        <v>-0.22132344727017084</v>
      </c>
      <c r="N4279" s="26"/>
    </row>
    <row r="4280" spans="10:14" x14ac:dyDescent="0.25">
      <c r="J4280" s="25">
        <v>0.96446010037107821</v>
      </c>
      <c r="N4280" s="26"/>
    </row>
    <row r="4281" spans="10:14" x14ac:dyDescent="0.25">
      <c r="J4281" s="25">
        <v>0.30397763969440073</v>
      </c>
      <c r="N4281" s="26"/>
    </row>
    <row r="4282" spans="10:14" x14ac:dyDescent="0.25">
      <c r="J4282" s="25">
        <v>-1.4992705987488808E-2</v>
      </c>
      <c r="N4282" s="26"/>
    </row>
    <row r="4283" spans="10:14" x14ac:dyDescent="0.25">
      <c r="J4283" s="25">
        <v>-0.30025843858917767</v>
      </c>
      <c r="N4283" s="26"/>
    </row>
    <row r="4284" spans="10:14" x14ac:dyDescent="0.25">
      <c r="J4284" s="25">
        <v>7.621929617877532E-2</v>
      </c>
      <c r="N4284" s="26"/>
    </row>
    <row r="4285" spans="10:14" x14ac:dyDescent="0.25">
      <c r="J4285" s="25">
        <v>5.3733723565087432E-2</v>
      </c>
      <c r="N4285" s="26"/>
    </row>
    <row r="4286" spans="10:14" x14ac:dyDescent="0.25">
      <c r="J4286" s="25">
        <v>3.803330483852374E-2</v>
      </c>
      <c r="N4286" s="26"/>
    </row>
    <row r="4287" spans="10:14" x14ac:dyDescent="0.25">
      <c r="J4287" s="25">
        <v>-0.14467760234748039</v>
      </c>
      <c r="N4287" s="26"/>
    </row>
    <row r="4288" spans="10:14" x14ac:dyDescent="0.25">
      <c r="J4288" s="25">
        <v>0.86922105746076928</v>
      </c>
      <c r="N4288" s="26"/>
    </row>
    <row r="4289" spans="10:14" x14ac:dyDescent="0.25">
      <c r="J4289" s="25">
        <v>-0.53171579544059266</v>
      </c>
      <c r="N4289" s="26"/>
    </row>
    <row r="4290" spans="10:14" x14ac:dyDescent="0.25">
      <c r="J4290" s="25">
        <v>0.3230384284228367</v>
      </c>
      <c r="N4290" s="26"/>
    </row>
    <row r="4291" spans="10:14" x14ac:dyDescent="0.25">
      <c r="J4291" s="25">
        <v>0.13770017349748209</v>
      </c>
      <c r="N4291" s="26"/>
    </row>
    <row r="4292" spans="10:14" x14ac:dyDescent="0.25">
      <c r="J4292" s="25">
        <v>0.59616051027417072</v>
      </c>
      <c r="N4292" s="26"/>
    </row>
    <row r="4293" spans="10:14" x14ac:dyDescent="0.25">
      <c r="J4293" s="25">
        <v>3.7517725425790793E-3</v>
      </c>
      <c r="N4293" s="26"/>
    </row>
    <row r="4294" spans="10:14" x14ac:dyDescent="0.25">
      <c r="J4294" s="25">
        <v>9.0687699745157779E-2</v>
      </c>
      <c r="N4294" s="26"/>
    </row>
    <row r="4295" spans="10:14" x14ac:dyDescent="0.25">
      <c r="J4295" s="25">
        <v>-0.38579558439826944</v>
      </c>
      <c r="N4295" s="26"/>
    </row>
    <row r="4296" spans="10:14" x14ac:dyDescent="0.25">
      <c r="J4296" s="25">
        <v>-9.3000869257435781E-3</v>
      </c>
      <c r="N4296" s="26"/>
    </row>
    <row r="4297" spans="10:14" x14ac:dyDescent="0.25">
      <c r="J4297" s="25">
        <v>-0.19768265160867571</v>
      </c>
      <c r="N4297" s="26"/>
    </row>
    <row r="4298" spans="10:14" x14ac:dyDescent="0.25">
      <c r="J4298" s="25">
        <v>0.62656992543387302</v>
      </c>
      <c r="N4298" s="26"/>
    </row>
    <row r="4299" spans="10:14" x14ac:dyDescent="0.25">
      <c r="J4299" s="25">
        <v>-0.36093476055401963</v>
      </c>
      <c r="N4299" s="26"/>
    </row>
    <row r="4300" spans="10:14" x14ac:dyDescent="0.25">
      <c r="J4300" s="25">
        <v>0.61591697414724611</v>
      </c>
      <c r="N4300" s="26"/>
    </row>
    <row r="4301" spans="10:14" x14ac:dyDescent="0.25">
      <c r="J4301" s="25">
        <v>-0.39559290010713211</v>
      </c>
      <c r="N4301" s="26"/>
    </row>
    <row r="4302" spans="10:14" x14ac:dyDescent="0.25">
      <c r="J4302" s="25">
        <v>1.0631140947661599E-2</v>
      </c>
      <c r="N4302" s="26"/>
    </row>
    <row r="4303" spans="10:14" x14ac:dyDescent="0.25">
      <c r="J4303" s="25">
        <v>0.42859496778864892</v>
      </c>
      <c r="N4303" s="26"/>
    </row>
    <row r="4304" spans="10:14" x14ac:dyDescent="0.25">
      <c r="J4304" s="25">
        <v>0.46130418973626752</v>
      </c>
      <c r="N4304" s="26"/>
    </row>
    <row r="4305" spans="10:14" x14ac:dyDescent="0.25">
      <c r="J4305" s="25">
        <v>-0.21656991867720277</v>
      </c>
      <c r="N4305" s="26"/>
    </row>
    <row r="4306" spans="10:14" x14ac:dyDescent="0.25">
      <c r="J4306" s="25">
        <v>-0.26047208578859771</v>
      </c>
      <c r="N4306" s="26"/>
    </row>
    <row r="4307" spans="10:14" x14ac:dyDescent="0.25">
      <c r="J4307" s="25">
        <v>-0.1457743630956122</v>
      </c>
      <c r="N4307" s="26"/>
    </row>
    <row r="4308" spans="10:14" x14ac:dyDescent="0.25">
      <c r="J4308" s="25">
        <v>0.19586063905132645</v>
      </c>
      <c r="N4308" s="26"/>
    </row>
    <row r="4309" spans="10:14" x14ac:dyDescent="0.25">
      <c r="J4309" s="25">
        <v>2.9735616561189282E-2</v>
      </c>
      <c r="N4309" s="26"/>
    </row>
    <row r="4310" spans="10:14" x14ac:dyDescent="0.25">
      <c r="J4310" s="25">
        <v>0.27545514124783876</v>
      </c>
      <c r="N4310" s="26"/>
    </row>
    <row r="4311" spans="10:14" x14ac:dyDescent="0.25">
      <c r="J4311" s="25">
        <v>-1.4153006201962359E-2</v>
      </c>
      <c r="N4311" s="26"/>
    </row>
    <row r="4312" spans="10:14" x14ac:dyDescent="0.25">
      <c r="J4312" s="25">
        <v>-0.28510158199788393</v>
      </c>
      <c r="N4312" s="26"/>
    </row>
    <row r="4313" spans="10:14" x14ac:dyDescent="0.25">
      <c r="J4313" s="25">
        <v>-9.0465532674543825E-2</v>
      </c>
      <c r="N4313" s="26"/>
    </row>
    <row r="4314" spans="10:14" x14ac:dyDescent="0.25">
      <c r="J4314" s="25">
        <v>-2.6654161631303519E-2</v>
      </c>
      <c r="N4314" s="26"/>
    </row>
    <row r="4315" spans="10:14" x14ac:dyDescent="0.25">
      <c r="J4315" s="25">
        <v>0.10040891591384304</v>
      </c>
      <c r="N4315" s="26"/>
    </row>
    <row r="4316" spans="10:14" x14ac:dyDescent="0.25">
      <c r="J4316" s="25">
        <v>0.26559837617558268</v>
      </c>
      <c r="N4316" s="26"/>
    </row>
    <row r="4317" spans="10:14" x14ac:dyDescent="0.25">
      <c r="J4317" s="25">
        <v>0.78152476852450303</v>
      </c>
      <c r="N4317" s="26"/>
    </row>
    <row r="4318" spans="10:14" x14ac:dyDescent="0.25">
      <c r="J4318" s="25">
        <v>-0.31619580576332174</v>
      </c>
      <c r="N4318" s="26"/>
    </row>
    <row r="4319" spans="10:14" x14ac:dyDescent="0.25">
      <c r="J4319" s="25">
        <v>-5.0715696888422701E-2</v>
      </c>
      <c r="N4319" s="26"/>
    </row>
    <row r="4320" spans="10:14" x14ac:dyDescent="0.25">
      <c r="J4320" s="25">
        <v>0.59376949050494754</v>
      </c>
      <c r="N4320" s="26"/>
    </row>
    <row r="4321" spans="10:14" x14ac:dyDescent="0.25">
      <c r="J4321" s="25">
        <v>0.16245100728268036</v>
      </c>
      <c r="N4321" s="26"/>
    </row>
    <row r="4322" spans="10:14" x14ac:dyDescent="0.25">
      <c r="J4322" s="25">
        <v>-2.9345760083174577E-2</v>
      </c>
      <c r="N4322" s="26"/>
    </row>
    <row r="4323" spans="10:14" x14ac:dyDescent="0.25">
      <c r="J4323" s="25">
        <v>0.5939845028600943</v>
      </c>
      <c r="N4323" s="26"/>
    </row>
    <row r="4324" spans="10:14" x14ac:dyDescent="0.25">
      <c r="J4324" s="25">
        <v>-0.25934949814064345</v>
      </c>
      <c r="N4324" s="26"/>
    </row>
    <row r="4325" spans="10:14" x14ac:dyDescent="0.25">
      <c r="J4325" s="25">
        <v>-0.13238083652240407</v>
      </c>
      <c r="N4325" s="26"/>
    </row>
    <row r="4326" spans="10:14" x14ac:dyDescent="0.25">
      <c r="J4326" s="25">
        <v>0.1427793098378487</v>
      </c>
      <c r="N4326" s="26"/>
    </row>
    <row r="4327" spans="10:14" x14ac:dyDescent="0.25">
      <c r="J4327" s="25">
        <v>0.8367169692326708</v>
      </c>
      <c r="N4327" s="26"/>
    </row>
    <row r="4328" spans="10:14" x14ac:dyDescent="0.25">
      <c r="J4328" s="25">
        <v>-0.50155321145418452</v>
      </c>
      <c r="N4328" s="26"/>
    </row>
    <row r="4329" spans="10:14" x14ac:dyDescent="0.25">
      <c r="J4329" s="25">
        <v>-1.3693253631372859E-2</v>
      </c>
      <c r="N4329" s="26"/>
    </row>
    <row r="4330" spans="10:14" x14ac:dyDescent="0.25">
      <c r="J4330" s="25">
        <v>-0.1863735706873596</v>
      </c>
      <c r="N4330" s="26"/>
    </row>
    <row r="4331" spans="10:14" x14ac:dyDescent="0.25">
      <c r="J4331" s="25">
        <v>-0.35680606709523655</v>
      </c>
      <c r="N4331" s="26"/>
    </row>
    <row r="4332" spans="10:14" x14ac:dyDescent="0.25">
      <c r="J4332" s="25">
        <v>-0.22803294424955911</v>
      </c>
      <c r="N4332" s="26"/>
    </row>
    <row r="4333" spans="10:14" x14ac:dyDescent="0.25">
      <c r="J4333" s="25">
        <v>-0.25703583074260727</v>
      </c>
      <c r="N4333" s="26"/>
    </row>
    <row r="4334" spans="10:14" x14ac:dyDescent="0.25">
      <c r="J4334" s="25">
        <v>4.8949893580789716E-2</v>
      </c>
      <c r="N4334" s="26"/>
    </row>
    <row r="4335" spans="10:14" x14ac:dyDescent="0.25">
      <c r="J4335" s="25">
        <v>-0.25284157396326323</v>
      </c>
      <c r="N4335" s="26"/>
    </row>
    <row r="4336" spans="10:14" x14ac:dyDescent="0.25">
      <c r="J4336" s="25">
        <v>-0.3840480047117395</v>
      </c>
      <c r="N4336" s="26"/>
    </row>
    <row r="4337" spans="10:14" x14ac:dyDescent="0.25">
      <c r="J4337" s="25">
        <v>0.257667435458236</v>
      </c>
      <c r="N4337" s="26"/>
    </row>
    <row r="4338" spans="10:14" x14ac:dyDescent="0.25">
      <c r="J4338" s="25">
        <v>-0.4247980199643302</v>
      </c>
      <c r="N4338" s="26"/>
    </row>
    <row r="4339" spans="10:14" x14ac:dyDescent="0.25">
      <c r="J4339" s="25">
        <v>-9.4613616231735143E-2</v>
      </c>
      <c r="N4339" s="26"/>
    </row>
    <row r="4340" spans="10:14" x14ac:dyDescent="0.25">
      <c r="J4340" s="25">
        <v>-0.39057441006838656</v>
      </c>
      <c r="N4340" s="26"/>
    </row>
    <row r="4341" spans="10:14" x14ac:dyDescent="0.25">
      <c r="J4341" s="25">
        <v>8.0321904645310749E-3</v>
      </c>
      <c r="N4341" s="26"/>
    </row>
    <row r="4342" spans="10:14" x14ac:dyDescent="0.25">
      <c r="J4342" s="25">
        <v>-0.37761268320186969</v>
      </c>
      <c r="N4342" s="26"/>
    </row>
    <row r="4343" spans="10:14" x14ac:dyDescent="0.25">
      <c r="J4343" s="25">
        <v>-7.2558213395886861E-3</v>
      </c>
      <c r="N4343" s="26"/>
    </row>
    <row r="4344" spans="10:14" x14ac:dyDescent="0.25">
      <c r="J4344" s="25">
        <v>-0.21314327342447204</v>
      </c>
      <c r="N4344" s="26"/>
    </row>
    <row r="4345" spans="10:14" x14ac:dyDescent="0.25">
      <c r="J4345" s="25">
        <v>-0.12343883005638645</v>
      </c>
      <c r="N4345" s="26"/>
    </row>
    <row r="4346" spans="10:14" x14ac:dyDescent="0.25">
      <c r="J4346" s="25">
        <v>0.4066554572304697</v>
      </c>
      <c r="N4346" s="26"/>
    </row>
    <row r="4347" spans="10:14" x14ac:dyDescent="0.25">
      <c r="J4347" s="25">
        <v>-9.8358868092844887E-2</v>
      </c>
      <c r="N4347" s="26"/>
    </row>
    <row r="4348" spans="10:14" x14ac:dyDescent="0.25">
      <c r="J4348" s="25">
        <v>0.13363069393788596</v>
      </c>
      <c r="N4348" s="26"/>
    </row>
    <row r="4349" spans="10:14" x14ac:dyDescent="0.25">
      <c r="J4349" s="25">
        <v>0.81463593161288661</v>
      </c>
      <c r="N4349" s="26"/>
    </row>
    <row r="4350" spans="10:14" x14ac:dyDescent="0.25">
      <c r="J4350" s="25">
        <v>7.1539274730246349E-2</v>
      </c>
      <c r="N4350" s="26"/>
    </row>
    <row r="4351" spans="10:14" x14ac:dyDescent="0.25">
      <c r="J4351" s="25">
        <v>0.53483178891819305</v>
      </c>
      <c r="N4351" s="26"/>
    </row>
    <row r="4352" spans="10:14" x14ac:dyDescent="0.25">
      <c r="J4352" s="25">
        <v>-0.10387790951151776</v>
      </c>
      <c r="N4352" s="26"/>
    </row>
    <row r="4353" spans="10:14" x14ac:dyDescent="0.25">
      <c r="J4353" s="25">
        <v>0.20322324860675756</v>
      </c>
      <c r="N4353" s="26"/>
    </row>
    <row r="4354" spans="10:14" x14ac:dyDescent="0.25">
      <c r="J4354" s="25">
        <v>-0.31536628535492306</v>
      </c>
      <c r="N4354" s="26"/>
    </row>
    <row r="4355" spans="10:14" x14ac:dyDescent="0.25">
      <c r="J4355" s="25">
        <v>0.19791202625565729</v>
      </c>
      <c r="N4355" s="26"/>
    </row>
    <row r="4356" spans="10:14" x14ac:dyDescent="0.25">
      <c r="J4356" s="25">
        <v>-0.38525281474739792</v>
      </c>
      <c r="N4356" s="26"/>
    </row>
    <row r="4357" spans="10:14" x14ac:dyDescent="0.25">
      <c r="J4357" s="25">
        <v>-0.4400446594561056</v>
      </c>
      <c r="N4357" s="26"/>
    </row>
    <row r="4358" spans="10:14" x14ac:dyDescent="0.25">
      <c r="J4358" s="25">
        <v>2.6126038409817198E-3</v>
      </c>
      <c r="N4358" s="26"/>
    </row>
    <row r="4359" spans="10:14" x14ac:dyDescent="0.25">
      <c r="J4359" s="25">
        <v>0.32418520244065951</v>
      </c>
      <c r="N4359" s="26"/>
    </row>
    <row r="4360" spans="10:14" x14ac:dyDescent="0.25">
      <c r="J4360" s="25">
        <v>0.43832319336811043</v>
      </c>
      <c r="N4360" s="26"/>
    </row>
    <row r="4361" spans="10:14" x14ac:dyDescent="0.25">
      <c r="J4361" s="25">
        <v>-0.51527282879992375</v>
      </c>
      <c r="N4361" s="26"/>
    </row>
    <row r="4362" spans="10:14" x14ac:dyDescent="0.25">
      <c r="J4362" s="25">
        <v>1.0323415305420971</v>
      </c>
      <c r="N4362" s="26"/>
    </row>
    <row r="4363" spans="10:14" x14ac:dyDescent="0.25">
      <c r="J4363" s="25">
        <v>-8.0528622843049069E-3</v>
      </c>
      <c r="N4363" s="26"/>
    </row>
    <row r="4364" spans="10:14" x14ac:dyDescent="0.25">
      <c r="J4364" s="25">
        <v>1.1124366733431188</v>
      </c>
      <c r="N4364" s="26"/>
    </row>
    <row r="4365" spans="10:14" x14ac:dyDescent="0.25">
      <c r="J4365" s="25">
        <v>0.41006707639732598</v>
      </c>
      <c r="N4365" s="26"/>
    </row>
    <row r="4366" spans="10:14" x14ac:dyDescent="0.25">
      <c r="J4366" s="25">
        <v>-0.34281453570995268</v>
      </c>
      <c r="N4366" s="26"/>
    </row>
    <row r="4367" spans="10:14" x14ac:dyDescent="0.25">
      <c r="J4367" s="25">
        <v>0.18937096512965046</v>
      </c>
      <c r="N4367" s="26"/>
    </row>
    <row r="4368" spans="10:14" x14ac:dyDescent="0.25">
      <c r="J4368" s="25">
        <v>0.6608169904166763</v>
      </c>
      <c r="N4368" s="26"/>
    </row>
    <row r="4369" spans="10:14" x14ac:dyDescent="0.25">
      <c r="J4369" s="25">
        <v>0.59513113478101576</v>
      </c>
      <c r="N4369" s="26"/>
    </row>
    <row r="4370" spans="10:14" x14ac:dyDescent="0.25">
      <c r="J4370" s="25">
        <v>-1.3946824103101441E-2</v>
      </c>
      <c r="N4370" s="26"/>
    </row>
    <row r="4371" spans="10:14" x14ac:dyDescent="0.25">
      <c r="J4371" s="25">
        <v>-3.1191939157446114E-2</v>
      </c>
      <c r="N4371" s="26"/>
    </row>
    <row r="4372" spans="10:14" x14ac:dyDescent="0.25">
      <c r="J4372" s="25">
        <v>4.203144224110078E-2</v>
      </c>
      <c r="N4372" s="26"/>
    </row>
    <row r="4373" spans="10:14" x14ac:dyDescent="0.25">
      <c r="J4373" s="25">
        <v>-0.44213733000044309</v>
      </c>
      <c r="N4373" s="26"/>
    </row>
    <row r="4374" spans="10:14" x14ac:dyDescent="0.25">
      <c r="J4374" s="25">
        <v>7.9864866072745677E-2</v>
      </c>
      <c r="N4374" s="26"/>
    </row>
    <row r="4375" spans="10:14" x14ac:dyDescent="0.25">
      <c r="J4375" s="25">
        <v>0.12743213318880886</v>
      </c>
      <c r="N4375" s="26"/>
    </row>
    <row r="4376" spans="10:14" x14ac:dyDescent="0.25">
      <c r="J4376" s="25">
        <v>0.31497959942906961</v>
      </c>
      <c r="N4376" s="26"/>
    </row>
    <row r="4377" spans="10:14" x14ac:dyDescent="0.25">
      <c r="J4377" s="25">
        <v>-0.3780044491129011</v>
      </c>
      <c r="N4377" s="26"/>
    </row>
    <row r="4378" spans="10:14" x14ac:dyDescent="0.25">
      <c r="J4378" s="25">
        <v>-0.25273855728933659</v>
      </c>
      <c r="N4378" s="26"/>
    </row>
    <row r="4379" spans="10:14" x14ac:dyDescent="0.25">
      <c r="J4379" s="25">
        <v>-1.4323110781803261E-2</v>
      </c>
      <c r="N4379" s="26"/>
    </row>
    <row r="4380" spans="10:14" x14ac:dyDescent="0.25">
      <c r="J4380" s="25">
        <v>-3.3014268701029303E-2</v>
      </c>
      <c r="N4380" s="26"/>
    </row>
    <row r="4381" spans="10:14" x14ac:dyDescent="0.25">
      <c r="J4381" s="25">
        <v>-0.31832431888680801</v>
      </c>
      <c r="N4381" s="26"/>
    </row>
    <row r="4382" spans="10:14" x14ac:dyDescent="0.25">
      <c r="J4382" s="25">
        <v>0.88598582015946614</v>
      </c>
      <c r="N4382" s="26"/>
    </row>
    <row r="4383" spans="10:14" x14ac:dyDescent="0.25">
      <c r="J4383" s="25">
        <v>-0.42397707424771691</v>
      </c>
      <c r="N4383" s="26"/>
    </row>
    <row r="4384" spans="10:14" x14ac:dyDescent="0.25">
      <c r="J4384" s="25">
        <v>-8.3150373937392108E-2</v>
      </c>
      <c r="N4384" s="26"/>
    </row>
    <row r="4385" spans="10:14" x14ac:dyDescent="0.25">
      <c r="J4385" s="25">
        <v>-8.1408818219137813E-2</v>
      </c>
      <c r="N4385" s="26"/>
    </row>
    <row r="4386" spans="10:14" x14ac:dyDescent="0.25">
      <c r="J4386" s="25">
        <v>-7.3561292086635199E-2</v>
      </c>
      <c r="N4386" s="26"/>
    </row>
    <row r="4387" spans="10:14" x14ac:dyDescent="0.25">
      <c r="J4387" s="25">
        <v>-0.46388046390681326</v>
      </c>
      <c r="N4387" s="26"/>
    </row>
    <row r="4388" spans="10:14" x14ac:dyDescent="0.25">
      <c r="J4388" s="25">
        <v>0.60350594675515223</v>
      </c>
      <c r="N4388" s="26"/>
    </row>
    <row r="4389" spans="10:14" x14ac:dyDescent="0.25">
      <c r="J4389" s="25">
        <v>-8.6237099863183397E-2</v>
      </c>
      <c r="N4389" s="26"/>
    </row>
    <row r="4390" spans="10:14" x14ac:dyDescent="0.25">
      <c r="J4390" s="25">
        <v>0.27925961864718118</v>
      </c>
      <c r="N4390" s="26"/>
    </row>
    <row r="4391" spans="10:14" x14ac:dyDescent="0.25">
      <c r="J4391" s="25">
        <v>-0.40830545619976166</v>
      </c>
      <c r="N4391" s="26"/>
    </row>
    <row r="4392" spans="10:14" x14ac:dyDescent="0.25">
      <c r="J4392" s="25">
        <v>5.460990951256206E-2</v>
      </c>
      <c r="N4392" s="26"/>
    </row>
    <row r="4393" spans="10:14" x14ac:dyDescent="0.25">
      <c r="J4393" s="25">
        <v>0.45658302600688949</v>
      </c>
      <c r="N4393" s="26"/>
    </row>
    <row r="4394" spans="10:14" x14ac:dyDescent="0.25">
      <c r="J4394" s="25">
        <v>-0.14617572172554527</v>
      </c>
      <c r="N4394" s="26"/>
    </row>
    <row r="4395" spans="10:14" x14ac:dyDescent="0.25">
      <c r="J4395" s="25">
        <v>0.2323043156510729</v>
      </c>
      <c r="N4395" s="26"/>
    </row>
    <row r="4396" spans="10:14" x14ac:dyDescent="0.25">
      <c r="J4396" s="25">
        <v>0.32760993187275167</v>
      </c>
      <c r="N4396" s="26"/>
    </row>
    <row r="4397" spans="10:14" x14ac:dyDescent="0.25">
      <c r="J4397" s="25">
        <v>-6.7199436007393198E-2</v>
      </c>
      <c r="N4397" s="26"/>
    </row>
    <row r="4398" spans="10:14" x14ac:dyDescent="0.25">
      <c r="J4398" s="25">
        <v>0.48866793569955624</v>
      </c>
      <c r="N4398" s="26"/>
    </row>
    <row r="4399" spans="10:14" x14ac:dyDescent="0.25">
      <c r="J4399" s="25">
        <v>-6.9199657799878356E-2</v>
      </c>
      <c r="N4399" s="26"/>
    </row>
    <row r="4400" spans="10:14" x14ac:dyDescent="0.25">
      <c r="J4400" s="25">
        <v>0.51924004234419563</v>
      </c>
      <c r="N4400" s="26"/>
    </row>
    <row r="4401" spans="10:14" x14ac:dyDescent="0.25">
      <c r="J4401" s="25">
        <v>-0.28859409893843835</v>
      </c>
      <c r="N4401" s="26"/>
    </row>
    <row r="4402" spans="10:14" x14ac:dyDescent="0.25">
      <c r="J4402" s="25">
        <v>0.12505048451556866</v>
      </c>
      <c r="N4402" s="26"/>
    </row>
    <row r="4403" spans="10:14" x14ac:dyDescent="0.25">
      <c r="J4403" s="25">
        <v>0.99910762491895655</v>
      </c>
      <c r="N4403" s="26"/>
    </row>
    <row r="4404" spans="10:14" x14ac:dyDescent="0.25">
      <c r="J4404" s="25">
        <v>0.43014146576017964</v>
      </c>
      <c r="N4404" s="26"/>
    </row>
    <row r="4405" spans="10:14" x14ac:dyDescent="0.25">
      <c r="J4405" s="25">
        <v>-0.30260030414342975</v>
      </c>
      <c r="N4405" s="26"/>
    </row>
    <row r="4406" spans="10:14" x14ac:dyDescent="0.25">
      <c r="J4406" s="25">
        <v>0.66474786671380959</v>
      </c>
      <c r="N4406" s="26"/>
    </row>
    <row r="4407" spans="10:14" x14ac:dyDescent="0.25">
      <c r="J4407" s="25">
        <v>0.57787291000921281</v>
      </c>
      <c r="N4407" s="26"/>
    </row>
    <row r="4408" spans="10:14" x14ac:dyDescent="0.25">
      <c r="J4408" s="25">
        <v>-0.41384357302087993</v>
      </c>
      <c r="N4408" s="26"/>
    </row>
    <row r="4409" spans="10:14" x14ac:dyDescent="0.25">
      <c r="J4409" s="25">
        <v>-3.588427352222201E-2</v>
      </c>
      <c r="N4409" s="26"/>
    </row>
    <row r="4410" spans="10:14" x14ac:dyDescent="0.25">
      <c r="J4410" s="25">
        <v>0.60306315379856734</v>
      </c>
      <c r="N4410" s="26"/>
    </row>
    <row r="4411" spans="10:14" x14ac:dyDescent="0.25">
      <c r="J4411" s="25">
        <v>-0.45226768048904054</v>
      </c>
      <c r="N4411" s="26"/>
    </row>
    <row r="4412" spans="10:14" x14ac:dyDescent="0.25">
      <c r="J4412" s="25">
        <v>-0.2836855596264185</v>
      </c>
      <c r="N4412" s="26"/>
    </row>
    <row r="4413" spans="10:14" x14ac:dyDescent="0.25">
      <c r="J4413" s="25">
        <v>5.3270566064678171E-3</v>
      </c>
      <c r="N4413" s="26"/>
    </row>
    <row r="4414" spans="10:14" x14ac:dyDescent="0.25">
      <c r="J4414" s="25">
        <v>0.13166211591282018</v>
      </c>
      <c r="N4414" s="26"/>
    </row>
    <row r="4415" spans="10:14" x14ac:dyDescent="0.25">
      <c r="J4415" s="25">
        <v>0.25290647599443394</v>
      </c>
      <c r="N4415" s="26"/>
    </row>
    <row r="4416" spans="10:14" x14ac:dyDescent="0.25">
      <c r="J4416" s="25">
        <v>9.6717724335038335E-2</v>
      </c>
      <c r="N4416" s="26"/>
    </row>
    <row r="4417" spans="10:14" x14ac:dyDescent="0.25">
      <c r="J4417" s="25">
        <v>-0.28971716770093969</v>
      </c>
      <c r="N4417" s="26"/>
    </row>
    <row r="4418" spans="10:14" x14ac:dyDescent="0.25">
      <c r="J4418" s="25">
        <v>0.24189375912422206</v>
      </c>
      <c r="N4418" s="26"/>
    </row>
    <row r="4419" spans="10:14" x14ac:dyDescent="0.25">
      <c r="J4419" s="25">
        <v>-0.37860755559648651</v>
      </c>
      <c r="N4419" s="26"/>
    </row>
    <row r="4420" spans="10:14" x14ac:dyDescent="0.25">
      <c r="J4420" s="25">
        <v>0.33943339983545617</v>
      </c>
      <c r="N4420" s="26"/>
    </row>
    <row r="4421" spans="10:14" x14ac:dyDescent="0.25">
      <c r="J4421" s="25">
        <v>0.74410550934246755</v>
      </c>
      <c r="N4421" s="26"/>
    </row>
    <row r="4422" spans="10:14" x14ac:dyDescent="0.25">
      <c r="J4422" s="25">
        <v>-0.35342596674413795</v>
      </c>
      <c r="N4422" s="26"/>
    </row>
    <row r="4423" spans="10:14" x14ac:dyDescent="0.25">
      <c r="J4423" s="25">
        <v>-9.9143401976149459E-3</v>
      </c>
      <c r="N4423" s="26"/>
    </row>
    <row r="4424" spans="10:14" x14ac:dyDescent="0.25">
      <c r="J4424" s="25">
        <v>7.0350387871764619E-2</v>
      </c>
      <c r="N4424" s="26"/>
    </row>
    <row r="4425" spans="10:14" x14ac:dyDescent="0.25">
      <c r="J4425" s="25">
        <v>0.25591948778688778</v>
      </c>
      <c r="N4425" s="26"/>
    </row>
    <row r="4426" spans="10:14" x14ac:dyDescent="0.25">
      <c r="J4426" s="25">
        <v>-7.0493798427886833E-2</v>
      </c>
      <c r="N4426" s="26"/>
    </row>
    <row r="4427" spans="10:14" x14ac:dyDescent="0.25">
      <c r="J4427" s="25">
        <v>-0.42790558171355775</v>
      </c>
      <c r="N4427" s="26"/>
    </row>
    <row r="4428" spans="10:14" x14ac:dyDescent="0.25">
      <c r="J4428" s="25">
        <v>-0.27189209597485298</v>
      </c>
      <c r="N4428" s="26"/>
    </row>
    <row r="4429" spans="10:14" x14ac:dyDescent="0.25">
      <c r="J4429" s="25">
        <v>0.18284892970236855</v>
      </c>
      <c r="N4429" s="26"/>
    </row>
    <row r="4430" spans="10:14" x14ac:dyDescent="0.25">
      <c r="J4430" s="25">
        <v>-0.26751968635712498</v>
      </c>
      <c r="N4430" s="26"/>
    </row>
    <row r="4431" spans="10:14" x14ac:dyDescent="0.25">
      <c r="J4431" s="25">
        <v>-0.38453835192695107</v>
      </c>
      <c r="N4431" s="26"/>
    </row>
    <row r="4432" spans="10:14" x14ac:dyDescent="0.25">
      <c r="J4432" s="25">
        <v>8.3969171499941542E-2</v>
      </c>
      <c r="N4432" s="26"/>
    </row>
    <row r="4433" spans="10:14" x14ac:dyDescent="0.25">
      <c r="J4433" s="25">
        <v>0.45681520568344003</v>
      </c>
      <c r="N4433" s="26"/>
    </row>
    <row r="4434" spans="10:14" x14ac:dyDescent="0.25">
      <c r="J4434" s="25">
        <v>-1.7109819623516098E-2</v>
      </c>
      <c r="N4434" s="26"/>
    </row>
    <row r="4435" spans="10:14" x14ac:dyDescent="0.25">
      <c r="J4435" s="25">
        <v>0.51272808595374975</v>
      </c>
      <c r="N4435" s="26"/>
    </row>
    <row r="4436" spans="10:14" x14ac:dyDescent="0.25">
      <c r="J4436" s="25">
        <v>0.64103581936713483</v>
      </c>
      <c r="N4436" s="26"/>
    </row>
    <row r="4437" spans="10:14" x14ac:dyDescent="0.25">
      <c r="J4437" s="25">
        <v>-0.31548773855706413</v>
      </c>
      <c r="N4437" s="26"/>
    </row>
    <row r="4438" spans="10:14" x14ac:dyDescent="0.25">
      <c r="J4438" s="25">
        <v>3.3684363658791572E-2</v>
      </c>
      <c r="N4438" s="26"/>
    </row>
    <row r="4439" spans="10:14" x14ac:dyDescent="0.25">
      <c r="J4439" s="25">
        <v>4.0000545228968676E-4</v>
      </c>
      <c r="N4439" s="26"/>
    </row>
    <row r="4440" spans="10:14" x14ac:dyDescent="0.25">
      <c r="J4440" s="25">
        <v>-0.12288235745617904</v>
      </c>
      <c r="N4440" s="26"/>
    </row>
    <row r="4441" spans="10:14" x14ac:dyDescent="0.25">
      <c r="J4441" s="25">
        <v>-5.3940656985661417E-2</v>
      </c>
      <c r="N4441" s="26"/>
    </row>
    <row r="4442" spans="10:14" x14ac:dyDescent="0.25">
      <c r="J4442" s="25">
        <v>-0.43602170528946049</v>
      </c>
      <c r="N4442" s="26"/>
    </row>
    <row r="4443" spans="10:14" x14ac:dyDescent="0.25">
      <c r="J4443" s="25">
        <v>0.64217048797127263</v>
      </c>
      <c r="N4443" s="26"/>
    </row>
    <row r="4444" spans="10:14" x14ac:dyDescent="0.25">
      <c r="J4444" s="25">
        <v>0.74352183981621356</v>
      </c>
      <c r="N4444" s="26"/>
    </row>
    <row r="4445" spans="10:14" x14ac:dyDescent="0.25">
      <c r="J4445" s="25">
        <v>0.30117789066950595</v>
      </c>
      <c r="N4445" s="26"/>
    </row>
    <row r="4446" spans="10:14" x14ac:dyDescent="0.25">
      <c r="J4446" s="25">
        <v>-0.36955219920517668</v>
      </c>
      <c r="N4446" s="26"/>
    </row>
    <row r="4447" spans="10:14" x14ac:dyDescent="0.25">
      <c r="J4447" s="25">
        <v>0.57471394214580274</v>
      </c>
      <c r="N4447" s="26"/>
    </row>
    <row r="4448" spans="10:14" x14ac:dyDescent="0.25">
      <c r="J4448" s="25">
        <v>4.844827305949817E-4</v>
      </c>
      <c r="N4448" s="26"/>
    </row>
    <row r="4449" spans="10:14" x14ac:dyDescent="0.25">
      <c r="J4449" s="25">
        <v>1.0119399649555283</v>
      </c>
      <c r="N4449" s="26"/>
    </row>
    <row r="4450" spans="10:14" x14ac:dyDescent="0.25">
      <c r="J4450" s="25">
        <v>4.6079775119076904E-2</v>
      </c>
      <c r="N4450" s="26"/>
    </row>
    <row r="4451" spans="10:14" x14ac:dyDescent="0.25">
      <c r="J4451" s="25">
        <v>0.1403059902197501</v>
      </c>
      <c r="N4451" s="26"/>
    </row>
    <row r="4452" spans="10:14" x14ac:dyDescent="0.25">
      <c r="J4452" s="25">
        <v>1.015685184963123</v>
      </c>
      <c r="N4452" s="26"/>
    </row>
    <row r="4453" spans="10:14" x14ac:dyDescent="0.25">
      <c r="J4453" s="25">
        <v>-0.16005412818643217</v>
      </c>
      <c r="N4453" s="26"/>
    </row>
    <row r="4454" spans="10:14" x14ac:dyDescent="0.25">
      <c r="J4454" s="25">
        <v>9.5659596540684122E-2</v>
      </c>
      <c r="N4454" s="26"/>
    </row>
    <row r="4455" spans="10:14" x14ac:dyDescent="0.25">
      <c r="J4455" s="25">
        <v>-0.41297537954098018</v>
      </c>
      <c r="N4455" s="26"/>
    </row>
    <row r="4456" spans="10:14" x14ac:dyDescent="0.25">
      <c r="J4456" s="25">
        <v>-1.7196870198441183E-2</v>
      </c>
      <c r="N4456" s="26"/>
    </row>
    <row r="4457" spans="10:14" x14ac:dyDescent="0.25">
      <c r="J4457" s="25">
        <v>-0.12730609579153229</v>
      </c>
      <c r="N4457" s="26"/>
    </row>
    <row r="4458" spans="10:14" x14ac:dyDescent="0.25">
      <c r="J4458" s="25">
        <v>0.61067365167619014</v>
      </c>
      <c r="N4458" s="26"/>
    </row>
    <row r="4459" spans="10:14" x14ac:dyDescent="0.25">
      <c r="J4459" s="25">
        <v>-0.29643812837896599</v>
      </c>
      <c r="N4459" s="26"/>
    </row>
    <row r="4460" spans="10:14" x14ac:dyDescent="0.25">
      <c r="J4460" s="25">
        <v>5.5766416369040117E-2</v>
      </c>
      <c r="N4460" s="26"/>
    </row>
    <row r="4461" spans="10:14" x14ac:dyDescent="0.25">
      <c r="J4461" s="25">
        <v>0.2050711570248096</v>
      </c>
      <c r="N4461" s="26"/>
    </row>
    <row r="4462" spans="10:14" x14ac:dyDescent="0.25">
      <c r="J4462" s="25">
        <v>6.9885211534456815E-2</v>
      </c>
      <c r="N4462" s="26"/>
    </row>
    <row r="4463" spans="10:14" x14ac:dyDescent="0.25">
      <c r="J4463" s="25">
        <v>6.2902308242162697E-2</v>
      </c>
      <c r="N4463" s="26"/>
    </row>
    <row r="4464" spans="10:14" x14ac:dyDescent="0.25">
      <c r="J4464" s="25">
        <v>0.76682800049368338</v>
      </c>
      <c r="N4464" s="26"/>
    </row>
    <row r="4465" spans="10:14" x14ac:dyDescent="0.25">
      <c r="J4465" s="25">
        <v>-4.1376081618912708E-2</v>
      </c>
      <c r="N4465" s="26"/>
    </row>
    <row r="4466" spans="10:14" x14ac:dyDescent="0.25">
      <c r="J4466" s="25">
        <v>-0.16756187501343844</v>
      </c>
      <c r="N4466" s="26"/>
    </row>
    <row r="4467" spans="10:14" x14ac:dyDescent="0.25">
      <c r="J4467" s="25">
        <v>-3.834316741380861E-2</v>
      </c>
      <c r="N4467" s="26"/>
    </row>
    <row r="4468" spans="10:14" x14ac:dyDescent="0.25">
      <c r="J4468" s="25">
        <v>-0.36048992660727808</v>
      </c>
      <c r="N4468" s="26"/>
    </row>
    <row r="4469" spans="10:14" x14ac:dyDescent="0.25">
      <c r="J4469" s="25">
        <v>-0.11713944951400668</v>
      </c>
      <c r="N4469" s="26"/>
    </row>
    <row r="4470" spans="10:14" x14ac:dyDescent="0.25">
      <c r="J4470" s="25">
        <v>-0.2838724980432803</v>
      </c>
      <c r="N4470" s="26"/>
    </row>
    <row r="4471" spans="10:14" x14ac:dyDescent="0.25">
      <c r="J4471" s="25">
        <v>9.0236506835595476E-2</v>
      </c>
      <c r="N4471" s="26"/>
    </row>
    <row r="4472" spans="10:14" x14ac:dyDescent="0.25">
      <c r="J4472" s="25">
        <v>0.12590137244888555</v>
      </c>
      <c r="N4472" s="26"/>
    </row>
    <row r="4473" spans="10:14" x14ac:dyDescent="0.25">
      <c r="J4473" s="25">
        <v>-0.42116048565544839</v>
      </c>
      <c r="N4473" s="26"/>
    </row>
    <row r="4474" spans="10:14" x14ac:dyDescent="0.25">
      <c r="J4474" s="25">
        <v>0.98121287544583935</v>
      </c>
      <c r="N4474" s="26"/>
    </row>
    <row r="4475" spans="10:14" x14ac:dyDescent="0.25">
      <c r="J4475" s="25">
        <v>0.52922999596577425</v>
      </c>
      <c r="N4475" s="26"/>
    </row>
    <row r="4476" spans="10:14" x14ac:dyDescent="0.25">
      <c r="J4476" s="25">
        <v>1.9577924452401252E-2</v>
      </c>
      <c r="N4476" s="26"/>
    </row>
    <row r="4477" spans="10:14" x14ac:dyDescent="0.25">
      <c r="J4477" s="25">
        <v>0.20528602852041766</v>
      </c>
      <c r="N4477" s="26"/>
    </row>
    <row r="4478" spans="10:14" x14ac:dyDescent="0.25">
      <c r="J4478" s="25">
        <v>-0.11721301554180952</v>
      </c>
      <c r="N4478" s="26"/>
    </row>
    <row r="4479" spans="10:14" x14ac:dyDescent="0.25">
      <c r="J4479" s="25">
        <v>-0.2530986263381414</v>
      </c>
      <c r="N4479" s="26"/>
    </row>
    <row r="4480" spans="10:14" x14ac:dyDescent="0.25">
      <c r="J4480" s="25">
        <v>-0.24072649698864024</v>
      </c>
      <c r="N4480" s="26"/>
    </row>
    <row r="4481" spans="10:14" x14ac:dyDescent="0.25">
      <c r="J4481" s="25">
        <v>0.20704409349127562</v>
      </c>
      <c r="N4481" s="26"/>
    </row>
    <row r="4482" spans="10:14" x14ac:dyDescent="0.25">
      <c r="J4482" s="25">
        <v>0.14581027271662839</v>
      </c>
      <c r="N4482" s="26"/>
    </row>
    <row r="4483" spans="10:14" x14ac:dyDescent="0.25">
      <c r="J4483" s="25">
        <v>-0.34020039414412662</v>
      </c>
      <c r="N4483" s="26"/>
    </row>
    <row r="4484" spans="10:14" x14ac:dyDescent="0.25">
      <c r="J4484" s="25">
        <v>0.55340933889257027</v>
      </c>
      <c r="N4484" s="26"/>
    </row>
    <row r="4485" spans="10:14" x14ac:dyDescent="0.25">
      <c r="J4485" s="25">
        <v>-0.1064159404019559</v>
      </c>
      <c r="N4485" s="26"/>
    </row>
    <row r="4486" spans="10:14" x14ac:dyDescent="0.25">
      <c r="J4486" s="25">
        <v>5.6217910956578132E-2</v>
      </c>
      <c r="N4486" s="26"/>
    </row>
    <row r="4487" spans="10:14" x14ac:dyDescent="0.25">
      <c r="J4487" s="25">
        <v>0.43757497846221405</v>
      </c>
      <c r="N4487" s="26"/>
    </row>
    <row r="4488" spans="10:14" x14ac:dyDescent="0.25">
      <c r="J4488" s="25">
        <v>-0.26072810861904605</v>
      </c>
      <c r="N4488" s="26"/>
    </row>
    <row r="4489" spans="10:14" x14ac:dyDescent="0.25">
      <c r="J4489" s="25">
        <v>-0.19702410192209863</v>
      </c>
      <c r="N4489" s="26"/>
    </row>
    <row r="4490" spans="10:14" x14ac:dyDescent="0.25">
      <c r="J4490" s="25">
        <v>-4.661568363808144E-2</v>
      </c>
      <c r="N4490" s="26"/>
    </row>
    <row r="4491" spans="10:14" x14ac:dyDescent="0.25">
      <c r="J4491" s="25">
        <v>0.34840325263733174</v>
      </c>
      <c r="N4491" s="26"/>
    </row>
    <row r="4492" spans="10:14" x14ac:dyDescent="0.25">
      <c r="J4492" s="25">
        <v>0.95502030469567667</v>
      </c>
      <c r="N4492" s="26"/>
    </row>
    <row r="4493" spans="10:14" x14ac:dyDescent="0.25">
      <c r="J4493" s="25">
        <v>-0.16064329421752932</v>
      </c>
      <c r="N4493" s="26"/>
    </row>
    <row r="4494" spans="10:14" x14ac:dyDescent="0.25">
      <c r="J4494" s="25">
        <v>0.22186944771806538</v>
      </c>
      <c r="N4494" s="26"/>
    </row>
    <row r="4495" spans="10:14" x14ac:dyDescent="0.25">
      <c r="J4495" s="25">
        <v>-0.26383593758054269</v>
      </c>
      <c r="N4495" s="26"/>
    </row>
    <row r="4496" spans="10:14" x14ac:dyDescent="0.25">
      <c r="J4496" s="25">
        <v>0.53392365695605748</v>
      </c>
      <c r="N4496" s="26"/>
    </row>
    <row r="4497" spans="10:14" x14ac:dyDescent="0.25">
      <c r="J4497" s="25">
        <v>0.38879657013423241</v>
      </c>
      <c r="N4497" s="26"/>
    </row>
    <row r="4498" spans="10:14" x14ac:dyDescent="0.25">
      <c r="J4498" s="25">
        <v>0.22372199068076437</v>
      </c>
      <c r="N4498" s="26"/>
    </row>
    <row r="4499" spans="10:14" x14ac:dyDescent="0.25">
      <c r="J4499" s="25">
        <v>0.50881370427932815</v>
      </c>
      <c r="N4499" s="26"/>
    </row>
    <row r="4500" spans="10:14" x14ac:dyDescent="0.25">
      <c r="J4500" s="25">
        <v>5.7983331261855398E-2</v>
      </c>
      <c r="N4500" s="26"/>
    </row>
    <row r="4501" spans="10:14" x14ac:dyDescent="0.25">
      <c r="J4501" s="25">
        <v>-2.5743026839031291E-4</v>
      </c>
      <c r="N4501" s="26"/>
    </row>
    <row r="4502" spans="10:14" x14ac:dyDescent="0.25">
      <c r="J4502" s="25">
        <v>0.57679169499309646</v>
      </c>
      <c r="N4502" s="26"/>
    </row>
    <row r="4503" spans="10:14" x14ac:dyDescent="0.25">
      <c r="J4503" s="25">
        <v>0.5196143866956604</v>
      </c>
      <c r="N4503" s="26"/>
    </row>
    <row r="4504" spans="10:14" x14ac:dyDescent="0.25">
      <c r="J4504" s="25">
        <v>2.0796098916882944E-2</v>
      </c>
      <c r="N4504" s="26"/>
    </row>
    <row r="4505" spans="10:14" x14ac:dyDescent="0.25">
      <c r="J4505" s="25">
        <v>1.4583850098370599E-2</v>
      </c>
      <c r="N4505" s="26"/>
    </row>
    <row r="4506" spans="10:14" x14ac:dyDescent="0.25">
      <c r="J4506" s="25">
        <v>0.58818574706535931</v>
      </c>
      <c r="N4506" s="26"/>
    </row>
    <row r="4507" spans="10:14" x14ac:dyDescent="0.25">
      <c r="J4507" s="25">
        <v>-0.34321723782533364</v>
      </c>
      <c r="N4507" s="26"/>
    </row>
    <row r="4508" spans="10:14" x14ac:dyDescent="0.25">
      <c r="J4508" s="25">
        <v>-0.28138434240843124</v>
      </c>
      <c r="N4508" s="26"/>
    </row>
    <row r="4509" spans="10:14" x14ac:dyDescent="0.25">
      <c r="J4509" s="25">
        <v>5.1150536479268816E-2</v>
      </c>
      <c r="N4509" s="26"/>
    </row>
    <row r="4510" spans="10:14" x14ac:dyDescent="0.25">
      <c r="J4510" s="25">
        <v>-0.27390935822208795</v>
      </c>
      <c r="N4510" s="26"/>
    </row>
    <row r="4511" spans="10:14" x14ac:dyDescent="0.25">
      <c r="J4511" s="25">
        <v>-0.43439928654012194</v>
      </c>
      <c r="N4511" s="26"/>
    </row>
    <row r="4512" spans="10:14" x14ac:dyDescent="0.25">
      <c r="J4512" s="25">
        <v>0.69938640152905207</v>
      </c>
      <c r="N4512" s="26"/>
    </row>
    <row r="4513" spans="10:14" x14ac:dyDescent="0.25">
      <c r="J4513" s="25">
        <v>0.33397268858999718</v>
      </c>
      <c r="N4513" s="26"/>
    </row>
    <row r="4514" spans="10:14" x14ac:dyDescent="0.25">
      <c r="J4514" s="25">
        <v>-0.11663245626943763</v>
      </c>
      <c r="N4514" s="26"/>
    </row>
    <row r="4515" spans="10:14" x14ac:dyDescent="0.25">
      <c r="J4515" s="25">
        <v>-0.33697936011824181</v>
      </c>
      <c r="N4515" s="26"/>
    </row>
    <row r="4516" spans="10:14" x14ac:dyDescent="0.25">
      <c r="J4516" s="25">
        <v>-3.3224152137841578E-2</v>
      </c>
      <c r="N4516" s="26"/>
    </row>
    <row r="4517" spans="10:14" x14ac:dyDescent="0.25">
      <c r="J4517" s="25">
        <v>-7.314819543165374E-3</v>
      </c>
      <c r="N4517" s="26"/>
    </row>
    <row r="4518" spans="10:14" x14ac:dyDescent="0.25">
      <c r="J4518" s="25">
        <v>-0.49130524990777669</v>
      </c>
      <c r="N4518" s="26"/>
    </row>
    <row r="4519" spans="10:14" x14ac:dyDescent="0.25">
      <c r="J4519" s="25">
        <v>4.7578904710989134E-2</v>
      </c>
      <c r="N4519" s="26"/>
    </row>
    <row r="4520" spans="10:14" x14ac:dyDescent="0.25">
      <c r="J4520" s="25">
        <v>0.39023213552157854</v>
      </c>
      <c r="N4520" s="26"/>
    </row>
    <row r="4521" spans="10:14" x14ac:dyDescent="0.25">
      <c r="J4521" s="25">
        <v>0.11932470886539059</v>
      </c>
      <c r="N4521" s="26"/>
    </row>
    <row r="4522" spans="10:14" x14ac:dyDescent="0.25">
      <c r="J4522" s="25">
        <v>-7.0590160249535017E-2</v>
      </c>
      <c r="N4522" s="26"/>
    </row>
    <row r="4523" spans="10:14" x14ac:dyDescent="0.25">
      <c r="J4523" s="25">
        <v>0.13015238930276163</v>
      </c>
      <c r="N4523" s="26"/>
    </row>
    <row r="4524" spans="10:14" x14ac:dyDescent="0.25">
      <c r="J4524" s="25">
        <v>-0.23573292939672053</v>
      </c>
      <c r="N4524" s="26"/>
    </row>
    <row r="4525" spans="10:14" x14ac:dyDescent="0.25">
      <c r="J4525" s="25">
        <v>-0.20474704176884473</v>
      </c>
      <c r="N4525" s="26"/>
    </row>
    <row r="4526" spans="10:14" x14ac:dyDescent="0.25">
      <c r="J4526" s="25">
        <v>-0.27955569458877016</v>
      </c>
      <c r="N4526" s="26"/>
    </row>
    <row r="4527" spans="10:14" x14ac:dyDescent="0.25">
      <c r="J4527" s="25">
        <v>-0.34096515491307666</v>
      </c>
      <c r="N4527" s="26"/>
    </row>
    <row r="4528" spans="10:14" x14ac:dyDescent="0.25">
      <c r="J4528" s="25">
        <v>0.52762078747309893</v>
      </c>
      <c r="N4528" s="26"/>
    </row>
    <row r="4529" spans="10:14" x14ac:dyDescent="0.25">
      <c r="J4529" s="25">
        <v>-0.32566315231858145</v>
      </c>
      <c r="N4529" s="26"/>
    </row>
    <row r="4530" spans="10:14" x14ac:dyDescent="0.25">
      <c r="J4530" s="25">
        <v>0.30760160490520327</v>
      </c>
      <c r="N4530" s="26"/>
    </row>
    <row r="4531" spans="10:14" x14ac:dyDescent="0.25">
      <c r="J4531" s="25">
        <v>-0.40461135741901255</v>
      </c>
      <c r="N4531" s="26"/>
    </row>
    <row r="4532" spans="10:14" x14ac:dyDescent="0.25">
      <c r="J4532" s="25">
        <v>-0.16182610172673573</v>
      </c>
      <c r="N4532" s="26"/>
    </row>
    <row r="4533" spans="10:14" x14ac:dyDescent="0.25">
      <c r="J4533" s="25">
        <v>-0.15046013497864441</v>
      </c>
      <c r="N4533" s="26"/>
    </row>
    <row r="4534" spans="10:14" x14ac:dyDescent="0.25">
      <c r="J4534" s="25">
        <v>-0.33973941195469748</v>
      </c>
      <c r="N4534" s="26"/>
    </row>
    <row r="4535" spans="10:14" x14ac:dyDescent="0.25">
      <c r="J4535" s="25">
        <v>0.33473607588975085</v>
      </c>
      <c r="N4535" s="26"/>
    </row>
    <row r="4536" spans="10:14" x14ac:dyDescent="0.25">
      <c r="J4536" s="25">
        <v>-7.4191395668126381E-2</v>
      </c>
      <c r="N4536" s="26"/>
    </row>
    <row r="4537" spans="10:14" x14ac:dyDescent="0.25">
      <c r="J4537" s="25">
        <v>8.2232736790671002E-2</v>
      </c>
      <c r="N4537" s="26"/>
    </row>
    <row r="4538" spans="10:14" x14ac:dyDescent="0.25">
      <c r="J4538" s="25">
        <v>-0.41173978338489325</v>
      </c>
      <c r="N4538" s="26"/>
    </row>
    <row r="4539" spans="10:14" x14ac:dyDescent="0.25">
      <c r="J4539" s="25">
        <v>0.18672216327131519</v>
      </c>
      <c r="N4539" s="26"/>
    </row>
    <row r="4540" spans="10:14" x14ac:dyDescent="0.25">
      <c r="J4540" s="25">
        <v>-0.38861326411468089</v>
      </c>
      <c r="N4540" s="26"/>
    </row>
    <row r="4541" spans="10:14" x14ac:dyDescent="0.25">
      <c r="J4541" s="25">
        <v>-0.16469175923389345</v>
      </c>
      <c r="N4541" s="26"/>
    </row>
    <row r="4542" spans="10:14" x14ac:dyDescent="0.25">
      <c r="J4542" s="25">
        <v>0.13525887871705633</v>
      </c>
      <c r="N4542" s="26"/>
    </row>
    <row r="4543" spans="10:14" x14ac:dyDescent="0.25">
      <c r="J4543" s="25">
        <v>0.98476388662139858</v>
      </c>
      <c r="N4543" s="26"/>
    </row>
    <row r="4544" spans="10:14" x14ac:dyDescent="0.25">
      <c r="J4544" s="25">
        <v>0.29552827633448198</v>
      </c>
      <c r="N4544" s="26"/>
    </row>
    <row r="4545" spans="10:14" x14ac:dyDescent="0.25">
      <c r="J4545" s="25">
        <v>0.30826758355142436</v>
      </c>
      <c r="N4545" s="26"/>
    </row>
    <row r="4546" spans="10:14" x14ac:dyDescent="0.25">
      <c r="J4546" s="25">
        <v>0.85451018574779658</v>
      </c>
      <c r="N4546" s="26"/>
    </row>
    <row r="4547" spans="10:14" x14ac:dyDescent="0.25">
      <c r="J4547" s="25">
        <v>-6.3361049778322021E-2</v>
      </c>
      <c r="N4547" s="26"/>
    </row>
    <row r="4548" spans="10:14" x14ac:dyDescent="0.25">
      <c r="J4548" s="25">
        <v>0.63709213565491019</v>
      </c>
      <c r="N4548" s="26"/>
    </row>
    <row r="4549" spans="10:14" x14ac:dyDescent="0.25">
      <c r="J4549" s="25">
        <v>-0.14810207713731993</v>
      </c>
      <c r="N4549" s="26"/>
    </row>
    <row r="4550" spans="10:14" x14ac:dyDescent="0.25">
      <c r="J4550" s="25">
        <v>0.19958569636644596</v>
      </c>
      <c r="N4550" s="26"/>
    </row>
    <row r="4551" spans="10:14" x14ac:dyDescent="0.25">
      <c r="J4551" s="25">
        <v>-3.8481884351283635E-2</v>
      </c>
      <c r="N4551" s="26"/>
    </row>
    <row r="4552" spans="10:14" x14ac:dyDescent="0.25">
      <c r="J4552" s="25">
        <v>0.59932444425421272</v>
      </c>
      <c r="N4552" s="26"/>
    </row>
    <row r="4553" spans="10:14" x14ac:dyDescent="0.25">
      <c r="J4553" s="25">
        <v>0.62876448730654744</v>
      </c>
      <c r="N4553" s="26"/>
    </row>
    <row r="4554" spans="10:14" x14ac:dyDescent="0.25">
      <c r="J4554" s="25">
        <v>-0.24914636274606239</v>
      </c>
      <c r="N4554" s="26"/>
    </row>
    <row r="4555" spans="10:14" x14ac:dyDescent="0.25">
      <c r="J4555" s="25">
        <v>-0.10882039102931962</v>
      </c>
      <c r="N4555" s="26"/>
    </row>
    <row r="4556" spans="10:14" x14ac:dyDescent="0.25">
      <c r="J4556" s="25">
        <v>-0.50986020626764672</v>
      </c>
      <c r="N4556" s="26"/>
    </row>
    <row r="4557" spans="10:14" x14ac:dyDescent="0.25">
      <c r="J4557" s="25">
        <v>-0.41010990413263237</v>
      </c>
      <c r="N4557" s="26"/>
    </row>
    <row r="4558" spans="10:14" x14ac:dyDescent="0.25">
      <c r="J4558" s="25">
        <v>5.6249700025757354E-2</v>
      </c>
      <c r="N4558" s="26"/>
    </row>
    <row r="4559" spans="10:14" x14ac:dyDescent="0.25">
      <c r="J4559" s="25">
        <v>9.6153414026626027E-2</v>
      </c>
      <c r="N4559" s="26"/>
    </row>
    <row r="4560" spans="10:14" x14ac:dyDescent="0.25">
      <c r="J4560" s="25">
        <v>-8.0272704630933278E-2</v>
      </c>
      <c r="N4560" s="26"/>
    </row>
    <row r="4561" spans="10:14" x14ac:dyDescent="0.25">
      <c r="J4561" s="25">
        <v>-0.40834418213283497</v>
      </c>
      <c r="N4561" s="26"/>
    </row>
    <row r="4562" spans="10:14" x14ac:dyDescent="0.25">
      <c r="J4562" s="25">
        <v>2.3498665902023319E-2</v>
      </c>
      <c r="N4562" s="26"/>
    </row>
    <row r="4563" spans="10:14" x14ac:dyDescent="0.25">
      <c r="J4563" s="25">
        <v>2.4863309556591773E-2</v>
      </c>
      <c r="N4563" s="26"/>
    </row>
    <row r="4564" spans="10:14" x14ac:dyDescent="0.25">
      <c r="J4564" s="25">
        <v>0.60485510228130113</v>
      </c>
      <c r="N4564" s="26"/>
    </row>
    <row r="4565" spans="10:14" x14ac:dyDescent="0.25">
      <c r="J4565" s="25">
        <v>-0.16996769812109902</v>
      </c>
      <c r="N4565" s="26"/>
    </row>
    <row r="4566" spans="10:14" x14ac:dyDescent="0.25">
      <c r="J4566" s="25">
        <v>-9.704140548057083E-2</v>
      </c>
      <c r="N4566" s="26"/>
    </row>
    <row r="4567" spans="10:14" x14ac:dyDescent="0.25">
      <c r="J4567" s="25">
        <v>-6.5278257814928797E-2</v>
      </c>
      <c r="N4567" s="26"/>
    </row>
    <row r="4568" spans="10:14" x14ac:dyDescent="0.25">
      <c r="J4568" s="25">
        <v>0.14655028918960222</v>
      </c>
      <c r="N4568" s="26"/>
    </row>
    <row r="4569" spans="10:14" x14ac:dyDescent="0.25">
      <c r="J4569" s="25">
        <v>-0.30838477652622565</v>
      </c>
      <c r="N4569" s="26"/>
    </row>
    <row r="4570" spans="10:14" x14ac:dyDescent="0.25">
      <c r="J4570" s="25">
        <v>-1.1793081303998032E-2</v>
      </c>
      <c r="N4570" s="26"/>
    </row>
    <row r="4571" spans="10:14" x14ac:dyDescent="0.25">
      <c r="J4571" s="25">
        <v>-0.49699686738653703</v>
      </c>
      <c r="N4571" s="26"/>
    </row>
    <row r="4572" spans="10:14" x14ac:dyDescent="0.25">
      <c r="J4572" s="25">
        <v>0.7209871566193824</v>
      </c>
      <c r="N4572" s="26"/>
    </row>
    <row r="4573" spans="10:14" x14ac:dyDescent="0.25">
      <c r="J4573" s="25">
        <v>7.1672599303616913E-2</v>
      </c>
      <c r="N4573" s="26"/>
    </row>
    <row r="4574" spans="10:14" x14ac:dyDescent="0.25">
      <c r="J4574" s="25">
        <v>0.61761868929261321</v>
      </c>
      <c r="N4574" s="26"/>
    </row>
    <row r="4575" spans="10:14" x14ac:dyDescent="0.25">
      <c r="J4575" s="25">
        <v>-3.002283996723687E-2</v>
      </c>
      <c r="N4575" s="26"/>
    </row>
    <row r="4576" spans="10:14" x14ac:dyDescent="0.25">
      <c r="J4576" s="25">
        <v>-3.6476473853612523E-2</v>
      </c>
      <c r="N4576" s="26"/>
    </row>
    <row r="4577" spans="10:14" x14ac:dyDescent="0.25">
      <c r="J4577" s="25">
        <v>-0.33555128731632988</v>
      </c>
      <c r="N4577" s="26"/>
    </row>
    <row r="4578" spans="10:14" x14ac:dyDescent="0.25">
      <c r="J4578" s="25">
        <v>1.4716329083068302E-2</v>
      </c>
      <c r="N4578" s="26"/>
    </row>
    <row r="4579" spans="10:14" x14ac:dyDescent="0.25">
      <c r="J4579" s="25">
        <v>2.3778716312019998E-2</v>
      </c>
      <c r="N4579" s="26"/>
    </row>
    <row r="4580" spans="10:14" x14ac:dyDescent="0.25">
      <c r="J4580" s="25">
        <v>-0.40717047795930084</v>
      </c>
      <c r="N4580" s="26"/>
    </row>
    <row r="4581" spans="10:14" x14ac:dyDescent="0.25">
      <c r="J4581" s="25">
        <v>0.37345186090836946</v>
      </c>
      <c r="N4581" s="26"/>
    </row>
    <row r="4582" spans="10:14" x14ac:dyDescent="0.25">
      <c r="J4582" s="25">
        <v>0.15816011197628987</v>
      </c>
      <c r="N4582" s="26"/>
    </row>
    <row r="4583" spans="10:14" x14ac:dyDescent="0.25">
      <c r="J4583" s="25">
        <v>0.15049057103960584</v>
      </c>
      <c r="N4583" s="26"/>
    </row>
    <row r="4584" spans="10:14" x14ac:dyDescent="0.25">
      <c r="J4584" s="25">
        <v>-0.4278716748284801</v>
      </c>
      <c r="N4584" s="26"/>
    </row>
    <row r="4585" spans="10:14" x14ac:dyDescent="0.25">
      <c r="J4585" s="25">
        <v>-0.21237198410901059</v>
      </c>
      <c r="N4585" s="26"/>
    </row>
    <row r="4586" spans="10:14" x14ac:dyDescent="0.25">
      <c r="J4586" s="25">
        <v>-0.42271742714565941</v>
      </c>
      <c r="N4586" s="26"/>
    </row>
    <row r="4587" spans="10:14" x14ac:dyDescent="0.25">
      <c r="J4587" s="25">
        <v>-6.1487205342754647E-2</v>
      </c>
      <c r="N4587" s="26"/>
    </row>
    <row r="4588" spans="10:14" x14ac:dyDescent="0.25">
      <c r="J4588" s="25">
        <v>0.36242753735136501</v>
      </c>
      <c r="N4588" s="26"/>
    </row>
    <row r="4589" spans="10:14" x14ac:dyDescent="0.25">
      <c r="J4589" s="25">
        <v>-0.25269928407623699</v>
      </c>
      <c r="N4589" s="26"/>
    </row>
    <row r="4590" spans="10:14" x14ac:dyDescent="0.25">
      <c r="J4590" s="25">
        <v>-0.31642982754234961</v>
      </c>
      <c r="N4590" s="26"/>
    </row>
    <row r="4591" spans="10:14" x14ac:dyDescent="0.25">
      <c r="J4591" s="25">
        <v>-0.31318587448933877</v>
      </c>
      <c r="N4591" s="26"/>
    </row>
    <row r="4592" spans="10:14" x14ac:dyDescent="0.25">
      <c r="J4592" s="25">
        <v>-0.40455955217355233</v>
      </c>
      <c r="N4592" s="26"/>
    </row>
    <row r="4593" spans="10:14" x14ac:dyDescent="0.25">
      <c r="J4593" s="25">
        <v>0.65198071101225397</v>
      </c>
      <c r="N4593" s="26"/>
    </row>
    <row r="4594" spans="10:14" x14ac:dyDescent="0.25">
      <c r="J4594" s="25">
        <v>-0.45226990314101401</v>
      </c>
      <c r="N4594" s="26"/>
    </row>
    <row r="4595" spans="10:14" x14ac:dyDescent="0.25">
      <c r="J4595" s="25">
        <v>-0.20012011114211736</v>
      </c>
      <c r="N4595" s="26"/>
    </row>
    <row r="4596" spans="10:14" x14ac:dyDescent="0.25">
      <c r="J4596" s="25">
        <v>-1.3962318386282258E-2</v>
      </c>
      <c r="N4596" s="26"/>
    </row>
    <row r="4597" spans="10:14" x14ac:dyDescent="0.25">
      <c r="J4597" s="25">
        <v>-0.37365317441436852</v>
      </c>
      <c r="N4597" s="26"/>
    </row>
    <row r="4598" spans="10:14" x14ac:dyDescent="0.25">
      <c r="J4598" s="25">
        <v>-0.33226206348421883</v>
      </c>
      <c r="N4598" s="26"/>
    </row>
    <row r="4599" spans="10:14" x14ac:dyDescent="0.25">
      <c r="J4599" s="25">
        <v>-2.4356100988001783E-2</v>
      </c>
      <c r="N4599" s="26"/>
    </row>
    <row r="4600" spans="10:14" x14ac:dyDescent="0.25">
      <c r="J4600" s="25">
        <v>-0.2122029186118678</v>
      </c>
      <c r="N4600" s="26"/>
    </row>
    <row r="4601" spans="10:14" x14ac:dyDescent="0.25">
      <c r="J4601" s="25">
        <v>0.59718515034248321</v>
      </c>
      <c r="N4601" s="26"/>
    </row>
    <row r="4602" spans="10:14" x14ac:dyDescent="0.25">
      <c r="J4602" s="25">
        <v>0.6434329696199852</v>
      </c>
      <c r="N4602" s="26"/>
    </row>
    <row r="4603" spans="10:14" x14ac:dyDescent="0.25">
      <c r="J4603" s="25">
        <v>-0.37723699583697257</v>
      </c>
      <c r="N4603" s="26"/>
    </row>
    <row r="4604" spans="10:14" x14ac:dyDescent="0.25">
      <c r="J4604" s="25">
        <v>-0.42222199778785163</v>
      </c>
      <c r="N4604" s="26"/>
    </row>
    <row r="4605" spans="10:14" x14ac:dyDescent="0.25">
      <c r="J4605" s="25">
        <v>-0.20481519866333797</v>
      </c>
      <c r="N4605" s="26"/>
    </row>
    <row r="4606" spans="10:14" x14ac:dyDescent="0.25">
      <c r="J4606" s="25">
        <v>-0.20364260771877485</v>
      </c>
      <c r="N4606" s="26"/>
    </row>
    <row r="4607" spans="10:14" x14ac:dyDescent="0.25">
      <c r="J4607" s="25">
        <v>4.6556400679520937E-2</v>
      </c>
      <c r="N4607" s="26"/>
    </row>
    <row r="4608" spans="10:14" x14ac:dyDescent="0.25">
      <c r="J4608" s="25">
        <v>-3.3301978261290444E-2</v>
      </c>
      <c r="N4608" s="26"/>
    </row>
    <row r="4609" spans="10:14" x14ac:dyDescent="0.25">
      <c r="J4609" s="25">
        <v>-5.4834623420374928E-2</v>
      </c>
      <c r="N4609" s="26"/>
    </row>
    <row r="4610" spans="10:14" x14ac:dyDescent="0.25">
      <c r="J4610" s="25">
        <v>-0.32798542061696656</v>
      </c>
      <c r="N4610" s="26"/>
    </row>
    <row r="4611" spans="10:14" x14ac:dyDescent="0.25">
      <c r="J4611" s="25">
        <v>5.7997676144212695E-2</v>
      </c>
      <c r="N4611" s="26"/>
    </row>
    <row r="4612" spans="10:14" x14ac:dyDescent="0.25">
      <c r="J4612" s="25">
        <v>-0.39445048827573348</v>
      </c>
      <c r="N4612" s="26"/>
    </row>
    <row r="4613" spans="10:14" x14ac:dyDescent="0.25">
      <c r="J4613" s="25">
        <v>-0.28739133945915452</v>
      </c>
      <c r="N4613" s="26"/>
    </row>
    <row r="4614" spans="10:14" x14ac:dyDescent="0.25">
      <c r="J4614" s="25">
        <v>0.59205324192910025</v>
      </c>
      <c r="N4614" s="26"/>
    </row>
    <row r="4615" spans="10:14" x14ac:dyDescent="0.25">
      <c r="J4615" s="25">
        <v>0.71689429475388411</v>
      </c>
      <c r="N4615" s="26"/>
    </row>
    <row r="4616" spans="10:14" x14ac:dyDescent="0.25">
      <c r="J4616" s="25">
        <v>-8.1595966764982597E-2</v>
      </c>
      <c r="N4616" s="26"/>
    </row>
    <row r="4617" spans="10:14" x14ac:dyDescent="0.25">
      <c r="J4617" s="25">
        <v>-0.38447263907757845</v>
      </c>
      <c r="N4617" s="26"/>
    </row>
    <row r="4618" spans="10:14" x14ac:dyDescent="0.25">
      <c r="J4618" s="25">
        <v>-0.25726217406597396</v>
      </c>
      <c r="N4618" s="26"/>
    </row>
    <row r="4619" spans="10:14" x14ac:dyDescent="0.25">
      <c r="J4619" s="25">
        <v>-0.34520292600694868</v>
      </c>
      <c r="N4619" s="26"/>
    </row>
    <row r="4620" spans="10:14" x14ac:dyDescent="0.25">
      <c r="J4620" s="25">
        <v>0.3323637806393327</v>
      </c>
      <c r="N4620" s="26"/>
    </row>
    <row r="4621" spans="10:14" x14ac:dyDescent="0.25">
      <c r="J4621" s="25">
        <v>0.31980095149936671</v>
      </c>
      <c r="N4621" s="26"/>
    </row>
    <row r="4622" spans="10:14" x14ac:dyDescent="0.25">
      <c r="J4622" s="25">
        <v>4.8303548548842778E-2</v>
      </c>
      <c r="N4622" s="26"/>
    </row>
    <row r="4623" spans="10:14" x14ac:dyDescent="0.25">
      <c r="J4623" s="25">
        <v>0.18071124363606095</v>
      </c>
      <c r="N4623" s="26"/>
    </row>
    <row r="4624" spans="10:14" x14ac:dyDescent="0.25">
      <c r="J4624" s="25">
        <v>-1.57359029633104E-2</v>
      </c>
      <c r="N4624" s="26"/>
    </row>
    <row r="4625" spans="10:14" x14ac:dyDescent="0.25">
      <c r="J4625" s="25">
        <v>0.57425439701028891</v>
      </c>
      <c r="N4625" s="26"/>
    </row>
    <row r="4626" spans="10:14" x14ac:dyDescent="0.25">
      <c r="J4626" s="25">
        <v>0.68836476683556858</v>
      </c>
      <c r="N4626" s="26"/>
    </row>
    <row r="4627" spans="10:14" x14ac:dyDescent="0.25">
      <c r="J4627" s="25">
        <v>0.73453380115586464</v>
      </c>
      <c r="N4627" s="26"/>
    </row>
    <row r="4628" spans="10:14" x14ac:dyDescent="0.25">
      <c r="J4628" s="25">
        <v>-0.52905146636899425</v>
      </c>
      <c r="N4628" s="26"/>
    </row>
    <row r="4629" spans="10:14" x14ac:dyDescent="0.25">
      <c r="J4629" s="25">
        <v>0.41998411142364223</v>
      </c>
      <c r="N4629" s="26"/>
    </row>
    <row r="4630" spans="10:14" x14ac:dyDescent="0.25">
      <c r="J4630" s="25">
        <v>-0.3633682401040168</v>
      </c>
      <c r="N4630" s="26"/>
    </row>
    <row r="4631" spans="10:14" x14ac:dyDescent="0.25">
      <c r="J4631" s="25">
        <v>-0.37299530840355188</v>
      </c>
      <c r="N4631" s="26"/>
    </row>
    <row r="4632" spans="10:14" x14ac:dyDescent="0.25">
      <c r="J4632" s="25">
        <v>0.30631551353032571</v>
      </c>
      <c r="N4632" s="26"/>
    </row>
    <row r="4633" spans="10:14" x14ac:dyDescent="0.25">
      <c r="J4633" s="25">
        <v>-0.42471620532180943</v>
      </c>
      <c r="N4633" s="26"/>
    </row>
    <row r="4634" spans="10:14" x14ac:dyDescent="0.25">
      <c r="J4634" s="25">
        <v>-1.8010201325373343E-2</v>
      </c>
      <c r="N4634" s="26"/>
    </row>
    <row r="4635" spans="10:14" x14ac:dyDescent="0.25">
      <c r="J4635" s="25">
        <v>7.627132753205923E-2</v>
      </c>
      <c r="N4635" s="26"/>
    </row>
    <row r="4636" spans="10:14" x14ac:dyDescent="0.25">
      <c r="J4636" s="25">
        <v>0.58705830438899875</v>
      </c>
      <c r="N4636" s="26"/>
    </row>
    <row r="4637" spans="10:14" x14ac:dyDescent="0.25">
      <c r="J4637" s="25">
        <v>-0.29245383904179778</v>
      </c>
      <c r="N4637" s="26"/>
    </row>
    <row r="4638" spans="10:14" x14ac:dyDescent="0.25">
      <c r="J4638" s="25">
        <v>-0.38688263866782813</v>
      </c>
      <c r="N4638" s="26"/>
    </row>
    <row r="4639" spans="10:14" x14ac:dyDescent="0.25">
      <c r="J4639" s="25">
        <v>-0.23905677790848112</v>
      </c>
      <c r="N4639" s="26"/>
    </row>
    <row r="4640" spans="10:14" x14ac:dyDescent="0.25">
      <c r="J4640" s="25">
        <v>-0.11372235886869686</v>
      </c>
      <c r="N4640" s="26"/>
    </row>
    <row r="4641" spans="10:14" x14ac:dyDescent="0.25">
      <c r="J4641" s="25">
        <v>0.24847535501404616</v>
      </c>
      <c r="N4641" s="26"/>
    </row>
    <row r="4642" spans="10:14" x14ac:dyDescent="0.25">
      <c r="J4642" s="25">
        <v>1.7291934291959299E-2</v>
      </c>
      <c r="N4642" s="26"/>
    </row>
    <row r="4643" spans="10:14" x14ac:dyDescent="0.25">
      <c r="J4643" s="25">
        <v>-1.6928614710891243E-2</v>
      </c>
      <c r="N4643" s="26"/>
    </row>
    <row r="4644" spans="10:14" x14ac:dyDescent="0.25">
      <c r="J4644" s="25">
        <v>-0.21890461409697148</v>
      </c>
      <c r="N4644" s="26"/>
    </row>
    <row r="4645" spans="10:14" x14ac:dyDescent="0.25">
      <c r="J4645" s="25">
        <v>-1.105706014381258E-2</v>
      </c>
      <c r="N4645" s="26"/>
    </row>
    <row r="4646" spans="10:14" x14ac:dyDescent="0.25">
      <c r="J4646" s="25">
        <v>1.0207273401898753E-3</v>
      </c>
      <c r="N4646" s="26"/>
    </row>
    <row r="4647" spans="10:14" x14ac:dyDescent="0.25">
      <c r="J4647" s="25">
        <v>-0.40674932468575098</v>
      </c>
      <c r="N4647" s="26"/>
    </row>
    <row r="4648" spans="10:14" x14ac:dyDescent="0.25">
      <c r="J4648" s="25">
        <v>-0.4176240292215474</v>
      </c>
      <c r="N4648" s="26"/>
    </row>
    <row r="4649" spans="10:14" x14ac:dyDescent="0.25">
      <c r="J4649" s="25">
        <v>-4.3884871439262896E-2</v>
      </c>
      <c r="N4649" s="26"/>
    </row>
    <row r="4650" spans="10:14" x14ac:dyDescent="0.25">
      <c r="J4650" s="25">
        <v>0.66350041634397194</v>
      </c>
      <c r="N4650" s="26"/>
    </row>
    <row r="4651" spans="10:14" x14ac:dyDescent="0.25">
      <c r="J4651" s="25">
        <v>0.65358556461270023</v>
      </c>
      <c r="N4651" s="26"/>
    </row>
    <row r="4652" spans="10:14" x14ac:dyDescent="0.25">
      <c r="J4652" s="25">
        <v>0.20727647033734242</v>
      </c>
      <c r="N4652" s="26"/>
    </row>
    <row r="4653" spans="10:14" x14ac:dyDescent="0.25">
      <c r="J4653" s="25">
        <v>0.11663967020629351</v>
      </c>
      <c r="N4653" s="26"/>
    </row>
    <row r="4654" spans="10:14" x14ac:dyDescent="0.25">
      <c r="J4654" s="25">
        <v>-0.21636750664115467</v>
      </c>
      <c r="N4654" s="26"/>
    </row>
    <row r="4655" spans="10:14" x14ac:dyDescent="0.25">
      <c r="J4655" s="25">
        <v>0.22929037996187573</v>
      </c>
      <c r="N4655" s="26"/>
    </row>
    <row r="4656" spans="10:14" x14ac:dyDescent="0.25">
      <c r="J4656" s="25">
        <v>0.3642548050333716</v>
      </c>
      <c r="N4656" s="26"/>
    </row>
    <row r="4657" spans="10:14" x14ac:dyDescent="0.25">
      <c r="J4657" s="25">
        <v>-0.39432406281892918</v>
      </c>
      <c r="N4657" s="26"/>
    </row>
    <row r="4658" spans="10:14" x14ac:dyDescent="0.25">
      <c r="J4658" s="25">
        <v>-0.26749053744565088</v>
      </c>
      <c r="N4658" s="26"/>
    </row>
    <row r="4659" spans="10:14" x14ac:dyDescent="0.25">
      <c r="J4659" s="25">
        <v>0.62946848994520299</v>
      </c>
      <c r="N4659" s="26"/>
    </row>
    <row r="4660" spans="10:14" x14ac:dyDescent="0.25">
      <c r="J4660" s="25">
        <v>0.49426087582949685</v>
      </c>
      <c r="N4660" s="26"/>
    </row>
    <row r="4661" spans="10:14" x14ac:dyDescent="0.25">
      <c r="J4661" s="25">
        <v>-0.36553608376360092</v>
      </c>
      <c r="N4661" s="26"/>
    </row>
    <row r="4662" spans="10:14" x14ac:dyDescent="0.25">
      <c r="J4662" s="25">
        <v>-0.36298726004974335</v>
      </c>
      <c r="N4662" s="26"/>
    </row>
    <row r="4663" spans="10:14" x14ac:dyDescent="0.25">
      <c r="J4663" s="25">
        <v>-0.15176977589401663</v>
      </c>
      <c r="N4663" s="26"/>
    </row>
    <row r="4664" spans="10:14" x14ac:dyDescent="0.25">
      <c r="J4664" s="25">
        <v>-0.35731489797193994</v>
      </c>
      <c r="N4664" s="26"/>
    </row>
    <row r="4665" spans="10:14" x14ac:dyDescent="0.25">
      <c r="J4665" s="25">
        <v>-0.19453315495679846</v>
      </c>
      <c r="N4665" s="26"/>
    </row>
    <row r="4666" spans="10:14" x14ac:dyDescent="0.25">
      <c r="J4666" s="25">
        <v>-2.9382389893861882E-2</v>
      </c>
      <c r="N4666" s="26"/>
    </row>
    <row r="4667" spans="10:14" x14ac:dyDescent="0.25">
      <c r="J4667" s="25">
        <v>9.8186135686572307E-2</v>
      </c>
      <c r="N4667" s="26"/>
    </row>
    <row r="4668" spans="10:14" x14ac:dyDescent="0.25">
      <c r="J4668" s="25">
        <v>7.7319530460302044E-2</v>
      </c>
      <c r="N4668" s="26"/>
    </row>
    <row r="4669" spans="10:14" x14ac:dyDescent="0.25">
      <c r="J4669" s="25">
        <v>0.18094740793782282</v>
      </c>
      <c r="N4669" s="26"/>
    </row>
    <row r="4670" spans="10:14" x14ac:dyDescent="0.25">
      <c r="J4670" s="25">
        <v>-0.39522985895086105</v>
      </c>
      <c r="N4670" s="26"/>
    </row>
    <row r="4671" spans="10:14" x14ac:dyDescent="0.25">
      <c r="J4671" s="25">
        <v>-0.1464707467963825</v>
      </c>
      <c r="N4671" s="26"/>
    </row>
    <row r="4672" spans="10:14" x14ac:dyDescent="0.25">
      <c r="J4672" s="25">
        <v>-0.33675180561911788</v>
      </c>
      <c r="N4672" s="26"/>
    </row>
    <row r="4673" spans="10:14" x14ac:dyDescent="0.25">
      <c r="J4673" s="25">
        <v>0.36602295897729276</v>
      </c>
      <c r="N4673" s="26"/>
    </row>
    <row r="4674" spans="10:14" x14ac:dyDescent="0.25">
      <c r="J4674" s="25">
        <v>1.7444511083769987E-2</v>
      </c>
      <c r="N4674" s="26"/>
    </row>
    <row r="4675" spans="10:14" x14ac:dyDescent="0.25">
      <c r="J4675" s="25">
        <v>0.95904249052895318</v>
      </c>
      <c r="N4675" s="26"/>
    </row>
    <row r="4676" spans="10:14" x14ac:dyDescent="0.25">
      <c r="J4676" s="25">
        <v>0.18904069648714406</v>
      </c>
      <c r="N4676" s="26"/>
    </row>
    <row r="4677" spans="10:14" x14ac:dyDescent="0.25">
      <c r="J4677" s="25">
        <v>1.0404559668466455</v>
      </c>
      <c r="N4677" s="26"/>
    </row>
    <row r="4678" spans="10:14" x14ac:dyDescent="0.25">
      <c r="J4678" s="25">
        <v>-0.19968729273487829</v>
      </c>
      <c r="N4678" s="26"/>
    </row>
    <row r="4679" spans="10:14" x14ac:dyDescent="0.25">
      <c r="J4679" s="25">
        <v>-0.30533324389658034</v>
      </c>
      <c r="N4679" s="26"/>
    </row>
    <row r="4680" spans="10:14" x14ac:dyDescent="0.25">
      <c r="J4680" s="25">
        <v>-4.9031849404907457E-2</v>
      </c>
      <c r="N4680" s="26"/>
    </row>
    <row r="4681" spans="10:14" x14ac:dyDescent="0.25">
      <c r="J4681" s="25">
        <v>-0.125908265844899</v>
      </c>
      <c r="N4681" s="26"/>
    </row>
    <row r="4682" spans="10:14" x14ac:dyDescent="0.25">
      <c r="J4682" s="25">
        <v>-4.730981235570586E-2</v>
      </c>
      <c r="N4682" s="26"/>
    </row>
    <row r="4683" spans="10:14" x14ac:dyDescent="0.25">
      <c r="J4683" s="25">
        <v>0.73945815319532593</v>
      </c>
      <c r="N4683" s="26"/>
    </row>
    <row r="4684" spans="10:14" x14ac:dyDescent="0.25">
      <c r="J4684" s="25">
        <v>0.10113489765791761</v>
      </c>
      <c r="N4684" s="26"/>
    </row>
    <row r="4685" spans="10:14" x14ac:dyDescent="0.25">
      <c r="J4685" s="25">
        <v>0.64215733923978324</v>
      </c>
      <c r="N4685" s="26"/>
    </row>
    <row r="4686" spans="10:14" x14ac:dyDescent="0.25">
      <c r="J4686" s="25">
        <v>-0.28524973185551483</v>
      </c>
      <c r="N4686" s="26"/>
    </row>
    <row r="4687" spans="10:14" x14ac:dyDescent="0.25">
      <c r="J4687" s="25">
        <v>-4.40457187692187E-2</v>
      </c>
      <c r="N4687" s="26"/>
    </row>
    <row r="4688" spans="10:14" x14ac:dyDescent="0.25">
      <c r="J4688" s="25">
        <v>0.14493484559146941</v>
      </c>
      <c r="N4688" s="26"/>
    </row>
    <row r="4689" spans="10:14" x14ac:dyDescent="0.25">
      <c r="J4689" s="25">
        <v>-0.38025159599463854</v>
      </c>
      <c r="N4689" s="26"/>
    </row>
    <row r="4690" spans="10:14" x14ac:dyDescent="0.25">
      <c r="J4690" s="25">
        <v>-1.6021471881359162E-2</v>
      </c>
      <c r="N4690" s="26"/>
    </row>
    <row r="4691" spans="10:14" x14ac:dyDescent="0.25">
      <c r="J4691" s="25">
        <v>2.6692786031569549E-2</v>
      </c>
      <c r="N4691" s="26"/>
    </row>
    <row r="4692" spans="10:14" x14ac:dyDescent="0.25">
      <c r="J4692" s="25">
        <v>-0.38946606749149626</v>
      </c>
      <c r="N4692" s="26"/>
    </row>
    <row r="4693" spans="10:14" x14ac:dyDescent="0.25">
      <c r="J4693" s="25">
        <v>0.12522813683127731</v>
      </c>
      <c r="N4693" s="26"/>
    </row>
    <row r="4694" spans="10:14" x14ac:dyDescent="0.25">
      <c r="J4694" s="25">
        <v>5.5678750982920189E-2</v>
      </c>
      <c r="N4694" s="26"/>
    </row>
    <row r="4695" spans="10:14" x14ac:dyDescent="0.25">
      <c r="J4695" s="25">
        <v>0.1363198520868143</v>
      </c>
      <c r="N4695" s="26"/>
    </row>
    <row r="4696" spans="10:14" x14ac:dyDescent="0.25">
      <c r="J4696" s="25">
        <v>-0.34826567773504447</v>
      </c>
      <c r="N4696" s="26"/>
    </row>
    <row r="4697" spans="10:14" x14ac:dyDescent="0.25">
      <c r="J4697" s="25">
        <v>-0.42926418804070654</v>
      </c>
      <c r="N4697" s="26"/>
    </row>
    <row r="4698" spans="10:14" x14ac:dyDescent="0.25">
      <c r="J4698" s="25">
        <v>-0.33217303291065148</v>
      </c>
      <c r="N4698" s="26"/>
    </row>
    <row r="4699" spans="10:14" x14ac:dyDescent="0.25">
      <c r="J4699" s="25">
        <v>0.24377737314925318</v>
      </c>
      <c r="N4699" s="26"/>
    </row>
    <row r="4700" spans="10:14" x14ac:dyDescent="0.25">
      <c r="J4700" s="25">
        <v>7.1069280196898399E-2</v>
      </c>
      <c r="N4700" s="26"/>
    </row>
    <row r="4701" spans="10:14" x14ac:dyDescent="0.25">
      <c r="J4701" s="25">
        <v>-0.48664540001973655</v>
      </c>
      <c r="N4701" s="26"/>
    </row>
    <row r="4702" spans="10:14" x14ac:dyDescent="0.25">
      <c r="J4702" s="25">
        <v>5.4333568176114788E-3</v>
      </c>
      <c r="N4702" s="26"/>
    </row>
    <row r="4703" spans="10:14" x14ac:dyDescent="0.25">
      <c r="J4703" s="25">
        <v>1.6016075449049483E-2</v>
      </c>
      <c r="N4703" s="26"/>
    </row>
    <row r="4704" spans="10:14" x14ac:dyDescent="0.25">
      <c r="J4704" s="25">
        <v>-0.42540275111622095</v>
      </c>
      <c r="N4704" s="26"/>
    </row>
    <row r="4705" spans="10:14" x14ac:dyDescent="0.25">
      <c r="J4705" s="25">
        <v>0.59851204217634546</v>
      </c>
      <c r="N4705" s="26"/>
    </row>
    <row r="4706" spans="10:14" x14ac:dyDescent="0.25">
      <c r="J4706" s="25">
        <v>-0.1321346153688272</v>
      </c>
      <c r="N4706" s="26"/>
    </row>
    <row r="4707" spans="10:14" x14ac:dyDescent="0.25">
      <c r="J4707" s="25">
        <v>-0.46659839672468895</v>
      </c>
      <c r="N4707" s="26"/>
    </row>
    <row r="4708" spans="10:14" x14ac:dyDescent="0.25">
      <c r="J4708" s="25">
        <v>3.4778680350949998E-2</v>
      </c>
      <c r="N4708" s="26"/>
    </row>
    <row r="4709" spans="10:14" x14ac:dyDescent="0.25">
      <c r="J4709" s="25">
        <v>-2.3868346549083319E-2</v>
      </c>
      <c r="N4709" s="26"/>
    </row>
    <row r="4710" spans="10:14" x14ac:dyDescent="0.25">
      <c r="J4710" s="25">
        <v>-0.41287050525890978</v>
      </c>
      <c r="N4710" s="26"/>
    </row>
    <row r="4711" spans="10:14" x14ac:dyDescent="0.25">
      <c r="J4711" s="25">
        <v>-0.27446171555271248</v>
      </c>
      <c r="N4711" s="26"/>
    </row>
    <row r="4712" spans="10:14" x14ac:dyDescent="0.25">
      <c r="J4712" s="25">
        <v>0.49459947438874452</v>
      </c>
      <c r="N4712" s="26"/>
    </row>
    <row r="4713" spans="10:14" x14ac:dyDescent="0.25">
      <c r="J4713" s="25">
        <v>-0.16096371809752774</v>
      </c>
      <c r="N4713" s="26"/>
    </row>
    <row r="4714" spans="10:14" x14ac:dyDescent="0.25">
      <c r="J4714" s="25">
        <v>-0.2212207660534774</v>
      </c>
      <c r="N4714" s="26"/>
    </row>
    <row r="4715" spans="10:14" x14ac:dyDescent="0.25">
      <c r="J4715" s="25">
        <v>0.1534019481979676</v>
      </c>
      <c r="N4715" s="26"/>
    </row>
    <row r="4716" spans="10:14" x14ac:dyDescent="0.25">
      <c r="J4716" s="25">
        <v>-0.29333972567618505</v>
      </c>
      <c r="N4716" s="26"/>
    </row>
    <row r="4717" spans="10:14" x14ac:dyDescent="0.25">
      <c r="J4717" s="25">
        <v>-7.9624650386488249E-2</v>
      </c>
      <c r="N4717" s="26"/>
    </row>
    <row r="4718" spans="10:14" x14ac:dyDescent="0.25">
      <c r="J4718" s="25">
        <v>-7.9730410741991387E-2</v>
      </c>
      <c r="N4718" s="26"/>
    </row>
    <row r="4719" spans="10:14" x14ac:dyDescent="0.25">
      <c r="J4719" s="25">
        <v>-0.15231883769247301</v>
      </c>
      <c r="N4719" s="26"/>
    </row>
    <row r="4720" spans="10:14" x14ac:dyDescent="0.25">
      <c r="J4720" s="25">
        <v>1.0808899248159753</v>
      </c>
      <c r="N4720" s="26"/>
    </row>
    <row r="4721" spans="10:14" x14ac:dyDescent="0.25">
      <c r="J4721" s="25">
        <v>0.69627604455424219</v>
      </c>
      <c r="N4721" s="26"/>
    </row>
    <row r="4722" spans="10:14" x14ac:dyDescent="0.25">
      <c r="J4722" s="25">
        <v>0.30109497053758116</v>
      </c>
      <c r="N4722" s="26"/>
    </row>
    <row r="4723" spans="10:14" x14ac:dyDescent="0.25">
      <c r="J4723" s="25">
        <v>4.637890826727431E-2</v>
      </c>
      <c r="N4723" s="26"/>
    </row>
    <row r="4724" spans="10:14" x14ac:dyDescent="0.25">
      <c r="J4724" s="25">
        <v>-0.36752415223576296</v>
      </c>
      <c r="N4724" s="26"/>
    </row>
    <row r="4725" spans="10:14" x14ac:dyDescent="0.25">
      <c r="J4725" s="25">
        <v>7.144833639954018E-2</v>
      </c>
      <c r="N4725" s="26"/>
    </row>
    <row r="4726" spans="10:14" x14ac:dyDescent="0.25">
      <c r="J4726" s="25">
        <v>-6.4110878197648491E-2</v>
      </c>
      <c r="N4726" s="26"/>
    </row>
    <row r="4727" spans="10:14" x14ac:dyDescent="0.25">
      <c r="J4727" s="25">
        <v>0.19566305432583442</v>
      </c>
      <c r="N4727" s="26"/>
    </row>
    <row r="4728" spans="10:14" x14ac:dyDescent="0.25">
      <c r="J4728" s="25">
        <v>-0.11137878294094172</v>
      </c>
      <c r="N4728" s="26"/>
    </row>
    <row r="4729" spans="10:14" x14ac:dyDescent="0.25">
      <c r="J4729" s="25">
        <v>0.65309109043871971</v>
      </c>
      <c r="N4729" s="26"/>
    </row>
    <row r="4730" spans="10:14" x14ac:dyDescent="0.25">
      <c r="J4730" s="25">
        <v>-0.29030221840667059</v>
      </c>
      <c r="N4730" s="26"/>
    </row>
    <row r="4731" spans="10:14" x14ac:dyDescent="0.25">
      <c r="J4731" s="25">
        <v>-0.29019477743666688</v>
      </c>
      <c r="N4731" s="26"/>
    </row>
    <row r="4732" spans="10:14" x14ac:dyDescent="0.25">
      <c r="J4732" s="25">
        <v>-0.39687967791400902</v>
      </c>
      <c r="N4732" s="26"/>
    </row>
    <row r="4733" spans="10:14" x14ac:dyDescent="0.25">
      <c r="J4733" s="25">
        <v>0.35627696792261987</v>
      </c>
      <c r="N4733" s="26"/>
    </row>
    <row r="4734" spans="10:14" x14ac:dyDescent="0.25">
      <c r="J4734" s="25">
        <v>-0.10870658577130121</v>
      </c>
      <c r="N4734" s="26"/>
    </row>
    <row r="4735" spans="10:14" x14ac:dyDescent="0.25">
      <c r="J4735" s="25">
        <v>0.58646222489958877</v>
      </c>
      <c r="N4735" s="26"/>
    </row>
    <row r="4736" spans="10:14" x14ac:dyDescent="0.25">
      <c r="J4736" s="25">
        <v>0.1667507466572522</v>
      </c>
      <c r="N4736" s="26"/>
    </row>
    <row r="4737" spans="10:14" x14ac:dyDescent="0.25">
      <c r="J4737" s="25">
        <v>0.19206190261786893</v>
      </c>
      <c r="N4737" s="26"/>
    </row>
    <row r="4738" spans="10:14" x14ac:dyDescent="0.25">
      <c r="J4738" s="25">
        <v>7.2139984189068862E-2</v>
      </c>
      <c r="N4738" s="26"/>
    </row>
    <row r="4739" spans="10:14" x14ac:dyDescent="0.25">
      <c r="J4739" s="25">
        <v>0.13619851572869135</v>
      </c>
      <c r="N4739" s="26"/>
    </row>
    <row r="4740" spans="10:14" x14ac:dyDescent="0.25">
      <c r="J4740" s="25">
        <v>-8.1926759595912557E-2</v>
      </c>
      <c r="N4740" s="26"/>
    </row>
    <row r="4741" spans="10:14" x14ac:dyDescent="0.25">
      <c r="J4741" s="25">
        <v>0.81568626257451937</v>
      </c>
      <c r="N4741" s="26"/>
    </row>
    <row r="4742" spans="10:14" x14ac:dyDescent="0.25">
      <c r="J4742" s="25">
        <v>6.8303533639015646E-2</v>
      </c>
      <c r="N4742" s="26"/>
    </row>
    <row r="4743" spans="10:14" x14ac:dyDescent="0.25">
      <c r="J4743" s="25">
        <v>2.3755490266561097E-2</v>
      </c>
      <c r="N4743" s="26"/>
    </row>
    <row r="4744" spans="10:14" x14ac:dyDescent="0.25">
      <c r="J4744" s="25">
        <v>-0.17929849129616227</v>
      </c>
      <c r="N4744" s="26"/>
    </row>
    <row r="4745" spans="10:14" x14ac:dyDescent="0.25">
      <c r="J4745" s="25">
        <v>-4.491532717489688E-2</v>
      </c>
      <c r="N4745" s="26"/>
    </row>
    <row r="4746" spans="10:14" x14ac:dyDescent="0.25">
      <c r="J4746" s="25">
        <v>-0.3552220031443889</v>
      </c>
      <c r="N4746" s="26"/>
    </row>
    <row r="4747" spans="10:14" x14ac:dyDescent="0.25">
      <c r="J4747" s="25">
        <v>-0.29046424912878543</v>
      </c>
      <c r="N4747" s="26"/>
    </row>
    <row r="4748" spans="10:14" x14ac:dyDescent="0.25">
      <c r="J4748" s="25">
        <v>0.73378046569419086</v>
      </c>
      <c r="N4748" s="26"/>
    </row>
    <row r="4749" spans="10:14" x14ac:dyDescent="0.25">
      <c r="J4749" s="25">
        <v>-0.20778292309049606</v>
      </c>
      <c r="N4749" s="26"/>
    </row>
    <row r="4750" spans="10:14" x14ac:dyDescent="0.25">
      <c r="J4750" s="25">
        <v>0.54741487083420748</v>
      </c>
      <c r="N4750" s="26"/>
    </row>
    <row r="4751" spans="10:14" x14ac:dyDescent="0.25">
      <c r="J4751" s="25">
        <v>0.56947720338605512</v>
      </c>
      <c r="N4751" s="26"/>
    </row>
    <row r="4752" spans="10:14" x14ac:dyDescent="0.25">
      <c r="J4752" s="25">
        <v>-7.5581396526469447E-2</v>
      </c>
      <c r="N4752" s="26"/>
    </row>
    <row r="4753" spans="10:14" x14ac:dyDescent="0.25">
      <c r="J4753" s="25">
        <v>0.1856930228694087</v>
      </c>
      <c r="N4753" s="26"/>
    </row>
    <row r="4754" spans="10:14" x14ac:dyDescent="0.25">
      <c r="J4754" s="25">
        <v>0.93201801813709073</v>
      </c>
      <c r="N4754" s="26"/>
    </row>
    <row r="4755" spans="10:14" x14ac:dyDescent="0.25">
      <c r="J4755" s="25">
        <v>-0.11836559875094399</v>
      </c>
      <c r="N4755" s="26"/>
    </row>
    <row r="4756" spans="10:14" x14ac:dyDescent="0.25">
      <c r="J4756" s="25">
        <v>-0.18163774447950687</v>
      </c>
      <c r="N4756" s="26"/>
    </row>
    <row r="4757" spans="10:14" x14ac:dyDescent="0.25">
      <c r="J4757" s="25">
        <v>0.65410213622239444</v>
      </c>
      <c r="N4757" s="26"/>
    </row>
    <row r="4758" spans="10:14" x14ac:dyDescent="0.25">
      <c r="J4758" s="25">
        <v>-0.32393582859607428</v>
      </c>
      <c r="N4758" s="26"/>
    </row>
    <row r="4759" spans="10:14" x14ac:dyDescent="0.25">
      <c r="J4759" s="25">
        <v>3.4360954247598219E-2</v>
      </c>
      <c r="N4759" s="26"/>
    </row>
    <row r="4760" spans="10:14" x14ac:dyDescent="0.25">
      <c r="J4760" s="25">
        <v>0.24171159219971794</v>
      </c>
      <c r="N4760" s="26"/>
    </row>
    <row r="4761" spans="10:14" x14ac:dyDescent="0.25">
      <c r="J4761" s="25">
        <v>0.16787293848751128</v>
      </c>
      <c r="N4761" s="26"/>
    </row>
    <row r="4762" spans="10:14" x14ac:dyDescent="0.25">
      <c r="J4762" s="25">
        <v>-0.30963704285453408</v>
      </c>
      <c r="N4762" s="26"/>
    </row>
    <row r="4763" spans="10:14" x14ac:dyDescent="0.25">
      <c r="J4763" s="25">
        <v>0.64684338781185269</v>
      </c>
      <c r="N4763" s="26"/>
    </row>
    <row r="4764" spans="10:14" x14ac:dyDescent="0.25">
      <c r="J4764" s="25">
        <v>-0.44686402069328013</v>
      </c>
      <c r="N4764" s="26"/>
    </row>
    <row r="4765" spans="10:14" x14ac:dyDescent="0.25">
      <c r="J4765" s="25">
        <v>-0.24474458962559853</v>
      </c>
      <c r="N4765" s="26"/>
    </row>
    <row r="4766" spans="10:14" x14ac:dyDescent="0.25">
      <c r="J4766" s="25">
        <v>0.23040773597232866</v>
      </c>
      <c r="N4766" s="26"/>
    </row>
    <row r="4767" spans="10:14" x14ac:dyDescent="0.25">
      <c r="J4767" s="25">
        <v>1.0857726082212951</v>
      </c>
      <c r="N4767" s="26"/>
    </row>
    <row r="4768" spans="10:14" x14ac:dyDescent="0.25">
      <c r="J4768" s="25">
        <v>0.56500976812605996</v>
      </c>
      <c r="N4768" s="26"/>
    </row>
    <row r="4769" spans="10:14" x14ac:dyDescent="0.25">
      <c r="J4769" s="25">
        <v>0.65960271957196204</v>
      </c>
      <c r="N4769" s="26"/>
    </row>
    <row r="4770" spans="10:14" x14ac:dyDescent="0.25">
      <c r="J4770" s="25">
        <v>-0.13721477439077812</v>
      </c>
      <c r="N4770" s="26"/>
    </row>
    <row r="4771" spans="10:14" x14ac:dyDescent="0.25">
      <c r="J4771" s="25">
        <v>-0.19785732383500532</v>
      </c>
      <c r="N4771" s="26"/>
    </row>
    <row r="4772" spans="10:14" x14ac:dyDescent="0.25">
      <c r="J4772" s="25">
        <v>-0.11579454090716035</v>
      </c>
      <c r="N4772" s="26"/>
    </row>
    <row r="4773" spans="10:14" x14ac:dyDescent="0.25">
      <c r="J4773" s="25">
        <v>-0.23000868576372302</v>
      </c>
      <c r="N4773" s="26"/>
    </row>
    <row r="4774" spans="10:14" x14ac:dyDescent="0.25">
      <c r="J4774" s="25">
        <v>0.87091841803416603</v>
      </c>
      <c r="N4774" s="26"/>
    </row>
    <row r="4775" spans="10:14" x14ac:dyDescent="0.25">
      <c r="J4775" s="25">
        <v>-0.40075279241713802</v>
      </c>
      <c r="N4775" s="26"/>
    </row>
    <row r="4776" spans="10:14" x14ac:dyDescent="0.25">
      <c r="J4776" s="25">
        <v>0.47450029414249051</v>
      </c>
      <c r="N4776" s="26"/>
    </row>
    <row r="4777" spans="10:14" x14ac:dyDescent="0.25">
      <c r="J4777" s="25">
        <v>-0.2930501051261355</v>
      </c>
      <c r="N4777" s="26"/>
    </row>
    <row r="4778" spans="10:14" x14ac:dyDescent="0.25">
      <c r="J4778" s="25">
        <v>-0.36633832953192536</v>
      </c>
      <c r="N4778" s="26"/>
    </row>
    <row r="4779" spans="10:14" x14ac:dyDescent="0.25">
      <c r="J4779" s="25">
        <v>7.4101037817891013E-2</v>
      </c>
      <c r="N4779" s="26"/>
    </row>
    <row r="4780" spans="10:14" x14ac:dyDescent="0.25">
      <c r="J4780" s="25">
        <v>-0.40560040131099506</v>
      </c>
      <c r="N4780" s="26"/>
    </row>
    <row r="4781" spans="10:14" x14ac:dyDescent="0.25">
      <c r="J4781" s="25">
        <v>0.76761871776478841</v>
      </c>
      <c r="N4781" s="26"/>
    </row>
    <row r="4782" spans="10:14" x14ac:dyDescent="0.25">
      <c r="J4782" s="25">
        <v>0.585805928691429</v>
      </c>
      <c r="N4782" s="26"/>
    </row>
    <row r="4783" spans="10:14" x14ac:dyDescent="0.25">
      <c r="J4783" s="25">
        <v>0.30018890367477935</v>
      </c>
      <c r="N4783" s="26"/>
    </row>
    <row r="4784" spans="10:14" x14ac:dyDescent="0.25">
      <c r="J4784" s="25">
        <v>-0.31519995694113268</v>
      </c>
      <c r="N4784" s="26"/>
    </row>
    <row r="4785" spans="10:14" x14ac:dyDescent="0.25">
      <c r="J4785" s="25">
        <v>-0.42121804815857489</v>
      </c>
      <c r="N4785" s="26"/>
    </row>
    <row r="4786" spans="10:14" x14ac:dyDescent="0.25">
      <c r="J4786" s="25">
        <v>0.14925881158579601</v>
      </c>
      <c r="N4786" s="26"/>
    </row>
    <row r="4787" spans="10:14" x14ac:dyDescent="0.25">
      <c r="J4787" s="25">
        <v>0.48746583209371019</v>
      </c>
      <c r="N4787" s="26"/>
    </row>
    <row r="4788" spans="10:14" x14ac:dyDescent="0.25">
      <c r="J4788" s="25">
        <v>7.3206708965501521E-2</v>
      </c>
      <c r="N4788" s="26"/>
    </row>
    <row r="4789" spans="10:14" x14ac:dyDescent="0.25">
      <c r="J4789" s="25">
        <v>1.0472950618544847</v>
      </c>
      <c r="N4789" s="26"/>
    </row>
    <row r="4790" spans="10:14" x14ac:dyDescent="0.25">
      <c r="J4790" s="25">
        <v>0.752717419650625</v>
      </c>
      <c r="N4790" s="26"/>
    </row>
    <row r="4791" spans="10:14" x14ac:dyDescent="0.25">
      <c r="J4791" s="25">
        <v>0.55929950935186445</v>
      </c>
      <c r="N4791" s="26"/>
    </row>
    <row r="4792" spans="10:14" x14ac:dyDescent="0.25">
      <c r="J4792" s="25">
        <v>0.64796580338225707</v>
      </c>
      <c r="N4792" s="26"/>
    </row>
    <row r="4793" spans="10:14" x14ac:dyDescent="0.25">
      <c r="J4793" s="25">
        <v>-0.22513947841197035</v>
      </c>
      <c r="N4793" s="26"/>
    </row>
    <row r="4794" spans="10:14" x14ac:dyDescent="0.25">
      <c r="J4794" s="25">
        <v>0.45239665258396444</v>
      </c>
      <c r="N4794" s="26"/>
    </row>
    <row r="4795" spans="10:14" x14ac:dyDescent="0.25">
      <c r="J4795" s="25">
        <v>-0.24116959687418382</v>
      </c>
      <c r="N4795" s="26"/>
    </row>
    <row r="4796" spans="10:14" x14ac:dyDescent="0.25">
      <c r="J4796" s="25">
        <v>1.0538642415907282</v>
      </c>
      <c r="N4796" s="26"/>
    </row>
    <row r="4797" spans="10:14" x14ac:dyDescent="0.25">
      <c r="J4797" s="25">
        <v>-0.1928271074213822</v>
      </c>
      <c r="N4797" s="26"/>
    </row>
    <row r="4798" spans="10:14" x14ac:dyDescent="0.25">
      <c r="J4798" s="25">
        <v>3.488312026822693E-2</v>
      </c>
      <c r="N4798" s="26"/>
    </row>
    <row r="4799" spans="10:14" x14ac:dyDescent="0.25">
      <c r="J4799" s="25">
        <v>0.21413600905427765</v>
      </c>
      <c r="N4799" s="26"/>
    </row>
    <row r="4800" spans="10:14" x14ac:dyDescent="0.25">
      <c r="J4800" s="25">
        <v>0.40585434316659375</v>
      </c>
      <c r="N4800" s="26"/>
    </row>
    <row r="4801" spans="10:14" x14ac:dyDescent="0.25">
      <c r="J4801" s="25">
        <v>0.23256365993183281</v>
      </c>
      <c r="N4801" s="26"/>
    </row>
    <row r="4802" spans="10:14" x14ac:dyDescent="0.25">
      <c r="J4802" s="25">
        <v>-0.48083333196510003</v>
      </c>
      <c r="N4802" s="26"/>
    </row>
    <row r="4803" spans="10:14" x14ac:dyDescent="0.25">
      <c r="J4803" s="25">
        <v>-0.43586611213554782</v>
      </c>
      <c r="N4803" s="26"/>
    </row>
    <row r="4804" spans="10:14" x14ac:dyDescent="0.25">
      <c r="J4804" s="25">
        <v>-0.45615363029155098</v>
      </c>
      <c r="N4804" s="26"/>
    </row>
    <row r="4805" spans="10:14" x14ac:dyDescent="0.25">
      <c r="J4805" s="25">
        <v>0.31940748694645493</v>
      </c>
      <c r="N4805" s="26"/>
    </row>
    <row r="4806" spans="10:14" x14ac:dyDescent="0.25">
      <c r="J4806" s="25">
        <v>-0.22322113125408571</v>
      </c>
      <c r="N4806" s="26"/>
    </row>
    <row r="4807" spans="10:14" x14ac:dyDescent="0.25">
      <c r="J4807" s="25">
        <v>-0.20612572732063261</v>
      </c>
      <c r="N4807" s="26"/>
    </row>
    <row r="4808" spans="10:14" x14ac:dyDescent="0.25">
      <c r="J4808" s="25">
        <v>-7.78879312048808E-3</v>
      </c>
      <c r="N4808" s="26"/>
    </row>
    <row r="4809" spans="10:14" x14ac:dyDescent="0.25">
      <c r="J4809" s="25">
        <v>-0.15151104354440459</v>
      </c>
      <c r="N4809" s="26"/>
    </row>
    <row r="4810" spans="10:14" x14ac:dyDescent="0.25">
      <c r="J4810" s="25">
        <v>-0.25669571658094303</v>
      </c>
      <c r="N4810" s="26"/>
    </row>
    <row r="4811" spans="10:14" x14ac:dyDescent="0.25">
      <c r="J4811" s="25">
        <v>-0.41309786099984613</v>
      </c>
      <c r="N4811" s="26"/>
    </row>
    <row r="4812" spans="10:14" x14ac:dyDescent="0.25">
      <c r="J4812" s="25">
        <v>0.38196168142510634</v>
      </c>
      <c r="N4812" s="26"/>
    </row>
    <row r="4813" spans="10:14" x14ac:dyDescent="0.25">
      <c r="J4813" s="25">
        <v>-4.9940497287777497E-2</v>
      </c>
      <c r="N4813" s="26"/>
    </row>
    <row r="4814" spans="10:14" x14ac:dyDescent="0.25">
      <c r="J4814" s="25">
        <v>-0.19226550836367629</v>
      </c>
      <c r="N4814" s="26"/>
    </row>
    <row r="4815" spans="10:14" x14ac:dyDescent="0.25">
      <c r="J4815" s="25">
        <v>-0.22248090541362686</v>
      </c>
      <c r="N4815" s="26"/>
    </row>
    <row r="4816" spans="10:14" x14ac:dyDescent="0.25">
      <c r="J4816" s="25">
        <v>0.23011257373084426</v>
      </c>
      <c r="N4816" s="26"/>
    </row>
    <row r="4817" spans="10:14" x14ac:dyDescent="0.25">
      <c r="J4817" s="25">
        <v>1.5178161093046594E-2</v>
      </c>
      <c r="N4817" s="26"/>
    </row>
    <row r="4818" spans="10:14" x14ac:dyDescent="0.25">
      <c r="J4818" s="25">
        <v>0.29301986568711591</v>
      </c>
      <c r="N4818" s="26"/>
    </row>
    <row r="4819" spans="10:14" x14ac:dyDescent="0.25">
      <c r="J4819" s="25">
        <v>-0.1135764138115769</v>
      </c>
      <c r="N4819" s="26"/>
    </row>
    <row r="4820" spans="10:14" x14ac:dyDescent="0.25">
      <c r="J4820" s="25">
        <v>0.51931648784313866</v>
      </c>
      <c r="N4820" s="26"/>
    </row>
    <row r="4821" spans="10:14" x14ac:dyDescent="0.25">
      <c r="J4821" s="25">
        <v>-0.22700606752460184</v>
      </c>
      <c r="N4821" s="26"/>
    </row>
    <row r="4822" spans="10:14" x14ac:dyDescent="0.25">
      <c r="J4822" s="25">
        <v>0.18957393994249716</v>
      </c>
      <c r="N4822" s="26"/>
    </row>
    <row r="4823" spans="10:14" x14ac:dyDescent="0.25">
      <c r="J4823" s="25">
        <v>-0.26974609864228349</v>
      </c>
      <c r="N4823" s="26"/>
    </row>
    <row r="4824" spans="10:14" x14ac:dyDescent="0.25">
      <c r="J4824" s="25">
        <v>-0.35958841207140602</v>
      </c>
      <c r="N4824" s="26"/>
    </row>
    <row r="4825" spans="10:14" x14ac:dyDescent="0.25">
      <c r="J4825" s="25">
        <v>5.4778528200342347E-2</v>
      </c>
      <c r="N4825" s="26"/>
    </row>
    <row r="4826" spans="10:14" x14ac:dyDescent="0.25">
      <c r="J4826" s="25">
        <v>0.45133994875141448</v>
      </c>
      <c r="N4826" s="26"/>
    </row>
    <row r="4827" spans="10:14" x14ac:dyDescent="0.25">
      <c r="J4827" s="25">
        <v>-0.1035716297463708</v>
      </c>
      <c r="N4827" s="26"/>
    </row>
    <row r="4828" spans="10:14" x14ac:dyDescent="0.25">
      <c r="J4828" s="25">
        <v>-2.2915449807662469E-2</v>
      </c>
      <c r="N4828" s="26"/>
    </row>
    <row r="4829" spans="10:14" x14ac:dyDescent="0.25">
      <c r="J4829" s="25">
        <v>-0.31279678268630862</v>
      </c>
      <c r="N4829" s="26"/>
    </row>
    <row r="4830" spans="10:14" x14ac:dyDescent="0.25">
      <c r="J4830" s="25">
        <v>-9.474171394542652E-3</v>
      </c>
      <c r="N4830" s="26"/>
    </row>
    <row r="4831" spans="10:14" x14ac:dyDescent="0.25">
      <c r="J4831" s="25">
        <v>0.6250477595786379</v>
      </c>
      <c r="N4831" s="26"/>
    </row>
    <row r="4832" spans="10:14" x14ac:dyDescent="0.25">
      <c r="J4832" s="25">
        <v>-0.35345439120956468</v>
      </c>
      <c r="N4832" s="26"/>
    </row>
    <row r="4833" spans="10:14" x14ac:dyDescent="0.25">
      <c r="J4833" s="25">
        <v>0.34666272353216865</v>
      </c>
      <c r="N4833" s="26"/>
    </row>
    <row r="4834" spans="10:14" x14ac:dyDescent="0.25">
      <c r="J4834" s="25">
        <v>-0.31204638247893968</v>
      </c>
      <c r="N4834" s="26"/>
    </row>
    <row r="4835" spans="10:14" x14ac:dyDescent="0.25">
      <c r="J4835" s="25">
        <v>-0.36678311036740152</v>
      </c>
      <c r="N4835" s="26"/>
    </row>
    <row r="4836" spans="10:14" x14ac:dyDescent="0.25">
      <c r="J4836" s="25">
        <v>0.21901456685500698</v>
      </c>
      <c r="N4836" s="26"/>
    </row>
    <row r="4837" spans="10:14" x14ac:dyDescent="0.25">
      <c r="J4837" s="25">
        <v>-0.39963572075354536</v>
      </c>
      <c r="N4837" s="26"/>
    </row>
    <row r="4838" spans="10:14" x14ac:dyDescent="0.25">
      <c r="J4838" s="25">
        <v>-0.24948604549925557</v>
      </c>
      <c r="N4838" s="26"/>
    </row>
    <row r="4839" spans="10:14" x14ac:dyDescent="0.25">
      <c r="J4839" s="25">
        <v>-1.6858663441661981E-2</v>
      </c>
      <c r="N4839" s="26"/>
    </row>
    <row r="4840" spans="10:14" x14ac:dyDescent="0.25">
      <c r="J4840" s="25">
        <v>0.55515102166736852</v>
      </c>
      <c r="N4840" s="26"/>
    </row>
    <row r="4841" spans="10:14" x14ac:dyDescent="0.25">
      <c r="J4841" s="25">
        <v>0.17811988238893783</v>
      </c>
      <c r="N4841" s="26"/>
    </row>
    <row r="4842" spans="10:14" x14ac:dyDescent="0.25">
      <c r="J4842" s="25">
        <v>-0.34550469856266253</v>
      </c>
      <c r="N4842" s="26"/>
    </row>
    <row r="4843" spans="10:14" x14ac:dyDescent="0.25">
      <c r="J4843" s="25">
        <v>0.57154272825204688</v>
      </c>
      <c r="N4843" s="26"/>
    </row>
    <row r="4844" spans="10:14" x14ac:dyDescent="0.25">
      <c r="J4844" s="25">
        <v>-0.28682998001338955</v>
      </c>
      <c r="N4844" s="26"/>
    </row>
    <row r="4845" spans="10:14" x14ac:dyDescent="0.25">
      <c r="J4845" s="25">
        <v>-0.31683425869040283</v>
      </c>
      <c r="N4845" s="26"/>
    </row>
    <row r="4846" spans="10:14" x14ac:dyDescent="0.25">
      <c r="J4846" s="25">
        <v>-0.49538190679657956</v>
      </c>
      <c r="N4846" s="26"/>
    </row>
    <row r="4847" spans="10:14" x14ac:dyDescent="0.25">
      <c r="J4847" s="25">
        <v>0.33306283298893136</v>
      </c>
      <c r="N4847" s="26"/>
    </row>
    <row r="4848" spans="10:14" x14ac:dyDescent="0.25">
      <c r="J4848" s="25">
        <v>2.1906833816431437E-2</v>
      </c>
      <c r="N4848" s="26"/>
    </row>
    <row r="4849" spans="10:14" x14ac:dyDescent="0.25">
      <c r="J4849" s="25">
        <v>0.56487461468047551</v>
      </c>
      <c r="N4849" s="26"/>
    </row>
    <row r="4850" spans="10:14" x14ac:dyDescent="0.25">
      <c r="J4850" s="25">
        <v>-0.15283190799472102</v>
      </c>
      <c r="N4850" s="26"/>
    </row>
    <row r="4851" spans="10:14" x14ac:dyDescent="0.25">
      <c r="J4851" s="25">
        <v>-2.6789476081350516E-2</v>
      </c>
      <c r="N4851" s="26"/>
    </row>
    <row r="4852" spans="10:14" x14ac:dyDescent="0.25">
      <c r="J4852" s="25">
        <v>-8.1670942132224811E-2</v>
      </c>
      <c r="N4852" s="26"/>
    </row>
    <row r="4853" spans="10:14" x14ac:dyDescent="0.25">
      <c r="J4853" s="25">
        <v>0.17628228638166621</v>
      </c>
      <c r="N4853" s="26"/>
    </row>
    <row r="4854" spans="10:14" x14ac:dyDescent="0.25">
      <c r="J4854" s="25">
        <v>1.8006624542768579E-2</v>
      </c>
      <c r="N4854" s="26"/>
    </row>
    <row r="4855" spans="10:14" x14ac:dyDescent="0.25">
      <c r="J4855" s="25">
        <v>-0.29967560227926682</v>
      </c>
      <c r="N4855" s="26"/>
    </row>
    <row r="4856" spans="10:14" x14ac:dyDescent="0.25">
      <c r="J4856" s="25">
        <v>-1.8677539686838163E-2</v>
      </c>
      <c r="N4856" s="26"/>
    </row>
    <row r="4857" spans="10:14" x14ac:dyDescent="0.25">
      <c r="J4857" s="25">
        <v>8.5590327641074548E-2</v>
      </c>
      <c r="N4857" s="26"/>
    </row>
    <row r="4858" spans="10:14" x14ac:dyDescent="0.25">
      <c r="J4858" s="25">
        <v>0.62488920994020702</v>
      </c>
      <c r="N4858" s="26"/>
    </row>
    <row r="4859" spans="10:14" x14ac:dyDescent="0.25">
      <c r="J4859" s="25">
        <v>9.7247478259310904E-2</v>
      </c>
      <c r="N4859" s="26"/>
    </row>
    <row r="4860" spans="10:14" x14ac:dyDescent="0.25">
      <c r="J4860" s="25">
        <v>-0.45297372550243675</v>
      </c>
      <c r="N4860" s="26"/>
    </row>
    <row r="4861" spans="10:14" x14ac:dyDescent="0.25">
      <c r="J4861" s="25">
        <v>-0.45131973179075602</v>
      </c>
      <c r="N4861" s="26"/>
    </row>
    <row r="4862" spans="10:14" x14ac:dyDescent="0.25">
      <c r="J4862" s="25">
        <v>-0.21942952388266912</v>
      </c>
      <c r="N4862" s="26"/>
    </row>
    <row r="4863" spans="10:14" x14ac:dyDescent="0.25">
      <c r="J4863" s="25">
        <v>0.69047344220552853</v>
      </c>
      <c r="N4863" s="26"/>
    </row>
    <row r="4864" spans="10:14" x14ac:dyDescent="0.25">
      <c r="J4864" s="25">
        <v>0.16246882789031014</v>
      </c>
      <c r="N4864" s="26"/>
    </row>
    <row r="4865" spans="10:14" x14ac:dyDescent="0.25">
      <c r="J4865" s="25">
        <v>-0.36598786923344251</v>
      </c>
      <c r="N4865" s="26"/>
    </row>
    <row r="4866" spans="10:14" x14ac:dyDescent="0.25">
      <c r="J4866" s="25">
        <v>-3.9334698621751207E-2</v>
      </c>
      <c r="N4866" s="26"/>
    </row>
    <row r="4867" spans="10:14" x14ac:dyDescent="0.25">
      <c r="J4867" s="25">
        <v>-0.48198163843332142</v>
      </c>
      <c r="N4867" s="26"/>
    </row>
    <row r="4868" spans="10:14" x14ac:dyDescent="0.25">
      <c r="J4868" s="25">
        <v>-0.53331629045057061</v>
      </c>
      <c r="N4868" s="26"/>
    </row>
    <row r="4869" spans="10:14" x14ac:dyDescent="0.25">
      <c r="J4869" s="25">
        <v>-0.36974604309947412</v>
      </c>
      <c r="N4869" s="26"/>
    </row>
    <row r="4870" spans="10:14" x14ac:dyDescent="0.25">
      <c r="J4870" s="25">
        <v>0.5616723087245159</v>
      </c>
      <c r="N4870" s="26"/>
    </row>
    <row r="4871" spans="10:14" x14ac:dyDescent="0.25">
      <c r="J4871" s="25">
        <v>0.40124716924141524</v>
      </c>
      <c r="N4871" s="26"/>
    </row>
    <row r="4872" spans="10:14" x14ac:dyDescent="0.25">
      <c r="J4872" s="25">
        <v>0.59011821546431054</v>
      </c>
      <c r="N4872" s="26"/>
    </row>
    <row r="4873" spans="10:14" x14ac:dyDescent="0.25">
      <c r="J4873" s="25">
        <v>0.38818574791769378</v>
      </c>
      <c r="N4873" s="26"/>
    </row>
    <row r="4874" spans="10:14" x14ac:dyDescent="0.25">
      <c r="J4874" s="25">
        <v>0.53524944465929747</v>
      </c>
      <c r="N4874" s="26"/>
    </row>
    <row r="4875" spans="10:14" x14ac:dyDescent="0.25">
      <c r="J4875" s="25">
        <v>-0.49820441586043229</v>
      </c>
      <c r="N4875" s="26"/>
    </row>
    <row r="4876" spans="10:14" x14ac:dyDescent="0.25">
      <c r="J4876" s="25">
        <v>0.49687226309905874</v>
      </c>
      <c r="N4876" s="26"/>
    </row>
    <row r="4877" spans="10:14" x14ac:dyDescent="0.25">
      <c r="J4877" s="25">
        <v>-0.22773670326381501</v>
      </c>
      <c r="N4877" s="26"/>
    </row>
    <row r="4878" spans="10:14" x14ac:dyDescent="0.25">
      <c r="J4878" s="25">
        <v>0.9563232112335176</v>
      </c>
      <c r="N4878" s="26"/>
    </row>
    <row r="4879" spans="10:14" x14ac:dyDescent="0.25">
      <c r="J4879" s="25">
        <v>-3.5048787265890557E-2</v>
      </c>
      <c r="N4879" s="26"/>
    </row>
    <row r="4880" spans="10:14" x14ac:dyDescent="0.25">
      <c r="J4880" s="25">
        <v>0.21523668026665876</v>
      </c>
      <c r="N4880" s="26"/>
    </row>
    <row r="4881" spans="10:14" x14ac:dyDescent="0.25">
      <c r="J4881" s="25">
        <v>-9.7867194750670738E-2</v>
      </c>
      <c r="N4881" s="26"/>
    </row>
    <row r="4882" spans="10:14" x14ac:dyDescent="0.25">
      <c r="J4882" s="25">
        <v>0.31522330136604881</v>
      </c>
      <c r="N4882" s="26"/>
    </row>
    <row r="4883" spans="10:14" x14ac:dyDescent="0.25">
      <c r="J4883" s="25">
        <v>-0.28534567608976935</v>
      </c>
      <c r="N4883" s="26"/>
    </row>
    <row r="4884" spans="10:14" x14ac:dyDescent="0.25">
      <c r="J4884" s="25">
        <v>-0.28222727135141634</v>
      </c>
      <c r="N4884" s="26"/>
    </row>
    <row r="4885" spans="10:14" x14ac:dyDescent="0.25">
      <c r="J4885" s="25">
        <v>-0.19726835681688293</v>
      </c>
      <c r="N4885" s="26"/>
    </row>
    <row r="4886" spans="10:14" x14ac:dyDescent="0.25">
      <c r="J4886" s="25">
        <v>0.39489447735695404</v>
      </c>
      <c r="N4886" s="26"/>
    </row>
    <row r="4887" spans="10:14" x14ac:dyDescent="0.25">
      <c r="J4887" s="25">
        <v>-7.2856883987576393E-2</v>
      </c>
      <c r="N4887" s="26"/>
    </row>
    <row r="4888" spans="10:14" x14ac:dyDescent="0.25">
      <c r="J4888" s="25">
        <v>-1.2798956621515312E-2</v>
      </c>
      <c r="N4888" s="26"/>
    </row>
    <row r="4889" spans="10:14" x14ac:dyDescent="0.25">
      <c r="J4889" s="25">
        <v>-0.50568362289585045</v>
      </c>
      <c r="N4889" s="26"/>
    </row>
    <row r="4890" spans="10:14" x14ac:dyDescent="0.25">
      <c r="J4890" s="25">
        <v>-0.35183042555743638</v>
      </c>
      <c r="N4890" s="26"/>
    </row>
    <row r="4891" spans="10:14" x14ac:dyDescent="0.25">
      <c r="J4891" s="25">
        <v>-0.48945320937660086</v>
      </c>
      <c r="N4891" s="26"/>
    </row>
    <row r="4892" spans="10:14" x14ac:dyDescent="0.25">
      <c r="J4892" s="25">
        <v>-6.1138504430318763E-2</v>
      </c>
      <c r="N4892" s="26"/>
    </row>
    <row r="4893" spans="10:14" x14ac:dyDescent="0.25">
      <c r="J4893" s="25">
        <v>5.102688859381832E-2</v>
      </c>
      <c r="N4893" s="26"/>
    </row>
    <row r="4894" spans="10:14" x14ac:dyDescent="0.25">
      <c r="J4894" s="25">
        <v>-4.0644153303834973E-2</v>
      </c>
      <c r="N4894" s="26"/>
    </row>
    <row r="4895" spans="10:14" x14ac:dyDescent="0.25">
      <c r="J4895" s="25">
        <v>-0.12459693991246945</v>
      </c>
      <c r="N4895" s="26"/>
    </row>
    <row r="4896" spans="10:14" x14ac:dyDescent="0.25">
      <c r="J4896" s="25">
        <v>-2.1014480430711524E-2</v>
      </c>
      <c r="N4896" s="26"/>
    </row>
    <row r="4897" spans="10:14" x14ac:dyDescent="0.25">
      <c r="J4897" s="25">
        <v>0.46574586688575925</v>
      </c>
      <c r="N4897" s="26"/>
    </row>
    <row r="4898" spans="10:14" x14ac:dyDescent="0.25">
      <c r="J4898" s="25">
        <v>-3.5732075315674239E-2</v>
      </c>
      <c r="N4898" s="26"/>
    </row>
    <row r="4899" spans="10:14" x14ac:dyDescent="0.25">
      <c r="J4899" s="25">
        <v>-0.38588429087518172</v>
      </c>
      <c r="N4899" s="26"/>
    </row>
    <row r="4900" spans="10:14" x14ac:dyDescent="0.25">
      <c r="J4900" s="25">
        <v>0.46302251593185484</v>
      </c>
      <c r="N4900" s="26"/>
    </row>
    <row r="4901" spans="10:14" x14ac:dyDescent="0.25">
      <c r="J4901" s="25">
        <v>0.32067509921057291</v>
      </c>
      <c r="N4901" s="26"/>
    </row>
    <row r="4902" spans="10:14" x14ac:dyDescent="0.25">
      <c r="J4902" s="25">
        <v>0.37163495090752519</v>
      </c>
      <c r="N4902" s="26"/>
    </row>
    <row r="4903" spans="10:14" x14ac:dyDescent="0.25">
      <c r="J4903" s="25">
        <v>-0.39259127580709263</v>
      </c>
      <c r="N4903" s="26"/>
    </row>
    <row r="4904" spans="10:14" x14ac:dyDescent="0.25">
      <c r="J4904" s="25">
        <v>0.68052287799252498</v>
      </c>
      <c r="N4904" s="26"/>
    </row>
    <row r="4905" spans="10:14" x14ac:dyDescent="0.25">
      <c r="J4905" s="25">
        <v>-0.23265677336323254</v>
      </c>
      <c r="N4905" s="26"/>
    </row>
    <row r="4906" spans="10:14" x14ac:dyDescent="0.25">
      <c r="J4906" s="25">
        <v>-0.23394815646833389</v>
      </c>
      <c r="N4906" s="26"/>
    </row>
    <row r="4907" spans="10:14" x14ac:dyDescent="0.25">
      <c r="J4907" s="25">
        <v>0.60633956411949086</v>
      </c>
      <c r="N4907" s="26"/>
    </row>
    <row r="4908" spans="10:14" x14ac:dyDescent="0.25">
      <c r="J4908" s="25">
        <v>-0.3493172217726096</v>
      </c>
      <c r="N4908" s="26"/>
    </row>
    <row r="4909" spans="10:14" x14ac:dyDescent="0.25">
      <c r="J4909" s="25">
        <v>6.0226348824361953E-2</v>
      </c>
      <c r="N4909" s="26"/>
    </row>
    <row r="4910" spans="10:14" x14ac:dyDescent="0.25">
      <c r="J4910" s="25">
        <v>0.61840379726209149</v>
      </c>
      <c r="N4910" s="26"/>
    </row>
    <row r="4911" spans="10:14" x14ac:dyDescent="0.25">
      <c r="J4911" s="25">
        <v>-0.35513447405108822</v>
      </c>
      <c r="N4911" s="26"/>
    </row>
    <row r="4912" spans="10:14" x14ac:dyDescent="0.25">
      <c r="J4912" s="25">
        <v>-0.2334142681695639</v>
      </c>
      <c r="N4912" s="26"/>
    </row>
    <row r="4913" spans="10:14" x14ac:dyDescent="0.25">
      <c r="J4913" s="25">
        <v>-0.22036137036605707</v>
      </c>
      <c r="N4913" s="26"/>
    </row>
    <row r="4914" spans="10:14" x14ac:dyDescent="0.25">
      <c r="J4914" s="25">
        <v>4.9673366199655788E-2</v>
      </c>
      <c r="N4914" s="26"/>
    </row>
    <row r="4915" spans="10:14" x14ac:dyDescent="0.25">
      <c r="J4915" s="25">
        <v>-0.46435223185885977</v>
      </c>
      <c r="N4915" s="26"/>
    </row>
    <row r="4916" spans="10:14" x14ac:dyDescent="0.25">
      <c r="J4916" s="25">
        <v>-0.35085187643035098</v>
      </c>
      <c r="N4916" s="26"/>
    </row>
    <row r="4917" spans="10:14" x14ac:dyDescent="0.25">
      <c r="J4917" s="25">
        <v>-0.49304993627735738</v>
      </c>
      <c r="N4917" s="26"/>
    </row>
    <row r="4918" spans="10:14" x14ac:dyDescent="0.25">
      <c r="J4918" s="25">
        <v>-4.4976519251841651E-2</v>
      </c>
      <c r="N4918" s="26"/>
    </row>
    <row r="4919" spans="10:14" x14ac:dyDescent="0.25">
      <c r="J4919" s="25">
        <v>0.21608290049353518</v>
      </c>
      <c r="N4919" s="26"/>
    </row>
    <row r="4920" spans="10:14" x14ac:dyDescent="0.25">
      <c r="J4920" s="25">
        <v>0.18621763601361696</v>
      </c>
      <c r="N4920" s="26"/>
    </row>
    <row r="4921" spans="10:14" x14ac:dyDescent="0.25">
      <c r="J4921" s="25">
        <v>0.22463173533227154</v>
      </c>
      <c r="N4921" s="26"/>
    </row>
    <row r="4922" spans="10:14" x14ac:dyDescent="0.25">
      <c r="J4922" s="25">
        <v>0.39406308640455889</v>
      </c>
      <c r="N4922" s="26"/>
    </row>
    <row r="4923" spans="10:14" x14ac:dyDescent="0.25">
      <c r="J4923" s="25">
        <v>-0.22653994862956639</v>
      </c>
      <c r="N4923" s="26"/>
    </row>
    <row r="4924" spans="10:14" x14ac:dyDescent="0.25">
      <c r="J4924" s="25">
        <v>1.2895253818881569E-2</v>
      </c>
      <c r="N4924" s="26"/>
    </row>
    <row r="4925" spans="10:14" x14ac:dyDescent="0.25">
      <c r="J4925" s="25">
        <v>-0.18933757792085504</v>
      </c>
      <c r="N4925" s="26"/>
    </row>
    <row r="4926" spans="10:14" x14ac:dyDescent="0.25">
      <c r="J4926" s="25">
        <v>7.2284931934550434E-2</v>
      </c>
      <c r="N4926" s="26"/>
    </row>
    <row r="4927" spans="10:14" x14ac:dyDescent="0.25">
      <c r="J4927" s="25">
        <v>0.13203390706510798</v>
      </c>
      <c r="N4927" s="26"/>
    </row>
    <row r="4928" spans="10:14" x14ac:dyDescent="0.25">
      <c r="J4928" s="25">
        <v>-0.27470046895706746</v>
      </c>
      <c r="N4928" s="26"/>
    </row>
    <row r="4929" spans="10:14" x14ac:dyDescent="0.25">
      <c r="J4929" s="25">
        <v>-0.39031655261361919</v>
      </c>
      <c r="N4929" s="26"/>
    </row>
    <row r="4930" spans="10:14" x14ac:dyDescent="0.25">
      <c r="J4930" s="25">
        <v>0.68712847479945638</v>
      </c>
      <c r="N4930" s="26"/>
    </row>
    <row r="4931" spans="10:14" x14ac:dyDescent="0.25">
      <c r="J4931" s="25">
        <v>-0.25066084820448598</v>
      </c>
      <c r="N4931" s="26"/>
    </row>
    <row r="4932" spans="10:14" x14ac:dyDescent="0.25">
      <c r="J4932" s="25">
        <v>-3.0488289075752961E-2</v>
      </c>
      <c r="N4932" s="26"/>
    </row>
    <row r="4933" spans="10:14" x14ac:dyDescent="0.25">
      <c r="J4933" s="25">
        <v>0.10908363591728287</v>
      </c>
      <c r="N4933" s="26"/>
    </row>
    <row r="4934" spans="10:14" x14ac:dyDescent="0.25">
      <c r="J4934" s="25">
        <v>-0.29917925589963246</v>
      </c>
      <c r="N4934" s="26"/>
    </row>
    <row r="4935" spans="10:14" x14ac:dyDescent="0.25">
      <c r="J4935" s="25">
        <v>0.17274820993599627</v>
      </c>
      <c r="N4935" s="26"/>
    </row>
    <row r="4936" spans="10:14" x14ac:dyDescent="0.25">
      <c r="J4936" s="25">
        <v>0.27775284012512791</v>
      </c>
      <c r="N4936" s="26"/>
    </row>
    <row r="4937" spans="10:14" x14ac:dyDescent="0.25">
      <c r="J4937" s="25">
        <v>-0.50158683761332723</v>
      </c>
      <c r="N4937" s="26"/>
    </row>
    <row r="4938" spans="10:14" x14ac:dyDescent="0.25">
      <c r="J4938" s="25">
        <v>-0.15780840789050876</v>
      </c>
      <c r="N4938" s="26"/>
    </row>
    <row r="4939" spans="10:14" x14ac:dyDescent="0.25">
      <c r="J4939" s="25">
        <v>-0.23056045020956517</v>
      </c>
      <c r="N4939" s="26"/>
    </row>
    <row r="4940" spans="10:14" x14ac:dyDescent="0.25">
      <c r="J4940" s="25">
        <v>3.5188587889393386E-2</v>
      </c>
      <c r="N4940" s="26"/>
    </row>
    <row r="4941" spans="10:14" x14ac:dyDescent="0.25">
      <c r="J4941" s="25">
        <v>0.76996533835471159</v>
      </c>
      <c r="N4941" s="26"/>
    </row>
    <row r="4942" spans="10:14" x14ac:dyDescent="0.25">
      <c r="J4942" s="25">
        <v>2.20813977444001E-2</v>
      </c>
      <c r="N4942" s="26"/>
    </row>
    <row r="4943" spans="10:14" x14ac:dyDescent="0.25">
      <c r="J4943" s="25">
        <v>-0.47520650273712906</v>
      </c>
      <c r="N4943" s="26"/>
    </row>
    <row r="4944" spans="10:14" x14ac:dyDescent="0.25">
      <c r="J4944" s="25">
        <v>7.2968154557101039E-2</v>
      </c>
      <c r="N4944" s="26"/>
    </row>
    <row r="4945" spans="10:14" x14ac:dyDescent="0.25">
      <c r="J4945" s="25">
        <v>0.48417863025743269</v>
      </c>
      <c r="N4945" s="26"/>
    </row>
    <row r="4946" spans="10:14" x14ac:dyDescent="0.25">
      <c r="J4946" s="25">
        <v>0.29510464179226648</v>
      </c>
      <c r="N4946" s="26"/>
    </row>
    <row r="4947" spans="10:14" x14ac:dyDescent="0.25">
      <c r="J4947" s="25">
        <v>0.62487528952853588</v>
      </c>
      <c r="N4947" s="26"/>
    </row>
    <row r="4948" spans="10:14" x14ac:dyDescent="0.25">
      <c r="J4948" s="25">
        <v>-0.40687004159352524</v>
      </c>
      <c r="N4948" s="26"/>
    </row>
    <row r="4949" spans="10:14" x14ac:dyDescent="0.25">
      <c r="J4949" s="25">
        <v>-4.2039866654292046E-3</v>
      </c>
      <c r="N4949" s="26"/>
    </row>
    <row r="4950" spans="10:14" x14ac:dyDescent="0.25">
      <c r="J4950" s="25">
        <v>-1.643390735814132E-2</v>
      </c>
      <c r="N4950" s="26"/>
    </row>
    <row r="4951" spans="10:14" x14ac:dyDescent="0.25">
      <c r="J4951" s="25">
        <v>-5.4434459154802273E-2</v>
      </c>
      <c r="N4951" s="26"/>
    </row>
    <row r="4952" spans="10:14" x14ac:dyDescent="0.25">
      <c r="J4952" s="25">
        <v>8.5852084862856559E-2</v>
      </c>
      <c r="N4952" s="26"/>
    </row>
    <row r="4953" spans="10:14" x14ac:dyDescent="0.25">
      <c r="J4953" s="25">
        <v>-0.10963639923316038</v>
      </c>
      <c r="N4953" s="26"/>
    </row>
    <row r="4954" spans="10:14" x14ac:dyDescent="0.25">
      <c r="J4954" s="25">
        <v>-0.47108858795227337</v>
      </c>
      <c r="N4954" s="26"/>
    </row>
    <row r="4955" spans="10:14" x14ac:dyDescent="0.25">
      <c r="J4955" s="25">
        <v>-0.37834576780469664</v>
      </c>
      <c r="N4955" s="26"/>
    </row>
    <row r="4956" spans="10:14" x14ac:dyDescent="0.25">
      <c r="J4956" s="25">
        <v>-0.36178183694671573</v>
      </c>
      <c r="N4956" s="26"/>
    </row>
    <row r="4957" spans="10:14" x14ac:dyDescent="0.25">
      <c r="J4957" s="25">
        <v>-0.20049569921419241</v>
      </c>
      <c r="N4957" s="26"/>
    </row>
    <row r="4958" spans="10:14" x14ac:dyDescent="0.25">
      <c r="J4958" s="25">
        <v>6.1073464542059641E-2</v>
      </c>
      <c r="N4958" s="26"/>
    </row>
    <row r="4959" spans="10:14" x14ac:dyDescent="0.25">
      <c r="J4959" s="25">
        <v>1.525555015196578E-2</v>
      </c>
      <c r="N4959" s="26"/>
    </row>
    <row r="4960" spans="10:14" x14ac:dyDescent="0.25">
      <c r="J4960" s="25">
        <v>-0.13343998609376906</v>
      </c>
      <c r="N4960" s="26"/>
    </row>
    <row r="4961" spans="10:14" x14ac:dyDescent="0.25">
      <c r="J4961" s="25">
        <v>0.17249194217496333</v>
      </c>
      <c r="N4961" s="26"/>
    </row>
    <row r="4962" spans="10:14" x14ac:dyDescent="0.25">
      <c r="J4962" s="25">
        <v>2.7610715194265723E-2</v>
      </c>
      <c r="N4962" s="26"/>
    </row>
    <row r="4963" spans="10:14" x14ac:dyDescent="0.25">
      <c r="J4963" s="25">
        <v>0.21793636221708335</v>
      </c>
      <c r="N4963" s="26"/>
    </row>
    <row r="4964" spans="10:14" x14ac:dyDescent="0.25">
      <c r="J4964" s="25">
        <v>7.1850587955318401E-2</v>
      </c>
      <c r="N4964" s="26"/>
    </row>
    <row r="4965" spans="10:14" x14ac:dyDescent="0.25">
      <c r="J4965" s="25">
        <v>0.42447693300469291</v>
      </c>
      <c r="N4965" s="26"/>
    </row>
    <row r="4966" spans="10:14" x14ac:dyDescent="0.25">
      <c r="J4966" s="25">
        <v>1.140607506339733</v>
      </c>
      <c r="N4966" s="26"/>
    </row>
    <row r="4967" spans="10:14" x14ac:dyDescent="0.25">
      <c r="J4967" s="25">
        <v>-0.37531227892777008</v>
      </c>
      <c r="N4967" s="26"/>
    </row>
    <row r="4968" spans="10:14" x14ac:dyDescent="0.25">
      <c r="J4968" s="25">
        <v>0.55437661099451674</v>
      </c>
      <c r="N4968" s="26"/>
    </row>
    <row r="4969" spans="10:14" x14ac:dyDescent="0.25">
      <c r="J4969" s="25">
        <v>-0.25720610025831214</v>
      </c>
      <c r="N4969" s="26"/>
    </row>
    <row r="4970" spans="10:14" x14ac:dyDescent="0.25">
      <c r="J4970" s="25">
        <v>-0.43267792886221557</v>
      </c>
      <c r="N4970" s="26"/>
    </row>
    <row r="4971" spans="10:14" x14ac:dyDescent="0.25">
      <c r="J4971" s="25">
        <v>2.2318653407655376E-2</v>
      </c>
      <c r="N4971" s="26"/>
    </row>
    <row r="4972" spans="10:14" x14ac:dyDescent="0.25">
      <c r="J4972" s="25">
        <v>-9.3515148844381724E-2</v>
      </c>
      <c r="N4972" s="26"/>
    </row>
    <row r="4973" spans="10:14" x14ac:dyDescent="0.25">
      <c r="J4973" s="25">
        <v>0.75406953414171429</v>
      </c>
      <c r="N4973" s="26"/>
    </row>
    <row r="4974" spans="10:14" x14ac:dyDescent="0.25">
      <c r="J4974" s="25">
        <v>0.36413597215171944</v>
      </c>
      <c r="N4974" s="26"/>
    </row>
    <row r="4975" spans="10:14" x14ac:dyDescent="0.25">
      <c r="J4975" s="25">
        <v>0.5776120502655151</v>
      </c>
      <c r="N4975" s="26"/>
    </row>
    <row r="4976" spans="10:14" x14ac:dyDescent="0.25">
      <c r="J4976" s="25">
        <v>-0.22248038193839959</v>
      </c>
      <c r="N4976" s="26"/>
    </row>
    <row r="4977" spans="10:14" x14ac:dyDescent="0.25">
      <c r="J4977" s="25">
        <v>0.65940519756094695</v>
      </c>
      <c r="N4977" s="26"/>
    </row>
    <row r="4978" spans="10:14" x14ac:dyDescent="0.25">
      <c r="J4978" s="25">
        <v>-0.45000193344177386</v>
      </c>
      <c r="N4978" s="26"/>
    </row>
    <row r="4979" spans="10:14" x14ac:dyDescent="0.25">
      <c r="J4979" s="25">
        <v>-0.28521117643941107</v>
      </c>
      <c r="N4979" s="26"/>
    </row>
    <row r="4980" spans="10:14" x14ac:dyDescent="0.25">
      <c r="J4980" s="25">
        <v>-0.35660675113372831</v>
      </c>
      <c r="N4980" s="26"/>
    </row>
    <row r="4981" spans="10:14" x14ac:dyDescent="0.25">
      <c r="J4981" s="25">
        <v>-0.30709672382506537</v>
      </c>
      <c r="N4981" s="26"/>
    </row>
    <row r="4982" spans="10:14" x14ac:dyDescent="0.25">
      <c r="J4982" s="25">
        <v>-5.1352480466527739E-3</v>
      </c>
      <c r="N4982" s="26"/>
    </row>
    <row r="4983" spans="10:14" x14ac:dyDescent="0.25">
      <c r="J4983" s="25">
        <v>-0.18440050789862317</v>
      </c>
      <c r="N4983" s="26"/>
    </row>
    <row r="4984" spans="10:14" x14ac:dyDescent="0.25">
      <c r="J4984" s="25">
        <v>-0.18703151719487521</v>
      </c>
      <c r="N4984" s="26"/>
    </row>
    <row r="4985" spans="10:14" x14ac:dyDescent="0.25">
      <c r="J4985" s="25">
        <v>-0.36557476127584543</v>
      </c>
      <c r="N4985" s="26"/>
    </row>
    <row r="4986" spans="10:14" x14ac:dyDescent="0.25">
      <c r="J4986" s="25">
        <v>0.49366777864472011</v>
      </c>
      <c r="N4986" s="26"/>
    </row>
    <row r="4987" spans="10:14" x14ac:dyDescent="0.25">
      <c r="J4987" s="25">
        <v>-0.15557575737232598</v>
      </c>
      <c r="N4987" s="26"/>
    </row>
    <row r="4988" spans="10:14" x14ac:dyDescent="0.25">
      <c r="J4988" s="25">
        <v>-2.3072942803198271E-2</v>
      </c>
      <c r="N4988" s="26"/>
    </row>
    <row r="4989" spans="10:14" x14ac:dyDescent="0.25">
      <c r="J4989" s="25">
        <v>-2.5235026926021531E-2</v>
      </c>
      <c r="N4989" s="26"/>
    </row>
    <row r="4990" spans="10:14" x14ac:dyDescent="0.25">
      <c r="J4990" s="25">
        <v>2.2189489305592502E-2</v>
      </c>
      <c r="N4990" s="26"/>
    </row>
    <row r="4991" spans="10:14" x14ac:dyDescent="0.25">
      <c r="J4991" s="25">
        <v>-4.3468262414048109E-3</v>
      </c>
      <c r="N4991" s="26"/>
    </row>
    <row r="4992" spans="10:14" x14ac:dyDescent="0.25">
      <c r="J4992" s="25">
        <v>0.63774757381948</v>
      </c>
      <c r="N4992" s="26"/>
    </row>
    <row r="4993" spans="10:14" x14ac:dyDescent="0.25">
      <c r="J4993" s="25">
        <v>-0.16662892250945582</v>
      </c>
      <c r="N4993" s="26"/>
    </row>
    <row r="4994" spans="10:14" x14ac:dyDescent="0.25">
      <c r="J4994" s="25">
        <v>-7.6895469404617334E-2</v>
      </c>
      <c r="N4994" s="26"/>
    </row>
    <row r="4995" spans="10:14" x14ac:dyDescent="0.25">
      <c r="J4995" s="25">
        <v>-4.3656976574231177E-3</v>
      </c>
      <c r="N4995" s="26"/>
    </row>
    <row r="4996" spans="10:14" x14ac:dyDescent="0.25">
      <c r="J4996" s="25">
        <v>1.8438829620503361E-2</v>
      </c>
      <c r="N4996" s="26"/>
    </row>
    <row r="4997" spans="10:14" x14ac:dyDescent="0.25">
      <c r="J4997" s="25">
        <v>0.16641291295911387</v>
      </c>
      <c r="N4997" s="26"/>
    </row>
    <row r="4998" spans="10:14" x14ac:dyDescent="0.25">
      <c r="J4998" s="25">
        <v>0.3021517438582082</v>
      </c>
      <c r="N4998" s="26"/>
    </row>
    <row r="4999" spans="10:14" x14ac:dyDescent="0.25">
      <c r="J4999" s="25">
        <v>0.35022715163320406</v>
      </c>
      <c r="N4999" s="26"/>
    </row>
    <row r="5000" spans="10:14" x14ac:dyDescent="0.25">
      <c r="J5000" s="25">
        <v>-1.0048894959501453E-2</v>
      </c>
      <c r="N5000" s="26"/>
    </row>
    <row r="5001" spans="10:14" x14ac:dyDescent="0.25">
      <c r="J5001" s="25">
        <v>-0.41805194322377881</v>
      </c>
      <c r="N5001" s="26"/>
    </row>
    <row r="5002" spans="10:14" x14ac:dyDescent="0.25">
      <c r="J5002" s="25">
        <v>-0.39993692990352436</v>
      </c>
      <c r="N5002" s="26"/>
    </row>
    <row r="5003" spans="10:14" x14ac:dyDescent="0.25">
      <c r="J5003" s="25">
        <v>0.4305013801725166</v>
      </c>
      <c r="N5003" s="26"/>
    </row>
    <row r="5004" spans="10:14" x14ac:dyDescent="0.25">
      <c r="J5004" s="25">
        <v>-0.19352647478582696</v>
      </c>
      <c r="N5004" s="26"/>
    </row>
    <row r="5005" spans="10:14" x14ac:dyDescent="0.25">
      <c r="J5005" s="25">
        <v>0.31762379740902835</v>
      </c>
      <c r="N5005" s="26"/>
    </row>
    <row r="5006" spans="10:14" x14ac:dyDescent="0.25">
      <c r="J5006" s="25">
        <v>-0.11722826725786584</v>
      </c>
      <c r="N5006" s="26"/>
    </row>
    <row r="5007" spans="10:14" x14ac:dyDescent="0.25">
      <c r="N5007" s="26"/>
    </row>
    <row r="5008" spans="10:14" x14ac:dyDescent="0.25">
      <c r="N5008" s="26"/>
    </row>
    <row r="5009" spans="14:14" x14ac:dyDescent="0.25">
      <c r="N5009" s="26"/>
    </row>
    <row r="5010" spans="14:14" x14ac:dyDescent="0.25">
      <c r="N5010" s="26"/>
    </row>
    <row r="5011" spans="14:14" x14ac:dyDescent="0.25">
      <c r="N5011" s="26"/>
    </row>
    <row r="5012" spans="14:14" x14ac:dyDescent="0.25">
      <c r="N5012" s="26"/>
    </row>
    <row r="5013" spans="14:14" x14ac:dyDescent="0.25">
      <c r="N5013" s="26"/>
    </row>
    <row r="5014" spans="14:14" x14ac:dyDescent="0.25">
      <c r="N5014" s="26"/>
    </row>
    <row r="5015" spans="14:14" x14ac:dyDescent="0.25">
      <c r="N5015" s="26"/>
    </row>
    <row r="5016" spans="14:14" x14ac:dyDescent="0.25">
      <c r="N5016" s="26"/>
    </row>
    <row r="5017" spans="14:14" x14ac:dyDescent="0.25">
      <c r="N5017" s="26"/>
    </row>
    <row r="5018" spans="14:14" x14ac:dyDescent="0.25">
      <c r="N5018" s="26"/>
    </row>
    <row r="5019" spans="14:14" x14ac:dyDescent="0.25">
      <c r="N5019" s="26"/>
    </row>
    <row r="5020" spans="14:14" x14ac:dyDescent="0.25">
      <c r="N5020" s="26"/>
    </row>
    <row r="5021" spans="14:14" x14ac:dyDescent="0.25">
      <c r="N5021" s="26"/>
    </row>
    <row r="5022" spans="14:14" x14ac:dyDescent="0.25">
      <c r="N5022" s="26"/>
    </row>
    <row r="5023" spans="14:14" x14ac:dyDescent="0.25">
      <c r="N5023" s="26"/>
    </row>
    <row r="5024" spans="14:14" x14ac:dyDescent="0.25">
      <c r="N5024" s="26"/>
    </row>
    <row r="5025" spans="14:14" x14ac:dyDescent="0.25">
      <c r="N5025" s="26"/>
    </row>
    <row r="5026" spans="14:14" x14ac:dyDescent="0.25">
      <c r="N5026" s="26"/>
    </row>
    <row r="5027" spans="14:14" x14ac:dyDescent="0.25">
      <c r="N5027" s="26"/>
    </row>
    <row r="5028" spans="14:14" x14ac:dyDescent="0.25">
      <c r="N5028" s="26"/>
    </row>
    <row r="5029" spans="14:14" x14ac:dyDescent="0.25">
      <c r="N5029" s="26"/>
    </row>
    <row r="5030" spans="14:14" x14ac:dyDescent="0.25">
      <c r="N5030" s="26"/>
    </row>
    <row r="5031" spans="14:14" x14ac:dyDescent="0.25">
      <c r="N5031" s="26"/>
    </row>
    <row r="5032" spans="14:14" x14ac:dyDescent="0.25">
      <c r="N5032" s="26"/>
    </row>
    <row r="5033" spans="14:14" x14ac:dyDescent="0.25">
      <c r="N5033" s="26"/>
    </row>
    <row r="5034" spans="14:14" x14ac:dyDescent="0.25">
      <c r="N5034" s="26"/>
    </row>
    <row r="5035" spans="14:14" x14ac:dyDescent="0.25">
      <c r="N5035" s="26"/>
    </row>
    <row r="5036" spans="14:14" x14ac:dyDescent="0.25">
      <c r="N5036" s="26"/>
    </row>
    <row r="5037" spans="14:14" x14ac:dyDescent="0.25">
      <c r="N5037" s="26"/>
    </row>
    <row r="5038" spans="14:14" x14ac:dyDescent="0.25">
      <c r="N5038" s="26"/>
    </row>
    <row r="5039" spans="14:14" x14ac:dyDescent="0.25">
      <c r="N5039" s="26"/>
    </row>
    <row r="5040" spans="14:14" x14ac:dyDescent="0.25">
      <c r="N5040" s="26"/>
    </row>
    <row r="5041" spans="14:14" x14ac:dyDescent="0.25">
      <c r="N5041" s="26"/>
    </row>
    <row r="5042" spans="14:14" x14ac:dyDescent="0.25">
      <c r="N5042" s="26"/>
    </row>
    <row r="5043" spans="14:14" x14ac:dyDescent="0.25">
      <c r="N5043" s="26"/>
    </row>
    <row r="5044" spans="14:14" x14ac:dyDescent="0.25">
      <c r="N5044" s="26"/>
    </row>
    <row r="5045" spans="14:14" x14ac:dyDescent="0.25">
      <c r="N5045" s="26"/>
    </row>
    <row r="5046" spans="14:14" x14ac:dyDescent="0.25">
      <c r="N5046" s="26"/>
    </row>
    <row r="5047" spans="14:14" x14ac:dyDescent="0.25">
      <c r="N5047" s="26"/>
    </row>
    <row r="5048" spans="14:14" x14ac:dyDescent="0.25">
      <c r="N5048" s="26"/>
    </row>
    <row r="5049" spans="14:14" x14ac:dyDescent="0.25">
      <c r="N5049" s="26"/>
    </row>
    <row r="5050" spans="14:14" x14ac:dyDescent="0.25">
      <c r="N5050" s="26"/>
    </row>
    <row r="5051" spans="14:14" x14ac:dyDescent="0.25">
      <c r="N5051" s="26"/>
    </row>
    <row r="5052" spans="14:14" x14ac:dyDescent="0.25">
      <c r="N5052" s="26"/>
    </row>
    <row r="5053" spans="14:14" x14ac:dyDescent="0.25">
      <c r="N5053" s="26"/>
    </row>
    <row r="5054" spans="14:14" x14ac:dyDescent="0.25">
      <c r="N5054" s="26"/>
    </row>
    <row r="5055" spans="14:14" x14ac:dyDescent="0.25">
      <c r="N5055" s="26"/>
    </row>
    <row r="5056" spans="14:14" x14ac:dyDescent="0.25">
      <c r="N5056" s="26"/>
    </row>
    <row r="5057" spans="14:14" x14ac:dyDescent="0.25">
      <c r="N5057" s="26"/>
    </row>
    <row r="5058" spans="14:14" x14ac:dyDescent="0.25">
      <c r="N5058" s="26"/>
    </row>
    <row r="5059" spans="14:14" x14ac:dyDescent="0.25">
      <c r="N5059" s="26"/>
    </row>
    <row r="5060" spans="14:14" x14ac:dyDescent="0.25">
      <c r="N5060" s="26"/>
    </row>
    <row r="5061" spans="14:14" x14ac:dyDescent="0.25">
      <c r="N5061" s="26"/>
    </row>
    <row r="5062" spans="14:14" x14ac:dyDescent="0.25">
      <c r="N5062" s="26"/>
    </row>
    <row r="5063" spans="14:14" x14ac:dyDescent="0.25">
      <c r="N5063" s="26"/>
    </row>
    <row r="5064" spans="14:14" x14ac:dyDescent="0.25">
      <c r="N5064" s="26"/>
    </row>
    <row r="5065" spans="14:14" x14ac:dyDescent="0.25">
      <c r="N5065" s="26"/>
    </row>
    <row r="5066" spans="14:14" x14ac:dyDescent="0.25">
      <c r="N5066" s="26"/>
    </row>
    <row r="5067" spans="14:14" x14ac:dyDescent="0.25">
      <c r="N5067" s="26"/>
    </row>
    <row r="5068" spans="14:14" x14ac:dyDescent="0.25">
      <c r="N5068" s="26"/>
    </row>
    <row r="5069" spans="14:14" x14ac:dyDescent="0.25">
      <c r="N5069" s="26"/>
    </row>
    <row r="5070" spans="14:14" x14ac:dyDescent="0.25">
      <c r="N5070" s="26"/>
    </row>
    <row r="5071" spans="14:14" x14ac:dyDescent="0.25">
      <c r="N5071" s="26"/>
    </row>
    <row r="5072" spans="14:14" x14ac:dyDescent="0.25">
      <c r="N5072" s="26"/>
    </row>
    <row r="5073" spans="14:14" x14ac:dyDescent="0.25">
      <c r="N5073" s="26"/>
    </row>
    <row r="5074" spans="14:14" x14ac:dyDescent="0.25">
      <c r="N5074" s="26"/>
    </row>
    <row r="5075" spans="14:14" x14ac:dyDescent="0.25">
      <c r="N5075" s="26"/>
    </row>
    <row r="5076" spans="14:14" x14ac:dyDescent="0.25">
      <c r="N5076" s="26"/>
    </row>
    <row r="5077" spans="14:14" x14ac:dyDescent="0.25">
      <c r="N5077" s="26"/>
    </row>
    <row r="5078" spans="14:14" x14ac:dyDescent="0.25">
      <c r="N5078" s="26"/>
    </row>
    <row r="5079" spans="14:14" x14ac:dyDescent="0.25">
      <c r="N5079" s="26"/>
    </row>
    <row r="5080" spans="14:14" x14ac:dyDescent="0.25">
      <c r="N5080" s="26"/>
    </row>
    <row r="5081" spans="14:14" x14ac:dyDescent="0.25">
      <c r="N5081" s="26"/>
    </row>
    <row r="5082" spans="14:14" x14ac:dyDescent="0.25">
      <c r="N5082" s="26"/>
    </row>
    <row r="5083" spans="14:14" x14ac:dyDescent="0.25">
      <c r="N5083" s="26"/>
    </row>
    <row r="5084" spans="14:14" x14ac:dyDescent="0.25">
      <c r="N5084" s="26"/>
    </row>
    <row r="5085" spans="14:14" x14ac:dyDescent="0.25">
      <c r="N5085" s="26"/>
    </row>
    <row r="5086" spans="14:14" x14ac:dyDescent="0.25">
      <c r="N5086" s="26"/>
    </row>
    <row r="5087" spans="14:14" x14ac:dyDescent="0.25">
      <c r="N5087" s="26"/>
    </row>
    <row r="5088" spans="14:14" x14ac:dyDescent="0.25">
      <c r="N5088" s="26"/>
    </row>
    <row r="5089" spans="14:14" x14ac:dyDescent="0.25">
      <c r="N5089" s="26"/>
    </row>
    <row r="5090" spans="14:14" x14ac:dyDescent="0.25">
      <c r="N5090" s="26"/>
    </row>
    <row r="5091" spans="14:14" x14ac:dyDescent="0.25">
      <c r="N5091" s="26"/>
    </row>
    <row r="5092" spans="14:14" x14ac:dyDescent="0.25">
      <c r="N5092" s="26"/>
    </row>
    <row r="5093" spans="14:14" x14ac:dyDescent="0.25">
      <c r="N5093" s="26"/>
    </row>
    <row r="5094" spans="14:14" x14ac:dyDescent="0.25">
      <c r="N5094" s="26"/>
    </row>
    <row r="5095" spans="14:14" x14ac:dyDescent="0.25">
      <c r="N5095" s="26"/>
    </row>
    <row r="5096" spans="14:14" x14ac:dyDescent="0.25">
      <c r="N5096" s="26"/>
    </row>
    <row r="5097" spans="14:14" x14ac:dyDescent="0.25">
      <c r="N5097" s="26"/>
    </row>
    <row r="5098" spans="14:14" x14ac:dyDescent="0.25">
      <c r="N5098" s="26"/>
    </row>
    <row r="5099" spans="14:14" x14ac:dyDescent="0.25">
      <c r="N5099" s="26"/>
    </row>
    <row r="5100" spans="14:14" x14ac:dyDescent="0.25">
      <c r="N5100" s="26"/>
    </row>
    <row r="5101" spans="14:14" x14ac:dyDescent="0.25">
      <c r="N5101" s="26"/>
    </row>
    <row r="5102" spans="14:14" x14ac:dyDescent="0.25">
      <c r="N5102" s="26"/>
    </row>
    <row r="5103" spans="14:14" x14ac:dyDescent="0.25">
      <c r="N5103" s="26"/>
    </row>
    <row r="5104" spans="14:14" x14ac:dyDescent="0.25">
      <c r="N5104" s="26"/>
    </row>
    <row r="5105" spans="14:14" x14ac:dyDescent="0.25">
      <c r="N5105" s="26"/>
    </row>
    <row r="5106" spans="14:14" x14ac:dyDescent="0.25">
      <c r="N5106" s="26"/>
    </row>
    <row r="5107" spans="14:14" x14ac:dyDescent="0.25">
      <c r="N5107" s="26"/>
    </row>
    <row r="5108" spans="14:14" x14ac:dyDescent="0.25">
      <c r="N5108" s="26"/>
    </row>
    <row r="5109" spans="14:14" x14ac:dyDescent="0.25">
      <c r="N5109" s="26"/>
    </row>
    <row r="5110" spans="14:14" x14ac:dyDescent="0.25">
      <c r="N5110" s="26"/>
    </row>
    <row r="5111" spans="14:14" x14ac:dyDescent="0.25">
      <c r="N5111" s="26"/>
    </row>
    <row r="5112" spans="14:14" x14ac:dyDescent="0.25">
      <c r="N5112" s="26"/>
    </row>
    <row r="5113" spans="14:14" x14ac:dyDescent="0.25">
      <c r="N5113" s="26"/>
    </row>
    <row r="5114" spans="14:14" x14ac:dyDescent="0.25">
      <c r="N5114" s="26"/>
    </row>
    <row r="5115" spans="14:14" x14ac:dyDescent="0.25">
      <c r="N5115" s="26"/>
    </row>
    <row r="5116" spans="14:14" x14ac:dyDescent="0.25">
      <c r="N5116" s="26"/>
    </row>
    <row r="5117" spans="14:14" x14ac:dyDescent="0.25">
      <c r="N5117" s="26"/>
    </row>
    <row r="5118" spans="14:14" x14ac:dyDescent="0.25">
      <c r="N5118" s="26"/>
    </row>
    <row r="5119" spans="14:14" x14ac:dyDescent="0.25">
      <c r="N5119" s="26"/>
    </row>
    <row r="5120" spans="14:14" x14ac:dyDescent="0.25">
      <c r="N5120" s="26"/>
    </row>
    <row r="5121" spans="14:14" x14ac:dyDescent="0.25">
      <c r="N5121" s="26"/>
    </row>
    <row r="5122" spans="14:14" x14ac:dyDescent="0.25">
      <c r="N5122" s="26"/>
    </row>
    <row r="5123" spans="14:14" x14ac:dyDescent="0.25">
      <c r="N5123" s="26"/>
    </row>
    <row r="5124" spans="14:14" x14ac:dyDescent="0.25">
      <c r="N5124" s="26"/>
    </row>
    <row r="5125" spans="14:14" x14ac:dyDescent="0.25">
      <c r="N5125" s="26"/>
    </row>
    <row r="5126" spans="14:14" x14ac:dyDescent="0.25">
      <c r="N5126" s="26"/>
    </row>
    <row r="5127" spans="14:14" x14ac:dyDescent="0.25">
      <c r="N5127" s="26"/>
    </row>
    <row r="5128" spans="14:14" x14ac:dyDescent="0.25">
      <c r="N5128" s="26"/>
    </row>
    <row r="5129" spans="14:14" x14ac:dyDescent="0.25">
      <c r="N5129" s="26"/>
    </row>
    <row r="5130" spans="14:14" x14ac:dyDescent="0.25">
      <c r="N5130" s="26"/>
    </row>
    <row r="5131" spans="14:14" x14ac:dyDescent="0.25">
      <c r="N5131" s="26"/>
    </row>
    <row r="5132" spans="14:14" x14ac:dyDescent="0.25">
      <c r="N5132" s="26"/>
    </row>
    <row r="5133" spans="14:14" x14ac:dyDescent="0.25">
      <c r="N5133" s="26"/>
    </row>
    <row r="5134" spans="14:14" x14ac:dyDescent="0.25">
      <c r="N5134" s="26"/>
    </row>
    <row r="5135" spans="14:14" x14ac:dyDescent="0.25">
      <c r="N5135" s="26"/>
    </row>
    <row r="5136" spans="14:14" x14ac:dyDescent="0.25">
      <c r="N5136" s="26"/>
    </row>
    <row r="5137" spans="14:14" x14ac:dyDescent="0.25">
      <c r="N5137" s="26"/>
    </row>
    <row r="5138" spans="14:14" x14ac:dyDescent="0.25">
      <c r="N5138" s="26"/>
    </row>
    <row r="5139" spans="14:14" x14ac:dyDescent="0.25">
      <c r="N5139" s="26"/>
    </row>
    <row r="5140" spans="14:14" x14ac:dyDescent="0.25">
      <c r="N5140" s="26"/>
    </row>
    <row r="5141" spans="14:14" x14ac:dyDescent="0.25">
      <c r="N5141" s="26"/>
    </row>
    <row r="5142" spans="14:14" x14ac:dyDescent="0.25">
      <c r="N5142" s="26"/>
    </row>
    <row r="5143" spans="14:14" x14ac:dyDescent="0.25">
      <c r="N5143" s="26"/>
    </row>
    <row r="5144" spans="14:14" x14ac:dyDescent="0.25">
      <c r="N5144" s="26"/>
    </row>
    <row r="5145" spans="14:14" x14ac:dyDescent="0.25">
      <c r="N5145" s="26"/>
    </row>
    <row r="5146" spans="14:14" x14ac:dyDescent="0.25">
      <c r="N5146" s="26"/>
    </row>
    <row r="5147" spans="14:14" x14ac:dyDescent="0.25">
      <c r="N5147" s="26"/>
    </row>
    <row r="5148" spans="14:14" x14ac:dyDescent="0.25">
      <c r="N5148" s="26"/>
    </row>
    <row r="5149" spans="14:14" x14ac:dyDescent="0.25">
      <c r="N5149" s="26"/>
    </row>
    <row r="5150" spans="14:14" x14ac:dyDescent="0.25">
      <c r="N5150" s="26"/>
    </row>
    <row r="5151" spans="14:14" x14ac:dyDescent="0.25">
      <c r="N5151" s="26"/>
    </row>
    <row r="5152" spans="14:14" x14ac:dyDescent="0.25">
      <c r="N5152" s="26"/>
    </row>
    <row r="5153" spans="14:14" x14ac:dyDescent="0.25">
      <c r="N5153" s="26"/>
    </row>
    <row r="5154" spans="14:14" x14ac:dyDescent="0.25">
      <c r="N5154" s="26"/>
    </row>
    <row r="5155" spans="14:14" x14ac:dyDescent="0.25">
      <c r="N5155" s="26"/>
    </row>
    <row r="5156" spans="14:14" x14ac:dyDescent="0.25">
      <c r="N5156" s="26"/>
    </row>
    <row r="5157" spans="14:14" x14ac:dyDescent="0.25">
      <c r="N5157" s="26"/>
    </row>
    <row r="5158" spans="14:14" x14ac:dyDescent="0.25">
      <c r="N5158" s="26"/>
    </row>
    <row r="5159" spans="14:14" x14ac:dyDescent="0.25">
      <c r="N5159" s="26"/>
    </row>
    <row r="5160" spans="14:14" x14ac:dyDescent="0.25">
      <c r="N5160" s="26"/>
    </row>
    <row r="5161" spans="14:14" x14ac:dyDescent="0.25">
      <c r="N5161" s="26"/>
    </row>
    <row r="5162" spans="14:14" x14ac:dyDescent="0.25">
      <c r="N5162" s="26"/>
    </row>
    <row r="5163" spans="14:14" x14ac:dyDescent="0.25">
      <c r="N5163" s="26"/>
    </row>
    <row r="5164" spans="14:14" x14ac:dyDescent="0.25">
      <c r="N5164" s="26"/>
    </row>
    <row r="5165" spans="14:14" x14ac:dyDescent="0.25">
      <c r="N5165" s="26"/>
    </row>
    <row r="5166" spans="14:14" x14ac:dyDescent="0.25">
      <c r="N5166" s="26"/>
    </row>
    <row r="5167" spans="14:14" x14ac:dyDescent="0.25">
      <c r="N5167" s="26"/>
    </row>
    <row r="5168" spans="14:14" x14ac:dyDescent="0.25">
      <c r="N5168" s="26"/>
    </row>
    <row r="5169" spans="14:14" x14ac:dyDescent="0.25">
      <c r="N5169" s="26"/>
    </row>
    <row r="5170" spans="14:14" x14ac:dyDescent="0.25">
      <c r="N5170" s="26"/>
    </row>
    <row r="5171" spans="14:14" x14ac:dyDescent="0.25">
      <c r="N5171" s="26"/>
    </row>
    <row r="5172" spans="14:14" x14ac:dyDescent="0.25">
      <c r="N5172" s="26"/>
    </row>
    <row r="5173" spans="14:14" x14ac:dyDescent="0.25">
      <c r="N5173" s="26"/>
    </row>
    <row r="5174" spans="14:14" x14ac:dyDescent="0.25">
      <c r="N5174" s="26"/>
    </row>
    <row r="5175" spans="14:14" x14ac:dyDescent="0.25">
      <c r="N5175" s="26"/>
    </row>
    <row r="5176" spans="14:14" x14ac:dyDescent="0.25">
      <c r="N5176" s="26"/>
    </row>
    <row r="5177" spans="14:14" x14ac:dyDescent="0.25">
      <c r="N5177" s="26"/>
    </row>
    <row r="5178" spans="14:14" x14ac:dyDescent="0.25">
      <c r="N5178" s="26"/>
    </row>
    <row r="5179" spans="14:14" x14ac:dyDescent="0.25">
      <c r="N5179" s="26"/>
    </row>
    <row r="5180" spans="14:14" x14ac:dyDescent="0.25">
      <c r="N5180" s="26"/>
    </row>
    <row r="5181" spans="14:14" x14ac:dyDescent="0.25">
      <c r="N5181" s="26"/>
    </row>
    <row r="5182" spans="14:14" x14ac:dyDescent="0.25">
      <c r="N5182" s="26"/>
    </row>
    <row r="5183" spans="14:14" x14ac:dyDescent="0.25">
      <c r="N5183" s="26"/>
    </row>
    <row r="5184" spans="14:14" x14ac:dyDescent="0.25">
      <c r="N5184" s="26"/>
    </row>
    <row r="5185" spans="14:14" x14ac:dyDescent="0.25">
      <c r="N5185" s="26"/>
    </row>
    <row r="5186" spans="14:14" x14ac:dyDescent="0.25">
      <c r="N5186" s="26"/>
    </row>
    <row r="5187" spans="14:14" x14ac:dyDescent="0.25">
      <c r="N5187" s="26"/>
    </row>
    <row r="5188" spans="14:14" x14ac:dyDescent="0.25">
      <c r="N5188" s="26"/>
    </row>
    <row r="5189" spans="14:14" x14ac:dyDescent="0.25">
      <c r="N5189" s="26"/>
    </row>
    <row r="5190" spans="14:14" x14ac:dyDescent="0.25">
      <c r="N5190" s="26"/>
    </row>
    <row r="5191" spans="14:14" x14ac:dyDescent="0.25">
      <c r="N5191" s="26"/>
    </row>
    <row r="5192" spans="14:14" x14ac:dyDescent="0.25">
      <c r="N5192" s="26"/>
    </row>
    <row r="5193" spans="14:14" x14ac:dyDescent="0.25">
      <c r="N5193" s="26"/>
    </row>
    <row r="5194" spans="14:14" x14ac:dyDescent="0.25">
      <c r="N5194" s="26"/>
    </row>
    <row r="5195" spans="14:14" x14ac:dyDescent="0.25">
      <c r="N5195" s="26"/>
    </row>
    <row r="5196" spans="14:14" x14ac:dyDescent="0.25">
      <c r="N5196" s="26"/>
    </row>
    <row r="5197" spans="14:14" x14ac:dyDescent="0.25">
      <c r="N5197" s="26"/>
    </row>
    <row r="5198" spans="14:14" x14ac:dyDescent="0.25">
      <c r="N5198" s="26"/>
    </row>
    <row r="5199" spans="14:14" x14ac:dyDescent="0.25">
      <c r="N5199" s="26"/>
    </row>
    <row r="5200" spans="14:14" x14ac:dyDescent="0.25">
      <c r="N5200" s="26"/>
    </row>
    <row r="5201" spans="14:14" x14ac:dyDescent="0.25">
      <c r="N5201" s="26"/>
    </row>
    <row r="5202" spans="14:14" x14ac:dyDescent="0.25">
      <c r="N5202" s="26"/>
    </row>
    <row r="5203" spans="14:14" x14ac:dyDescent="0.25">
      <c r="N5203" s="26"/>
    </row>
    <row r="5204" spans="14:14" x14ac:dyDescent="0.25">
      <c r="N5204" s="26"/>
    </row>
    <row r="5205" spans="14:14" x14ac:dyDescent="0.25">
      <c r="N5205" s="26"/>
    </row>
    <row r="5206" spans="14:14" x14ac:dyDescent="0.25">
      <c r="N5206" s="26"/>
    </row>
    <row r="5207" spans="14:14" x14ac:dyDescent="0.25">
      <c r="N5207" s="26"/>
    </row>
    <row r="5208" spans="14:14" x14ac:dyDescent="0.25">
      <c r="N5208" s="26"/>
    </row>
    <row r="5209" spans="14:14" x14ac:dyDescent="0.25">
      <c r="N5209" s="26"/>
    </row>
    <row r="5210" spans="14:14" x14ac:dyDescent="0.25">
      <c r="N5210" s="26"/>
    </row>
    <row r="5211" spans="14:14" x14ac:dyDescent="0.25">
      <c r="N5211" s="26"/>
    </row>
    <row r="5212" spans="14:14" x14ac:dyDescent="0.25">
      <c r="N5212" s="26"/>
    </row>
    <row r="5213" spans="14:14" x14ac:dyDescent="0.25">
      <c r="N5213" s="26"/>
    </row>
    <row r="5214" spans="14:14" x14ac:dyDescent="0.25">
      <c r="N5214" s="26"/>
    </row>
    <row r="5215" spans="14:14" x14ac:dyDescent="0.25">
      <c r="N5215" s="26"/>
    </row>
    <row r="5216" spans="14:14" x14ac:dyDescent="0.25">
      <c r="N5216" s="26"/>
    </row>
    <row r="5217" spans="14:14" x14ac:dyDescent="0.25">
      <c r="N5217" s="26"/>
    </row>
    <row r="5218" spans="14:14" x14ac:dyDescent="0.25">
      <c r="N5218" s="26"/>
    </row>
    <row r="5219" spans="14:14" x14ac:dyDescent="0.25">
      <c r="N5219" s="26"/>
    </row>
    <row r="5220" spans="14:14" x14ac:dyDescent="0.25">
      <c r="N5220" s="26"/>
    </row>
    <row r="5221" spans="14:14" x14ac:dyDescent="0.25">
      <c r="N5221" s="26"/>
    </row>
    <row r="5222" spans="14:14" x14ac:dyDescent="0.25">
      <c r="N5222" s="26"/>
    </row>
    <row r="5223" spans="14:14" x14ac:dyDescent="0.25">
      <c r="N5223" s="26"/>
    </row>
    <row r="5224" spans="14:14" x14ac:dyDescent="0.25">
      <c r="N5224" s="26"/>
    </row>
    <row r="5225" spans="14:14" x14ac:dyDescent="0.25">
      <c r="N5225" s="26"/>
    </row>
    <row r="5226" spans="14:14" x14ac:dyDescent="0.25">
      <c r="N5226" s="26"/>
    </row>
    <row r="5227" spans="14:14" x14ac:dyDescent="0.25">
      <c r="N5227" s="26"/>
    </row>
    <row r="5228" spans="14:14" x14ac:dyDescent="0.25">
      <c r="N5228" s="26"/>
    </row>
    <row r="5229" spans="14:14" x14ac:dyDescent="0.25">
      <c r="N5229" s="26"/>
    </row>
    <row r="5230" spans="14:14" x14ac:dyDescent="0.25">
      <c r="N5230" s="26"/>
    </row>
    <row r="5231" spans="14:14" x14ac:dyDescent="0.25">
      <c r="N5231" s="26"/>
    </row>
    <row r="5232" spans="14:14" x14ac:dyDescent="0.25">
      <c r="N5232" s="26"/>
    </row>
    <row r="5233" spans="14:14" x14ac:dyDescent="0.25">
      <c r="N5233" s="26"/>
    </row>
    <row r="5234" spans="14:14" x14ac:dyDescent="0.25">
      <c r="N5234" s="26"/>
    </row>
    <row r="5235" spans="14:14" x14ac:dyDescent="0.25">
      <c r="N5235" s="26"/>
    </row>
    <row r="5236" spans="14:14" x14ac:dyDescent="0.25">
      <c r="N5236" s="26"/>
    </row>
    <row r="5237" spans="14:14" x14ac:dyDescent="0.25">
      <c r="N5237" s="26"/>
    </row>
    <row r="5238" spans="14:14" x14ac:dyDescent="0.25">
      <c r="N5238" s="26"/>
    </row>
    <row r="5239" spans="14:14" x14ac:dyDescent="0.25">
      <c r="N5239" s="26"/>
    </row>
    <row r="5240" spans="14:14" x14ac:dyDescent="0.25">
      <c r="N5240" s="26"/>
    </row>
    <row r="5241" spans="14:14" x14ac:dyDescent="0.25">
      <c r="N5241" s="26"/>
    </row>
    <row r="5242" spans="14:14" x14ac:dyDescent="0.25">
      <c r="N5242" s="26"/>
    </row>
    <row r="5243" spans="14:14" x14ac:dyDescent="0.25">
      <c r="N5243" s="26"/>
    </row>
    <row r="5244" spans="14:14" x14ac:dyDescent="0.25">
      <c r="N5244" s="26"/>
    </row>
    <row r="5245" spans="14:14" x14ac:dyDescent="0.25">
      <c r="N5245" s="26"/>
    </row>
    <row r="5246" spans="14:14" x14ac:dyDescent="0.25">
      <c r="N5246" s="26"/>
    </row>
    <row r="5247" spans="14:14" x14ac:dyDescent="0.25">
      <c r="N5247" s="26"/>
    </row>
    <row r="5248" spans="14:14" x14ac:dyDescent="0.25">
      <c r="N5248" s="26"/>
    </row>
    <row r="5249" spans="14:14" x14ac:dyDescent="0.25">
      <c r="N5249" s="26"/>
    </row>
    <row r="5250" spans="14:14" x14ac:dyDescent="0.25">
      <c r="N5250" s="26"/>
    </row>
    <row r="5251" spans="14:14" x14ac:dyDescent="0.25">
      <c r="N5251" s="26"/>
    </row>
    <row r="5252" spans="14:14" x14ac:dyDescent="0.25">
      <c r="N5252" s="26"/>
    </row>
    <row r="5253" spans="14:14" x14ac:dyDescent="0.25">
      <c r="N5253" s="26"/>
    </row>
    <row r="5254" spans="14:14" x14ac:dyDescent="0.25">
      <c r="N5254" s="26"/>
    </row>
    <row r="5255" spans="14:14" x14ac:dyDescent="0.25">
      <c r="N5255" s="26"/>
    </row>
    <row r="5256" spans="14:14" x14ac:dyDescent="0.25">
      <c r="N5256" s="26"/>
    </row>
    <row r="5257" spans="14:14" x14ac:dyDescent="0.25">
      <c r="N5257" s="26"/>
    </row>
    <row r="5258" spans="14:14" x14ac:dyDescent="0.25">
      <c r="N5258" s="26"/>
    </row>
    <row r="5259" spans="14:14" x14ac:dyDescent="0.25">
      <c r="N5259" s="26"/>
    </row>
    <row r="5260" spans="14:14" x14ac:dyDescent="0.25">
      <c r="N5260" s="26"/>
    </row>
    <row r="5261" spans="14:14" x14ac:dyDescent="0.25">
      <c r="N5261" s="26"/>
    </row>
    <row r="5262" spans="14:14" x14ac:dyDescent="0.25">
      <c r="N5262" s="26"/>
    </row>
    <row r="5263" spans="14:14" x14ac:dyDescent="0.25">
      <c r="N5263" s="26"/>
    </row>
    <row r="5264" spans="14:14" x14ac:dyDescent="0.25">
      <c r="N5264" s="26"/>
    </row>
    <row r="5265" spans="14:14" x14ac:dyDescent="0.25">
      <c r="N5265" s="26"/>
    </row>
    <row r="5266" spans="14:14" x14ac:dyDescent="0.25">
      <c r="N5266" s="26"/>
    </row>
    <row r="5267" spans="14:14" x14ac:dyDescent="0.25">
      <c r="N5267" s="26"/>
    </row>
    <row r="5268" spans="14:14" x14ac:dyDescent="0.25">
      <c r="N5268" s="26"/>
    </row>
    <row r="5269" spans="14:14" x14ac:dyDescent="0.25">
      <c r="N5269" s="26"/>
    </row>
    <row r="5270" spans="14:14" x14ac:dyDescent="0.25">
      <c r="N5270" s="26"/>
    </row>
    <row r="5271" spans="14:14" x14ac:dyDescent="0.25">
      <c r="N5271" s="26"/>
    </row>
    <row r="5272" spans="14:14" x14ac:dyDescent="0.25">
      <c r="N5272" s="26"/>
    </row>
    <row r="5273" spans="14:14" x14ac:dyDescent="0.25">
      <c r="N5273" s="26"/>
    </row>
    <row r="5274" spans="14:14" x14ac:dyDescent="0.25">
      <c r="N5274" s="26"/>
    </row>
    <row r="5275" spans="14:14" x14ac:dyDescent="0.25">
      <c r="N5275" s="26"/>
    </row>
    <row r="5276" spans="14:14" x14ac:dyDescent="0.25">
      <c r="N5276" s="26"/>
    </row>
    <row r="5277" spans="14:14" x14ac:dyDescent="0.25">
      <c r="N5277" s="26"/>
    </row>
    <row r="5278" spans="14:14" x14ac:dyDescent="0.25">
      <c r="N5278" s="26"/>
    </row>
    <row r="5279" spans="14:14" x14ac:dyDescent="0.25">
      <c r="N5279" s="26"/>
    </row>
    <row r="5280" spans="14:14" x14ac:dyDescent="0.25">
      <c r="N5280" s="26"/>
    </row>
    <row r="5281" spans="14:14" x14ac:dyDescent="0.25">
      <c r="N5281" s="26"/>
    </row>
    <row r="5282" spans="14:14" x14ac:dyDescent="0.25">
      <c r="N5282" s="26"/>
    </row>
    <row r="5283" spans="14:14" x14ac:dyDescent="0.25">
      <c r="N5283" s="26"/>
    </row>
    <row r="5284" spans="14:14" x14ac:dyDescent="0.25">
      <c r="N5284" s="26"/>
    </row>
    <row r="5285" spans="14:14" x14ac:dyDescent="0.25">
      <c r="N5285" s="26"/>
    </row>
    <row r="5286" spans="14:14" x14ac:dyDescent="0.25">
      <c r="N5286" s="26"/>
    </row>
    <row r="5287" spans="14:14" x14ac:dyDescent="0.25">
      <c r="N5287" s="26"/>
    </row>
    <row r="5288" spans="14:14" x14ac:dyDescent="0.25">
      <c r="N5288" s="26"/>
    </row>
    <row r="5289" spans="14:14" x14ac:dyDescent="0.25">
      <c r="N5289" s="26"/>
    </row>
    <row r="5290" spans="14:14" x14ac:dyDescent="0.25">
      <c r="N5290" s="26"/>
    </row>
    <row r="5291" spans="14:14" x14ac:dyDescent="0.25">
      <c r="N5291" s="26"/>
    </row>
    <row r="5292" spans="14:14" x14ac:dyDescent="0.25">
      <c r="N5292" s="26"/>
    </row>
    <row r="5293" spans="14:14" x14ac:dyDescent="0.25">
      <c r="N5293" s="26"/>
    </row>
    <row r="5294" spans="14:14" x14ac:dyDescent="0.25">
      <c r="N5294" s="26"/>
    </row>
    <row r="5295" spans="14:14" x14ac:dyDescent="0.25">
      <c r="N5295" s="26"/>
    </row>
    <row r="5296" spans="14:14" x14ac:dyDescent="0.25">
      <c r="N5296" s="26"/>
    </row>
    <row r="5297" spans="14:14" x14ac:dyDescent="0.25">
      <c r="N5297" s="26"/>
    </row>
    <row r="5298" spans="14:14" x14ac:dyDescent="0.25">
      <c r="N5298" s="26"/>
    </row>
    <row r="5299" spans="14:14" x14ac:dyDescent="0.25">
      <c r="N5299" s="26"/>
    </row>
    <row r="5300" spans="14:14" x14ac:dyDescent="0.25">
      <c r="N5300" s="26"/>
    </row>
    <row r="5301" spans="14:14" x14ac:dyDescent="0.25">
      <c r="N5301" s="26"/>
    </row>
    <row r="5302" spans="14:14" x14ac:dyDescent="0.25">
      <c r="N5302" s="26"/>
    </row>
    <row r="5303" spans="14:14" x14ac:dyDescent="0.25">
      <c r="N5303" s="26"/>
    </row>
    <row r="5304" spans="14:14" x14ac:dyDescent="0.25">
      <c r="N5304" s="26"/>
    </row>
    <row r="5305" spans="14:14" x14ac:dyDescent="0.25">
      <c r="N5305" s="26"/>
    </row>
    <row r="5306" spans="14:14" x14ac:dyDescent="0.25">
      <c r="N5306" s="26"/>
    </row>
    <row r="5307" spans="14:14" x14ac:dyDescent="0.25">
      <c r="N5307" s="26"/>
    </row>
    <row r="5308" spans="14:14" x14ac:dyDescent="0.25">
      <c r="N5308" s="26"/>
    </row>
    <row r="5309" spans="14:14" x14ac:dyDescent="0.25">
      <c r="N5309" s="26"/>
    </row>
    <row r="5310" spans="14:14" x14ac:dyDescent="0.25">
      <c r="N5310" s="26"/>
    </row>
    <row r="5311" spans="14:14" x14ac:dyDescent="0.25">
      <c r="N5311" s="26"/>
    </row>
    <row r="5312" spans="14:14" x14ac:dyDescent="0.25">
      <c r="N5312" s="26"/>
    </row>
    <row r="5313" spans="14:14" x14ac:dyDescent="0.25">
      <c r="N5313" s="26"/>
    </row>
    <row r="5314" spans="14:14" x14ac:dyDescent="0.25">
      <c r="N5314" s="26"/>
    </row>
    <row r="5315" spans="14:14" x14ac:dyDescent="0.25">
      <c r="N5315" s="26"/>
    </row>
    <row r="5316" spans="14:14" x14ac:dyDescent="0.25">
      <c r="N5316" s="26"/>
    </row>
    <row r="5317" spans="14:14" x14ac:dyDescent="0.25">
      <c r="N5317" s="26"/>
    </row>
    <row r="5318" spans="14:14" x14ac:dyDescent="0.25">
      <c r="N5318" s="26"/>
    </row>
    <row r="5319" spans="14:14" x14ac:dyDescent="0.25">
      <c r="N5319" s="26"/>
    </row>
    <row r="5320" spans="14:14" x14ac:dyDescent="0.25">
      <c r="N5320" s="26"/>
    </row>
    <row r="5321" spans="14:14" x14ac:dyDescent="0.25">
      <c r="N5321" s="26"/>
    </row>
    <row r="5322" spans="14:14" x14ac:dyDescent="0.25">
      <c r="N5322" s="26"/>
    </row>
    <row r="5323" spans="14:14" x14ac:dyDescent="0.25">
      <c r="N5323" s="26"/>
    </row>
    <row r="5324" spans="14:14" x14ac:dyDescent="0.25">
      <c r="N5324" s="26"/>
    </row>
    <row r="5325" spans="14:14" x14ac:dyDescent="0.25">
      <c r="N5325" s="26"/>
    </row>
    <row r="5326" spans="14:14" x14ac:dyDescent="0.25">
      <c r="N5326" s="26"/>
    </row>
    <row r="5327" spans="14:14" x14ac:dyDescent="0.25">
      <c r="N5327" s="26"/>
    </row>
    <row r="5328" spans="14:14" x14ac:dyDescent="0.25">
      <c r="N5328" s="26"/>
    </row>
    <row r="5329" spans="14:14" x14ac:dyDescent="0.25">
      <c r="N5329" s="26"/>
    </row>
    <row r="5330" spans="14:14" x14ac:dyDescent="0.25">
      <c r="N5330" s="26"/>
    </row>
    <row r="5331" spans="14:14" x14ac:dyDescent="0.25">
      <c r="N5331" s="26"/>
    </row>
    <row r="5332" spans="14:14" x14ac:dyDescent="0.25">
      <c r="N5332" s="26"/>
    </row>
    <row r="5333" spans="14:14" x14ac:dyDescent="0.25">
      <c r="N5333" s="26"/>
    </row>
    <row r="5334" spans="14:14" x14ac:dyDescent="0.25">
      <c r="N5334" s="26"/>
    </row>
    <row r="5335" spans="14:14" x14ac:dyDescent="0.25">
      <c r="N5335" s="26"/>
    </row>
    <row r="5336" spans="14:14" x14ac:dyDescent="0.25">
      <c r="N5336" s="26"/>
    </row>
    <row r="5337" spans="14:14" x14ac:dyDescent="0.25">
      <c r="N5337" s="26"/>
    </row>
    <row r="5338" spans="14:14" x14ac:dyDescent="0.25">
      <c r="N5338" s="26"/>
    </row>
    <row r="5339" spans="14:14" x14ac:dyDescent="0.25">
      <c r="N5339" s="26"/>
    </row>
    <row r="5340" spans="14:14" x14ac:dyDescent="0.25">
      <c r="N5340" s="26"/>
    </row>
    <row r="5341" spans="14:14" x14ac:dyDescent="0.25">
      <c r="N5341" s="26"/>
    </row>
    <row r="5342" spans="14:14" x14ac:dyDescent="0.25">
      <c r="N5342" s="26"/>
    </row>
    <row r="5343" spans="14:14" x14ac:dyDescent="0.25">
      <c r="N5343" s="26"/>
    </row>
    <row r="5344" spans="14:14" x14ac:dyDescent="0.25">
      <c r="N5344" s="26"/>
    </row>
    <row r="5345" spans="14:14" x14ac:dyDescent="0.25">
      <c r="N5345" s="26"/>
    </row>
    <row r="5346" spans="14:14" x14ac:dyDescent="0.25">
      <c r="N5346" s="26"/>
    </row>
    <row r="5347" spans="14:14" x14ac:dyDescent="0.25">
      <c r="N5347" s="26"/>
    </row>
    <row r="5348" spans="14:14" x14ac:dyDescent="0.25">
      <c r="N5348" s="26"/>
    </row>
    <row r="5349" spans="14:14" x14ac:dyDescent="0.25">
      <c r="N5349" s="26"/>
    </row>
    <row r="5350" spans="14:14" x14ac:dyDescent="0.25">
      <c r="N5350" s="26"/>
    </row>
    <row r="5351" spans="14:14" x14ac:dyDescent="0.25">
      <c r="N5351" s="26"/>
    </row>
    <row r="5352" spans="14:14" x14ac:dyDescent="0.25">
      <c r="N5352" s="26"/>
    </row>
    <row r="5353" spans="14:14" x14ac:dyDescent="0.25">
      <c r="N5353" s="26"/>
    </row>
    <row r="5354" spans="14:14" x14ac:dyDescent="0.25">
      <c r="N5354" s="26"/>
    </row>
    <row r="5355" spans="14:14" x14ac:dyDescent="0.25">
      <c r="N5355" s="26"/>
    </row>
    <row r="5356" spans="14:14" x14ac:dyDescent="0.25">
      <c r="N5356" s="26"/>
    </row>
    <row r="5357" spans="14:14" x14ac:dyDescent="0.25">
      <c r="N5357" s="26"/>
    </row>
    <row r="5358" spans="14:14" x14ac:dyDescent="0.25">
      <c r="N5358" s="26"/>
    </row>
    <row r="5359" spans="14:14" x14ac:dyDescent="0.25">
      <c r="N5359" s="26"/>
    </row>
    <row r="5360" spans="14:14" x14ac:dyDescent="0.25">
      <c r="N5360" s="26"/>
    </row>
    <row r="5361" spans="14:14" x14ac:dyDescent="0.25">
      <c r="N5361" s="26"/>
    </row>
    <row r="5362" spans="14:14" x14ac:dyDescent="0.25">
      <c r="N5362" s="26"/>
    </row>
    <row r="5363" spans="14:14" x14ac:dyDescent="0.25">
      <c r="N5363" s="26"/>
    </row>
    <row r="5364" spans="14:14" x14ac:dyDescent="0.25">
      <c r="N5364" s="26"/>
    </row>
    <row r="5365" spans="14:14" x14ac:dyDescent="0.25">
      <c r="N5365" s="26"/>
    </row>
    <row r="5366" spans="14:14" x14ac:dyDescent="0.25">
      <c r="N5366" s="26"/>
    </row>
    <row r="5367" spans="14:14" x14ac:dyDescent="0.25">
      <c r="N5367" s="26"/>
    </row>
    <row r="5368" spans="14:14" x14ac:dyDescent="0.25">
      <c r="N5368" s="26"/>
    </row>
    <row r="5369" spans="14:14" x14ac:dyDescent="0.25">
      <c r="N5369" s="26"/>
    </row>
    <row r="5370" spans="14:14" x14ac:dyDescent="0.25">
      <c r="N5370" s="26"/>
    </row>
    <row r="5371" spans="14:14" x14ac:dyDescent="0.25">
      <c r="N5371" s="26"/>
    </row>
    <row r="5372" spans="14:14" x14ac:dyDescent="0.25">
      <c r="N5372" s="26"/>
    </row>
    <row r="5373" spans="14:14" x14ac:dyDescent="0.25">
      <c r="N5373" s="26"/>
    </row>
    <row r="5374" spans="14:14" x14ac:dyDescent="0.25">
      <c r="N5374" s="26"/>
    </row>
    <row r="5375" spans="14:14" x14ac:dyDescent="0.25">
      <c r="N5375" s="26"/>
    </row>
    <row r="5376" spans="14:14" x14ac:dyDescent="0.25">
      <c r="N5376" s="26"/>
    </row>
    <row r="5377" spans="14:14" x14ac:dyDescent="0.25">
      <c r="N5377" s="26"/>
    </row>
    <row r="5378" spans="14:14" x14ac:dyDescent="0.25">
      <c r="N5378" s="26"/>
    </row>
    <row r="5379" spans="14:14" x14ac:dyDescent="0.25">
      <c r="N5379" s="26"/>
    </row>
    <row r="5380" spans="14:14" x14ac:dyDescent="0.25">
      <c r="N5380" s="26"/>
    </row>
    <row r="5381" spans="14:14" x14ac:dyDescent="0.25">
      <c r="N5381" s="26"/>
    </row>
    <row r="5382" spans="14:14" x14ac:dyDescent="0.25">
      <c r="N5382" s="26"/>
    </row>
    <row r="5383" spans="14:14" x14ac:dyDescent="0.25">
      <c r="N5383" s="26"/>
    </row>
    <row r="5384" spans="14:14" x14ac:dyDescent="0.25">
      <c r="N5384" s="26"/>
    </row>
    <row r="5385" spans="14:14" x14ac:dyDescent="0.25">
      <c r="N5385" s="26"/>
    </row>
    <row r="5386" spans="14:14" x14ac:dyDescent="0.25">
      <c r="N5386" s="26"/>
    </row>
    <row r="5387" spans="14:14" x14ac:dyDescent="0.25">
      <c r="N5387" s="26"/>
    </row>
    <row r="5388" spans="14:14" x14ac:dyDescent="0.25">
      <c r="N5388" s="26"/>
    </row>
    <row r="5389" spans="14:14" x14ac:dyDescent="0.25">
      <c r="N5389" s="26"/>
    </row>
    <row r="5390" spans="14:14" x14ac:dyDescent="0.25">
      <c r="N5390" s="26"/>
    </row>
    <row r="5391" spans="14:14" x14ac:dyDescent="0.25">
      <c r="N5391" s="26"/>
    </row>
    <row r="5392" spans="14:14" x14ac:dyDescent="0.25">
      <c r="N5392" s="26"/>
    </row>
    <row r="5393" spans="14:14" x14ac:dyDescent="0.25">
      <c r="N5393" s="26"/>
    </row>
    <row r="5394" spans="14:14" x14ac:dyDescent="0.25">
      <c r="N5394" s="26"/>
    </row>
    <row r="5395" spans="14:14" x14ac:dyDescent="0.25">
      <c r="N5395" s="26"/>
    </row>
    <row r="5396" spans="14:14" x14ac:dyDescent="0.25">
      <c r="N5396" s="26"/>
    </row>
    <row r="5397" spans="14:14" x14ac:dyDescent="0.25">
      <c r="N5397" s="26"/>
    </row>
    <row r="5398" spans="14:14" x14ac:dyDescent="0.25">
      <c r="N5398" s="26"/>
    </row>
    <row r="5399" spans="14:14" x14ac:dyDescent="0.25">
      <c r="N5399" s="26"/>
    </row>
    <row r="5400" spans="14:14" x14ac:dyDescent="0.25">
      <c r="N5400" s="26"/>
    </row>
    <row r="5401" spans="14:14" x14ac:dyDescent="0.25">
      <c r="N5401" s="26"/>
    </row>
    <row r="5402" spans="14:14" x14ac:dyDescent="0.25">
      <c r="N5402" s="26"/>
    </row>
    <row r="5403" spans="14:14" x14ac:dyDescent="0.25">
      <c r="N5403" s="26"/>
    </row>
    <row r="5404" spans="14:14" x14ac:dyDescent="0.25">
      <c r="N5404" s="26"/>
    </row>
    <row r="5405" spans="14:14" x14ac:dyDescent="0.25">
      <c r="N5405" s="26"/>
    </row>
    <row r="5406" spans="14:14" x14ac:dyDescent="0.25">
      <c r="N5406" s="26"/>
    </row>
    <row r="5407" spans="14:14" x14ac:dyDescent="0.25">
      <c r="N5407" s="26"/>
    </row>
    <row r="5408" spans="14:14" x14ac:dyDescent="0.25">
      <c r="N5408" s="26"/>
    </row>
    <row r="5409" spans="14:14" x14ac:dyDescent="0.25">
      <c r="N5409" s="26"/>
    </row>
    <row r="5410" spans="14:14" x14ac:dyDescent="0.25">
      <c r="N5410" s="26"/>
    </row>
    <row r="5411" spans="14:14" x14ac:dyDescent="0.25">
      <c r="N5411" s="26"/>
    </row>
    <row r="5412" spans="14:14" x14ac:dyDescent="0.25">
      <c r="N5412" s="26"/>
    </row>
    <row r="5413" spans="14:14" x14ac:dyDescent="0.25">
      <c r="N5413" s="26"/>
    </row>
    <row r="5414" spans="14:14" x14ac:dyDescent="0.25">
      <c r="N5414" s="26"/>
    </row>
    <row r="5415" spans="14:14" x14ac:dyDescent="0.25">
      <c r="N5415" s="26"/>
    </row>
    <row r="5416" spans="14:14" x14ac:dyDescent="0.25">
      <c r="N5416" s="26"/>
    </row>
    <row r="5417" spans="14:14" x14ac:dyDescent="0.25">
      <c r="N5417" s="26"/>
    </row>
    <row r="5418" spans="14:14" x14ac:dyDescent="0.25">
      <c r="N5418" s="26"/>
    </row>
    <row r="5419" spans="14:14" x14ac:dyDescent="0.25">
      <c r="N5419" s="26"/>
    </row>
    <row r="5420" spans="14:14" x14ac:dyDescent="0.25">
      <c r="N5420" s="26"/>
    </row>
    <row r="5421" spans="14:14" x14ac:dyDescent="0.25">
      <c r="N5421" s="26"/>
    </row>
    <row r="5422" spans="14:14" x14ac:dyDescent="0.25">
      <c r="N5422" s="26"/>
    </row>
    <row r="5423" spans="14:14" x14ac:dyDescent="0.25">
      <c r="N5423" s="26"/>
    </row>
    <row r="5424" spans="14:14" x14ac:dyDescent="0.25">
      <c r="N5424" s="26"/>
    </row>
    <row r="5425" spans="14:14" x14ac:dyDescent="0.25">
      <c r="N5425" s="26"/>
    </row>
    <row r="5426" spans="14:14" x14ac:dyDescent="0.25">
      <c r="N5426" s="26"/>
    </row>
    <row r="5427" spans="14:14" x14ac:dyDescent="0.25">
      <c r="N5427" s="26"/>
    </row>
    <row r="5428" spans="14:14" x14ac:dyDescent="0.25">
      <c r="N5428" s="26"/>
    </row>
    <row r="5429" spans="14:14" x14ac:dyDescent="0.25">
      <c r="N5429" s="26"/>
    </row>
    <row r="5430" spans="14:14" x14ac:dyDescent="0.25">
      <c r="N5430" s="26"/>
    </row>
    <row r="5431" spans="14:14" x14ac:dyDescent="0.25">
      <c r="N5431" s="26"/>
    </row>
    <row r="5432" spans="14:14" x14ac:dyDescent="0.25">
      <c r="N5432" s="26"/>
    </row>
    <row r="5433" spans="14:14" x14ac:dyDescent="0.25">
      <c r="N5433" s="26"/>
    </row>
    <row r="5434" spans="14:14" x14ac:dyDescent="0.25">
      <c r="N5434" s="26"/>
    </row>
    <row r="5435" spans="14:14" x14ac:dyDescent="0.25">
      <c r="N5435" s="26"/>
    </row>
    <row r="5436" spans="14:14" x14ac:dyDescent="0.25">
      <c r="N5436" s="26"/>
    </row>
    <row r="5437" spans="14:14" x14ac:dyDescent="0.25">
      <c r="N5437" s="26"/>
    </row>
    <row r="5438" spans="14:14" x14ac:dyDescent="0.25">
      <c r="N5438" s="26"/>
    </row>
    <row r="5439" spans="14:14" x14ac:dyDescent="0.25">
      <c r="N5439" s="26"/>
    </row>
    <row r="5440" spans="14:14" x14ac:dyDescent="0.25">
      <c r="N5440" s="26"/>
    </row>
    <row r="5441" spans="14:14" x14ac:dyDescent="0.25">
      <c r="N5441" s="26"/>
    </row>
    <row r="5442" spans="14:14" x14ac:dyDescent="0.25">
      <c r="N5442" s="26"/>
    </row>
    <row r="5443" spans="14:14" x14ac:dyDescent="0.25">
      <c r="N5443" s="26"/>
    </row>
    <row r="5444" spans="14:14" x14ac:dyDescent="0.25">
      <c r="N5444" s="26"/>
    </row>
    <row r="5445" spans="14:14" x14ac:dyDescent="0.25">
      <c r="N5445" s="26"/>
    </row>
    <row r="5446" spans="14:14" x14ac:dyDescent="0.25">
      <c r="N5446" s="26"/>
    </row>
    <row r="5447" spans="14:14" x14ac:dyDescent="0.25">
      <c r="N5447" s="26"/>
    </row>
    <row r="5448" spans="14:14" x14ac:dyDescent="0.25">
      <c r="N5448" s="26"/>
    </row>
    <row r="5449" spans="14:14" x14ac:dyDescent="0.25">
      <c r="N5449" s="26"/>
    </row>
    <row r="5450" spans="14:14" x14ac:dyDescent="0.25">
      <c r="N5450" s="26"/>
    </row>
    <row r="5451" spans="14:14" x14ac:dyDescent="0.25">
      <c r="N5451" s="26"/>
    </row>
    <row r="5452" spans="14:14" x14ac:dyDescent="0.25">
      <c r="N5452" s="26"/>
    </row>
    <row r="5453" spans="14:14" x14ac:dyDescent="0.25">
      <c r="N5453" s="26"/>
    </row>
    <row r="5454" spans="14:14" x14ac:dyDescent="0.25">
      <c r="N5454" s="26"/>
    </row>
    <row r="5455" spans="14:14" x14ac:dyDescent="0.25">
      <c r="N5455" s="26"/>
    </row>
    <row r="5456" spans="14:14" x14ac:dyDescent="0.25">
      <c r="N5456" s="26"/>
    </row>
    <row r="5457" spans="14:14" x14ac:dyDescent="0.25">
      <c r="N5457" s="26"/>
    </row>
    <row r="5458" spans="14:14" x14ac:dyDescent="0.25">
      <c r="N5458" s="26"/>
    </row>
    <row r="5459" spans="14:14" x14ac:dyDescent="0.25">
      <c r="N5459" s="26"/>
    </row>
    <row r="5460" spans="14:14" x14ac:dyDescent="0.25">
      <c r="N5460" s="26"/>
    </row>
    <row r="5461" spans="14:14" x14ac:dyDescent="0.25">
      <c r="N5461" s="26"/>
    </row>
    <row r="5462" spans="14:14" x14ac:dyDescent="0.25">
      <c r="N5462" s="26"/>
    </row>
    <row r="5463" spans="14:14" x14ac:dyDescent="0.25">
      <c r="N5463" s="26"/>
    </row>
    <row r="5464" spans="14:14" x14ac:dyDescent="0.25">
      <c r="N5464" s="26"/>
    </row>
    <row r="5465" spans="14:14" x14ac:dyDescent="0.25">
      <c r="N5465" s="26"/>
    </row>
    <row r="5466" spans="14:14" x14ac:dyDescent="0.25">
      <c r="N5466" s="26"/>
    </row>
    <row r="5467" spans="14:14" x14ac:dyDescent="0.25">
      <c r="N5467" s="26"/>
    </row>
    <row r="5468" spans="14:14" x14ac:dyDescent="0.25">
      <c r="N5468" s="26"/>
    </row>
    <row r="5469" spans="14:14" x14ac:dyDescent="0.25">
      <c r="N5469" s="26"/>
    </row>
    <row r="5470" spans="14:14" x14ac:dyDescent="0.25">
      <c r="N5470" s="26"/>
    </row>
    <row r="5471" spans="14:14" x14ac:dyDescent="0.25">
      <c r="N5471" s="26"/>
    </row>
    <row r="5472" spans="14:14" x14ac:dyDescent="0.25">
      <c r="N5472" s="26"/>
    </row>
    <row r="5473" spans="14:14" x14ac:dyDescent="0.25">
      <c r="N5473" s="26"/>
    </row>
    <row r="5474" spans="14:14" x14ac:dyDescent="0.25">
      <c r="N5474" s="26"/>
    </row>
    <row r="5475" spans="14:14" x14ac:dyDescent="0.25">
      <c r="N5475" s="26"/>
    </row>
    <row r="5476" spans="14:14" x14ac:dyDescent="0.25">
      <c r="N5476" s="26"/>
    </row>
    <row r="5477" spans="14:14" x14ac:dyDescent="0.25">
      <c r="N5477" s="26"/>
    </row>
    <row r="5478" spans="14:14" x14ac:dyDescent="0.25">
      <c r="N5478" s="26"/>
    </row>
    <row r="5479" spans="14:14" x14ac:dyDescent="0.25">
      <c r="N5479" s="26"/>
    </row>
    <row r="5480" spans="14:14" x14ac:dyDescent="0.25">
      <c r="N5480" s="26"/>
    </row>
    <row r="5481" spans="14:14" x14ac:dyDescent="0.25">
      <c r="N5481" s="26"/>
    </row>
    <row r="5482" spans="14:14" x14ac:dyDescent="0.25">
      <c r="N5482" s="26"/>
    </row>
    <row r="5483" spans="14:14" x14ac:dyDescent="0.25">
      <c r="N5483" s="26"/>
    </row>
    <row r="5484" spans="14:14" x14ac:dyDescent="0.25">
      <c r="N5484" s="26"/>
    </row>
    <row r="5485" spans="14:14" x14ac:dyDescent="0.25">
      <c r="N5485" s="26"/>
    </row>
    <row r="5486" spans="14:14" x14ac:dyDescent="0.25">
      <c r="N5486" s="26"/>
    </row>
    <row r="5487" spans="14:14" x14ac:dyDescent="0.25">
      <c r="N5487" s="26"/>
    </row>
    <row r="5488" spans="14:14" x14ac:dyDescent="0.25">
      <c r="N5488" s="26"/>
    </row>
    <row r="5489" spans="14:14" x14ac:dyDescent="0.25">
      <c r="N5489" s="26"/>
    </row>
    <row r="5490" spans="14:14" x14ac:dyDescent="0.25">
      <c r="N5490" s="26"/>
    </row>
    <row r="5491" spans="14:14" x14ac:dyDescent="0.25">
      <c r="N5491" s="26"/>
    </row>
    <row r="5492" spans="14:14" x14ac:dyDescent="0.25">
      <c r="N5492" s="26"/>
    </row>
    <row r="5493" spans="14:14" x14ac:dyDescent="0.25">
      <c r="N5493" s="26"/>
    </row>
    <row r="5494" spans="14:14" x14ac:dyDescent="0.25">
      <c r="N5494" s="26"/>
    </row>
    <row r="5495" spans="14:14" x14ac:dyDescent="0.25">
      <c r="N5495" s="26"/>
    </row>
    <row r="5496" spans="14:14" x14ac:dyDescent="0.25">
      <c r="N5496" s="26"/>
    </row>
    <row r="5497" spans="14:14" x14ac:dyDescent="0.25">
      <c r="N5497" s="26"/>
    </row>
    <row r="5498" spans="14:14" x14ac:dyDescent="0.25">
      <c r="N5498" s="26"/>
    </row>
    <row r="5499" spans="14:14" x14ac:dyDescent="0.25">
      <c r="N5499" s="26"/>
    </row>
    <row r="5500" spans="14:14" x14ac:dyDescent="0.25">
      <c r="N5500" s="26"/>
    </row>
    <row r="5501" spans="14:14" x14ac:dyDescent="0.25">
      <c r="N5501" s="26"/>
    </row>
    <row r="5502" spans="14:14" x14ac:dyDescent="0.25">
      <c r="N5502" s="26"/>
    </row>
    <row r="5503" spans="14:14" x14ac:dyDescent="0.25">
      <c r="N5503" s="26"/>
    </row>
    <row r="5504" spans="14:14" x14ac:dyDescent="0.25">
      <c r="N5504" s="26"/>
    </row>
    <row r="5505" spans="14:14" x14ac:dyDescent="0.25">
      <c r="N5505" s="26"/>
    </row>
    <row r="5506" spans="14:14" x14ac:dyDescent="0.25">
      <c r="N5506" s="26"/>
    </row>
    <row r="5507" spans="14:14" x14ac:dyDescent="0.25">
      <c r="N5507" s="26"/>
    </row>
    <row r="5508" spans="14:14" x14ac:dyDescent="0.25">
      <c r="N5508" s="26"/>
    </row>
    <row r="5509" spans="14:14" x14ac:dyDescent="0.25">
      <c r="N5509" s="26"/>
    </row>
    <row r="5510" spans="14:14" x14ac:dyDescent="0.25">
      <c r="N5510" s="26"/>
    </row>
    <row r="5511" spans="14:14" x14ac:dyDescent="0.25">
      <c r="N5511" s="26"/>
    </row>
    <row r="5512" spans="14:14" x14ac:dyDescent="0.25">
      <c r="N5512" s="26"/>
    </row>
    <row r="5513" spans="14:14" x14ac:dyDescent="0.25">
      <c r="N5513" s="26"/>
    </row>
    <row r="5514" spans="14:14" x14ac:dyDescent="0.25">
      <c r="N5514" s="26"/>
    </row>
    <row r="5515" spans="14:14" x14ac:dyDescent="0.25">
      <c r="N5515" s="26"/>
    </row>
    <row r="5516" spans="14:14" x14ac:dyDescent="0.25">
      <c r="N5516" s="26"/>
    </row>
    <row r="5517" spans="14:14" x14ac:dyDescent="0.25">
      <c r="N5517" s="26"/>
    </row>
    <row r="5518" spans="14:14" x14ac:dyDescent="0.25">
      <c r="N5518" s="26"/>
    </row>
    <row r="5519" spans="14:14" x14ac:dyDescent="0.25">
      <c r="N5519" s="26"/>
    </row>
    <row r="5520" spans="14:14" x14ac:dyDescent="0.25">
      <c r="N5520" s="26"/>
    </row>
    <row r="5521" spans="14:14" x14ac:dyDescent="0.25">
      <c r="N5521" s="26"/>
    </row>
    <row r="5522" spans="14:14" x14ac:dyDescent="0.25">
      <c r="N5522" s="26"/>
    </row>
    <row r="5523" spans="14:14" x14ac:dyDescent="0.25">
      <c r="N5523" s="26"/>
    </row>
    <row r="5524" spans="14:14" x14ac:dyDescent="0.25">
      <c r="N5524" s="26"/>
    </row>
    <row r="5525" spans="14:14" x14ac:dyDescent="0.25">
      <c r="N5525" s="26"/>
    </row>
    <row r="5526" spans="14:14" x14ac:dyDescent="0.25">
      <c r="N5526" s="26"/>
    </row>
    <row r="5527" spans="14:14" x14ac:dyDescent="0.25">
      <c r="N5527" s="26"/>
    </row>
    <row r="5528" spans="14:14" x14ac:dyDescent="0.25">
      <c r="N5528" s="26"/>
    </row>
    <row r="5529" spans="14:14" x14ac:dyDescent="0.25">
      <c r="N5529" s="26"/>
    </row>
    <row r="5530" spans="14:14" x14ac:dyDescent="0.25">
      <c r="N5530" s="26"/>
    </row>
    <row r="5531" spans="14:14" x14ac:dyDescent="0.25">
      <c r="N5531" s="26"/>
    </row>
    <row r="5532" spans="14:14" x14ac:dyDescent="0.25">
      <c r="N5532" s="26"/>
    </row>
    <row r="5533" spans="14:14" x14ac:dyDescent="0.25">
      <c r="N5533" s="26"/>
    </row>
    <row r="5534" spans="14:14" x14ac:dyDescent="0.25">
      <c r="N5534" s="26"/>
    </row>
    <row r="5535" spans="14:14" x14ac:dyDescent="0.25">
      <c r="N5535" s="26"/>
    </row>
    <row r="5536" spans="14:14" x14ac:dyDescent="0.25">
      <c r="N5536" s="26"/>
    </row>
    <row r="5537" spans="14:14" x14ac:dyDescent="0.25">
      <c r="N5537" s="26"/>
    </row>
    <row r="5538" spans="14:14" x14ac:dyDescent="0.25">
      <c r="N5538" s="26"/>
    </row>
    <row r="5539" spans="14:14" x14ac:dyDescent="0.25">
      <c r="N5539" s="26"/>
    </row>
    <row r="5540" spans="14:14" x14ac:dyDescent="0.25">
      <c r="N5540" s="26"/>
    </row>
    <row r="5541" spans="14:14" x14ac:dyDescent="0.25">
      <c r="N5541" s="26"/>
    </row>
    <row r="5542" spans="14:14" x14ac:dyDescent="0.25">
      <c r="N5542" s="26"/>
    </row>
    <row r="5543" spans="14:14" x14ac:dyDescent="0.25">
      <c r="N5543" s="26"/>
    </row>
    <row r="5544" spans="14:14" x14ac:dyDescent="0.25">
      <c r="N5544" s="26"/>
    </row>
    <row r="5545" spans="14:14" x14ac:dyDescent="0.25">
      <c r="N5545" s="26"/>
    </row>
    <row r="5546" spans="14:14" x14ac:dyDescent="0.25">
      <c r="N5546" s="26"/>
    </row>
    <row r="5547" spans="14:14" x14ac:dyDescent="0.25">
      <c r="N5547" s="26"/>
    </row>
    <row r="5548" spans="14:14" x14ac:dyDescent="0.25">
      <c r="N5548" s="26"/>
    </row>
    <row r="5549" spans="14:14" x14ac:dyDescent="0.25">
      <c r="N5549" s="26"/>
    </row>
    <row r="5550" spans="14:14" x14ac:dyDescent="0.25">
      <c r="N5550" s="26"/>
    </row>
    <row r="5551" spans="14:14" x14ac:dyDescent="0.25">
      <c r="N5551" s="26"/>
    </row>
    <row r="5552" spans="14:14" x14ac:dyDescent="0.25">
      <c r="N5552" s="26"/>
    </row>
    <row r="5553" spans="14:14" x14ac:dyDescent="0.25">
      <c r="N5553" s="26"/>
    </row>
    <row r="5554" spans="14:14" x14ac:dyDescent="0.25">
      <c r="N5554" s="26"/>
    </row>
    <row r="5555" spans="14:14" x14ac:dyDescent="0.25">
      <c r="N5555" s="26"/>
    </row>
    <row r="5556" spans="14:14" x14ac:dyDescent="0.25">
      <c r="N5556" s="26"/>
    </row>
    <row r="5557" spans="14:14" x14ac:dyDescent="0.25">
      <c r="N5557" s="26"/>
    </row>
    <row r="5558" spans="14:14" x14ac:dyDescent="0.25">
      <c r="N5558" s="26"/>
    </row>
    <row r="5559" spans="14:14" x14ac:dyDescent="0.25">
      <c r="N5559" s="26"/>
    </row>
    <row r="5560" spans="14:14" x14ac:dyDescent="0.25">
      <c r="N5560" s="26"/>
    </row>
    <row r="5561" spans="14:14" x14ac:dyDescent="0.25">
      <c r="N5561" s="26"/>
    </row>
    <row r="5562" spans="14:14" x14ac:dyDescent="0.25">
      <c r="N5562" s="26"/>
    </row>
    <row r="5563" spans="14:14" x14ac:dyDescent="0.25">
      <c r="N5563" s="26"/>
    </row>
    <row r="5564" spans="14:14" x14ac:dyDescent="0.25">
      <c r="N5564" s="26"/>
    </row>
    <row r="5565" spans="14:14" x14ac:dyDescent="0.25">
      <c r="N5565" s="26"/>
    </row>
    <row r="5566" spans="14:14" x14ac:dyDescent="0.25">
      <c r="N5566" s="26"/>
    </row>
    <row r="5567" spans="14:14" x14ac:dyDescent="0.25">
      <c r="N5567" s="26"/>
    </row>
    <row r="5568" spans="14:14" x14ac:dyDescent="0.25">
      <c r="N5568" s="26"/>
    </row>
    <row r="5569" spans="14:14" x14ac:dyDescent="0.25">
      <c r="N5569" s="26"/>
    </row>
    <row r="5570" spans="14:14" x14ac:dyDescent="0.25">
      <c r="N5570" s="26"/>
    </row>
    <row r="5571" spans="14:14" x14ac:dyDescent="0.25">
      <c r="N5571" s="26"/>
    </row>
    <row r="5572" spans="14:14" x14ac:dyDescent="0.25">
      <c r="N5572" s="26"/>
    </row>
    <row r="5573" spans="14:14" x14ac:dyDescent="0.25">
      <c r="N5573" s="26"/>
    </row>
    <row r="5574" spans="14:14" x14ac:dyDescent="0.25">
      <c r="N5574" s="26"/>
    </row>
    <row r="5575" spans="14:14" x14ac:dyDescent="0.25">
      <c r="N5575" s="26"/>
    </row>
    <row r="5576" spans="14:14" x14ac:dyDescent="0.25">
      <c r="N5576" s="26"/>
    </row>
    <row r="5577" spans="14:14" x14ac:dyDescent="0.25">
      <c r="N5577" s="26"/>
    </row>
    <row r="5578" spans="14:14" x14ac:dyDescent="0.25">
      <c r="N5578" s="26"/>
    </row>
    <row r="5579" spans="14:14" x14ac:dyDescent="0.25">
      <c r="N5579" s="26"/>
    </row>
    <row r="5580" spans="14:14" x14ac:dyDescent="0.25">
      <c r="N5580" s="26"/>
    </row>
    <row r="5581" spans="14:14" x14ac:dyDescent="0.25">
      <c r="N5581" s="26"/>
    </row>
    <row r="5582" spans="14:14" x14ac:dyDescent="0.25">
      <c r="N5582" s="26"/>
    </row>
    <row r="5583" spans="14:14" x14ac:dyDescent="0.25">
      <c r="N5583" s="26"/>
    </row>
    <row r="5584" spans="14:14" x14ac:dyDescent="0.25">
      <c r="N5584" s="26"/>
    </row>
    <row r="5585" spans="14:14" x14ac:dyDescent="0.25">
      <c r="N5585" s="26"/>
    </row>
    <row r="5586" spans="14:14" x14ac:dyDescent="0.25">
      <c r="N5586" s="26"/>
    </row>
    <row r="5587" spans="14:14" x14ac:dyDescent="0.25">
      <c r="N5587" s="26"/>
    </row>
    <row r="5588" spans="14:14" x14ac:dyDescent="0.25">
      <c r="N5588" s="26"/>
    </row>
    <row r="5589" spans="14:14" x14ac:dyDescent="0.25">
      <c r="N5589" s="26"/>
    </row>
    <row r="5590" spans="14:14" x14ac:dyDescent="0.25">
      <c r="N5590" s="26"/>
    </row>
    <row r="5591" spans="14:14" x14ac:dyDescent="0.25">
      <c r="N5591" s="26"/>
    </row>
    <row r="5592" spans="14:14" x14ac:dyDescent="0.25">
      <c r="N5592" s="26"/>
    </row>
    <row r="5593" spans="14:14" x14ac:dyDescent="0.25">
      <c r="N5593" s="26"/>
    </row>
    <row r="5594" spans="14:14" x14ac:dyDescent="0.25">
      <c r="N5594" s="26"/>
    </row>
    <row r="5595" spans="14:14" x14ac:dyDescent="0.25">
      <c r="N5595" s="26"/>
    </row>
    <row r="5596" spans="14:14" x14ac:dyDescent="0.25">
      <c r="N5596" s="26"/>
    </row>
    <row r="5597" spans="14:14" x14ac:dyDescent="0.25">
      <c r="N5597" s="26"/>
    </row>
    <row r="5598" spans="14:14" x14ac:dyDescent="0.25">
      <c r="N5598" s="26"/>
    </row>
    <row r="5599" spans="14:14" x14ac:dyDescent="0.25">
      <c r="N5599" s="26"/>
    </row>
    <row r="5600" spans="14:14" x14ac:dyDescent="0.25">
      <c r="N5600" s="26"/>
    </row>
    <row r="5601" spans="14:14" x14ac:dyDescent="0.25">
      <c r="N5601" s="26"/>
    </row>
    <row r="5602" spans="14:14" x14ac:dyDescent="0.25">
      <c r="N5602" s="26"/>
    </row>
    <row r="5603" spans="14:14" x14ac:dyDescent="0.25">
      <c r="N5603" s="26"/>
    </row>
    <row r="5604" spans="14:14" x14ac:dyDescent="0.25">
      <c r="N5604" s="26"/>
    </row>
    <row r="5605" spans="14:14" x14ac:dyDescent="0.25">
      <c r="N5605" s="26"/>
    </row>
    <row r="5606" spans="14:14" x14ac:dyDescent="0.25">
      <c r="N5606" s="26"/>
    </row>
    <row r="5607" spans="14:14" x14ac:dyDescent="0.25">
      <c r="N5607" s="26"/>
    </row>
    <row r="5608" spans="14:14" x14ac:dyDescent="0.25">
      <c r="N5608" s="26"/>
    </row>
    <row r="5609" spans="14:14" x14ac:dyDescent="0.25">
      <c r="N5609" s="26"/>
    </row>
    <row r="5610" spans="14:14" x14ac:dyDescent="0.25">
      <c r="N5610" s="26"/>
    </row>
    <row r="5611" spans="14:14" x14ac:dyDescent="0.25">
      <c r="N5611" s="26"/>
    </row>
    <row r="5612" spans="14:14" x14ac:dyDescent="0.25">
      <c r="N5612" s="26"/>
    </row>
    <row r="5613" spans="14:14" x14ac:dyDescent="0.25">
      <c r="N5613" s="26"/>
    </row>
    <row r="5614" spans="14:14" x14ac:dyDescent="0.25">
      <c r="N5614" s="26"/>
    </row>
    <row r="5615" spans="14:14" x14ac:dyDescent="0.25">
      <c r="N5615" s="26"/>
    </row>
    <row r="5616" spans="14:14" x14ac:dyDescent="0.25">
      <c r="N5616" s="26"/>
    </row>
    <row r="5617" spans="14:14" x14ac:dyDescent="0.25">
      <c r="N5617" s="26"/>
    </row>
    <row r="5618" spans="14:14" x14ac:dyDescent="0.25">
      <c r="N5618" s="26"/>
    </row>
    <row r="5619" spans="14:14" x14ac:dyDescent="0.25">
      <c r="N5619" s="26"/>
    </row>
    <row r="5620" spans="14:14" x14ac:dyDescent="0.25">
      <c r="N5620" s="26"/>
    </row>
    <row r="5621" spans="14:14" x14ac:dyDescent="0.25">
      <c r="N5621" s="26"/>
    </row>
    <row r="5622" spans="14:14" x14ac:dyDescent="0.25">
      <c r="N5622" s="26"/>
    </row>
    <row r="5623" spans="14:14" x14ac:dyDescent="0.25">
      <c r="N5623" s="26"/>
    </row>
    <row r="5624" spans="14:14" x14ac:dyDescent="0.25">
      <c r="N5624" s="26"/>
    </row>
    <row r="5625" spans="14:14" x14ac:dyDescent="0.25">
      <c r="N5625" s="26"/>
    </row>
    <row r="5626" spans="14:14" x14ac:dyDescent="0.25">
      <c r="N5626" s="26"/>
    </row>
    <row r="5627" spans="14:14" x14ac:dyDescent="0.25">
      <c r="N5627" s="26"/>
    </row>
    <row r="5628" spans="14:14" x14ac:dyDescent="0.25">
      <c r="N5628" s="26"/>
    </row>
    <row r="5629" spans="14:14" x14ac:dyDescent="0.25">
      <c r="N5629" s="26"/>
    </row>
    <row r="5630" spans="14:14" x14ac:dyDescent="0.25">
      <c r="N5630" s="26"/>
    </row>
    <row r="5631" spans="14:14" x14ac:dyDescent="0.25">
      <c r="N5631" s="26"/>
    </row>
    <row r="5632" spans="14:14" x14ac:dyDescent="0.25">
      <c r="N5632" s="26"/>
    </row>
    <row r="5633" spans="14:14" x14ac:dyDescent="0.25">
      <c r="N5633" s="26"/>
    </row>
    <row r="5634" spans="14:14" x14ac:dyDescent="0.25">
      <c r="N5634" s="26"/>
    </row>
    <row r="5635" spans="14:14" x14ac:dyDescent="0.25">
      <c r="N5635" s="26"/>
    </row>
    <row r="5636" spans="14:14" x14ac:dyDescent="0.25">
      <c r="N5636" s="26"/>
    </row>
    <row r="5637" spans="14:14" x14ac:dyDescent="0.25">
      <c r="N5637" s="26"/>
    </row>
    <row r="5638" spans="14:14" x14ac:dyDescent="0.25">
      <c r="N5638" s="26"/>
    </row>
    <row r="5639" spans="14:14" x14ac:dyDescent="0.25">
      <c r="N5639" s="26"/>
    </row>
    <row r="5640" spans="14:14" x14ac:dyDescent="0.25">
      <c r="N5640" s="26"/>
    </row>
    <row r="5641" spans="14:14" x14ac:dyDescent="0.25">
      <c r="N5641" s="26"/>
    </row>
    <row r="5642" spans="14:14" x14ac:dyDescent="0.25">
      <c r="N5642" s="26"/>
    </row>
    <row r="5643" spans="14:14" x14ac:dyDescent="0.25">
      <c r="N5643" s="26"/>
    </row>
    <row r="5644" spans="14:14" x14ac:dyDescent="0.25">
      <c r="N5644" s="26"/>
    </row>
    <row r="5645" spans="14:14" x14ac:dyDescent="0.25">
      <c r="N5645" s="26"/>
    </row>
    <row r="5646" spans="14:14" x14ac:dyDescent="0.25">
      <c r="N5646" s="26"/>
    </row>
    <row r="5647" spans="14:14" x14ac:dyDescent="0.25">
      <c r="N5647" s="26"/>
    </row>
    <row r="5648" spans="14:14" x14ac:dyDescent="0.25">
      <c r="N5648" s="26"/>
    </row>
    <row r="5649" spans="14:14" x14ac:dyDescent="0.25">
      <c r="N5649" s="26"/>
    </row>
    <row r="5650" spans="14:14" x14ac:dyDescent="0.25">
      <c r="N5650" s="26"/>
    </row>
    <row r="5651" spans="14:14" x14ac:dyDescent="0.25">
      <c r="N5651" s="26"/>
    </row>
    <row r="5652" spans="14:14" x14ac:dyDescent="0.25">
      <c r="N5652" s="26"/>
    </row>
    <row r="5653" spans="14:14" x14ac:dyDescent="0.25">
      <c r="N5653" s="26"/>
    </row>
    <row r="5654" spans="14:14" x14ac:dyDescent="0.25">
      <c r="N5654" s="26"/>
    </row>
    <row r="5655" spans="14:14" x14ac:dyDescent="0.25">
      <c r="N5655" s="26"/>
    </row>
    <row r="5656" spans="14:14" x14ac:dyDescent="0.25">
      <c r="N5656" s="26"/>
    </row>
    <row r="5657" spans="14:14" x14ac:dyDescent="0.25">
      <c r="N5657" s="26"/>
    </row>
    <row r="5658" spans="14:14" x14ac:dyDescent="0.25">
      <c r="N5658" s="26"/>
    </row>
    <row r="5659" spans="14:14" x14ac:dyDescent="0.25">
      <c r="N5659" s="26"/>
    </row>
    <row r="5660" spans="14:14" x14ac:dyDescent="0.25">
      <c r="N5660" s="26"/>
    </row>
    <row r="5661" spans="14:14" x14ac:dyDescent="0.25">
      <c r="N5661" s="26"/>
    </row>
    <row r="5662" spans="14:14" x14ac:dyDescent="0.25">
      <c r="N5662" s="26"/>
    </row>
    <row r="5663" spans="14:14" x14ac:dyDescent="0.25">
      <c r="N5663" s="26"/>
    </row>
    <row r="5664" spans="14:14" x14ac:dyDescent="0.25">
      <c r="N5664" s="26"/>
    </row>
    <row r="5665" spans="14:14" x14ac:dyDescent="0.25">
      <c r="N5665" s="26"/>
    </row>
    <row r="5666" spans="14:14" x14ac:dyDescent="0.25">
      <c r="N5666" s="26"/>
    </row>
    <row r="5667" spans="14:14" x14ac:dyDescent="0.25">
      <c r="N5667" s="26"/>
    </row>
    <row r="5668" spans="14:14" x14ac:dyDescent="0.25">
      <c r="N5668" s="26"/>
    </row>
    <row r="5669" spans="14:14" x14ac:dyDescent="0.25">
      <c r="N5669" s="26"/>
    </row>
    <row r="5670" spans="14:14" x14ac:dyDescent="0.25">
      <c r="N5670" s="26"/>
    </row>
    <row r="5671" spans="14:14" x14ac:dyDescent="0.25">
      <c r="N5671" s="26"/>
    </row>
    <row r="5672" spans="14:14" x14ac:dyDescent="0.25">
      <c r="N5672" s="26"/>
    </row>
    <row r="5673" spans="14:14" x14ac:dyDescent="0.25">
      <c r="N5673" s="26"/>
    </row>
    <row r="5674" spans="14:14" x14ac:dyDescent="0.25">
      <c r="N5674" s="26"/>
    </row>
    <row r="5675" spans="14:14" x14ac:dyDescent="0.25">
      <c r="N5675" s="26"/>
    </row>
    <row r="5676" spans="14:14" x14ac:dyDescent="0.25">
      <c r="N5676" s="26"/>
    </row>
    <row r="5677" spans="14:14" x14ac:dyDescent="0.25">
      <c r="N5677" s="26"/>
    </row>
    <row r="5678" spans="14:14" x14ac:dyDescent="0.25">
      <c r="N5678" s="26"/>
    </row>
    <row r="5679" spans="14:14" x14ac:dyDescent="0.25">
      <c r="N5679" s="26"/>
    </row>
    <row r="5680" spans="14:14" x14ac:dyDescent="0.25">
      <c r="N5680" s="26"/>
    </row>
    <row r="5681" spans="14:14" x14ac:dyDescent="0.25">
      <c r="N5681" s="26"/>
    </row>
    <row r="5682" spans="14:14" x14ac:dyDescent="0.25">
      <c r="N5682" s="26"/>
    </row>
    <row r="5683" spans="14:14" x14ac:dyDescent="0.25">
      <c r="N5683" s="26"/>
    </row>
    <row r="5684" spans="14:14" x14ac:dyDescent="0.25">
      <c r="N5684" s="26"/>
    </row>
    <row r="5685" spans="14:14" x14ac:dyDescent="0.25">
      <c r="N5685" s="26"/>
    </row>
    <row r="5686" spans="14:14" x14ac:dyDescent="0.25">
      <c r="N5686" s="26"/>
    </row>
    <row r="5687" spans="14:14" x14ac:dyDescent="0.25">
      <c r="N5687" s="26"/>
    </row>
    <row r="5688" spans="14:14" x14ac:dyDescent="0.25">
      <c r="N5688" s="26"/>
    </row>
    <row r="5689" spans="14:14" x14ac:dyDescent="0.25">
      <c r="N5689" s="26"/>
    </row>
    <row r="5690" spans="14:14" x14ac:dyDescent="0.25">
      <c r="N5690" s="26"/>
    </row>
    <row r="5691" spans="14:14" x14ac:dyDescent="0.25">
      <c r="N5691" s="26"/>
    </row>
    <row r="5692" spans="14:14" x14ac:dyDescent="0.25">
      <c r="N5692" s="26"/>
    </row>
    <row r="5693" spans="14:14" x14ac:dyDescent="0.25">
      <c r="N5693" s="26"/>
    </row>
    <row r="5694" spans="14:14" x14ac:dyDescent="0.25">
      <c r="N5694" s="26"/>
    </row>
    <row r="5695" spans="14:14" x14ac:dyDescent="0.25">
      <c r="N5695" s="26"/>
    </row>
    <row r="5696" spans="14:14" x14ac:dyDescent="0.25">
      <c r="N5696" s="26"/>
    </row>
    <row r="5697" spans="14:14" x14ac:dyDescent="0.25">
      <c r="N5697" s="26"/>
    </row>
    <row r="5698" spans="14:14" x14ac:dyDescent="0.25">
      <c r="N5698" s="26"/>
    </row>
    <row r="5699" spans="14:14" x14ac:dyDescent="0.25">
      <c r="N5699" s="26"/>
    </row>
    <row r="5700" spans="14:14" x14ac:dyDescent="0.25">
      <c r="N5700" s="26"/>
    </row>
    <row r="5701" spans="14:14" x14ac:dyDescent="0.25">
      <c r="N5701" s="26"/>
    </row>
    <row r="5702" spans="14:14" x14ac:dyDescent="0.25">
      <c r="N5702" s="26"/>
    </row>
    <row r="5703" spans="14:14" x14ac:dyDescent="0.25">
      <c r="N5703" s="26"/>
    </row>
    <row r="5704" spans="14:14" x14ac:dyDescent="0.25">
      <c r="N5704" s="26"/>
    </row>
    <row r="5705" spans="14:14" x14ac:dyDescent="0.25">
      <c r="N5705" s="26"/>
    </row>
    <row r="5706" spans="14:14" x14ac:dyDescent="0.25">
      <c r="N5706" s="26"/>
    </row>
    <row r="5707" spans="14:14" x14ac:dyDescent="0.25">
      <c r="N5707" s="26"/>
    </row>
    <row r="5708" spans="14:14" x14ac:dyDescent="0.25">
      <c r="N5708" s="26"/>
    </row>
    <row r="5709" spans="14:14" x14ac:dyDescent="0.25">
      <c r="N5709" s="26"/>
    </row>
    <row r="5710" spans="14:14" x14ac:dyDescent="0.25">
      <c r="N5710" s="26"/>
    </row>
    <row r="5711" spans="14:14" x14ac:dyDescent="0.25">
      <c r="N5711" s="26"/>
    </row>
    <row r="5712" spans="14:14" x14ac:dyDescent="0.25">
      <c r="N5712" s="26"/>
    </row>
    <row r="5713" spans="14:14" x14ac:dyDescent="0.25">
      <c r="N5713" s="26"/>
    </row>
    <row r="5714" spans="14:14" x14ac:dyDescent="0.25">
      <c r="N5714" s="26"/>
    </row>
    <row r="5715" spans="14:14" x14ac:dyDescent="0.25">
      <c r="N5715" s="26"/>
    </row>
    <row r="5716" spans="14:14" x14ac:dyDescent="0.25">
      <c r="N5716" s="26"/>
    </row>
    <row r="5717" spans="14:14" x14ac:dyDescent="0.25">
      <c r="N5717" s="26"/>
    </row>
    <row r="5718" spans="14:14" x14ac:dyDescent="0.25">
      <c r="N5718" s="26"/>
    </row>
    <row r="5719" spans="14:14" x14ac:dyDescent="0.25">
      <c r="N5719" s="26"/>
    </row>
    <row r="5720" spans="14:14" x14ac:dyDescent="0.25">
      <c r="N5720" s="26"/>
    </row>
    <row r="5721" spans="14:14" x14ac:dyDescent="0.25">
      <c r="N5721" s="26"/>
    </row>
    <row r="5722" spans="14:14" x14ac:dyDescent="0.25">
      <c r="N5722" s="26"/>
    </row>
    <row r="5723" spans="14:14" x14ac:dyDescent="0.25">
      <c r="N5723" s="26"/>
    </row>
    <row r="5724" spans="14:14" x14ac:dyDescent="0.25">
      <c r="N5724" s="26"/>
    </row>
    <row r="5725" spans="14:14" x14ac:dyDescent="0.25">
      <c r="N5725" s="26"/>
    </row>
    <row r="5726" spans="14:14" x14ac:dyDescent="0.25">
      <c r="N5726" s="26"/>
    </row>
    <row r="5727" spans="14:14" x14ac:dyDescent="0.25">
      <c r="N5727" s="26"/>
    </row>
    <row r="5728" spans="14:14" x14ac:dyDescent="0.25">
      <c r="N5728" s="26"/>
    </row>
    <row r="5729" spans="14:14" x14ac:dyDescent="0.25">
      <c r="N5729" s="26"/>
    </row>
    <row r="5730" spans="14:14" x14ac:dyDescent="0.25">
      <c r="N5730" s="26"/>
    </row>
    <row r="5731" spans="14:14" x14ac:dyDescent="0.25">
      <c r="N5731" s="26"/>
    </row>
    <row r="5732" spans="14:14" x14ac:dyDescent="0.25">
      <c r="N5732" s="26"/>
    </row>
    <row r="5733" spans="14:14" x14ac:dyDescent="0.25">
      <c r="N5733" s="26"/>
    </row>
    <row r="5734" spans="14:14" x14ac:dyDescent="0.25">
      <c r="N5734" s="26"/>
    </row>
    <row r="5735" spans="14:14" x14ac:dyDescent="0.25">
      <c r="N5735" s="26"/>
    </row>
    <row r="5736" spans="14:14" x14ac:dyDescent="0.25">
      <c r="N5736" s="26"/>
    </row>
    <row r="5737" spans="14:14" x14ac:dyDescent="0.25">
      <c r="N5737" s="26"/>
    </row>
    <row r="5738" spans="14:14" x14ac:dyDescent="0.25">
      <c r="N5738" s="26"/>
    </row>
    <row r="5739" spans="14:14" x14ac:dyDescent="0.25">
      <c r="N5739" s="26"/>
    </row>
    <row r="5740" spans="14:14" x14ac:dyDescent="0.25">
      <c r="N5740" s="26"/>
    </row>
    <row r="5741" spans="14:14" x14ac:dyDescent="0.25">
      <c r="N5741" s="26"/>
    </row>
    <row r="5742" spans="14:14" x14ac:dyDescent="0.25">
      <c r="N5742" s="26"/>
    </row>
    <row r="5743" spans="14:14" x14ac:dyDescent="0.25">
      <c r="N5743" s="26"/>
    </row>
    <row r="5744" spans="14:14" x14ac:dyDescent="0.25">
      <c r="N5744" s="26"/>
    </row>
    <row r="5745" spans="14:14" x14ac:dyDescent="0.25">
      <c r="N5745" s="26"/>
    </row>
    <row r="5746" spans="14:14" x14ac:dyDescent="0.25">
      <c r="N5746" s="26"/>
    </row>
    <row r="5747" spans="14:14" x14ac:dyDescent="0.25">
      <c r="N5747" s="26"/>
    </row>
    <row r="5748" spans="14:14" x14ac:dyDescent="0.25">
      <c r="N5748" s="26"/>
    </row>
    <row r="5749" spans="14:14" x14ac:dyDescent="0.25">
      <c r="N5749" s="26"/>
    </row>
    <row r="5750" spans="14:14" x14ac:dyDescent="0.25">
      <c r="N5750" s="26"/>
    </row>
    <row r="5751" spans="14:14" x14ac:dyDescent="0.25">
      <c r="N5751" s="26"/>
    </row>
    <row r="5752" spans="14:14" x14ac:dyDescent="0.25">
      <c r="N5752" s="26"/>
    </row>
    <row r="5753" spans="14:14" x14ac:dyDescent="0.25">
      <c r="N5753" s="26"/>
    </row>
    <row r="5754" spans="14:14" x14ac:dyDescent="0.25">
      <c r="N5754" s="26"/>
    </row>
    <row r="5755" spans="14:14" x14ac:dyDescent="0.25">
      <c r="N5755" s="26"/>
    </row>
    <row r="5756" spans="14:14" x14ac:dyDescent="0.25">
      <c r="N5756" s="26"/>
    </row>
    <row r="5757" spans="14:14" x14ac:dyDescent="0.25">
      <c r="N5757" s="26"/>
    </row>
    <row r="5758" spans="14:14" x14ac:dyDescent="0.25">
      <c r="N5758" s="26"/>
    </row>
    <row r="5759" spans="14:14" x14ac:dyDescent="0.25">
      <c r="N5759" s="26"/>
    </row>
    <row r="5760" spans="14:14" x14ac:dyDescent="0.25">
      <c r="N5760" s="26"/>
    </row>
    <row r="5761" spans="14:14" x14ac:dyDescent="0.25">
      <c r="N5761" s="26"/>
    </row>
    <row r="5762" spans="14:14" x14ac:dyDescent="0.25">
      <c r="N5762" s="26"/>
    </row>
    <row r="5763" spans="14:14" x14ac:dyDescent="0.25">
      <c r="N5763" s="26"/>
    </row>
    <row r="5764" spans="14:14" x14ac:dyDescent="0.25">
      <c r="N5764" s="26"/>
    </row>
    <row r="5765" spans="14:14" x14ac:dyDescent="0.25">
      <c r="N5765" s="26"/>
    </row>
    <row r="5766" spans="14:14" x14ac:dyDescent="0.25">
      <c r="N5766" s="26"/>
    </row>
    <row r="5767" spans="14:14" x14ac:dyDescent="0.25">
      <c r="N5767" s="26"/>
    </row>
    <row r="5768" spans="14:14" x14ac:dyDescent="0.25">
      <c r="N5768" s="26"/>
    </row>
    <row r="5769" spans="14:14" x14ac:dyDescent="0.25">
      <c r="N5769" s="26"/>
    </row>
    <row r="5770" spans="14:14" x14ac:dyDescent="0.25">
      <c r="N5770" s="26"/>
    </row>
    <row r="5771" spans="14:14" x14ac:dyDescent="0.25">
      <c r="N5771" s="26"/>
    </row>
    <row r="5772" spans="14:14" x14ac:dyDescent="0.25">
      <c r="N5772" s="26"/>
    </row>
    <row r="5773" spans="14:14" x14ac:dyDescent="0.25">
      <c r="N5773" s="26"/>
    </row>
    <row r="5774" spans="14:14" x14ac:dyDescent="0.25">
      <c r="N5774" s="26"/>
    </row>
    <row r="5775" spans="14:14" x14ac:dyDescent="0.25">
      <c r="N5775" s="26"/>
    </row>
    <row r="5776" spans="14:14" x14ac:dyDescent="0.25">
      <c r="N5776" s="26"/>
    </row>
    <row r="5777" spans="14:14" x14ac:dyDescent="0.25">
      <c r="N5777" s="26"/>
    </row>
    <row r="5778" spans="14:14" x14ac:dyDescent="0.25">
      <c r="N5778" s="26"/>
    </row>
    <row r="5779" spans="14:14" x14ac:dyDescent="0.25">
      <c r="N5779" s="26"/>
    </row>
    <row r="5780" spans="14:14" x14ac:dyDescent="0.25">
      <c r="N5780" s="26"/>
    </row>
    <row r="5781" spans="14:14" x14ac:dyDescent="0.25">
      <c r="N5781" s="26"/>
    </row>
    <row r="5782" spans="14:14" x14ac:dyDescent="0.25">
      <c r="N5782" s="26"/>
    </row>
    <row r="5783" spans="14:14" x14ac:dyDescent="0.25">
      <c r="N5783" s="26"/>
    </row>
    <row r="5784" spans="14:14" x14ac:dyDescent="0.25">
      <c r="N5784" s="26"/>
    </row>
    <row r="5785" spans="14:14" x14ac:dyDescent="0.25">
      <c r="N5785" s="26"/>
    </row>
    <row r="5786" spans="14:14" x14ac:dyDescent="0.25">
      <c r="N5786" s="26"/>
    </row>
    <row r="5787" spans="14:14" x14ac:dyDescent="0.25">
      <c r="N5787" s="26"/>
    </row>
    <row r="5788" spans="14:14" x14ac:dyDescent="0.25">
      <c r="N5788" s="26"/>
    </row>
    <row r="5789" spans="14:14" x14ac:dyDescent="0.25">
      <c r="N5789" s="26"/>
    </row>
    <row r="5790" spans="14:14" x14ac:dyDescent="0.25">
      <c r="N5790" s="26"/>
    </row>
    <row r="5791" spans="14:14" x14ac:dyDescent="0.25">
      <c r="N5791" s="26"/>
    </row>
    <row r="5792" spans="14:14" x14ac:dyDescent="0.25">
      <c r="N5792" s="26"/>
    </row>
    <row r="5793" spans="14:14" x14ac:dyDescent="0.25">
      <c r="N5793" s="26"/>
    </row>
    <row r="5794" spans="14:14" x14ac:dyDescent="0.25">
      <c r="N5794" s="26"/>
    </row>
    <row r="5795" spans="14:14" x14ac:dyDescent="0.25">
      <c r="N5795" s="26"/>
    </row>
    <row r="5796" spans="14:14" x14ac:dyDescent="0.25">
      <c r="N5796" s="26"/>
    </row>
    <row r="5797" spans="14:14" x14ac:dyDescent="0.25">
      <c r="N5797" s="26"/>
    </row>
    <row r="5798" spans="14:14" x14ac:dyDescent="0.25">
      <c r="N5798" s="26"/>
    </row>
    <row r="5799" spans="14:14" x14ac:dyDescent="0.25">
      <c r="N5799" s="26"/>
    </row>
    <row r="5800" spans="14:14" x14ac:dyDescent="0.25">
      <c r="N5800" s="26"/>
    </row>
    <row r="5801" spans="14:14" x14ac:dyDescent="0.25">
      <c r="N5801" s="26"/>
    </row>
    <row r="5802" spans="14:14" x14ac:dyDescent="0.25">
      <c r="N5802" s="26"/>
    </row>
    <row r="5803" spans="14:14" x14ac:dyDescent="0.25">
      <c r="N5803" s="26"/>
    </row>
    <row r="5804" spans="14:14" x14ac:dyDescent="0.25">
      <c r="N5804" s="26"/>
    </row>
    <row r="5805" spans="14:14" x14ac:dyDescent="0.25">
      <c r="N5805" s="26"/>
    </row>
    <row r="5806" spans="14:14" x14ac:dyDescent="0.25">
      <c r="N5806" s="26"/>
    </row>
    <row r="5807" spans="14:14" x14ac:dyDescent="0.25">
      <c r="N5807" s="26"/>
    </row>
    <row r="5808" spans="14:14" x14ac:dyDescent="0.25">
      <c r="N5808" s="26"/>
    </row>
    <row r="5809" spans="14:14" x14ac:dyDescent="0.25">
      <c r="N5809" s="26"/>
    </row>
    <row r="5810" spans="14:14" x14ac:dyDescent="0.25">
      <c r="N5810" s="26"/>
    </row>
    <row r="5811" spans="14:14" x14ac:dyDescent="0.25">
      <c r="N5811" s="26"/>
    </row>
    <row r="5812" spans="14:14" x14ac:dyDescent="0.25">
      <c r="N5812" s="26"/>
    </row>
    <row r="5813" spans="14:14" x14ac:dyDescent="0.25">
      <c r="N5813" s="26"/>
    </row>
    <row r="5814" spans="14:14" x14ac:dyDescent="0.25">
      <c r="N5814" s="26"/>
    </row>
    <row r="5815" spans="14:14" x14ac:dyDescent="0.25">
      <c r="N5815" s="26"/>
    </row>
    <row r="5816" spans="14:14" x14ac:dyDescent="0.25">
      <c r="N5816" s="26"/>
    </row>
    <row r="5817" spans="14:14" x14ac:dyDescent="0.25">
      <c r="N5817" s="26"/>
    </row>
    <row r="5818" spans="14:14" x14ac:dyDescent="0.25">
      <c r="N5818" s="26"/>
    </row>
    <row r="5819" spans="14:14" x14ac:dyDescent="0.25">
      <c r="N5819" s="26"/>
    </row>
    <row r="5820" spans="14:14" x14ac:dyDescent="0.25">
      <c r="N5820" s="26"/>
    </row>
    <row r="5821" spans="14:14" x14ac:dyDescent="0.25">
      <c r="N5821" s="26"/>
    </row>
    <row r="5822" spans="14:14" x14ac:dyDescent="0.25">
      <c r="N5822" s="26"/>
    </row>
    <row r="5823" spans="14:14" x14ac:dyDescent="0.25">
      <c r="N5823" s="26"/>
    </row>
    <row r="5824" spans="14:14" x14ac:dyDescent="0.25">
      <c r="N5824" s="26"/>
    </row>
    <row r="5825" spans="14:14" x14ac:dyDescent="0.25">
      <c r="N5825" s="26"/>
    </row>
    <row r="5826" spans="14:14" x14ac:dyDescent="0.25">
      <c r="N5826" s="26"/>
    </row>
    <row r="5827" spans="14:14" x14ac:dyDescent="0.25">
      <c r="N5827" s="26"/>
    </row>
    <row r="5828" spans="14:14" x14ac:dyDescent="0.25">
      <c r="N5828" s="26"/>
    </row>
    <row r="5829" spans="14:14" x14ac:dyDescent="0.25">
      <c r="N5829" s="26"/>
    </row>
    <row r="5830" spans="14:14" x14ac:dyDescent="0.25">
      <c r="N5830" s="26"/>
    </row>
    <row r="5831" spans="14:14" x14ac:dyDescent="0.25">
      <c r="N5831" s="26"/>
    </row>
    <row r="5832" spans="14:14" x14ac:dyDescent="0.25">
      <c r="N5832" s="26"/>
    </row>
    <row r="5833" spans="14:14" x14ac:dyDescent="0.25">
      <c r="N5833" s="26"/>
    </row>
    <row r="5834" spans="14:14" x14ac:dyDescent="0.25">
      <c r="N5834" s="26"/>
    </row>
    <row r="5835" spans="14:14" x14ac:dyDescent="0.25">
      <c r="N5835" s="26"/>
    </row>
    <row r="5836" spans="14:14" x14ac:dyDescent="0.25">
      <c r="N5836" s="26"/>
    </row>
    <row r="5837" spans="14:14" x14ac:dyDescent="0.25">
      <c r="N5837" s="26"/>
    </row>
    <row r="5838" spans="14:14" x14ac:dyDescent="0.25">
      <c r="N5838" s="26"/>
    </row>
    <row r="5839" spans="14:14" x14ac:dyDescent="0.25">
      <c r="N5839" s="26"/>
    </row>
    <row r="5840" spans="14:14" x14ac:dyDescent="0.25">
      <c r="N5840" s="26"/>
    </row>
    <row r="5841" spans="14:14" x14ac:dyDescent="0.25">
      <c r="N5841" s="26"/>
    </row>
    <row r="5842" spans="14:14" x14ac:dyDescent="0.25">
      <c r="N5842" s="26"/>
    </row>
    <row r="5843" spans="14:14" x14ac:dyDescent="0.25">
      <c r="N5843" s="26"/>
    </row>
    <row r="5844" spans="14:14" x14ac:dyDescent="0.25">
      <c r="N5844" s="26"/>
    </row>
    <row r="5845" spans="14:14" x14ac:dyDescent="0.25">
      <c r="N5845" s="26"/>
    </row>
    <row r="5846" spans="14:14" x14ac:dyDescent="0.25">
      <c r="N5846" s="26"/>
    </row>
    <row r="5847" spans="14:14" x14ac:dyDescent="0.25">
      <c r="N5847" s="26"/>
    </row>
    <row r="5848" spans="14:14" x14ac:dyDescent="0.25">
      <c r="N5848" s="26"/>
    </row>
    <row r="5849" spans="14:14" x14ac:dyDescent="0.25">
      <c r="N5849" s="26"/>
    </row>
    <row r="5850" spans="14:14" x14ac:dyDescent="0.25">
      <c r="N5850" s="26"/>
    </row>
    <row r="5851" spans="14:14" x14ac:dyDescent="0.25">
      <c r="N5851" s="26"/>
    </row>
    <row r="5852" spans="14:14" x14ac:dyDescent="0.25">
      <c r="N5852" s="26"/>
    </row>
    <row r="5853" spans="14:14" x14ac:dyDescent="0.25">
      <c r="N5853" s="26"/>
    </row>
    <row r="5854" spans="14:14" x14ac:dyDescent="0.25">
      <c r="N5854" s="26"/>
    </row>
    <row r="5855" spans="14:14" x14ac:dyDescent="0.25">
      <c r="N5855" s="26"/>
    </row>
    <row r="5856" spans="14:14" x14ac:dyDescent="0.25">
      <c r="N5856" s="26"/>
    </row>
    <row r="5857" spans="14:14" x14ac:dyDescent="0.25">
      <c r="N5857" s="26"/>
    </row>
    <row r="5858" spans="14:14" x14ac:dyDescent="0.25">
      <c r="N5858" s="26"/>
    </row>
    <row r="5859" spans="14:14" x14ac:dyDescent="0.25">
      <c r="N5859" s="26"/>
    </row>
    <row r="5860" spans="14:14" x14ac:dyDescent="0.25">
      <c r="N5860" s="26"/>
    </row>
    <row r="5861" spans="14:14" x14ac:dyDescent="0.25">
      <c r="N5861" s="26"/>
    </row>
    <row r="5862" spans="14:14" x14ac:dyDescent="0.25">
      <c r="N5862" s="26"/>
    </row>
    <row r="5863" spans="14:14" x14ac:dyDescent="0.25">
      <c r="N5863" s="26"/>
    </row>
    <row r="5864" spans="14:14" x14ac:dyDescent="0.25">
      <c r="N5864" s="26"/>
    </row>
    <row r="5865" spans="14:14" x14ac:dyDescent="0.25">
      <c r="N5865" s="26"/>
    </row>
    <row r="5866" spans="14:14" x14ac:dyDescent="0.25">
      <c r="N5866" s="26"/>
    </row>
    <row r="5867" spans="14:14" x14ac:dyDescent="0.25">
      <c r="N5867" s="26"/>
    </row>
    <row r="5868" spans="14:14" x14ac:dyDescent="0.25">
      <c r="N5868" s="26"/>
    </row>
    <row r="5869" spans="14:14" x14ac:dyDescent="0.25">
      <c r="N5869" s="26"/>
    </row>
    <row r="5870" spans="14:14" x14ac:dyDescent="0.25">
      <c r="N5870" s="26"/>
    </row>
    <row r="5871" spans="14:14" x14ac:dyDescent="0.25">
      <c r="N5871" s="26"/>
    </row>
    <row r="5872" spans="14:14" x14ac:dyDescent="0.25">
      <c r="N5872" s="26"/>
    </row>
    <row r="5873" spans="14:14" x14ac:dyDescent="0.25">
      <c r="N5873" s="26"/>
    </row>
    <row r="5874" spans="14:14" x14ac:dyDescent="0.25">
      <c r="N5874" s="26"/>
    </row>
    <row r="5875" spans="14:14" x14ac:dyDescent="0.25">
      <c r="N5875" s="26"/>
    </row>
    <row r="5876" spans="14:14" x14ac:dyDescent="0.25">
      <c r="N5876" s="26"/>
    </row>
    <row r="5877" spans="14:14" x14ac:dyDescent="0.25">
      <c r="N5877" s="26"/>
    </row>
    <row r="5878" spans="14:14" x14ac:dyDescent="0.25">
      <c r="N5878" s="26"/>
    </row>
    <row r="5879" spans="14:14" x14ac:dyDescent="0.25">
      <c r="N5879" s="26"/>
    </row>
    <row r="5880" spans="14:14" x14ac:dyDescent="0.25">
      <c r="N5880" s="26"/>
    </row>
    <row r="5881" spans="14:14" x14ac:dyDescent="0.25">
      <c r="N5881" s="26"/>
    </row>
    <row r="5882" spans="14:14" x14ac:dyDescent="0.25">
      <c r="N5882" s="26"/>
    </row>
    <row r="5883" spans="14:14" x14ac:dyDescent="0.25">
      <c r="N5883" s="26"/>
    </row>
    <row r="5884" spans="14:14" x14ac:dyDescent="0.25">
      <c r="N5884" s="26"/>
    </row>
    <row r="5885" spans="14:14" x14ac:dyDescent="0.25">
      <c r="N5885" s="26"/>
    </row>
    <row r="5886" spans="14:14" x14ac:dyDescent="0.25">
      <c r="N5886" s="26"/>
    </row>
    <row r="5887" spans="14:14" x14ac:dyDescent="0.25">
      <c r="N5887" s="26"/>
    </row>
    <row r="5888" spans="14:14" x14ac:dyDescent="0.25">
      <c r="N5888" s="26"/>
    </row>
    <row r="5889" spans="14:14" x14ac:dyDescent="0.25">
      <c r="N5889" s="26"/>
    </row>
    <row r="5890" spans="14:14" x14ac:dyDescent="0.25">
      <c r="N5890" s="26"/>
    </row>
    <row r="5891" spans="14:14" x14ac:dyDescent="0.25">
      <c r="N5891" s="26"/>
    </row>
    <row r="5892" spans="14:14" x14ac:dyDescent="0.25">
      <c r="N5892" s="26"/>
    </row>
    <row r="5893" spans="14:14" x14ac:dyDescent="0.25">
      <c r="N5893" s="26"/>
    </row>
    <row r="5894" spans="14:14" x14ac:dyDescent="0.25">
      <c r="N5894" s="26"/>
    </row>
    <row r="5895" spans="14:14" x14ac:dyDescent="0.25">
      <c r="N5895" s="26"/>
    </row>
    <row r="5896" spans="14:14" x14ac:dyDescent="0.25">
      <c r="N5896" s="26"/>
    </row>
    <row r="5897" spans="14:14" x14ac:dyDescent="0.25">
      <c r="N5897" s="26"/>
    </row>
    <row r="5898" spans="14:14" x14ac:dyDescent="0.25">
      <c r="N5898" s="26"/>
    </row>
    <row r="5899" spans="14:14" x14ac:dyDescent="0.25">
      <c r="N5899" s="26"/>
    </row>
    <row r="5900" spans="14:14" x14ac:dyDescent="0.25">
      <c r="N5900" s="26"/>
    </row>
    <row r="5901" spans="14:14" x14ac:dyDescent="0.25">
      <c r="N5901" s="26"/>
    </row>
    <row r="5902" spans="14:14" x14ac:dyDescent="0.25">
      <c r="N5902" s="26"/>
    </row>
    <row r="5903" spans="14:14" x14ac:dyDescent="0.25">
      <c r="N5903" s="26"/>
    </row>
    <row r="5904" spans="14:14" x14ac:dyDescent="0.25">
      <c r="N5904" s="26"/>
    </row>
    <row r="5905" spans="14:14" x14ac:dyDescent="0.25">
      <c r="N5905" s="26"/>
    </row>
    <row r="5906" spans="14:14" x14ac:dyDescent="0.25">
      <c r="N5906" s="26"/>
    </row>
    <row r="5907" spans="14:14" x14ac:dyDescent="0.25">
      <c r="N5907" s="26"/>
    </row>
    <row r="5908" spans="14:14" x14ac:dyDescent="0.25">
      <c r="N5908" s="26"/>
    </row>
    <row r="5909" spans="14:14" x14ac:dyDescent="0.25">
      <c r="N5909" s="26"/>
    </row>
    <row r="5910" spans="14:14" x14ac:dyDescent="0.25">
      <c r="N5910" s="26"/>
    </row>
    <row r="5911" spans="14:14" x14ac:dyDescent="0.25">
      <c r="N5911" s="26"/>
    </row>
    <row r="5912" spans="14:14" x14ac:dyDescent="0.25">
      <c r="N5912" s="26"/>
    </row>
    <row r="5913" spans="14:14" x14ac:dyDescent="0.25">
      <c r="N5913" s="26"/>
    </row>
    <row r="5914" spans="14:14" x14ac:dyDescent="0.25">
      <c r="N5914" s="26"/>
    </row>
    <row r="5915" spans="14:14" x14ac:dyDescent="0.25">
      <c r="N5915" s="26"/>
    </row>
    <row r="5916" spans="14:14" x14ac:dyDescent="0.25">
      <c r="N5916" s="26"/>
    </row>
    <row r="5917" spans="14:14" x14ac:dyDescent="0.25">
      <c r="N5917" s="26"/>
    </row>
    <row r="5918" spans="14:14" x14ac:dyDescent="0.25">
      <c r="N5918" s="26"/>
    </row>
    <row r="5919" spans="14:14" x14ac:dyDescent="0.25">
      <c r="N5919" s="26"/>
    </row>
    <row r="5920" spans="14:14" x14ac:dyDescent="0.25">
      <c r="N5920" s="26"/>
    </row>
    <row r="5921" spans="14:14" x14ac:dyDescent="0.25">
      <c r="N5921" s="26"/>
    </row>
    <row r="5922" spans="14:14" x14ac:dyDescent="0.25">
      <c r="N5922" s="26"/>
    </row>
    <row r="5923" spans="14:14" x14ac:dyDescent="0.25">
      <c r="N5923" s="26"/>
    </row>
    <row r="5924" spans="14:14" x14ac:dyDescent="0.25">
      <c r="N5924" s="26"/>
    </row>
    <row r="5925" spans="14:14" x14ac:dyDescent="0.25">
      <c r="N5925" s="26"/>
    </row>
    <row r="5926" spans="14:14" x14ac:dyDescent="0.25">
      <c r="N5926" s="26"/>
    </row>
    <row r="5927" spans="14:14" x14ac:dyDescent="0.25">
      <c r="N5927" s="26"/>
    </row>
    <row r="5928" spans="14:14" x14ac:dyDescent="0.25">
      <c r="N5928" s="26"/>
    </row>
    <row r="5929" spans="14:14" x14ac:dyDescent="0.25">
      <c r="N5929" s="26"/>
    </row>
    <row r="5930" spans="14:14" x14ac:dyDescent="0.25">
      <c r="N5930" s="26"/>
    </row>
    <row r="5931" spans="14:14" x14ac:dyDescent="0.25">
      <c r="N5931" s="26"/>
    </row>
    <row r="5932" spans="14:14" x14ac:dyDescent="0.25">
      <c r="N5932" s="26"/>
    </row>
    <row r="5933" spans="14:14" x14ac:dyDescent="0.25">
      <c r="N5933" s="26"/>
    </row>
    <row r="5934" spans="14:14" x14ac:dyDescent="0.25">
      <c r="N5934" s="26"/>
    </row>
    <row r="5935" spans="14:14" x14ac:dyDescent="0.25">
      <c r="N5935" s="26"/>
    </row>
    <row r="5936" spans="14:14" x14ac:dyDescent="0.25">
      <c r="N5936" s="26"/>
    </row>
    <row r="5937" spans="14:14" x14ac:dyDescent="0.25">
      <c r="N5937" s="26"/>
    </row>
    <row r="5938" spans="14:14" x14ac:dyDescent="0.25">
      <c r="N5938" s="26"/>
    </row>
    <row r="5939" spans="14:14" x14ac:dyDescent="0.25">
      <c r="N5939" s="26"/>
    </row>
    <row r="5940" spans="14:14" x14ac:dyDescent="0.25">
      <c r="N5940" s="26"/>
    </row>
    <row r="5941" spans="14:14" x14ac:dyDescent="0.25">
      <c r="N5941" s="26"/>
    </row>
    <row r="5942" spans="14:14" x14ac:dyDescent="0.25">
      <c r="N5942" s="26"/>
    </row>
    <row r="5943" spans="14:14" x14ac:dyDescent="0.25">
      <c r="N5943" s="26"/>
    </row>
    <row r="5944" spans="14:14" x14ac:dyDescent="0.25">
      <c r="N5944" s="26"/>
    </row>
    <row r="5945" spans="14:14" x14ac:dyDescent="0.25">
      <c r="N5945" s="26"/>
    </row>
    <row r="5946" spans="14:14" x14ac:dyDescent="0.25">
      <c r="N5946" s="26"/>
    </row>
    <row r="5947" spans="14:14" x14ac:dyDescent="0.25">
      <c r="N5947" s="26"/>
    </row>
    <row r="5948" spans="14:14" x14ac:dyDescent="0.25">
      <c r="N5948" s="26"/>
    </row>
    <row r="5949" spans="14:14" x14ac:dyDescent="0.25">
      <c r="N5949" s="26"/>
    </row>
    <row r="5950" spans="14:14" x14ac:dyDescent="0.25">
      <c r="N5950" s="26"/>
    </row>
    <row r="5951" spans="14:14" x14ac:dyDescent="0.25">
      <c r="N5951" s="26"/>
    </row>
    <row r="5952" spans="14:14" x14ac:dyDescent="0.25">
      <c r="N5952" s="26"/>
    </row>
    <row r="5953" spans="14:14" x14ac:dyDescent="0.25">
      <c r="N5953" s="26"/>
    </row>
    <row r="5954" spans="14:14" x14ac:dyDescent="0.25">
      <c r="N5954" s="26"/>
    </row>
    <row r="5955" spans="14:14" x14ac:dyDescent="0.25">
      <c r="N5955" s="26"/>
    </row>
    <row r="5956" spans="14:14" x14ac:dyDescent="0.25">
      <c r="N5956" s="26"/>
    </row>
    <row r="5957" spans="14:14" x14ac:dyDescent="0.25">
      <c r="N5957" s="26"/>
    </row>
    <row r="5958" spans="14:14" x14ac:dyDescent="0.25">
      <c r="N5958" s="26"/>
    </row>
    <row r="5959" spans="14:14" x14ac:dyDescent="0.25">
      <c r="N5959" s="26"/>
    </row>
    <row r="5960" spans="14:14" x14ac:dyDescent="0.25">
      <c r="N5960" s="26"/>
    </row>
    <row r="5961" spans="14:14" x14ac:dyDescent="0.25">
      <c r="N5961" s="26"/>
    </row>
    <row r="5962" spans="14:14" x14ac:dyDescent="0.25">
      <c r="N5962" s="26"/>
    </row>
    <row r="5963" spans="14:14" x14ac:dyDescent="0.25">
      <c r="N5963" s="26"/>
    </row>
    <row r="5964" spans="14:14" x14ac:dyDescent="0.25">
      <c r="N5964" s="26"/>
    </row>
    <row r="5965" spans="14:14" x14ac:dyDescent="0.25">
      <c r="N5965" s="26"/>
    </row>
    <row r="5966" spans="14:14" x14ac:dyDescent="0.25">
      <c r="N5966" s="26"/>
    </row>
    <row r="5967" spans="14:14" x14ac:dyDescent="0.25">
      <c r="N5967" s="26"/>
    </row>
    <row r="5968" spans="14:14" x14ac:dyDescent="0.25">
      <c r="N5968" s="26"/>
    </row>
    <row r="5969" spans="14:14" x14ac:dyDescent="0.25">
      <c r="N5969" s="26"/>
    </row>
    <row r="5970" spans="14:14" x14ac:dyDescent="0.25">
      <c r="N5970" s="26"/>
    </row>
    <row r="5971" spans="14:14" x14ac:dyDescent="0.25">
      <c r="N5971" s="26"/>
    </row>
    <row r="5972" spans="14:14" x14ac:dyDescent="0.25">
      <c r="N5972" s="26"/>
    </row>
    <row r="5973" spans="14:14" x14ac:dyDescent="0.25">
      <c r="N5973" s="26"/>
    </row>
    <row r="5974" spans="14:14" x14ac:dyDescent="0.25">
      <c r="N5974" s="26"/>
    </row>
    <row r="5975" spans="14:14" x14ac:dyDescent="0.25">
      <c r="N5975" s="26"/>
    </row>
    <row r="5976" spans="14:14" x14ac:dyDescent="0.25">
      <c r="N5976" s="26"/>
    </row>
    <row r="5977" spans="14:14" x14ac:dyDescent="0.25">
      <c r="N5977" s="26"/>
    </row>
    <row r="5978" spans="14:14" x14ac:dyDescent="0.25">
      <c r="N5978" s="26"/>
    </row>
    <row r="5979" spans="14:14" x14ac:dyDescent="0.25">
      <c r="N5979" s="26"/>
    </row>
    <row r="5980" spans="14:14" x14ac:dyDescent="0.25">
      <c r="N5980" s="26"/>
    </row>
    <row r="5981" spans="14:14" x14ac:dyDescent="0.25">
      <c r="N5981" s="26"/>
    </row>
    <row r="5982" spans="14:14" x14ac:dyDescent="0.25">
      <c r="N5982" s="26"/>
    </row>
    <row r="5983" spans="14:14" x14ac:dyDescent="0.25">
      <c r="N5983" s="26"/>
    </row>
    <row r="5984" spans="14:14" x14ac:dyDescent="0.25">
      <c r="N5984" s="26"/>
    </row>
    <row r="5985" spans="14:14" x14ac:dyDescent="0.25">
      <c r="N5985" s="26"/>
    </row>
    <row r="5986" spans="14:14" x14ac:dyDescent="0.25">
      <c r="N5986" s="26"/>
    </row>
    <row r="5987" spans="14:14" x14ac:dyDescent="0.25">
      <c r="N5987" s="26"/>
    </row>
    <row r="5988" spans="14:14" x14ac:dyDescent="0.25">
      <c r="N5988" s="26"/>
    </row>
    <row r="5989" spans="14:14" x14ac:dyDescent="0.25">
      <c r="N5989" s="26"/>
    </row>
    <row r="5990" spans="14:14" x14ac:dyDescent="0.25">
      <c r="N5990" s="26"/>
    </row>
    <row r="5991" spans="14:14" x14ac:dyDescent="0.25">
      <c r="N5991" s="26"/>
    </row>
    <row r="5992" spans="14:14" x14ac:dyDescent="0.25">
      <c r="N5992" s="26"/>
    </row>
    <row r="5993" spans="14:14" x14ac:dyDescent="0.25">
      <c r="N5993" s="26"/>
    </row>
    <row r="5994" spans="14:14" x14ac:dyDescent="0.25">
      <c r="N5994" s="26"/>
    </row>
    <row r="5995" spans="14:14" x14ac:dyDescent="0.25">
      <c r="N5995" s="26"/>
    </row>
    <row r="5996" spans="14:14" x14ac:dyDescent="0.25">
      <c r="N5996" s="26"/>
    </row>
    <row r="5997" spans="14:14" x14ac:dyDescent="0.25">
      <c r="N5997" s="26"/>
    </row>
    <row r="5998" spans="14:14" x14ac:dyDescent="0.25">
      <c r="N5998" s="26"/>
    </row>
    <row r="5999" spans="14:14" x14ac:dyDescent="0.25">
      <c r="N5999" s="26"/>
    </row>
    <row r="6000" spans="14:14" x14ac:dyDescent="0.25">
      <c r="N6000" s="26"/>
    </row>
    <row r="6001" spans="14:14" x14ac:dyDescent="0.25">
      <c r="N6001" s="26"/>
    </row>
    <row r="6002" spans="14:14" x14ac:dyDescent="0.25">
      <c r="N6002" s="26"/>
    </row>
    <row r="6003" spans="14:14" x14ac:dyDescent="0.25">
      <c r="N6003" s="26"/>
    </row>
    <row r="6004" spans="14:14" x14ac:dyDescent="0.25">
      <c r="N6004" s="26"/>
    </row>
    <row r="6005" spans="14:14" x14ac:dyDescent="0.25">
      <c r="N6005" s="26"/>
    </row>
    <row r="6006" spans="14:14" x14ac:dyDescent="0.25">
      <c r="N6006" s="26"/>
    </row>
    <row r="6007" spans="14:14" x14ac:dyDescent="0.25">
      <c r="N6007" s="26"/>
    </row>
    <row r="6008" spans="14:14" x14ac:dyDescent="0.25">
      <c r="N6008" s="26"/>
    </row>
    <row r="6009" spans="14:14" x14ac:dyDescent="0.25">
      <c r="N6009" s="26"/>
    </row>
    <row r="6010" spans="14:14" x14ac:dyDescent="0.25">
      <c r="N6010" s="26"/>
    </row>
    <row r="6011" spans="14:14" x14ac:dyDescent="0.25">
      <c r="N6011" s="26"/>
    </row>
    <row r="6012" spans="14:14" x14ac:dyDescent="0.25">
      <c r="N6012" s="26"/>
    </row>
    <row r="6013" spans="14:14" x14ac:dyDescent="0.25">
      <c r="N6013" s="26"/>
    </row>
    <row r="6014" spans="14:14" x14ac:dyDescent="0.25">
      <c r="N6014" s="26"/>
    </row>
    <row r="6015" spans="14:14" x14ac:dyDescent="0.25">
      <c r="N6015" s="26"/>
    </row>
    <row r="6016" spans="14:14" x14ac:dyDescent="0.25">
      <c r="N6016" s="26"/>
    </row>
    <row r="6017" spans="14:14" x14ac:dyDescent="0.25">
      <c r="N6017" s="26"/>
    </row>
    <row r="6018" spans="14:14" x14ac:dyDescent="0.25">
      <c r="N6018" s="26"/>
    </row>
    <row r="6019" spans="14:14" x14ac:dyDescent="0.25">
      <c r="N6019" s="26"/>
    </row>
    <row r="6020" spans="14:14" x14ac:dyDescent="0.25">
      <c r="N6020" s="26"/>
    </row>
    <row r="6021" spans="14:14" x14ac:dyDescent="0.25">
      <c r="N6021" s="26"/>
    </row>
    <row r="6022" spans="14:14" x14ac:dyDescent="0.25">
      <c r="N6022" s="26"/>
    </row>
    <row r="6023" spans="14:14" x14ac:dyDescent="0.25">
      <c r="N6023" s="26"/>
    </row>
    <row r="6024" spans="14:14" x14ac:dyDescent="0.25">
      <c r="N6024" s="26"/>
    </row>
    <row r="6025" spans="14:14" x14ac:dyDescent="0.25">
      <c r="N6025" s="26"/>
    </row>
    <row r="6026" spans="14:14" x14ac:dyDescent="0.25">
      <c r="N6026" s="26"/>
    </row>
    <row r="6027" spans="14:14" x14ac:dyDescent="0.25">
      <c r="N6027" s="26"/>
    </row>
    <row r="6028" spans="14:14" x14ac:dyDescent="0.25">
      <c r="N6028" s="26"/>
    </row>
    <row r="6029" spans="14:14" x14ac:dyDescent="0.25">
      <c r="N6029" s="26"/>
    </row>
    <row r="6030" spans="14:14" x14ac:dyDescent="0.25">
      <c r="N6030" s="26"/>
    </row>
    <row r="6031" spans="14:14" x14ac:dyDescent="0.25">
      <c r="N6031" s="26"/>
    </row>
    <row r="6032" spans="14:14" x14ac:dyDescent="0.25">
      <c r="N6032" s="26"/>
    </row>
    <row r="6033" spans="14:14" x14ac:dyDescent="0.25">
      <c r="N6033" s="26"/>
    </row>
    <row r="6034" spans="14:14" x14ac:dyDescent="0.25">
      <c r="N6034" s="26"/>
    </row>
    <row r="6035" spans="14:14" x14ac:dyDescent="0.25">
      <c r="N6035" s="26"/>
    </row>
    <row r="6036" spans="14:14" x14ac:dyDescent="0.25">
      <c r="N6036" s="26"/>
    </row>
    <row r="6037" spans="14:14" x14ac:dyDescent="0.25">
      <c r="N6037" s="26"/>
    </row>
    <row r="6038" spans="14:14" x14ac:dyDescent="0.25">
      <c r="N6038" s="26"/>
    </row>
    <row r="6039" spans="14:14" x14ac:dyDescent="0.25">
      <c r="N6039" s="26"/>
    </row>
    <row r="6040" spans="14:14" x14ac:dyDescent="0.25">
      <c r="N6040" s="26"/>
    </row>
    <row r="6041" spans="14:14" x14ac:dyDescent="0.25">
      <c r="N6041" s="26"/>
    </row>
    <row r="6042" spans="14:14" x14ac:dyDescent="0.25">
      <c r="N6042" s="26"/>
    </row>
    <row r="6043" spans="14:14" x14ac:dyDescent="0.25">
      <c r="N6043" s="26"/>
    </row>
    <row r="6044" spans="14:14" x14ac:dyDescent="0.25">
      <c r="N6044" s="26"/>
    </row>
    <row r="6045" spans="14:14" x14ac:dyDescent="0.25">
      <c r="N6045" s="26"/>
    </row>
    <row r="6046" spans="14:14" x14ac:dyDescent="0.25">
      <c r="N6046" s="26"/>
    </row>
    <row r="6047" spans="14:14" x14ac:dyDescent="0.25">
      <c r="N6047" s="26"/>
    </row>
    <row r="6048" spans="14:14" x14ac:dyDescent="0.25">
      <c r="N6048" s="26"/>
    </row>
    <row r="6049" spans="14:14" x14ac:dyDescent="0.25">
      <c r="N6049" s="26"/>
    </row>
    <row r="6050" spans="14:14" x14ac:dyDescent="0.25">
      <c r="N6050" s="26"/>
    </row>
    <row r="6051" spans="14:14" x14ac:dyDescent="0.25">
      <c r="N6051" s="26"/>
    </row>
    <row r="6052" spans="14:14" x14ac:dyDescent="0.25">
      <c r="N6052" s="26"/>
    </row>
    <row r="6053" spans="14:14" x14ac:dyDescent="0.25">
      <c r="N6053" s="26"/>
    </row>
    <row r="6054" spans="14:14" x14ac:dyDescent="0.25">
      <c r="N6054" s="26"/>
    </row>
    <row r="6055" spans="14:14" x14ac:dyDescent="0.25">
      <c r="N6055" s="26"/>
    </row>
    <row r="6056" spans="14:14" x14ac:dyDescent="0.25">
      <c r="N6056" s="26"/>
    </row>
    <row r="6057" spans="14:14" x14ac:dyDescent="0.25">
      <c r="N6057" s="26"/>
    </row>
    <row r="6058" spans="14:14" x14ac:dyDescent="0.25">
      <c r="N6058" s="26"/>
    </row>
    <row r="6059" spans="14:14" x14ac:dyDescent="0.25">
      <c r="N6059" s="26"/>
    </row>
    <row r="6060" spans="14:14" x14ac:dyDescent="0.25">
      <c r="N6060" s="26"/>
    </row>
    <row r="6061" spans="14:14" x14ac:dyDescent="0.25">
      <c r="N6061" s="26"/>
    </row>
    <row r="6062" spans="14:14" x14ac:dyDescent="0.25">
      <c r="N6062" s="26"/>
    </row>
    <row r="6063" spans="14:14" x14ac:dyDescent="0.25">
      <c r="N6063" s="26"/>
    </row>
    <row r="6064" spans="14:14" x14ac:dyDescent="0.25">
      <c r="N6064" s="26"/>
    </row>
    <row r="6065" spans="14:14" x14ac:dyDescent="0.25">
      <c r="N6065" s="26"/>
    </row>
    <row r="6066" spans="14:14" x14ac:dyDescent="0.25">
      <c r="N6066" s="26"/>
    </row>
    <row r="6067" spans="14:14" x14ac:dyDescent="0.25">
      <c r="N6067" s="26"/>
    </row>
    <row r="6068" spans="14:14" x14ac:dyDescent="0.25">
      <c r="N6068" s="26"/>
    </row>
    <row r="6069" spans="14:14" x14ac:dyDescent="0.25">
      <c r="N6069" s="26"/>
    </row>
    <row r="6070" spans="14:14" x14ac:dyDescent="0.25">
      <c r="N6070" s="26"/>
    </row>
    <row r="6071" spans="14:14" x14ac:dyDescent="0.25">
      <c r="N6071" s="26"/>
    </row>
    <row r="6072" spans="14:14" x14ac:dyDescent="0.25">
      <c r="N6072" s="26"/>
    </row>
    <row r="6073" spans="14:14" x14ac:dyDescent="0.25">
      <c r="N6073" s="26"/>
    </row>
    <row r="6074" spans="14:14" x14ac:dyDescent="0.25">
      <c r="N6074" s="26"/>
    </row>
    <row r="6075" spans="14:14" x14ac:dyDescent="0.25">
      <c r="N6075" s="26"/>
    </row>
    <row r="6076" spans="14:14" x14ac:dyDescent="0.25">
      <c r="N6076" s="26"/>
    </row>
    <row r="6077" spans="14:14" x14ac:dyDescent="0.25">
      <c r="N6077" s="26"/>
    </row>
    <row r="6078" spans="14:14" x14ac:dyDescent="0.25">
      <c r="N6078" s="26"/>
    </row>
    <row r="6079" spans="14:14" x14ac:dyDescent="0.25">
      <c r="N6079" s="26"/>
    </row>
    <row r="6080" spans="14:14" x14ac:dyDescent="0.25">
      <c r="N6080" s="26"/>
    </row>
    <row r="6081" spans="14:14" x14ac:dyDescent="0.25">
      <c r="N6081" s="26"/>
    </row>
    <row r="6082" spans="14:14" x14ac:dyDescent="0.25">
      <c r="N6082" s="26"/>
    </row>
    <row r="6083" spans="14:14" x14ac:dyDescent="0.25">
      <c r="N6083" s="26"/>
    </row>
    <row r="6084" spans="14:14" x14ac:dyDescent="0.25">
      <c r="N6084" s="26"/>
    </row>
    <row r="6085" spans="14:14" x14ac:dyDescent="0.25">
      <c r="N6085" s="26"/>
    </row>
    <row r="6086" spans="14:14" x14ac:dyDescent="0.25">
      <c r="N6086" s="26"/>
    </row>
    <row r="6087" spans="14:14" x14ac:dyDescent="0.25">
      <c r="N6087" s="26"/>
    </row>
    <row r="6088" spans="14:14" x14ac:dyDescent="0.25">
      <c r="N6088" s="26"/>
    </row>
    <row r="6089" spans="14:14" x14ac:dyDescent="0.25">
      <c r="N6089" s="26"/>
    </row>
    <row r="6090" spans="14:14" x14ac:dyDescent="0.25">
      <c r="N6090" s="26"/>
    </row>
    <row r="6091" spans="14:14" x14ac:dyDescent="0.25">
      <c r="N6091" s="26"/>
    </row>
    <row r="6092" spans="14:14" x14ac:dyDescent="0.25">
      <c r="N6092" s="26"/>
    </row>
    <row r="6093" spans="14:14" x14ac:dyDescent="0.25">
      <c r="N6093" s="26"/>
    </row>
    <row r="6094" spans="14:14" x14ac:dyDescent="0.25">
      <c r="N6094" s="26"/>
    </row>
    <row r="6095" spans="14:14" x14ac:dyDescent="0.25">
      <c r="N6095" s="26"/>
    </row>
    <row r="6096" spans="14:14" x14ac:dyDescent="0.25">
      <c r="N6096" s="26"/>
    </row>
    <row r="6097" spans="14:14" x14ac:dyDescent="0.25">
      <c r="N6097" s="26"/>
    </row>
    <row r="6098" spans="14:14" x14ac:dyDescent="0.25">
      <c r="N6098" s="26"/>
    </row>
    <row r="6099" spans="14:14" x14ac:dyDescent="0.25">
      <c r="N6099" s="26"/>
    </row>
    <row r="6100" spans="14:14" x14ac:dyDescent="0.25">
      <c r="N6100" s="26"/>
    </row>
    <row r="6101" spans="14:14" x14ac:dyDescent="0.25">
      <c r="N6101" s="26"/>
    </row>
    <row r="6102" spans="14:14" x14ac:dyDescent="0.25">
      <c r="N6102" s="26"/>
    </row>
    <row r="6103" spans="14:14" x14ac:dyDescent="0.25">
      <c r="N6103" s="26"/>
    </row>
    <row r="6104" spans="14:14" x14ac:dyDescent="0.25">
      <c r="N6104" s="26"/>
    </row>
    <row r="6105" spans="14:14" x14ac:dyDescent="0.25">
      <c r="N6105" s="26"/>
    </row>
    <row r="6106" spans="14:14" x14ac:dyDescent="0.25">
      <c r="N6106" s="26"/>
    </row>
    <row r="6107" spans="14:14" x14ac:dyDescent="0.25">
      <c r="N6107" s="26"/>
    </row>
    <row r="6108" spans="14:14" x14ac:dyDescent="0.25">
      <c r="N6108" s="26"/>
    </row>
    <row r="6109" spans="14:14" x14ac:dyDescent="0.25">
      <c r="N6109" s="26"/>
    </row>
    <row r="6110" spans="14:14" x14ac:dyDescent="0.25">
      <c r="N6110" s="26"/>
    </row>
    <row r="6111" spans="14:14" x14ac:dyDescent="0.25">
      <c r="N6111" s="26"/>
    </row>
    <row r="6112" spans="14:14" x14ac:dyDescent="0.25">
      <c r="N6112" s="26"/>
    </row>
    <row r="6113" spans="14:14" x14ac:dyDescent="0.25">
      <c r="N6113" s="26"/>
    </row>
    <row r="6114" spans="14:14" x14ac:dyDescent="0.25">
      <c r="N6114" s="26"/>
    </row>
    <row r="6115" spans="14:14" x14ac:dyDescent="0.25">
      <c r="N6115" s="26"/>
    </row>
    <row r="6116" spans="14:14" x14ac:dyDescent="0.25">
      <c r="N6116" s="26"/>
    </row>
    <row r="6117" spans="14:14" x14ac:dyDescent="0.25">
      <c r="N6117" s="26"/>
    </row>
    <row r="6118" spans="14:14" x14ac:dyDescent="0.25">
      <c r="N6118" s="26"/>
    </row>
    <row r="6119" spans="14:14" x14ac:dyDescent="0.25">
      <c r="N6119" s="26"/>
    </row>
    <row r="6120" spans="14:14" x14ac:dyDescent="0.25">
      <c r="N6120" s="26"/>
    </row>
    <row r="6121" spans="14:14" x14ac:dyDescent="0.25">
      <c r="N6121" s="26"/>
    </row>
    <row r="6122" spans="14:14" x14ac:dyDescent="0.25">
      <c r="N6122" s="26"/>
    </row>
    <row r="6123" spans="14:14" x14ac:dyDescent="0.25">
      <c r="N6123" s="26"/>
    </row>
    <row r="6124" spans="14:14" x14ac:dyDescent="0.25">
      <c r="N6124" s="26"/>
    </row>
    <row r="6125" spans="14:14" x14ac:dyDescent="0.25">
      <c r="N6125" s="26"/>
    </row>
    <row r="6126" spans="14:14" x14ac:dyDescent="0.25">
      <c r="N6126" s="26"/>
    </row>
    <row r="6127" spans="14:14" x14ac:dyDescent="0.25">
      <c r="N6127" s="26"/>
    </row>
    <row r="6128" spans="14:14" x14ac:dyDescent="0.25">
      <c r="N6128" s="26"/>
    </row>
    <row r="6129" spans="14:14" x14ac:dyDescent="0.25">
      <c r="N6129" s="26"/>
    </row>
    <row r="6130" spans="14:14" x14ac:dyDescent="0.25">
      <c r="N6130" s="26"/>
    </row>
    <row r="6131" spans="14:14" x14ac:dyDescent="0.25">
      <c r="N6131" s="26"/>
    </row>
    <row r="6132" spans="14:14" x14ac:dyDescent="0.25">
      <c r="N6132" s="26"/>
    </row>
    <row r="6133" spans="14:14" x14ac:dyDescent="0.25">
      <c r="N6133" s="26"/>
    </row>
    <row r="6134" spans="14:14" x14ac:dyDescent="0.25">
      <c r="N6134" s="26"/>
    </row>
    <row r="6135" spans="14:14" x14ac:dyDescent="0.25">
      <c r="N6135" s="26"/>
    </row>
    <row r="6136" spans="14:14" x14ac:dyDescent="0.25">
      <c r="N6136" s="26"/>
    </row>
    <row r="6137" spans="14:14" x14ac:dyDescent="0.25">
      <c r="N6137" s="26"/>
    </row>
    <row r="6138" spans="14:14" x14ac:dyDescent="0.25">
      <c r="N6138" s="26"/>
    </row>
    <row r="6139" spans="14:14" x14ac:dyDescent="0.25">
      <c r="N6139" s="26"/>
    </row>
    <row r="6140" spans="14:14" x14ac:dyDescent="0.25">
      <c r="N6140" s="26"/>
    </row>
    <row r="6141" spans="14:14" x14ac:dyDescent="0.25">
      <c r="N6141" s="26"/>
    </row>
    <row r="6142" spans="14:14" x14ac:dyDescent="0.25">
      <c r="N6142" s="26"/>
    </row>
    <row r="6143" spans="14:14" x14ac:dyDescent="0.25">
      <c r="N6143" s="26"/>
    </row>
    <row r="6144" spans="14:14" x14ac:dyDescent="0.25">
      <c r="N6144" s="26"/>
    </row>
    <row r="6145" spans="14:14" x14ac:dyDescent="0.25">
      <c r="N6145" s="26"/>
    </row>
    <row r="6146" spans="14:14" x14ac:dyDescent="0.25">
      <c r="N6146" s="26"/>
    </row>
    <row r="6147" spans="14:14" x14ac:dyDescent="0.25">
      <c r="N6147" s="26"/>
    </row>
    <row r="6148" spans="14:14" x14ac:dyDescent="0.25">
      <c r="N6148" s="26"/>
    </row>
    <row r="6149" spans="14:14" x14ac:dyDescent="0.25">
      <c r="N6149" s="26"/>
    </row>
    <row r="6150" spans="14:14" x14ac:dyDescent="0.25">
      <c r="N6150" s="26"/>
    </row>
    <row r="6151" spans="14:14" x14ac:dyDescent="0.25">
      <c r="N6151" s="26"/>
    </row>
    <row r="6152" spans="14:14" x14ac:dyDescent="0.25">
      <c r="N6152" s="26"/>
    </row>
    <row r="6153" spans="14:14" x14ac:dyDescent="0.25">
      <c r="N6153" s="26"/>
    </row>
    <row r="6154" spans="14:14" x14ac:dyDescent="0.25">
      <c r="N6154" s="26"/>
    </row>
    <row r="6155" spans="14:14" x14ac:dyDescent="0.25">
      <c r="N6155" s="26"/>
    </row>
    <row r="6156" spans="14:14" x14ac:dyDescent="0.25">
      <c r="N6156" s="26"/>
    </row>
    <row r="6157" spans="14:14" x14ac:dyDescent="0.25">
      <c r="N6157" s="26"/>
    </row>
    <row r="6158" spans="14:14" x14ac:dyDescent="0.25">
      <c r="N6158" s="26"/>
    </row>
    <row r="6159" spans="14:14" x14ac:dyDescent="0.25">
      <c r="N6159" s="26"/>
    </row>
    <row r="6160" spans="14:14" x14ac:dyDescent="0.25">
      <c r="N6160" s="26"/>
    </row>
    <row r="6161" spans="14:14" x14ac:dyDescent="0.25">
      <c r="N6161" s="26"/>
    </row>
    <row r="6162" spans="14:14" x14ac:dyDescent="0.25">
      <c r="N6162" s="26"/>
    </row>
    <row r="6163" spans="14:14" x14ac:dyDescent="0.25">
      <c r="N6163" s="26"/>
    </row>
    <row r="6164" spans="14:14" x14ac:dyDescent="0.25">
      <c r="N6164" s="26"/>
    </row>
    <row r="6165" spans="14:14" x14ac:dyDescent="0.25">
      <c r="N6165" s="26"/>
    </row>
    <row r="6166" spans="14:14" x14ac:dyDescent="0.25">
      <c r="N6166" s="26"/>
    </row>
    <row r="6167" spans="14:14" x14ac:dyDescent="0.25">
      <c r="N6167" s="26"/>
    </row>
    <row r="6168" spans="14:14" x14ac:dyDescent="0.25">
      <c r="N6168" s="26"/>
    </row>
    <row r="6169" spans="14:14" x14ac:dyDescent="0.25">
      <c r="N6169" s="26"/>
    </row>
    <row r="6170" spans="14:14" x14ac:dyDescent="0.25">
      <c r="N6170" s="26"/>
    </row>
    <row r="6171" spans="14:14" x14ac:dyDescent="0.25">
      <c r="N6171" s="26"/>
    </row>
    <row r="6172" spans="14:14" x14ac:dyDescent="0.25">
      <c r="N6172" s="26"/>
    </row>
    <row r="6173" spans="14:14" x14ac:dyDescent="0.25">
      <c r="N6173" s="26"/>
    </row>
    <row r="6174" spans="14:14" x14ac:dyDescent="0.25">
      <c r="N6174" s="26"/>
    </row>
    <row r="6175" spans="14:14" x14ac:dyDescent="0.25">
      <c r="N6175" s="26"/>
    </row>
    <row r="6176" spans="14:14" x14ac:dyDescent="0.25">
      <c r="N6176" s="26"/>
    </row>
    <row r="6177" spans="14:14" x14ac:dyDescent="0.25">
      <c r="N6177" s="26"/>
    </row>
    <row r="6178" spans="14:14" x14ac:dyDescent="0.25">
      <c r="N6178" s="26"/>
    </row>
    <row r="6179" spans="14:14" x14ac:dyDescent="0.25">
      <c r="N6179" s="26"/>
    </row>
    <row r="6180" spans="14:14" x14ac:dyDescent="0.25">
      <c r="N6180" s="26"/>
    </row>
    <row r="6181" spans="14:14" x14ac:dyDescent="0.25">
      <c r="N6181" s="26"/>
    </row>
    <row r="6182" spans="14:14" x14ac:dyDescent="0.25">
      <c r="N6182" s="26"/>
    </row>
    <row r="6183" spans="14:14" x14ac:dyDescent="0.25">
      <c r="N6183" s="26"/>
    </row>
    <row r="6184" spans="14:14" x14ac:dyDescent="0.25">
      <c r="N6184" s="26"/>
    </row>
    <row r="6185" spans="14:14" x14ac:dyDescent="0.25">
      <c r="N6185" s="26"/>
    </row>
    <row r="6186" spans="14:14" x14ac:dyDescent="0.25">
      <c r="N6186" s="26"/>
    </row>
    <row r="6187" spans="14:14" x14ac:dyDescent="0.25">
      <c r="N6187" s="26"/>
    </row>
    <row r="6188" spans="14:14" x14ac:dyDescent="0.25">
      <c r="N6188" s="26"/>
    </row>
    <row r="6189" spans="14:14" x14ac:dyDescent="0.25">
      <c r="N6189" s="26"/>
    </row>
    <row r="6190" spans="14:14" x14ac:dyDescent="0.25">
      <c r="N6190" s="26"/>
    </row>
    <row r="6191" spans="14:14" x14ac:dyDescent="0.25">
      <c r="N6191" s="26"/>
    </row>
    <row r="6192" spans="14:14" x14ac:dyDescent="0.25">
      <c r="N6192" s="26"/>
    </row>
    <row r="6193" spans="14:14" x14ac:dyDescent="0.25">
      <c r="N6193" s="26"/>
    </row>
    <row r="6194" spans="14:14" x14ac:dyDescent="0.25">
      <c r="N6194" s="26"/>
    </row>
    <row r="6195" spans="14:14" x14ac:dyDescent="0.25">
      <c r="N6195" s="26"/>
    </row>
    <row r="6196" spans="14:14" x14ac:dyDescent="0.25">
      <c r="N6196" s="26"/>
    </row>
    <row r="6197" spans="14:14" x14ac:dyDescent="0.25">
      <c r="N6197" s="26"/>
    </row>
    <row r="6198" spans="14:14" x14ac:dyDescent="0.25">
      <c r="N6198" s="26"/>
    </row>
    <row r="6199" spans="14:14" x14ac:dyDescent="0.25">
      <c r="N6199" s="26"/>
    </row>
    <row r="6200" spans="14:14" x14ac:dyDescent="0.25">
      <c r="N6200" s="26"/>
    </row>
    <row r="6201" spans="14:14" x14ac:dyDescent="0.25">
      <c r="N6201" s="26"/>
    </row>
    <row r="6202" spans="14:14" x14ac:dyDescent="0.25">
      <c r="N6202" s="26"/>
    </row>
    <row r="6203" spans="14:14" x14ac:dyDescent="0.25">
      <c r="N6203" s="26"/>
    </row>
    <row r="6204" spans="14:14" x14ac:dyDescent="0.25">
      <c r="N6204" s="26"/>
    </row>
    <row r="6205" spans="14:14" x14ac:dyDescent="0.25">
      <c r="N6205" s="26"/>
    </row>
    <row r="6206" spans="14:14" x14ac:dyDescent="0.25">
      <c r="N6206" s="26"/>
    </row>
    <row r="6207" spans="14:14" x14ac:dyDescent="0.25">
      <c r="N6207" s="26"/>
    </row>
    <row r="6208" spans="14:14" x14ac:dyDescent="0.25">
      <c r="N6208" s="26"/>
    </row>
    <row r="6209" spans="14:14" x14ac:dyDescent="0.25">
      <c r="N6209" s="26"/>
    </row>
    <row r="6210" spans="14:14" x14ac:dyDescent="0.25">
      <c r="N6210" s="26"/>
    </row>
    <row r="6211" spans="14:14" x14ac:dyDescent="0.25">
      <c r="N6211" s="26"/>
    </row>
    <row r="6212" spans="14:14" x14ac:dyDescent="0.25">
      <c r="N6212" s="26"/>
    </row>
    <row r="6213" spans="14:14" x14ac:dyDescent="0.25">
      <c r="N6213" s="26"/>
    </row>
    <row r="6214" spans="14:14" x14ac:dyDescent="0.25">
      <c r="N6214" s="26"/>
    </row>
    <row r="6215" spans="14:14" x14ac:dyDescent="0.25">
      <c r="N6215" s="26"/>
    </row>
    <row r="6216" spans="14:14" x14ac:dyDescent="0.25">
      <c r="N6216" s="26"/>
    </row>
    <row r="6217" spans="14:14" x14ac:dyDescent="0.25">
      <c r="N6217" s="26"/>
    </row>
    <row r="6218" spans="14:14" x14ac:dyDescent="0.25">
      <c r="N6218" s="26"/>
    </row>
    <row r="6219" spans="14:14" x14ac:dyDescent="0.25">
      <c r="N6219" s="26"/>
    </row>
    <row r="6220" spans="14:14" x14ac:dyDescent="0.25">
      <c r="N6220" s="26"/>
    </row>
    <row r="6221" spans="14:14" x14ac:dyDescent="0.25">
      <c r="N6221" s="26"/>
    </row>
    <row r="6222" spans="14:14" x14ac:dyDescent="0.25">
      <c r="N6222" s="26"/>
    </row>
    <row r="6223" spans="14:14" x14ac:dyDescent="0.25">
      <c r="N6223" s="26"/>
    </row>
    <row r="6224" spans="14:14" x14ac:dyDescent="0.25">
      <c r="N6224" s="26"/>
    </row>
    <row r="6225" spans="14:14" x14ac:dyDescent="0.25">
      <c r="N6225" s="26"/>
    </row>
    <row r="6226" spans="14:14" x14ac:dyDescent="0.25">
      <c r="N6226" s="26"/>
    </row>
    <row r="6227" spans="14:14" x14ac:dyDescent="0.25">
      <c r="N6227" s="26"/>
    </row>
    <row r="6228" spans="14:14" x14ac:dyDescent="0.25">
      <c r="N6228" s="26"/>
    </row>
    <row r="6229" spans="14:14" x14ac:dyDescent="0.25">
      <c r="N6229" s="26"/>
    </row>
    <row r="6230" spans="14:14" x14ac:dyDescent="0.25">
      <c r="N6230" s="26"/>
    </row>
    <row r="6231" spans="14:14" x14ac:dyDescent="0.25">
      <c r="N6231" s="26"/>
    </row>
    <row r="6232" spans="14:14" x14ac:dyDescent="0.25">
      <c r="N6232" s="26"/>
    </row>
    <row r="6233" spans="14:14" x14ac:dyDescent="0.25">
      <c r="N6233" s="26"/>
    </row>
    <row r="6234" spans="14:14" x14ac:dyDescent="0.25">
      <c r="N6234" s="26"/>
    </row>
    <row r="6235" spans="14:14" x14ac:dyDescent="0.25">
      <c r="N6235" s="26"/>
    </row>
    <row r="6236" spans="14:14" x14ac:dyDescent="0.25">
      <c r="N6236" s="26"/>
    </row>
    <row r="6237" spans="14:14" x14ac:dyDescent="0.25">
      <c r="N6237" s="26"/>
    </row>
    <row r="6238" spans="14:14" x14ac:dyDescent="0.25">
      <c r="N6238" s="26"/>
    </row>
    <row r="6239" spans="14:14" x14ac:dyDescent="0.25">
      <c r="N6239" s="26"/>
    </row>
    <row r="6240" spans="14:14" x14ac:dyDescent="0.25">
      <c r="N6240" s="26"/>
    </row>
    <row r="6241" spans="14:14" x14ac:dyDescent="0.25">
      <c r="N6241" s="26"/>
    </row>
    <row r="6242" spans="14:14" x14ac:dyDescent="0.25">
      <c r="N6242" s="26"/>
    </row>
    <row r="6243" spans="14:14" x14ac:dyDescent="0.25">
      <c r="N6243" s="26"/>
    </row>
    <row r="6244" spans="14:14" x14ac:dyDescent="0.25">
      <c r="N6244" s="26"/>
    </row>
    <row r="6245" spans="14:14" x14ac:dyDescent="0.25">
      <c r="N6245" s="26"/>
    </row>
    <row r="6246" spans="14:14" x14ac:dyDescent="0.25">
      <c r="N6246" s="26"/>
    </row>
    <row r="6247" spans="14:14" x14ac:dyDescent="0.25">
      <c r="N6247" s="26"/>
    </row>
    <row r="6248" spans="14:14" x14ac:dyDescent="0.25">
      <c r="N6248" s="26"/>
    </row>
    <row r="6249" spans="14:14" x14ac:dyDescent="0.25">
      <c r="N6249" s="26"/>
    </row>
    <row r="6250" spans="14:14" x14ac:dyDescent="0.25">
      <c r="N6250" s="26"/>
    </row>
    <row r="6251" spans="14:14" x14ac:dyDescent="0.25">
      <c r="N6251" s="26"/>
    </row>
    <row r="6252" spans="14:14" x14ac:dyDescent="0.25">
      <c r="N6252" s="26"/>
    </row>
    <row r="6253" spans="14:14" x14ac:dyDescent="0.25">
      <c r="N6253" s="26"/>
    </row>
    <row r="6254" spans="14:14" x14ac:dyDescent="0.25">
      <c r="N6254" s="26"/>
    </row>
    <row r="6255" spans="14:14" x14ac:dyDescent="0.25">
      <c r="N6255" s="26"/>
    </row>
    <row r="6256" spans="14:14" x14ac:dyDescent="0.25">
      <c r="N6256" s="26"/>
    </row>
    <row r="6257" spans="14:14" x14ac:dyDescent="0.25">
      <c r="N6257" s="26"/>
    </row>
    <row r="6258" spans="14:14" x14ac:dyDescent="0.25">
      <c r="N6258" s="26"/>
    </row>
    <row r="6259" spans="14:14" x14ac:dyDescent="0.25">
      <c r="N6259" s="26"/>
    </row>
    <row r="6260" spans="14:14" x14ac:dyDescent="0.25">
      <c r="N6260" s="26"/>
    </row>
    <row r="6261" spans="14:14" x14ac:dyDescent="0.25">
      <c r="N6261" s="26"/>
    </row>
    <row r="6262" spans="14:14" x14ac:dyDescent="0.25">
      <c r="N6262" s="26"/>
    </row>
    <row r="6263" spans="14:14" x14ac:dyDescent="0.25">
      <c r="N6263" s="26"/>
    </row>
    <row r="6264" spans="14:14" x14ac:dyDescent="0.25">
      <c r="N6264" s="26"/>
    </row>
    <row r="6265" spans="14:14" x14ac:dyDescent="0.25">
      <c r="N6265" s="26"/>
    </row>
    <row r="6266" spans="14:14" x14ac:dyDescent="0.25">
      <c r="N6266" s="26"/>
    </row>
    <row r="6267" spans="14:14" x14ac:dyDescent="0.25">
      <c r="N6267" s="26"/>
    </row>
    <row r="6268" spans="14:14" x14ac:dyDescent="0.25">
      <c r="N6268" s="26"/>
    </row>
    <row r="6269" spans="14:14" x14ac:dyDescent="0.25">
      <c r="N6269" s="26"/>
    </row>
    <row r="6270" spans="14:14" x14ac:dyDescent="0.25">
      <c r="N6270" s="26"/>
    </row>
    <row r="6271" spans="14:14" x14ac:dyDescent="0.25">
      <c r="N6271" s="26"/>
    </row>
    <row r="6272" spans="14:14" x14ac:dyDescent="0.25">
      <c r="N6272" s="26"/>
    </row>
    <row r="6273" spans="14:14" x14ac:dyDescent="0.25">
      <c r="N6273" s="26"/>
    </row>
    <row r="6274" spans="14:14" x14ac:dyDescent="0.25">
      <c r="N6274" s="26"/>
    </row>
    <row r="6275" spans="14:14" x14ac:dyDescent="0.25">
      <c r="N6275" s="26"/>
    </row>
    <row r="6276" spans="14:14" x14ac:dyDescent="0.25">
      <c r="N6276" s="26"/>
    </row>
    <row r="6277" spans="14:14" x14ac:dyDescent="0.25">
      <c r="N6277" s="26"/>
    </row>
    <row r="6278" spans="14:14" x14ac:dyDescent="0.25">
      <c r="N6278" s="26"/>
    </row>
    <row r="6279" spans="14:14" x14ac:dyDescent="0.25">
      <c r="N6279" s="26"/>
    </row>
    <row r="6280" spans="14:14" x14ac:dyDescent="0.25">
      <c r="N6280" s="26"/>
    </row>
    <row r="6281" spans="14:14" x14ac:dyDescent="0.25">
      <c r="N6281" s="26"/>
    </row>
    <row r="6282" spans="14:14" x14ac:dyDescent="0.25">
      <c r="N6282" s="26"/>
    </row>
    <row r="6283" spans="14:14" x14ac:dyDescent="0.25">
      <c r="N6283" s="26"/>
    </row>
    <row r="6284" spans="14:14" x14ac:dyDescent="0.25">
      <c r="N6284" s="26"/>
    </row>
    <row r="6285" spans="14:14" x14ac:dyDescent="0.25">
      <c r="N6285" s="26"/>
    </row>
    <row r="6286" spans="14:14" x14ac:dyDescent="0.25">
      <c r="N6286" s="26"/>
    </row>
    <row r="6287" spans="14:14" x14ac:dyDescent="0.25">
      <c r="N6287" s="26"/>
    </row>
    <row r="6288" spans="14:14" x14ac:dyDescent="0.25">
      <c r="N6288" s="26"/>
    </row>
    <row r="6289" spans="14:14" x14ac:dyDescent="0.25">
      <c r="N6289" s="26"/>
    </row>
    <row r="6290" spans="14:14" x14ac:dyDescent="0.25">
      <c r="N6290" s="26"/>
    </row>
    <row r="6291" spans="14:14" x14ac:dyDescent="0.25">
      <c r="N6291" s="26"/>
    </row>
    <row r="6292" spans="14:14" x14ac:dyDescent="0.25">
      <c r="N6292" s="26"/>
    </row>
    <row r="6293" spans="14:14" x14ac:dyDescent="0.25">
      <c r="N6293" s="26"/>
    </row>
    <row r="6294" spans="14:14" x14ac:dyDescent="0.25">
      <c r="N6294" s="26"/>
    </row>
    <row r="6295" spans="14:14" x14ac:dyDescent="0.25">
      <c r="N6295" s="26"/>
    </row>
    <row r="6296" spans="14:14" x14ac:dyDescent="0.25">
      <c r="N6296" s="26"/>
    </row>
    <row r="6297" spans="14:14" x14ac:dyDescent="0.25">
      <c r="N6297" s="26"/>
    </row>
    <row r="6298" spans="14:14" x14ac:dyDescent="0.25">
      <c r="N6298" s="26"/>
    </row>
    <row r="6299" spans="14:14" x14ac:dyDescent="0.25">
      <c r="N6299" s="26"/>
    </row>
    <row r="6300" spans="14:14" x14ac:dyDescent="0.25">
      <c r="N6300" s="26"/>
    </row>
    <row r="6301" spans="14:14" x14ac:dyDescent="0.25">
      <c r="N6301" s="26"/>
    </row>
    <row r="6302" spans="14:14" x14ac:dyDescent="0.25">
      <c r="N6302" s="26"/>
    </row>
    <row r="6303" spans="14:14" x14ac:dyDescent="0.25">
      <c r="N6303" s="26"/>
    </row>
    <row r="6304" spans="14:14" x14ac:dyDescent="0.25">
      <c r="N6304" s="26"/>
    </row>
    <row r="6305" spans="14:14" x14ac:dyDescent="0.25">
      <c r="N6305" s="26"/>
    </row>
    <row r="6306" spans="14:14" x14ac:dyDescent="0.25">
      <c r="N6306" s="26"/>
    </row>
    <row r="6307" spans="14:14" x14ac:dyDescent="0.25">
      <c r="N6307" s="26"/>
    </row>
    <row r="6308" spans="14:14" x14ac:dyDescent="0.25">
      <c r="N6308" s="26"/>
    </row>
    <row r="6309" spans="14:14" x14ac:dyDescent="0.25">
      <c r="N6309" s="26"/>
    </row>
    <row r="6310" spans="14:14" x14ac:dyDescent="0.25">
      <c r="N6310" s="26"/>
    </row>
    <row r="6311" spans="14:14" x14ac:dyDescent="0.25">
      <c r="N6311" s="26"/>
    </row>
    <row r="6312" spans="14:14" x14ac:dyDescent="0.25">
      <c r="N6312" s="26"/>
    </row>
    <row r="6313" spans="14:14" x14ac:dyDescent="0.25">
      <c r="N6313" s="26"/>
    </row>
    <row r="6314" spans="14:14" x14ac:dyDescent="0.25">
      <c r="N6314" s="26"/>
    </row>
    <row r="6315" spans="14:14" x14ac:dyDescent="0.25">
      <c r="N6315" s="26"/>
    </row>
    <row r="6316" spans="14:14" x14ac:dyDescent="0.25">
      <c r="N6316" s="26"/>
    </row>
    <row r="6317" spans="14:14" x14ac:dyDescent="0.25">
      <c r="N6317" s="26"/>
    </row>
    <row r="6318" spans="14:14" x14ac:dyDescent="0.25">
      <c r="N6318" s="26"/>
    </row>
    <row r="6319" spans="14:14" x14ac:dyDescent="0.25">
      <c r="N6319" s="26"/>
    </row>
    <row r="6320" spans="14:14" x14ac:dyDescent="0.25">
      <c r="N6320" s="26"/>
    </row>
    <row r="6321" spans="14:14" x14ac:dyDescent="0.25">
      <c r="N6321" s="26"/>
    </row>
    <row r="6322" spans="14:14" x14ac:dyDescent="0.25">
      <c r="N6322" s="26"/>
    </row>
    <row r="6323" spans="14:14" x14ac:dyDescent="0.25">
      <c r="N6323" s="26"/>
    </row>
    <row r="6324" spans="14:14" x14ac:dyDescent="0.25">
      <c r="N6324" s="26"/>
    </row>
    <row r="6325" spans="14:14" x14ac:dyDescent="0.25">
      <c r="N6325" s="26"/>
    </row>
    <row r="6326" spans="14:14" x14ac:dyDescent="0.25">
      <c r="N6326" s="26"/>
    </row>
    <row r="6327" spans="14:14" x14ac:dyDescent="0.25">
      <c r="N6327" s="26"/>
    </row>
    <row r="6328" spans="14:14" x14ac:dyDescent="0.25">
      <c r="N6328" s="26"/>
    </row>
    <row r="6329" spans="14:14" x14ac:dyDescent="0.25">
      <c r="N6329" s="26"/>
    </row>
    <row r="6330" spans="14:14" x14ac:dyDescent="0.25">
      <c r="N6330" s="26"/>
    </row>
    <row r="6331" spans="14:14" x14ac:dyDescent="0.25">
      <c r="N6331" s="26"/>
    </row>
    <row r="6332" spans="14:14" x14ac:dyDescent="0.25">
      <c r="N6332" s="26"/>
    </row>
    <row r="6333" spans="14:14" x14ac:dyDescent="0.25">
      <c r="N6333" s="26"/>
    </row>
    <row r="6334" spans="14:14" x14ac:dyDescent="0.25">
      <c r="N6334" s="26"/>
    </row>
    <row r="6335" spans="14:14" x14ac:dyDescent="0.25">
      <c r="N6335" s="26"/>
    </row>
    <row r="6336" spans="14:14" x14ac:dyDescent="0.25">
      <c r="N6336" s="26"/>
    </row>
    <row r="6337" spans="14:14" x14ac:dyDescent="0.25">
      <c r="N6337" s="26"/>
    </row>
    <row r="6338" spans="14:14" x14ac:dyDescent="0.25">
      <c r="N6338" s="26"/>
    </row>
    <row r="6339" spans="14:14" x14ac:dyDescent="0.25">
      <c r="N6339" s="26"/>
    </row>
    <row r="6340" spans="14:14" x14ac:dyDescent="0.25">
      <c r="N6340" s="26"/>
    </row>
    <row r="6341" spans="14:14" x14ac:dyDescent="0.25">
      <c r="N6341" s="26"/>
    </row>
    <row r="6342" spans="14:14" x14ac:dyDescent="0.25">
      <c r="N6342" s="26"/>
    </row>
    <row r="6343" spans="14:14" x14ac:dyDescent="0.25">
      <c r="N6343" s="26"/>
    </row>
    <row r="6344" spans="14:14" x14ac:dyDescent="0.25">
      <c r="N6344" s="26"/>
    </row>
    <row r="6345" spans="14:14" x14ac:dyDescent="0.25">
      <c r="N6345" s="26"/>
    </row>
    <row r="6346" spans="14:14" x14ac:dyDescent="0.25">
      <c r="N6346" s="26"/>
    </row>
    <row r="6347" spans="14:14" x14ac:dyDescent="0.25">
      <c r="N6347" s="26"/>
    </row>
    <row r="6348" spans="14:14" x14ac:dyDescent="0.25">
      <c r="N6348" s="26"/>
    </row>
    <row r="6349" spans="14:14" x14ac:dyDescent="0.25">
      <c r="N6349" s="26"/>
    </row>
    <row r="6350" spans="14:14" x14ac:dyDescent="0.25">
      <c r="N6350" s="26"/>
    </row>
    <row r="6351" spans="14:14" x14ac:dyDescent="0.25">
      <c r="N6351" s="26"/>
    </row>
    <row r="6352" spans="14:14" x14ac:dyDescent="0.25">
      <c r="N6352" s="26"/>
    </row>
    <row r="6353" spans="14:14" x14ac:dyDescent="0.25">
      <c r="N6353" s="26"/>
    </row>
    <row r="6354" spans="14:14" x14ac:dyDescent="0.25">
      <c r="N6354" s="26"/>
    </row>
    <row r="6355" spans="14:14" x14ac:dyDescent="0.25">
      <c r="N6355" s="26"/>
    </row>
    <row r="6356" spans="14:14" x14ac:dyDescent="0.25">
      <c r="N6356" s="26"/>
    </row>
    <row r="6357" spans="14:14" x14ac:dyDescent="0.25">
      <c r="N6357" s="26"/>
    </row>
    <row r="6358" spans="14:14" x14ac:dyDescent="0.25">
      <c r="N6358" s="26"/>
    </row>
    <row r="6359" spans="14:14" x14ac:dyDescent="0.25">
      <c r="N6359" s="26"/>
    </row>
    <row r="6360" spans="14:14" x14ac:dyDescent="0.25">
      <c r="N6360" s="26"/>
    </row>
    <row r="6361" spans="14:14" x14ac:dyDescent="0.25">
      <c r="N6361" s="26"/>
    </row>
    <row r="6362" spans="14:14" x14ac:dyDescent="0.25">
      <c r="N6362" s="26"/>
    </row>
    <row r="6363" spans="14:14" x14ac:dyDescent="0.25">
      <c r="N6363" s="26"/>
    </row>
    <row r="6364" spans="14:14" x14ac:dyDescent="0.25">
      <c r="N6364" s="26"/>
    </row>
    <row r="6365" spans="14:14" x14ac:dyDescent="0.25">
      <c r="N6365" s="26"/>
    </row>
    <row r="6366" spans="14:14" x14ac:dyDescent="0.25">
      <c r="N6366" s="26"/>
    </row>
    <row r="6367" spans="14:14" x14ac:dyDescent="0.25">
      <c r="N6367" s="26"/>
    </row>
    <row r="6368" spans="14:14" x14ac:dyDescent="0.25">
      <c r="N6368" s="26"/>
    </row>
    <row r="6369" spans="14:14" x14ac:dyDescent="0.25">
      <c r="N6369" s="26"/>
    </row>
    <row r="6370" spans="14:14" x14ac:dyDescent="0.25">
      <c r="N6370" s="26"/>
    </row>
    <row r="6371" spans="14:14" x14ac:dyDescent="0.25">
      <c r="N6371" s="26"/>
    </row>
    <row r="6372" spans="14:14" x14ac:dyDescent="0.25">
      <c r="N6372" s="26"/>
    </row>
    <row r="6373" spans="14:14" x14ac:dyDescent="0.25">
      <c r="N6373" s="26"/>
    </row>
    <row r="6374" spans="14:14" x14ac:dyDescent="0.25">
      <c r="N6374" s="26"/>
    </row>
    <row r="6375" spans="14:14" x14ac:dyDescent="0.25">
      <c r="N6375" s="26"/>
    </row>
    <row r="6376" spans="14:14" x14ac:dyDescent="0.25">
      <c r="N6376" s="26"/>
    </row>
    <row r="6377" spans="14:14" x14ac:dyDescent="0.25">
      <c r="N6377" s="26"/>
    </row>
    <row r="6378" spans="14:14" x14ac:dyDescent="0.25">
      <c r="N6378" s="26"/>
    </row>
    <row r="6379" spans="14:14" x14ac:dyDescent="0.25">
      <c r="N6379" s="26"/>
    </row>
    <row r="6380" spans="14:14" x14ac:dyDescent="0.25">
      <c r="N6380" s="26"/>
    </row>
    <row r="6381" spans="14:14" x14ac:dyDescent="0.25">
      <c r="N6381" s="26"/>
    </row>
    <row r="6382" spans="14:14" x14ac:dyDescent="0.25">
      <c r="N6382" s="26"/>
    </row>
    <row r="6383" spans="14:14" x14ac:dyDescent="0.25">
      <c r="N6383" s="26"/>
    </row>
    <row r="6384" spans="14:14" x14ac:dyDescent="0.25">
      <c r="N6384" s="26"/>
    </row>
    <row r="6385" spans="14:14" x14ac:dyDescent="0.25">
      <c r="N6385" s="26"/>
    </row>
    <row r="6386" spans="14:14" x14ac:dyDescent="0.25">
      <c r="N6386" s="26"/>
    </row>
    <row r="6387" spans="14:14" x14ac:dyDescent="0.25">
      <c r="N6387" s="26"/>
    </row>
    <row r="6388" spans="14:14" x14ac:dyDescent="0.25">
      <c r="N6388" s="26"/>
    </row>
    <row r="6389" spans="14:14" x14ac:dyDescent="0.25">
      <c r="N6389" s="26"/>
    </row>
    <row r="6390" spans="14:14" x14ac:dyDescent="0.25">
      <c r="N6390" s="26"/>
    </row>
    <row r="6391" spans="14:14" x14ac:dyDescent="0.25">
      <c r="N6391" s="26"/>
    </row>
    <row r="6392" spans="14:14" x14ac:dyDescent="0.25">
      <c r="N6392" s="26"/>
    </row>
    <row r="6393" spans="14:14" x14ac:dyDescent="0.25">
      <c r="N6393" s="26"/>
    </row>
    <row r="6394" spans="14:14" x14ac:dyDescent="0.25">
      <c r="N6394" s="26"/>
    </row>
    <row r="6395" spans="14:14" x14ac:dyDescent="0.25">
      <c r="N6395" s="26"/>
    </row>
    <row r="6396" spans="14:14" x14ac:dyDescent="0.25">
      <c r="N6396" s="26"/>
    </row>
    <row r="6397" spans="14:14" x14ac:dyDescent="0.25">
      <c r="N6397" s="26"/>
    </row>
    <row r="6398" spans="14:14" x14ac:dyDescent="0.25">
      <c r="N6398" s="26"/>
    </row>
    <row r="6399" spans="14:14" x14ac:dyDescent="0.25">
      <c r="N6399" s="26"/>
    </row>
    <row r="6400" spans="14:14" x14ac:dyDescent="0.25">
      <c r="N6400" s="26"/>
    </row>
    <row r="6401" spans="14:14" x14ac:dyDescent="0.25">
      <c r="N6401" s="26"/>
    </row>
    <row r="6402" spans="14:14" x14ac:dyDescent="0.25">
      <c r="N6402" s="26"/>
    </row>
    <row r="6403" spans="14:14" x14ac:dyDescent="0.25">
      <c r="N6403" s="26"/>
    </row>
    <row r="6404" spans="14:14" x14ac:dyDescent="0.25">
      <c r="N6404" s="26"/>
    </row>
    <row r="6405" spans="14:14" x14ac:dyDescent="0.25">
      <c r="N6405" s="26"/>
    </row>
    <row r="6406" spans="14:14" x14ac:dyDescent="0.25">
      <c r="N6406" s="26"/>
    </row>
    <row r="6407" spans="14:14" x14ac:dyDescent="0.25">
      <c r="N6407" s="26"/>
    </row>
    <row r="6408" spans="14:14" x14ac:dyDescent="0.25">
      <c r="N6408" s="26"/>
    </row>
    <row r="6409" spans="14:14" x14ac:dyDescent="0.25">
      <c r="N6409" s="26"/>
    </row>
    <row r="6410" spans="14:14" x14ac:dyDescent="0.25">
      <c r="N6410" s="26"/>
    </row>
    <row r="6411" spans="14:14" x14ac:dyDescent="0.25">
      <c r="N6411" s="26"/>
    </row>
    <row r="6412" spans="14:14" x14ac:dyDescent="0.25">
      <c r="N6412" s="26"/>
    </row>
    <row r="6413" spans="14:14" x14ac:dyDescent="0.25">
      <c r="N6413" s="26"/>
    </row>
    <row r="6414" spans="14:14" x14ac:dyDescent="0.25">
      <c r="N6414" s="26"/>
    </row>
    <row r="6415" spans="14:14" x14ac:dyDescent="0.25">
      <c r="N6415" s="26"/>
    </row>
    <row r="6416" spans="14:14" x14ac:dyDescent="0.25">
      <c r="N6416" s="26"/>
    </row>
    <row r="6417" spans="14:14" x14ac:dyDescent="0.25">
      <c r="N6417" s="26"/>
    </row>
    <row r="6418" spans="14:14" x14ac:dyDescent="0.25">
      <c r="N6418" s="26"/>
    </row>
    <row r="6419" spans="14:14" x14ac:dyDescent="0.25">
      <c r="N6419" s="26"/>
    </row>
    <row r="6420" spans="14:14" x14ac:dyDescent="0.25">
      <c r="N6420" s="26"/>
    </row>
    <row r="6421" spans="14:14" x14ac:dyDescent="0.25">
      <c r="N6421" s="26"/>
    </row>
    <row r="6422" spans="14:14" x14ac:dyDescent="0.25">
      <c r="N6422" s="26"/>
    </row>
    <row r="6423" spans="14:14" x14ac:dyDescent="0.25">
      <c r="N6423" s="26"/>
    </row>
    <row r="6424" spans="14:14" x14ac:dyDescent="0.25">
      <c r="N6424" s="26"/>
    </row>
    <row r="6425" spans="14:14" x14ac:dyDescent="0.25">
      <c r="N6425" s="26"/>
    </row>
    <row r="6426" spans="14:14" x14ac:dyDescent="0.25">
      <c r="N6426" s="26"/>
    </row>
    <row r="6427" spans="14:14" x14ac:dyDescent="0.25">
      <c r="N6427" s="26"/>
    </row>
    <row r="6428" spans="14:14" x14ac:dyDescent="0.25">
      <c r="N6428" s="26"/>
    </row>
    <row r="6429" spans="14:14" x14ac:dyDescent="0.25">
      <c r="N6429" s="26"/>
    </row>
    <row r="6430" spans="14:14" x14ac:dyDescent="0.25">
      <c r="N6430" s="26"/>
    </row>
    <row r="6431" spans="14:14" x14ac:dyDescent="0.25">
      <c r="N6431" s="26"/>
    </row>
    <row r="6432" spans="14:14" x14ac:dyDescent="0.25">
      <c r="N6432" s="26"/>
    </row>
    <row r="6433" spans="14:14" x14ac:dyDescent="0.25">
      <c r="N6433" s="26"/>
    </row>
    <row r="6434" spans="14:14" x14ac:dyDescent="0.25">
      <c r="N6434" s="26"/>
    </row>
    <row r="6435" spans="14:14" x14ac:dyDescent="0.25">
      <c r="N6435" s="26"/>
    </row>
    <row r="6436" spans="14:14" x14ac:dyDescent="0.25">
      <c r="N6436" s="26"/>
    </row>
    <row r="6437" spans="14:14" x14ac:dyDescent="0.25">
      <c r="N6437" s="26"/>
    </row>
    <row r="6438" spans="14:14" x14ac:dyDescent="0.25">
      <c r="N6438" s="26"/>
    </row>
    <row r="6439" spans="14:14" x14ac:dyDescent="0.25">
      <c r="N6439" s="26"/>
    </row>
    <row r="6440" spans="14:14" x14ac:dyDescent="0.25">
      <c r="N6440" s="26"/>
    </row>
    <row r="6441" spans="14:14" x14ac:dyDescent="0.25">
      <c r="N6441" s="26"/>
    </row>
    <row r="6442" spans="14:14" x14ac:dyDescent="0.25">
      <c r="N6442" s="26"/>
    </row>
    <row r="6443" spans="14:14" x14ac:dyDescent="0.25">
      <c r="N6443" s="26"/>
    </row>
    <row r="6444" spans="14:14" x14ac:dyDescent="0.25">
      <c r="N6444" s="26"/>
    </row>
    <row r="6445" spans="14:14" x14ac:dyDescent="0.25">
      <c r="N6445" s="26"/>
    </row>
    <row r="6446" spans="14:14" x14ac:dyDescent="0.25">
      <c r="N6446" s="26"/>
    </row>
    <row r="6447" spans="14:14" x14ac:dyDescent="0.25">
      <c r="N6447" s="26"/>
    </row>
    <row r="6448" spans="14:14" x14ac:dyDescent="0.25">
      <c r="N6448" s="26"/>
    </row>
    <row r="6449" spans="14:14" x14ac:dyDescent="0.25">
      <c r="N6449" s="26"/>
    </row>
    <row r="6450" spans="14:14" x14ac:dyDescent="0.25">
      <c r="N6450" s="26"/>
    </row>
    <row r="6451" spans="14:14" x14ac:dyDescent="0.25">
      <c r="N6451" s="26"/>
    </row>
    <row r="6452" spans="14:14" x14ac:dyDescent="0.25">
      <c r="N6452" s="26"/>
    </row>
    <row r="6453" spans="14:14" x14ac:dyDescent="0.25">
      <c r="N6453" s="26"/>
    </row>
    <row r="6454" spans="14:14" x14ac:dyDescent="0.25">
      <c r="N6454" s="26"/>
    </row>
    <row r="6455" spans="14:14" x14ac:dyDescent="0.25">
      <c r="N6455" s="26"/>
    </row>
    <row r="6456" spans="14:14" x14ac:dyDescent="0.25">
      <c r="N6456" s="26"/>
    </row>
    <row r="6457" spans="14:14" x14ac:dyDescent="0.25">
      <c r="N6457" s="26"/>
    </row>
    <row r="6458" spans="14:14" x14ac:dyDescent="0.25">
      <c r="N6458" s="26"/>
    </row>
    <row r="6459" spans="14:14" x14ac:dyDescent="0.25">
      <c r="N6459" s="26"/>
    </row>
    <row r="6460" spans="14:14" x14ac:dyDescent="0.25">
      <c r="N6460" s="26"/>
    </row>
    <row r="6461" spans="14:14" x14ac:dyDescent="0.25">
      <c r="N6461" s="26"/>
    </row>
    <row r="6462" spans="14:14" x14ac:dyDescent="0.25">
      <c r="N6462" s="26"/>
    </row>
    <row r="6463" spans="14:14" x14ac:dyDescent="0.25">
      <c r="N6463" s="26"/>
    </row>
    <row r="6464" spans="14:14" x14ac:dyDescent="0.25">
      <c r="N6464" s="26"/>
    </row>
    <row r="6465" spans="14:14" x14ac:dyDescent="0.25">
      <c r="N6465" s="26"/>
    </row>
    <row r="6466" spans="14:14" x14ac:dyDescent="0.25">
      <c r="N6466" s="26"/>
    </row>
    <row r="6467" spans="14:14" x14ac:dyDescent="0.25">
      <c r="N6467" s="26"/>
    </row>
    <row r="6468" spans="14:14" x14ac:dyDescent="0.25">
      <c r="N6468" s="26"/>
    </row>
    <row r="6469" spans="14:14" x14ac:dyDescent="0.25">
      <c r="N6469" s="26"/>
    </row>
    <row r="6470" spans="14:14" x14ac:dyDescent="0.25">
      <c r="N6470" s="26"/>
    </row>
    <row r="6471" spans="14:14" x14ac:dyDescent="0.25">
      <c r="N6471" s="26"/>
    </row>
    <row r="6472" spans="14:14" x14ac:dyDescent="0.25">
      <c r="N6472" s="26"/>
    </row>
    <row r="6473" spans="14:14" x14ac:dyDescent="0.25">
      <c r="N6473" s="26"/>
    </row>
    <row r="6474" spans="14:14" x14ac:dyDescent="0.25">
      <c r="N6474" s="26"/>
    </row>
    <row r="6475" spans="14:14" x14ac:dyDescent="0.25">
      <c r="N6475" s="26"/>
    </row>
    <row r="6476" spans="14:14" x14ac:dyDescent="0.25">
      <c r="N6476" s="26"/>
    </row>
    <row r="6477" spans="14:14" x14ac:dyDescent="0.25">
      <c r="N6477" s="26"/>
    </row>
    <row r="6478" spans="14:14" x14ac:dyDescent="0.25">
      <c r="N6478" s="26"/>
    </row>
    <row r="6479" spans="14:14" x14ac:dyDescent="0.25">
      <c r="N6479" s="26"/>
    </row>
    <row r="6480" spans="14:14" x14ac:dyDescent="0.25">
      <c r="N6480" s="26"/>
    </row>
    <row r="6481" spans="14:14" x14ac:dyDescent="0.25">
      <c r="N6481" s="26"/>
    </row>
    <row r="6482" spans="14:14" x14ac:dyDescent="0.25">
      <c r="N6482" s="26"/>
    </row>
    <row r="6483" spans="14:14" x14ac:dyDescent="0.25">
      <c r="N6483" s="26"/>
    </row>
    <row r="6484" spans="14:14" x14ac:dyDescent="0.25">
      <c r="N6484" s="26"/>
    </row>
    <row r="6485" spans="14:14" x14ac:dyDescent="0.25">
      <c r="N6485" s="26"/>
    </row>
    <row r="6486" spans="14:14" x14ac:dyDescent="0.25">
      <c r="N6486" s="26"/>
    </row>
    <row r="6487" spans="14:14" x14ac:dyDescent="0.25">
      <c r="N6487" s="26"/>
    </row>
    <row r="6488" spans="14:14" x14ac:dyDescent="0.25">
      <c r="N6488" s="26"/>
    </row>
    <row r="6489" spans="14:14" x14ac:dyDescent="0.25">
      <c r="N6489" s="26"/>
    </row>
    <row r="6490" spans="14:14" x14ac:dyDescent="0.25">
      <c r="N6490" s="26"/>
    </row>
    <row r="6491" spans="14:14" x14ac:dyDescent="0.25">
      <c r="N6491" s="26"/>
    </row>
    <row r="6492" spans="14:14" x14ac:dyDescent="0.25">
      <c r="N6492" s="26"/>
    </row>
    <row r="6493" spans="14:14" x14ac:dyDescent="0.25">
      <c r="N6493" s="26"/>
    </row>
    <row r="6494" spans="14:14" x14ac:dyDescent="0.25">
      <c r="N6494" s="26"/>
    </row>
    <row r="6495" spans="14:14" x14ac:dyDescent="0.25">
      <c r="N6495" s="26"/>
    </row>
    <row r="6496" spans="14:14" x14ac:dyDescent="0.25">
      <c r="N6496" s="26"/>
    </row>
    <row r="6497" spans="14:14" x14ac:dyDescent="0.25">
      <c r="N6497" s="26"/>
    </row>
    <row r="6498" spans="14:14" x14ac:dyDescent="0.25">
      <c r="N6498" s="26"/>
    </row>
    <row r="6499" spans="14:14" x14ac:dyDescent="0.25">
      <c r="N6499" s="26"/>
    </row>
    <row r="6500" spans="14:14" x14ac:dyDescent="0.25">
      <c r="N6500" s="26"/>
    </row>
    <row r="6501" spans="14:14" x14ac:dyDescent="0.25">
      <c r="N6501" s="26"/>
    </row>
    <row r="6502" spans="14:14" x14ac:dyDescent="0.25">
      <c r="N6502" s="26"/>
    </row>
    <row r="6503" spans="14:14" x14ac:dyDescent="0.25">
      <c r="N6503" s="26"/>
    </row>
    <row r="6504" spans="14:14" x14ac:dyDescent="0.25">
      <c r="N6504" s="26"/>
    </row>
    <row r="6505" spans="14:14" x14ac:dyDescent="0.25">
      <c r="N6505" s="26"/>
    </row>
    <row r="6506" spans="14:14" x14ac:dyDescent="0.25">
      <c r="N6506" s="26"/>
    </row>
    <row r="6507" spans="14:14" x14ac:dyDescent="0.25">
      <c r="N6507" s="26"/>
    </row>
    <row r="6508" spans="14:14" x14ac:dyDescent="0.25">
      <c r="N6508" s="26"/>
    </row>
    <row r="6509" spans="14:14" x14ac:dyDescent="0.25">
      <c r="N6509" s="26"/>
    </row>
    <row r="6510" spans="14:14" x14ac:dyDescent="0.25">
      <c r="N6510" s="26"/>
    </row>
    <row r="6511" spans="14:14" x14ac:dyDescent="0.25">
      <c r="N6511" s="26"/>
    </row>
    <row r="6512" spans="14:14" x14ac:dyDescent="0.25">
      <c r="N6512" s="26"/>
    </row>
    <row r="6513" spans="14:14" x14ac:dyDescent="0.25">
      <c r="N6513" s="26"/>
    </row>
    <row r="6514" spans="14:14" x14ac:dyDescent="0.25">
      <c r="N6514" s="26"/>
    </row>
    <row r="6515" spans="14:14" x14ac:dyDescent="0.25">
      <c r="N6515" s="26"/>
    </row>
    <row r="6516" spans="14:14" x14ac:dyDescent="0.25">
      <c r="N6516" s="26"/>
    </row>
    <row r="6517" spans="14:14" x14ac:dyDescent="0.25">
      <c r="N6517" s="26"/>
    </row>
    <row r="6518" spans="14:14" x14ac:dyDescent="0.25">
      <c r="N6518" s="26"/>
    </row>
    <row r="6519" spans="14:14" x14ac:dyDescent="0.25">
      <c r="N6519" s="26"/>
    </row>
    <row r="6520" spans="14:14" x14ac:dyDescent="0.25">
      <c r="N6520" s="26"/>
    </row>
    <row r="6521" spans="14:14" x14ac:dyDescent="0.25">
      <c r="N6521" s="26"/>
    </row>
    <row r="6522" spans="14:14" x14ac:dyDescent="0.25">
      <c r="N6522" s="26"/>
    </row>
    <row r="6523" spans="14:14" x14ac:dyDescent="0.25">
      <c r="N6523" s="26"/>
    </row>
    <row r="6524" spans="14:14" x14ac:dyDescent="0.25">
      <c r="N6524" s="26"/>
    </row>
    <row r="6525" spans="14:14" x14ac:dyDescent="0.25">
      <c r="N6525" s="26"/>
    </row>
    <row r="6526" spans="14:14" x14ac:dyDescent="0.25">
      <c r="N6526" s="26"/>
    </row>
    <row r="6527" spans="14:14" x14ac:dyDescent="0.25">
      <c r="N6527" s="26"/>
    </row>
    <row r="6528" spans="14:14" x14ac:dyDescent="0.25">
      <c r="N6528" s="26"/>
    </row>
    <row r="6529" spans="14:14" x14ac:dyDescent="0.25">
      <c r="N6529" s="26"/>
    </row>
    <row r="6530" spans="14:14" x14ac:dyDescent="0.25">
      <c r="N6530" s="26"/>
    </row>
    <row r="6531" spans="14:14" x14ac:dyDescent="0.25">
      <c r="N6531" s="26"/>
    </row>
    <row r="6532" spans="14:14" x14ac:dyDescent="0.25">
      <c r="N6532" s="26"/>
    </row>
    <row r="6533" spans="14:14" x14ac:dyDescent="0.25">
      <c r="N6533" s="26"/>
    </row>
    <row r="6534" spans="14:14" x14ac:dyDescent="0.25">
      <c r="N6534" s="26"/>
    </row>
    <row r="6535" spans="14:14" x14ac:dyDescent="0.25">
      <c r="N6535" s="26"/>
    </row>
    <row r="6536" spans="14:14" x14ac:dyDescent="0.25">
      <c r="N6536" s="26"/>
    </row>
    <row r="6537" spans="14:14" x14ac:dyDescent="0.25">
      <c r="N6537" s="26"/>
    </row>
    <row r="6538" spans="14:14" x14ac:dyDescent="0.25">
      <c r="N6538" s="26"/>
    </row>
    <row r="6539" spans="14:14" x14ac:dyDescent="0.25">
      <c r="N6539" s="26"/>
    </row>
    <row r="6540" spans="14:14" x14ac:dyDescent="0.25">
      <c r="N6540" s="26"/>
    </row>
    <row r="6541" spans="14:14" x14ac:dyDescent="0.25">
      <c r="N6541" s="26"/>
    </row>
    <row r="6542" spans="14:14" x14ac:dyDescent="0.25">
      <c r="N6542" s="26"/>
    </row>
    <row r="6543" spans="14:14" x14ac:dyDescent="0.25">
      <c r="N6543" s="26"/>
    </row>
    <row r="6544" spans="14:14" x14ac:dyDescent="0.25">
      <c r="N6544" s="26"/>
    </row>
    <row r="6545" spans="14:14" x14ac:dyDescent="0.25">
      <c r="N6545" s="26"/>
    </row>
    <row r="6546" spans="14:14" x14ac:dyDescent="0.25">
      <c r="N6546" s="26"/>
    </row>
    <row r="6547" spans="14:14" x14ac:dyDescent="0.25">
      <c r="N6547" s="26"/>
    </row>
    <row r="6548" spans="14:14" x14ac:dyDescent="0.25">
      <c r="N6548" s="26"/>
    </row>
    <row r="6549" spans="14:14" x14ac:dyDescent="0.25">
      <c r="N6549" s="26"/>
    </row>
    <row r="6550" spans="14:14" x14ac:dyDescent="0.25">
      <c r="N6550" s="26"/>
    </row>
    <row r="6551" spans="14:14" x14ac:dyDescent="0.25">
      <c r="N6551" s="26"/>
    </row>
    <row r="6552" spans="14:14" x14ac:dyDescent="0.25">
      <c r="N6552" s="26"/>
    </row>
    <row r="6553" spans="14:14" x14ac:dyDescent="0.25">
      <c r="N6553" s="26"/>
    </row>
    <row r="6554" spans="14:14" x14ac:dyDescent="0.25">
      <c r="N6554" s="26"/>
    </row>
    <row r="6555" spans="14:14" x14ac:dyDescent="0.25">
      <c r="N6555" s="26"/>
    </row>
    <row r="6556" spans="14:14" x14ac:dyDescent="0.25">
      <c r="N6556" s="26"/>
    </row>
    <row r="6557" spans="14:14" x14ac:dyDescent="0.25">
      <c r="N6557" s="26"/>
    </row>
    <row r="6558" spans="14:14" x14ac:dyDescent="0.25">
      <c r="N6558" s="26"/>
    </row>
    <row r="6559" spans="14:14" x14ac:dyDescent="0.25">
      <c r="N6559" s="26"/>
    </row>
    <row r="6560" spans="14:14" x14ac:dyDescent="0.25">
      <c r="N6560" s="26"/>
    </row>
    <row r="6561" spans="14:14" x14ac:dyDescent="0.25">
      <c r="N6561" s="26"/>
    </row>
    <row r="6562" spans="14:14" x14ac:dyDescent="0.25">
      <c r="N6562" s="26"/>
    </row>
    <row r="6563" spans="14:14" x14ac:dyDescent="0.25">
      <c r="N6563" s="26"/>
    </row>
    <row r="6564" spans="14:14" x14ac:dyDescent="0.25">
      <c r="N6564" s="26"/>
    </row>
    <row r="6565" spans="14:14" x14ac:dyDescent="0.25">
      <c r="N6565" s="26"/>
    </row>
    <row r="6566" spans="14:14" x14ac:dyDescent="0.25">
      <c r="N6566" s="26"/>
    </row>
    <row r="6567" spans="14:14" x14ac:dyDescent="0.25">
      <c r="N6567" s="26"/>
    </row>
    <row r="6568" spans="14:14" x14ac:dyDescent="0.25">
      <c r="N6568" s="26"/>
    </row>
    <row r="6569" spans="14:14" x14ac:dyDescent="0.25">
      <c r="N6569" s="26"/>
    </row>
    <row r="6570" spans="14:14" x14ac:dyDescent="0.25">
      <c r="N6570" s="26"/>
    </row>
    <row r="6571" spans="14:14" x14ac:dyDescent="0.25">
      <c r="N6571" s="26"/>
    </row>
    <row r="6572" spans="14:14" x14ac:dyDescent="0.25">
      <c r="N6572" s="26"/>
    </row>
    <row r="6573" spans="14:14" x14ac:dyDescent="0.25">
      <c r="N6573" s="26"/>
    </row>
    <row r="6574" spans="14:14" x14ac:dyDescent="0.25">
      <c r="N6574" s="26"/>
    </row>
    <row r="6575" spans="14:14" x14ac:dyDescent="0.25">
      <c r="N6575" s="26"/>
    </row>
    <row r="6576" spans="14:14" x14ac:dyDescent="0.25">
      <c r="N6576" s="26"/>
    </row>
    <row r="6577" spans="14:14" x14ac:dyDescent="0.25">
      <c r="N6577" s="26"/>
    </row>
    <row r="6578" spans="14:14" x14ac:dyDescent="0.25">
      <c r="N6578" s="26"/>
    </row>
    <row r="6579" spans="14:14" x14ac:dyDescent="0.25">
      <c r="N6579" s="26"/>
    </row>
    <row r="6580" spans="14:14" x14ac:dyDescent="0.25">
      <c r="N6580" s="26"/>
    </row>
    <row r="6581" spans="14:14" x14ac:dyDescent="0.25">
      <c r="N6581" s="26"/>
    </row>
    <row r="6582" spans="14:14" x14ac:dyDescent="0.25">
      <c r="N6582" s="26"/>
    </row>
    <row r="6583" spans="14:14" x14ac:dyDescent="0.25">
      <c r="N6583" s="26"/>
    </row>
    <row r="6584" spans="14:14" x14ac:dyDescent="0.25">
      <c r="N6584" s="26"/>
    </row>
    <row r="6585" spans="14:14" x14ac:dyDescent="0.25">
      <c r="N6585" s="26"/>
    </row>
    <row r="6586" spans="14:14" x14ac:dyDescent="0.25">
      <c r="N6586" s="26"/>
    </row>
    <row r="6587" spans="14:14" x14ac:dyDescent="0.25">
      <c r="N6587" s="26"/>
    </row>
    <row r="6588" spans="14:14" x14ac:dyDescent="0.25">
      <c r="N6588" s="26"/>
    </row>
    <row r="6589" spans="14:14" x14ac:dyDescent="0.25">
      <c r="N6589" s="26"/>
    </row>
    <row r="6590" spans="14:14" x14ac:dyDescent="0.25">
      <c r="N6590" s="26"/>
    </row>
    <row r="6591" spans="14:14" x14ac:dyDescent="0.25">
      <c r="N6591" s="26"/>
    </row>
    <row r="6592" spans="14:14" x14ac:dyDescent="0.25">
      <c r="N6592" s="26"/>
    </row>
    <row r="6593" spans="14:14" x14ac:dyDescent="0.25">
      <c r="N6593" s="26"/>
    </row>
    <row r="6594" spans="14:14" x14ac:dyDescent="0.25">
      <c r="N6594" s="26"/>
    </row>
    <row r="6595" spans="14:14" x14ac:dyDescent="0.25">
      <c r="N6595" s="26"/>
    </row>
    <row r="6596" spans="14:14" x14ac:dyDescent="0.25">
      <c r="N6596" s="26"/>
    </row>
    <row r="6597" spans="14:14" x14ac:dyDescent="0.25">
      <c r="N6597" s="26"/>
    </row>
    <row r="6598" spans="14:14" x14ac:dyDescent="0.25">
      <c r="N6598" s="26"/>
    </row>
    <row r="6599" spans="14:14" x14ac:dyDescent="0.25">
      <c r="N6599" s="26"/>
    </row>
    <row r="6600" spans="14:14" x14ac:dyDescent="0.25">
      <c r="N6600" s="26"/>
    </row>
    <row r="6601" spans="14:14" x14ac:dyDescent="0.25">
      <c r="N6601" s="26"/>
    </row>
    <row r="6602" spans="14:14" x14ac:dyDescent="0.25">
      <c r="N6602" s="26"/>
    </row>
    <row r="6603" spans="14:14" x14ac:dyDescent="0.25">
      <c r="N6603" s="26"/>
    </row>
    <row r="6604" spans="14:14" x14ac:dyDescent="0.25">
      <c r="N6604" s="26"/>
    </row>
    <row r="6605" spans="14:14" x14ac:dyDescent="0.25">
      <c r="N6605" s="26"/>
    </row>
    <row r="6606" spans="14:14" x14ac:dyDescent="0.25">
      <c r="N6606" s="26"/>
    </row>
    <row r="6607" spans="14:14" x14ac:dyDescent="0.25">
      <c r="N6607" s="26"/>
    </row>
    <row r="6608" spans="14:14" x14ac:dyDescent="0.25">
      <c r="N6608" s="26"/>
    </row>
    <row r="6609" spans="14:14" x14ac:dyDescent="0.25">
      <c r="N6609" s="26"/>
    </row>
    <row r="6610" spans="14:14" x14ac:dyDescent="0.25">
      <c r="N6610" s="26"/>
    </row>
    <row r="6611" spans="14:14" x14ac:dyDescent="0.25">
      <c r="N6611" s="26"/>
    </row>
    <row r="6612" spans="14:14" x14ac:dyDescent="0.25">
      <c r="N6612" s="26"/>
    </row>
    <row r="6613" spans="14:14" x14ac:dyDescent="0.25">
      <c r="N6613" s="26"/>
    </row>
    <row r="6614" spans="14:14" x14ac:dyDescent="0.25">
      <c r="N6614" s="26"/>
    </row>
    <row r="6615" spans="14:14" x14ac:dyDescent="0.25">
      <c r="N6615" s="26"/>
    </row>
    <row r="6616" spans="14:14" x14ac:dyDescent="0.25">
      <c r="N6616" s="26"/>
    </row>
    <row r="6617" spans="14:14" x14ac:dyDescent="0.25">
      <c r="N6617" s="26"/>
    </row>
    <row r="6618" spans="14:14" x14ac:dyDescent="0.25">
      <c r="N6618" s="26"/>
    </row>
    <row r="6619" spans="14:14" x14ac:dyDescent="0.25">
      <c r="N6619" s="26"/>
    </row>
    <row r="6620" spans="14:14" x14ac:dyDescent="0.25">
      <c r="N6620" s="26"/>
    </row>
    <row r="6621" spans="14:14" x14ac:dyDescent="0.25">
      <c r="N6621" s="26"/>
    </row>
    <row r="6622" spans="14:14" x14ac:dyDescent="0.25">
      <c r="N6622" s="26"/>
    </row>
    <row r="6623" spans="14:14" x14ac:dyDescent="0.25">
      <c r="N6623" s="26"/>
    </row>
    <row r="6624" spans="14:14" x14ac:dyDescent="0.25">
      <c r="N6624" s="26"/>
    </row>
    <row r="6625" spans="14:14" x14ac:dyDescent="0.25">
      <c r="N6625" s="26"/>
    </row>
    <row r="6626" spans="14:14" x14ac:dyDescent="0.25">
      <c r="N6626" s="26"/>
    </row>
    <row r="6627" spans="14:14" x14ac:dyDescent="0.25">
      <c r="N6627" s="26"/>
    </row>
    <row r="6628" spans="14:14" x14ac:dyDescent="0.25">
      <c r="N6628" s="26"/>
    </row>
    <row r="6629" spans="14:14" x14ac:dyDescent="0.25">
      <c r="N6629" s="26"/>
    </row>
    <row r="6630" spans="14:14" x14ac:dyDescent="0.25">
      <c r="N6630" s="26"/>
    </row>
    <row r="6631" spans="14:14" x14ac:dyDescent="0.25">
      <c r="N6631" s="26"/>
    </row>
    <row r="6632" spans="14:14" x14ac:dyDescent="0.25">
      <c r="N6632" s="26"/>
    </row>
    <row r="6633" spans="14:14" x14ac:dyDescent="0.25">
      <c r="N6633" s="26"/>
    </row>
    <row r="6634" spans="14:14" x14ac:dyDescent="0.25">
      <c r="N6634" s="26"/>
    </row>
    <row r="6635" spans="14:14" x14ac:dyDescent="0.25">
      <c r="N6635" s="26"/>
    </row>
    <row r="6636" spans="14:14" x14ac:dyDescent="0.25">
      <c r="N6636" s="26"/>
    </row>
    <row r="6637" spans="14:14" x14ac:dyDescent="0.25">
      <c r="N6637" s="26"/>
    </row>
    <row r="6638" spans="14:14" x14ac:dyDescent="0.25">
      <c r="N6638" s="26"/>
    </row>
    <row r="6639" spans="14:14" x14ac:dyDescent="0.25">
      <c r="N6639" s="26"/>
    </row>
    <row r="6640" spans="14:14" x14ac:dyDescent="0.25">
      <c r="N6640" s="26"/>
    </row>
    <row r="6641" spans="14:14" x14ac:dyDescent="0.25">
      <c r="N6641" s="26"/>
    </row>
    <row r="6642" spans="14:14" x14ac:dyDescent="0.25">
      <c r="N6642" s="26"/>
    </row>
    <row r="6643" spans="14:14" x14ac:dyDescent="0.25">
      <c r="N6643" s="26"/>
    </row>
    <row r="6644" spans="14:14" x14ac:dyDescent="0.25">
      <c r="N6644" s="26"/>
    </row>
    <row r="6645" spans="14:14" x14ac:dyDescent="0.25">
      <c r="N6645" s="26"/>
    </row>
    <row r="6646" spans="14:14" x14ac:dyDescent="0.25">
      <c r="N6646" s="26"/>
    </row>
    <row r="6647" spans="14:14" x14ac:dyDescent="0.25">
      <c r="N6647" s="26"/>
    </row>
    <row r="6648" spans="14:14" x14ac:dyDescent="0.25">
      <c r="N6648" s="26"/>
    </row>
    <row r="6649" spans="14:14" x14ac:dyDescent="0.25">
      <c r="N6649" s="26"/>
    </row>
    <row r="6650" spans="14:14" x14ac:dyDescent="0.25">
      <c r="N6650" s="26"/>
    </row>
    <row r="6651" spans="14:14" x14ac:dyDescent="0.25">
      <c r="N6651" s="26"/>
    </row>
    <row r="6652" spans="14:14" x14ac:dyDescent="0.25">
      <c r="N6652" s="26"/>
    </row>
    <row r="6653" spans="14:14" x14ac:dyDescent="0.25">
      <c r="N6653" s="26"/>
    </row>
    <row r="6654" spans="14:14" x14ac:dyDescent="0.25">
      <c r="N6654" s="26"/>
    </row>
    <row r="6655" spans="14:14" x14ac:dyDescent="0.25">
      <c r="N6655" s="26"/>
    </row>
    <row r="6656" spans="14:14" x14ac:dyDescent="0.25">
      <c r="N6656" s="26"/>
    </row>
    <row r="6657" spans="14:14" x14ac:dyDescent="0.25">
      <c r="N6657" s="26"/>
    </row>
    <row r="6658" spans="14:14" x14ac:dyDescent="0.25">
      <c r="N6658" s="26"/>
    </row>
    <row r="6659" spans="14:14" x14ac:dyDescent="0.25">
      <c r="N6659" s="26"/>
    </row>
    <row r="6660" spans="14:14" x14ac:dyDescent="0.25">
      <c r="N6660" s="26"/>
    </row>
    <row r="6661" spans="14:14" x14ac:dyDescent="0.25">
      <c r="N6661" s="26"/>
    </row>
    <row r="6662" spans="14:14" x14ac:dyDescent="0.25">
      <c r="N6662" s="26"/>
    </row>
    <row r="6663" spans="14:14" x14ac:dyDescent="0.25">
      <c r="N6663" s="26"/>
    </row>
    <row r="6664" spans="14:14" x14ac:dyDescent="0.25">
      <c r="N6664" s="26"/>
    </row>
    <row r="6665" spans="14:14" x14ac:dyDescent="0.25">
      <c r="N6665" s="26"/>
    </row>
    <row r="6666" spans="14:14" x14ac:dyDescent="0.25">
      <c r="N6666" s="26"/>
    </row>
    <row r="6667" spans="14:14" x14ac:dyDescent="0.25">
      <c r="N6667" s="26"/>
    </row>
    <row r="6668" spans="14:14" x14ac:dyDescent="0.25">
      <c r="N6668" s="26"/>
    </row>
    <row r="6669" spans="14:14" x14ac:dyDescent="0.25">
      <c r="N6669" s="26"/>
    </row>
    <row r="6670" spans="14:14" x14ac:dyDescent="0.25">
      <c r="N6670" s="26"/>
    </row>
    <row r="6671" spans="14:14" x14ac:dyDescent="0.25">
      <c r="N6671" s="26"/>
    </row>
    <row r="6672" spans="14:14" x14ac:dyDescent="0.25">
      <c r="N6672" s="26"/>
    </row>
    <row r="6673" spans="14:14" x14ac:dyDescent="0.25">
      <c r="N6673" s="26"/>
    </row>
    <row r="6674" spans="14:14" x14ac:dyDescent="0.25">
      <c r="N6674" s="26"/>
    </row>
    <row r="6675" spans="14:14" x14ac:dyDescent="0.25">
      <c r="N6675" s="26"/>
    </row>
    <row r="6676" spans="14:14" x14ac:dyDescent="0.25">
      <c r="N6676" s="26"/>
    </row>
    <row r="6677" spans="14:14" x14ac:dyDescent="0.25">
      <c r="N6677" s="26"/>
    </row>
    <row r="6678" spans="14:14" x14ac:dyDescent="0.25">
      <c r="N6678" s="26"/>
    </row>
    <row r="6679" spans="14:14" x14ac:dyDescent="0.25">
      <c r="N6679" s="26"/>
    </row>
    <row r="6680" spans="14:14" x14ac:dyDescent="0.25">
      <c r="N6680" s="26"/>
    </row>
    <row r="6681" spans="14:14" x14ac:dyDescent="0.25">
      <c r="N6681" s="26"/>
    </row>
    <row r="6682" spans="14:14" x14ac:dyDescent="0.25">
      <c r="N6682" s="26"/>
    </row>
    <row r="6683" spans="14:14" x14ac:dyDescent="0.25">
      <c r="N6683" s="26"/>
    </row>
    <row r="6684" spans="14:14" x14ac:dyDescent="0.25">
      <c r="N6684" s="26"/>
    </row>
    <row r="6685" spans="14:14" x14ac:dyDescent="0.25">
      <c r="N6685" s="26"/>
    </row>
    <row r="6686" spans="14:14" x14ac:dyDescent="0.25">
      <c r="N6686" s="26"/>
    </row>
    <row r="6687" spans="14:14" x14ac:dyDescent="0.25">
      <c r="N6687" s="26"/>
    </row>
    <row r="6688" spans="14:14" x14ac:dyDescent="0.25">
      <c r="N6688" s="26"/>
    </row>
    <row r="6689" spans="14:14" x14ac:dyDescent="0.25">
      <c r="N6689" s="26"/>
    </row>
    <row r="6690" spans="14:14" x14ac:dyDescent="0.25">
      <c r="N6690" s="26"/>
    </row>
    <row r="6691" spans="14:14" x14ac:dyDescent="0.25">
      <c r="N6691" s="26"/>
    </row>
    <row r="6692" spans="14:14" x14ac:dyDescent="0.25">
      <c r="N6692" s="26"/>
    </row>
    <row r="6693" spans="14:14" x14ac:dyDescent="0.25">
      <c r="N6693" s="26"/>
    </row>
    <row r="6694" spans="14:14" x14ac:dyDescent="0.25">
      <c r="N6694" s="26"/>
    </row>
    <row r="6695" spans="14:14" x14ac:dyDescent="0.25">
      <c r="N6695" s="26"/>
    </row>
    <row r="6696" spans="14:14" x14ac:dyDescent="0.25">
      <c r="N6696" s="26"/>
    </row>
    <row r="6697" spans="14:14" x14ac:dyDescent="0.25">
      <c r="N6697" s="26"/>
    </row>
    <row r="6698" spans="14:14" x14ac:dyDescent="0.25">
      <c r="N6698" s="26"/>
    </row>
    <row r="6699" spans="14:14" x14ac:dyDescent="0.25">
      <c r="N6699" s="26"/>
    </row>
    <row r="6700" spans="14:14" x14ac:dyDescent="0.25">
      <c r="N6700" s="26"/>
    </row>
    <row r="6701" spans="14:14" x14ac:dyDescent="0.25">
      <c r="N6701" s="26"/>
    </row>
    <row r="6702" spans="14:14" x14ac:dyDescent="0.25">
      <c r="N6702" s="26"/>
    </row>
    <row r="6703" spans="14:14" x14ac:dyDescent="0.25">
      <c r="N6703" s="26"/>
    </row>
    <row r="6704" spans="14:14" x14ac:dyDescent="0.25">
      <c r="N6704" s="26"/>
    </row>
    <row r="6705" spans="14:14" x14ac:dyDescent="0.25">
      <c r="N6705" s="26"/>
    </row>
    <row r="6706" spans="14:14" x14ac:dyDescent="0.25">
      <c r="N6706" s="26"/>
    </row>
    <row r="6707" spans="14:14" x14ac:dyDescent="0.25">
      <c r="N6707" s="26"/>
    </row>
    <row r="6708" spans="14:14" x14ac:dyDescent="0.25">
      <c r="N6708" s="26"/>
    </row>
    <row r="6709" spans="14:14" x14ac:dyDescent="0.25">
      <c r="N6709" s="26"/>
    </row>
    <row r="6710" spans="14:14" x14ac:dyDescent="0.25">
      <c r="N6710" s="26"/>
    </row>
    <row r="6711" spans="14:14" x14ac:dyDescent="0.25">
      <c r="N6711" s="26"/>
    </row>
    <row r="6712" spans="14:14" x14ac:dyDescent="0.25">
      <c r="N6712" s="26"/>
    </row>
    <row r="6713" spans="14:14" x14ac:dyDescent="0.25">
      <c r="N6713" s="26"/>
    </row>
    <row r="6714" spans="14:14" x14ac:dyDescent="0.25">
      <c r="N6714" s="26"/>
    </row>
    <row r="6715" spans="14:14" x14ac:dyDescent="0.25">
      <c r="N6715" s="26"/>
    </row>
    <row r="6716" spans="14:14" x14ac:dyDescent="0.25">
      <c r="N6716" s="26"/>
    </row>
    <row r="6717" spans="14:14" x14ac:dyDescent="0.25">
      <c r="N6717" s="26"/>
    </row>
    <row r="6718" spans="14:14" x14ac:dyDescent="0.25">
      <c r="N6718" s="26"/>
    </row>
    <row r="6719" spans="14:14" x14ac:dyDescent="0.25">
      <c r="N6719" s="26"/>
    </row>
    <row r="6720" spans="14:14" x14ac:dyDescent="0.25">
      <c r="N6720" s="26"/>
    </row>
    <row r="6721" spans="14:14" x14ac:dyDescent="0.25">
      <c r="N6721" s="26"/>
    </row>
    <row r="6722" spans="14:14" x14ac:dyDescent="0.25">
      <c r="N6722" s="26"/>
    </row>
    <row r="6723" spans="14:14" x14ac:dyDescent="0.25">
      <c r="N6723" s="26"/>
    </row>
    <row r="6724" spans="14:14" x14ac:dyDescent="0.25">
      <c r="N6724" s="26"/>
    </row>
    <row r="6725" spans="14:14" x14ac:dyDescent="0.25">
      <c r="N6725" s="26"/>
    </row>
    <row r="6726" spans="14:14" x14ac:dyDescent="0.25">
      <c r="N6726" s="26"/>
    </row>
    <row r="6727" spans="14:14" x14ac:dyDescent="0.25">
      <c r="N6727" s="26"/>
    </row>
    <row r="6728" spans="14:14" x14ac:dyDescent="0.25">
      <c r="N6728" s="26"/>
    </row>
    <row r="6729" spans="14:14" x14ac:dyDescent="0.25">
      <c r="N6729" s="26"/>
    </row>
    <row r="6730" spans="14:14" x14ac:dyDescent="0.25">
      <c r="N6730" s="26"/>
    </row>
    <row r="6731" spans="14:14" x14ac:dyDescent="0.25">
      <c r="N6731" s="26"/>
    </row>
    <row r="6732" spans="14:14" x14ac:dyDescent="0.25">
      <c r="N6732" s="26"/>
    </row>
    <row r="6733" spans="14:14" x14ac:dyDescent="0.25">
      <c r="N6733" s="26"/>
    </row>
    <row r="6734" spans="14:14" x14ac:dyDescent="0.25">
      <c r="N6734" s="26"/>
    </row>
    <row r="6735" spans="14:14" x14ac:dyDescent="0.25">
      <c r="N6735" s="26"/>
    </row>
    <row r="6736" spans="14:14" x14ac:dyDescent="0.25">
      <c r="N6736" s="26"/>
    </row>
    <row r="6737" spans="14:14" x14ac:dyDescent="0.25">
      <c r="N6737" s="26"/>
    </row>
    <row r="6738" spans="14:14" x14ac:dyDescent="0.25">
      <c r="N6738" s="26"/>
    </row>
    <row r="6739" spans="14:14" x14ac:dyDescent="0.25">
      <c r="N6739" s="26"/>
    </row>
    <row r="6740" spans="14:14" x14ac:dyDescent="0.25">
      <c r="N6740" s="26"/>
    </row>
    <row r="6741" spans="14:14" x14ac:dyDescent="0.25">
      <c r="N6741" s="26"/>
    </row>
    <row r="6742" spans="14:14" x14ac:dyDescent="0.25">
      <c r="N6742" s="26"/>
    </row>
    <row r="6743" spans="14:14" x14ac:dyDescent="0.25">
      <c r="N6743" s="26"/>
    </row>
    <row r="6744" spans="14:14" x14ac:dyDescent="0.25">
      <c r="N6744" s="26"/>
    </row>
    <row r="6745" spans="14:14" x14ac:dyDescent="0.25">
      <c r="N6745" s="26"/>
    </row>
    <row r="6746" spans="14:14" x14ac:dyDescent="0.25">
      <c r="N6746" s="26"/>
    </row>
    <row r="6747" spans="14:14" x14ac:dyDescent="0.25">
      <c r="N6747" s="26"/>
    </row>
    <row r="6748" spans="14:14" x14ac:dyDescent="0.25">
      <c r="N6748" s="26"/>
    </row>
    <row r="6749" spans="14:14" x14ac:dyDescent="0.25">
      <c r="N6749" s="26"/>
    </row>
    <row r="6750" spans="14:14" x14ac:dyDescent="0.25">
      <c r="N6750" s="26"/>
    </row>
    <row r="6751" spans="14:14" x14ac:dyDescent="0.25">
      <c r="N6751" s="26"/>
    </row>
    <row r="6752" spans="14:14" x14ac:dyDescent="0.25">
      <c r="N6752" s="26"/>
    </row>
    <row r="6753" spans="14:14" x14ac:dyDescent="0.25">
      <c r="N6753" s="26"/>
    </row>
    <row r="6754" spans="14:14" x14ac:dyDescent="0.25">
      <c r="N6754" s="26"/>
    </row>
    <row r="6755" spans="14:14" x14ac:dyDescent="0.25">
      <c r="N6755" s="26"/>
    </row>
    <row r="6756" spans="14:14" x14ac:dyDescent="0.25">
      <c r="N6756" s="26"/>
    </row>
    <row r="6757" spans="14:14" x14ac:dyDescent="0.25">
      <c r="N6757" s="26"/>
    </row>
    <row r="6758" spans="14:14" x14ac:dyDescent="0.25">
      <c r="N6758" s="26"/>
    </row>
    <row r="6759" spans="14:14" x14ac:dyDescent="0.25">
      <c r="N6759" s="26"/>
    </row>
    <row r="6760" spans="14:14" x14ac:dyDescent="0.25">
      <c r="N6760" s="26"/>
    </row>
    <row r="6761" spans="14:14" x14ac:dyDescent="0.25">
      <c r="N6761" s="26"/>
    </row>
    <row r="6762" spans="14:14" x14ac:dyDescent="0.25">
      <c r="N6762" s="26"/>
    </row>
    <row r="6763" spans="14:14" x14ac:dyDescent="0.25">
      <c r="N6763" s="26"/>
    </row>
    <row r="6764" spans="14:14" x14ac:dyDescent="0.25">
      <c r="N6764" s="26"/>
    </row>
    <row r="6765" spans="14:14" x14ac:dyDescent="0.25">
      <c r="N6765" s="26"/>
    </row>
    <row r="6766" spans="14:14" x14ac:dyDescent="0.25">
      <c r="N6766" s="26"/>
    </row>
    <row r="6767" spans="14:14" x14ac:dyDescent="0.25">
      <c r="N6767" s="26"/>
    </row>
    <row r="6768" spans="14:14" x14ac:dyDescent="0.25">
      <c r="N6768" s="26"/>
    </row>
    <row r="6769" spans="14:14" x14ac:dyDescent="0.25">
      <c r="N6769" s="26"/>
    </row>
    <row r="6770" spans="14:14" x14ac:dyDescent="0.25">
      <c r="N6770" s="26"/>
    </row>
    <row r="6771" spans="14:14" x14ac:dyDescent="0.25">
      <c r="N6771" s="26"/>
    </row>
    <row r="6772" spans="14:14" x14ac:dyDescent="0.25">
      <c r="N6772" s="26"/>
    </row>
    <row r="6773" spans="14:14" x14ac:dyDescent="0.25">
      <c r="N6773" s="26"/>
    </row>
    <row r="6774" spans="14:14" x14ac:dyDescent="0.25">
      <c r="N6774" s="26"/>
    </row>
    <row r="6775" spans="14:14" x14ac:dyDescent="0.25">
      <c r="N6775" s="26"/>
    </row>
    <row r="6776" spans="14:14" x14ac:dyDescent="0.25">
      <c r="N6776" s="26"/>
    </row>
    <row r="6777" spans="14:14" x14ac:dyDescent="0.25">
      <c r="N6777" s="26"/>
    </row>
    <row r="6778" spans="14:14" x14ac:dyDescent="0.25">
      <c r="N6778" s="26"/>
    </row>
    <row r="6779" spans="14:14" x14ac:dyDescent="0.25">
      <c r="N6779" s="26"/>
    </row>
    <row r="6780" spans="14:14" x14ac:dyDescent="0.25">
      <c r="N6780" s="26"/>
    </row>
    <row r="6781" spans="14:14" x14ac:dyDescent="0.25">
      <c r="N6781" s="26"/>
    </row>
    <row r="6782" spans="14:14" x14ac:dyDescent="0.25">
      <c r="N6782" s="26"/>
    </row>
    <row r="6783" spans="14:14" x14ac:dyDescent="0.25">
      <c r="N6783" s="26"/>
    </row>
    <row r="6784" spans="14:14" x14ac:dyDescent="0.25">
      <c r="N6784" s="26"/>
    </row>
    <row r="6785" spans="14:14" x14ac:dyDescent="0.25">
      <c r="N6785" s="26"/>
    </row>
    <row r="6786" spans="14:14" x14ac:dyDescent="0.25">
      <c r="N6786" s="26"/>
    </row>
    <row r="6787" spans="14:14" x14ac:dyDescent="0.25">
      <c r="N6787" s="26"/>
    </row>
    <row r="6788" spans="14:14" x14ac:dyDescent="0.25">
      <c r="N6788" s="26"/>
    </row>
    <row r="6789" spans="14:14" x14ac:dyDescent="0.25">
      <c r="N6789" s="26"/>
    </row>
    <row r="6790" spans="14:14" x14ac:dyDescent="0.25">
      <c r="N6790" s="26"/>
    </row>
    <row r="6791" spans="14:14" x14ac:dyDescent="0.25">
      <c r="N6791" s="26"/>
    </row>
    <row r="6792" spans="14:14" x14ac:dyDescent="0.25">
      <c r="N6792" s="26"/>
    </row>
    <row r="6793" spans="14:14" x14ac:dyDescent="0.25">
      <c r="N6793" s="26"/>
    </row>
    <row r="6794" spans="14:14" x14ac:dyDescent="0.25">
      <c r="N6794" s="26"/>
    </row>
    <row r="6795" spans="14:14" x14ac:dyDescent="0.25">
      <c r="N6795" s="26"/>
    </row>
    <row r="6796" spans="14:14" x14ac:dyDescent="0.25">
      <c r="N6796" s="26"/>
    </row>
    <row r="6797" spans="14:14" x14ac:dyDescent="0.25">
      <c r="N6797" s="26"/>
    </row>
    <row r="6798" spans="14:14" x14ac:dyDescent="0.25">
      <c r="N6798" s="26"/>
    </row>
    <row r="6799" spans="14:14" x14ac:dyDescent="0.25">
      <c r="N6799" s="26"/>
    </row>
    <row r="6800" spans="14:14" x14ac:dyDescent="0.25">
      <c r="N6800" s="26"/>
    </row>
    <row r="6801" spans="14:14" x14ac:dyDescent="0.25">
      <c r="N6801" s="26"/>
    </row>
    <row r="6802" spans="14:14" x14ac:dyDescent="0.25">
      <c r="N6802" s="26"/>
    </row>
    <row r="6803" spans="14:14" x14ac:dyDescent="0.25">
      <c r="N6803" s="26"/>
    </row>
    <row r="6804" spans="14:14" x14ac:dyDescent="0.25">
      <c r="N6804" s="26"/>
    </row>
    <row r="6805" spans="14:14" x14ac:dyDescent="0.25">
      <c r="N6805" s="26"/>
    </row>
    <row r="6806" spans="14:14" x14ac:dyDescent="0.25">
      <c r="N6806" s="26"/>
    </row>
    <row r="6807" spans="14:14" x14ac:dyDescent="0.25">
      <c r="N6807" s="26"/>
    </row>
    <row r="6808" spans="14:14" x14ac:dyDescent="0.25">
      <c r="N6808" s="26"/>
    </row>
    <row r="6809" spans="14:14" x14ac:dyDescent="0.25">
      <c r="N6809" s="26"/>
    </row>
    <row r="6810" spans="14:14" x14ac:dyDescent="0.25">
      <c r="N6810" s="26"/>
    </row>
    <row r="6811" spans="14:14" x14ac:dyDescent="0.25">
      <c r="N6811" s="26"/>
    </row>
    <row r="6812" spans="14:14" x14ac:dyDescent="0.25">
      <c r="N6812" s="26"/>
    </row>
    <row r="6813" spans="14:14" x14ac:dyDescent="0.25">
      <c r="N6813" s="26"/>
    </row>
    <row r="6814" spans="14:14" x14ac:dyDescent="0.25">
      <c r="N6814" s="26"/>
    </row>
    <row r="6815" spans="14:14" x14ac:dyDescent="0.25">
      <c r="N6815" s="26"/>
    </row>
    <row r="6816" spans="14:14" x14ac:dyDescent="0.25">
      <c r="N6816" s="26"/>
    </row>
    <row r="6817" spans="14:14" x14ac:dyDescent="0.25">
      <c r="N6817" s="26"/>
    </row>
    <row r="6818" spans="14:14" x14ac:dyDescent="0.25">
      <c r="N6818" s="26"/>
    </row>
    <row r="6819" spans="14:14" x14ac:dyDescent="0.25">
      <c r="N6819" s="26"/>
    </row>
    <row r="6820" spans="14:14" x14ac:dyDescent="0.25">
      <c r="N6820" s="26"/>
    </row>
    <row r="6821" spans="14:14" x14ac:dyDescent="0.25">
      <c r="N6821" s="26"/>
    </row>
    <row r="6822" spans="14:14" x14ac:dyDescent="0.25">
      <c r="N6822" s="26"/>
    </row>
    <row r="6823" spans="14:14" x14ac:dyDescent="0.25">
      <c r="N6823" s="26"/>
    </row>
    <row r="6824" spans="14:14" x14ac:dyDescent="0.25">
      <c r="N6824" s="26"/>
    </row>
    <row r="6825" spans="14:14" x14ac:dyDescent="0.25">
      <c r="N6825" s="26"/>
    </row>
    <row r="6826" spans="14:14" x14ac:dyDescent="0.25">
      <c r="N6826" s="26"/>
    </row>
    <row r="6827" spans="14:14" x14ac:dyDescent="0.25">
      <c r="N6827" s="26"/>
    </row>
    <row r="6828" spans="14:14" x14ac:dyDescent="0.25">
      <c r="N6828" s="26"/>
    </row>
    <row r="6829" spans="14:14" x14ac:dyDescent="0.25">
      <c r="N6829" s="26"/>
    </row>
    <row r="6830" spans="14:14" x14ac:dyDescent="0.25">
      <c r="N6830" s="26"/>
    </row>
    <row r="6831" spans="14:14" x14ac:dyDescent="0.25">
      <c r="N6831" s="26"/>
    </row>
    <row r="6832" spans="14:14" x14ac:dyDescent="0.25">
      <c r="N6832" s="26"/>
    </row>
    <row r="6833" spans="14:14" x14ac:dyDescent="0.25">
      <c r="N6833" s="26"/>
    </row>
    <row r="6834" spans="14:14" x14ac:dyDescent="0.25">
      <c r="N6834" s="26"/>
    </row>
    <row r="6835" spans="14:14" x14ac:dyDescent="0.25">
      <c r="N6835" s="26"/>
    </row>
    <row r="6836" spans="14:14" x14ac:dyDescent="0.25">
      <c r="N6836" s="26"/>
    </row>
    <row r="6837" spans="14:14" x14ac:dyDescent="0.25">
      <c r="N6837" s="26"/>
    </row>
    <row r="6838" spans="14:14" x14ac:dyDescent="0.25">
      <c r="N6838" s="26"/>
    </row>
    <row r="6839" spans="14:14" x14ac:dyDescent="0.25">
      <c r="N6839" s="26"/>
    </row>
    <row r="6840" spans="14:14" x14ac:dyDescent="0.25">
      <c r="N6840" s="26"/>
    </row>
    <row r="6841" spans="14:14" x14ac:dyDescent="0.25">
      <c r="N6841" s="26"/>
    </row>
    <row r="6842" spans="14:14" x14ac:dyDescent="0.25">
      <c r="N6842" s="26"/>
    </row>
    <row r="6843" spans="14:14" x14ac:dyDescent="0.25">
      <c r="N6843" s="26"/>
    </row>
    <row r="6844" spans="14:14" x14ac:dyDescent="0.25">
      <c r="N6844" s="26"/>
    </row>
    <row r="6845" spans="14:14" x14ac:dyDescent="0.25">
      <c r="N6845" s="26"/>
    </row>
    <row r="6846" spans="14:14" x14ac:dyDescent="0.25">
      <c r="N6846" s="26"/>
    </row>
    <row r="6847" spans="14:14" x14ac:dyDescent="0.25">
      <c r="N6847" s="26"/>
    </row>
    <row r="6848" spans="14:14" x14ac:dyDescent="0.25">
      <c r="N6848" s="26"/>
    </row>
    <row r="6849" spans="14:14" x14ac:dyDescent="0.25">
      <c r="N6849" s="26"/>
    </row>
    <row r="6850" spans="14:14" x14ac:dyDescent="0.25">
      <c r="N6850" s="26"/>
    </row>
    <row r="6851" spans="14:14" x14ac:dyDescent="0.25">
      <c r="N6851" s="26"/>
    </row>
    <row r="6852" spans="14:14" x14ac:dyDescent="0.25">
      <c r="N6852" s="26"/>
    </row>
    <row r="6853" spans="14:14" x14ac:dyDescent="0.25">
      <c r="N6853" s="26"/>
    </row>
    <row r="6854" spans="14:14" x14ac:dyDescent="0.25">
      <c r="N6854" s="26"/>
    </row>
    <row r="6855" spans="14:14" x14ac:dyDescent="0.25">
      <c r="N6855" s="26"/>
    </row>
    <row r="6856" spans="14:14" x14ac:dyDescent="0.25">
      <c r="N6856" s="26"/>
    </row>
    <row r="6857" spans="14:14" x14ac:dyDescent="0.25">
      <c r="N6857" s="26"/>
    </row>
    <row r="6858" spans="14:14" x14ac:dyDescent="0.25">
      <c r="N6858" s="26"/>
    </row>
    <row r="6859" spans="14:14" x14ac:dyDescent="0.25">
      <c r="N6859" s="26"/>
    </row>
    <row r="6860" spans="14:14" x14ac:dyDescent="0.25">
      <c r="N6860" s="26"/>
    </row>
    <row r="6861" spans="14:14" x14ac:dyDescent="0.25">
      <c r="N6861" s="26"/>
    </row>
    <row r="6862" spans="14:14" x14ac:dyDescent="0.25">
      <c r="N6862" s="26"/>
    </row>
    <row r="6863" spans="14:14" x14ac:dyDescent="0.25">
      <c r="N6863" s="26"/>
    </row>
    <row r="6864" spans="14:14" x14ac:dyDescent="0.25">
      <c r="N6864" s="26"/>
    </row>
    <row r="6865" spans="14:14" x14ac:dyDescent="0.25">
      <c r="N6865" s="26"/>
    </row>
    <row r="6866" spans="14:14" x14ac:dyDescent="0.25">
      <c r="N6866" s="26"/>
    </row>
    <row r="6867" spans="14:14" x14ac:dyDescent="0.25">
      <c r="N6867" s="26"/>
    </row>
    <row r="6868" spans="14:14" x14ac:dyDescent="0.25">
      <c r="N6868" s="26"/>
    </row>
    <row r="6869" spans="14:14" x14ac:dyDescent="0.25">
      <c r="N6869" s="26"/>
    </row>
    <row r="6870" spans="14:14" x14ac:dyDescent="0.25">
      <c r="N6870" s="26"/>
    </row>
    <row r="6871" spans="14:14" x14ac:dyDescent="0.25">
      <c r="N6871" s="26"/>
    </row>
    <row r="6872" spans="14:14" x14ac:dyDescent="0.25">
      <c r="N6872" s="26"/>
    </row>
    <row r="6873" spans="14:14" x14ac:dyDescent="0.25">
      <c r="N6873" s="26"/>
    </row>
    <row r="6874" spans="14:14" x14ac:dyDescent="0.25">
      <c r="N6874" s="26"/>
    </row>
    <row r="6875" spans="14:14" x14ac:dyDescent="0.25">
      <c r="N6875" s="26"/>
    </row>
    <row r="6876" spans="14:14" x14ac:dyDescent="0.25">
      <c r="N6876" s="26"/>
    </row>
    <row r="6877" spans="14:14" x14ac:dyDescent="0.25">
      <c r="N6877" s="26"/>
    </row>
    <row r="6878" spans="14:14" x14ac:dyDescent="0.25">
      <c r="N6878" s="26"/>
    </row>
    <row r="6879" spans="14:14" x14ac:dyDescent="0.25">
      <c r="N6879" s="26"/>
    </row>
    <row r="6880" spans="14:14" x14ac:dyDescent="0.25">
      <c r="N6880" s="26"/>
    </row>
    <row r="6881" spans="14:14" x14ac:dyDescent="0.25">
      <c r="N6881" s="26"/>
    </row>
    <row r="6882" spans="14:14" x14ac:dyDescent="0.25">
      <c r="N6882" s="26"/>
    </row>
    <row r="6883" spans="14:14" x14ac:dyDescent="0.25">
      <c r="N6883" s="26"/>
    </row>
    <row r="6884" spans="14:14" x14ac:dyDescent="0.25">
      <c r="N6884" s="26"/>
    </row>
    <row r="6885" spans="14:14" x14ac:dyDescent="0.25">
      <c r="N6885" s="26"/>
    </row>
    <row r="6886" spans="14:14" x14ac:dyDescent="0.25">
      <c r="N6886" s="26"/>
    </row>
    <row r="6887" spans="14:14" x14ac:dyDescent="0.25">
      <c r="N6887" s="26"/>
    </row>
    <row r="6888" spans="14:14" x14ac:dyDescent="0.25">
      <c r="N6888" s="26"/>
    </row>
    <row r="6889" spans="14:14" x14ac:dyDescent="0.25">
      <c r="N6889" s="26"/>
    </row>
    <row r="6890" spans="14:14" x14ac:dyDescent="0.25">
      <c r="N6890" s="26"/>
    </row>
    <row r="6891" spans="14:14" x14ac:dyDescent="0.25">
      <c r="N6891" s="26"/>
    </row>
    <row r="6892" spans="14:14" x14ac:dyDescent="0.25">
      <c r="N6892" s="26"/>
    </row>
    <row r="6893" spans="14:14" x14ac:dyDescent="0.25">
      <c r="N6893" s="26"/>
    </row>
    <row r="6894" spans="14:14" x14ac:dyDescent="0.25">
      <c r="N6894" s="26"/>
    </row>
    <row r="6895" spans="14:14" x14ac:dyDescent="0.25">
      <c r="N6895" s="26"/>
    </row>
    <row r="6896" spans="14:14" x14ac:dyDescent="0.25">
      <c r="N6896" s="26"/>
    </row>
    <row r="6897" spans="14:14" x14ac:dyDescent="0.25">
      <c r="N6897" s="26"/>
    </row>
    <row r="6898" spans="14:14" x14ac:dyDescent="0.25">
      <c r="N6898" s="26"/>
    </row>
    <row r="6899" spans="14:14" x14ac:dyDescent="0.25">
      <c r="N6899" s="26"/>
    </row>
    <row r="6900" spans="14:14" x14ac:dyDescent="0.25">
      <c r="N6900" s="26"/>
    </row>
    <row r="6901" spans="14:14" x14ac:dyDescent="0.25">
      <c r="N6901" s="26"/>
    </row>
    <row r="6902" spans="14:14" x14ac:dyDescent="0.25">
      <c r="N6902" s="26"/>
    </row>
    <row r="6903" spans="14:14" x14ac:dyDescent="0.25">
      <c r="N6903" s="26"/>
    </row>
    <row r="6904" spans="14:14" x14ac:dyDescent="0.25">
      <c r="N6904" s="26"/>
    </row>
    <row r="6905" spans="14:14" x14ac:dyDescent="0.25">
      <c r="N6905" s="26"/>
    </row>
    <row r="6906" spans="14:14" x14ac:dyDescent="0.25">
      <c r="N6906" s="26"/>
    </row>
    <row r="6907" spans="14:14" x14ac:dyDescent="0.25">
      <c r="N6907" s="26"/>
    </row>
    <row r="6908" spans="14:14" x14ac:dyDescent="0.25">
      <c r="N6908" s="26"/>
    </row>
    <row r="6909" spans="14:14" x14ac:dyDescent="0.25">
      <c r="N6909" s="26"/>
    </row>
    <row r="6910" spans="14:14" x14ac:dyDescent="0.25">
      <c r="N6910" s="26"/>
    </row>
    <row r="6911" spans="14:14" x14ac:dyDescent="0.25">
      <c r="N6911" s="26"/>
    </row>
    <row r="6912" spans="14:14" x14ac:dyDescent="0.25">
      <c r="N6912" s="26"/>
    </row>
    <row r="6913" spans="14:14" x14ac:dyDescent="0.25">
      <c r="N6913" s="26"/>
    </row>
    <row r="6914" spans="14:14" x14ac:dyDescent="0.25">
      <c r="N6914" s="26"/>
    </row>
    <row r="6915" spans="14:14" x14ac:dyDescent="0.25">
      <c r="N6915" s="26"/>
    </row>
    <row r="6916" spans="14:14" x14ac:dyDescent="0.25">
      <c r="N6916" s="26"/>
    </row>
    <row r="6917" spans="14:14" x14ac:dyDescent="0.25">
      <c r="N6917" s="26"/>
    </row>
    <row r="6918" spans="14:14" x14ac:dyDescent="0.25">
      <c r="N6918" s="26"/>
    </row>
    <row r="6919" spans="14:14" x14ac:dyDescent="0.25">
      <c r="N6919" s="26"/>
    </row>
    <row r="6920" spans="14:14" x14ac:dyDescent="0.25">
      <c r="N6920" s="26"/>
    </row>
    <row r="6921" spans="14:14" x14ac:dyDescent="0.25">
      <c r="N6921" s="26"/>
    </row>
    <row r="6922" spans="14:14" x14ac:dyDescent="0.25">
      <c r="N6922" s="26"/>
    </row>
    <row r="6923" spans="14:14" x14ac:dyDescent="0.25">
      <c r="N6923" s="26"/>
    </row>
    <row r="6924" spans="14:14" x14ac:dyDescent="0.25">
      <c r="N6924" s="26"/>
    </row>
    <row r="6925" spans="14:14" x14ac:dyDescent="0.25">
      <c r="N6925" s="26"/>
    </row>
    <row r="6926" spans="14:14" x14ac:dyDescent="0.25">
      <c r="N6926" s="26"/>
    </row>
    <row r="6927" spans="14:14" x14ac:dyDescent="0.25">
      <c r="N6927" s="26"/>
    </row>
    <row r="6928" spans="14:14" x14ac:dyDescent="0.25">
      <c r="N6928" s="26"/>
    </row>
    <row r="6929" spans="14:14" x14ac:dyDescent="0.25">
      <c r="N6929" s="26"/>
    </row>
    <row r="6930" spans="14:14" x14ac:dyDescent="0.25">
      <c r="N6930" s="26"/>
    </row>
    <row r="6931" spans="14:14" x14ac:dyDescent="0.25">
      <c r="N6931" s="26"/>
    </row>
    <row r="6932" spans="14:14" x14ac:dyDescent="0.25">
      <c r="N6932" s="26"/>
    </row>
    <row r="6933" spans="14:14" x14ac:dyDescent="0.25">
      <c r="N6933" s="26"/>
    </row>
    <row r="6934" spans="14:14" x14ac:dyDescent="0.25">
      <c r="N6934" s="26"/>
    </row>
    <row r="6935" spans="14:14" x14ac:dyDescent="0.25">
      <c r="N6935" s="26"/>
    </row>
    <row r="6936" spans="14:14" x14ac:dyDescent="0.25">
      <c r="N6936" s="26"/>
    </row>
    <row r="6937" spans="14:14" x14ac:dyDescent="0.25">
      <c r="N6937" s="26"/>
    </row>
    <row r="6938" spans="14:14" x14ac:dyDescent="0.25">
      <c r="N6938" s="26"/>
    </row>
    <row r="6939" spans="14:14" x14ac:dyDescent="0.25">
      <c r="N6939" s="26"/>
    </row>
    <row r="6940" spans="14:14" x14ac:dyDescent="0.25">
      <c r="N6940" s="26"/>
    </row>
    <row r="6941" spans="14:14" x14ac:dyDescent="0.25">
      <c r="N6941" s="26"/>
    </row>
    <row r="6942" spans="14:14" x14ac:dyDescent="0.25">
      <c r="N6942" s="26"/>
    </row>
    <row r="6943" spans="14:14" x14ac:dyDescent="0.25">
      <c r="N6943" s="26"/>
    </row>
    <row r="6944" spans="14:14" x14ac:dyDescent="0.25">
      <c r="N6944" s="26"/>
    </row>
    <row r="6945" spans="14:14" x14ac:dyDescent="0.25">
      <c r="N6945" s="26"/>
    </row>
    <row r="6946" spans="14:14" x14ac:dyDescent="0.25">
      <c r="N6946" s="26"/>
    </row>
    <row r="6947" spans="14:14" x14ac:dyDescent="0.25">
      <c r="N6947" s="26"/>
    </row>
    <row r="6948" spans="14:14" x14ac:dyDescent="0.25">
      <c r="N6948" s="26"/>
    </row>
    <row r="6949" spans="14:14" x14ac:dyDescent="0.25">
      <c r="N6949" s="26"/>
    </row>
    <row r="6950" spans="14:14" x14ac:dyDescent="0.25">
      <c r="N6950" s="26"/>
    </row>
    <row r="6951" spans="14:14" x14ac:dyDescent="0.25">
      <c r="N6951" s="26"/>
    </row>
    <row r="6952" spans="14:14" x14ac:dyDescent="0.25">
      <c r="N6952" s="26"/>
    </row>
    <row r="6953" spans="14:14" x14ac:dyDescent="0.25">
      <c r="N6953" s="26"/>
    </row>
    <row r="6954" spans="14:14" x14ac:dyDescent="0.25">
      <c r="N6954" s="26"/>
    </row>
    <row r="6955" spans="14:14" x14ac:dyDescent="0.25">
      <c r="N6955" s="26"/>
    </row>
    <row r="6956" spans="14:14" x14ac:dyDescent="0.25">
      <c r="N6956" s="26"/>
    </row>
    <row r="6957" spans="14:14" x14ac:dyDescent="0.25">
      <c r="N6957" s="26"/>
    </row>
    <row r="6958" spans="14:14" x14ac:dyDescent="0.25">
      <c r="N6958" s="26"/>
    </row>
    <row r="6959" spans="14:14" x14ac:dyDescent="0.25">
      <c r="N6959" s="26"/>
    </row>
    <row r="6960" spans="14:14" x14ac:dyDescent="0.25">
      <c r="N6960" s="26"/>
    </row>
    <row r="6961" spans="14:14" x14ac:dyDescent="0.25">
      <c r="N6961" s="26"/>
    </row>
    <row r="6962" spans="14:14" x14ac:dyDescent="0.25">
      <c r="N6962" s="26"/>
    </row>
    <row r="6963" spans="14:14" x14ac:dyDescent="0.25">
      <c r="N6963" s="26"/>
    </row>
    <row r="6964" spans="14:14" x14ac:dyDescent="0.25">
      <c r="N6964" s="26"/>
    </row>
    <row r="6965" spans="14:14" x14ac:dyDescent="0.25">
      <c r="N6965" s="26"/>
    </row>
    <row r="6966" spans="14:14" x14ac:dyDescent="0.25">
      <c r="N6966" s="26"/>
    </row>
    <row r="6967" spans="14:14" x14ac:dyDescent="0.25">
      <c r="N6967" s="26"/>
    </row>
    <row r="6968" spans="14:14" x14ac:dyDescent="0.25">
      <c r="N6968" s="26"/>
    </row>
    <row r="6969" spans="14:14" x14ac:dyDescent="0.25">
      <c r="N6969" s="26"/>
    </row>
    <row r="6970" spans="14:14" x14ac:dyDescent="0.25">
      <c r="N6970" s="26"/>
    </row>
    <row r="6971" spans="14:14" x14ac:dyDescent="0.25">
      <c r="N6971" s="26"/>
    </row>
    <row r="6972" spans="14:14" x14ac:dyDescent="0.25">
      <c r="N6972" s="26"/>
    </row>
    <row r="6973" spans="14:14" x14ac:dyDescent="0.25">
      <c r="N6973" s="26"/>
    </row>
    <row r="6974" spans="14:14" x14ac:dyDescent="0.25">
      <c r="N6974" s="26"/>
    </row>
    <row r="6975" spans="14:14" x14ac:dyDescent="0.25">
      <c r="N6975" s="26"/>
    </row>
    <row r="6976" spans="14:14" x14ac:dyDescent="0.25">
      <c r="N6976" s="26"/>
    </row>
    <row r="6977" spans="14:14" x14ac:dyDescent="0.25">
      <c r="N6977" s="26"/>
    </row>
    <row r="6978" spans="14:14" x14ac:dyDescent="0.25">
      <c r="N6978" s="26"/>
    </row>
    <row r="6979" spans="14:14" x14ac:dyDescent="0.25">
      <c r="N6979" s="26"/>
    </row>
    <row r="6980" spans="14:14" x14ac:dyDescent="0.25">
      <c r="N6980" s="26"/>
    </row>
    <row r="6981" spans="14:14" x14ac:dyDescent="0.25">
      <c r="N6981" s="26"/>
    </row>
    <row r="6982" spans="14:14" x14ac:dyDescent="0.25">
      <c r="N6982" s="26"/>
    </row>
    <row r="6983" spans="14:14" x14ac:dyDescent="0.25">
      <c r="N6983" s="26"/>
    </row>
    <row r="6984" spans="14:14" x14ac:dyDescent="0.25">
      <c r="N6984" s="26"/>
    </row>
    <row r="6985" spans="14:14" x14ac:dyDescent="0.25">
      <c r="N6985" s="26"/>
    </row>
    <row r="6986" spans="14:14" x14ac:dyDescent="0.25">
      <c r="N6986" s="26"/>
    </row>
    <row r="6987" spans="14:14" x14ac:dyDescent="0.25">
      <c r="N6987" s="26"/>
    </row>
    <row r="6988" spans="14:14" x14ac:dyDescent="0.25">
      <c r="N6988" s="26"/>
    </row>
    <row r="6989" spans="14:14" x14ac:dyDescent="0.25">
      <c r="N6989" s="26"/>
    </row>
    <row r="6990" spans="14:14" x14ac:dyDescent="0.25">
      <c r="N6990" s="26"/>
    </row>
    <row r="6991" spans="14:14" x14ac:dyDescent="0.25">
      <c r="N6991" s="26"/>
    </row>
    <row r="6992" spans="14:14" x14ac:dyDescent="0.25">
      <c r="N6992" s="26"/>
    </row>
    <row r="6993" spans="14:14" x14ac:dyDescent="0.25">
      <c r="N6993" s="26"/>
    </row>
    <row r="6994" spans="14:14" x14ac:dyDescent="0.25">
      <c r="N6994" s="26"/>
    </row>
    <row r="6995" spans="14:14" x14ac:dyDescent="0.25">
      <c r="N6995" s="26"/>
    </row>
    <row r="6996" spans="14:14" x14ac:dyDescent="0.25">
      <c r="N6996" s="26"/>
    </row>
    <row r="6997" spans="14:14" x14ac:dyDescent="0.25">
      <c r="N6997" s="26"/>
    </row>
    <row r="6998" spans="14:14" x14ac:dyDescent="0.25">
      <c r="N6998" s="26"/>
    </row>
    <row r="6999" spans="14:14" x14ac:dyDescent="0.25">
      <c r="N6999" s="26"/>
    </row>
    <row r="7000" spans="14:14" x14ac:dyDescent="0.25">
      <c r="N7000" s="26"/>
    </row>
    <row r="7001" spans="14:14" x14ac:dyDescent="0.25">
      <c r="N7001" s="26"/>
    </row>
    <row r="7002" spans="14:14" x14ac:dyDescent="0.25">
      <c r="N7002" s="26"/>
    </row>
    <row r="7003" spans="14:14" x14ac:dyDescent="0.25">
      <c r="N7003" s="26"/>
    </row>
    <row r="7004" spans="14:14" x14ac:dyDescent="0.25">
      <c r="N7004" s="26"/>
    </row>
    <row r="7005" spans="14:14" x14ac:dyDescent="0.25">
      <c r="N7005" s="26"/>
    </row>
    <row r="7006" spans="14:14" x14ac:dyDescent="0.25">
      <c r="N7006" s="26"/>
    </row>
    <row r="7007" spans="14:14" x14ac:dyDescent="0.25">
      <c r="N7007" s="26"/>
    </row>
    <row r="7008" spans="14:14" x14ac:dyDescent="0.25">
      <c r="N7008" s="26"/>
    </row>
    <row r="7009" spans="14:14" x14ac:dyDescent="0.25">
      <c r="N7009" s="26"/>
    </row>
    <row r="7010" spans="14:14" x14ac:dyDescent="0.25">
      <c r="N7010" s="26"/>
    </row>
    <row r="7011" spans="14:14" x14ac:dyDescent="0.25">
      <c r="N7011" s="26"/>
    </row>
    <row r="7012" spans="14:14" x14ac:dyDescent="0.25">
      <c r="N7012" s="26"/>
    </row>
    <row r="7013" spans="14:14" x14ac:dyDescent="0.25">
      <c r="N7013" s="26"/>
    </row>
    <row r="7014" spans="14:14" x14ac:dyDescent="0.25">
      <c r="N7014" s="26"/>
    </row>
    <row r="7015" spans="14:14" x14ac:dyDescent="0.25">
      <c r="N7015" s="26"/>
    </row>
    <row r="7016" spans="14:14" x14ac:dyDescent="0.25">
      <c r="N7016" s="26"/>
    </row>
    <row r="7017" spans="14:14" x14ac:dyDescent="0.25">
      <c r="N7017" s="26"/>
    </row>
    <row r="7018" spans="14:14" x14ac:dyDescent="0.25">
      <c r="N7018" s="26"/>
    </row>
    <row r="7019" spans="14:14" x14ac:dyDescent="0.25">
      <c r="N7019" s="26"/>
    </row>
    <row r="7020" spans="14:14" x14ac:dyDescent="0.25">
      <c r="N7020" s="26"/>
    </row>
    <row r="7021" spans="14:14" x14ac:dyDescent="0.25">
      <c r="N7021" s="26"/>
    </row>
    <row r="7022" spans="14:14" x14ac:dyDescent="0.25">
      <c r="N7022" s="26"/>
    </row>
    <row r="7023" spans="14:14" x14ac:dyDescent="0.25">
      <c r="N7023" s="26"/>
    </row>
    <row r="7024" spans="14:14" x14ac:dyDescent="0.25">
      <c r="N7024" s="26"/>
    </row>
    <row r="7025" spans="14:14" x14ac:dyDescent="0.25">
      <c r="N7025" s="26"/>
    </row>
    <row r="7026" spans="14:14" x14ac:dyDescent="0.25">
      <c r="N7026" s="26"/>
    </row>
    <row r="7027" spans="14:14" x14ac:dyDescent="0.25">
      <c r="N7027" s="26"/>
    </row>
    <row r="7028" spans="14:14" x14ac:dyDescent="0.25">
      <c r="N7028" s="26"/>
    </row>
    <row r="7029" spans="14:14" x14ac:dyDescent="0.25">
      <c r="N7029" s="26"/>
    </row>
    <row r="7030" spans="14:14" x14ac:dyDescent="0.25">
      <c r="N7030" s="26"/>
    </row>
    <row r="7031" spans="14:14" x14ac:dyDescent="0.25">
      <c r="N7031" s="26"/>
    </row>
    <row r="7032" spans="14:14" x14ac:dyDescent="0.25">
      <c r="N7032" s="26"/>
    </row>
    <row r="7033" spans="14:14" x14ac:dyDescent="0.25">
      <c r="N7033" s="26"/>
    </row>
    <row r="7034" spans="14:14" x14ac:dyDescent="0.25">
      <c r="N7034" s="26"/>
    </row>
    <row r="7035" spans="14:14" x14ac:dyDescent="0.25">
      <c r="N7035" s="26"/>
    </row>
    <row r="7036" spans="14:14" x14ac:dyDescent="0.25">
      <c r="N7036" s="26"/>
    </row>
    <row r="7037" spans="14:14" x14ac:dyDescent="0.25">
      <c r="N7037" s="26"/>
    </row>
    <row r="7038" spans="14:14" x14ac:dyDescent="0.25">
      <c r="N7038" s="26"/>
    </row>
    <row r="7039" spans="14:14" x14ac:dyDescent="0.25">
      <c r="N7039" s="26"/>
    </row>
    <row r="7040" spans="14:14" x14ac:dyDescent="0.25">
      <c r="N7040" s="26"/>
    </row>
    <row r="7041" spans="14:14" x14ac:dyDescent="0.25">
      <c r="N7041" s="26"/>
    </row>
    <row r="7042" spans="14:14" x14ac:dyDescent="0.25">
      <c r="N7042" s="26"/>
    </row>
    <row r="7043" spans="14:14" x14ac:dyDescent="0.25">
      <c r="N7043" s="26"/>
    </row>
    <row r="7044" spans="14:14" x14ac:dyDescent="0.25">
      <c r="N7044" s="26"/>
    </row>
    <row r="7045" spans="14:14" x14ac:dyDescent="0.25">
      <c r="N7045" s="26"/>
    </row>
    <row r="7046" spans="14:14" x14ac:dyDescent="0.25">
      <c r="N7046" s="26"/>
    </row>
    <row r="7047" spans="14:14" x14ac:dyDescent="0.25">
      <c r="N7047" s="26"/>
    </row>
    <row r="7048" spans="14:14" x14ac:dyDescent="0.25">
      <c r="N7048" s="26"/>
    </row>
    <row r="7049" spans="14:14" x14ac:dyDescent="0.25">
      <c r="N7049" s="26"/>
    </row>
    <row r="7050" spans="14:14" x14ac:dyDescent="0.25">
      <c r="N7050" s="26"/>
    </row>
    <row r="7051" spans="14:14" x14ac:dyDescent="0.25">
      <c r="N7051" s="26"/>
    </row>
    <row r="7052" spans="14:14" x14ac:dyDescent="0.25">
      <c r="N7052" s="26"/>
    </row>
    <row r="7053" spans="14:14" x14ac:dyDescent="0.25">
      <c r="N7053" s="26"/>
    </row>
    <row r="7054" spans="14:14" x14ac:dyDescent="0.25">
      <c r="N7054" s="26"/>
    </row>
    <row r="7055" spans="14:14" x14ac:dyDescent="0.25">
      <c r="N7055" s="26"/>
    </row>
    <row r="7056" spans="14:14" x14ac:dyDescent="0.25">
      <c r="N7056" s="26"/>
    </row>
    <row r="7057" spans="14:14" x14ac:dyDescent="0.25">
      <c r="N7057" s="26"/>
    </row>
    <row r="7058" spans="14:14" x14ac:dyDescent="0.25">
      <c r="N7058" s="26"/>
    </row>
    <row r="7059" spans="14:14" x14ac:dyDescent="0.25">
      <c r="N7059" s="26"/>
    </row>
    <row r="7060" spans="14:14" x14ac:dyDescent="0.25">
      <c r="N7060" s="26"/>
    </row>
    <row r="7061" spans="14:14" x14ac:dyDescent="0.25">
      <c r="N7061" s="26"/>
    </row>
    <row r="7062" spans="14:14" x14ac:dyDescent="0.25">
      <c r="N7062" s="26"/>
    </row>
    <row r="7063" spans="14:14" x14ac:dyDescent="0.25">
      <c r="N7063" s="26"/>
    </row>
    <row r="7064" spans="14:14" x14ac:dyDescent="0.25">
      <c r="N7064" s="26"/>
    </row>
    <row r="7065" spans="14:14" x14ac:dyDescent="0.25">
      <c r="N7065" s="26"/>
    </row>
    <row r="7066" spans="14:14" x14ac:dyDescent="0.25">
      <c r="N7066" s="26"/>
    </row>
    <row r="7067" spans="14:14" x14ac:dyDescent="0.25">
      <c r="N7067" s="26"/>
    </row>
    <row r="7068" spans="14:14" x14ac:dyDescent="0.25">
      <c r="N7068" s="26"/>
    </row>
    <row r="7069" spans="14:14" x14ac:dyDescent="0.25">
      <c r="N7069" s="26"/>
    </row>
    <row r="7070" spans="14:14" x14ac:dyDescent="0.25">
      <c r="N7070" s="26"/>
    </row>
    <row r="7071" spans="14:14" x14ac:dyDescent="0.25">
      <c r="N7071" s="26"/>
    </row>
    <row r="7072" spans="14:14" x14ac:dyDescent="0.25">
      <c r="N7072" s="26"/>
    </row>
    <row r="7073" spans="14:14" x14ac:dyDescent="0.25">
      <c r="N7073" s="26"/>
    </row>
    <row r="7074" spans="14:14" x14ac:dyDescent="0.25">
      <c r="N7074" s="26"/>
    </row>
    <row r="7075" spans="14:14" x14ac:dyDescent="0.25">
      <c r="N7075" s="26"/>
    </row>
    <row r="7076" spans="14:14" x14ac:dyDescent="0.25">
      <c r="N7076" s="26"/>
    </row>
    <row r="7077" spans="14:14" x14ac:dyDescent="0.25">
      <c r="N7077" s="26"/>
    </row>
    <row r="7078" spans="14:14" x14ac:dyDescent="0.25">
      <c r="N7078" s="26"/>
    </row>
    <row r="7079" spans="14:14" x14ac:dyDescent="0.25">
      <c r="N7079" s="26"/>
    </row>
    <row r="7080" spans="14:14" x14ac:dyDescent="0.25">
      <c r="N7080" s="26"/>
    </row>
    <row r="7081" spans="14:14" x14ac:dyDescent="0.25">
      <c r="N7081" s="26"/>
    </row>
    <row r="7082" spans="14:14" x14ac:dyDescent="0.25">
      <c r="N7082" s="26"/>
    </row>
    <row r="7083" spans="14:14" x14ac:dyDescent="0.25">
      <c r="N7083" s="26"/>
    </row>
    <row r="7084" spans="14:14" x14ac:dyDescent="0.25">
      <c r="N7084" s="26"/>
    </row>
    <row r="7085" spans="14:14" x14ac:dyDescent="0.25">
      <c r="N7085" s="26"/>
    </row>
    <row r="7086" spans="14:14" x14ac:dyDescent="0.25">
      <c r="N7086" s="26"/>
    </row>
    <row r="7087" spans="14:14" x14ac:dyDescent="0.25">
      <c r="N7087" s="26"/>
    </row>
    <row r="7088" spans="14:14" x14ac:dyDescent="0.25">
      <c r="N7088" s="26"/>
    </row>
    <row r="7089" spans="14:14" x14ac:dyDescent="0.25">
      <c r="N7089" s="26"/>
    </row>
    <row r="7090" spans="14:14" x14ac:dyDescent="0.25">
      <c r="N7090" s="26"/>
    </row>
    <row r="7091" spans="14:14" x14ac:dyDescent="0.25">
      <c r="N7091" s="26"/>
    </row>
    <row r="7092" spans="14:14" x14ac:dyDescent="0.25">
      <c r="N7092" s="26"/>
    </row>
    <row r="7093" spans="14:14" x14ac:dyDescent="0.25">
      <c r="N7093" s="26"/>
    </row>
    <row r="7094" spans="14:14" x14ac:dyDescent="0.25">
      <c r="N7094" s="26"/>
    </row>
    <row r="7095" spans="14:14" x14ac:dyDescent="0.25">
      <c r="N7095" s="26"/>
    </row>
    <row r="7096" spans="14:14" x14ac:dyDescent="0.25">
      <c r="N7096" s="26"/>
    </row>
    <row r="7097" spans="14:14" x14ac:dyDescent="0.25">
      <c r="N7097" s="26"/>
    </row>
    <row r="7098" spans="14:14" x14ac:dyDescent="0.25">
      <c r="N7098" s="26"/>
    </row>
    <row r="7099" spans="14:14" x14ac:dyDescent="0.25">
      <c r="N7099" s="26"/>
    </row>
    <row r="7100" spans="14:14" x14ac:dyDescent="0.25">
      <c r="N7100" s="26"/>
    </row>
    <row r="7101" spans="14:14" x14ac:dyDescent="0.25">
      <c r="N7101" s="26"/>
    </row>
    <row r="7102" spans="14:14" x14ac:dyDescent="0.25">
      <c r="N7102" s="26"/>
    </row>
    <row r="7103" spans="14:14" x14ac:dyDescent="0.25">
      <c r="N7103" s="26"/>
    </row>
    <row r="7104" spans="14:14" x14ac:dyDescent="0.25">
      <c r="N7104" s="26"/>
    </row>
    <row r="7105" spans="14:14" x14ac:dyDescent="0.25">
      <c r="N7105" s="26"/>
    </row>
    <row r="7106" spans="14:14" x14ac:dyDescent="0.25">
      <c r="N7106" s="26"/>
    </row>
    <row r="7107" spans="14:14" x14ac:dyDescent="0.25">
      <c r="N7107" s="26"/>
    </row>
    <row r="7108" spans="14:14" x14ac:dyDescent="0.25">
      <c r="N7108" s="26"/>
    </row>
    <row r="7109" spans="14:14" x14ac:dyDescent="0.25">
      <c r="N7109" s="26"/>
    </row>
    <row r="7110" spans="14:14" x14ac:dyDescent="0.25">
      <c r="N7110" s="26"/>
    </row>
    <row r="7111" spans="14:14" x14ac:dyDescent="0.25">
      <c r="N7111" s="26"/>
    </row>
    <row r="7112" spans="14:14" x14ac:dyDescent="0.25">
      <c r="N7112" s="26"/>
    </row>
    <row r="7113" spans="14:14" x14ac:dyDescent="0.25">
      <c r="N7113" s="26"/>
    </row>
    <row r="7114" spans="14:14" x14ac:dyDescent="0.25">
      <c r="N7114" s="26"/>
    </row>
    <row r="7115" spans="14:14" x14ac:dyDescent="0.25">
      <c r="N7115" s="26"/>
    </row>
    <row r="7116" spans="14:14" x14ac:dyDescent="0.25">
      <c r="N7116" s="26"/>
    </row>
    <row r="7117" spans="14:14" x14ac:dyDescent="0.25">
      <c r="N7117" s="26"/>
    </row>
    <row r="7118" spans="14:14" x14ac:dyDescent="0.25">
      <c r="N7118" s="26"/>
    </row>
    <row r="7119" spans="14:14" x14ac:dyDescent="0.25">
      <c r="N7119" s="26"/>
    </row>
    <row r="7120" spans="14:14" x14ac:dyDescent="0.25">
      <c r="N7120" s="26"/>
    </row>
    <row r="7121" spans="14:14" x14ac:dyDescent="0.25">
      <c r="N7121" s="26"/>
    </row>
    <row r="7122" spans="14:14" x14ac:dyDescent="0.25">
      <c r="N7122" s="26"/>
    </row>
    <row r="7123" spans="14:14" x14ac:dyDescent="0.25">
      <c r="N7123" s="26"/>
    </row>
    <row r="7124" spans="14:14" x14ac:dyDescent="0.25">
      <c r="N7124" s="26"/>
    </row>
    <row r="7125" spans="14:14" x14ac:dyDescent="0.25">
      <c r="N7125" s="26"/>
    </row>
    <row r="7126" spans="14:14" x14ac:dyDescent="0.25">
      <c r="N7126" s="26"/>
    </row>
    <row r="7127" spans="14:14" x14ac:dyDescent="0.25">
      <c r="N7127" s="26"/>
    </row>
    <row r="7128" spans="14:14" x14ac:dyDescent="0.25">
      <c r="N7128" s="26"/>
    </row>
    <row r="7129" spans="14:14" x14ac:dyDescent="0.25">
      <c r="N7129" s="26"/>
    </row>
    <row r="7130" spans="14:14" x14ac:dyDescent="0.25">
      <c r="N7130" s="26"/>
    </row>
    <row r="7131" spans="14:14" x14ac:dyDescent="0.25">
      <c r="N7131" s="26"/>
    </row>
    <row r="7132" spans="14:14" x14ac:dyDescent="0.25">
      <c r="N7132" s="26"/>
    </row>
    <row r="7133" spans="14:14" x14ac:dyDescent="0.25">
      <c r="N7133" s="26"/>
    </row>
    <row r="7134" spans="14:14" x14ac:dyDescent="0.25">
      <c r="N7134" s="26"/>
    </row>
    <row r="7135" spans="14:14" x14ac:dyDescent="0.25">
      <c r="N7135" s="26"/>
    </row>
    <row r="7136" spans="14:14" x14ac:dyDescent="0.25">
      <c r="N7136" s="26"/>
    </row>
    <row r="7137" spans="14:14" x14ac:dyDescent="0.25">
      <c r="N7137" s="26"/>
    </row>
    <row r="7138" spans="14:14" x14ac:dyDescent="0.25">
      <c r="N7138" s="26"/>
    </row>
    <row r="7139" spans="14:14" x14ac:dyDescent="0.25">
      <c r="N7139" s="26"/>
    </row>
    <row r="7140" spans="14:14" x14ac:dyDescent="0.25">
      <c r="N7140" s="26"/>
    </row>
    <row r="7141" spans="14:14" x14ac:dyDescent="0.25">
      <c r="N7141" s="26"/>
    </row>
    <row r="7142" spans="14:14" x14ac:dyDescent="0.25">
      <c r="N7142" s="26"/>
    </row>
    <row r="7143" spans="14:14" x14ac:dyDescent="0.25">
      <c r="N7143" s="26"/>
    </row>
    <row r="7144" spans="14:14" x14ac:dyDescent="0.25">
      <c r="N7144" s="26"/>
    </row>
    <row r="7145" spans="14:14" x14ac:dyDescent="0.25">
      <c r="N7145" s="26"/>
    </row>
    <row r="7146" spans="14:14" x14ac:dyDescent="0.25">
      <c r="N7146" s="26"/>
    </row>
    <row r="7147" spans="14:14" x14ac:dyDescent="0.25">
      <c r="N7147" s="26"/>
    </row>
    <row r="7148" spans="14:14" x14ac:dyDescent="0.25">
      <c r="N7148" s="26"/>
    </row>
    <row r="7149" spans="14:14" x14ac:dyDescent="0.25">
      <c r="N7149" s="26"/>
    </row>
    <row r="7150" spans="14:14" x14ac:dyDescent="0.25">
      <c r="N7150" s="26"/>
    </row>
    <row r="7151" spans="14:14" x14ac:dyDescent="0.25">
      <c r="N7151" s="26"/>
    </row>
    <row r="7152" spans="14:14" x14ac:dyDescent="0.25">
      <c r="N7152" s="26"/>
    </row>
    <row r="7153" spans="14:14" x14ac:dyDescent="0.25">
      <c r="N7153" s="26"/>
    </row>
    <row r="7154" spans="14:14" x14ac:dyDescent="0.25">
      <c r="N7154" s="26"/>
    </row>
    <row r="7155" spans="14:14" x14ac:dyDescent="0.25">
      <c r="N7155" s="26"/>
    </row>
    <row r="7156" spans="14:14" x14ac:dyDescent="0.25">
      <c r="N7156" s="26"/>
    </row>
    <row r="7157" spans="14:14" x14ac:dyDescent="0.25">
      <c r="N7157" s="26"/>
    </row>
    <row r="7158" spans="14:14" x14ac:dyDescent="0.25">
      <c r="N7158" s="26"/>
    </row>
    <row r="7159" spans="14:14" x14ac:dyDescent="0.25">
      <c r="N7159" s="26"/>
    </row>
    <row r="7160" spans="14:14" x14ac:dyDescent="0.25">
      <c r="N7160" s="26"/>
    </row>
    <row r="7161" spans="14:14" x14ac:dyDescent="0.25">
      <c r="N7161" s="26"/>
    </row>
    <row r="7162" spans="14:14" x14ac:dyDescent="0.25">
      <c r="N7162" s="26"/>
    </row>
    <row r="7163" spans="14:14" x14ac:dyDescent="0.25">
      <c r="N7163" s="26"/>
    </row>
    <row r="7164" spans="14:14" x14ac:dyDescent="0.25">
      <c r="N7164" s="26"/>
    </row>
    <row r="7165" spans="14:14" x14ac:dyDescent="0.25">
      <c r="N7165" s="26"/>
    </row>
    <row r="7166" spans="14:14" x14ac:dyDescent="0.25">
      <c r="N7166" s="26"/>
    </row>
    <row r="7167" spans="14:14" x14ac:dyDescent="0.25">
      <c r="N7167" s="26"/>
    </row>
    <row r="7168" spans="14:14" x14ac:dyDescent="0.25">
      <c r="N7168" s="26"/>
    </row>
    <row r="7169" spans="14:14" x14ac:dyDescent="0.25">
      <c r="N7169" s="26"/>
    </row>
    <row r="7170" spans="14:14" x14ac:dyDescent="0.25">
      <c r="N7170" s="26"/>
    </row>
    <row r="7171" spans="14:14" x14ac:dyDescent="0.25">
      <c r="N7171" s="26"/>
    </row>
    <row r="7172" spans="14:14" x14ac:dyDescent="0.25">
      <c r="N7172" s="26"/>
    </row>
    <row r="7173" spans="14:14" x14ac:dyDescent="0.25">
      <c r="N7173" s="26"/>
    </row>
    <row r="7174" spans="14:14" x14ac:dyDescent="0.25">
      <c r="N7174" s="26"/>
    </row>
    <row r="7175" spans="14:14" x14ac:dyDescent="0.25">
      <c r="N7175" s="26"/>
    </row>
    <row r="7176" spans="14:14" x14ac:dyDescent="0.25">
      <c r="N7176" s="26"/>
    </row>
    <row r="7177" spans="14:14" x14ac:dyDescent="0.25">
      <c r="N7177" s="26"/>
    </row>
    <row r="7178" spans="14:14" x14ac:dyDescent="0.25">
      <c r="N7178" s="26"/>
    </row>
    <row r="7179" spans="14:14" x14ac:dyDescent="0.25">
      <c r="N7179" s="26"/>
    </row>
    <row r="7180" spans="14:14" x14ac:dyDescent="0.25">
      <c r="N7180" s="26"/>
    </row>
    <row r="7181" spans="14:14" x14ac:dyDescent="0.25">
      <c r="N7181" s="26"/>
    </row>
    <row r="7182" spans="14:14" x14ac:dyDescent="0.25">
      <c r="N7182" s="26"/>
    </row>
    <row r="7183" spans="14:14" x14ac:dyDescent="0.25">
      <c r="N7183" s="26"/>
    </row>
    <row r="7184" spans="14:14" x14ac:dyDescent="0.25">
      <c r="N7184" s="26"/>
    </row>
    <row r="7185" spans="14:14" x14ac:dyDescent="0.25">
      <c r="N7185" s="26"/>
    </row>
    <row r="7186" spans="14:14" x14ac:dyDescent="0.25">
      <c r="N7186" s="26"/>
    </row>
    <row r="7187" spans="14:14" x14ac:dyDescent="0.25">
      <c r="N7187" s="26"/>
    </row>
    <row r="7188" spans="14:14" x14ac:dyDescent="0.25">
      <c r="N7188" s="26"/>
    </row>
    <row r="7189" spans="14:14" x14ac:dyDescent="0.25">
      <c r="N7189" s="26"/>
    </row>
    <row r="7190" spans="14:14" x14ac:dyDescent="0.25">
      <c r="N7190" s="26"/>
    </row>
    <row r="7191" spans="14:14" x14ac:dyDescent="0.25">
      <c r="N7191" s="26"/>
    </row>
    <row r="7192" spans="14:14" x14ac:dyDescent="0.25">
      <c r="N7192" s="26"/>
    </row>
    <row r="7193" spans="14:14" x14ac:dyDescent="0.25">
      <c r="N7193" s="26"/>
    </row>
    <row r="7194" spans="14:14" x14ac:dyDescent="0.25">
      <c r="N7194" s="26"/>
    </row>
    <row r="7195" spans="14:14" x14ac:dyDescent="0.25">
      <c r="N7195" s="26"/>
    </row>
    <row r="7196" spans="14:14" x14ac:dyDescent="0.25">
      <c r="N7196" s="26"/>
    </row>
    <row r="7197" spans="14:14" x14ac:dyDescent="0.25">
      <c r="N7197" s="26"/>
    </row>
    <row r="7198" spans="14:14" x14ac:dyDescent="0.25">
      <c r="N7198" s="26"/>
    </row>
    <row r="7199" spans="14:14" x14ac:dyDescent="0.25">
      <c r="N7199" s="26"/>
    </row>
    <row r="7200" spans="14:14" x14ac:dyDescent="0.25">
      <c r="N7200" s="26"/>
    </row>
    <row r="7201" spans="14:14" x14ac:dyDescent="0.25">
      <c r="N7201" s="26"/>
    </row>
    <row r="7202" spans="14:14" x14ac:dyDescent="0.25">
      <c r="N7202" s="26"/>
    </row>
    <row r="7203" spans="14:14" x14ac:dyDescent="0.25">
      <c r="N7203" s="26"/>
    </row>
    <row r="7204" spans="14:14" x14ac:dyDescent="0.25">
      <c r="N7204" s="26"/>
    </row>
    <row r="7205" spans="14:14" x14ac:dyDescent="0.25">
      <c r="N7205" s="26"/>
    </row>
    <row r="7206" spans="14:14" x14ac:dyDescent="0.25">
      <c r="N7206" s="26"/>
    </row>
    <row r="7207" spans="14:14" x14ac:dyDescent="0.25">
      <c r="N7207" s="26"/>
    </row>
    <row r="7208" spans="14:14" x14ac:dyDescent="0.25">
      <c r="N7208" s="26"/>
    </row>
    <row r="7209" spans="14:14" x14ac:dyDescent="0.25">
      <c r="N7209" s="26"/>
    </row>
    <row r="7210" spans="14:14" x14ac:dyDescent="0.25">
      <c r="N7210" s="26"/>
    </row>
    <row r="7211" spans="14:14" x14ac:dyDescent="0.25">
      <c r="N7211" s="26"/>
    </row>
    <row r="7212" spans="14:14" x14ac:dyDescent="0.25">
      <c r="N7212" s="26"/>
    </row>
    <row r="7213" spans="14:14" x14ac:dyDescent="0.25">
      <c r="N7213" s="26"/>
    </row>
    <row r="7214" spans="14:14" x14ac:dyDescent="0.25">
      <c r="N7214" s="26"/>
    </row>
    <row r="7215" spans="14:14" x14ac:dyDescent="0.25">
      <c r="N7215" s="26"/>
    </row>
    <row r="7216" spans="14:14" x14ac:dyDescent="0.25">
      <c r="N7216" s="26"/>
    </row>
    <row r="7217" spans="14:14" x14ac:dyDescent="0.25">
      <c r="N7217" s="26"/>
    </row>
    <row r="7218" spans="14:14" x14ac:dyDescent="0.25">
      <c r="N7218" s="26"/>
    </row>
    <row r="7219" spans="14:14" x14ac:dyDescent="0.25">
      <c r="N7219" s="26"/>
    </row>
    <row r="7220" spans="14:14" x14ac:dyDescent="0.25">
      <c r="N7220" s="26"/>
    </row>
    <row r="7221" spans="14:14" x14ac:dyDescent="0.25">
      <c r="N7221" s="26"/>
    </row>
    <row r="7222" spans="14:14" x14ac:dyDescent="0.25">
      <c r="N7222" s="26"/>
    </row>
    <row r="7223" spans="14:14" x14ac:dyDescent="0.25">
      <c r="N7223" s="26"/>
    </row>
    <row r="7224" spans="14:14" x14ac:dyDescent="0.25">
      <c r="N7224" s="26"/>
    </row>
    <row r="7225" spans="14:14" x14ac:dyDescent="0.25">
      <c r="N7225" s="26"/>
    </row>
    <row r="7226" spans="14:14" x14ac:dyDescent="0.25">
      <c r="N7226" s="26"/>
    </row>
    <row r="7227" spans="14:14" x14ac:dyDescent="0.25">
      <c r="N7227" s="26"/>
    </row>
    <row r="7228" spans="14:14" x14ac:dyDescent="0.25">
      <c r="N7228" s="26"/>
    </row>
    <row r="7229" spans="14:14" x14ac:dyDescent="0.25">
      <c r="N7229" s="26"/>
    </row>
    <row r="7230" spans="14:14" x14ac:dyDescent="0.25">
      <c r="N7230" s="26"/>
    </row>
    <row r="7231" spans="14:14" x14ac:dyDescent="0.25">
      <c r="N7231" s="26"/>
    </row>
    <row r="7232" spans="14:14" x14ac:dyDescent="0.25">
      <c r="N7232" s="26"/>
    </row>
    <row r="7233" spans="14:14" x14ac:dyDescent="0.25">
      <c r="N7233" s="26"/>
    </row>
    <row r="7234" spans="14:14" x14ac:dyDescent="0.25">
      <c r="N7234" s="26"/>
    </row>
    <row r="7235" spans="14:14" x14ac:dyDescent="0.25">
      <c r="N7235" s="26"/>
    </row>
    <row r="7236" spans="14:14" x14ac:dyDescent="0.25">
      <c r="N7236" s="26"/>
    </row>
    <row r="7237" spans="14:14" x14ac:dyDescent="0.25">
      <c r="N7237" s="26"/>
    </row>
    <row r="7238" spans="14:14" x14ac:dyDescent="0.25">
      <c r="N7238" s="26"/>
    </row>
    <row r="7239" spans="14:14" x14ac:dyDescent="0.25">
      <c r="N7239" s="26"/>
    </row>
    <row r="7240" spans="14:14" x14ac:dyDescent="0.25">
      <c r="N7240" s="26"/>
    </row>
    <row r="7241" spans="14:14" x14ac:dyDescent="0.25">
      <c r="N7241" s="26"/>
    </row>
    <row r="7242" spans="14:14" x14ac:dyDescent="0.25">
      <c r="N7242" s="26"/>
    </row>
    <row r="7243" spans="14:14" x14ac:dyDescent="0.25">
      <c r="N7243" s="26"/>
    </row>
    <row r="7244" spans="14:14" x14ac:dyDescent="0.25">
      <c r="N7244" s="26"/>
    </row>
    <row r="7245" spans="14:14" x14ac:dyDescent="0.25">
      <c r="N7245" s="26"/>
    </row>
    <row r="7246" spans="14:14" x14ac:dyDescent="0.25">
      <c r="N7246" s="26"/>
    </row>
    <row r="7247" spans="14:14" x14ac:dyDescent="0.25">
      <c r="N7247" s="26"/>
    </row>
    <row r="7248" spans="14:14" x14ac:dyDescent="0.25">
      <c r="N7248" s="26"/>
    </row>
    <row r="7249" spans="14:14" x14ac:dyDescent="0.25">
      <c r="N7249" s="26"/>
    </row>
    <row r="7250" spans="14:14" x14ac:dyDescent="0.25">
      <c r="N7250" s="26"/>
    </row>
    <row r="7251" spans="14:14" x14ac:dyDescent="0.25">
      <c r="N7251" s="26"/>
    </row>
    <row r="7252" spans="14:14" x14ac:dyDescent="0.25">
      <c r="N7252" s="26"/>
    </row>
    <row r="7253" spans="14:14" x14ac:dyDescent="0.25">
      <c r="N7253" s="26"/>
    </row>
    <row r="7254" spans="14:14" x14ac:dyDescent="0.25">
      <c r="N7254" s="26"/>
    </row>
    <row r="7255" spans="14:14" x14ac:dyDescent="0.25">
      <c r="N7255" s="26"/>
    </row>
    <row r="7256" spans="14:14" x14ac:dyDescent="0.25">
      <c r="N7256" s="26"/>
    </row>
    <row r="7257" spans="14:14" x14ac:dyDescent="0.25">
      <c r="N7257" s="26"/>
    </row>
    <row r="7258" spans="14:14" x14ac:dyDescent="0.25">
      <c r="N7258" s="26"/>
    </row>
    <row r="7259" spans="14:14" x14ac:dyDescent="0.25">
      <c r="N7259" s="26"/>
    </row>
    <row r="7260" spans="14:14" x14ac:dyDescent="0.25">
      <c r="N7260" s="26"/>
    </row>
    <row r="7261" spans="14:14" x14ac:dyDescent="0.25">
      <c r="N7261" s="26"/>
    </row>
    <row r="7262" spans="14:14" x14ac:dyDescent="0.25">
      <c r="N7262" s="26"/>
    </row>
    <row r="7263" spans="14:14" x14ac:dyDescent="0.25">
      <c r="N7263" s="26"/>
    </row>
    <row r="7264" spans="14:14" x14ac:dyDescent="0.25">
      <c r="N7264" s="26"/>
    </row>
    <row r="7265" spans="14:14" x14ac:dyDescent="0.25">
      <c r="N7265" s="26"/>
    </row>
    <row r="7266" spans="14:14" x14ac:dyDescent="0.25">
      <c r="N7266" s="26"/>
    </row>
    <row r="7267" spans="14:14" x14ac:dyDescent="0.25">
      <c r="N7267" s="26"/>
    </row>
    <row r="7268" spans="14:14" x14ac:dyDescent="0.25">
      <c r="N7268" s="26"/>
    </row>
    <row r="7269" spans="14:14" x14ac:dyDescent="0.25">
      <c r="N7269" s="26"/>
    </row>
    <row r="7270" spans="14:14" x14ac:dyDescent="0.25">
      <c r="N7270" s="26"/>
    </row>
    <row r="7271" spans="14:14" x14ac:dyDescent="0.25">
      <c r="N7271" s="26"/>
    </row>
    <row r="7272" spans="14:14" x14ac:dyDescent="0.25">
      <c r="N7272" s="26"/>
    </row>
    <row r="7273" spans="14:14" x14ac:dyDescent="0.25">
      <c r="N7273" s="26"/>
    </row>
    <row r="7274" spans="14:14" x14ac:dyDescent="0.25">
      <c r="N7274" s="26"/>
    </row>
    <row r="7275" spans="14:14" x14ac:dyDescent="0.25">
      <c r="N7275" s="26"/>
    </row>
    <row r="7276" spans="14:14" x14ac:dyDescent="0.25">
      <c r="N7276" s="26"/>
    </row>
    <row r="7277" spans="14:14" x14ac:dyDescent="0.25">
      <c r="N7277" s="26"/>
    </row>
    <row r="7278" spans="14:14" x14ac:dyDescent="0.25">
      <c r="N7278" s="26"/>
    </row>
    <row r="7279" spans="14:14" x14ac:dyDescent="0.25">
      <c r="N7279" s="26"/>
    </row>
    <row r="7280" spans="14:14" x14ac:dyDescent="0.25">
      <c r="N7280" s="26"/>
    </row>
    <row r="7281" spans="14:14" x14ac:dyDescent="0.25">
      <c r="N7281" s="26"/>
    </row>
    <row r="7282" spans="14:14" x14ac:dyDescent="0.25">
      <c r="N7282" s="26"/>
    </row>
    <row r="7283" spans="14:14" x14ac:dyDescent="0.25">
      <c r="N7283" s="26"/>
    </row>
    <row r="7284" spans="14:14" x14ac:dyDescent="0.25">
      <c r="N7284" s="26"/>
    </row>
    <row r="7285" spans="14:14" x14ac:dyDescent="0.25">
      <c r="N7285" s="26"/>
    </row>
    <row r="7286" spans="14:14" x14ac:dyDescent="0.25">
      <c r="N7286" s="26"/>
    </row>
    <row r="7287" spans="14:14" x14ac:dyDescent="0.25">
      <c r="N7287" s="26"/>
    </row>
    <row r="7288" spans="14:14" x14ac:dyDescent="0.25">
      <c r="N7288" s="26"/>
    </row>
    <row r="7289" spans="14:14" x14ac:dyDescent="0.25">
      <c r="N7289" s="26"/>
    </row>
    <row r="7290" spans="14:14" x14ac:dyDescent="0.25">
      <c r="N7290" s="26"/>
    </row>
    <row r="7291" spans="14:14" x14ac:dyDescent="0.25">
      <c r="N7291" s="26"/>
    </row>
    <row r="7292" spans="14:14" x14ac:dyDescent="0.25">
      <c r="N7292" s="26"/>
    </row>
    <row r="7293" spans="14:14" x14ac:dyDescent="0.25">
      <c r="N7293" s="26"/>
    </row>
    <row r="7294" spans="14:14" x14ac:dyDescent="0.25">
      <c r="N7294" s="26"/>
    </row>
    <row r="7295" spans="14:14" x14ac:dyDescent="0.25">
      <c r="N7295" s="26"/>
    </row>
    <row r="7296" spans="14:14" x14ac:dyDescent="0.25">
      <c r="N7296" s="26"/>
    </row>
    <row r="7297" spans="14:14" x14ac:dyDescent="0.25">
      <c r="N7297" s="26"/>
    </row>
    <row r="7298" spans="14:14" x14ac:dyDescent="0.25">
      <c r="N7298" s="26"/>
    </row>
    <row r="7299" spans="14:14" x14ac:dyDescent="0.25">
      <c r="N7299" s="26"/>
    </row>
    <row r="7300" spans="14:14" x14ac:dyDescent="0.25">
      <c r="N7300" s="26"/>
    </row>
    <row r="7301" spans="14:14" x14ac:dyDescent="0.25">
      <c r="N7301" s="26"/>
    </row>
    <row r="7302" spans="14:14" x14ac:dyDescent="0.25">
      <c r="N7302" s="26"/>
    </row>
    <row r="7303" spans="14:14" x14ac:dyDescent="0.25">
      <c r="N7303" s="26"/>
    </row>
    <row r="7304" spans="14:14" x14ac:dyDescent="0.25">
      <c r="N7304" s="26"/>
    </row>
    <row r="7305" spans="14:14" x14ac:dyDescent="0.25">
      <c r="N7305" s="26"/>
    </row>
    <row r="7306" spans="14:14" x14ac:dyDescent="0.25">
      <c r="N7306" s="26"/>
    </row>
    <row r="7307" spans="14:14" x14ac:dyDescent="0.25">
      <c r="N7307" s="26"/>
    </row>
    <row r="7308" spans="14:14" x14ac:dyDescent="0.25">
      <c r="N7308" s="26"/>
    </row>
    <row r="7309" spans="14:14" x14ac:dyDescent="0.25">
      <c r="N7309" s="26"/>
    </row>
    <row r="7310" spans="14:14" x14ac:dyDescent="0.25">
      <c r="N7310" s="26"/>
    </row>
    <row r="7311" spans="14:14" x14ac:dyDescent="0.25">
      <c r="N7311" s="26"/>
    </row>
    <row r="7312" spans="14:14" x14ac:dyDescent="0.25">
      <c r="N7312" s="26"/>
    </row>
    <row r="7313" spans="14:14" x14ac:dyDescent="0.25">
      <c r="N7313" s="26"/>
    </row>
    <row r="7314" spans="14:14" x14ac:dyDescent="0.25">
      <c r="N7314" s="26"/>
    </row>
    <row r="7315" spans="14:14" x14ac:dyDescent="0.25">
      <c r="N7315" s="26"/>
    </row>
    <row r="7316" spans="14:14" x14ac:dyDescent="0.25">
      <c r="N7316" s="26"/>
    </row>
    <row r="7317" spans="14:14" x14ac:dyDescent="0.25">
      <c r="N7317" s="26"/>
    </row>
    <row r="7318" spans="14:14" x14ac:dyDescent="0.25">
      <c r="N7318" s="26"/>
    </row>
    <row r="7319" spans="14:14" x14ac:dyDescent="0.25">
      <c r="N7319" s="26"/>
    </row>
    <row r="7320" spans="14:14" x14ac:dyDescent="0.25">
      <c r="N7320" s="26"/>
    </row>
    <row r="7321" spans="14:14" x14ac:dyDescent="0.25">
      <c r="N7321" s="26"/>
    </row>
    <row r="7322" spans="14:14" x14ac:dyDescent="0.25">
      <c r="N7322" s="26"/>
    </row>
    <row r="7323" spans="14:14" x14ac:dyDescent="0.25">
      <c r="N7323" s="26"/>
    </row>
    <row r="7324" spans="14:14" x14ac:dyDescent="0.25">
      <c r="N7324" s="26"/>
    </row>
    <row r="7325" spans="14:14" x14ac:dyDescent="0.25">
      <c r="N7325" s="26"/>
    </row>
    <row r="7326" spans="14:14" x14ac:dyDescent="0.25">
      <c r="N7326" s="26"/>
    </row>
    <row r="7327" spans="14:14" x14ac:dyDescent="0.25">
      <c r="N7327" s="26"/>
    </row>
    <row r="7328" spans="14:14" x14ac:dyDescent="0.25">
      <c r="N7328" s="26"/>
    </row>
    <row r="7329" spans="14:14" x14ac:dyDescent="0.25">
      <c r="N7329" s="26"/>
    </row>
    <row r="7330" spans="14:14" x14ac:dyDescent="0.25">
      <c r="N7330" s="26"/>
    </row>
    <row r="7331" spans="14:14" x14ac:dyDescent="0.25">
      <c r="N7331" s="26"/>
    </row>
    <row r="7332" spans="14:14" x14ac:dyDescent="0.25">
      <c r="N7332" s="26"/>
    </row>
    <row r="7333" spans="14:14" x14ac:dyDescent="0.25">
      <c r="N7333" s="26"/>
    </row>
    <row r="7334" spans="14:14" x14ac:dyDescent="0.25">
      <c r="N7334" s="26"/>
    </row>
    <row r="7335" spans="14:14" x14ac:dyDescent="0.25">
      <c r="N7335" s="26"/>
    </row>
    <row r="7336" spans="14:14" x14ac:dyDescent="0.25">
      <c r="N7336" s="26"/>
    </row>
    <row r="7337" spans="14:14" x14ac:dyDescent="0.25">
      <c r="N7337" s="26"/>
    </row>
    <row r="7338" spans="14:14" x14ac:dyDescent="0.25">
      <c r="N7338" s="26"/>
    </row>
    <row r="7339" spans="14:14" x14ac:dyDescent="0.25">
      <c r="N7339" s="26"/>
    </row>
    <row r="7340" spans="14:14" x14ac:dyDescent="0.25">
      <c r="N7340" s="26"/>
    </row>
    <row r="7341" spans="14:14" x14ac:dyDescent="0.25">
      <c r="N7341" s="26"/>
    </row>
    <row r="7342" spans="14:14" x14ac:dyDescent="0.25">
      <c r="N7342" s="26"/>
    </row>
    <row r="7343" spans="14:14" x14ac:dyDescent="0.25">
      <c r="N7343" s="26"/>
    </row>
    <row r="7344" spans="14:14" x14ac:dyDescent="0.25">
      <c r="N7344" s="26"/>
    </row>
    <row r="7345" spans="14:14" x14ac:dyDescent="0.25">
      <c r="N7345" s="26"/>
    </row>
    <row r="7346" spans="14:14" x14ac:dyDescent="0.25">
      <c r="N7346" s="26"/>
    </row>
    <row r="7347" spans="14:14" x14ac:dyDescent="0.25">
      <c r="N7347" s="26"/>
    </row>
    <row r="7348" spans="14:14" x14ac:dyDescent="0.25">
      <c r="N7348" s="26"/>
    </row>
    <row r="7349" spans="14:14" x14ac:dyDescent="0.25">
      <c r="N7349" s="26"/>
    </row>
    <row r="7350" spans="14:14" x14ac:dyDescent="0.25">
      <c r="N7350" s="26"/>
    </row>
    <row r="7351" spans="14:14" x14ac:dyDescent="0.25">
      <c r="N7351" s="26"/>
    </row>
    <row r="7352" spans="14:14" x14ac:dyDescent="0.25">
      <c r="N7352" s="26"/>
    </row>
    <row r="7353" spans="14:14" x14ac:dyDescent="0.25">
      <c r="N7353" s="26"/>
    </row>
    <row r="7354" spans="14:14" x14ac:dyDescent="0.25">
      <c r="N7354" s="26"/>
    </row>
    <row r="7355" spans="14:14" x14ac:dyDescent="0.25">
      <c r="N7355" s="26"/>
    </row>
    <row r="7356" spans="14:14" x14ac:dyDescent="0.25">
      <c r="N7356" s="26"/>
    </row>
    <row r="7357" spans="14:14" x14ac:dyDescent="0.25">
      <c r="N7357" s="26"/>
    </row>
    <row r="7358" spans="14:14" x14ac:dyDescent="0.25">
      <c r="N7358" s="26"/>
    </row>
    <row r="7359" spans="14:14" x14ac:dyDescent="0.25">
      <c r="N7359" s="26"/>
    </row>
    <row r="7360" spans="14:14" x14ac:dyDescent="0.25">
      <c r="N7360" s="26"/>
    </row>
    <row r="7361" spans="14:14" x14ac:dyDescent="0.25">
      <c r="N7361" s="26"/>
    </row>
    <row r="7362" spans="14:14" x14ac:dyDescent="0.25">
      <c r="N7362" s="26"/>
    </row>
    <row r="7363" spans="14:14" x14ac:dyDescent="0.25">
      <c r="N7363" s="26"/>
    </row>
    <row r="7364" spans="14:14" x14ac:dyDescent="0.25">
      <c r="N7364" s="26"/>
    </row>
    <row r="7365" spans="14:14" x14ac:dyDescent="0.25">
      <c r="N7365" s="26"/>
    </row>
    <row r="7366" spans="14:14" x14ac:dyDescent="0.25">
      <c r="N7366" s="26"/>
    </row>
    <row r="7367" spans="14:14" x14ac:dyDescent="0.25">
      <c r="N7367" s="26"/>
    </row>
    <row r="7368" spans="14:14" x14ac:dyDescent="0.25">
      <c r="N7368" s="26"/>
    </row>
    <row r="7369" spans="14:14" x14ac:dyDescent="0.25">
      <c r="N7369" s="26"/>
    </row>
    <row r="7370" spans="14:14" x14ac:dyDescent="0.25">
      <c r="N7370" s="26"/>
    </row>
    <row r="7371" spans="14:14" x14ac:dyDescent="0.25">
      <c r="N7371" s="26"/>
    </row>
    <row r="7372" spans="14:14" x14ac:dyDescent="0.25">
      <c r="N7372" s="26"/>
    </row>
    <row r="7373" spans="14:14" x14ac:dyDescent="0.25">
      <c r="N7373" s="26"/>
    </row>
    <row r="7374" spans="14:14" x14ac:dyDescent="0.25">
      <c r="N7374" s="26"/>
    </row>
    <row r="7375" spans="14:14" x14ac:dyDescent="0.25">
      <c r="N7375" s="26"/>
    </row>
    <row r="7376" spans="14:14" x14ac:dyDescent="0.25">
      <c r="N7376" s="26"/>
    </row>
    <row r="7377" spans="14:14" x14ac:dyDescent="0.25">
      <c r="N7377" s="26"/>
    </row>
    <row r="7378" spans="14:14" x14ac:dyDescent="0.25">
      <c r="N7378" s="26"/>
    </row>
    <row r="7379" spans="14:14" x14ac:dyDescent="0.25">
      <c r="N7379" s="26"/>
    </row>
    <row r="7380" spans="14:14" x14ac:dyDescent="0.25">
      <c r="N7380" s="26"/>
    </row>
    <row r="7381" spans="14:14" x14ac:dyDescent="0.25">
      <c r="N7381" s="26"/>
    </row>
    <row r="7382" spans="14:14" x14ac:dyDescent="0.25">
      <c r="N7382" s="26"/>
    </row>
    <row r="7383" spans="14:14" x14ac:dyDescent="0.25">
      <c r="N7383" s="26"/>
    </row>
    <row r="7384" spans="14:14" x14ac:dyDescent="0.25">
      <c r="N7384" s="26"/>
    </row>
    <row r="7385" spans="14:14" x14ac:dyDescent="0.25">
      <c r="N7385" s="26"/>
    </row>
    <row r="7386" spans="14:14" x14ac:dyDescent="0.25">
      <c r="N7386" s="26"/>
    </row>
    <row r="7387" spans="14:14" x14ac:dyDescent="0.25">
      <c r="N7387" s="26"/>
    </row>
    <row r="7388" spans="14:14" x14ac:dyDescent="0.25">
      <c r="N7388" s="26"/>
    </row>
    <row r="7389" spans="14:14" x14ac:dyDescent="0.25">
      <c r="N7389" s="26"/>
    </row>
    <row r="7390" spans="14:14" x14ac:dyDescent="0.25">
      <c r="N7390" s="26"/>
    </row>
    <row r="7391" spans="14:14" x14ac:dyDescent="0.25">
      <c r="N7391" s="26"/>
    </row>
    <row r="7392" spans="14:14" x14ac:dyDescent="0.25">
      <c r="N7392" s="26"/>
    </row>
    <row r="7393" spans="14:14" x14ac:dyDescent="0.25">
      <c r="N7393" s="26"/>
    </row>
    <row r="7394" spans="14:14" x14ac:dyDescent="0.25">
      <c r="N7394" s="26"/>
    </row>
    <row r="7395" spans="14:14" x14ac:dyDescent="0.25">
      <c r="N7395" s="26"/>
    </row>
    <row r="7396" spans="14:14" x14ac:dyDescent="0.25">
      <c r="N7396" s="26"/>
    </row>
    <row r="7397" spans="14:14" x14ac:dyDescent="0.25">
      <c r="N7397" s="26"/>
    </row>
    <row r="7398" spans="14:14" x14ac:dyDescent="0.25">
      <c r="N7398" s="26"/>
    </row>
    <row r="7399" spans="14:14" x14ac:dyDescent="0.25">
      <c r="N7399" s="26"/>
    </row>
    <row r="7400" spans="14:14" x14ac:dyDescent="0.25">
      <c r="N7400" s="26"/>
    </row>
    <row r="7401" spans="14:14" x14ac:dyDescent="0.25">
      <c r="N7401" s="26"/>
    </row>
    <row r="7402" spans="14:14" x14ac:dyDescent="0.25">
      <c r="N7402" s="26"/>
    </row>
    <row r="7403" spans="14:14" x14ac:dyDescent="0.25">
      <c r="N7403" s="26"/>
    </row>
    <row r="7404" spans="14:14" x14ac:dyDescent="0.25">
      <c r="N7404" s="26"/>
    </row>
    <row r="7405" spans="14:14" x14ac:dyDescent="0.25">
      <c r="N7405" s="26"/>
    </row>
    <row r="7406" spans="14:14" x14ac:dyDescent="0.25">
      <c r="N7406" s="26"/>
    </row>
    <row r="7407" spans="14:14" x14ac:dyDescent="0.25">
      <c r="N7407" s="26"/>
    </row>
    <row r="7408" spans="14:14" x14ac:dyDescent="0.25">
      <c r="N7408" s="26"/>
    </row>
    <row r="7409" spans="14:14" x14ac:dyDescent="0.25">
      <c r="N7409" s="26"/>
    </row>
    <row r="7410" spans="14:14" x14ac:dyDescent="0.25">
      <c r="N7410" s="26"/>
    </row>
    <row r="7411" spans="14:14" x14ac:dyDescent="0.25">
      <c r="N7411" s="26"/>
    </row>
    <row r="7412" spans="14:14" x14ac:dyDescent="0.25">
      <c r="N7412" s="26"/>
    </row>
    <row r="7413" spans="14:14" x14ac:dyDescent="0.25">
      <c r="N7413" s="26"/>
    </row>
    <row r="7414" spans="14:14" x14ac:dyDescent="0.25">
      <c r="N7414" s="26"/>
    </row>
    <row r="7415" spans="14:14" x14ac:dyDescent="0.25">
      <c r="N7415" s="26"/>
    </row>
    <row r="7416" spans="14:14" x14ac:dyDescent="0.25">
      <c r="N7416" s="26"/>
    </row>
    <row r="7417" spans="14:14" x14ac:dyDescent="0.25">
      <c r="N7417" s="26"/>
    </row>
    <row r="7418" spans="14:14" x14ac:dyDescent="0.25">
      <c r="N7418" s="26"/>
    </row>
    <row r="7419" spans="14:14" x14ac:dyDescent="0.25">
      <c r="N7419" s="26"/>
    </row>
    <row r="7420" spans="14:14" x14ac:dyDescent="0.25">
      <c r="N7420" s="26"/>
    </row>
    <row r="7421" spans="14:14" x14ac:dyDescent="0.25">
      <c r="N7421" s="26"/>
    </row>
    <row r="7422" spans="14:14" x14ac:dyDescent="0.25">
      <c r="N7422" s="26"/>
    </row>
    <row r="7423" spans="14:14" x14ac:dyDescent="0.25">
      <c r="N7423" s="26"/>
    </row>
    <row r="7424" spans="14:14" x14ac:dyDescent="0.25">
      <c r="N7424" s="26"/>
    </row>
    <row r="7425" spans="14:14" x14ac:dyDescent="0.25">
      <c r="N7425" s="26"/>
    </row>
    <row r="7426" spans="14:14" x14ac:dyDescent="0.25">
      <c r="N7426" s="26"/>
    </row>
    <row r="7427" spans="14:14" x14ac:dyDescent="0.25">
      <c r="N7427" s="26"/>
    </row>
    <row r="7428" spans="14:14" x14ac:dyDescent="0.25">
      <c r="N7428" s="26"/>
    </row>
    <row r="7429" spans="14:14" x14ac:dyDescent="0.25">
      <c r="N7429" s="26"/>
    </row>
    <row r="7430" spans="14:14" x14ac:dyDescent="0.25">
      <c r="N7430" s="26"/>
    </row>
    <row r="7431" spans="14:14" x14ac:dyDescent="0.25">
      <c r="N7431" s="26"/>
    </row>
    <row r="7432" spans="14:14" x14ac:dyDescent="0.25">
      <c r="N7432" s="26"/>
    </row>
    <row r="7433" spans="14:14" x14ac:dyDescent="0.25">
      <c r="N7433" s="26"/>
    </row>
    <row r="7434" spans="14:14" x14ac:dyDescent="0.25">
      <c r="N7434" s="26"/>
    </row>
    <row r="7435" spans="14:14" x14ac:dyDescent="0.25">
      <c r="N7435" s="26"/>
    </row>
    <row r="7436" spans="14:14" x14ac:dyDescent="0.25">
      <c r="N7436" s="26"/>
    </row>
    <row r="7437" spans="14:14" x14ac:dyDescent="0.25">
      <c r="N7437" s="26"/>
    </row>
    <row r="7438" spans="14:14" x14ac:dyDescent="0.25">
      <c r="N7438" s="26"/>
    </row>
    <row r="7439" spans="14:14" x14ac:dyDescent="0.25">
      <c r="N7439" s="26"/>
    </row>
    <row r="7440" spans="14:14" x14ac:dyDescent="0.25">
      <c r="N7440" s="26"/>
    </row>
    <row r="7441" spans="14:14" x14ac:dyDescent="0.25">
      <c r="N7441" s="26"/>
    </row>
    <row r="7442" spans="14:14" x14ac:dyDescent="0.25">
      <c r="N7442" s="26"/>
    </row>
    <row r="7443" spans="14:14" x14ac:dyDescent="0.25">
      <c r="N7443" s="26"/>
    </row>
    <row r="7444" spans="14:14" x14ac:dyDescent="0.25">
      <c r="N7444" s="26"/>
    </row>
    <row r="7445" spans="14:14" x14ac:dyDescent="0.25">
      <c r="N7445" s="26"/>
    </row>
    <row r="7446" spans="14:14" x14ac:dyDescent="0.25">
      <c r="N7446" s="26"/>
    </row>
    <row r="7447" spans="14:14" x14ac:dyDescent="0.25">
      <c r="N7447" s="26"/>
    </row>
    <row r="7448" spans="14:14" x14ac:dyDescent="0.25">
      <c r="N7448" s="26"/>
    </row>
    <row r="7449" spans="14:14" x14ac:dyDescent="0.25">
      <c r="N7449" s="26"/>
    </row>
    <row r="7450" spans="14:14" x14ac:dyDescent="0.25">
      <c r="N7450" s="26"/>
    </row>
    <row r="7451" spans="14:14" x14ac:dyDescent="0.25">
      <c r="N7451" s="26"/>
    </row>
    <row r="7452" spans="14:14" x14ac:dyDescent="0.25">
      <c r="N7452" s="26"/>
    </row>
    <row r="7453" spans="14:14" x14ac:dyDescent="0.25">
      <c r="N7453" s="26"/>
    </row>
    <row r="7454" spans="14:14" x14ac:dyDescent="0.25">
      <c r="N7454" s="26"/>
    </row>
    <row r="7455" spans="14:14" x14ac:dyDescent="0.25">
      <c r="N7455" s="26"/>
    </row>
    <row r="7456" spans="14:14" x14ac:dyDescent="0.25">
      <c r="N7456" s="26"/>
    </row>
    <row r="7457" spans="14:14" x14ac:dyDescent="0.25">
      <c r="N7457" s="26"/>
    </row>
    <row r="7458" spans="14:14" x14ac:dyDescent="0.25">
      <c r="N7458" s="26"/>
    </row>
    <row r="7459" spans="14:14" x14ac:dyDescent="0.25">
      <c r="N7459" s="26"/>
    </row>
    <row r="7460" spans="14:14" x14ac:dyDescent="0.25">
      <c r="N7460" s="26"/>
    </row>
    <row r="7461" spans="14:14" x14ac:dyDescent="0.25">
      <c r="N7461" s="26"/>
    </row>
    <row r="7462" spans="14:14" x14ac:dyDescent="0.25">
      <c r="N7462" s="26"/>
    </row>
    <row r="7463" spans="14:14" x14ac:dyDescent="0.25">
      <c r="N7463" s="26"/>
    </row>
    <row r="7464" spans="14:14" x14ac:dyDescent="0.25">
      <c r="N7464" s="26"/>
    </row>
    <row r="7465" spans="14:14" x14ac:dyDescent="0.25">
      <c r="N7465" s="26"/>
    </row>
    <row r="7466" spans="14:14" x14ac:dyDescent="0.25">
      <c r="N7466" s="26"/>
    </row>
    <row r="7467" spans="14:14" x14ac:dyDescent="0.25">
      <c r="N7467" s="26"/>
    </row>
    <row r="7468" spans="14:14" x14ac:dyDescent="0.25">
      <c r="N7468" s="26"/>
    </row>
    <row r="7469" spans="14:14" x14ac:dyDescent="0.25">
      <c r="N7469" s="26"/>
    </row>
    <row r="7470" spans="14:14" x14ac:dyDescent="0.25">
      <c r="N7470" s="26"/>
    </row>
    <row r="7471" spans="14:14" x14ac:dyDescent="0.25">
      <c r="N7471" s="26"/>
    </row>
    <row r="7472" spans="14:14" x14ac:dyDescent="0.25">
      <c r="N7472" s="26"/>
    </row>
    <row r="7473" spans="14:14" x14ac:dyDescent="0.25">
      <c r="N7473" s="26"/>
    </row>
    <row r="7474" spans="14:14" x14ac:dyDescent="0.25">
      <c r="N7474" s="26"/>
    </row>
    <row r="7475" spans="14:14" x14ac:dyDescent="0.25">
      <c r="N7475" s="26"/>
    </row>
    <row r="7476" spans="14:14" x14ac:dyDescent="0.25">
      <c r="N7476" s="26"/>
    </row>
    <row r="7477" spans="14:14" x14ac:dyDescent="0.25">
      <c r="N7477" s="26"/>
    </row>
    <row r="7478" spans="14:14" x14ac:dyDescent="0.25">
      <c r="N7478" s="26"/>
    </row>
    <row r="7479" spans="14:14" x14ac:dyDescent="0.25">
      <c r="N7479" s="26"/>
    </row>
    <row r="7480" spans="14:14" x14ac:dyDescent="0.25">
      <c r="N7480" s="26"/>
    </row>
    <row r="7481" spans="14:14" x14ac:dyDescent="0.25">
      <c r="N7481" s="26"/>
    </row>
    <row r="7482" spans="14:14" x14ac:dyDescent="0.25">
      <c r="N7482" s="26"/>
    </row>
    <row r="7483" spans="14:14" x14ac:dyDescent="0.25">
      <c r="N7483" s="26"/>
    </row>
    <row r="7484" spans="14:14" x14ac:dyDescent="0.25">
      <c r="N7484" s="26"/>
    </row>
    <row r="7485" spans="14:14" x14ac:dyDescent="0.25">
      <c r="N7485" s="26"/>
    </row>
    <row r="7486" spans="14:14" x14ac:dyDescent="0.25">
      <c r="N7486" s="26"/>
    </row>
    <row r="7487" spans="14:14" x14ac:dyDescent="0.25">
      <c r="N7487" s="26"/>
    </row>
    <row r="7488" spans="14:14" x14ac:dyDescent="0.25">
      <c r="N7488" s="26"/>
    </row>
    <row r="7489" spans="14:14" x14ac:dyDescent="0.25">
      <c r="N7489" s="26"/>
    </row>
    <row r="7490" spans="14:14" x14ac:dyDescent="0.25">
      <c r="N7490" s="26"/>
    </row>
    <row r="7491" spans="14:14" x14ac:dyDescent="0.25">
      <c r="N7491" s="26"/>
    </row>
    <row r="7492" spans="14:14" x14ac:dyDescent="0.25">
      <c r="N7492" s="26"/>
    </row>
    <row r="7493" spans="14:14" x14ac:dyDescent="0.25">
      <c r="N7493" s="26"/>
    </row>
    <row r="7494" spans="14:14" x14ac:dyDescent="0.25">
      <c r="N7494" s="26"/>
    </row>
    <row r="7495" spans="14:14" x14ac:dyDescent="0.25">
      <c r="N7495" s="26"/>
    </row>
    <row r="7496" spans="14:14" x14ac:dyDescent="0.25">
      <c r="N7496" s="26"/>
    </row>
    <row r="7497" spans="14:14" x14ac:dyDescent="0.25">
      <c r="N7497" s="26"/>
    </row>
    <row r="7498" spans="14:14" x14ac:dyDescent="0.25">
      <c r="N7498" s="26"/>
    </row>
    <row r="7499" spans="14:14" x14ac:dyDescent="0.25">
      <c r="N7499" s="26"/>
    </row>
    <row r="7500" spans="14:14" x14ac:dyDescent="0.25">
      <c r="N7500" s="26"/>
    </row>
    <row r="7501" spans="14:14" x14ac:dyDescent="0.25">
      <c r="N7501" s="26"/>
    </row>
    <row r="7502" spans="14:14" x14ac:dyDescent="0.25">
      <c r="N7502" s="26"/>
    </row>
    <row r="7503" spans="14:14" x14ac:dyDescent="0.25">
      <c r="N7503" s="26"/>
    </row>
    <row r="7504" spans="14:14" x14ac:dyDescent="0.25">
      <c r="N7504" s="26"/>
    </row>
    <row r="7505" spans="14:14" x14ac:dyDescent="0.25">
      <c r="N7505" s="26"/>
    </row>
    <row r="7506" spans="14:14" x14ac:dyDescent="0.25">
      <c r="N7506" s="26"/>
    </row>
    <row r="7507" spans="14:14" x14ac:dyDescent="0.25">
      <c r="N7507" s="26"/>
    </row>
    <row r="7508" spans="14:14" x14ac:dyDescent="0.25">
      <c r="N7508" s="26"/>
    </row>
    <row r="7509" spans="14:14" x14ac:dyDescent="0.25">
      <c r="N7509" s="26"/>
    </row>
    <row r="7510" spans="14:14" x14ac:dyDescent="0.25">
      <c r="N7510" s="26"/>
    </row>
    <row r="7511" spans="14:14" x14ac:dyDescent="0.25">
      <c r="N7511" s="26"/>
    </row>
    <row r="7512" spans="14:14" x14ac:dyDescent="0.25">
      <c r="N7512" s="26"/>
    </row>
    <row r="7513" spans="14:14" x14ac:dyDescent="0.25">
      <c r="N7513" s="26"/>
    </row>
    <row r="7514" spans="14:14" x14ac:dyDescent="0.25">
      <c r="N7514" s="26"/>
    </row>
    <row r="7515" spans="14:14" x14ac:dyDescent="0.25">
      <c r="N7515" s="26"/>
    </row>
    <row r="7516" spans="14:14" x14ac:dyDescent="0.25">
      <c r="N7516" s="26"/>
    </row>
    <row r="7517" spans="14:14" x14ac:dyDescent="0.25">
      <c r="N7517" s="26"/>
    </row>
    <row r="7518" spans="14:14" x14ac:dyDescent="0.25">
      <c r="N7518" s="26"/>
    </row>
    <row r="7519" spans="14:14" x14ac:dyDescent="0.25">
      <c r="N7519" s="26"/>
    </row>
    <row r="7520" spans="14:14" x14ac:dyDescent="0.25">
      <c r="N7520" s="26"/>
    </row>
    <row r="7521" spans="14:14" x14ac:dyDescent="0.25">
      <c r="N7521" s="26"/>
    </row>
    <row r="7522" spans="14:14" x14ac:dyDescent="0.25">
      <c r="N7522" s="26"/>
    </row>
    <row r="7523" spans="14:14" x14ac:dyDescent="0.25">
      <c r="N7523" s="26"/>
    </row>
    <row r="7524" spans="14:14" x14ac:dyDescent="0.25">
      <c r="N7524" s="26"/>
    </row>
    <row r="7525" spans="14:14" x14ac:dyDescent="0.25">
      <c r="N7525" s="26"/>
    </row>
    <row r="7526" spans="14:14" x14ac:dyDescent="0.25">
      <c r="N7526" s="26"/>
    </row>
    <row r="7527" spans="14:14" x14ac:dyDescent="0.25">
      <c r="N7527" s="26"/>
    </row>
    <row r="7528" spans="14:14" x14ac:dyDescent="0.25">
      <c r="N7528" s="26"/>
    </row>
    <row r="7529" spans="14:14" x14ac:dyDescent="0.25">
      <c r="N7529" s="26"/>
    </row>
    <row r="7530" spans="14:14" x14ac:dyDescent="0.25">
      <c r="N7530" s="26"/>
    </row>
    <row r="7531" spans="14:14" x14ac:dyDescent="0.25">
      <c r="N7531" s="26"/>
    </row>
    <row r="7532" spans="14:14" x14ac:dyDescent="0.25">
      <c r="N7532" s="26"/>
    </row>
    <row r="7533" spans="14:14" x14ac:dyDescent="0.25">
      <c r="N7533" s="26"/>
    </row>
    <row r="7534" spans="14:14" x14ac:dyDescent="0.25">
      <c r="N7534" s="26"/>
    </row>
    <row r="7535" spans="14:14" x14ac:dyDescent="0.25">
      <c r="N7535" s="26"/>
    </row>
    <row r="7536" spans="14:14" x14ac:dyDescent="0.25">
      <c r="N7536" s="26"/>
    </row>
    <row r="7537" spans="14:14" x14ac:dyDescent="0.25">
      <c r="N7537" s="26"/>
    </row>
    <row r="7538" spans="14:14" x14ac:dyDescent="0.25">
      <c r="N7538" s="26"/>
    </row>
    <row r="7539" spans="14:14" x14ac:dyDescent="0.25">
      <c r="N7539" s="26"/>
    </row>
    <row r="7540" spans="14:14" x14ac:dyDescent="0.25">
      <c r="N7540" s="26"/>
    </row>
    <row r="7541" spans="14:14" x14ac:dyDescent="0.25">
      <c r="N7541" s="26"/>
    </row>
    <row r="7542" spans="14:14" x14ac:dyDescent="0.25">
      <c r="N7542" s="26"/>
    </row>
    <row r="7543" spans="14:14" x14ac:dyDescent="0.25">
      <c r="N7543" s="26"/>
    </row>
    <row r="7544" spans="14:14" x14ac:dyDescent="0.25">
      <c r="N7544" s="26"/>
    </row>
    <row r="7545" spans="14:14" x14ac:dyDescent="0.25">
      <c r="N7545" s="26"/>
    </row>
    <row r="7546" spans="14:14" x14ac:dyDescent="0.25">
      <c r="N7546" s="26"/>
    </row>
    <row r="7547" spans="14:14" x14ac:dyDescent="0.25">
      <c r="N7547" s="26"/>
    </row>
    <row r="7548" spans="14:14" x14ac:dyDescent="0.25">
      <c r="N7548" s="26"/>
    </row>
    <row r="7549" spans="14:14" x14ac:dyDescent="0.25">
      <c r="N7549" s="26"/>
    </row>
    <row r="7550" spans="14:14" x14ac:dyDescent="0.25">
      <c r="N7550" s="26"/>
    </row>
    <row r="7551" spans="14:14" x14ac:dyDescent="0.25">
      <c r="N7551" s="26"/>
    </row>
    <row r="7552" spans="14:14" x14ac:dyDescent="0.25">
      <c r="N7552" s="26"/>
    </row>
    <row r="7553" spans="14:14" x14ac:dyDescent="0.25">
      <c r="N7553" s="26"/>
    </row>
    <row r="7554" spans="14:14" x14ac:dyDescent="0.25">
      <c r="N7554" s="26"/>
    </row>
    <row r="7555" spans="14:14" x14ac:dyDescent="0.25">
      <c r="N7555" s="26"/>
    </row>
    <row r="7556" spans="14:14" x14ac:dyDescent="0.25">
      <c r="N7556" s="26"/>
    </row>
    <row r="7557" spans="14:14" x14ac:dyDescent="0.25">
      <c r="N7557" s="26"/>
    </row>
    <row r="7558" spans="14:14" x14ac:dyDescent="0.25">
      <c r="N7558" s="26"/>
    </row>
    <row r="7559" spans="14:14" x14ac:dyDescent="0.25">
      <c r="N7559" s="26"/>
    </row>
    <row r="7560" spans="14:14" x14ac:dyDescent="0.25">
      <c r="N7560" s="26"/>
    </row>
    <row r="7561" spans="14:14" x14ac:dyDescent="0.25">
      <c r="N7561" s="26"/>
    </row>
    <row r="7562" spans="14:14" x14ac:dyDescent="0.25">
      <c r="N7562" s="26"/>
    </row>
    <row r="7563" spans="14:14" x14ac:dyDescent="0.25">
      <c r="N7563" s="26"/>
    </row>
    <row r="7564" spans="14:14" x14ac:dyDescent="0.25">
      <c r="N7564" s="26"/>
    </row>
    <row r="7565" spans="14:14" x14ac:dyDescent="0.25">
      <c r="N7565" s="26"/>
    </row>
    <row r="7566" spans="14:14" x14ac:dyDescent="0.25">
      <c r="N7566" s="26"/>
    </row>
    <row r="7567" spans="14:14" x14ac:dyDescent="0.25">
      <c r="N7567" s="26"/>
    </row>
    <row r="7568" spans="14:14" x14ac:dyDescent="0.25">
      <c r="N7568" s="26"/>
    </row>
    <row r="7569" spans="14:14" x14ac:dyDescent="0.25">
      <c r="N7569" s="26"/>
    </row>
    <row r="7570" spans="14:14" x14ac:dyDescent="0.25">
      <c r="N7570" s="26"/>
    </row>
    <row r="7571" spans="14:14" x14ac:dyDescent="0.25">
      <c r="N7571" s="26"/>
    </row>
    <row r="7572" spans="14:14" x14ac:dyDescent="0.25">
      <c r="N7572" s="26"/>
    </row>
    <row r="7573" spans="14:14" x14ac:dyDescent="0.25">
      <c r="N7573" s="26"/>
    </row>
    <row r="7574" spans="14:14" x14ac:dyDescent="0.25">
      <c r="N7574" s="26"/>
    </row>
    <row r="7575" spans="14:14" x14ac:dyDescent="0.25">
      <c r="N7575" s="26"/>
    </row>
    <row r="7576" spans="14:14" x14ac:dyDescent="0.25">
      <c r="N7576" s="26"/>
    </row>
    <row r="7577" spans="14:14" x14ac:dyDescent="0.25">
      <c r="N7577" s="26"/>
    </row>
    <row r="7578" spans="14:14" x14ac:dyDescent="0.25">
      <c r="N7578" s="26"/>
    </row>
    <row r="7579" spans="14:14" x14ac:dyDescent="0.25">
      <c r="N7579" s="26"/>
    </row>
    <row r="7580" spans="14:14" x14ac:dyDescent="0.25">
      <c r="N7580" s="26"/>
    </row>
    <row r="7581" spans="14:14" x14ac:dyDescent="0.25">
      <c r="N7581" s="26"/>
    </row>
    <row r="7582" spans="14:14" x14ac:dyDescent="0.25">
      <c r="N7582" s="26"/>
    </row>
    <row r="7583" spans="14:14" x14ac:dyDescent="0.25">
      <c r="N7583" s="26"/>
    </row>
    <row r="7584" spans="14:14" x14ac:dyDescent="0.25">
      <c r="N7584" s="26"/>
    </row>
    <row r="7585" spans="14:14" x14ac:dyDescent="0.25">
      <c r="N7585" s="26"/>
    </row>
    <row r="7586" spans="14:14" x14ac:dyDescent="0.25">
      <c r="N7586" s="26"/>
    </row>
    <row r="7587" spans="14:14" x14ac:dyDescent="0.25">
      <c r="N7587" s="26"/>
    </row>
    <row r="7588" spans="14:14" x14ac:dyDescent="0.25">
      <c r="N7588" s="26"/>
    </row>
    <row r="7589" spans="14:14" x14ac:dyDescent="0.25">
      <c r="N7589" s="26"/>
    </row>
    <row r="7590" spans="14:14" x14ac:dyDescent="0.25">
      <c r="N7590" s="26"/>
    </row>
    <row r="7591" spans="14:14" x14ac:dyDescent="0.25">
      <c r="N7591" s="26"/>
    </row>
    <row r="7592" spans="14:14" x14ac:dyDescent="0.25">
      <c r="N7592" s="26"/>
    </row>
    <row r="7593" spans="14:14" x14ac:dyDescent="0.25">
      <c r="N7593" s="26"/>
    </row>
    <row r="7594" spans="14:14" x14ac:dyDescent="0.25">
      <c r="N7594" s="26"/>
    </row>
    <row r="7595" spans="14:14" x14ac:dyDescent="0.25">
      <c r="N7595" s="26"/>
    </row>
    <row r="7596" spans="14:14" x14ac:dyDescent="0.25">
      <c r="N7596" s="26"/>
    </row>
    <row r="7597" spans="14:14" x14ac:dyDescent="0.25">
      <c r="N7597" s="26"/>
    </row>
    <row r="7598" spans="14:14" x14ac:dyDescent="0.25">
      <c r="N7598" s="26"/>
    </row>
    <row r="7599" spans="14:14" x14ac:dyDescent="0.25">
      <c r="N7599" s="26"/>
    </row>
    <row r="7600" spans="14:14" x14ac:dyDescent="0.25">
      <c r="N7600" s="26"/>
    </row>
    <row r="7601" spans="14:14" x14ac:dyDescent="0.25">
      <c r="N7601" s="26"/>
    </row>
    <row r="7602" spans="14:14" x14ac:dyDescent="0.25">
      <c r="N7602" s="26"/>
    </row>
    <row r="7603" spans="14:14" x14ac:dyDescent="0.25">
      <c r="N7603" s="26"/>
    </row>
    <row r="7604" spans="14:14" x14ac:dyDescent="0.25">
      <c r="N7604" s="26"/>
    </row>
    <row r="7605" spans="14:14" x14ac:dyDescent="0.25">
      <c r="N7605" s="26"/>
    </row>
    <row r="7606" spans="14:14" x14ac:dyDescent="0.25">
      <c r="N7606" s="26"/>
    </row>
    <row r="7607" spans="14:14" x14ac:dyDescent="0.25">
      <c r="N7607" s="26"/>
    </row>
    <row r="7608" spans="14:14" x14ac:dyDescent="0.25">
      <c r="N7608" s="26"/>
    </row>
    <row r="7609" spans="14:14" x14ac:dyDescent="0.25">
      <c r="N7609" s="26"/>
    </row>
    <row r="7610" spans="14:14" x14ac:dyDescent="0.25">
      <c r="N7610" s="26"/>
    </row>
    <row r="7611" spans="14:14" x14ac:dyDescent="0.25">
      <c r="N7611" s="26"/>
    </row>
    <row r="7612" spans="14:14" x14ac:dyDescent="0.25">
      <c r="N7612" s="26"/>
    </row>
    <row r="7613" spans="14:14" x14ac:dyDescent="0.25">
      <c r="N7613" s="26"/>
    </row>
    <row r="7614" spans="14:14" x14ac:dyDescent="0.25">
      <c r="N7614" s="26"/>
    </row>
    <row r="7615" spans="14:14" x14ac:dyDescent="0.25">
      <c r="N7615" s="26"/>
    </row>
    <row r="7616" spans="14:14" x14ac:dyDescent="0.25">
      <c r="N7616" s="26"/>
    </row>
    <row r="7617" spans="14:14" x14ac:dyDescent="0.25">
      <c r="N7617" s="26"/>
    </row>
    <row r="7618" spans="14:14" x14ac:dyDescent="0.25">
      <c r="N7618" s="26"/>
    </row>
    <row r="7619" spans="14:14" x14ac:dyDescent="0.25">
      <c r="N7619" s="26"/>
    </row>
    <row r="7620" spans="14:14" x14ac:dyDescent="0.25">
      <c r="N7620" s="26"/>
    </row>
    <row r="7621" spans="14:14" x14ac:dyDescent="0.25">
      <c r="N7621" s="26"/>
    </row>
    <row r="7622" spans="14:14" x14ac:dyDescent="0.25">
      <c r="N7622" s="26"/>
    </row>
    <row r="7623" spans="14:14" x14ac:dyDescent="0.25">
      <c r="N7623" s="26"/>
    </row>
    <row r="7624" spans="14:14" x14ac:dyDescent="0.25">
      <c r="N7624" s="26"/>
    </row>
    <row r="7625" spans="14:14" x14ac:dyDescent="0.25">
      <c r="N7625" s="26"/>
    </row>
    <row r="7626" spans="14:14" x14ac:dyDescent="0.25">
      <c r="N7626" s="26"/>
    </row>
    <row r="7627" spans="14:14" x14ac:dyDescent="0.25">
      <c r="N7627" s="26"/>
    </row>
    <row r="7628" spans="14:14" x14ac:dyDescent="0.25">
      <c r="N7628" s="26"/>
    </row>
    <row r="7629" spans="14:14" x14ac:dyDescent="0.25">
      <c r="N7629" s="26"/>
    </row>
    <row r="7630" spans="14:14" x14ac:dyDescent="0.25">
      <c r="N7630" s="26"/>
    </row>
    <row r="7631" spans="14:14" x14ac:dyDescent="0.25">
      <c r="N7631" s="26"/>
    </row>
    <row r="7632" spans="14:14" x14ac:dyDescent="0.25">
      <c r="N7632" s="26"/>
    </row>
    <row r="7633" spans="14:14" x14ac:dyDescent="0.25">
      <c r="N7633" s="26"/>
    </row>
    <row r="7634" spans="14:14" x14ac:dyDescent="0.25">
      <c r="N7634" s="26"/>
    </row>
    <row r="7635" spans="14:14" x14ac:dyDescent="0.25">
      <c r="N7635" s="26"/>
    </row>
    <row r="7636" spans="14:14" x14ac:dyDescent="0.25">
      <c r="N7636" s="26"/>
    </row>
    <row r="7637" spans="14:14" x14ac:dyDescent="0.25">
      <c r="N7637" s="26"/>
    </row>
    <row r="7638" spans="14:14" x14ac:dyDescent="0.25">
      <c r="N7638" s="26"/>
    </row>
    <row r="7639" spans="14:14" x14ac:dyDescent="0.25">
      <c r="N7639" s="26"/>
    </row>
    <row r="7640" spans="14:14" x14ac:dyDescent="0.25">
      <c r="N7640" s="26"/>
    </row>
    <row r="7641" spans="14:14" x14ac:dyDescent="0.25">
      <c r="N7641" s="26"/>
    </row>
    <row r="7642" spans="14:14" x14ac:dyDescent="0.25">
      <c r="N7642" s="26"/>
    </row>
    <row r="7643" spans="14:14" x14ac:dyDescent="0.25">
      <c r="N7643" s="26"/>
    </row>
    <row r="7644" spans="14:14" x14ac:dyDescent="0.25">
      <c r="N7644" s="26"/>
    </row>
    <row r="7645" spans="14:14" x14ac:dyDescent="0.25">
      <c r="N7645" s="26"/>
    </row>
    <row r="7646" spans="14:14" x14ac:dyDescent="0.25">
      <c r="N7646" s="26"/>
    </row>
    <row r="7647" spans="14:14" x14ac:dyDescent="0.25">
      <c r="N7647" s="26"/>
    </row>
    <row r="7648" spans="14:14" x14ac:dyDescent="0.25">
      <c r="N7648" s="26"/>
    </row>
    <row r="7649" spans="14:14" x14ac:dyDescent="0.25">
      <c r="N7649" s="26"/>
    </row>
    <row r="7650" spans="14:14" x14ac:dyDescent="0.25">
      <c r="N7650" s="26"/>
    </row>
    <row r="7651" spans="14:14" x14ac:dyDescent="0.25">
      <c r="N7651" s="26"/>
    </row>
    <row r="7652" spans="14:14" x14ac:dyDescent="0.25">
      <c r="N7652" s="26"/>
    </row>
    <row r="7653" spans="14:14" x14ac:dyDescent="0.25">
      <c r="N7653" s="26"/>
    </row>
    <row r="7654" spans="14:14" x14ac:dyDescent="0.25">
      <c r="N7654" s="26"/>
    </row>
    <row r="7655" spans="14:14" x14ac:dyDescent="0.25">
      <c r="N7655" s="26"/>
    </row>
    <row r="7656" spans="14:14" x14ac:dyDescent="0.25">
      <c r="N7656" s="26"/>
    </row>
    <row r="7657" spans="14:14" x14ac:dyDescent="0.25">
      <c r="N7657" s="26"/>
    </row>
    <row r="7658" spans="14:14" x14ac:dyDescent="0.25">
      <c r="N7658" s="26"/>
    </row>
    <row r="7659" spans="14:14" x14ac:dyDescent="0.25">
      <c r="N7659" s="26"/>
    </row>
    <row r="7660" spans="14:14" x14ac:dyDescent="0.25">
      <c r="N7660" s="26"/>
    </row>
    <row r="7661" spans="14:14" x14ac:dyDescent="0.25">
      <c r="N7661" s="26"/>
    </row>
    <row r="7662" spans="14:14" x14ac:dyDescent="0.25">
      <c r="N7662" s="26"/>
    </row>
    <row r="7663" spans="14:14" x14ac:dyDescent="0.25">
      <c r="N7663" s="26"/>
    </row>
    <row r="7664" spans="14:14" x14ac:dyDescent="0.25">
      <c r="N7664" s="26"/>
    </row>
    <row r="7665" spans="14:14" x14ac:dyDescent="0.25">
      <c r="N7665" s="26"/>
    </row>
    <row r="7666" spans="14:14" x14ac:dyDescent="0.25">
      <c r="N7666" s="26"/>
    </row>
    <row r="7667" spans="14:14" x14ac:dyDescent="0.25">
      <c r="N7667" s="26"/>
    </row>
    <row r="7668" spans="14:14" x14ac:dyDescent="0.25">
      <c r="N7668" s="26"/>
    </row>
    <row r="7669" spans="14:14" x14ac:dyDescent="0.25">
      <c r="N7669" s="26"/>
    </row>
    <row r="7670" spans="14:14" x14ac:dyDescent="0.25">
      <c r="N7670" s="26"/>
    </row>
    <row r="7671" spans="14:14" x14ac:dyDescent="0.25">
      <c r="N7671" s="26"/>
    </row>
    <row r="7672" spans="14:14" x14ac:dyDescent="0.25">
      <c r="N7672" s="26"/>
    </row>
    <row r="7673" spans="14:14" x14ac:dyDescent="0.25">
      <c r="N7673" s="26"/>
    </row>
    <row r="7674" spans="14:14" x14ac:dyDescent="0.25">
      <c r="N7674" s="26"/>
    </row>
    <row r="7675" spans="14:14" x14ac:dyDescent="0.25">
      <c r="N7675" s="26"/>
    </row>
    <row r="7676" spans="14:14" x14ac:dyDescent="0.25">
      <c r="N7676" s="26"/>
    </row>
    <row r="7677" spans="14:14" x14ac:dyDescent="0.25">
      <c r="N7677" s="26"/>
    </row>
    <row r="7678" spans="14:14" x14ac:dyDescent="0.25">
      <c r="N7678" s="26"/>
    </row>
    <row r="7679" spans="14:14" x14ac:dyDescent="0.25">
      <c r="N7679" s="26"/>
    </row>
    <row r="7680" spans="14:14" x14ac:dyDescent="0.25">
      <c r="N7680" s="26"/>
    </row>
    <row r="7681" spans="14:14" x14ac:dyDescent="0.25">
      <c r="N7681" s="26"/>
    </row>
    <row r="7682" spans="14:14" x14ac:dyDescent="0.25">
      <c r="N7682" s="26"/>
    </row>
    <row r="7683" spans="14:14" x14ac:dyDescent="0.25">
      <c r="N7683" s="26"/>
    </row>
    <row r="7684" spans="14:14" x14ac:dyDescent="0.25">
      <c r="N7684" s="26"/>
    </row>
    <row r="7685" spans="14:14" x14ac:dyDescent="0.25">
      <c r="N7685" s="26"/>
    </row>
    <row r="7686" spans="14:14" x14ac:dyDescent="0.25">
      <c r="N7686" s="26"/>
    </row>
    <row r="7687" spans="14:14" x14ac:dyDescent="0.25">
      <c r="N7687" s="26"/>
    </row>
    <row r="7688" spans="14:14" x14ac:dyDescent="0.25">
      <c r="N7688" s="26"/>
    </row>
    <row r="7689" spans="14:14" x14ac:dyDescent="0.25">
      <c r="N7689" s="26"/>
    </row>
    <row r="7690" spans="14:14" x14ac:dyDescent="0.25">
      <c r="N7690" s="26"/>
    </row>
    <row r="7691" spans="14:14" x14ac:dyDescent="0.25">
      <c r="N7691" s="26"/>
    </row>
    <row r="7692" spans="14:14" x14ac:dyDescent="0.25">
      <c r="N7692" s="26"/>
    </row>
    <row r="7693" spans="14:14" x14ac:dyDescent="0.25">
      <c r="N7693" s="26"/>
    </row>
    <row r="7694" spans="14:14" x14ac:dyDescent="0.25">
      <c r="N7694" s="26"/>
    </row>
    <row r="7695" spans="14:14" x14ac:dyDescent="0.25">
      <c r="N7695" s="26"/>
    </row>
    <row r="7696" spans="14:14" x14ac:dyDescent="0.25">
      <c r="N7696" s="26"/>
    </row>
    <row r="7697" spans="14:14" x14ac:dyDescent="0.25">
      <c r="N7697" s="26"/>
    </row>
    <row r="7698" spans="14:14" x14ac:dyDescent="0.25">
      <c r="N7698" s="26"/>
    </row>
    <row r="7699" spans="14:14" x14ac:dyDescent="0.25">
      <c r="N7699" s="26"/>
    </row>
    <row r="7700" spans="14:14" x14ac:dyDescent="0.25">
      <c r="N7700" s="26"/>
    </row>
    <row r="7701" spans="14:14" x14ac:dyDescent="0.25">
      <c r="N7701" s="26"/>
    </row>
    <row r="7702" spans="14:14" x14ac:dyDescent="0.25">
      <c r="N7702" s="26"/>
    </row>
    <row r="7703" spans="14:14" x14ac:dyDescent="0.25">
      <c r="N7703" s="26"/>
    </row>
    <row r="7704" spans="14:14" x14ac:dyDescent="0.25">
      <c r="N7704" s="26"/>
    </row>
    <row r="7705" spans="14:14" x14ac:dyDescent="0.25">
      <c r="N7705" s="26"/>
    </row>
    <row r="7706" spans="14:14" x14ac:dyDescent="0.25">
      <c r="N7706" s="26"/>
    </row>
    <row r="7707" spans="14:14" x14ac:dyDescent="0.25">
      <c r="N7707" s="26"/>
    </row>
    <row r="7708" spans="14:14" x14ac:dyDescent="0.25">
      <c r="N7708" s="26"/>
    </row>
    <row r="7709" spans="14:14" x14ac:dyDescent="0.25">
      <c r="N7709" s="26"/>
    </row>
    <row r="7710" spans="14:14" x14ac:dyDescent="0.25">
      <c r="N7710" s="26"/>
    </row>
    <row r="7711" spans="14:14" x14ac:dyDescent="0.25">
      <c r="N7711" s="26"/>
    </row>
    <row r="7712" spans="14:14" x14ac:dyDescent="0.25">
      <c r="N7712" s="26"/>
    </row>
    <row r="7713" spans="14:14" x14ac:dyDescent="0.25">
      <c r="N7713" s="26"/>
    </row>
    <row r="7714" spans="14:14" x14ac:dyDescent="0.25">
      <c r="N7714" s="26"/>
    </row>
    <row r="7715" spans="14:14" x14ac:dyDescent="0.25">
      <c r="N7715" s="26"/>
    </row>
    <row r="7716" spans="14:14" x14ac:dyDescent="0.25">
      <c r="N7716" s="26"/>
    </row>
    <row r="7717" spans="14:14" x14ac:dyDescent="0.25">
      <c r="N7717" s="26"/>
    </row>
    <row r="7718" spans="14:14" x14ac:dyDescent="0.25">
      <c r="N7718" s="26"/>
    </row>
    <row r="7719" spans="14:14" x14ac:dyDescent="0.25">
      <c r="N7719" s="26"/>
    </row>
    <row r="7720" spans="14:14" x14ac:dyDescent="0.25">
      <c r="N7720" s="26"/>
    </row>
    <row r="7721" spans="14:14" x14ac:dyDescent="0.25">
      <c r="N7721" s="26"/>
    </row>
    <row r="7722" spans="14:14" x14ac:dyDescent="0.25">
      <c r="N7722" s="26"/>
    </row>
    <row r="7723" spans="14:14" x14ac:dyDescent="0.25">
      <c r="N7723" s="26"/>
    </row>
    <row r="7724" spans="14:14" x14ac:dyDescent="0.25">
      <c r="N7724" s="26"/>
    </row>
    <row r="7725" spans="14:14" x14ac:dyDescent="0.25">
      <c r="N7725" s="26"/>
    </row>
    <row r="7726" spans="14:14" x14ac:dyDescent="0.25">
      <c r="N7726" s="26"/>
    </row>
    <row r="7727" spans="14:14" x14ac:dyDescent="0.25">
      <c r="N7727" s="26"/>
    </row>
    <row r="7728" spans="14:14" x14ac:dyDescent="0.25">
      <c r="N7728" s="26"/>
    </row>
    <row r="7729" spans="14:14" x14ac:dyDescent="0.25">
      <c r="N7729" s="26"/>
    </row>
    <row r="7730" spans="14:14" x14ac:dyDescent="0.25">
      <c r="N7730" s="26"/>
    </row>
    <row r="7731" spans="14:14" x14ac:dyDescent="0.25">
      <c r="N7731" s="26"/>
    </row>
    <row r="7732" spans="14:14" x14ac:dyDescent="0.25">
      <c r="N7732" s="26"/>
    </row>
    <row r="7733" spans="14:14" x14ac:dyDescent="0.25">
      <c r="N7733" s="26"/>
    </row>
    <row r="7734" spans="14:14" x14ac:dyDescent="0.25">
      <c r="N7734" s="26"/>
    </row>
    <row r="7735" spans="14:14" x14ac:dyDescent="0.25">
      <c r="N7735" s="26"/>
    </row>
    <row r="7736" spans="14:14" x14ac:dyDescent="0.25">
      <c r="N7736" s="26"/>
    </row>
    <row r="7737" spans="14:14" x14ac:dyDescent="0.25">
      <c r="N7737" s="26"/>
    </row>
    <row r="7738" spans="14:14" x14ac:dyDescent="0.25">
      <c r="N7738" s="26"/>
    </row>
    <row r="7739" spans="14:14" x14ac:dyDescent="0.25">
      <c r="N7739" s="26"/>
    </row>
    <row r="7740" spans="14:14" x14ac:dyDescent="0.25">
      <c r="N7740" s="26"/>
    </row>
    <row r="7741" spans="14:14" x14ac:dyDescent="0.25">
      <c r="N7741" s="26"/>
    </row>
    <row r="7742" spans="14:14" x14ac:dyDescent="0.25">
      <c r="N7742" s="26"/>
    </row>
    <row r="7743" spans="14:14" x14ac:dyDescent="0.25">
      <c r="N7743" s="26"/>
    </row>
    <row r="7744" spans="14:14" x14ac:dyDescent="0.25">
      <c r="N7744" s="26"/>
    </row>
    <row r="7745" spans="14:14" x14ac:dyDescent="0.25">
      <c r="N7745" s="26"/>
    </row>
    <row r="7746" spans="14:14" x14ac:dyDescent="0.25">
      <c r="N7746" s="26"/>
    </row>
    <row r="7747" spans="14:14" x14ac:dyDescent="0.25">
      <c r="N7747" s="26"/>
    </row>
    <row r="7748" spans="14:14" x14ac:dyDescent="0.25">
      <c r="N7748" s="26"/>
    </row>
    <row r="7749" spans="14:14" x14ac:dyDescent="0.25">
      <c r="N7749" s="26"/>
    </row>
    <row r="7750" spans="14:14" x14ac:dyDescent="0.25">
      <c r="N7750" s="26"/>
    </row>
    <row r="7751" spans="14:14" x14ac:dyDescent="0.25">
      <c r="N7751" s="26"/>
    </row>
    <row r="7752" spans="14:14" x14ac:dyDescent="0.25">
      <c r="N7752" s="26"/>
    </row>
    <row r="7753" spans="14:14" x14ac:dyDescent="0.25">
      <c r="N7753" s="26"/>
    </row>
    <row r="7754" spans="14:14" x14ac:dyDescent="0.25">
      <c r="N7754" s="26"/>
    </row>
    <row r="7755" spans="14:14" x14ac:dyDescent="0.25">
      <c r="N7755" s="26"/>
    </row>
    <row r="7756" spans="14:14" x14ac:dyDescent="0.25">
      <c r="N7756" s="26"/>
    </row>
    <row r="7757" spans="14:14" x14ac:dyDescent="0.25">
      <c r="N7757" s="26"/>
    </row>
    <row r="7758" spans="14:14" x14ac:dyDescent="0.25">
      <c r="N7758" s="26"/>
    </row>
    <row r="7759" spans="14:14" x14ac:dyDescent="0.25">
      <c r="N7759" s="26"/>
    </row>
    <row r="7760" spans="14:14" x14ac:dyDescent="0.25">
      <c r="N7760" s="26"/>
    </row>
    <row r="7761" spans="14:14" x14ac:dyDescent="0.25">
      <c r="N7761" s="26"/>
    </row>
    <row r="7762" spans="14:14" x14ac:dyDescent="0.25">
      <c r="N7762" s="26"/>
    </row>
    <row r="7763" spans="14:14" x14ac:dyDescent="0.25">
      <c r="N7763" s="26"/>
    </row>
    <row r="7764" spans="14:14" x14ac:dyDescent="0.25">
      <c r="N7764" s="26"/>
    </row>
    <row r="7765" spans="14:14" x14ac:dyDescent="0.25">
      <c r="N7765" s="26"/>
    </row>
    <row r="7766" spans="14:14" x14ac:dyDescent="0.25">
      <c r="N7766" s="26"/>
    </row>
    <row r="7767" spans="14:14" x14ac:dyDescent="0.25">
      <c r="N7767" s="26"/>
    </row>
    <row r="7768" spans="14:14" x14ac:dyDescent="0.25">
      <c r="N7768" s="26"/>
    </row>
    <row r="7769" spans="14:14" x14ac:dyDescent="0.25">
      <c r="N7769" s="26"/>
    </row>
    <row r="7770" spans="14:14" x14ac:dyDescent="0.25">
      <c r="N7770" s="26"/>
    </row>
    <row r="7771" spans="14:14" x14ac:dyDescent="0.25">
      <c r="N7771" s="26"/>
    </row>
    <row r="7772" spans="14:14" x14ac:dyDescent="0.25">
      <c r="N7772" s="26"/>
    </row>
    <row r="7773" spans="14:14" x14ac:dyDescent="0.25">
      <c r="N7773" s="26"/>
    </row>
    <row r="7774" spans="14:14" x14ac:dyDescent="0.25">
      <c r="N7774" s="26"/>
    </row>
    <row r="7775" spans="14:14" x14ac:dyDescent="0.25">
      <c r="N7775" s="26"/>
    </row>
    <row r="7776" spans="14:14" x14ac:dyDescent="0.25">
      <c r="N7776" s="26"/>
    </row>
    <row r="7777" spans="14:14" x14ac:dyDescent="0.25">
      <c r="N7777" s="26"/>
    </row>
    <row r="7778" spans="14:14" x14ac:dyDescent="0.25">
      <c r="N7778" s="26"/>
    </row>
    <row r="7779" spans="14:14" x14ac:dyDescent="0.25">
      <c r="N7779" s="26"/>
    </row>
    <row r="7780" spans="14:14" x14ac:dyDescent="0.25">
      <c r="N7780" s="26"/>
    </row>
    <row r="7781" spans="14:14" x14ac:dyDescent="0.25">
      <c r="N7781" s="26"/>
    </row>
    <row r="7782" spans="14:14" x14ac:dyDescent="0.25">
      <c r="N7782" s="26"/>
    </row>
    <row r="7783" spans="14:14" x14ac:dyDescent="0.25">
      <c r="N7783" s="26"/>
    </row>
    <row r="7784" spans="14:14" x14ac:dyDescent="0.25">
      <c r="N7784" s="26"/>
    </row>
    <row r="7785" spans="14:14" x14ac:dyDescent="0.25">
      <c r="N7785" s="26"/>
    </row>
    <row r="7786" spans="14:14" x14ac:dyDescent="0.25">
      <c r="N7786" s="26"/>
    </row>
    <row r="7787" spans="14:14" x14ac:dyDescent="0.25">
      <c r="N7787" s="26"/>
    </row>
    <row r="7788" spans="14:14" x14ac:dyDescent="0.25">
      <c r="N7788" s="26"/>
    </row>
    <row r="7789" spans="14:14" x14ac:dyDescent="0.25">
      <c r="N7789" s="26"/>
    </row>
    <row r="7790" spans="14:14" x14ac:dyDescent="0.25">
      <c r="N7790" s="26"/>
    </row>
    <row r="7791" spans="14:14" x14ac:dyDescent="0.25">
      <c r="N7791" s="26"/>
    </row>
    <row r="7792" spans="14:14" x14ac:dyDescent="0.25">
      <c r="N7792" s="26"/>
    </row>
    <row r="7793" spans="14:14" x14ac:dyDescent="0.25">
      <c r="N7793" s="26"/>
    </row>
    <row r="7794" spans="14:14" x14ac:dyDescent="0.25">
      <c r="N7794" s="26"/>
    </row>
    <row r="7795" spans="14:14" x14ac:dyDescent="0.25">
      <c r="N7795" s="26"/>
    </row>
    <row r="7796" spans="14:14" x14ac:dyDescent="0.25">
      <c r="N7796" s="26"/>
    </row>
    <row r="7797" spans="14:14" x14ac:dyDescent="0.25">
      <c r="N7797" s="26"/>
    </row>
    <row r="7798" spans="14:14" x14ac:dyDescent="0.25">
      <c r="N7798" s="26"/>
    </row>
    <row r="7799" spans="14:14" x14ac:dyDescent="0.25">
      <c r="N7799" s="26"/>
    </row>
    <row r="7800" spans="14:14" x14ac:dyDescent="0.25">
      <c r="N7800" s="26"/>
    </row>
    <row r="7801" spans="14:14" x14ac:dyDescent="0.25">
      <c r="N7801" s="26"/>
    </row>
    <row r="7802" spans="14:14" x14ac:dyDescent="0.25">
      <c r="N7802" s="26"/>
    </row>
    <row r="7803" spans="14:14" x14ac:dyDescent="0.25">
      <c r="N7803" s="26"/>
    </row>
    <row r="7804" spans="14:14" x14ac:dyDescent="0.25">
      <c r="N7804" s="26"/>
    </row>
    <row r="7805" spans="14:14" x14ac:dyDescent="0.25">
      <c r="N7805" s="26"/>
    </row>
    <row r="7806" spans="14:14" x14ac:dyDescent="0.25">
      <c r="N7806" s="26"/>
    </row>
    <row r="7807" spans="14:14" x14ac:dyDescent="0.25">
      <c r="N7807" s="26"/>
    </row>
    <row r="7808" spans="14:14" x14ac:dyDescent="0.25">
      <c r="N7808" s="26"/>
    </row>
    <row r="7809" spans="14:14" x14ac:dyDescent="0.25">
      <c r="N7809" s="26"/>
    </row>
    <row r="7810" spans="14:14" x14ac:dyDescent="0.25">
      <c r="N7810" s="26"/>
    </row>
    <row r="7811" spans="14:14" x14ac:dyDescent="0.25">
      <c r="N7811" s="26"/>
    </row>
    <row r="7812" spans="14:14" x14ac:dyDescent="0.25">
      <c r="N7812" s="26"/>
    </row>
    <row r="7813" spans="14:14" x14ac:dyDescent="0.25">
      <c r="N7813" s="26"/>
    </row>
    <row r="7814" spans="14:14" x14ac:dyDescent="0.25">
      <c r="N7814" s="26"/>
    </row>
    <row r="7815" spans="14:14" x14ac:dyDescent="0.25">
      <c r="N7815" s="26"/>
    </row>
    <row r="7816" spans="14:14" x14ac:dyDescent="0.25">
      <c r="N7816" s="26"/>
    </row>
    <row r="7817" spans="14:14" x14ac:dyDescent="0.25">
      <c r="N7817" s="26"/>
    </row>
    <row r="7818" spans="14:14" x14ac:dyDescent="0.25">
      <c r="N7818" s="26"/>
    </row>
    <row r="7819" spans="14:14" x14ac:dyDescent="0.25">
      <c r="N7819" s="26"/>
    </row>
    <row r="7820" spans="14:14" x14ac:dyDescent="0.25">
      <c r="N7820" s="26"/>
    </row>
    <row r="7821" spans="14:14" x14ac:dyDescent="0.25">
      <c r="N7821" s="26"/>
    </row>
    <row r="7822" spans="14:14" x14ac:dyDescent="0.25">
      <c r="N7822" s="26"/>
    </row>
    <row r="7823" spans="14:14" x14ac:dyDescent="0.25">
      <c r="N7823" s="26"/>
    </row>
    <row r="7824" spans="14:14" x14ac:dyDescent="0.25">
      <c r="N7824" s="26"/>
    </row>
    <row r="7825" spans="14:14" x14ac:dyDescent="0.25">
      <c r="N7825" s="26"/>
    </row>
    <row r="7826" spans="14:14" x14ac:dyDescent="0.25">
      <c r="N7826" s="26"/>
    </row>
    <row r="7827" spans="14:14" x14ac:dyDescent="0.25">
      <c r="N7827" s="26"/>
    </row>
    <row r="7828" spans="14:14" x14ac:dyDescent="0.25">
      <c r="N7828" s="26"/>
    </row>
    <row r="7829" spans="14:14" x14ac:dyDescent="0.25">
      <c r="N7829" s="26"/>
    </row>
    <row r="7830" spans="14:14" x14ac:dyDescent="0.25">
      <c r="N7830" s="26"/>
    </row>
    <row r="7831" spans="14:14" x14ac:dyDescent="0.25">
      <c r="N7831" s="26"/>
    </row>
    <row r="7832" spans="14:14" x14ac:dyDescent="0.25">
      <c r="N7832" s="26"/>
    </row>
    <row r="7833" spans="14:14" x14ac:dyDescent="0.25">
      <c r="N7833" s="26"/>
    </row>
    <row r="7834" spans="14:14" x14ac:dyDescent="0.25">
      <c r="N7834" s="26"/>
    </row>
    <row r="7835" spans="14:14" x14ac:dyDescent="0.25">
      <c r="N7835" s="26"/>
    </row>
    <row r="7836" spans="14:14" x14ac:dyDescent="0.25">
      <c r="N7836" s="26"/>
    </row>
    <row r="7837" spans="14:14" x14ac:dyDescent="0.25">
      <c r="N7837" s="26"/>
    </row>
    <row r="7838" spans="14:14" x14ac:dyDescent="0.25">
      <c r="N7838" s="26"/>
    </row>
    <row r="7839" spans="14:14" x14ac:dyDescent="0.25">
      <c r="N7839" s="26"/>
    </row>
    <row r="7840" spans="14:14" x14ac:dyDescent="0.25">
      <c r="N7840" s="26"/>
    </row>
    <row r="7841" spans="14:14" x14ac:dyDescent="0.25">
      <c r="N7841" s="26"/>
    </row>
    <row r="7842" spans="14:14" x14ac:dyDescent="0.25">
      <c r="N7842" s="26"/>
    </row>
    <row r="7843" spans="14:14" x14ac:dyDescent="0.25">
      <c r="N7843" s="26"/>
    </row>
    <row r="7844" spans="14:14" x14ac:dyDescent="0.25">
      <c r="N7844" s="26"/>
    </row>
    <row r="7845" spans="14:14" x14ac:dyDescent="0.25">
      <c r="N7845" s="26"/>
    </row>
    <row r="7846" spans="14:14" x14ac:dyDescent="0.25">
      <c r="N7846" s="26"/>
    </row>
    <row r="7847" spans="14:14" x14ac:dyDescent="0.25">
      <c r="N7847" s="26"/>
    </row>
    <row r="7848" spans="14:14" x14ac:dyDescent="0.25">
      <c r="N7848" s="26"/>
    </row>
    <row r="7849" spans="14:14" x14ac:dyDescent="0.25">
      <c r="N7849" s="26"/>
    </row>
    <row r="7850" spans="14:14" x14ac:dyDescent="0.25">
      <c r="N7850" s="26"/>
    </row>
    <row r="7851" spans="14:14" x14ac:dyDescent="0.25">
      <c r="N7851" s="26"/>
    </row>
    <row r="7852" spans="14:14" x14ac:dyDescent="0.25">
      <c r="N7852" s="26"/>
    </row>
    <row r="7853" spans="14:14" x14ac:dyDescent="0.25">
      <c r="N7853" s="26"/>
    </row>
    <row r="7854" spans="14:14" x14ac:dyDescent="0.25">
      <c r="N7854" s="26"/>
    </row>
    <row r="7855" spans="14:14" x14ac:dyDescent="0.25">
      <c r="N7855" s="26"/>
    </row>
    <row r="7856" spans="14:14" x14ac:dyDescent="0.25">
      <c r="N7856" s="26"/>
    </row>
    <row r="7857" spans="14:14" x14ac:dyDescent="0.25">
      <c r="N7857" s="26"/>
    </row>
    <row r="7858" spans="14:14" x14ac:dyDescent="0.25">
      <c r="N7858" s="26"/>
    </row>
    <row r="7859" spans="14:14" x14ac:dyDescent="0.25">
      <c r="N7859" s="26"/>
    </row>
    <row r="7860" spans="14:14" x14ac:dyDescent="0.25">
      <c r="N7860" s="26"/>
    </row>
    <row r="7861" spans="14:14" x14ac:dyDescent="0.25">
      <c r="N7861" s="26"/>
    </row>
    <row r="7862" spans="14:14" x14ac:dyDescent="0.25">
      <c r="N7862" s="26"/>
    </row>
    <row r="7863" spans="14:14" x14ac:dyDescent="0.25">
      <c r="N7863" s="26"/>
    </row>
    <row r="7864" spans="14:14" x14ac:dyDescent="0.25">
      <c r="N7864" s="26"/>
    </row>
    <row r="7865" spans="14:14" x14ac:dyDescent="0.25">
      <c r="N7865" s="26"/>
    </row>
    <row r="7866" spans="14:14" x14ac:dyDescent="0.25">
      <c r="N7866" s="26"/>
    </row>
    <row r="7867" spans="14:14" x14ac:dyDescent="0.25">
      <c r="N7867" s="26"/>
    </row>
    <row r="7868" spans="14:14" x14ac:dyDescent="0.25">
      <c r="N7868" s="26"/>
    </row>
    <row r="7869" spans="14:14" x14ac:dyDescent="0.25">
      <c r="N7869" s="26"/>
    </row>
    <row r="7870" spans="14:14" x14ac:dyDescent="0.25">
      <c r="N7870" s="26"/>
    </row>
    <row r="7871" spans="14:14" x14ac:dyDescent="0.25">
      <c r="N7871" s="26"/>
    </row>
    <row r="7872" spans="14:14" x14ac:dyDescent="0.25">
      <c r="N7872" s="26"/>
    </row>
    <row r="7873" spans="14:14" x14ac:dyDescent="0.25">
      <c r="N7873" s="26"/>
    </row>
    <row r="7874" spans="14:14" x14ac:dyDescent="0.25">
      <c r="N7874" s="26"/>
    </row>
    <row r="7875" spans="14:14" x14ac:dyDescent="0.25">
      <c r="N7875" s="26"/>
    </row>
    <row r="7876" spans="14:14" x14ac:dyDescent="0.25">
      <c r="N7876" s="26"/>
    </row>
    <row r="7877" spans="14:14" x14ac:dyDescent="0.25">
      <c r="N7877" s="26"/>
    </row>
    <row r="7878" spans="14:14" x14ac:dyDescent="0.25">
      <c r="N7878" s="26"/>
    </row>
    <row r="7879" spans="14:14" x14ac:dyDescent="0.25">
      <c r="N7879" s="26"/>
    </row>
    <row r="7880" spans="14:14" x14ac:dyDescent="0.25">
      <c r="N7880" s="26"/>
    </row>
    <row r="7881" spans="14:14" x14ac:dyDescent="0.25">
      <c r="N7881" s="26"/>
    </row>
    <row r="7882" spans="14:14" x14ac:dyDescent="0.25">
      <c r="N7882" s="26"/>
    </row>
    <row r="7883" spans="14:14" x14ac:dyDescent="0.25">
      <c r="N7883" s="26"/>
    </row>
    <row r="7884" spans="14:14" x14ac:dyDescent="0.25">
      <c r="N7884" s="26"/>
    </row>
    <row r="7885" spans="14:14" x14ac:dyDescent="0.25">
      <c r="N7885" s="26"/>
    </row>
    <row r="7886" spans="14:14" x14ac:dyDescent="0.25">
      <c r="N7886" s="26"/>
    </row>
    <row r="7887" spans="14:14" x14ac:dyDescent="0.25">
      <c r="N7887" s="26"/>
    </row>
    <row r="7888" spans="14:14" x14ac:dyDescent="0.25">
      <c r="N7888" s="26"/>
    </row>
    <row r="7889" spans="14:14" x14ac:dyDescent="0.25">
      <c r="N7889" s="26"/>
    </row>
    <row r="7890" spans="14:14" x14ac:dyDescent="0.25">
      <c r="N7890" s="26"/>
    </row>
    <row r="7891" spans="14:14" x14ac:dyDescent="0.25">
      <c r="N7891" s="26"/>
    </row>
    <row r="7892" spans="14:14" x14ac:dyDescent="0.25">
      <c r="N7892" s="26"/>
    </row>
    <row r="7893" spans="14:14" x14ac:dyDescent="0.25">
      <c r="N7893" s="26"/>
    </row>
    <row r="7894" spans="14:14" x14ac:dyDescent="0.25">
      <c r="N7894" s="26"/>
    </row>
    <row r="7895" spans="14:14" x14ac:dyDescent="0.25">
      <c r="N7895" s="26"/>
    </row>
    <row r="7896" spans="14:14" x14ac:dyDescent="0.25">
      <c r="N7896" s="26"/>
    </row>
    <row r="7897" spans="14:14" x14ac:dyDescent="0.25">
      <c r="N7897" s="26"/>
    </row>
    <row r="7898" spans="14:14" x14ac:dyDescent="0.25">
      <c r="N7898" s="26"/>
    </row>
    <row r="7899" spans="14:14" x14ac:dyDescent="0.25">
      <c r="N7899" s="26"/>
    </row>
    <row r="7900" spans="14:14" x14ac:dyDescent="0.25">
      <c r="N7900" s="26"/>
    </row>
    <row r="7901" spans="14:14" x14ac:dyDescent="0.25">
      <c r="N7901" s="26"/>
    </row>
    <row r="7902" spans="14:14" x14ac:dyDescent="0.25">
      <c r="N7902" s="26"/>
    </row>
    <row r="7903" spans="14:14" x14ac:dyDescent="0.25">
      <c r="N7903" s="26"/>
    </row>
    <row r="7904" spans="14:14" x14ac:dyDescent="0.25">
      <c r="N7904" s="26"/>
    </row>
    <row r="7905" spans="14:14" x14ac:dyDescent="0.25">
      <c r="N7905" s="26"/>
    </row>
    <row r="7906" spans="14:14" x14ac:dyDescent="0.25">
      <c r="N7906" s="26"/>
    </row>
    <row r="7907" spans="14:14" x14ac:dyDescent="0.25">
      <c r="N7907" s="26"/>
    </row>
    <row r="7908" spans="14:14" x14ac:dyDescent="0.25">
      <c r="N7908" s="26"/>
    </row>
    <row r="7909" spans="14:14" x14ac:dyDescent="0.25">
      <c r="N7909" s="26"/>
    </row>
    <row r="7910" spans="14:14" x14ac:dyDescent="0.25">
      <c r="N7910" s="26"/>
    </row>
    <row r="7911" spans="14:14" x14ac:dyDescent="0.25">
      <c r="N7911" s="26"/>
    </row>
    <row r="7912" spans="14:14" x14ac:dyDescent="0.25">
      <c r="N7912" s="26"/>
    </row>
    <row r="7913" spans="14:14" x14ac:dyDescent="0.25">
      <c r="N7913" s="26"/>
    </row>
    <row r="7914" spans="14:14" x14ac:dyDescent="0.25">
      <c r="N7914" s="26"/>
    </row>
    <row r="7915" spans="14:14" x14ac:dyDescent="0.25">
      <c r="N7915" s="26"/>
    </row>
    <row r="7916" spans="14:14" x14ac:dyDescent="0.25">
      <c r="N7916" s="26"/>
    </row>
    <row r="7917" spans="14:14" x14ac:dyDescent="0.25">
      <c r="N7917" s="26"/>
    </row>
    <row r="7918" spans="14:14" x14ac:dyDescent="0.25">
      <c r="N7918" s="26"/>
    </row>
    <row r="7919" spans="14:14" x14ac:dyDescent="0.25">
      <c r="N7919" s="26"/>
    </row>
    <row r="7920" spans="14:14" x14ac:dyDescent="0.25">
      <c r="N7920" s="26"/>
    </row>
    <row r="7921" spans="14:14" x14ac:dyDescent="0.25">
      <c r="N7921" s="26"/>
    </row>
    <row r="7922" spans="14:14" x14ac:dyDescent="0.25">
      <c r="N7922" s="26"/>
    </row>
    <row r="7923" spans="14:14" x14ac:dyDescent="0.25">
      <c r="N7923" s="26"/>
    </row>
    <row r="7924" spans="14:14" x14ac:dyDescent="0.25">
      <c r="N7924" s="26"/>
    </row>
    <row r="7925" spans="14:14" x14ac:dyDescent="0.25">
      <c r="N7925" s="26"/>
    </row>
    <row r="7926" spans="14:14" x14ac:dyDescent="0.25">
      <c r="N7926" s="26"/>
    </row>
    <row r="7927" spans="14:14" x14ac:dyDescent="0.25">
      <c r="N7927" s="26"/>
    </row>
    <row r="7928" spans="14:14" x14ac:dyDescent="0.25">
      <c r="N7928" s="26"/>
    </row>
    <row r="7929" spans="14:14" x14ac:dyDescent="0.25">
      <c r="N7929" s="26"/>
    </row>
    <row r="7930" spans="14:14" x14ac:dyDescent="0.25">
      <c r="N7930" s="26"/>
    </row>
    <row r="7931" spans="14:14" x14ac:dyDescent="0.25">
      <c r="N7931" s="26"/>
    </row>
    <row r="7932" spans="14:14" x14ac:dyDescent="0.25">
      <c r="N7932" s="26"/>
    </row>
    <row r="7933" spans="14:14" x14ac:dyDescent="0.25">
      <c r="N7933" s="26"/>
    </row>
    <row r="7934" spans="14:14" x14ac:dyDescent="0.25">
      <c r="N7934" s="26"/>
    </row>
    <row r="7935" spans="14:14" x14ac:dyDescent="0.25">
      <c r="N7935" s="26"/>
    </row>
    <row r="7936" spans="14:14" x14ac:dyDescent="0.25">
      <c r="N7936" s="26"/>
    </row>
    <row r="7937" spans="14:14" x14ac:dyDescent="0.25">
      <c r="N7937" s="26"/>
    </row>
    <row r="7938" spans="14:14" x14ac:dyDescent="0.25">
      <c r="N7938" s="26"/>
    </row>
    <row r="7939" spans="14:14" x14ac:dyDescent="0.25">
      <c r="N7939" s="26"/>
    </row>
    <row r="7940" spans="14:14" x14ac:dyDescent="0.25">
      <c r="N7940" s="26"/>
    </row>
    <row r="7941" spans="14:14" x14ac:dyDescent="0.25">
      <c r="N7941" s="26"/>
    </row>
    <row r="7942" spans="14:14" x14ac:dyDescent="0.25">
      <c r="N7942" s="26"/>
    </row>
    <row r="7943" spans="14:14" x14ac:dyDescent="0.25">
      <c r="N7943" s="26"/>
    </row>
    <row r="7944" spans="14:14" x14ac:dyDescent="0.25">
      <c r="N7944" s="26"/>
    </row>
    <row r="7945" spans="14:14" x14ac:dyDescent="0.25">
      <c r="N7945" s="26"/>
    </row>
    <row r="7946" spans="14:14" x14ac:dyDescent="0.25">
      <c r="N7946" s="26"/>
    </row>
    <row r="7947" spans="14:14" x14ac:dyDescent="0.25">
      <c r="N7947" s="26"/>
    </row>
    <row r="7948" spans="14:14" x14ac:dyDescent="0.25">
      <c r="N7948" s="26"/>
    </row>
    <row r="7949" spans="14:14" x14ac:dyDescent="0.25">
      <c r="N7949" s="26"/>
    </row>
    <row r="7950" spans="14:14" x14ac:dyDescent="0.25">
      <c r="N7950" s="26"/>
    </row>
    <row r="7951" spans="14:14" x14ac:dyDescent="0.25">
      <c r="N7951" s="26"/>
    </row>
    <row r="7952" spans="14:14" x14ac:dyDescent="0.25">
      <c r="N7952" s="26"/>
    </row>
    <row r="7953" spans="14:14" x14ac:dyDescent="0.25">
      <c r="N7953" s="26"/>
    </row>
    <row r="7954" spans="14:14" x14ac:dyDescent="0.25">
      <c r="N7954" s="26"/>
    </row>
    <row r="7955" spans="14:14" x14ac:dyDescent="0.25">
      <c r="N7955" s="26"/>
    </row>
    <row r="7956" spans="14:14" x14ac:dyDescent="0.25">
      <c r="N7956" s="26"/>
    </row>
    <row r="7957" spans="14:14" x14ac:dyDescent="0.25">
      <c r="N7957" s="26"/>
    </row>
    <row r="7958" spans="14:14" x14ac:dyDescent="0.25">
      <c r="N7958" s="26"/>
    </row>
    <row r="7959" spans="14:14" x14ac:dyDescent="0.25">
      <c r="N7959" s="26"/>
    </row>
    <row r="7960" spans="14:14" x14ac:dyDescent="0.25">
      <c r="N7960" s="26"/>
    </row>
    <row r="7961" spans="14:14" x14ac:dyDescent="0.25">
      <c r="N7961" s="26"/>
    </row>
    <row r="7962" spans="14:14" x14ac:dyDescent="0.25">
      <c r="N7962" s="26"/>
    </row>
    <row r="7963" spans="14:14" x14ac:dyDescent="0.25">
      <c r="N7963" s="26"/>
    </row>
    <row r="7964" spans="14:14" x14ac:dyDescent="0.25">
      <c r="N7964" s="26"/>
    </row>
    <row r="7965" spans="14:14" x14ac:dyDescent="0.25">
      <c r="N7965" s="26"/>
    </row>
    <row r="7966" spans="14:14" x14ac:dyDescent="0.25">
      <c r="N7966" s="26"/>
    </row>
    <row r="7967" spans="14:14" x14ac:dyDescent="0.25">
      <c r="N7967" s="26"/>
    </row>
    <row r="7968" spans="14:14" x14ac:dyDescent="0.25">
      <c r="N7968" s="26"/>
    </row>
    <row r="7969" spans="14:14" x14ac:dyDescent="0.25">
      <c r="N7969" s="26"/>
    </row>
    <row r="7970" spans="14:14" x14ac:dyDescent="0.25">
      <c r="N7970" s="26"/>
    </row>
    <row r="7971" spans="14:14" x14ac:dyDescent="0.25">
      <c r="N7971" s="26"/>
    </row>
    <row r="7972" spans="14:14" x14ac:dyDescent="0.25">
      <c r="N7972" s="26"/>
    </row>
    <row r="7973" spans="14:14" x14ac:dyDescent="0.25">
      <c r="N7973" s="26"/>
    </row>
    <row r="7974" spans="14:14" x14ac:dyDescent="0.25">
      <c r="N7974" s="26"/>
    </row>
    <row r="7975" spans="14:14" x14ac:dyDescent="0.25">
      <c r="N7975" s="26"/>
    </row>
    <row r="7976" spans="14:14" x14ac:dyDescent="0.25">
      <c r="N7976" s="26"/>
    </row>
    <row r="7977" spans="14:14" x14ac:dyDescent="0.25">
      <c r="N7977" s="26"/>
    </row>
    <row r="7978" spans="14:14" x14ac:dyDescent="0.25">
      <c r="N7978" s="26"/>
    </row>
    <row r="7979" spans="14:14" x14ac:dyDescent="0.25">
      <c r="N7979" s="26"/>
    </row>
    <row r="7980" spans="14:14" x14ac:dyDescent="0.25">
      <c r="N7980" s="26"/>
    </row>
    <row r="7981" spans="14:14" x14ac:dyDescent="0.25">
      <c r="N7981" s="26"/>
    </row>
    <row r="7982" spans="14:14" x14ac:dyDescent="0.25">
      <c r="N7982" s="26"/>
    </row>
    <row r="7983" spans="14:14" x14ac:dyDescent="0.25">
      <c r="N7983" s="26"/>
    </row>
    <row r="7984" spans="14:14" x14ac:dyDescent="0.25">
      <c r="N7984" s="26"/>
    </row>
    <row r="7985" spans="14:14" x14ac:dyDescent="0.25">
      <c r="N7985" s="26"/>
    </row>
    <row r="7986" spans="14:14" x14ac:dyDescent="0.25">
      <c r="N7986" s="26"/>
    </row>
    <row r="7987" spans="14:14" x14ac:dyDescent="0.25">
      <c r="N7987" s="26"/>
    </row>
    <row r="7988" spans="14:14" x14ac:dyDescent="0.25">
      <c r="N7988" s="26"/>
    </row>
    <row r="7989" spans="14:14" x14ac:dyDescent="0.25">
      <c r="N7989" s="26"/>
    </row>
    <row r="7990" spans="14:14" x14ac:dyDescent="0.25">
      <c r="N7990" s="26"/>
    </row>
    <row r="7991" spans="14:14" x14ac:dyDescent="0.25">
      <c r="N7991" s="26"/>
    </row>
    <row r="7992" spans="14:14" x14ac:dyDescent="0.25">
      <c r="N7992" s="26"/>
    </row>
    <row r="7993" spans="14:14" x14ac:dyDescent="0.25">
      <c r="N7993" s="26"/>
    </row>
    <row r="7994" spans="14:14" x14ac:dyDescent="0.25">
      <c r="N7994" s="26"/>
    </row>
    <row r="7995" spans="14:14" x14ac:dyDescent="0.25">
      <c r="N7995" s="26"/>
    </row>
    <row r="7996" spans="14:14" x14ac:dyDescent="0.25">
      <c r="N7996" s="26"/>
    </row>
    <row r="7997" spans="14:14" x14ac:dyDescent="0.25">
      <c r="N7997" s="26"/>
    </row>
    <row r="7998" spans="14:14" x14ac:dyDescent="0.25">
      <c r="N7998" s="26"/>
    </row>
    <row r="7999" spans="14:14" x14ac:dyDescent="0.25">
      <c r="N7999" s="26"/>
    </row>
    <row r="8000" spans="14:14" x14ac:dyDescent="0.25">
      <c r="N8000" s="26"/>
    </row>
    <row r="8001" spans="14:14" x14ac:dyDescent="0.25">
      <c r="N8001" s="26"/>
    </row>
    <row r="8002" spans="14:14" x14ac:dyDescent="0.25">
      <c r="N8002" s="26"/>
    </row>
    <row r="8003" spans="14:14" x14ac:dyDescent="0.25">
      <c r="N8003" s="26"/>
    </row>
    <row r="8004" spans="14:14" x14ac:dyDescent="0.25">
      <c r="N8004" s="26"/>
    </row>
    <row r="8005" spans="14:14" x14ac:dyDescent="0.25">
      <c r="N8005" s="26"/>
    </row>
    <row r="8006" spans="14:14" x14ac:dyDescent="0.25">
      <c r="N8006" s="26"/>
    </row>
    <row r="8007" spans="14:14" x14ac:dyDescent="0.25">
      <c r="N8007" s="26"/>
    </row>
    <row r="8008" spans="14:14" x14ac:dyDescent="0.25">
      <c r="N8008" s="26"/>
    </row>
    <row r="8009" spans="14:14" x14ac:dyDescent="0.25">
      <c r="N8009" s="26"/>
    </row>
    <row r="8010" spans="14:14" x14ac:dyDescent="0.25">
      <c r="N8010" s="26"/>
    </row>
    <row r="8011" spans="14:14" x14ac:dyDescent="0.25">
      <c r="N8011" s="26"/>
    </row>
    <row r="8012" spans="14:14" x14ac:dyDescent="0.25">
      <c r="N8012" s="26"/>
    </row>
    <row r="8013" spans="14:14" x14ac:dyDescent="0.25">
      <c r="N8013" s="26"/>
    </row>
    <row r="8014" spans="14:14" x14ac:dyDescent="0.25">
      <c r="N8014" s="26"/>
    </row>
    <row r="8015" spans="14:14" x14ac:dyDescent="0.25">
      <c r="N8015" s="26"/>
    </row>
    <row r="8016" spans="14:14" x14ac:dyDescent="0.25">
      <c r="N8016" s="26"/>
    </row>
    <row r="8017" spans="14:14" x14ac:dyDescent="0.25">
      <c r="N8017" s="26"/>
    </row>
    <row r="8018" spans="14:14" x14ac:dyDescent="0.25">
      <c r="N8018" s="26"/>
    </row>
    <row r="8019" spans="14:14" x14ac:dyDescent="0.25">
      <c r="N8019" s="26"/>
    </row>
    <row r="8020" spans="14:14" x14ac:dyDescent="0.25">
      <c r="N8020" s="26"/>
    </row>
    <row r="8021" spans="14:14" x14ac:dyDescent="0.25">
      <c r="N8021" s="26"/>
    </row>
    <row r="8022" spans="14:14" x14ac:dyDescent="0.25">
      <c r="N8022" s="26"/>
    </row>
    <row r="8023" spans="14:14" x14ac:dyDescent="0.25">
      <c r="N8023" s="26"/>
    </row>
    <row r="8024" spans="14:14" x14ac:dyDescent="0.25">
      <c r="N8024" s="26"/>
    </row>
    <row r="8025" spans="14:14" x14ac:dyDescent="0.25">
      <c r="N8025" s="26"/>
    </row>
    <row r="8026" spans="14:14" x14ac:dyDescent="0.25">
      <c r="N8026" s="26"/>
    </row>
    <row r="8027" spans="14:14" x14ac:dyDescent="0.25">
      <c r="N8027" s="26"/>
    </row>
    <row r="8028" spans="14:14" x14ac:dyDescent="0.25">
      <c r="N8028" s="26"/>
    </row>
    <row r="8029" spans="14:14" x14ac:dyDescent="0.25">
      <c r="N8029" s="26"/>
    </row>
    <row r="8030" spans="14:14" x14ac:dyDescent="0.25">
      <c r="N8030" s="26"/>
    </row>
    <row r="8031" spans="14:14" x14ac:dyDescent="0.25">
      <c r="N8031" s="26"/>
    </row>
    <row r="8032" spans="14:14" x14ac:dyDescent="0.25">
      <c r="N8032" s="26"/>
    </row>
    <row r="8033" spans="14:14" x14ac:dyDescent="0.25">
      <c r="N8033" s="26"/>
    </row>
    <row r="8034" spans="14:14" x14ac:dyDescent="0.25">
      <c r="N8034" s="26"/>
    </row>
    <row r="8035" spans="14:14" x14ac:dyDescent="0.25">
      <c r="N8035" s="26"/>
    </row>
    <row r="8036" spans="14:14" x14ac:dyDescent="0.25">
      <c r="N8036" s="26"/>
    </row>
    <row r="8037" spans="14:14" x14ac:dyDescent="0.25">
      <c r="N8037" s="26"/>
    </row>
    <row r="8038" spans="14:14" x14ac:dyDescent="0.25">
      <c r="N8038" s="26"/>
    </row>
    <row r="8039" spans="14:14" x14ac:dyDescent="0.25">
      <c r="N8039" s="26"/>
    </row>
    <row r="8040" spans="14:14" x14ac:dyDescent="0.25">
      <c r="N8040" s="26"/>
    </row>
    <row r="8041" spans="14:14" x14ac:dyDescent="0.25">
      <c r="N8041" s="26"/>
    </row>
    <row r="8042" spans="14:14" x14ac:dyDescent="0.25">
      <c r="N8042" s="26"/>
    </row>
    <row r="8043" spans="14:14" x14ac:dyDescent="0.25">
      <c r="N8043" s="26"/>
    </row>
    <row r="8044" spans="14:14" x14ac:dyDescent="0.25">
      <c r="N8044" s="26"/>
    </row>
    <row r="8045" spans="14:14" x14ac:dyDescent="0.25">
      <c r="N8045" s="26"/>
    </row>
    <row r="8046" spans="14:14" x14ac:dyDescent="0.25">
      <c r="N8046" s="26"/>
    </row>
    <row r="8047" spans="14:14" x14ac:dyDescent="0.25">
      <c r="N8047" s="26"/>
    </row>
    <row r="8048" spans="14:14" x14ac:dyDescent="0.25">
      <c r="N8048" s="26"/>
    </row>
    <row r="8049" spans="14:14" x14ac:dyDescent="0.25">
      <c r="N8049" s="26"/>
    </row>
    <row r="8050" spans="14:14" x14ac:dyDescent="0.25">
      <c r="N8050" s="26"/>
    </row>
    <row r="8051" spans="14:14" x14ac:dyDescent="0.25">
      <c r="N8051" s="26"/>
    </row>
    <row r="8052" spans="14:14" x14ac:dyDescent="0.25">
      <c r="N8052" s="26"/>
    </row>
    <row r="8053" spans="14:14" x14ac:dyDescent="0.25">
      <c r="N8053" s="26"/>
    </row>
    <row r="8054" spans="14:14" x14ac:dyDescent="0.25">
      <c r="N8054" s="26"/>
    </row>
    <row r="8055" spans="14:14" x14ac:dyDescent="0.25">
      <c r="N8055" s="26"/>
    </row>
    <row r="8056" spans="14:14" x14ac:dyDescent="0.25">
      <c r="N8056" s="26"/>
    </row>
    <row r="8057" spans="14:14" x14ac:dyDescent="0.25">
      <c r="N8057" s="26"/>
    </row>
    <row r="8058" spans="14:14" x14ac:dyDescent="0.25">
      <c r="N8058" s="26"/>
    </row>
    <row r="8059" spans="14:14" x14ac:dyDescent="0.25">
      <c r="N8059" s="26"/>
    </row>
    <row r="8060" spans="14:14" x14ac:dyDescent="0.25">
      <c r="N8060" s="26"/>
    </row>
    <row r="8061" spans="14:14" x14ac:dyDescent="0.25">
      <c r="N8061" s="26"/>
    </row>
    <row r="8062" spans="14:14" x14ac:dyDescent="0.25">
      <c r="N8062" s="26"/>
    </row>
    <row r="8063" spans="14:14" x14ac:dyDescent="0.25">
      <c r="N8063" s="26"/>
    </row>
    <row r="8064" spans="14:14" x14ac:dyDescent="0.25">
      <c r="N8064" s="26"/>
    </row>
    <row r="8065" spans="14:14" x14ac:dyDescent="0.25">
      <c r="N8065" s="26"/>
    </row>
    <row r="8066" spans="14:14" x14ac:dyDescent="0.25">
      <c r="N8066" s="26"/>
    </row>
    <row r="8067" spans="14:14" x14ac:dyDescent="0.25">
      <c r="N8067" s="26"/>
    </row>
    <row r="8068" spans="14:14" x14ac:dyDescent="0.25">
      <c r="N8068" s="26"/>
    </row>
    <row r="8069" spans="14:14" x14ac:dyDescent="0.25">
      <c r="N8069" s="26"/>
    </row>
    <row r="8070" spans="14:14" x14ac:dyDescent="0.25">
      <c r="N8070" s="26"/>
    </row>
    <row r="8071" spans="14:14" x14ac:dyDescent="0.25">
      <c r="N8071" s="26"/>
    </row>
    <row r="8072" spans="14:14" x14ac:dyDescent="0.25">
      <c r="N8072" s="26"/>
    </row>
    <row r="8073" spans="14:14" x14ac:dyDescent="0.25">
      <c r="N8073" s="26"/>
    </row>
    <row r="8074" spans="14:14" x14ac:dyDescent="0.25">
      <c r="N8074" s="26"/>
    </row>
    <row r="8075" spans="14:14" x14ac:dyDescent="0.25">
      <c r="N8075" s="26"/>
    </row>
    <row r="8076" spans="14:14" x14ac:dyDescent="0.25">
      <c r="N8076" s="26"/>
    </row>
    <row r="8077" spans="14:14" x14ac:dyDescent="0.25">
      <c r="N8077" s="26"/>
    </row>
    <row r="8078" spans="14:14" x14ac:dyDescent="0.25">
      <c r="N8078" s="26"/>
    </row>
    <row r="8079" spans="14:14" x14ac:dyDescent="0.25">
      <c r="N8079" s="26"/>
    </row>
    <row r="8080" spans="14:14" x14ac:dyDescent="0.25">
      <c r="N8080" s="26"/>
    </row>
    <row r="8081" spans="14:14" x14ac:dyDescent="0.25">
      <c r="N8081" s="26"/>
    </row>
    <row r="8082" spans="14:14" x14ac:dyDescent="0.25">
      <c r="N8082" s="26"/>
    </row>
    <row r="8083" spans="14:14" x14ac:dyDescent="0.25">
      <c r="N8083" s="26"/>
    </row>
    <row r="8084" spans="14:14" x14ac:dyDescent="0.25">
      <c r="N8084" s="26"/>
    </row>
    <row r="8085" spans="14:14" x14ac:dyDescent="0.25">
      <c r="N8085" s="26"/>
    </row>
    <row r="8086" spans="14:14" x14ac:dyDescent="0.25">
      <c r="N8086" s="26"/>
    </row>
    <row r="8087" spans="14:14" x14ac:dyDescent="0.25">
      <c r="N8087" s="26"/>
    </row>
    <row r="8088" spans="14:14" x14ac:dyDescent="0.25">
      <c r="N8088" s="26"/>
    </row>
    <row r="8089" spans="14:14" x14ac:dyDescent="0.25">
      <c r="N8089" s="26"/>
    </row>
    <row r="8090" spans="14:14" x14ac:dyDescent="0.25">
      <c r="N8090" s="26"/>
    </row>
    <row r="8091" spans="14:14" x14ac:dyDescent="0.25">
      <c r="N8091" s="26"/>
    </row>
    <row r="8092" spans="14:14" x14ac:dyDescent="0.25">
      <c r="N8092" s="26"/>
    </row>
    <row r="8093" spans="14:14" x14ac:dyDescent="0.25">
      <c r="N8093" s="26"/>
    </row>
    <row r="8094" spans="14:14" x14ac:dyDescent="0.25">
      <c r="N8094" s="26"/>
    </row>
    <row r="8095" spans="14:14" x14ac:dyDescent="0.25">
      <c r="N8095" s="26"/>
    </row>
    <row r="8096" spans="14:14" x14ac:dyDescent="0.25">
      <c r="N8096" s="26"/>
    </row>
    <row r="8097" spans="14:14" x14ac:dyDescent="0.25">
      <c r="N8097" s="26"/>
    </row>
    <row r="8098" spans="14:14" x14ac:dyDescent="0.25">
      <c r="N8098" s="26"/>
    </row>
    <row r="8099" spans="14:14" x14ac:dyDescent="0.25">
      <c r="N8099" s="26"/>
    </row>
    <row r="8100" spans="14:14" x14ac:dyDescent="0.25">
      <c r="N8100" s="26"/>
    </row>
    <row r="8101" spans="14:14" x14ac:dyDescent="0.25">
      <c r="N8101" s="26"/>
    </row>
    <row r="8102" spans="14:14" x14ac:dyDescent="0.25">
      <c r="N8102" s="26"/>
    </row>
    <row r="8103" spans="14:14" x14ac:dyDescent="0.25">
      <c r="N8103" s="26"/>
    </row>
    <row r="8104" spans="14:14" x14ac:dyDescent="0.25">
      <c r="N8104" s="26"/>
    </row>
    <row r="8105" spans="14:14" x14ac:dyDescent="0.25">
      <c r="N8105" s="26"/>
    </row>
    <row r="8106" spans="14:14" x14ac:dyDescent="0.25">
      <c r="N8106" s="26"/>
    </row>
    <row r="8107" spans="14:14" x14ac:dyDescent="0.25">
      <c r="N8107" s="26"/>
    </row>
    <row r="8108" spans="14:14" x14ac:dyDescent="0.25">
      <c r="N8108" s="26"/>
    </row>
    <row r="8109" spans="14:14" x14ac:dyDescent="0.25">
      <c r="N8109" s="26"/>
    </row>
    <row r="8110" spans="14:14" x14ac:dyDescent="0.25">
      <c r="N8110" s="26"/>
    </row>
    <row r="8111" spans="14:14" x14ac:dyDescent="0.25">
      <c r="N8111" s="26"/>
    </row>
    <row r="8112" spans="14:14" x14ac:dyDescent="0.25">
      <c r="N8112" s="26"/>
    </row>
    <row r="8113" spans="14:14" x14ac:dyDescent="0.25">
      <c r="N8113" s="26"/>
    </row>
    <row r="8114" spans="14:14" x14ac:dyDescent="0.25">
      <c r="N8114" s="26"/>
    </row>
    <row r="8115" spans="14:14" x14ac:dyDescent="0.25">
      <c r="N8115" s="26"/>
    </row>
    <row r="8116" spans="14:14" x14ac:dyDescent="0.25">
      <c r="N8116" s="26"/>
    </row>
    <row r="8117" spans="14:14" x14ac:dyDescent="0.25">
      <c r="N8117" s="26"/>
    </row>
    <row r="8118" spans="14:14" x14ac:dyDescent="0.25">
      <c r="N8118" s="26"/>
    </row>
    <row r="8119" spans="14:14" x14ac:dyDescent="0.25">
      <c r="N8119" s="26"/>
    </row>
    <row r="8120" spans="14:14" x14ac:dyDescent="0.25">
      <c r="N8120" s="26"/>
    </row>
    <row r="8121" spans="14:14" x14ac:dyDescent="0.25">
      <c r="N8121" s="26"/>
    </row>
    <row r="8122" spans="14:14" x14ac:dyDescent="0.25">
      <c r="N8122" s="26"/>
    </row>
    <row r="8123" spans="14:14" x14ac:dyDescent="0.25">
      <c r="N8123" s="26"/>
    </row>
    <row r="8124" spans="14:14" x14ac:dyDescent="0.25">
      <c r="N8124" s="26"/>
    </row>
    <row r="8125" spans="14:14" x14ac:dyDescent="0.25">
      <c r="N8125" s="26"/>
    </row>
    <row r="8126" spans="14:14" x14ac:dyDescent="0.25">
      <c r="N8126" s="26"/>
    </row>
    <row r="8127" spans="14:14" x14ac:dyDescent="0.25">
      <c r="N8127" s="26"/>
    </row>
    <row r="8128" spans="14:14" x14ac:dyDescent="0.25">
      <c r="N8128" s="26"/>
    </row>
    <row r="8129" spans="14:14" x14ac:dyDescent="0.25">
      <c r="N8129" s="26"/>
    </row>
    <row r="8130" spans="14:14" x14ac:dyDescent="0.25">
      <c r="N8130" s="26"/>
    </row>
    <row r="8131" spans="14:14" x14ac:dyDescent="0.25">
      <c r="N8131" s="26"/>
    </row>
    <row r="8132" spans="14:14" x14ac:dyDescent="0.25">
      <c r="N8132" s="26"/>
    </row>
    <row r="8133" spans="14:14" x14ac:dyDescent="0.25">
      <c r="N8133" s="26"/>
    </row>
    <row r="8134" spans="14:14" x14ac:dyDescent="0.25">
      <c r="N8134" s="26"/>
    </row>
    <row r="8135" spans="14:14" x14ac:dyDescent="0.25">
      <c r="N8135" s="26"/>
    </row>
    <row r="8136" spans="14:14" x14ac:dyDescent="0.25">
      <c r="N8136" s="26"/>
    </row>
    <row r="8137" spans="14:14" x14ac:dyDescent="0.25">
      <c r="N8137" s="26"/>
    </row>
    <row r="8138" spans="14:14" x14ac:dyDescent="0.25">
      <c r="N8138" s="26"/>
    </row>
    <row r="8139" spans="14:14" x14ac:dyDescent="0.25">
      <c r="N8139" s="26"/>
    </row>
    <row r="8140" spans="14:14" x14ac:dyDescent="0.25">
      <c r="N8140" s="26"/>
    </row>
    <row r="8141" spans="14:14" x14ac:dyDescent="0.25">
      <c r="N8141" s="26"/>
    </row>
    <row r="8142" spans="14:14" x14ac:dyDescent="0.25">
      <c r="N8142" s="26"/>
    </row>
    <row r="8143" spans="14:14" x14ac:dyDescent="0.25">
      <c r="N8143" s="26"/>
    </row>
    <row r="8144" spans="14:14" x14ac:dyDescent="0.25">
      <c r="N8144" s="26"/>
    </row>
    <row r="8145" spans="14:14" x14ac:dyDescent="0.25">
      <c r="N8145" s="26"/>
    </row>
    <row r="8146" spans="14:14" x14ac:dyDescent="0.25">
      <c r="N8146" s="26"/>
    </row>
    <row r="8147" spans="14:14" x14ac:dyDescent="0.25">
      <c r="N8147" s="26"/>
    </row>
    <row r="8148" spans="14:14" x14ac:dyDescent="0.25">
      <c r="N8148" s="26"/>
    </row>
    <row r="8149" spans="14:14" x14ac:dyDescent="0.25">
      <c r="N8149" s="26"/>
    </row>
    <row r="8150" spans="14:14" x14ac:dyDescent="0.25">
      <c r="N8150" s="26"/>
    </row>
    <row r="8151" spans="14:14" x14ac:dyDescent="0.25">
      <c r="N8151" s="26"/>
    </row>
    <row r="8152" spans="14:14" x14ac:dyDescent="0.25">
      <c r="N8152" s="26"/>
    </row>
    <row r="8153" spans="14:14" x14ac:dyDescent="0.25">
      <c r="N8153" s="26"/>
    </row>
    <row r="8154" spans="14:14" x14ac:dyDescent="0.25">
      <c r="N8154" s="26"/>
    </row>
    <row r="8155" spans="14:14" x14ac:dyDescent="0.25">
      <c r="N8155" s="26"/>
    </row>
    <row r="8156" spans="14:14" x14ac:dyDescent="0.25">
      <c r="N8156" s="26"/>
    </row>
    <row r="8157" spans="14:14" x14ac:dyDescent="0.25">
      <c r="N8157" s="26"/>
    </row>
    <row r="8158" spans="14:14" x14ac:dyDescent="0.25">
      <c r="N8158" s="26"/>
    </row>
    <row r="8159" spans="14:14" x14ac:dyDescent="0.25">
      <c r="N8159" s="26"/>
    </row>
    <row r="8160" spans="14:14" x14ac:dyDescent="0.25">
      <c r="N8160" s="26"/>
    </row>
    <row r="8161" spans="14:14" x14ac:dyDescent="0.25">
      <c r="N8161" s="26"/>
    </row>
    <row r="8162" spans="14:14" x14ac:dyDescent="0.25">
      <c r="N8162" s="26"/>
    </row>
    <row r="8163" spans="14:14" x14ac:dyDescent="0.25">
      <c r="N8163" s="26"/>
    </row>
    <row r="8164" spans="14:14" x14ac:dyDescent="0.25">
      <c r="N8164" s="26"/>
    </row>
    <row r="8165" spans="14:14" x14ac:dyDescent="0.25">
      <c r="N8165" s="26"/>
    </row>
    <row r="8166" spans="14:14" x14ac:dyDescent="0.25">
      <c r="N8166" s="26"/>
    </row>
    <row r="8167" spans="14:14" x14ac:dyDescent="0.25">
      <c r="N8167" s="26"/>
    </row>
    <row r="8168" spans="14:14" x14ac:dyDescent="0.25">
      <c r="N8168" s="26"/>
    </row>
    <row r="8169" spans="14:14" x14ac:dyDescent="0.25">
      <c r="N8169" s="26"/>
    </row>
    <row r="8170" spans="14:14" x14ac:dyDescent="0.25">
      <c r="N8170" s="26"/>
    </row>
    <row r="8171" spans="14:14" x14ac:dyDescent="0.25">
      <c r="N8171" s="26"/>
    </row>
    <row r="8172" spans="14:14" x14ac:dyDescent="0.25">
      <c r="N8172" s="26"/>
    </row>
    <row r="8173" spans="14:14" x14ac:dyDescent="0.25">
      <c r="N8173" s="26"/>
    </row>
    <row r="8174" spans="14:14" x14ac:dyDescent="0.25">
      <c r="N8174" s="26"/>
    </row>
    <row r="8175" spans="14:14" x14ac:dyDescent="0.25">
      <c r="N8175" s="26"/>
    </row>
    <row r="8176" spans="14:14" x14ac:dyDescent="0.25">
      <c r="N8176" s="26"/>
    </row>
    <row r="8177" spans="14:14" x14ac:dyDescent="0.25">
      <c r="N8177" s="26"/>
    </row>
    <row r="8178" spans="14:14" x14ac:dyDescent="0.25">
      <c r="N8178" s="26"/>
    </row>
    <row r="8179" spans="14:14" x14ac:dyDescent="0.25">
      <c r="N8179" s="26"/>
    </row>
    <row r="8180" spans="14:14" x14ac:dyDescent="0.25">
      <c r="N8180" s="26"/>
    </row>
    <row r="8181" spans="14:14" x14ac:dyDescent="0.25">
      <c r="N8181" s="26"/>
    </row>
    <row r="8182" spans="14:14" x14ac:dyDescent="0.25">
      <c r="N8182" s="26"/>
    </row>
    <row r="8183" spans="14:14" x14ac:dyDescent="0.25">
      <c r="N8183" s="26"/>
    </row>
    <row r="8184" spans="14:14" x14ac:dyDescent="0.25">
      <c r="N8184" s="26"/>
    </row>
    <row r="8185" spans="14:14" x14ac:dyDescent="0.25">
      <c r="N8185" s="26"/>
    </row>
    <row r="8186" spans="14:14" x14ac:dyDescent="0.25">
      <c r="N8186" s="26"/>
    </row>
    <row r="8187" spans="14:14" x14ac:dyDescent="0.25">
      <c r="N8187" s="26"/>
    </row>
    <row r="8188" spans="14:14" x14ac:dyDescent="0.25">
      <c r="N8188" s="26"/>
    </row>
    <row r="8189" spans="14:14" x14ac:dyDescent="0.25">
      <c r="N8189" s="26"/>
    </row>
    <row r="8190" spans="14:14" x14ac:dyDescent="0.25">
      <c r="N8190" s="26"/>
    </row>
    <row r="8191" spans="14:14" x14ac:dyDescent="0.25">
      <c r="N8191" s="26"/>
    </row>
    <row r="8192" spans="14:14" x14ac:dyDescent="0.25">
      <c r="N8192" s="26"/>
    </row>
    <row r="8193" spans="14:14" x14ac:dyDescent="0.25">
      <c r="N8193" s="26"/>
    </row>
    <row r="8194" spans="14:14" x14ac:dyDescent="0.25">
      <c r="N8194" s="26"/>
    </row>
    <row r="8195" spans="14:14" x14ac:dyDescent="0.25">
      <c r="N8195" s="26"/>
    </row>
    <row r="8196" spans="14:14" x14ac:dyDescent="0.25">
      <c r="N8196" s="26"/>
    </row>
    <row r="8197" spans="14:14" x14ac:dyDescent="0.25">
      <c r="N8197" s="26"/>
    </row>
    <row r="8198" spans="14:14" x14ac:dyDescent="0.25">
      <c r="N8198" s="26"/>
    </row>
    <row r="8199" spans="14:14" x14ac:dyDescent="0.25">
      <c r="N8199" s="26"/>
    </row>
    <row r="8200" spans="14:14" x14ac:dyDescent="0.25">
      <c r="N8200" s="26"/>
    </row>
    <row r="8201" spans="14:14" x14ac:dyDescent="0.25">
      <c r="N8201" s="26"/>
    </row>
    <row r="8202" spans="14:14" x14ac:dyDescent="0.25">
      <c r="N8202" s="26"/>
    </row>
    <row r="8203" spans="14:14" x14ac:dyDescent="0.25">
      <c r="N8203" s="26"/>
    </row>
    <row r="8204" spans="14:14" x14ac:dyDescent="0.25">
      <c r="N8204" s="26"/>
    </row>
    <row r="8205" spans="14:14" x14ac:dyDescent="0.25">
      <c r="N8205" s="26"/>
    </row>
    <row r="8206" spans="14:14" x14ac:dyDescent="0.25">
      <c r="N8206" s="26"/>
    </row>
    <row r="8207" spans="14:14" x14ac:dyDescent="0.25">
      <c r="N8207" s="26"/>
    </row>
    <row r="8208" spans="14:14" x14ac:dyDescent="0.25">
      <c r="N8208" s="26"/>
    </row>
    <row r="8209" spans="14:14" x14ac:dyDescent="0.25">
      <c r="N8209" s="26"/>
    </row>
    <row r="8210" spans="14:14" x14ac:dyDescent="0.25">
      <c r="N8210" s="26"/>
    </row>
    <row r="8211" spans="14:14" x14ac:dyDescent="0.25">
      <c r="N8211" s="26"/>
    </row>
    <row r="8212" spans="14:14" x14ac:dyDescent="0.25">
      <c r="N8212" s="26"/>
    </row>
    <row r="8213" spans="14:14" x14ac:dyDescent="0.25">
      <c r="N8213" s="26"/>
    </row>
    <row r="8214" spans="14:14" x14ac:dyDescent="0.25">
      <c r="N8214" s="26"/>
    </row>
    <row r="8215" spans="14:14" x14ac:dyDescent="0.25">
      <c r="N8215" s="26"/>
    </row>
    <row r="8216" spans="14:14" x14ac:dyDescent="0.25">
      <c r="N8216" s="26"/>
    </row>
    <row r="8217" spans="14:14" x14ac:dyDescent="0.25">
      <c r="N8217" s="26"/>
    </row>
    <row r="8218" spans="14:14" x14ac:dyDescent="0.25">
      <c r="N8218" s="26"/>
    </row>
    <row r="8219" spans="14:14" x14ac:dyDescent="0.25">
      <c r="N8219" s="26"/>
    </row>
    <row r="8220" spans="14:14" x14ac:dyDescent="0.25">
      <c r="N8220" s="26"/>
    </row>
    <row r="8221" spans="14:14" x14ac:dyDescent="0.25">
      <c r="N8221" s="26"/>
    </row>
    <row r="8222" spans="14:14" x14ac:dyDescent="0.25">
      <c r="N8222" s="26"/>
    </row>
    <row r="8223" spans="14:14" x14ac:dyDescent="0.25">
      <c r="N8223" s="26"/>
    </row>
    <row r="8224" spans="14:14" x14ac:dyDescent="0.25">
      <c r="N8224" s="26"/>
    </row>
    <row r="8225" spans="14:14" x14ac:dyDescent="0.25">
      <c r="N8225" s="26"/>
    </row>
    <row r="8226" spans="14:14" x14ac:dyDescent="0.25">
      <c r="N8226" s="26"/>
    </row>
    <row r="8227" spans="14:14" x14ac:dyDescent="0.25">
      <c r="N8227" s="26"/>
    </row>
    <row r="8228" spans="14:14" x14ac:dyDescent="0.25">
      <c r="N8228" s="26"/>
    </row>
    <row r="8229" spans="14:14" x14ac:dyDescent="0.25">
      <c r="N8229" s="26"/>
    </row>
    <row r="8230" spans="14:14" x14ac:dyDescent="0.25">
      <c r="N8230" s="26"/>
    </row>
    <row r="8231" spans="14:14" x14ac:dyDescent="0.25">
      <c r="N8231" s="26"/>
    </row>
    <row r="8232" spans="14:14" x14ac:dyDescent="0.25">
      <c r="N8232" s="26"/>
    </row>
    <row r="8233" spans="14:14" x14ac:dyDescent="0.25">
      <c r="N8233" s="26"/>
    </row>
    <row r="8234" spans="14:14" x14ac:dyDescent="0.25">
      <c r="N8234" s="26"/>
    </row>
    <row r="8235" spans="14:14" x14ac:dyDescent="0.25">
      <c r="N8235" s="26"/>
    </row>
    <row r="8236" spans="14:14" x14ac:dyDescent="0.25">
      <c r="N8236" s="26"/>
    </row>
    <row r="8237" spans="14:14" x14ac:dyDescent="0.25">
      <c r="N8237" s="26"/>
    </row>
    <row r="8238" spans="14:14" x14ac:dyDescent="0.25">
      <c r="N8238" s="26"/>
    </row>
    <row r="8239" spans="14:14" x14ac:dyDescent="0.25">
      <c r="N8239" s="26"/>
    </row>
    <row r="8240" spans="14:14" x14ac:dyDescent="0.25">
      <c r="N8240" s="26"/>
    </row>
    <row r="8241" spans="14:14" x14ac:dyDescent="0.25">
      <c r="N8241" s="26"/>
    </row>
    <row r="8242" spans="14:14" x14ac:dyDescent="0.25">
      <c r="N8242" s="26"/>
    </row>
    <row r="8243" spans="14:14" x14ac:dyDescent="0.25">
      <c r="N8243" s="26"/>
    </row>
    <row r="8244" spans="14:14" x14ac:dyDescent="0.25">
      <c r="N8244" s="26"/>
    </row>
    <row r="8245" spans="14:14" x14ac:dyDescent="0.25">
      <c r="N8245" s="26"/>
    </row>
    <row r="8246" spans="14:14" x14ac:dyDescent="0.25">
      <c r="N8246" s="26"/>
    </row>
    <row r="8247" spans="14:14" x14ac:dyDescent="0.25">
      <c r="N8247" s="26"/>
    </row>
    <row r="8248" spans="14:14" x14ac:dyDescent="0.25">
      <c r="N8248" s="26"/>
    </row>
    <row r="8249" spans="14:14" x14ac:dyDescent="0.25">
      <c r="N8249" s="26"/>
    </row>
    <row r="8250" spans="14:14" x14ac:dyDescent="0.25">
      <c r="N8250" s="26"/>
    </row>
    <row r="8251" spans="14:14" x14ac:dyDescent="0.25">
      <c r="N8251" s="26"/>
    </row>
    <row r="8252" spans="14:14" x14ac:dyDescent="0.25">
      <c r="N8252" s="26"/>
    </row>
    <row r="8253" spans="14:14" x14ac:dyDescent="0.25">
      <c r="N8253" s="26"/>
    </row>
    <row r="8254" spans="14:14" x14ac:dyDescent="0.25">
      <c r="N8254" s="26"/>
    </row>
    <row r="8255" spans="14:14" x14ac:dyDescent="0.25">
      <c r="N8255" s="26"/>
    </row>
    <row r="8256" spans="14:14" x14ac:dyDescent="0.25">
      <c r="N8256" s="26"/>
    </row>
    <row r="8257" spans="14:14" x14ac:dyDescent="0.25">
      <c r="N8257" s="26"/>
    </row>
    <row r="8258" spans="14:14" x14ac:dyDescent="0.25">
      <c r="N8258" s="26"/>
    </row>
    <row r="8259" spans="14:14" x14ac:dyDescent="0.25">
      <c r="N8259" s="26"/>
    </row>
    <row r="8260" spans="14:14" x14ac:dyDescent="0.25">
      <c r="N8260" s="26"/>
    </row>
    <row r="8261" spans="14:14" x14ac:dyDescent="0.25">
      <c r="N8261" s="26"/>
    </row>
    <row r="8262" spans="14:14" x14ac:dyDescent="0.25">
      <c r="N8262" s="26"/>
    </row>
    <row r="8263" spans="14:14" x14ac:dyDescent="0.25">
      <c r="N8263" s="26"/>
    </row>
    <row r="8264" spans="14:14" x14ac:dyDescent="0.25">
      <c r="N8264" s="26"/>
    </row>
    <row r="8265" spans="14:14" x14ac:dyDescent="0.25">
      <c r="N8265" s="26"/>
    </row>
    <row r="8266" spans="14:14" x14ac:dyDescent="0.25">
      <c r="N8266" s="26"/>
    </row>
    <row r="8267" spans="14:14" x14ac:dyDescent="0.25">
      <c r="N8267" s="26"/>
    </row>
    <row r="8268" spans="14:14" x14ac:dyDescent="0.25">
      <c r="N8268" s="26"/>
    </row>
    <row r="8269" spans="14:14" x14ac:dyDescent="0.25">
      <c r="N8269" s="26"/>
    </row>
    <row r="8270" spans="14:14" x14ac:dyDescent="0.25">
      <c r="N8270" s="26"/>
    </row>
    <row r="8271" spans="14:14" x14ac:dyDescent="0.25">
      <c r="N8271" s="26"/>
    </row>
    <row r="8272" spans="14:14" x14ac:dyDescent="0.25">
      <c r="N8272" s="26"/>
    </row>
    <row r="8273" spans="14:14" x14ac:dyDescent="0.25">
      <c r="N8273" s="26"/>
    </row>
    <row r="8274" spans="14:14" x14ac:dyDescent="0.25">
      <c r="N8274" s="26"/>
    </row>
    <row r="8275" spans="14:14" x14ac:dyDescent="0.25">
      <c r="N8275" s="26"/>
    </row>
    <row r="8276" spans="14:14" x14ac:dyDescent="0.25">
      <c r="N8276" s="26"/>
    </row>
    <row r="8277" spans="14:14" x14ac:dyDescent="0.25">
      <c r="N8277" s="26"/>
    </row>
    <row r="8278" spans="14:14" x14ac:dyDescent="0.25">
      <c r="N8278" s="26"/>
    </row>
    <row r="8279" spans="14:14" x14ac:dyDescent="0.25">
      <c r="N8279" s="26"/>
    </row>
    <row r="8280" spans="14:14" x14ac:dyDescent="0.25">
      <c r="N8280" s="26"/>
    </row>
    <row r="8281" spans="14:14" x14ac:dyDescent="0.25">
      <c r="N8281" s="26"/>
    </row>
    <row r="8282" spans="14:14" x14ac:dyDescent="0.25">
      <c r="N8282" s="26"/>
    </row>
    <row r="8283" spans="14:14" x14ac:dyDescent="0.25">
      <c r="N8283" s="26"/>
    </row>
    <row r="8284" spans="14:14" x14ac:dyDescent="0.25">
      <c r="N8284" s="26"/>
    </row>
    <row r="8285" spans="14:14" x14ac:dyDescent="0.25">
      <c r="N8285" s="26"/>
    </row>
    <row r="8286" spans="14:14" x14ac:dyDescent="0.25">
      <c r="N8286" s="26"/>
    </row>
    <row r="8287" spans="14:14" x14ac:dyDescent="0.25">
      <c r="N8287" s="26"/>
    </row>
    <row r="8288" spans="14:14" x14ac:dyDescent="0.25">
      <c r="N8288" s="26"/>
    </row>
    <row r="8289" spans="14:14" x14ac:dyDescent="0.25">
      <c r="N8289" s="26"/>
    </row>
    <row r="8290" spans="14:14" x14ac:dyDescent="0.25">
      <c r="N8290" s="26"/>
    </row>
    <row r="8291" spans="14:14" x14ac:dyDescent="0.25">
      <c r="N8291" s="26"/>
    </row>
    <row r="8292" spans="14:14" x14ac:dyDescent="0.25">
      <c r="N8292" s="26"/>
    </row>
    <row r="8293" spans="14:14" x14ac:dyDescent="0.25">
      <c r="N8293" s="26"/>
    </row>
    <row r="8294" spans="14:14" x14ac:dyDescent="0.25">
      <c r="N8294" s="26"/>
    </row>
    <row r="8295" spans="14:14" x14ac:dyDescent="0.25">
      <c r="N8295" s="26"/>
    </row>
    <row r="8296" spans="14:14" x14ac:dyDescent="0.25">
      <c r="N8296" s="26"/>
    </row>
    <row r="8297" spans="14:14" x14ac:dyDescent="0.25">
      <c r="N8297" s="26"/>
    </row>
    <row r="8298" spans="14:14" x14ac:dyDescent="0.25">
      <c r="N8298" s="26"/>
    </row>
    <row r="8299" spans="14:14" x14ac:dyDescent="0.25">
      <c r="N8299" s="26"/>
    </row>
    <row r="8300" spans="14:14" x14ac:dyDescent="0.25">
      <c r="N8300" s="26"/>
    </row>
    <row r="8301" spans="14:14" x14ac:dyDescent="0.25">
      <c r="N8301" s="26"/>
    </row>
    <row r="8302" spans="14:14" x14ac:dyDescent="0.25">
      <c r="N8302" s="26"/>
    </row>
    <row r="8303" spans="14:14" x14ac:dyDescent="0.25">
      <c r="N8303" s="26"/>
    </row>
    <row r="8304" spans="14:14" x14ac:dyDescent="0.25">
      <c r="N8304" s="26"/>
    </row>
    <row r="8305" spans="14:14" x14ac:dyDescent="0.25">
      <c r="N8305" s="26"/>
    </row>
    <row r="8306" spans="14:14" x14ac:dyDescent="0.25">
      <c r="N8306" s="26"/>
    </row>
    <row r="8307" spans="14:14" x14ac:dyDescent="0.25">
      <c r="N8307" s="26"/>
    </row>
    <row r="8308" spans="14:14" x14ac:dyDescent="0.25">
      <c r="N8308" s="26"/>
    </row>
    <row r="8309" spans="14:14" x14ac:dyDescent="0.25">
      <c r="N8309" s="26"/>
    </row>
    <row r="8310" spans="14:14" x14ac:dyDescent="0.25">
      <c r="N8310" s="26"/>
    </row>
    <row r="8311" spans="14:14" x14ac:dyDescent="0.25">
      <c r="N8311" s="26"/>
    </row>
    <row r="8312" spans="14:14" x14ac:dyDescent="0.25">
      <c r="N8312" s="26"/>
    </row>
    <row r="8313" spans="14:14" x14ac:dyDescent="0.25">
      <c r="N8313" s="26"/>
    </row>
    <row r="8314" spans="14:14" x14ac:dyDescent="0.25">
      <c r="N8314" s="26"/>
    </row>
    <row r="8315" spans="14:14" x14ac:dyDescent="0.25">
      <c r="N8315" s="26"/>
    </row>
    <row r="8316" spans="14:14" x14ac:dyDescent="0.25">
      <c r="N8316" s="26"/>
    </row>
    <row r="8317" spans="14:14" x14ac:dyDescent="0.25">
      <c r="N8317" s="26"/>
    </row>
    <row r="8318" spans="14:14" x14ac:dyDescent="0.25">
      <c r="N8318" s="26"/>
    </row>
    <row r="8319" spans="14:14" x14ac:dyDescent="0.25">
      <c r="N8319" s="26"/>
    </row>
    <row r="8320" spans="14:14" x14ac:dyDescent="0.25">
      <c r="N8320" s="26"/>
    </row>
    <row r="8321" spans="14:14" x14ac:dyDescent="0.25">
      <c r="N8321" s="26"/>
    </row>
    <row r="8322" spans="14:14" x14ac:dyDescent="0.25">
      <c r="N8322" s="26"/>
    </row>
    <row r="8323" spans="14:14" x14ac:dyDescent="0.25">
      <c r="N8323" s="26"/>
    </row>
    <row r="8324" spans="14:14" x14ac:dyDescent="0.25">
      <c r="N8324" s="26"/>
    </row>
    <row r="8325" spans="14:14" x14ac:dyDescent="0.25">
      <c r="N8325" s="26"/>
    </row>
    <row r="8326" spans="14:14" x14ac:dyDescent="0.25">
      <c r="N8326" s="26"/>
    </row>
    <row r="8327" spans="14:14" x14ac:dyDescent="0.25">
      <c r="N8327" s="26"/>
    </row>
    <row r="8328" spans="14:14" x14ac:dyDescent="0.25">
      <c r="N8328" s="26"/>
    </row>
    <row r="8329" spans="14:14" x14ac:dyDescent="0.25">
      <c r="N8329" s="26"/>
    </row>
    <row r="8330" spans="14:14" x14ac:dyDescent="0.25">
      <c r="N8330" s="26"/>
    </row>
    <row r="8331" spans="14:14" x14ac:dyDescent="0.25">
      <c r="N8331" s="26"/>
    </row>
    <row r="8332" spans="14:14" x14ac:dyDescent="0.25">
      <c r="N8332" s="26"/>
    </row>
    <row r="8333" spans="14:14" x14ac:dyDescent="0.25">
      <c r="N8333" s="26"/>
    </row>
    <row r="8334" spans="14:14" x14ac:dyDescent="0.25">
      <c r="N8334" s="26"/>
    </row>
    <row r="8335" spans="14:14" x14ac:dyDescent="0.25">
      <c r="N8335" s="26"/>
    </row>
    <row r="8336" spans="14:14" x14ac:dyDescent="0.25">
      <c r="N8336" s="26"/>
    </row>
    <row r="8337" spans="14:14" x14ac:dyDescent="0.25">
      <c r="N8337" s="26"/>
    </row>
    <row r="8338" spans="14:14" x14ac:dyDescent="0.25">
      <c r="N8338" s="26"/>
    </row>
    <row r="8339" spans="14:14" x14ac:dyDescent="0.25">
      <c r="N8339" s="26"/>
    </row>
    <row r="8340" spans="14:14" x14ac:dyDescent="0.25">
      <c r="N8340" s="26"/>
    </row>
    <row r="8341" spans="14:14" x14ac:dyDescent="0.25">
      <c r="N8341" s="26"/>
    </row>
    <row r="8342" spans="14:14" x14ac:dyDescent="0.25">
      <c r="N8342" s="26"/>
    </row>
    <row r="8343" spans="14:14" x14ac:dyDescent="0.25">
      <c r="N8343" s="26"/>
    </row>
    <row r="8344" spans="14:14" x14ac:dyDescent="0.25">
      <c r="N8344" s="26"/>
    </row>
    <row r="8345" spans="14:14" x14ac:dyDescent="0.25">
      <c r="N8345" s="26"/>
    </row>
    <row r="8346" spans="14:14" x14ac:dyDescent="0.25">
      <c r="N8346" s="26"/>
    </row>
    <row r="8347" spans="14:14" x14ac:dyDescent="0.25">
      <c r="N8347" s="26"/>
    </row>
    <row r="8348" spans="14:14" x14ac:dyDescent="0.25">
      <c r="N8348" s="26"/>
    </row>
    <row r="8349" spans="14:14" x14ac:dyDescent="0.25">
      <c r="N8349" s="26"/>
    </row>
    <row r="8350" spans="14:14" x14ac:dyDescent="0.25">
      <c r="N8350" s="26"/>
    </row>
    <row r="8351" spans="14:14" x14ac:dyDescent="0.25">
      <c r="N8351" s="26"/>
    </row>
    <row r="8352" spans="14:14" x14ac:dyDescent="0.25">
      <c r="N8352" s="26"/>
    </row>
    <row r="8353" spans="14:14" x14ac:dyDescent="0.25">
      <c r="N8353" s="26"/>
    </row>
    <row r="8354" spans="14:14" x14ac:dyDescent="0.25">
      <c r="N8354" s="26"/>
    </row>
    <row r="8355" spans="14:14" x14ac:dyDescent="0.25">
      <c r="N8355" s="26"/>
    </row>
    <row r="8356" spans="14:14" x14ac:dyDescent="0.25">
      <c r="N8356" s="26"/>
    </row>
    <row r="8357" spans="14:14" x14ac:dyDescent="0.25">
      <c r="N8357" s="26"/>
    </row>
    <row r="8358" spans="14:14" x14ac:dyDescent="0.25">
      <c r="N8358" s="26"/>
    </row>
    <row r="8359" spans="14:14" x14ac:dyDescent="0.25">
      <c r="N8359" s="26"/>
    </row>
    <row r="8360" spans="14:14" x14ac:dyDescent="0.25">
      <c r="N8360" s="26"/>
    </row>
    <row r="8361" spans="14:14" x14ac:dyDescent="0.25">
      <c r="N8361" s="26"/>
    </row>
    <row r="8362" spans="14:14" x14ac:dyDescent="0.25">
      <c r="N8362" s="26"/>
    </row>
    <row r="8363" spans="14:14" x14ac:dyDescent="0.25">
      <c r="N8363" s="26"/>
    </row>
    <row r="8364" spans="14:14" x14ac:dyDescent="0.25">
      <c r="N8364" s="26"/>
    </row>
    <row r="8365" spans="14:14" x14ac:dyDescent="0.25">
      <c r="N8365" s="26"/>
    </row>
    <row r="8366" spans="14:14" x14ac:dyDescent="0.25">
      <c r="N8366" s="26"/>
    </row>
    <row r="8367" spans="14:14" x14ac:dyDescent="0.25">
      <c r="N8367" s="26"/>
    </row>
    <row r="8368" spans="14:14" x14ac:dyDescent="0.25">
      <c r="N8368" s="26"/>
    </row>
    <row r="8369" spans="14:14" x14ac:dyDescent="0.25">
      <c r="N8369" s="26"/>
    </row>
    <row r="8370" spans="14:14" x14ac:dyDescent="0.25">
      <c r="N8370" s="26"/>
    </row>
    <row r="8371" spans="14:14" x14ac:dyDescent="0.25">
      <c r="N8371" s="26"/>
    </row>
    <row r="8372" spans="14:14" x14ac:dyDescent="0.25">
      <c r="N8372" s="26"/>
    </row>
    <row r="8373" spans="14:14" x14ac:dyDescent="0.25">
      <c r="N8373" s="26"/>
    </row>
    <row r="8374" spans="14:14" x14ac:dyDescent="0.25">
      <c r="N8374" s="26"/>
    </row>
    <row r="8375" spans="14:14" x14ac:dyDescent="0.25">
      <c r="N8375" s="26"/>
    </row>
    <row r="8376" spans="14:14" x14ac:dyDescent="0.25">
      <c r="N8376" s="26"/>
    </row>
    <row r="8377" spans="14:14" x14ac:dyDescent="0.25">
      <c r="N8377" s="26"/>
    </row>
    <row r="8378" spans="14:14" x14ac:dyDescent="0.25">
      <c r="N8378" s="26"/>
    </row>
    <row r="8379" spans="14:14" x14ac:dyDescent="0.25">
      <c r="N8379" s="26"/>
    </row>
    <row r="8380" spans="14:14" x14ac:dyDescent="0.25">
      <c r="N8380" s="26"/>
    </row>
    <row r="8381" spans="14:14" x14ac:dyDescent="0.25">
      <c r="N8381" s="26"/>
    </row>
    <row r="8382" spans="14:14" x14ac:dyDescent="0.25">
      <c r="N8382" s="26"/>
    </row>
    <row r="8383" spans="14:14" x14ac:dyDescent="0.25">
      <c r="N8383" s="26"/>
    </row>
    <row r="8384" spans="14:14" x14ac:dyDescent="0.25">
      <c r="N8384" s="26"/>
    </row>
    <row r="8385" spans="14:14" x14ac:dyDescent="0.25">
      <c r="N8385" s="26"/>
    </row>
    <row r="8386" spans="14:14" x14ac:dyDescent="0.25">
      <c r="N8386" s="26"/>
    </row>
    <row r="8387" spans="14:14" x14ac:dyDescent="0.25">
      <c r="N8387" s="26"/>
    </row>
    <row r="8388" spans="14:14" x14ac:dyDescent="0.25">
      <c r="N8388" s="26"/>
    </row>
    <row r="8389" spans="14:14" x14ac:dyDescent="0.25">
      <c r="N8389" s="26"/>
    </row>
    <row r="8390" spans="14:14" x14ac:dyDescent="0.25">
      <c r="N8390" s="26"/>
    </row>
    <row r="8391" spans="14:14" x14ac:dyDescent="0.25">
      <c r="N8391" s="26"/>
    </row>
    <row r="8392" spans="14:14" x14ac:dyDescent="0.25">
      <c r="N8392" s="26"/>
    </row>
    <row r="8393" spans="14:14" x14ac:dyDescent="0.25">
      <c r="N8393" s="26"/>
    </row>
    <row r="8394" spans="14:14" x14ac:dyDescent="0.25">
      <c r="N8394" s="26"/>
    </row>
    <row r="8395" spans="14:14" x14ac:dyDescent="0.25">
      <c r="N8395" s="26"/>
    </row>
    <row r="8396" spans="14:14" x14ac:dyDescent="0.25">
      <c r="N8396" s="26"/>
    </row>
    <row r="8397" spans="14:14" x14ac:dyDescent="0.25">
      <c r="N8397" s="26"/>
    </row>
    <row r="8398" spans="14:14" x14ac:dyDescent="0.25">
      <c r="N8398" s="26"/>
    </row>
    <row r="8399" spans="14:14" x14ac:dyDescent="0.25">
      <c r="N8399" s="26"/>
    </row>
    <row r="8400" spans="14:14" x14ac:dyDescent="0.25">
      <c r="N8400" s="26"/>
    </row>
    <row r="8401" spans="14:14" x14ac:dyDescent="0.25">
      <c r="N8401" s="26"/>
    </row>
    <row r="8402" spans="14:14" x14ac:dyDescent="0.25">
      <c r="N8402" s="26"/>
    </row>
    <row r="8403" spans="14:14" x14ac:dyDescent="0.25">
      <c r="N8403" s="26"/>
    </row>
    <row r="8404" spans="14:14" x14ac:dyDescent="0.25">
      <c r="N8404" s="26"/>
    </row>
    <row r="8405" spans="14:14" x14ac:dyDescent="0.25">
      <c r="N8405" s="26"/>
    </row>
    <row r="8406" spans="14:14" x14ac:dyDescent="0.25">
      <c r="N8406" s="26"/>
    </row>
    <row r="8407" spans="14:14" x14ac:dyDescent="0.25">
      <c r="N8407" s="26"/>
    </row>
    <row r="8408" spans="14:14" x14ac:dyDescent="0.25">
      <c r="N8408" s="26"/>
    </row>
    <row r="8409" spans="14:14" x14ac:dyDescent="0.25">
      <c r="N8409" s="26"/>
    </row>
    <row r="8410" spans="14:14" x14ac:dyDescent="0.25">
      <c r="N8410" s="26"/>
    </row>
    <row r="8411" spans="14:14" x14ac:dyDescent="0.25">
      <c r="N8411" s="26"/>
    </row>
    <row r="8412" spans="14:14" x14ac:dyDescent="0.25">
      <c r="N8412" s="26"/>
    </row>
    <row r="8413" spans="14:14" x14ac:dyDescent="0.25">
      <c r="N8413" s="26"/>
    </row>
    <row r="8414" spans="14:14" x14ac:dyDescent="0.25">
      <c r="N8414" s="26"/>
    </row>
    <row r="8415" spans="14:14" x14ac:dyDescent="0.25">
      <c r="N8415" s="26"/>
    </row>
    <row r="8416" spans="14:14" x14ac:dyDescent="0.25">
      <c r="N8416" s="26"/>
    </row>
    <row r="8417" spans="14:14" x14ac:dyDescent="0.25">
      <c r="N8417" s="26"/>
    </row>
    <row r="8418" spans="14:14" x14ac:dyDescent="0.25">
      <c r="N8418" s="26"/>
    </row>
    <row r="8419" spans="14:14" x14ac:dyDescent="0.25">
      <c r="N8419" s="26"/>
    </row>
    <row r="8420" spans="14:14" x14ac:dyDescent="0.25">
      <c r="N8420" s="26"/>
    </row>
    <row r="8421" spans="14:14" x14ac:dyDescent="0.25">
      <c r="N8421" s="26"/>
    </row>
    <row r="8422" spans="14:14" x14ac:dyDescent="0.25">
      <c r="N8422" s="26"/>
    </row>
    <row r="8423" spans="14:14" x14ac:dyDescent="0.25">
      <c r="N8423" s="26"/>
    </row>
    <row r="8424" spans="14:14" x14ac:dyDescent="0.25">
      <c r="N8424" s="26"/>
    </row>
    <row r="8425" spans="14:14" x14ac:dyDescent="0.25">
      <c r="N8425" s="26"/>
    </row>
    <row r="8426" spans="14:14" x14ac:dyDescent="0.25">
      <c r="N8426" s="26"/>
    </row>
    <row r="8427" spans="14:14" x14ac:dyDescent="0.25">
      <c r="N8427" s="26"/>
    </row>
    <row r="8428" spans="14:14" x14ac:dyDescent="0.25">
      <c r="N8428" s="26"/>
    </row>
    <row r="8429" spans="14:14" x14ac:dyDescent="0.25">
      <c r="N8429" s="26"/>
    </row>
    <row r="8430" spans="14:14" x14ac:dyDescent="0.25">
      <c r="N8430" s="26"/>
    </row>
    <row r="8431" spans="14:14" x14ac:dyDescent="0.25">
      <c r="N8431" s="26"/>
    </row>
    <row r="8432" spans="14:14" x14ac:dyDescent="0.25">
      <c r="N8432" s="26"/>
    </row>
    <row r="8433" spans="14:14" x14ac:dyDescent="0.25">
      <c r="N8433" s="26"/>
    </row>
    <row r="8434" spans="14:14" x14ac:dyDescent="0.25">
      <c r="N8434" s="26"/>
    </row>
    <row r="8435" spans="14:14" x14ac:dyDescent="0.25">
      <c r="N8435" s="26"/>
    </row>
    <row r="8436" spans="14:14" x14ac:dyDescent="0.25">
      <c r="N8436" s="26"/>
    </row>
    <row r="8437" spans="14:14" x14ac:dyDescent="0.25">
      <c r="N8437" s="26"/>
    </row>
    <row r="8438" spans="14:14" x14ac:dyDescent="0.25">
      <c r="N8438" s="26"/>
    </row>
    <row r="8439" spans="14:14" x14ac:dyDescent="0.25">
      <c r="N8439" s="26"/>
    </row>
    <row r="8440" spans="14:14" x14ac:dyDescent="0.25">
      <c r="N8440" s="26"/>
    </row>
    <row r="8441" spans="14:14" x14ac:dyDescent="0.25">
      <c r="N8441" s="26"/>
    </row>
    <row r="8442" spans="14:14" x14ac:dyDescent="0.25">
      <c r="N8442" s="26"/>
    </row>
    <row r="8443" spans="14:14" x14ac:dyDescent="0.25">
      <c r="N8443" s="26"/>
    </row>
    <row r="8444" spans="14:14" x14ac:dyDescent="0.25">
      <c r="N8444" s="26"/>
    </row>
    <row r="8445" spans="14:14" x14ac:dyDescent="0.25">
      <c r="N8445" s="26"/>
    </row>
    <row r="8446" spans="14:14" x14ac:dyDescent="0.25">
      <c r="N8446" s="26"/>
    </row>
    <row r="8447" spans="14:14" x14ac:dyDescent="0.25">
      <c r="N8447" s="26"/>
    </row>
    <row r="8448" spans="14:14" x14ac:dyDescent="0.25">
      <c r="N8448" s="26"/>
    </row>
    <row r="8449" spans="14:14" x14ac:dyDescent="0.25">
      <c r="N8449" s="26"/>
    </row>
    <row r="8450" spans="14:14" x14ac:dyDescent="0.25">
      <c r="N8450" s="26"/>
    </row>
    <row r="8451" spans="14:14" x14ac:dyDescent="0.25">
      <c r="N8451" s="26"/>
    </row>
    <row r="8452" spans="14:14" x14ac:dyDescent="0.25">
      <c r="N8452" s="26"/>
    </row>
    <row r="8453" spans="14:14" x14ac:dyDescent="0.25">
      <c r="N8453" s="26"/>
    </row>
    <row r="8454" spans="14:14" x14ac:dyDescent="0.25">
      <c r="N8454" s="26"/>
    </row>
    <row r="8455" spans="14:14" x14ac:dyDescent="0.25">
      <c r="N8455" s="26"/>
    </row>
    <row r="8456" spans="14:14" x14ac:dyDescent="0.25">
      <c r="N8456" s="26"/>
    </row>
    <row r="8457" spans="14:14" x14ac:dyDescent="0.25">
      <c r="N8457" s="26"/>
    </row>
    <row r="8458" spans="14:14" x14ac:dyDescent="0.25">
      <c r="N8458" s="26"/>
    </row>
    <row r="8459" spans="14:14" x14ac:dyDescent="0.25">
      <c r="N8459" s="26"/>
    </row>
    <row r="8460" spans="14:14" x14ac:dyDescent="0.25">
      <c r="N8460" s="26"/>
    </row>
    <row r="8461" spans="14:14" x14ac:dyDescent="0.25">
      <c r="N8461" s="26"/>
    </row>
    <row r="8462" spans="14:14" x14ac:dyDescent="0.25">
      <c r="N8462" s="26"/>
    </row>
    <row r="8463" spans="14:14" x14ac:dyDescent="0.25">
      <c r="N8463" s="26"/>
    </row>
    <row r="8464" spans="14:14" x14ac:dyDescent="0.25">
      <c r="N8464" s="26"/>
    </row>
    <row r="8465" spans="14:14" x14ac:dyDescent="0.25">
      <c r="N8465" s="26"/>
    </row>
    <row r="8466" spans="14:14" x14ac:dyDescent="0.25">
      <c r="N8466" s="26"/>
    </row>
    <row r="8467" spans="14:14" x14ac:dyDescent="0.25">
      <c r="N8467" s="26"/>
    </row>
    <row r="8468" spans="14:14" x14ac:dyDescent="0.25">
      <c r="N8468" s="26"/>
    </row>
    <row r="8469" spans="14:14" x14ac:dyDescent="0.25">
      <c r="N8469" s="26"/>
    </row>
    <row r="8470" spans="14:14" x14ac:dyDescent="0.25">
      <c r="N8470" s="26"/>
    </row>
    <row r="8471" spans="14:14" x14ac:dyDescent="0.25">
      <c r="N8471" s="26"/>
    </row>
    <row r="8472" spans="14:14" x14ac:dyDescent="0.25">
      <c r="N8472" s="26"/>
    </row>
    <row r="8473" spans="14:14" x14ac:dyDescent="0.25">
      <c r="N8473" s="26"/>
    </row>
    <row r="8474" spans="14:14" x14ac:dyDescent="0.25">
      <c r="N8474" s="26"/>
    </row>
    <row r="8475" spans="14:14" x14ac:dyDescent="0.25">
      <c r="N8475" s="26"/>
    </row>
    <row r="8476" spans="14:14" x14ac:dyDescent="0.25">
      <c r="N8476" s="26"/>
    </row>
    <row r="8477" spans="14:14" x14ac:dyDescent="0.25">
      <c r="N8477" s="26"/>
    </row>
    <row r="8478" spans="14:14" x14ac:dyDescent="0.25">
      <c r="N8478" s="26"/>
    </row>
    <row r="8479" spans="14:14" x14ac:dyDescent="0.25">
      <c r="N8479" s="26"/>
    </row>
    <row r="8480" spans="14:14" x14ac:dyDescent="0.25">
      <c r="N8480" s="26"/>
    </row>
    <row r="8481" spans="14:14" x14ac:dyDescent="0.25">
      <c r="N8481" s="26"/>
    </row>
    <row r="8482" spans="14:14" x14ac:dyDescent="0.25">
      <c r="N8482" s="26"/>
    </row>
    <row r="8483" spans="14:14" x14ac:dyDescent="0.25">
      <c r="N8483" s="26"/>
    </row>
    <row r="8484" spans="14:14" x14ac:dyDescent="0.25">
      <c r="N8484" s="26"/>
    </row>
    <row r="8485" spans="14:14" x14ac:dyDescent="0.25">
      <c r="N8485" s="26"/>
    </row>
    <row r="8486" spans="14:14" x14ac:dyDescent="0.25">
      <c r="N8486" s="26"/>
    </row>
    <row r="8487" spans="14:14" x14ac:dyDescent="0.25">
      <c r="N8487" s="26"/>
    </row>
    <row r="8488" spans="14:14" x14ac:dyDescent="0.25">
      <c r="N8488" s="26"/>
    </row>
    <row r="8489" spans="14:14" x14ac:dyDescent="0.25">
      <c r="N8489" s="26"/>
    </row>
    <row r="8490" spans="14:14" x14ac:dyDescent="0.25">
      <c r="N8490" s="26"/>
    </row>
    <row r="8491" spans="14:14" x14ac:dyDescent="0.25">
      <c r="N8491" s="26"/>
    </row>
    <row r="8492" spans="14:14" x14ac:dyDescent="0.25">
      <c r="N8492" s="26"/>
    </row>
    <row r="8493" spans="14:14" x14ac:dyDescent="0.25">
      <c r="N8493" s="26"/>
    </row>
    <row r="8494" spans="14:14" x14ac:dyDescent="0.25">
      <c r="N8494" s="26"/>
    </row>
    <row r="8495" spans="14:14" x14ac:dyDescent="0.25">
      <c r="N8495" s="26"/>
    </row>
    <row r="8496" spans="14:14" x14ac:dyDescent="0.25">
      <c r="N8496" s="26"/>
    </row>
    <row r="8497" spans="14:14" x14ac:dyDescent="0.25">
      <c r="N8497" s="26"/>
    </row>
    <row r="8498" spans="14:14" x14ac:dyDescent="0.25">
      <c r="N8498" s="26"/>
    </row>
    <row r="8499" spans="14:14" x14ac:dyDescent="0.25">
      <c r="N8499" s="26"/>
    </row>
    <row r="8500" spans="14:14" x14ac:dyDescent="0.25">
      <c r="N8500" s="26"/>
    </row>
    <row r="8501" spans="14:14" x14ac:dyDescent="0.25">
      <c r="N8501" s="26"/>
    </row>
    <row r="8502" spans="14:14" x14ac:dyDescent="0.25">
      <c r="N8502" s="26"/>
    </row>
    <row r="8503" spans="14:14" x14ac:dyDescent="0.25">
      <c r="N8503" s="26"/>
    </row>
    <row r="8504" spans="14:14" x14ac:dyDescent="0.25">
      <c r="N8504" s="26"/>
    </row>
    <row r="8505" spans="14:14" x14ac:dyDescent="0.25">
      <c r="N8505" s="26"/>
    </row>
    <row r="8506" spans="14:14" x14ac:dyDescent="0.25">
      <c r="N8506" s="26"/>
    </row>
    <row r="8507" spans="14:14" x14ac:dyDescent="0.25">
      <c r="N8507" s="26"/>
    </row>
    <row r="8508" spans="14:14" x14ac:dyDescent="0.25">
      <c r="N8508" s="26"/>
    </row>
    <row r="8509" spans="14:14" x14ac:dyDescent="0.25">
      <c r="N8509" s="26"/>
    </row>
    <row r="8510" spans="14:14" x14ac:dyDescent="0.25">
      <c r="N8510" s="26"/>
    </row>
    <row r="8511" spans="14:14" x14ac:dyDescent="0.25">
      <c r="N8511" s="26"/>
    </row>
    <row r="8512" spans="14:14" x14ac:dyDescent="0.25">
      <c r="N8512" s="26"/>
    </row>
    <row r="8513" spans="14:14" x14ac:dyDescent="0.25">
      <c r="N8513" s="26"/>
    </row>
    <row r="8514" spans="14:14" x14ac:dyDescent="0.25">
      <c r="N8514" s="26"/>
    </row>
    <row r="8515" spans="14:14" x14ac:dyDescent="0.25">
      <c r="N8515" s="26"/>
    </row>
    <row r="8516" spans="14:14" x14ac:dyDescent="0.25">
      <c r="N8516" s="26"/>
    </row>
    <row r="8517" spans="14:14" x14ac:dyDescent="0.25">
      <c r="N8517" s="26"/>
    </row>
    <row r="8518" spans="14:14" x14ac:dyDescent="0.25">
      <c r="N8518" s="26"/>
    </row>
    <row r="8519" spans="14:14" x14ac:dyDescent="0.25">
      <c r="N8519" s="26"/>
    </row>
    <row r="8520" spans="14:14" x14ac:dyDescent="0.25">
      <c r="N8520" s="26"/>
    </row>
    <row r="8521" spans="14:14" x14ac:dyDescent="0.25">
      <c r="N8521" s="26"/>
    </row>
    <row r="8522" spans="14:14" x14ac:dyDescent="0.25">
      <c r="N8522" s="26"/>
    </row>
    <row r="8523" spans="14:14" x14ac:dyDescent="0.25">
      <c r="N8523" s="26"/>
    </row>
    <row r="8524" spans="14:14" x14ac:dyDescent="0.25">
      <c r="N8524" s="26"/>
    </row>
    <row r="8525" spans="14:14" x14ac:dyDescent="0.25">
      <c r="N8525" s="26"/>
    </row>
    <row r="8526" spans="14:14" x14ac:dyDescent="0.25">
      <c r="N8526" s="26"/>
    </row>
    <row r="8527" spans="14:14" x14ac:dyDescent="0.25">
      <c r="N8527" s="26"/>
    </row>
    <row r="8528" spans="14:14" x14ac:dyDescent="0.25">
      <c r="N8528" s="26"/>
    </row>
    <row r="8529" spans="14:14" x14ac:dyDescent="0.25">
      <c r="N8529" s="26"/>
    </row>
    <row r="8530" spans="14:14" x14ac:dyDescent="0.25">
      <c r="N8530" s="26"/>
    </row>
    <row r="8531" spans="14:14" x14ac:dyDescent="0.25">
      <c r="N8531" s="26"/>
    </row>
    <row r="8532" spans="14:14" x14ac:dyDescent="0.25">
      <c r="N8532" s="26"/>
    </row>
    <row r="8533" spans="14:14" x14ac:dyDescent="0.25">
      <c r="N8533" s="26"/>
    </row>
    <row r="8534" spans="14:14" x14ac:dyDescent="0.25">
      <c r="N8534" s="26"/>
    </row>
    <row r="8535" spans="14:14" x14ac:dyDescent="0.25">
      <c r="N8535" s="26"/>
    </row>
    <row r="8536" spans="14:14" x14ac:dyDescent="0.25">
      <c r="N8536" s="26"/>
    </row>
    <row r="8537" spans="14:14" x14ac:dyDescent="0.25">
      <c r="N8537" s="26"/>
    </row>
    <row r="8538" spans="14:14" x14ac:dyDescent="0.25">
      <c r="N8538" s="26"/>
    </row>
    <row r="8539" spans="14:14" x14ac:dyDescent="0.25">
      <c r="N8539" s="26"/>
    </row>
    <row r="8540" spans="14:14" x14ac:dyDescent="0.25">
      <c r="N8540" s="26"/>
    </row>
    <row r="8541" spans="14:14" x14ac:dyDescent="0.25">
      <c r="N8541" s="26"/>
    </row>
    <row r="8542" spans="14:14" x14ac:dyDescent="0.25">
      <c r="N8542" s="26"/>
    </row>
    <row r="8543" spans="14:14" x14ac:dyDescent="0.25">
      <c r="N8543" s="26"/>
    </row>
    <row r="8544" spans="14:14" x14ac:dyDescent="0.25">
      <c r="N8544" s="26"/>
    </row>
    <row r="8545" spans="14:14" x14ac:dyDescent="0.25">
      <c r="N8545" s="26"/>
    </row>
    <row r="8546" spans="14:14" x14ac:dyDescent="0.25">
      <c r="N8546" s="26"/>
    </row>
    <row r="8547" spans="14:14" x14ac:dyDescent="0.25">
      <c r="N8547" s="26"/>
    </row>
    <row r="8548" spans="14:14" x14ac:dyDescent="0.25">
      <c r="N8548" s="26"/>
    </row>
    <row r="8549" spans="14:14" x14ac:dyDescent="0.25">
      <c r="N8549" s="26"/>
    </row>
    <row r="8550" spans="14:14" x14ac:dyDescent="0.25">
      <c r="N8550" s="26"/>
    </row>
    <row r="8551" spans="14:14" x14ac:dyDescent="0.25">
      <c r="N8551" s="26"/>
    </row>
    <row r="8552" spans="14:14" x14ac:dyDescent="0.25">
      <c r="N8552" s="26"/>
    </row>
    <row r="8553" spans="14:14" x14ac:dyDescent="0.25">
      <c r="N8553" s="26"/>
    </row>
    <row r="8554" spans="14:14" x14ac:dyDescent="0.25">
      <c r="N8554" s="26"/>
    </row>
    <row r="8555" spans="14:14" x14ac:dyDescent="0.25">
      <c r="N8555" s="26"/>
    </row>
    <row r="8556" spans="14:14" x14ac:dyDescent="0.25">
      <c r="N8556" s="26"/>
    </row>
    <row r="8557" spans="14:14" x14ac:dyDescent="0.25">
      <c r="N8557" s="26"/>
    </row>
    <row r="8558" spans="14:14" x14ac:dyDescent="0.25">
      <c r="N8558" s="26"/>
    </row>
    <row r="8559" spans="14:14" x14ac:dyDescent="0.25">
      <c r="N8559" s="26"/>
    </row>
    <row r="8560" spans="14:14" x14ac:dyDescent="0.25">
      <c r="N8560" s="26"/>
    </row>
    <row r="8561" spans="14:14" x14ac:dyDescent="0.25">
      <c r="N8561" s="26"/>
    </row>
    <row r="8562" spans="14:14" x14ac:dyDescent="0.25">
      <c r="N8562" s="26"/>
    </row>
    <row r="8563" spans="14:14" x14ac:dyDescent="0.25">
      <c r="N8563" s="26"/>
    </row>
    <row r="8564" spans="14:14" x14ac:dyDescent="0.25">
      <c r="N8564" s="26"/>
    </row>
    <row r="8565" spans="14:14" x14ac:dyDescent="0.25">
      <c r="N8565" s="26"/>
    </row>
    <row r="8566" spans="14:14" x14ac:dyDescent="0.25">
      <c r="N8566" s="26"/>
    </row>
    <row r="8567" spans="14:14" x14ac:dyDescent="0.25">
      <c r="N8567" s="26"/>
    </row>
    <row r="8568" spans="14:14" x14ac:dyDescent="0.25">
      <c r="N8568" s="26"/>
    </row>
    <row r="8569" spans="14:14" x14ac:dyDescent="0.25">
      <c r="N8569" s="26"/>
    </row>
    <row r="8570" spans="14:14" x14ac:dyDescent="0.25">
      <c r="N8570" s="26"/>
    </row>
    <row r="8571" spans="14:14" x14ac:dyDescent="0.25">
      <c r="N8571" s="26"/>
    </row>
    <row r="8572" spans="14:14" x14ac:dyDescent="0.25">
      <c r="N8572" s="26"/>
    </row>
    <row r="8573" spans="14:14" x14ac:dyDescent="0.25">
      <c r="N8573" s="26"/>
    </row>
    <row r="8574" spans="14:14" x14ac:dyDescent="0.25">
      <c r="N8574" s="26"/>
    </row>
    <row r="8575" spans="14:14" x14ac:dyDescent="0.25">
      <c r="N8575" s="26"/>
    </row>
    <row r="8576" spans="14:14" x14ac:dyDescent="0.25">
      <c r="N8576" s="26"/>
    </row>
    <row r="8577" spans="14:14" x14ac:dyDescent="0.25">
      <c r="N8577" s="26"/>
    </row>
    <row r="8578" spans="14:14" x14ac:dyDescent="0.25">
      <c r="N8578" s="26"/>
    </row>
    <row r="8579" spans="14:14" x14ac:dyDescent="0.25">
      <c r="N8579" s="26"/>
    </row>
    <row r="8580" spans="14:14" x14ac:dyDescent="0.25">
      <c r="N8580" s="26"/>
    </row>
    <row r="8581" spans="14:14" x14ac:dyDescent="0.25">
      <c r="N8581" s="26"/>
    </row>
    <row r="8582" spans="14:14" x14ac:dyDescent="0.25">
      <c r="N8582" s="26"/>
    </row>
    <row r="8583" spans="14:14" x14ac:dyDescent="0.25">
      <c r="N8583" s="26"/>
    </row>
    <row r="8584" spans="14:14" x14ac:dyDescent="0.25">
      <c r="N8584" s="26"/>
    </row>
    <row r="8585" spans="14:14" x14ac:dyDescent="0.25">
      <c r="N8585" s="26"/>
    </row>
    <row r="8586" spans="14:14" x14ac:dyDescent="0.25">
      <c r="N8586" s="26"/>
    </row>
    <row r="8587" spans="14:14" x14ac:dyDescent="0.25">
      <c r="N8587" s="26"/>
    </row>
    <row r="8588" spans="14:14" x14ac:dyDescent="0.25">
      <c r="N8588" s="26"/>
    </row>
    <row r="8589" spans="14:14" x14ac:dyDescent="0.25">
      <c r="N8589" s="26"/>
    </row>
    <row r="8590" spans="14:14" x14ac:dyDescent="0.25">
      <c r="N8590" s="26"/>
    </row>
    <row r="8591" spans="14:14" x14ac:dyDescent="0.25">
      <c r="N8591" s="26"/>
    </row>
    <row r="8592" spans="14:14" x14ac:dyDescent="0.25">
      <c r="N8592" s="26"/>
    </row>
    <row r="8593" spans="14:14" x14ac:dyDescent="0.25">
      <c r="N8593" s="26"/>
    </row>
    <row r="8594" spans="14:14" x14ac:dyDescent="0.25">
      <c r="N8594" s="26"/>
    </row>
    <row r="8595" spans="14:14" x14ac:dyDescent="0.25">
      <c r="N8595" s="26"/>
    </row>
    <row r="8596" spans="14:14" x14ac:dyDescent="0.25">
      <c r="N8596" s="26"/>
    </row>
    <row r="8597" spans="14:14" x14ac:dyDescent="0.25">
      <c r="N8597" s="26"/>
    </row>
    <row r="8598" spans="14:14" x14ac:dyDescent="0.25">
      <c r="N8598" s="26"/>
    </row>
    <row r="8599" spans="14:14" x14ac:dyDescent="0.25">
      <c r="N8599" s="26"/>
    </row>
    <row r="8600" spans="14:14" x14ac:dyDescent="0.25">
      <c r="N8600" s="26"/>
    </row>
    <row r="8601" spans="14:14" x14ac:dyDescent="0.25">
      <c r="N8601" s="26"/>
    </row>
    <row r="8602" spans="14:14" x14ac:dyDescent="0.25">
      <c r="N8602" s="26"/>
    </row>
    <row r="8603" spans="14:14" x14ac:dyDescent="0.25">
      <c r="N8603" s="26"/>
    </row>
    <row r="8604" spans="14:14" x14ac:dyDescent="0.25">
      <c r="N8604" s="26"/>
    </row>
    <row r="8605" spans="14:14" x14ac:dyDescent="0.25">
      <c r="N8605" s="26"/>
    </row>
    <row r="8606" spans="14:14" x14ac:dyDescent="0.25">
      <c r="N8606" s="26"/>
    </row>
    <row r="8607" spans="14:14" x14ac:dyDescent="0.25">
      <c r="N8607" s="26"/>
    </row>
    <row r="8608" spans="14:14" x14ac:dyDescent="0.25">
      <c r="N8608" s="26"/>
    </row>
    <row r="8609" spans="14:14" x14ac:dyDescent="0.25">
      <c r="N8609" s="26"/>
    </row>
    <row r="8610" spans="14:14" x14ac:dyDescent="0.25">
      <c r="N8610" s="26"/>
    </row>
    <row r="8611" spans="14:14" x14ac:dyDescent="0.25">
      <c r="N8611" s="26"/>
    </row>
    <row r="8612" spans="14:14" x14ac:dyDescent="0.25">
      <c r="N8612" s="26"/>
    </row>
    <row r="8613" spans="14:14" x14ac:dyDescent="0.25">
      <c r="N8613" s="26"/>
    </row>
    <row r="8614" spans="14:14" x14ac:dyDescent="0.25">
      <c r="N8614" s="26"/>
    </row>
    <row r="8615" spans="14:14" x14ac:dyDescent="0.25">
      <c r="N8615" s="26"/>
    </row>
    <row r="8616" spans="14:14" x14ac:dyDescent="0.25">
      <c r="N8616" s="26"/>
    </row>
    <row r="8617" spans="14:14" x14ac:dyDescent="0.25">
      <c r="N8617" s="26"/>
    </row>
    <row r="8618" spans="14:14" x14ac:dyDescent="0.25">
      <c r="N8618" s="26"/>
    </row>
    <row r="8619" spans="14:14" x14ac:dyDescent="0.25">
      <c r="N8619" s="26"/>
    </row>
    <row r="8620" spans="14:14" x14ac:dyDescent="0.25">
      <c r="N8620" s="26"/>
    </row>
    <row r="8621" spans="14:14" x14ac:dyDescent="0.25">
      <c r="N8621" s="26"/>
    </row>
    <row r="8622" spans="14:14" x14ac:dyDescent="0.25">
      <c r="N8622" s="26"/>
    </row>
    <row r="8623" spans="14:14" x14ac:dyDescent="0.25">
      <c r="N8623" s="26"/>
    </row>
    <row r="8624" spans="14:14" x14ac:dyDescent="0.25">
      <c r="N8624" s="26"/>
    </row>
    <row r="8625" spans="14:14" x14ac:dyDescent="0.25">
      <c r="N8625" s="26"/>
    </row>
    <row r="8626" spans="14:14" x14ac:dyDescent="0.25">
      <c r="N8626" s="26"/>
    </row>
    <row r="8627" spans="14:14" x14ac:dyDescent="0.25">
      <c r="N8627" s="26"/>
    </row>
    <row r="8628" spans="14:14" x14ac:dyDescent="0.25">
      <c r="N8628" s="26"/>
    </row>
    <row r="8629" spans="14:14" x14ac:dyDescent="0.25">
      <c r="N8629" s="26"/>
    </row>
    <row r="8630" spans="14:14" x14ac:dyDescent="0.25">
      <c r="N8630" s="26"/>
    </row>
    <row r="8631" spans="14:14" x14ac:dyDescent="0.25">
      <c r="N8631" s="26"/>
    </row>
    <row r="8632" spans="14:14" x14ac:dyDescent="0.25">
      <c r="N8632" s="26"/>
    </row>
    <row r="8633" spans="14:14" x14ac:dyDescent="0.25">
      <c r="N8633" s="26"/>
    </row>
    <row r="8634" spans="14:14" x14ac:dyDescent="0.25">
      <c r="N8634" s="26"/>
    </row>
    <row r="8635" spans="14:14" x14ac:dyDescent="0.25">
      <c r="N8635" s="26"/>
    </row>
    <row r="8636" spans="14:14" x14ac:dyDescent="0.25">
      <c r="N8636" s="26"/>
    </row>
    <row r="8637" spans="14:14" x14ac:dyDescent="0.25">
      <c r="N8637" s="26"/>
    </row>
    <row r="8638" spans="14:14" x14ac:dyDescent="0.25">
      <c r="N8638" s="26"/>
    </row>
    <row r="8639" spans="14:14" x14ac:dyDescent="0.25">
      <c r="N8639" s="26"/>
    </row>
    <row r="8640" spans="14:14" x14ac:dyDescent="0.25">
      <c r="N8640" s="26"/>
    </row>
    <row r="8641" spans="14:14" x14ac:dyDescent="0.25">
      <c r="N8641" s="26"/>
    </row>
    <row r="8642" spans="14:14" x14ac:dyDescent="0.25">
      <c r="N8642" s="26"/>
    </row>
    <row r="8643" spans="14:14" x14ac:dyDescent="0.25">
      <c r="N8643" s="26"/>
    </row>
    <row r="8644" spans="14:14" x14ac:dyDescent="0.25">
      <c r="N8644" s="26"/>
    </row>
    <row r="8645" spans="14:14" x14ac:dyDescent="0.25">
      <c r="N8645" s="26"/>
    </row>
    <row r="8646" spans="14:14" x14ac:dyDescent="0.25">
      <c r="N8646" s="26"/>
    </row>
    <row r="8647" spans="14:14" x14ac:dyDescent="0.25">
      <c r="N8647" s="26"/>
    </row>
    <row r="8648" spans="14:14" x14ac:dyDescent="0.25">
      <c r="N8648" s="26"/>
    </row>
    <row r="8649" spans="14:14" x14ac:dyDescent="0.25">
      <c r="N8649" s="26"/>
    </row>
    <row r="8650" spans="14:14" x14ac:dyDescent="0.25">
      <c r="N8650" s="26"/>
    </row>
    <row r="8651" spans="14:14" x14ac:dyDescent="0.25">
      <c r="N8651" s="26"/>
    </row>
    <row r="8652" spans="14:14" x14ac:dyDescent="0.25">
      <c r="N8652" s="26"/>
    </row>
    <row r="8653" spans="14:14" x14ac:dyDescent="0.25">
      <c r="N8653" s="26"/>
    </row>
    <row r="8654" spans="14:14" x14ac:dyDescent="0.25">
      <c r="N8654" s="26"/>
    </row>
    <row r="8655" spans="14:14" x14ac:dyDescent="0.25">
      <c r="N8655" s="26"/>
    </row>
    <row r="8656" spans="14:14" x14ac:dyDescent="0.25">
      <c r="N8656" s="26"/>
    </row>
    <row r="8657" spans="14:14" x14ac:dyDescent="0.25">
      <c r="N8657" s="26"/>
    </row>
    <row r="8658" spans="14:14" x14ac:dyDescent="0.25">
      <c r="N8658" s="26"/>
    </row>
    <row r="8659" spans="14:14" x14ac:dyDescent="0.25">
      <c r="N8659" s="26"/>
    </row>
    <row r="8660" spans="14:14" x14ac:dyDescent="0.25">
      <c r="N8660" s="26"/>
    </row>
    <row r="8661" spans="14:14" x14ac:dyDescent="0.25">
      <c r="N8661" s="26"/>
    </row>
    <row r="8662" spans="14:14" x14ac:dyDescent="0.25">
      <c r="N8662" s="26"/>
    </row>
    <row r="8663" spans="14:14" x14ac:dyDescent="0.25">
      <c r="N8663" s="26"/>
    </row>
    <row r="8664" spans="14:14" x14ac:dyDescent="0.25">
      <c r="N8664" s="26"/>
    </row>
    <row r="8665" spans="14:14" x14ac:dyDescent="0.25">
      <c r="N8665" s="26"/>
    </row>
    <row r="8666" spans="14:14" x14ac:dyDescent="0.25">
      <c r="N8666" s="26"/>
    </row>
    <row r="8667" spans="14:14" x14ac:dyDescent="0.25">
      <c r="N8667" s="26"/>
    </row>
    <row r="8668" spans="14:14" x14ac:dyDescent="0.25">
      <c r="N8668" s="26"/>
    </row>
    <row r="8669" spans="14:14" x14ac:dyDescent="0.25">
      <c r="N8669" s="26"/>
    </row>
    <row r="8670" spans="14:14" x14ac:dyDescent="0.25">
      <c r="N8670" s="26"/>
    </row>
    <row r="8671" spans="14:14" x14ac:dyDescent="0.25">
      <c r="N8671" s="26"/>
    </row>
    <row r="8672" spans="14:14" x14ac:dyDescent="0.25">
      <c r="N8672" s="26"/>
    </row>
    <row r="8673" spans="14:14" x14ac:dyDescent="0.25">
      <c r="N8673" s="26"/>
    </row>
    <row r="8674" spans="14:14" x14ac:dyDescent="0.25">
      <c r="N8674" s="26"/>
    </row>
    <row r="8675" spans="14:14" x14ac:dyDescent="0.25">
      <c r="N8675" s="26"/>
    </row>
    <row r="8676" spans="14:14" x14ac:dyDescent="0.25">
      <c r="N8676" s="26"/>
    </row>
    <row r="8677" spans="14:14" x14ac:dyDescent="0.25">
      <c r="N8677" s="26"/>
    </row>
    <row r="8678" spans="14:14" x14ac:dyDescent="0.25">
      <c r="N8678" s="26"/>
    </row>
    <row r="8679" spans="14:14" x14ac:dyDescent="0.25">
      <c r="N8679" s="26"/>
    </row>
    <row r="8680" spans="14:14" x14ac:dyDescent="0.25">
      <c r="N8680" s="26"/>
    </row>
    <row r="8681" spans="14:14" x14ac:dyDescent="0.25">
      <c r="N8681" s="26"/>
    </row>
    <row r="8682" spans="14:14" x14ac:dyDescent="0.25">
      <c r="N8682" s="26"/>
    </row>
    <row r="8683" spans="14:14" x14ac:dyDescent="0.25">
      <c r="N8683" s="26"/>
    </row>
    <row r="8684" spans="14:14" x14ac:dyDescent="0.25">
      <c r="N8684" s="26"/>
    </row>
    <row r="8685" spans="14:14" x14ac:dyDescent="0.25">
      <c r="N8685" s="26"/>
    </row>
    <row r="8686" spans="14:14" x14ac:dyDescent="0.25">
      <c r="N8686" s="26"/>
    </row>
    <row r="8687" spans="14:14" x14ac:dyDescent="0.25">
      <c r="N8687" s="26"/>
    </row>
    <row r="8688" spans="14:14" x14ac:dyDescent="0.25">
      <c r="N8688" s="26"/>
    </row>
    <row r="8689" spans="14:14" x14ac:dyDescent="0.25">
      <c r="N8689" s="26"/>
    </row>
    <row r="8690" spans="14:14" x14ac:dyDescent="0.25">
      <c r="N8690" s="26"/>
    </row>
    <row r="8691" spans="14:14" x14ac:dyDescent="0.25">
      <c r="N8691" s="26"/>
    </row>
    <row r="8692" spans="14:14" x14ac:dyDescent="0.25">
      <c r="N8692" s="26"/>
    </row>
    <row r="8693" spans="14:14" x14ac:dyDescent="0.25">
      <c r="N8693" s="26"/>
    </row>
    <row r="8694" spans="14:14" x14ac:dyDescent="0.25">
      <c r="N8694" s="26"/>
    </row>
    <row r="8695" spans="14:14" x14ac:dyDescent="0.25">
      <c r="N8695" s="26"/>
    </row>
    <row r="8696" spans="14:14" x14ac:dyDescent="0.25">
      <c r="N8696" s="26"/>
    </row>
    <row r="8697" spans="14:14" x14ac:dyDescent="0.25">
      <c r="N8697" s="26"/>
    </row>
    <row r="8698" spans="14:14" x14ac:dyDescent="0.25">
      <c r="N8698" s="26"/>
    </row>
    <row r="8699" spans="14:14" x14ac:dyDescent="0.25">
      <c r="N8699" s="26"/>
    </row>
    <row r="8700" spans="14:14" x14ac:dyDescent="0.25">
      <c r="N8700" s="26"/>
    </row>
    <row r="8701" spans="14:14" x14ac:dyDescent="0.25">
      <c r="N8701" s="26"/>
    </row>
    <row r="8702" spans="14:14" x14ac:dyDescent="0.25">
      <c r="N8702" s="26"/>
    </row>
    <row r="8703" spans="14:14" x14ac:dyDescent="0.25">
      <c r="N8703" s="26"/>
    </row>
    <row r="8704" spans="14:14" x14ac:dyDescent="0.25">
      <c r="N8704" s="26"/>
    </row>
    <row r="8705" spans="14:14" x14ac:dyDescent="0.25">
      <c r="N8705" s="26"/>
    </row>
    <row r="8706" spans="14:14" x14ac:dyDescent="0.25">
      <c r="N8706" s="26"/>
    </row>
    <row r="8707" spans="14:14" x14ac:dyDescent="0.25">
      <c r="N8707" s="26"/>
    </row>
    <row r="8708" spans="14:14" x14ac:dyDescent="0.25">
      <c r="N8708" s="26"/>
    </row>
    <row r="8709" spans="14:14" x14ac:dyDescent="0.25">
      <c r="N8709" s="26"/>
    </row>
    <row r="8710" spans="14:14" x14ac:dyDescent="0.25">
      <c r="N8710" s="26"/>
    </row>
    <row r="8711" spans="14:14" x14ac:dyDescent="0.25">
      <c r="N8711" s="26"/>
    </row>
    <row r="8712" spans="14:14" x14ac:dyDescent="0.25">
      <c r="N8712" s="26"/>
    </row>
    <row r="8713" spans="14:14" x14ac:dyDescent="0.25">
      <c r="N8713" s="26"/>
    </row>
    <row r="8714" spans="14:14" x14ac:dyDescent="0.25">
      <c r="N8714" s="26"/>
    </row>
    <row r="8715" spans="14:14" x14ac:dyDescent="0.25">
      <c r="N8715" s="26"/>
    </row>
    <row r="8716" spans="14:14" x14ac:dyDescent="0.25">
      <c r="N8716" s="26"/>
    </row>
    <row r="8717" spans="14:14" x14ac:dyDescent="0.25">
      <c r="N8717" s="26"/>
    </row>
    <row r="8718" spans="14:14" x14ac:dyDescent="0.25">
      <c r="N8718" s="26"/>
    </row>
    <row r="8719" spans="14:14" x14ac:dyDescent="0.25">
      <c r="N8719" s="26"/>
    </row>
    <row r="8720" spans="14:14" x14ac:dyDescent="0.25">
      <c r="N8720" s="26"/>
    </row>
    <row r="8721" spans="14:14" x14ac:dyDescent="0.25">
      <c r="N8721" s="26"/>
    </row>
    <row r="8722" spans="14:14" x14ac:dyDescent="0.25">
      <c r="N8722" s="26"/>
    </row>
    <row r="8723" spans="14:14" x14ac:dyDescent="0.25">
      <c r="N8723" s="26"/>
    </row>
    <row r="8724" spans="14:14" x14ac:dyDescent="0.25">
      <c r="N8724" s="26"/>
    </row>
    <row r="8725" spans="14:14" x14ac:dyDescent="0.25">
      <c r="N8725" s="26"/>
    </row>
    <row r="8726" spans="14:14" x14ac:dyDescent="0.25">
      <c r="N8726" s="26"/>
    </row>
    <row r="8727" spans="14:14" x14ac:dyDescent="0.25">
      <c r="N8727" s="26"/>
    </row>
    <row r="8728" spans="14:14" x14ac:dyDescent="0.25">
      <c r="N8728" s="26"/>
    </row>
    <row r="8729" spans="14:14" x14ac:dyDescent="0.25">
      <c r="N8729" s="26"/>
    </row>
    <row r="8730" spans="14:14" x14ac:dyDescent="0.25">
      <c r="N8730" s="26"/>
    </row>
    <row r="8731" spans="14:14" x14ac:dyDescent="0.25">
      <c r="N8731" s="26"/>
    </row>
    <row r="8732" spans="14:14" x14ac:dyDescent="0.25">
      <c r="N8732" s="26"/>
    </row>
    <row r="8733" spans="14:14" x14ac:dyDescent="0.25">
      <c r="N8733" s="26"/>
    </row>
    <row r="8734" spans="14:14" x14ac:dyDescent="0.25">
      <c r="N8734" s="26"/>
    </row>
    <row r="8735" spans="14:14" x14ac:dyDescent="0.25">
      <c r="N8735" s="26"/>
    </row>
    <row r="8736" spans="14:14" x14ac:dyDescent="0.25">
      <c r="N8736" s="26"/>
    </row>
    <row r="8737" spans="14:14" x14ac:dyDescent="0.25">
      <c r="N8737" s="26"/>
    </row>
    <row r="8738" spans="14:14" x14ac:dyDescent="0.25">
      <c r="N8738" s="26"/>
    </row>
    <row r="8739" spans="14:14" x14ac:dyDescent="0.25">
      <c r="N8739" s="26"/>
    </row>
    <row r="8740" spans="14:14" x14ac:dyDescent="0.25">
      <c r="N8740" s="26"/>
    </row>
    <row r="8741" spans="14:14" x14ac:dyDescent="0.25">
      <c r="N8741" s="26"/>
    </row>
    <row r="8742" spans="14:14" x14ac:dyDescent="0.25">
      <c r="N8742" s="26"/>
    </row>
    <row r="8743" spans="14:14" x14ac:dyDescent="0.25">
      <c r="N8743" s="26"/>
    </row>
    <row r="8744" spans="14:14" x14ac:dyDescent="0.25">
      <c r="N8744" s="26"/>
    </row>
    <row r="8745" spans="14:14" x14ac:dyDescent="0.25">
      <c r="N8745" s="26"/>
    </row>
    <row r="8746" spans="14:14" x14ac:dyDescent="0.25">
      <c r="N8746" s="26"/>
    </row>
    <row r="8747" spans="14:14" x14ac:dyDescent="0.25">
      <c r="N8747" s="26"/>
    </row>
    <row r="8748" spans="14:14" x14ac:dyDescent="0.25">
      <c r="N8748" s="26"/>
    </row>
    <row r="8749" spans="14:14" x14ac:dyDescent="0.25">
      <c r="N8749" s="26"/>
    </row>
    <row r="8750" spans="14:14" x14ac:dyDescent="0.25">
      <c r="N8750" s="26"/>
    </row>
    <row r="8751" spans="14:14" x14ac:dyDescent="0.25">
      <c r="N8751" s="26"/>
    </row>
    <row r="8752" spans="14:14" x14ac:dyDescent="0.25">
      <c r="N8752" s="26"/>
    </row>
    <row r="8753" spans="14:14" x14ac:dyDescent="0.25">
      <c r="N8753" s="26"/>
    </row>
    <row r="8754" spans="14:14" x14ac:dyDescent="0.25">
      <c r="N8754" s="26"/>
    </row>
    <row r="8755" spans="14:14" x14ac:dyDescent="0.25">
      <c r="N8755" s="26"/>
    </row>
    <row r="8756" spans="14:14" x14ac:dyDescent="0.25">
      <c r="N8756" s="26"/>
    </row>
    <row r="8757" spans="14:14" x14ac:dyDescent="0.25">
      <c r="N8757" s="26"/>
    </row>
    <row r="8758" spans="14:14" x14ac:dyDescent="0.25">
      <c r="N8758" s="26"/>
    </row>
    <row r="8759" spans="14:14" x14ac:dyDescent="0.25">
      <c r="N8759" s="26"/>
    </row>
    <row r="8760" spans="14:14" x14ac:dyDescent="0.25">
      <c r="N8760" s="26"/>
    </row>
    <row r="8761" spans="14:14" x14ac:dyDescent="0.25">
      <c r="N8761" s="26"/>
    </row>
    <row r="8762" spans="14:14" x14ac:dyDescent="0.25">
      <c r="N8762" s="26"/>
    </row>
    <row r="8763" spans="14:14" x14ac:dyDescent="0.25">
      <c r="N8763" s="26"/>
    </row>
    <row r="8764" spans="14:14" x14ac:dyDescent="0.25">
      <c r="N8764" s="26"/>
    </row>
    <row r="8765" spans="14:14" x14ac:dyDescent="0.25">
      <c r="N8765" s="26"/>
    </row>
    <row r="8766" spans="14:14" x14ac:dyDescent="0.25">
      <c r="N8766" s="26"/>
    </row>
    <row r="8767" spans="14:14" x14ac:dyDescent="0.25">
      <c r="N8767" s="26"/>
    </row>
    <row r="8768" spans="14:14" x14ac:dyDescent="0.25">
      <c r="N8768" s="26"/>
    </row>
    <row r="8769" spans="14:14" x14ac:dyDescent="0.25">
      <c r="N8769" s="26"/>
    </row>
    <row r="8770" spans="14:14" x14ac:dyDescent="0.25">
      <c r="N8770" s="26"/>
    </row>
    <row r="8771" spans="14:14" x14ac:dyDescent="0.25">
      <c r="N8771" s="26"/>
    </row>
    <row r="8772" spans="14:14" x14ac:dyDescent="0.25">
      <c r="N8772" s="26"/>
    </row>
    <row r="8773" spans="14:14" x14ac:dyDescent="0.25">
      <c r="N8773" s="26"/>
    </row>
    <row r="8774" spans="14:14" x14ac:dyDescent="0.25">
      <c r="N8774" s="26"/>
    </row>
    <row r="8775" spans="14:14" x14ac:dyDescent="0.25">
      <c r="N8775" s="26"/>
    </row>
    <row r="8776" spans="14:14" x14ac:dyDescent="0.25">
      <c r="N8776" s="26"/>
    </row>
    <row r="8777" spans="14:14" x14ac:dyDescent="0.25">
      <c r="N8777" s="26"/>
    </row>
    <row r="8778" spans="14:14" x14ac:dyDescent="0.25">
      <c r="N8778" s="26"/>
    </row>
    <row r="8779" spans="14:14" x14ac:dyDescent="0.25">
      <c r="N8779" s="26"/>
    </row>
    <row r="8780" spans="14:14" x14ac:dyDescent="0.25">
      <c r="N8780" s="26"/>
    </row>
    <row r="8781" spans="14:14" x14ac:dyDescent="0.25">
      <c r="N8781" s="26"/>
    </row>
    <row r="8782" spans="14:14" x14ac:dyDescent="0.25">
      <c r="N8782" s="26"/>
    </row>
    <row r="8783" spans="14:14" x14ac:dyDescent="0.25">
      <c r="N8783" s="26"/>
    </row>
    <row r="8784" spans="14:14" x14ac:dyDescent="0.25">
      <c r="N8784" s="26"/>
    </row>
    <row r="8785" spans="14:14" x14ac:dyDescent="0.25">
      <c r="N8785" s="26"/>
    </row>
    <row r="8786" spans="14:14" x14ac:dyDescent="0.25">
      <c r="N8786" s="26"/>
    </row>
    <row r="8787" spans="14:14" x14ac:dyDescent="0.25">
      <c r="N8787" s="26"/>
    </row>
    <row r="8788" spans="14:14" x14ac:dyDescent="0.25">
      <c r="N8788" s="26"/>
    </row>
    <row r="8789" spans="14:14" x14ac:dyDescent="0.25">
      <c r="N8789" s="26"/>
    </row>
    <row r="8790" spans="14:14" x14ac:dyDescent="0.25">
      <c r="N8790" s="26"/>
    </row>
    <row r="8791" spans="14:14" x14ac:dyDescent="0.25">
      <c r="N8791" s="26"/>
    </row>
    <row r="8792" spans="14:14" x14ac:dyDescent="0.25">
      <c r="N8792" s="26"/>
    </row>
    <row r="8793" spans="14:14" x14ac:dyDescent="0.25">
      <c r="N8793" s="26"/>
    </row>
    <row r="8794" spans="14:14" x14ac:dyDescent="0.25">
      <c r="N8794" s="26"/>
    </row>
    <row r="8795" spans="14:14" x14ac:dyDescent="0.25">
      <c r="N8795" s="26"/>
    </row>
    <row r="8796" spans="14:14" x14ac:dyDescent="0.25">
      <c r="N8796" s="26"/>
    </row>
    <row r="8797" spans="14:14" x14ac:dyDescent="0.25">
      <c r="N8797" s="26"/>
    </row>
    <row r="8798" spans="14:14" x14ac:dyDescent="0.25">
      <c r="N8798" s="26"/>
    </row>
    <row r="8799" spans="14:14" x14ac:dyDescent="0.25">
      <c r="N8799" s="26"/>
    </row>
    <row r="8800" spans="14:14" x14ac:dyDescent="0.25">
      <c r="N8800" s="26"/>
    </row>
    <row r="8801" spans="14:14" x14ac:dyDescent="0.25">
      <c r="N8801" s="26"/>
    </row>
    <row r="8802" spans="14:14" x14ac:dyDescent="0.25">
      <c r="N8802" s="26"/>
    </row>
    <row r="8803" spans="14:14" x14ac:dyDescent="0.25">
      <c r="N8803" s="26"/>
    </row>
    <row r="8804" spans="14:14" x14ac:dyDescent="0.25">
      <c r="N8804" s="26"/>
    </row>
    <row r="8805" spans="14:14" x14ac:dyDescent="0.25">
      <c r="N8805" s="26"/>
    </row>
    <row r="8806" spans="14:14" x14ac:dyDescent="0.25">
      <c r="N8806" s="26"/>
    </row>
    <row r="8807" spans="14:14" x14ac:dyDescent="0.25">
      <c r="N8807" s="26"/>
    </row>
    <row r="8808" spans="14:14" x14ac:dyDescent="0.25">
      <c r="N8808" s="26"/>
    </row>
    <row r="8809" spans="14:14" x14ac:dyDescent="0.25">
      <c r="N8809" s="26"/>
    </row>
    <row r="8810" spans="14:14" x14ac:dyDescent="0.25">
      <c r="N8810" s="26"/>
    </row>
    <row r="8811" spans="14:14" x14ac:dyDescent="0.25">
      <c r="N8811" s="26"/>
    </row>
    <row r="8812" spans="14:14" x14ac:dyDescent="0.25">
      <c r="N8812" s="26"/>
    </row>
    <row r="8813" spans="14:14" x14ac:dyDescent="0.25">
      <c r="N8813" s="26"/>
    </row>
    <row r="8814" spans="14:14" x14ac:dyDescent="0.25">
      <c r="N8814" s="26"/>
    </row>
    <row r="8815" spans="14:14" x14ac:dyDescent="0.25">
      <c r="N8815" s="26"/>
    </row>
    <row r="8816" spans="14:14" x14ac:dyDescent="0.25">
      <c r="N8816" s="26"/>
    </row>
    <row r="8817" spans="14:14" x14ac:dyDescent="0.25">
      <c r="N8817" s="26"/>
    </row>
    <row r="8818" spans="14:14" x14ac:dyDescent="0.25">
      <c r="N8818" s="26"/>
    </row>
    <row r="8819" spans="14:14" x14ac:dyDescent="0.25">
      <c r="N8819" s="26"/>
    </row>
    <row r="8820" spans="14:14" x14ac:dyDescent="0.25">
      <c r="N8820" s="26"/>
    </row>
    <row r="8821" spans="14:14" x14ac:dyDescent="0.25">
      <c r="N8821" s="26"/>
    </row>
    <row r="8822" spans="14:14" x14ac:dyDescent="0.25">
      <c r="N8822" s="26"/>
    </row>
    <row r="8823" spans="14:14" x14ac:dyDescent="0.25">
      <c r="N8823" s="26"/>
    </row>
    <row r="8824" spans="14:14" x14ac:dyDescent="0.25">
      <c r="N8824" s="26"/>
    </row>
    <row r="8825" spans="14:14" x14ac:dyDescent="0.25">
      <c r="N8825" s="26"/>
    </row>
    <row r="8826" spans="14:14" x14ac:dyDescent="0.25">
      <c r="N8826" s="26"/>
    </row>
    <row r="8827" spans="14:14" x14ac:dyDescent="0.25">
      <c r="N8827" s="26"/>
    </row>
    <row r="8828" spans="14:14" x14ac:dyDescent="0.25">
      <c r="N8828" s="26"/>
    </row>
    <row r="8829" spans="14:14" x14ac:dyDescent="0.25">
      <c r="N8829" s="26"/>
    </row>
    <row r="8830" spans="14:14" x14ac:dyDescent="0.25">
      <c r="N8830" s="26"/>
    </row>
    <row r="8831" spans="14:14" x14ac:dyDescent="0.25">
      <c r="N8831" s="26"/>
    </row>
    <row r="8832" spans="14:14" x14ac:dyDescent="0.25">
      <c r="N8832" s="26"/>
    </row>
    <row r="8833" spans="14:14" x14ac:dyDescent="0.25">
      <c r="N8833" s="26"/>
    </row>
    <row r="8834" spans="14:14" x14ac:dyDescent="0.25">
      <c r="N8834" s="26"/>
    </row>
    <row r="8835" spans="14:14" x14ac:dyDescent="0.25">
      <c r="N8835" s="26"/>
    </row>
    <row r="8836" spans="14:14" x14ac:dyDescent="0.25">
      <c r="N8836" s="26"/>
    </row>
    <row r="8837" spans="14:14" x14ac:dyDescent="0.25">
      <c r="N8837" s="26"/>
    </row>
    <row r="8838" spans="14:14" x14ac:dyDescent="0.25">
      <c r="N8838" s="26"/>
    </row>
    <row r="8839" spans="14:14" x14ac:dyDescent="0.25">
      <c r="N8839" s="26"/>
    </row>
    <row r="8840" spans="14:14" x14ac:dyDescent="0.25">
      <c r="N8840" s="26"/>
    </row>
    <row r="8841" spans="14:14" x14ac:dyDescent="0.25">
      <c r="N8841" s="26"/>
    </row>
    <row r="8842" spans="14:14" x14ac:dyDescent="0.25">
      <c r="N8842" s="26"/>
    </row>
    <row r="8843" spans="14:14" x14ac:dyDescent="0.25">
      <c r="N8843" s="26"/>
    </row>
    <row r="8844" spans="14:14" x14ac:dyDescent="0.25">
      <c r="N8844" s="26"/>
    </row>
    <row r="8845" spans="14:14" x14ac:dyDescent="0.25">
      <c r="N8845" s="26"/>
    </row>
    <row r="8846" spans="14:14" x14ac:dyDescent="0.25">
      <c r="N8846" s="26"/>
    </row>
    <row r="8847" spans="14:14" x14ac:dyDescent="0.25">
      <c r="N8847" s="26"/>
    </row>
    <row r="8848" spans="14:14" x14ac:dyDescent="0.25">
      <c r="N8848" s="26"/>
    </row>
    <row r="8849" spans="14:14" x14ac:dyDescent="0.25">
      <c r="N8849" s="26"/>
    </row>
    <row r="8850" spans="14:14" x14ac:dyDescent="0.25">
      <c r="N8850" s="26"/>
    </row>
    <row r="8851" spans="14:14" x14ac:dyDescent="0.25">
      <c r="N8851" s="26"/>
    </row>
    <row r="8852" spans="14:14" x14ac:dyDescent="0.25">
      <c r="N8852" s="26"/>
    </row>
    <row r="8853" spans="14:14" x14ac:dyDescent="0.25">
      <c r="N8853" s="26"/>
    </row>
    <row r="8854" spans="14:14" x14ac:dyDescent="0.25">
      <c r="N8854" s="26"/>
    </row>
    <row r="8855" spans="14:14" x14ac:dyDescent="0.25">
      <c r="N8855" s="26"/>
    </row>
    <row r="8856" spans="14:14" x14ac:dyDescent="0.25">
      <c r="N8856" s="26"/>
    </row>
    <row r="8857" spans="14:14" x14ac:dyDescent="0.25">
      <c r="N8857" s="26"/>
    </row>
    <row r="8858" spans="14:14" x14ac:dyDescent="0.25">
      <c r="N8858" s="26"/>
    </row>
    <row r="8859" spans="14:14" x14ac:dyDescent="0.25">
      <c r="N8859" s="26"/>
    </row>
    <row r="8860" spans="14:14" x14ac:dyDescent="0.25">
      <c r="N8860" s="26"/>
    </row>
    <row r="8861" spans="14:14" x14ac:dyDescent="0.25">
      <c r="N8861" s="26"/>
    </row>
    <row r="8862" spans="14:14" x14ac:dyDescent="0.25">
      <c r="N8862" s="26"/>
    </row>
    <row r="8863" spans="14:14" x14ac:dyDescent="0.25">
      <c r="N8863" s="26"/>
    </row>
    <row r="8864" spans="14:14" x14ac:dyDescent="0.25">
      <c r="N8864" s="26"/>
    </row>
    <row r="8865" spans="14:14" x14ac:dyDescent="0.25">
      <c r="N8865" s="26"/>
    </row>
    <row r="8866" spans="14:14" x14ac:dyDescent="0.25">
      <c r="N8866" s="26"/>
    </row>
    <row r="8867" spans="14:14" x14ac:dyDescent="0.25">
      <c r="N8867" s="26"/>
    </row>
    <row r="8868" spans="14:14" x14ac:dyDescent="0.25">
      <c r="N8868" s="26"/>
    </row>
    <row r="8869" spans="14:14" x14ac:dyDescent="0.25">
      <c r="N8869" s="26"/>
    </row>
    <row r="8870" spans="14:14" x14ac:dyDescent="0.25">
      <c r="N8870" s="26"/>
    </row>
    <row r="8871" spans="14:14" x14ac:dyDescent="0.25">
      <c r="N8871" s="26"/>
    </row>
    <row r="8872" spans="14:14" x14ac:dyDescent="0.25">
      <c r="N8872" s="26"/>
    </row>
    <row r="8873" spans="14:14" x14ac:dyDescent="0.25">
      <c r="N8873" s="26"/>
    </row>
    <row r="8874" spans="14:14" x14ac:dyDescent="0.25">
      <c r="N8874" s="26"/>
    </row>
    <row r="8875" spans="14:14" x14ac:dyDescent="0.25">
      <c r="N8875" s="26"/>
    </row>
    <row r="8876" spans="14:14" x14ac:dyDescent="0.25">
      <c r="N8876" s="26"/>
    </row>
    <row r="8877" spans="14:14" x14ac:dyDescent="0.25">
      <c r="N8877" s="26"/>
    </row>
    <row r="8878" spans="14:14" x14ac:dyDescent="0.25">
      <c r="N8878" s="26"/>
    </row>
    <row r="8879" spans="14:14" x14ac:dyDescent="0.25">
      <c r="N8879" s="26"/>
    </row>
    <row r="8880" spans="14:14" x14ac:dyDescent="0.25">
      <c r="N8880" s="26"/>
    </row>
    <row r="8881" spans="14:14" x14ac:dyDescent="0.25">
      <c r="N8881" s="26"/>
    </row>
    <row r="8882" spans="14:14" x14ac:dyDescent="0.25">
      <c r="N8882" s="26"/>
    </row>
    <row r="8883" spans="14:14" x14ac:dyDescent="0.25">
      <c r="N8883" s="26"/>
    </row>
    <row r="8884" spans="14:14" x14ac:dyDescent="0.25">
      <c r="N8884" s="26"/>
    </row>
    <row r="8885" spans="14:14" x14ac:dyDescent="0.25">
      <c r="N8885" s="26"/>
    </row>
    <row r="8886" spans="14:14" x14ac:dyDescent="0.25">
      <c r="N8886" s="26"/>
    </row>
    <row r="8887" spans="14:14" x14ac:dyDescent="0.25">
      <c r="N8887" s="26"/>
    </row>
    <row r="8888" spans="14:14" x14ac:dyDescent="0.25">
      <c r="N8888" s="26"/>
    </row>
    <row r="8889" spans="14:14" x14ac:dyDescent="0.25">
      <c r="N8889" s="26"/>
    </row>
    <row r="8890" spans="14:14" x14ac:dyDescent="0.25">
      <c r="N8890" s="26"/>
    </row>
    <row r="8891" spans="14:14" x14ac:dyDescent="0.25">
      <c r="N8891" s="26"/>
    </row>
    <row r="8892" spans="14:14" x14ac:dyDescent="0.25">
      <c r="N8892" s="26"/>
    </row>
    <row r="8893" spans="14:14" x14ac:dyDescent="0.25">
      <c r="N8893" s="26"/>
    </row>
    <row r="8894" spans="14:14" x14ac:dyDescent="0.25">
      <c r="N8894" s="26"/>
    </row>
    <row r="8895" spans="14:14" x14ac:dyDescent="0.25">
      <c r="N8895" s="26"/>
    </row>
    <row r="8896" spans="14:14" x14ac:dyDescent="0.25">
      <c r="N8896" s="26"/>
    </row>
    <row r="8897" spans="14:14" x14ac:dyDescent="0.25">
      <c r="N8897" s="26"/>
    </row>
    <row r="8898" spans="14:14" x14ac:dyDescent="0.25">
      <c r="N8898" s="26"/>
    </row>
    <row r="8899" spans="14:14" x14ac:dyDescent="0.25">
      <c r="N8899" s="26"/>
    </row>
    <row r="8900" spans="14:14" x14ac:dyDescent="0.25">
      <c r="N8900" s="26"/>
    </row>
    <row r="8901" spans="14:14" x14ac:dyDescent="0.25">
      <c r="N8901" s="26"/>
    </row>
    <row r="8902" spans="14:14" x14ac:dyDescent="0.25">
      <c r="N8902" s="26"/>
    </row>
    <row r="8903" spans="14:14" x14ac:dyDescent="0.25">
      <c r="N8903" s="26"/>
    </row>
    <row r="8904" spans="14:14" x14ac:dyDescent="0.25">
      <c r="N8904" s="26"/>
    </row>
    <row r="8905" spans="14:14" x14ac:dyDescent="0.25">
      <c r="N8905" s="26"/>
    </row>
    <row r="8906" spans="14:14" x14ac:dyDescent="0.25">
      <c r="N8906" s="26"/>
    </row>
    <row r="8907" spans="14:14" x14ac:dyDescent="0.25">
      <c r="N8907" s="26"/>
    </row>
    <row r="8908" spans="14:14" x14ac:dyDescent="0.25">
      <c r="N8908" s="26"/>
    </row>
    <row r="8909" spans="14:14" x14ac:dyDescent="0.25">
      <c r="N8909" s="26"/>
    </row>
    <row r="8910" spans="14:14" x14ac:dyDescent="0.25">
      <c r="N8910" s="26"/>
    </row>
    <row r="8911" spans="14:14" x14ac:dyDescent="0.25">
      <c r="N8911" s="26"/>
    </row>
    <row r="8912" spans="14:14" x14ac:dyDescent="0.25">
      <c r="N8912" s="26"/>
    </row>
    <row r="8913" spans="14:14" x14ac:dyDescent="0.25">
      <c r="N8913" s="26"/>
    </row>
    <row r="8914" spans="14:14" x14ac:dyDescent="0.25">
      <c r="N8914" s="26"/>
    </row>
    <row r="8915" spans="14:14" x14ac:dyDescent="0.25">
      <c r="N8915" s="26"/>
    </row>
    <row r="8916" spans="14:14" x14ac:dyDescent="0.25">
      <c r="N8916" s="26"/>
    </row>
    <row r="8917" spans="14:14" x14ac:dyDescent="0.25">
      <c r="N8917" s="26"/>
    </row>
    <row r="8918" spans="14:14" x14ac:dyDescent="0.25">
      <c r="N8918" s="26"/>
    </row>
    <row r="8919" spans="14:14" x14ac:dyDescent="0.25">
      <c r="N8919" s="26"/>
    </row>
    <row r="8920" spans="14:14" x14ac:dyDescent="0.25">
      <c r="N8920" s="26"/>
    </row>
    <row r="8921" spans="14:14" x14ac:dyDescent="0.25">
      <c r="N8921" s="26"/>
    </row>
    <row r="8922" spans="14:14" x14ac:dyDescent="0.25">
      <c r="N8922" s="26"/>
    </row>
    <row r="8923" spans="14:14" x14ac:dyDescent="0.25">
      <c r="N8923" s="26"/>
    </row>
    <row r="8924" spans="14:14" x14ac:dyDescent="0.25">
      <c r="N8924" s="26"/>
    </row>
    <row r="8925" spans="14:14" x14ac:dyDescent="0.25">
      <c r="N8925" s="26"/>
    </row>
    <row r="8926" spans="14:14" x14ac:dyDescent="0.25">
      <c r="N8926" s="26"/>
    </row>
    <row r="8927" spans="14:14" x14ac:dyDescent="0.25">
      <c r="N8927" s="26"/>
    </row>
    <row r="8928" spans="14:14" x14ac:dyDescent="0.25">
      <c r="N8928" s="26"/>
    </row>
    <row r="8929" spans="14:14" x14ac:dyDescent="0.25">
      <c r="N8929" s="26"/>
    </row>
    <row r="8930" spans="14:14" x14ac:dyDescent="0.25">
      <c r="N8930" s="26"/>
    </row>
    <row r="8931" spans="14:14" x14ac:dyDescent="0.25">
      <c r="N8931" s="26"/>
    </row>
    <row r="8932" spans="14:14" x14ac:dyDescent="0.25">
      <c r="N8932" s="26"/>
    </row>
    <row r="8933" spans="14:14" x14ac:dyDescent="0.25">
      <c r="N8933" s="26"/>
    </row>
    <row r="8934" spans="14:14" x14ac:dyDescent="0.25">
      <c r="N8934" s="26"/>
    </row>
    <row r="8935" spans="14:14" x14ac:dyDescent="0.25">
      <c r="N8935" s="26"/>
    </row>
    <row r="8936" spans="14:14" x14ac:dyDescent="0.25">
      <c r="N8936" s="26"/>
    </row>
    <row r="8937" spans="14:14" x14ac:dyDescent="0.25">
      <c r="N8937" s="26"/>
    </row>
    <row r="8938" spans="14:14" x14ac:dyDescent="0.25">
      <c r="N8938" s="26"/>
    </row>
    <row r="8939" spans="14:14" x14ac:dyDescent="0.25">
      <c r="N8939" s="26"/>
    </row>
    <row r="8940" spans="14:14" x14ac:dyDescent="0.25">
      <c r="N8940" s="26"/>
    </row>
    <row r="8941" spans="14:14" x14ac:dyDescent="0.25">
      <c r="N8941" s="26"/>
    </row>
    <row r="8942" spans="14:14" x14ac:dyDescent="0.25">
      <c r="N8942" s="26"/>
    </row>
    <row r="8943" spans="14:14" x14ac:dyDescent="0.25">
      <c r="N8943" s="26"/>
    </row>
    <row r="8944" spans="14:14" x14ac:dyDescent="0.25">
      <c r="N8944" s="26"/>
    </row>
    <row r="8945" spans="14:14" x14ac:dyDescent="0.25">
      <c r="N8945" s="26"/>
    </row>
    <row r="8946" spans="14:14" x14ac:dyDescent="0.25">
      <c r="N8946" s="26"/>
    </row>
    <row r="8947" spans="14:14" x14ac:dyDescent="0.25">
      <c r="N8947" s="26"/>
    </row>
    <row r="8948" spans="14:14" x14ac:dyDescent="0.25">
      <c r="N8948" s="26"/>
    </row>
    <row r="8949" spans="14:14" x14ac:dyDescent="0.25">
      <c r="N8949" s="26"/>
    </row>
    <row r="8950" spans="14:14" x14ac:dyDescent="0.25">
      <c r="N8950" s="26"/>
    </row>
    <row r="8951" spans="14:14" x14ac:dyDescent="0.25">
      <c r="N8951" s="26"/>
    </row>
    <row r="8952" spans="14:14" x14ac:dyDescent="0.25">
      <c r="N8952" s="26"/>
    </row>
    <row r="8953" spans="14:14" x14ac:dyDescent="0.25">
      <c r="N8953" s="26"/>
    </row>
    <row r="8954" spans="14:14" x14ac:dyDescent="0.25">
      <c r="N8954" s="26"/>
    </row>
    <row r="8955" spans="14:14" x14ac:dyDescent="0.25">
      <c r="N8955" s="26"/>
    </row>
    <row r="8956" spans="14:14" x14ac:dyDescent="0.25">
      <c r="N8956" s="26"/>
    </row>
    <row r="8957" spans="14:14" x14ac:dyDescent="0.25">
      <c r="N8957" s="26"/>
    </row>
    <row r="8958" spans="14:14" x14ac:dyDescent="0.25">
      <c r="N8958" s="26"/>
    </row>
    <row r="8959" spans="14:14" x14ac:dyDescent="0.25">
      <c r="N8959" s="26"/>
    </row>
    <row r="8960" spans="14:14" x14ac:dyDescent="0.25">
      <c r="N8960" s="26"/>
    </row>
    <row r="8961" spans="14:14" x14ac:dyDescent="0.25">
      <c r="N8961" s="26"/>
    </row>
    <row r="8962" spans="14:14" x14ac:dyDescent="0.25">
      <c r="N8962" s="26"/>
    </row>
    <row r="8963" spans="14:14" x14ac:dyDescent="0.25">
      <c r="N8963" s="26"/>
    </row>
    <row r="8964" spans="14:14" x14ac:dyDescent="0.25">
      <c r="N8964" s="26"/>
    </row>
    <row r="8965" spans="14:14" x14ac:dyDescent="0.25">
      <c r="N8965" s="26"/>
    </row>
    <row r="8966" spans="14:14" x14ac:dyDescent="0.25">
      <c r="N8966" s="26"/>
    </row>
    <row r="8967" spans="14:14" x14ac:dyDescent="0.25">
      <c r="N8967" s="26"/>
    </row>
    <row r="8968" spans="14:14" x14ac:dyDescent="0.25">
      <c r="N8968" s="26"/>
    </row>
    <row r="8969" spans="14:14" x14ac:dyDescent="0.25">
      <c r="N8969" s="26"/>
    </row>
    <row r="8970" spans="14:14" x14ac:dyDescent="0.25">
      <c r="N8970" s="26"/>
    </row>
    <row r="8971" spans="14:14" x14ac:dyDescent="0.25">
      <c r="N8971" s="26"/>
    </row>
    <row r="8972" spans="14:14" x14ac:dyDescent="0.25">
      <c r="N8972" s="26"/>
    </row>
    <row r="8973" spans="14:14" x14ac:dyDescent="0.25">
      <c r="N8973" s="26"/>
    </row>
    <row r="8974" spans="14:14" x14ac:dyDescent="0.25">
      <c r="N8974" s="26"/>
    </row>
    <row r="8975" spans="14:14" x14ac:dyDescent="0.25">
      <c r="N8975" s="26"/>
    </row>
    <row r="8976" spans="14:14" x14ac:dyDescent="0.25">
      <c r="N8976" s="26"/>
    </row>
    <row r="8977" spans="14:14" x14ac:dyDescent="0.25">
      <c r="N8977" s="26"/>
    </row>
    <row r="8978" spans="14:14" x14ac:dyDescent="0.25">
      <c r="N8978" s="26"/>
    </row>
    <row r="8979" spans="14:14" x14ac:dyDescent="0.25">
      <c r="N8979" s="26"/>
    </row>
    <row r="8980" spans="14:14" x14ac:dyDescent="0.25">
      <c r="N8980" s="26"/>
    </row>
    <row r="8981" spans="14:14" x14ac:dyDescent="0.25">
      <c r="N8981" s="26"/>
    </row>
    <row r="8982" spans="14:14" x14ac:dyDescent="0.25">
      <c r="N8982" s="26"/>
    </row>
    <row r="8983" spans="14:14" x14ac:dyDescent="0.25">
      <c r="N8983" s="26"/>
    </row>
    <row r="8984" spans="14:14" x14ac:dyDescent="0.25">
      <c r="N8984" s="26"/>
    </row>
    <row r="8985" spans="14:14" x14ac:dyDescent="0.25">
      <c r="N8985" s="26"/>
    </row>
    <row r="8986" spans="14:14" x14ac:dyDescent="0.25">
      <c r="N8986" s="26"/>
    </row>
    <row r="8987" spans="14:14" x14ac:dyDescent="0.25">
      <c r="N8987" s="26"/>
    </row>
    <row r="8988" spans="14:14" x14ac:dyDescent="0.25">
      <c r="N8988" s="26"/>
    </row>
    <row r="8989" spans="14:14" x14ac:dyDescent="0.25">
      <c r="N8989" s="26"/>
    </row>
    <row r="8990" spans="14:14" x14ac:dyDescent="0.25">
      <c r="N8990" s="26"/>
    </row>
    <row r="8991" spans="14:14" x14ac:dyDescent="0.25">
      <c r="N8991" s="26"/>
    </row>
    <row r="8992" spans="14:14" x14ac:dyDescent="0.25">
      <c r="N8992" s="26"/>
    </row>
    <row r="8993" spans="14:14" x14ac:dyDescent="0.25">
      <c r="N8993" s="26"/>
    </row>
    <row r="8994" spans="14:14" x14ac:dyDescent="0.25">
      <c r="N8994" s="26"/>
    </row>
    <row r="8995" spans="14:14" x14ac:dyDescent="0.25">
      <c r="N8995" s="26"/>
    </row>
    <row r="8996" spans="14:14" x14ac:dyDescent="0.25">
      <c r="N8996" s="26"/>
    </row>
    <row r="8997" spans="14:14" x14ac:dyDescent="0.25">
      <c r="N8997" s="26"/>
    </row>
    <row r="8998" spans="14:14" x14ac:dyDescent="0.25">
      <c r="N8998" s="26"/>
    </row>
    <row r="8999" spans="14:14" x14ac:dyDescent="0.25">
      <c r="N8999" s="26"/>
    </row>
    <row r="9000" spans="14:14" x14ac:dyDescent="0.25">
      <c r="N9000" s="26"/>
    </row>
    <row r="9001" spans="14:14" x14ac:dyDescent="0.25">
      <c r="N9001" s="26"/>
    </row>
    <row r="9002" spans="14:14" x14ac:dyDescent="0.25">
      <c r="N9002" s="26"/>
    </row>
    <row r="9003" spans="14:14" x14ac:dyDescent="0.25">
      <c r="N9003" s="26"/>
    </row>
    <row r="9004" spans="14:14" x14ac:dyDescent="0.25">
      <c r="N9004" s="26"/>
    </row>
    <row r="9005" spans="14:14" x14ac:dyDescent="0.25">
      <c r="N9005" s="26"/>
    </row>
    <row r="9006" spans="14:14" x14ac:dyDescent="0.25">
      <c r="N9006" s="26"/>
    </row>
    <row r="9007" spans="14:14" x14ac:dyDescent="0.25">
      <c r="N9007" s="26"/>
    </row>
    <row r="9008" spans="14:14" x14ac:dyDescent="0.25">
      <c r="N9008" s="26"/>
    </row>
    <row r="9009" spans="14:14" x14ac:dyDescent="0.25">
      <c r="N9009" s="26"/>
    </row>
    <row r="9010" spans="14:14" x14ac:dyDescent="0.25">
      <c r="N9010" s="26"/>
    </row>
    <row r="9011" spans="14:14" x14ac:dyDescent="0.25">
      <c r="N9011" s="26"/>
    </row>
    <row r="9012" spans="14:14" x14ac:dyDescent="0.25">
      <c r="N9012" s="26"/>
    </row>
    <row r="9013" spans="14:14" x14ac:dyDescent="0.25">
      <c r="N9013" s="26"/>
    </row>
    <row r="9014" spans="14:14" x14ac:dyDescent="0.25">
      <c r="N9014" s="26"/>
    </row>
    <row r="9015" spans="14:14" x14ac:dyDescent="0.25">
      <c r="N9015" s="26"/>
    </row>
    <row r="9016" spans="14:14" x14ac:dyDescent="0.25">
      <c r="N9016" s="26"/>
    </row>
    <row r="9017" spans="14:14" x14ac:dyDescent="0.25">
      <c r="N9017" s="26"/>
    </row>
    <row r="9018" spans="14:14" x14ac:dyDescent="0.25">
      <c r="N9018" s="26"/>
    </row>
    <row r="9019" spans="14:14" x14ac:dyDescent="0.25">
      <c r="N9019" s="26"/>
    </row>
    <row r="9020" spans="14:14" x14ac:dyDescent="0.25">
      <c r="N9020" s="26"/>
    </row>
    <row r="9021" spans="14:14" x14ac:dyDescent="0.25">
      <c r="N9021" s="26"/>
    </row>
    <row r="9022" spans="14:14" x14ac:dyDescent="0.25">
      <c r="N9022" s="26"/>
    </row>
    <row r="9023" spans="14:14" x14ac:dyDescent="0.25">
      <c r="N9023" s="26"/>
    </row>
    <row r="9024" spans="14:14" x14ac:dyDescent="0.25">
      <c r="N9024" s="26"/>
    </row>
    <row r="9025" spans="14:14" x14ac:dyDescent="0.25">
      <c r="N9025" s="26"/>
    </row>
    <row r="9026" spans="14:14" x14ac:dyDescent="0.25">
      <c r="N9026" s="26"/>
    </row>
    <row r="9027" spans="14:14" x14ac:dyDescent="0.25">
      <c r="N9027" s="26"/>
    </row>
    <row r="9028" spans="14:14" x14ac:dyDescent="0.25">
      <c r="N9028" s="26"/>
    </row>
    <row r="9029" spans="14:14" x14ac:dyDescent="0.25">
      <c r="N9029" s="26"/>
    </row>
    <row r="9030" spans="14:14" x14ac:dyDescent="0.25">
      <c r="N9030" s="26"/>
    </row>
    <row r="9031" spans="14:14" x14ac:dyDescent="0.25">
      <c r="N9031" s="26"/>
    </row>
    <row r="9032" spans="14:14" x14ac:dyDescent="0.25">
      <c r="N9032" s="26"/>
    </row>
    <row r="9033" spans="14:14" x14ac:dyDescent="0.25">
      <c r="N9033" s="26"/>
    </row>
    <row r="9034" spans="14:14" x14ac:dyDescent="0.25">
      <c r="N9034" s="26"/>
    </row>
    <row r="9035" spans="14:14" x14ac:dyDescent="0.25">
      <c r="N9035" s="26"/>
    </row>
    <row r="9036" spans="14:14" x14ac:dyDescent="0.25">
      <c r="N9036" s="26"/>
    </row>
    <row r="9037" spans="14:14" x14ac:dyDescent="0.25">
      <c r="N9037" s="26"/>
    </row>
    <row r="9038" spans="14:14" x14ac:dyDescent="0.25">
      <c r="N9038" s="26"/>
    </row>
    <row r="9039" spans="14:14" x14ac:dyDescent="0.25">
      <c r="N9039" s="26"/>
    </row>
    <row r="9040" spans="14:14" x14ac:dyDescent="0.25">
      <c r="N9040" s="26"/>
    </row>
    <row r="9041" spans="14:14" x14ac:dyDescent="0.25">
      <c r="N9041" s="26"/>
    </row>
    <row r="9042" spans="14:14" x14ac:dyDescent="0.25">
      <c r="N9042" s="26"/>
    </row>
    <row r="9043" spans="14:14" x14ac:dyDescent="0.25">
      <c r="N9043" s="26"/>
    </row>
    <row r="9044" spans="14:14" x14ac:dyDescent="0.25">
      <c r="N9044" s="26"/>
    </row>
    <row r="9045" spans="14:14" x14ac:dyDescent="0.25">
      <c r="N9045" s="26"/>
    </row>
    <row r="9046" spans="14:14" x14ac:dyDescent="0.25">
      <c r="N9046" s="26"/>
    </row>
    <row r="9047" spans="14:14" x14ac:dyDescent="0.25">
      <c r="N9047" s="26"/>
    </row>
    <row r="9048" spans="14:14" x14ac:dyDescent="0.25">
      <c r="N9048" s="26"/>
    </row>
    <row r="9049" spans="14:14" x14ac:dyDescent="0.25">
      <c r="N9049" s="26"/>
    </row>
    <row r="9050" spans="14:14" x14ac:dyDescent="0.25">
      <c r="N9050" s="26"/>
    </row>
    <row r="9051" spans="14:14" x14ac:dyDescent="0.25">
      <c r="N9051" s="26"/>
    </row>
    <row r="9052" spans="14:14" x14ac:dyDescent="0.25">
      <c r="N9052" s="26"/>
    </row>
    <row r="9053" spans="14:14" x14ac:dyDescent="0.25">
      <c r="N9053" s="26"/>
    </row>
    <row r="9054" spans="14:14" x14ac:dyDescent="0.25">
      <c r="N9054" s="26"/>
    </row>
    <row r="9055" spans="14:14" x14ac:dyDescent="0.25">
      <c r="N9055" s="26"/>
    </row>
    <row r="9056" spans="14:14" x14ac:dyDescent="0.25">
      <c r="N9056" s="26"/>
    </row>
    <row r="9057" spans="14:14" x14ac:dyDescent="0.25">
      <c r="N9057" s="26"/>
    </row>
    <row r="9058" spans="14:14" x14ac:dyDescent="0.25">
      <c r="N9058" s="26"/>
    </row>
    <row r="9059" spans="14:14" x14ac:dyDescent="0.25">
      <c r="N9059" s="26"/>
    </row>
    <row r="9060" spans="14:14" x14ac:dyDescent="0.25">
      <c r="N9060" s="26"/>
    </row>
    <row r="9061" spans="14:14" x14ac:dyDescent="0.25">
      <c r="N9061" s="26"/>
    </row>
    <row r="9062" spans="14:14" x14ac:dyDescent="0.25">
      <c r="N9062" s="26"/>
    </row>
    <row r="9063" spans="14:14" x14ac:dyDescent="0.25">
      <c r="N9063" s="26"/>
    </row>
    <row r="9064" spans="14:14" x14ac:dyDescent="0.25">
      <c r="N9064" s="26"/>
    </row>
    <row r="9065" spans="14:14" x14ac:dyDescent="0.25">
      <c r="N9065" s="26"/>
    </row>
    <row r="9066" spans="14:14" x14ac:dyDescent="0.25">
      <c r="N9066" s="26"/>
    </row>
    <row r="9067" spans="14:14" x14ac:dyDescent="0.25">
      <c r="N9067" s="26"/>
    </row>
    <row r="9068" spans="14:14" x14ac:dyDescent="0.25">
      <c r="N9068" s="26"/>
    </row>
    <row r="9069" spans="14:14" x14ac:dyDescent="0.25">
      <c r="N9069" s="26"/>
    </row>
    <row r="9070" spans="14:14" x14ac:dyDescent="0.25">
      <c r="N9070" s="26"/>
    </row>
    <row r="9071" spans="14:14" x14ac:dyDescent="0.25">
      <c r="N9071" s="26"/>
    </row>
    <row r="9072" spans="14:14" x14ac:dyDescent="0.25">
      <c r="N9072" s="26"/>
    </row>
    <row r="9073" spans="14:14" x14ac:dyDescent="0.25">
      <c r="N9073" s="26"/>
    </row>
    <row r="9074" spans="14:14" x14ac:dyDescent="0.25">
      <c r="N9074" s="26"/>
    </row>
    <row r="9075" spans="14:14" x14ac:dyDescent="0.25">
      <c r="N9075" s="26"/>
    </row>
    <row r="9076" spans="14:14" x14ac:dyDescent="0.25">
      <c r="N9076" s="26"/>
    </row>
    <row r="9077" spans="14:14" x14ac:dyDescent="0.25">
      <c r="N9077" s="26"/>
    </row>
    <row r="9078" spans="14:14" x14ac:dyDescent="0.25">
      <c r="N9078" s="26"/>
    </row>
    <row r="9079" spans="14:14" x14ac:dyDescent="0.25">
      <c r="N9079" s="26"/>
    </row>
    <row r="9080" spans="14:14" x14ac:dyDescent="0.25">
      <c r="N9080" s="26"/>
    </row>
    <row r="9081" spans="14:14" x14ac:dyDescent="0.25">
      <c r="N9081" s="26"/>
    </row>
    <row r="9082" spans="14:14" x14ac:dyDescent="0.25">
      <c r="N9082" s="26"/>
    </row>
    <row r="9083" spans="14:14" x14ac:dyDescent="0.25">
      <c r="N9083" s="26"/>
    </row>
    <row r="9084" spans="14:14" x14ac:dyDescent="0.25">
      <c r="N9084" s="26"/>
    </row>
    <row r="9085" spans="14:14" x14ac:dyDescent="0.25">
      <c r="N9085" s="26"/>
    </row>
    <row r="9086" spans="14:14" x14ac:dyDescent="0.25">
      <c r="N9086" s="26"/>
    </row>
    <row r="9087" spans="14:14" x14ac:dyDescent="0.25">
      <c r="N9087" s="26"/>
    </row>
    <row r="9088" spans="14:14" x14ac:dyDescent="0.25">
      <c r="N9088" s="26"/>
    </row>
    <row r="9089" spans="14:14" x14ac:dyDescent="0.25">
      <c r="N9089" s="26"/>
    </row>
    <row r="9090" spans="14:14" x14ac:dyDescent="0.25">
      <c r="N9090" s="26"/>
    </row>
    <row r="9091" spans="14:14" x14ac:dyDescent="0.25">
      <c r="N9091" s="26"/>
    </row>
    <row r="9092" spans="14:14" x14ac:dyDescent="0.25">
      <c r="N9092" s="26"/>
    </row>
    <row r="9093" spans="14:14" x14ac:dyDescent="0.25">
      <c r="N9093" s="26"/>
    </row>
    <row r="9094" spans="14:14" x14ac:dyDescent="0.25">
      <c r="N9094" s="26"/>
    </row>
    <row r="9095" spans="14:14" x14ac:dyDescent="0.25">
      <c r="N9095" s="26"/>
    </row>
    <row r="9096" spans="14:14" x14ac:dyDescent="0.25">
      <c r="N9096" s="26"/>
    </row>
    <row r="9097" spans="14:14" x14ac:dyDescent="0.25">
      <c r="N9097" s="26"/>
    </row>
    <row r="9098" spans="14:14" x14ac:dyDescent="0.25">
      <c r="N9098" s="26"/>
    </row>
    <row r="9099" spans="14:14" x14ac:dyDescent="0.25">
      <c r="N9099" s="26"/>
    </row>
    <row r="9100" spans="14:14" x14ac:dyDescent="0.25">
      <c r="N9100" s="26"/>
    </row>
    <row r="9101" spans="14:14" x14ac:dyDescent="0.25">
      <c r="N9101" s="26"/>
    </row>
    <row r="9102" spans="14:14" x14ac:dyDescent="0.25">
      <c r="N9102" s="26"/>
    </row>
    <row r="9103" spans="14:14" x14ac:dyDescent="0.25">
      <c r="N9103" s="26"/>
    </row>
    <row r="9104" spans="14:14" x14ac:dyDescent="0.25">
      <c r="N9104" s="26"/>
    </row>
    <row r="9105" spans="14:14" x14ac:dyDescent="0.25">
      <c r="N9105" s="26"/>
    </row>
    <row r="9106" spans="14:14" x14ac:dyDescent="0.25">
      <c r="N9106" s="26"/>
    </row>
    <row r="9107" spans="14:14" x14ac:dyDescent="0.25">
      <c r="N9107" s="26"/>
    </row>
    <row r="9108" spans="14:14" x14ac:dyDescent="0.25">
      <c r="N9108" s="26"/>
    </row>
    <row r="9109" spans="14:14" x14ac:dyDescent="0.25">
      <c r="N9109" s="26"/>
    </row>
    <row r="9110" spans="14:14" x14ac:dyDescent="0.25">
      <c r="N9110" s="26"/>
    </row>
    <row r="9111" spans="14:14" x14ac:dyDescent="0.25">
      <c r="N9111" s="26"/>
    </row>
    <row r="9112" spans="14:14" x14ac:dyDescent="0.25">
      <c r="N9112" s="26"/>
    </row>
    <row r="9113" spans="14:14" x14ac:dyDescent="0.25">
      <c r="N9113" s="26"/>
    </row>
    <row r="9114" spans="14:14" x14ac:dyDescent="0.25">
      <c r="N9114" s="26"/>
    </row>
    <row r="9115" spans="14:14" x14ac:dyDescent="0.25">
      <c r="N9115" s="26"/>
    </row>
    <row r="9116" spans="14:14" x14ac:dyDescent="0.25">
      <c r="N9116" s="26"/>
    </row>
    <row r="9117" spans="14:14" x14ac:dyDescent="0.25">
      <c r="N9117" s="26"/>
    </row>
    <row r="9118" spans="14:14" x14ac:dyDescent="0.25">
      <c r="N9118" s="26"/>
    </row>
    <row r="9119" spans="14:14" x14ac:dyDescent="0.25">
      <c r="N9119" s="26"/>
    </row>
    <row r="9120" spans="14:14" x14ac:dyDescent="0.25">
      <c r="N9120" s="26"/>
    </row>
    <row r="9121" spans="14:14" x14ac:dyDescent="0.25">
      <c r="N9121" s="26"/>
    </row>
    <row r="9122" spans="14:14" x14ac:dyDescent="0.25">
      <c r="N9122" s="26"/>
    </row>
    <row r="9123" spans="14:14" x14ac:dyDescent="0.25">
      <c r="N9123" s="26"/>
    </row>
    <row r="9124" spans="14:14" x14ac:dyDescent="0.25">
      <c r="N9124" s="26"/>
    </row>
    <row r="9125" spans="14:14" x14ac:dyDescent="0.25">
      <c r="N9125" s="26"/>
    </row>
    <row r="9126" spans="14:14" x14ac:dyDescent="0.25">
      <c r="N9126" s="26"/>
    </row>
    <row r="9127" spans="14:14" x14ac:dyDescent="0.25">
      <c r="N9127" s="26"/>
    </row>
    <row r="9128" spans="14:14" x14ac:dyDescent="0.25">
      <c r="N9128" s="26"/>
    </row>
    <row r="9129" spans="14:14" x14ac:dyDescent="0.25">
      <c r="N9129" s="26"/>
    </row>
    <row r="9130" spans="14:14" x14ac:dyDescent="0.25">
      <c r="N9130" s="26"/>
    </row>
    <row r="9131" spans="14:14" x14ac:dyDescent="0.25">
      <c r="N9131" s="26"/>
    </row>
    <row r="9132" spans="14:14" x14ac:dyDescent="0.25">
      <c r="N9132" s="26"/>
    </row>
    <row r="9133" spans="14:14" x14ac:dyDescent="0.25">
      <c r="N9133" s="26"/>
    </row>
    <row r="9134" spans="14:14" x14ac:dyDescent="0.25">
      <c r="N9134" s="26"/>
    </row>
    <row r="9135" spans="14:14" x14ac:dyDescent="0.25">
      <c r="N9135" s="26"/>
    </row>
    <row r="9136" spans="14:14" x14ac:dyDescent="0.25">
      <c r="N9136" s="26"/>
    </row>
    <row r="9137" spans="14:14" x14ac:dyDescent="0.25">
      <c r="N9137" s="26"/>
    </row>
    <row r="9138" spans="14:14" x14ac:dyDescent="0.25">
      <c r="N9138" s="26"/>
    </row>
    <row r="9139" spans="14:14" x14ac:dyDescent="0.25">
      <c r="N9139" s="26"/>
    </row>
    <row r="9140" spans="14:14" x14ac:dyDescent="0.25">
      <c r="N9140" s="26"/>
    </row>
    <row r="9141" spans="14:14" x14ac:dyDescent="0.25">
      <c r="N9141" s="26"/>
    </row>
    <row r="9142" spans="14:14" x14ac:dyDescent="0.25">
      <c r="N9142" s="26"/>
    </row>
    <row r="9143" spans="14:14" x14ac:dyDescent="0.25">
      <c r="N9143" s="26"/>
    </row>
    <row r="9144" spans="14:14" x14ac:dyDescent="0.25">
      <c r="N9144" s="26"/>
    </row>
    <row r="9145" spans="14:14" x14ac:dyDescent="0.25">
      <c r="N9145" s="26"/>
    </row>
    <row r="9146" spans="14:14" x14ac:dyDescent="0.25">
      <c r="N9146" s="26"/>
    </row>
    <row r="9147" spans="14:14" x14ac:dyDescent="0.25">
      <c r="N9147" s="26"/>
    </row>
    <row r="9148" spans="14:14" x14ac:dyDescent="0.25">
      <c r="N9148" s="26"/>
    </row>
    <row r="9149" spans="14:14" x14ac:dyDescent="0.25">
      <c r="N9149" s="26"/>
    </row>
    <row r="9150" spans="14:14" x14ac:dyDescent="0.25">
      <c r="N9150" s="26"/>
    </row>
    <row r="9151" spans="14:14" x14ac:dyDescent="0.25">
      <c r="N9151" s="26"/>
    </row>
    <row r="9152" spans="14:14" x14ac:dyDescent="0.25">
      <c r="N9152" s="26"/>
    </row>
    <row r="9153" spans="14:14" x14ac:dyDescent="0.25">
      <c r="N9153" s="26"/>
    </row>
    <row r="9154" spans="14:14" x14ac:dyDescent="0.25">
      <c r="N9154" s="26"/>
    </row>
    <row r="9155" spans="14:14" x14ac:dyDescent="0.25">
      <c r="N9155" s="26"/>
    </row>
    <row r="9156" spans="14:14" x14ac:dyDescent="0.25">
      <c r="N9156" s="26"/>
    </row>
    <row r="9157" spans="14:14" x14ac:dyDescent="0.25">
      <c r="N9157" s="26"/>
    </row>
    <row r="9158" spans="14:14" x14ac:dyDescent="0.25">
      <c r="N9158" s="26"/>
    </row>
    <row r="9159" spans="14:14" x14ac:dyDescent="0.25">
      <c r="N9159" s="26"/>
    </row>
    <row r="9160" spans="14:14" x14ac:dyDescent="0.25">
      <c r="N9160" s="26"/>
    </row>
    <row r="9161" spans="14:14" x14ac:dyDescent="0.25">
      <c r="N9161" s="26"/>
    </row>
    <row r="9162" spans="14:14" x14ac:dyDescent="0.25">
      <c r="N9162" s="26"/>
    </row>
    <row r="9163" spans="14:14" x14ac:dyDescent="0.25">
      <c r="N9163" s="26"/>
    </row>
    <row r="9164" spans="14:14" x14ac:dyDescent="0.25">
      <c r="N9164" s="26"/>
    </row>
    <row r="9165" spans="14:14" x14ac:dyDescent="0.25">
      <c r="N9165" s="26"/>
    </row>
    <row r="9166" spans="14:14" x14ac:dyDescent="0.25">
      <c r="N9166" s="26"/>
    </row>
    <row r="9167" spans="14:14" x14ac:dyDescent="0.25">
      <c r="N9167" s="26"/>
    </row>
    <row r="9168" spans="14:14" x14ac:dyDescent="0.25">
      <c r="N9168" s="26"/>
    </row>
    <row r="9169" spans="14:14" x14ac:dyDescent="0.25">
      <c r="N9169" s="26"/>
    </row>
    <row r="9170" spans="14:14" x14ac:dyDescent="0.25">
      <c r="N9170" s="26"/>
    </row>
    <row r="9171" spans="14:14" x14ac:dyDescent="0.25">
      <c r="N9171" s="26"/>
    </row>
    <row r="9172" spans="14:14" x14ac:dyDescent="0.25">
      <c r="N9172" s="26"/>
    </row>
    <row r="9173" spans="14:14" x14ac:dyDescent="0.25">
      <c r="N9173" s="26"/>
    </row>
    <row r="9174" spans="14:14" x14ac:dyDescent="0.25">
      <c r="N9174" s="26"/>
    </row>
    <row r="9175" spans="14:14" x14ac:dyDescent="0.25">
      <c r="N9175" s="26"/>
    </row>
    <row r="9176" spans="14:14" x14ac:dyDescent="0.25">
      <c r="N9176" s="26"/>
    </row>
    <row r="9177" spans="14:14" x14ac:dyDescent="0.25">
      <c r="N9177" s="26"/>
    </row>
    <row r="9178" spans="14:14" x14ac:dyDescent="0.25">
      <c r="N9178" s="26"/>
    </row>
    <row r="9179" spans="14:14" x14ac:dyDescent="0.25">
      <c r="N9179" s="26"/>
    </row>
    <row r="9180" spans="14:14" x14ac:dyDescent="0.25">
      <c r="N9180" s="26"/>
    </row>
    <row r="9181" spans="14:14" x14ac:dyDescent="0.25">
      <c r="N9181" s="26"/>
    </row>
    <row r="9182" spans="14:14" x14ac:dyDescent="0.25">
      <c r="N9182" s="26"/>
    </row>
    <row r="9183" spans="14:14" x14ac:dyDescent="0.25">
      <c r="N9183" s="26"/>
    </row>
    <row r="9184" spans="14:14" x14ac:dyDescent="0.25">
      <c r="N9184" s="26"/>
    </row>
    <row r="9185" spans="14:14" x14ac:dyDescent="0.25">
      <c r="N9185" s="26"/>
    </row>
    <row r="9186" spans="14:14" x14ac:dyDescent="0.25">
      <c r="N9186" s="26"/>
    </row>
    <row r="9187" spans="14:14" x14ac:dyDescent="0.25">
      <c r="N9187" s="26"/>
    </row>
    <row r="9188" spans="14:14" x14ac:dyDescent="0.25">
      <c r="N9188" s="26"/>
    </row>
    <row r="9189" spans="14:14" x14ac:dyDescent="0.25">
      <c r="N9189" s="26"/>
    </row>
    <row r="9190" spans="14:14" x14ac:dyDescent="0.25">
      <c r="N9190" s="26"/>
    </row>
    <row r="9191" spans="14:14" x14ac:dyDescent="0.25">
      <c r="N9191" s="26"/>
    </row>
    <row r="9192" spans="14:14" x14ac:dyDescent="0.25">
      <c r="N9192" s="26"/>
    </row>
    <row r="9193" spans="14:14" x14ac:dyDescent="0.25">
      <c r="N9193" s="26"/>
    </row>
    <row r="9194" spans="14:14" x14ac:dyDescent="0.25">
      <c r="N9194" s="26"/>
    </row>
    <row r="9195" spans="14:14" x14ac:dyDescent="0.25">
      <c r="N9195" s="26"/>
    </row>
    <row r="9196" spans="14:14" x14ac:dyDescent="0.25">
      <c r="N9196" s="26"/>
    </row>
    <row r="9197" spans="14:14" x14ac:dyDescent="0.25">
      <c r="N9197" s="26"/>
    </row>
    <row r="9198" spans="14:14" x14ac:dyDescent="0.25">
      <c r="N9198" s="26"/>
    </row>
    <row r="9199" spans="14:14" x14ac:dyDescent="0.25">
      <c r="N9199" s="26"/>
    </row>
    <row r="9200" spans="14:14" x14ac:dyDescent="0.25">
      <c r="N9200" s="26"/>
    </row>
    <row r="9201" spans="14:14" x14ac:dyDescent="0.25">
      <c r="N9201" s="26"/>
    </row>
    <row r="9202" spans="14:14" x14ac:dyDescent="0.25">
      <c r="N9202" s="26"/>
    </row>
    <row r="9203" spans="14:14" x14ac:dyDescent="0.25">
      <c r="N9203" s="26"/>
    </row>
    <row r="9204" spans="14:14" x14ac:dyDescent="0.25">
      <c r="N9204" s="26"/>
    </row>
    <row r="9205" spans="14:14" x14ac:dyDescent="0.25">
      <c r="N9205" s="26"/>
    </row>
    <row r="9206" spans="14:14" x14ac:dyDescent="0.25">
      <c r="N9206" s="26"/>
    </row>
    <row r="9207" spans="14:14" x14ac:dyDescent="0.25">
      <c r="N9207" s="26"/>
    </row>
    <row r="9208" spans="14:14" x14ac:dyDescent="0.25">
      <c r="N9208" s="26"/>
    </row>
    <row r="9209" spans="14:14" x14ac:dyDescent="0.25">
      <c r="N9209" s="26"/>
    </row>
    <row r="9210" spans="14:14" x14ac:dyDescent="0.25">
      <c r="N9210" s="26"/>
    </row>
    <row r="9211" spans="14:14" x14ac:dyDescent="0.25">
      <c r="N9211" s="26"/>
    </row>
    <row r="9212" spans="14:14" x14ac:dyDescent="0.25">
      <c r="N9212" s="26"/>
    </row>
    <row r="9213" spans="14:14" x14ac:dyDescent="0.25">
      <c r="N9213" s="26"/>
    </row>
    <row r="9214" spans="14:14" x14ac:dyDescent="0.25">
      <c r="N9214" s="26"/>
    </row>
    <row r="9215" spans="14:14" x14ac:dyDescent="0.25">
      <c r="N9215" s="26"/>
    </row>
    <row r="9216" spans="14:14" x14ac:dyDescent="0.25">
      <c r="N9216" s="26"/>
    </row>
    <row r="9217" spans="14:14" x14ac:dyDescent="0.25">
      <c r="N9217" s="26"/>
    </row>
    <row r="9218" spans="14:14" x14ac:dyDescent="0.25">
      <c r="N9218" s="26"/>
    </row>
    <row r="9219" spans="14:14" x14ac:dyDescent="0.25">
      <c r="N9219" s="26"/>
    </row>
    <row r="9220" spans="14:14" x14ac:dyDescent="0.25">
      <c r="N9220" s="26"/>
    </row>
    <row r="9221" spans="14:14" x14ac:dyDescent="0.25">
      <c r="N9221" s="26"/>
    </row>
    <row r="9222" spans="14:14" x14ac:dyDescent="0.25">
      <c r="N9222" s="26"/>
    </row>
    <row r="9223" spans="14:14" x14ac:dyDescent="0.25">
      <c r="N9223" s="26"/>
    </row>
    <row r="9224" spans="14:14" x14ac:dyDescent="0.25">
      <c r="N9224" s="26"/>
    </row>
    <row r="9225" spans="14:14" x14ac:dyDescent="0.25">
      <c r="N9225" s="26"/>
    </row>
    <row r="9226" spans="14:14" x14ac:dyDescent="0.25">
      <c r="N9226" s="26"/>
    </row>
    <row r="9227" spans="14:14" x14ac:dyDescent="0.25">
      <c r="N9227" s="26"/>
    </row>
    <row r="9228" spans="14:14" x14ac:dyDescent="0.25">
      <c r="N9228" s="26"/>
    </row>
    <row r="9229" spans="14:14" x14ac:dyDescent="0.25">
      <c r="N9229" s="26"/>
    </row>
    <row r="9230" spans="14:14" x14ac:dyDescent="0.25">
      <c r="N9230" s="26"/>
    </row>
    <row r="9231" spans="14:14" x14ac:dyDescent="0.25">
      <c r="N9231" s="26"/>
    </row>
    <row r="9232" spans="14:14" x14ac:dyDescent="0.25">
      <c r="N9232" s="26"/>
    </row>
    <row r="9233" spans="14:14" x14ac:dyDescent="0.25">
      <c r="N9233" s="26"/>
    </row>
    <row r="9234" spans="14:14" x14ac:dyDescent="0.25">
      <c r="N9234" s="26"/>
    </row>
    <row r="9235" spans="14:14" x14ac:dyDescent="0.25">
      <c r="N9235" s="26"/>
    </row>
    <row r="9236" spans="14:14" x14ac:dyDescent="0.25">
      <c r="N9236" s="26"/>
    </row>
    <row r="9237" spans="14:14" x14ac:dyDescent="0.25">
      <c r="N9237" s="26"/>
    </row>
    <row r="9238" spans="14:14" x14ac:dyDescent="0.25">
      <c r="N9238" s="26"/>
    </row>
    <row r="9239" spans="14:14" x14ac:dyDescent="0.25">
      <c r="N9239" s="26"/>
    </row>
    <row r="9240" spans="14:14" x14ac:dyDescent="0.25">
      <c r="N9240" s="26"/>
    </row>
    <row r="9241" spans="14:14" x14ac:dyDescent="0.25">
      <c r="N9241" s="26"/>
    </row>
    <row r="9242" spans="14:14" x14ac:dyDescent="0.25">
      <c r="N9242" s="26"/>
    </row>
    <row r="9243" spans="14:14" x14ac:dyDescent="0.25">
      <c r="N9243" s="26"/>
    </row>
    <row r="9244" spans="14:14" x14ac:dyDescent="0.25">
      <c r="N9244" s="26"/>
    </row>
    <row r="9245" spans="14:14" x14ac:dyDescent="0.25">
      <c r="N9245" s="26"/>
    </row>
    <row r="9246" spans="14:14" x14ac:dyDescent="0.25">
      <c r="N9246" s="26"/>
    </row>
    <row r="9247" spans="14:14" x14ac:dyDescent="0.25">
      <c r="N9247" s="26"/>
    </row>
    <row r="9248" spans="14:14" x14ac:dyDescent="0.25">
      <c r="N9248" s="26"/>
    </row>
    <row r="9249" spans="14:14" x14ac:dyDescent="0.25">
      <c r="N9249" s="26"/>
    </row>
    <row r="9250" spans="14:14" x14ac:dyDescent="0.25">
      <c r="N9250" s="26"/>
    </row>
    <row r="9251" spans="14:14" x14ac:dyDescent="0.25">
      <c r="N9251" s="26"/>
    </row>
    <row r="9252" spans="14:14" x14ac:dyDescent="0.25">
      <c r="N9252" s="26"/>
    </row>
    <row r="9253" spans="14:14" x14ac:dyDescent="0.25">
      <c r="N9253" s="26"/>
    </row>
    <row r="9254" spans="14:14" x14ac:dyDescent="0.25">
      <c r="N9254" s="26"/>
    </row>
    <row r="9255" spans="14:14" x14ac:dyDescent="0.25">
      <c r="N9255" s="26"/>
    </row>
    <row r="9256" spans="14:14" x14ac:dyDescent="0.25">
      <c r="N9256" s="26"/>
    </row>
    <row r="9257" spans="14:14" x14ac:dyDescent="0.25">
      <c r="N9257" s="26"/>
    </row>
    <row r="9258" spans="14:14" x14ac:dyDescent="0.25">
      <c r="N9258" s="26"/>
    </row>
    <row r="9259" spans="14:14" x14ac:dyDescent="0.25">
      <c r="N9259" s="26"/>
    </row>
    <row r="9260" spans="14:14" x14ac:dyDescent="0.25">
      <c r="N9260" s="26"/>
    </row>
    <row r="9261" spans="14:14" x14ac:dyDescent="0.25">
      <c r="N9261" s="26"/>
    </row>
    <row r="9262" spans="14:14" x14ac:dyDescent="0.25">
      <c r="N9262" s="26"/>
    </row>
    <row r="9263" spans="14:14" x14ac:dyDescent="0.25">
      <c r="N9263" s="26"/>
    </row>
    <row r="9264" spans="14:14" x14ac:dyDescent="0.25">
      <c r="N9264" s="26"/>
    </row>
    <row r="9265" spans="14:14" x14ac:dyDescent="0.25">
      <c r="N9265" s="26"/>
    </row>
    <row r="9266" spans="14:14" x14ac:dyDescent="0.25">
      <c r="N9266" s="26"/>
    </row>
    <row r="9267" spans="14:14" x14ac:dyDescent="0.25">
      <c r="N9267" s="26"/>
    </row>
    <row r="9268" spans="14:14" x14ac:dyDescent="0.25">
      <c r="N9268" s="26"/>
    </row>
    <row r="9269" spans="14:14" x14ac:dyDescent="0.25">
      <c r="N9269" s="26"/>
    </row>
    <row r="9270" spans="14:14" x14ac:dyDescent="0.25">
      <c r="N9270" s="26"/>
    </row>
    <row r="9271" spans="14:14" x14ac:dyDescent="0.25">
      <c r="N9271" s="26"/>
    </row>
    <row r="9272" spans="14:14" x14ac:dyDescent="0.25">
      <c r="N9272" s="26"/>
    </row>
    <row r="9273" spans="14:14" x14ac:dyDescent="0.25">
      <c r="N9273" s="26"/>
    </row>
    <row r="9274" spans="14:14" x14ac:dyDescent="0.25">
      <c r="N9274" s="26"/>
    </row>
    <row r="9275" spans="14:14" x14ac:dyDescent="0.25">
      <c r="N9275" s="26"/>
    </row>
    <row r="9276" spans="14:14" x14ac:dyDescent="0.25">
      <c r="N9276" s="26"/>
    </row>
    <row r="9277" spans="14:14" x14ac:dyDescent="0.25">
      <c r="N9277" s="26"/>
    </row>
    <row r="9278" spans="14:14" x14ac:dyDescent="0.25">
      <c r="N9278" s="26"/>
    </row>
    <row r="9279" spans="14:14" x14ac:dyDescent="0.25">
      <c r="N9279" s="26"/>
    </row>
    <row r="9280" spans="14:14" x14ac:dyDescent="0.25">
      <c r="N9280" s="26"/>
    </row>
    <row r="9281" spans="14:14" x14ac:dyDescent="0.25">
      <c r="N9281" s="26"/>
    </row>
    <row r="9282" spans="14:14" x14ac:dyDescent="0.25">
      <c r="N9282" s="26"/>
    </row>
    <row r="9283" spans="14:14" x14ac:dyDescent="0.25">
      <c r="N9283" s="26"/>
    </row>
    <row r="9284" spans="14:14" x14ac:dyDescent="0.25">
      <c r="N9284" s="26"/>
    </row>
    <row r="9285" spans="14:14" x14ac:dyDescent="0.25">
      <c r="N9285" s="26"/>
    </row>
    <row r="9286" spans="14:14" x14ac:dyDescent="0.25">
      <c r="N9286" s="26"/>
    </row>
    <row r="9287" spans="14:14" x14ac:dyDescent="0.25">
      <c r="N9287" s="26"/>
    </row>
    <row r="9288" spans="14:14" x14ac:dyDescent="0.25">
      <c r="N9288" s="26"/>
    </row>
    <row r="9289" spans="14:14" x14ac:dyDescent="0.25">
      <c r="N9289" s="26"/>
    </row>
    <row r="9290" spans="14:14" x14ac:dyDescent="0.25">
      <c r="N9290" s="26"/>
    </row>
    <row r="9291" spans="14:14" x14ac:dyDescent="0.25">
      <c r="N9291" s="26"/>
    </row>
    <row r="9292" spans="14:14" x14ac:dyDescent="0.25">
      <c r="N9292" s="26"/>
    </row>
    <row r="9293" spans="14:14" x14ac:dyDescent="0.25">
      <c r="N9293" s="26"/>
    </row>
    <row r="9294" spans="14:14" x14ac:dyDescent="0.25">
      <c r="N9294" s="26"/>
    </row>
    <row r="9295" spans="14:14" x14ac:dyDescent="0.25">
      <c r="N9295" s="26"/>
    </row>
    <row r="9296" spans="14:14" x14ac:dyDescent="0.25">
      <c r="N9296" s="26"/>
    </row>
    <row r="9297" spans="14:14" x14ac:dyDescent="0.25">
      <c r="N9297" s="26"/>
    </row>
    <row r="9298" spans="14:14" x14ac:dyDescent="0.25">
      <c r="N9298" s="26"/>
    </row>
    <row r="9299" spans="14:14" x14ac:dyDescent="0.25">
      <c r="N9299" s="26"/>
    </row>
    <row r="9300" spans="14:14" x14ac:dyDescent="0.25">
      <c r="N9300" s="26"/>
    </row>
    <row r="9301" spans="14:14" x14ac:dyDescent="0.25">
      <c r="N9301" s="26"/>
    </row>
    <row r="9302" spans="14:14" x14ac:dyDescent="0.25">
      <c r="N9302" s="26"/>
    </row>
    <row r="9303" spans="14:14" x14ac:dyDescent="0.25">
      <c r="N9303" s="26"/>
    </row>
    <row r="9304" spans="14:14" x14ac:dyDescent="0.25">
      <c r="N9304" s="26"/>
    </row>
    <row r="9305" spans="14:14" x14ac:dyDescent="0.25">
      <c r="N9305" s="26"/>
    </row>
    <row r="9306" spans="14:14" x14ac:dyDescent="0.25">
      <c r="N9306" s="26"/>
    </row>
    <row r="9307" spans="14:14" x14ac:dyDescent="0.25">
      <c r="N9307" s="26"/>
    </row>
    <row r="9308" spans="14:14" x14ac:dyDescent="0.25">
      <c r="N9308" s="26"/>
    </row>
    <row r="9309" spans="14:14" x14ac:dyDescent="0.25">
      <c r="N9309" s="26"/>
    </row>
    <row r="9310" spans="14:14" x14ac:dyDescent="0.25">
      <c r="N9310" s="26"/>
    </row>
    <row r="9311" spans="14:14" x14ac:dyDescent="0.25">
      <c r="N9311" s="26"/>
    </row>
    <row r="9312" spans="14:14" x14ac:dyDescent="0.25">
      <c r="N9312" s="26"/>
    </row>
    <row r="9313" spans="14:14" x14ac:dyDescent="0.25">
      <c r="N9313" s="26"/>
    </row>
    <row r="9314" spans="14:14" x14ac:dyDescent="0.25">
      <c r="N9314" s="26"/>
    </row>
    <row r="9315" spans="14:14" x14ac:dyDescent="0.25">
      <c r="N9315" s="26"/>
    </row>
    <row r="9316" spans="14:14" x14ac:dyDescent="0.25">
      <c r="N9316" s="26"/>
    </row>
    <row r="9317" spans="14:14" x14ac:dyDescent="0.25">
      <c r="N9317" s="26"/>
    </row>
    <row r="9318" spans="14:14" x14ac:dyDescent="0.25">
      <c r="N9318" s="26"/>
    </row>
    <row r="9319" spans="14:14" x14ac:dyDescent="0.25">
      <c r="N9319" s="26"/>
    </row>
    <row r="9320" spans="14:14" x14ac:dyDescent="0.25">
      <c r="N9320" s="26"/>
    </row>
    <row r="9321" spans="14:14" x14ac:dyDescent="0.25">
      <c r="N9321" s="26"/>
    </row>
    <row r="9322" spans="14:14" x14ac:dyDescent="0.25">
      <c r="N9322" s="26"/>
    </row>
    <row r="9323" spans="14:14" x14ac:dyDescent="0.25">
      <c r="N9323" s="26"/>
    </row>
    <row r="9324" spans="14:14" x14ac:dyDescent="0.25">
      <c r="N9324" s="26"/>
    </row>
    <row r="9325" spans="14:14" x14ac:dyDescent="0.25">
      <c r="N9325" s="26"/>
    </row>
    <row r="9326" spans="14:14" x14ac:dyDescent="0.25">
      <c r="N9326" s="26"/>
    </row>
    <row r="9327" spans="14:14" x14ac:dyDescent="0.25">
      <c r="N9327" s="26"/>
    </row>
    <row r="9328" spans="14:14" x14ac:dyDescent="0.25">
      <c r="N9328" s="26"/>
    </row>
    <row r="9329" spans="14:14" x14ac:dyDescent="0.25">
      <c r="N9329" s="26"/>
    </row>
    <row r="9330" spans="14:14" x14ac:dyDescent="0.25">
      <c r="N9330" s="26"/>
    </row>
    <row r="9331" spans="14:14" x14ac:dyDescent="0.25">
      <c r="N9331" s="26"/>
    </row>
    <row r="9332" spans="14:14" x14ac:dyDescent="0.25">
      <c r="N9332" s="26"/>
    </row>
    <row r="9333" spans="14:14" x14ac:dyDescent="0.25">
      <c r="N9333" s="26"/>
    </row>
    <row r="9334" spans="14:14" x14ac:dyDescent="0.25">
      <c r="N9334" s="26"/>
    </row>
    <row r="9335" spans="14:14" x14ac:dyDescent="0.25">
      <c r="N9335" s="26"/>
    </row>
    <row r="9336" spans="14:14" x14ac:dyDescent="0.25">
      <c r="N9336" s="26"/>
    </row>
    <row r="9337" spans="14:14" x14ac:dyDescent="0.25">
      <c r="N9337" s="26"/>
    </row>
    <row r="9338" spans="14:14" x14ac:dyDescent="0.25">
      <c r="N9338" s="26"/>
    </row>
    <row r="9339" spans="14:14" x14ac:dyDescent="0.25">
      <c r="N9339" s="26"/>
    </row>
    <row r="9340" spans="14:14" x14ac:dyDescent="0.25">
      <c r="N9340" s="26"/>
    </row>
    <row r="9341" spans="14:14" x14ac:dyDescent="0.25">
      <c r="N9341" s="26"/>
    </row>
    <row r="9342" spans="14:14" x14ac:dyDescent="0.25">
      <c r="N9342" s="26"/>
    </row>
    <row r="9343" spans="14:14" x14ac:dyDescent="0.25">
      <c r="N9343" s="26"/>
    </row>
    <row r="9344" spans="14:14" x14ac:dyDescent="0.25">
      <c r="N9344" s="26"/>
    </row>
    <row r="9345" spans="14:14" x14ac:dyDescent="0.25">
      <c r="N9345" s="26"/>
    </row>
    <row r="9346" spans="14:14" x14ac:dyDescent="0.25">
      <c r="N9346" s="26"/>
    </row>
    <row r="9347" spans="14:14" x14ac:dyDescent="0.25">
      <c r="N9347" s="26"/>
    </row>
    <row r="9348" spans="14:14" x14ac:dyDescent="0.25">
      <c r="N9348" s="26"/>
    </row>
    <row r="9349" spans="14:14" x14ac:dyDescent="0.25">
      <c r="N9349" s="26"/>
    </row>
    <row r="9350" spans="14:14" x14ac:dyDescent="0.25">
      <c r="N9350" s="26"/>
    </row>
    <row r="9351" spans="14:14" x14ac:dyDescent="0.25">
      <c r="N9351" s="26"/>
    </row>
    <row r="9352" spans="14:14" x14ac:dyDescent="0.25">
      <c r="N9352" s="26"/>
    </row>
    <row r="9353" spans="14:14" x14ac:dyDescent="0.25">
      <c r="N9353" s="26"/>
    </row>
    <row r="9354" spans="14:14" x14ac:dyDescent="0.25">
      <c r="N9354" s="26"/>
    </row>
    <row r="9355" spans="14:14" x14ac:dyDescent="0.25">
      <c r="N9355" s="26"/>
    </row>
    <row r="9356" spans="14:14" x14ac:dyDescent="0.25">
      <c r="N9356" s="26"/>
    </row>
    <row r="9357" spans="14:14" x14ac:dyDescent="0.25">
      <c r="N9357" s="26"/>
    </row>
    <row r="9358" spans="14:14" x14ac:dyDescent="0.25">
      <c r="N9358" s="26"/>
    </row>
    <row r="9359" spans="14:14" x14ac:dyDescent="0.25">
      <c r="N9359" s="26"/>
    </row>
    <row r="9360" spans="14:14" x14ac:dyDescent="0.25">
      <c r="N9360" s="26"/>
    </row>
    <row r="9361" spans="14:14" x14ac:dyDescent="0.25">
      <c r="N9361" s="26"/>
    </row>
    <row r="9362" spans="14:14" x14ac:dyDescent="0.25">
      <c r="N9362" s="26"/>
    </row>
    <row r="9363" spans="14:14" x14ac:dyDescent="0.25">
      <c r="N9363" s="26"/>
    </row>
    <row r="9364" spans="14:14" x14ac:dyDescent="0.25">
      <c r="N9364" s="26"/>
    </row>
    <row r="9365" spans="14:14" x14ac:dyDescent="0.25">
      <c r="N9365" s="26"/>
    </row>
    <row r="9366" spans="14:14" x14ac:dyDescent="0.25">
      <c r="N9366" s="26"/>
    </row>
    <row r="9367" spans="14:14" x14ac:dyDescent="0.25">
      <c r="N9367" s="26"/>
    </row>
    <row r="9368" spans="14:14" x14ac:dyDescent="0.25">
      <c r="N9368" s="26"/>
    </row>
    <row r="9369" spans="14:14" x14ac:dyDescent="0.25">
      <c r="N9369" s="26"/>
    </row>
    <row r="9370" spans="14:14" x14ac:dyDescent="0.25">
      <c r="N9370" s="26"/>
    </row>
    <row r="9371" spans="14:14" x14ac:dyDescent="0.25">
      <c r="N9371" s="26"/>
    </row>
    <row r="9372" spans="14:14" x14ac:dyDescent="0.25">
      <c r="N9372" s="26"/>
    </row>
    <row r="9373" spans="14:14" x14ac:dyDescent="0.25">
      <c r="N9373" s="26"/>
    </row>
    <row r="9374" spans="14:14" x14ac:dyDescent="0.25">
      <c r="N9374" s="26"/>
    </row>
    <row r="9375" spans="14:14" x14ac:dyDescent="0.25">
      <c r="N9375" s="26"/>
    </row>
    <row r="9376" spans="14:14" x14ac:dyDescent="0.25">
      <c r="N9376" s="26"/>
    </row>
    <row r="9377" spans="14:14" x14ac:dyDescent="0.25">
      <c r="N9377" s="26"/>
    </row>
    <row r="9378" spans="14:14" x14ac:dyDescent="0.25">
      <c r="N9378" s="26"/>
    </row>
    <row r="9379" spans="14:14" x14ac:dyDescent="0.25">
      <c r="N9379" s="26"/>
    </row>
    <row r="9380" spans="14:14" x14ac:dyDescent="0.25">
      <c r="N9380" s="26"/>
    </row>
    <row r="9381" spans="14:14" x14ac:dyDescent="0.25">
      <c r="N9381" s="26"/>
    </row>
    <row r="9382" spans="14:14" x14ac:dyDescent="0.25">
      <c r="N9382" s="26"/>
    </row>
    <row r="9383" spans="14:14" x14ac:dyDescent="0.25">
      <c r="N9383" s="26"/>
    </row>
    <row r="9384" spans="14:14" x14ac:dyDescent="0.25">
      <c r="N9384" s="26"/>
    </row>
    <row r="9385" spans="14:14" x14ac:dyDescent="0.25">
      <c r="N9385" s="26"/>
    </row>
    <row r="9386" spans="14:14" x14ac:dyDescent="0.25">
      <c r="N9386" s="26"/>
    </row>
    <row r="9387" spans="14:14" x14ac:dyDescent="0.25">
      <c r="N9387" s="26"/>
    </row>
    <row r="9388" spans="14:14" x14ac:dyDescent="0.25">
      <c r="N9388" s="26"/>
    </row>
    <row r="9389" spans="14:14" x14ac:dyDescent="0.25">
      <c r="N9389" s="26"/>
    </row>
    <row r="9390" spans="14:14" x14ac:dyDescent="0.25">
      <c r="N9390" s="26"/>
    </row>
    <row r="9391" spans="14:14" x14ac:dyDescent="0.25">
      <c r="N9391" s="26"/>
    </row>
    <row r="9392" spans="14:14" x14ac:dyDescent="0.25">
      <c r="N9392" s="26"/>
    </row>
    <row r="9393" spans="14:14" x14ac:dyDescent="0.25">
      <c r="N9393" s="26"/>
    </row>
    <row r="9394" spans="14:14" x14ac:dyDescent="0.25">
      <c r="N9394" s="26"/>
    </row>
    <row r="9395" spans="14:14" x14ac:dyDescent="0.25">
      <c r="N9395" s="26"/>
    </row>
    <row r="9396" spans="14:14" x14ac:dyDescent="0.25">
      <c r="N9396" s="26"/>
    </row>
    <row r="9397" spans="14:14" x14ac:dyDescent="0.25">
      <c r="N9397" s="26"/>
    </row>
    <row r="9398" spans="14:14" x14ac:dyDescent="0.25">
      <c r="N9398" s="26"/>
    </row>
    <row r="9399" spans="14:14" x14ac:dyDescent="0.25">
      <c r="N9399" s="26"/>
    </row>
    <row r="9400" spans="14:14" x14ac:dyDescent="0.25">
      <c r="N9400" s="26"/>
    </row>
    <row r="9401" spans="14:14" x14ac:dyDescent="0.25">
      <c r="N9401" s="26"/>
    </row>
    <row r="9402" spans="14:14" x14ac:dyDescent="0.25">
      <c r="N9402" s="26"/>
    </row>
    <row r="9403" spans="14:14" x14ac:dyDescent="0.25">
      <c r="N9403" s="26"/>
    </row>
    <row r="9404" spans="14:14" x14ac:dyDescent="0.25">
      <c r="N9404" s="26"/>
    </row>
    <row r="9405" spans="14:14" x14ac:dyDescent="0.25">
      <c r="N9405" s="26"/>
    </row>
    <row r="9406" spans="14:14" x14ac:dyDescent="0.25">
      <c r="N9406" s="26"/>
    </row>
    <row r="9407" spans="14:14" x14ac:dyDescent="0.25">
      <c r="N9407" s="26"/>
    </row>
    <row r="9408" spans="14:14" x14ac:dyDescent="0.25">
      <c r="N9408" s="26"/>
    </row>
    <row r="9409" spans="14:14" x14ac:dyDescent="0.25">
      <c r="N9409" s="26"/>
    </row>
    <row r="9410" spans="14:14" x14ac:dyDescent="0.25">
      <c r="N9410" s="26"/>
    </row>
    <row r="9411" spans="14:14" x14ac:dyDescent="0.25">
      <c r="N9411" s="26"/>
    </row>
    <row r="9412" spans="14:14" x14ac:dyDescent="0.25">
      <c r="N9412" s="26"/>
    </row>
    <row r="9413" spans="14:14" x14ac:dyDescent="0.25">
      <c r="N9413" s="26"/>
    </row>
    <row r="9414" spans="14:14" x14ac:dyDescent="0.25">
      <c r="N9414" s="26"/>
    </row>
    <row r="9415" spans="14:14" x14ac:dyDescent="0.25">
      <c r="N9415" s="26"/>
    </row>
    <row r="9416" spans="14:14" x14ac:dyDescent="0.25">
      <c r="N9416" s="26"/>
    </row>
    <row r="9417" spans="14:14" x14ac:dyDescent="0.25">
      <c r="N9417" s="26"/>
    </row>
    <row r="9418" spans="14:14" x14ac:dyDescent="0.25">
      <c r="N9418" s="26"/>
    </row>
    <row r="9419" spans="14:14" x14ac:dyDescent="0.25">
      <c r="N9419" s="26"/>
    </row>
    <row r="9420" spans="14:14" x14ac:dyDescent="0.25">
      <c r="N9420" s="26"/>
    </row>
    <row r="9421" spans="14:14" x14ac:dyDescent="0.25">
      <c r="N9421" s="26"/>
    </row>
    <row r="9422" spans="14:14" x14ac:dyDescent="0.25">
      <c r="N9422" s="26"/>
    </row>
    <row r="9423" spans="14:14" x14ac:dyDescent="0.25">
      <c r="N9423" s="26"/>
    </row>
    <row r="9424" spans="14:14" x14ac:dyDescent="0.25">
      <c r="N9424" s="26"/>
    </row>
    <row r="9425" spans="14:14" x14ac:dyDescent="0.25">
      <c r="N9425" s="26"/>
    </row>
    <row r="9426" spans="14:14" x14ac:dyDescent="0.25">
      <c r="N9426" s="26"/>
    </row>
    <row r="9427" spans="14:14" x14ac:dyDescent="0.25">
      <c r="N9427" s="26"/>
    </row>
    <row r="9428" spans="14:14" x14ac:dyDescent="0.25">
      <c r="N9428" s="26"/>
    </row>
    <row r="9429" spans="14:14" x14ac:dyDescent="0.25">
      <c r="N9429" s="26"/>
    </row>
    <row r="9430" spans="14:14" x14ac:dyDescent="0.25">
      <c r="N9430" s="26"/>
    </row>
    <row r="9431" spans="14:14" x14ac:dyDescent="0.25">
      <c r="N9431" s="26"/>
    </row>
    <row r="9432" spans="14:14" x14ac:dyDescent="0.25">
      <c r="N9432" s="26"/>
    </row>
    <row r="9433" spans="14:14" x14ac:dyDescent="0.25">
      <c r="N9433" s="26"/>
    </row>
    <row r="9434" spans="14:14" x14ac:dyDescent="0.25">
      <c r="N9434" s="26"/>
    </row>
    <row r="9435" spans="14:14" x14ac:dyDescent="0.25">
      <c r="N9435" s="26"/>
    </row>
    <row r="9436" spans="14:14" x14ac:dyDescent="0.25">
      <c r="N9436" s="26"/>
    </row>
    <row r="9437" spans="14:14" x14ac:dyDescent="0.25">
      <c r="N9437" s="26"/>
    </row>
    <row r="9438" spans="14:14" x14ac:dyDescent="0.25">
      <c r="N9438" s="26"/>
    </row>
    <row r="9439" spans="14:14" x14ac:dyDescent="0.25">
      <c r="N9439" s="26"/>
    </row>
    <row r="9440" spans="14:14" x14ac:dyDescent="0.25">
      <c r="N9440" s="26"/>
    </row>
    <row r="9441" spans="14:14" x14ac:dyDescent="0.25">
      <c r="N9441" s="26"/>
    </row>
    <row r="9442" spans="14:14" x14ac:dyDescent="0.25">
      <c r="N9442" s="26"/>
    </row>
    <row r="9443" spans="14:14" x14ac:dyDescent="0.25">
      <c r="N9443" s="26"/>
    </row>
    <row r="9444" spans="14:14" x14ac:dyDescent="0.25">
      <c r="N9444" s="26"/>
    </row>
    <row r="9445" spans="14:14" x14ac:dyDescent="0.25">
      <c r="N9445" s="26"/>
    </row>
    <row r="9446" spans="14:14" x14ac:dyDescent="0.25">
      <c r="N9446" s="26"/>
    </row>
    <row r="9447" spans="14:14" x14ac:dyDescent="0.25">
      <c r="N9447" s="26"/>
    </row>
    <row r="9448" spans="14:14" x14ac:dyDescent="0.25">
      <c r="N9448" s="26"/>
    </row>
    <row r="9449" spans="14:14" x14ac:dyDescent="0.25">
      <c r="N9449" s="26"/>
    </row>
    <row r="9450" spans="14:14" x14ac:dyDescent="0.25">
      <c r="N9450" s="26"/>
    </row>
    <row r="9451" spans="14:14" x14ac:dyDescent="0.25">
      <c r="N9451" s="26"/>
    </row>
    <row r="9452" spans="14:14" x14ac:dyDescent="0.25">
      <c r="N9452" s="26"/>
    </row>
    <row r="9453" spans="14:14" x14ac:dyDescent="0.25">
      <c r="N9453" s="26"/>
    </row>
    <row r="9454" spans="14:14" x14ac:dyDescent="0.25">
      <c r="N9454" s="26"/>
    </row>
    <row r="9455" spans="14:14" x14ac:dyDescent="0.25">
      <c r="N9455" s="26"/>
    </row>
    <row r="9456" spans="14:14" x14ac:dyDescent="0.25">
      <c r="N9456" s="26"/>
    </row>
    <row r="9457" spans="14:14" x14ac:dyDescent="0.25">
      <c r="N9457" s="26"/>
    </row>
    <row r="9458" spans="14:14" x14ac:dyDescent="0.25">
      <c r="N9458" s="26"/>
    </row>
    <row r="9459" spans="14:14" x14ac:dyDescent="0.25">
      <c r="N9459" s="26"/>
    </row>
    <row r="9460" spans="14:14" x14ac:dyDescent="0.25">
      <c r="N9460" s="26"/>
    </row>
    <row r="9461" spans="14:14" x14ac:dyDescent="0.25">
      <c r="N9461" s="26"/>
    </row>
    <row r="9462" spans="14:14" x14ac:dyDescent="0.25">
      <c r="N9462" s="26"/>
    </row>
    <row r="9463" spans="14:14" x14ac:dyDescent="0.25">
      <c r="N9463" s="26"/>
    </row>
    <row r="9464" spans="14:14" x14ac:dyDescent="0.25">
      <c r="N9464" s="26"/>
    </row>
    <row r="9465" spans="14:14" x14ac:dyDescent="0.25">
      <c r="N9465" s="26"/>
    </row>
    <row r="9466" spans="14:14" x14ac:dyDescent="0.25">
      <c r="N9466" s="26"/>
    </row>
    <row r="9467" spans="14:14" x14ac:dyDescent="0.25">
      <c r="N9467" s="26"/>
    </row>
    <row r="9468" spans="14:14" x14ac:dyDescent="0.25">
      <c r="N9468" s="26"/>
    </row>
    <row r="9469" spans="14:14" x14ac:dyDescent="0.25">
      <c r="N9469" s="26"/>
    </row>
    <row r="9470" spans="14:14" x14ac:dyDescent="0.25">
      <c r="N9470" s="26"/>
    </row>
    <row r="9471" spans="14:14" x14ac:dyDescent="0.25">
      <c r="N9471" s="26"/>
    </row>
    <row r="9472" spans="14:14" x14ac:dyDescent="0.25">
      <c r="N9472" s="26"/>
    </row>
    <row r="9473" spans="14:14" x14ac:dyDescent="0.25">
      <c r="N9473" s="26"/>
    </row>
    <row r="9474" spans="14:14" x14ac:dyDescent="0.25">
      <c r="N9474" s="26"/>
    </row>
    <row r="9475" spans="14:14" x14ac:dyDescent="0.25">
      <c r="N9475" s="26"/>
    </row>
    <row r="9476" spans="14:14" x14ac:dyDescent="0.25">
      <c r="N9476" s="26"/>
    </row>
    <row r="9477" spans="14:14" x14ac:dyDescent="0.25">
      <c r="N9477" s="26"/>
    </row>
    <row r="9478" spans="14:14" x14ac:dyDescent="0.25">
      <c r="N9478" s="26"/>
    </row>
    <row r="9479" spans="14:14" x14ac:dyDescent="0.25">
      <c r="N9479" s="26"/>
    </row>
    <row r="9480" spans="14:14" x14ac:dyDescent="0.25">
      <c r="N9480" s="26"/>
    </row>
    <row r="9481" spans="14:14" x14ac:dyDescent="0.25">
      <c r="N9481" s="26"/>
    </row>
    <row r="9482" spans="14:14" x14ac:dyDescent="0.25">
      <c r="N9482" s="26"/>
    </row>
    <row r="9483" spans="14:14" x14ac:dyDescent="0.25">
      <c r="N9483" s="26"/>
    </row>
    <row r="9484" spans="14:14" x14ac:dyDescent="0.25">
      <c r="N9484" s="26"/>
    </row>
    <row r="9485" spans="14:14" x14ac:dyDescent="0.25">
      <c r="N9485" s="26"/>
    </row>
    <row r="9486" spans="14:14" x14ac:dyDescent="0.25">
      <c r="N9486" s="26"/>
    </row>
    <row r="9487" spans="14:14" x14ac:dyDescent="0.25">
      <c r="N9487" s="26"/>
    </row>
    <row r="9488" spans="14:14" x14ac:dyDescent="0.25">
      <c r="N9488" s="26"/>
    </row>
    <row r="9489" spans="14:14" x14ac:dyDescent="0.25">
      <c r="N9489" s="26"/>
    </row>
    <row r="9490" spans="14:14" x14ac:dyDescent="0.25">
      <c r="N9490" s="26"/>
    </row>
    <row r="9491" spans="14:14" x14ac:dyDescent="0.25">
      <c r="N9491" s="26"/>
    </row>
    <row r="9492" spans="14:14" x14ac:dyDescent="0.25">
      <c r="N9492" s="26"/>
    </row>
    <row r="9493" spans="14:14" x14ac:dyDescent="0.25">
      <c r="N9493" s="26"/>
    </row>
    <row r="9494" spans="14:14" x14ac:dyDescent="0.25">
      <c r="N9494" s="26"/>
    </row>
    <row r="9495" spans="14:14" x14ac:dyDescent="0.25">
      <c r="N9495" s="26"/>
    </row>
    <row r="9496" spans="14:14" x14ac:dyDescent="0.25">
      <c r="N9496" s="26"/>
    </row>
    <row r="9497" spans="14:14" x14ac:dyDescent="0.25">
      <c r="N9497" s="26"/>
    </row>
    <row r="9498" spans="14:14" x14ac:dyDescent="0.25">
      <c r="N9498" s="26"/>
    </row>
    <row r="9499" spans="14:14" x14ac:dyDescent="0.25">
      <c r="N9499" s="26"/>
    </row>
    <row r="9500" spans="14:14" x14ac:dyDescent="0.25">
      <c r="N9500" s="26"/>
    </row>
    <row r="9501" spans="14:14" x14ac:dyDescent="0.25">
      <c r="N9501" s="26"/>
    </row>
    <row r="9502" spans="14:14" x14ac:dyDescent="0.25">
      <c r="N9502" s="26"/>
    </row>
    <row r="9503" spans="14:14" x14ac:dyDescent="0.25">
      <c r="N9503" s="26"/>
    </row>
    <row r="9504" spans="14:14" x14ac:dyDescent="0.25">
      <c r="N9504" s="26"/>
    </row>
    <row r="9505" spans="14:14" x14ac:dyDescent="0.25">
      <c r="N9505" s="26"/>
    </row>
    <row r="9506" spans="14:14" x14ac:dyDescent="0.25">
      <c r="N9506" s="26"/>
    </row>
    <row r="9507" spans="14:14" x14ac:dyDescent="0.25">
      <c r="N9507" s="26"/>
    </row>
    <row r="9508" spans="14:14" x14ac:dyDescent="0.25">
      <c r="N9508" s="26"/>
    </row>
    <row r="9509" spans="14:14" x14ac:dyDescent="0.25">
      <c r="N9509" s="26"/>
    </row>
    <row r="9510" spans="14:14" x14ac:dyDescent="0.25">
      <c r="N9510" s="26"/>
    </row>
    <row r="9511" spans="14:14" x14ac:dyDescent="0.25">
      <c r="N9511" s="26"/>
    </row>
    <row r="9512" spans="14:14" x14ac:dyDescent="0.25">
      <c r="N9512" s="26"/>
    </row>
    <row r="9513" spans="14:14" x14ac:dyDescent="0.25">
      <c r="N9513" s="26"/>
    </row>
    <row r="9514" spans="14:14" x14ac:dyDescent="0.25">
      <c r="N9514" s="26"/>
    </row>
    <row r="9515" spans="14:14" x14ac:dyDescent="0.25">
      <c r="N9515" s="26"/>
    </row>
    <row r="9516" spans="14:14" x14ac:dyDescent="0.25">
      <c r="N9516" s="26"/>
    </row>
    <row r="9517" spans="14:14" x14ac:dyDescent="0.25">
      <c r="N9517" s="26"/>
    </row>
    <row r="9518" spans="14:14" x14ac:dyDescent="0.25">
      <c r="N9518" s="26"/>
    </row>
    <row r="9519" spans="14:14" x14ac:dyDescent="0.25">
      <c r="N9519" s="26"/>
    </row>
    <row r="9520" spans="14:14" x14ac:dyDescent="0.25">
      <c r="N9520" s="26"/>
    </row>
    <row r="9521" spans="14:14" x14ac:dyDescent="0.25">
      <c r="N9521" s="26"/>
    </row>
    <row r="9522" spans="14:14" x14ac:dyDescent="0.25">
      <c r="N9522" s="26"/>
    </row>
    <row r="9523" spans="14:14" x14ac:dyDescent="0.25">
      <c r="N9523" s="26"/>
    </row>
    <row r="9524" spans="14:14" x14ac:dyDescent="0.25">
      <c r="N9524" s="26"/>
    </row>
    <row r="9525" spans="14:14" x14ac:dyDescent="0.25">
      <c r="N9525" s="26"/>
    </row>
    <row r="9526" spans="14:14" x14ac:dyDescent="0.25">
      <c r="N9526" s="26"/>
    </row>
    <row r="9527" spans="14:14" x14ac:dyDescent="0.25">
      <c r="N9527" s="26"/>
    </row>
    <row r="9528" spans="14:14" x14ac:dyDescent="0.25">
      <c r="N9528" s="26"/>
    </row>
    <row r="9529" spans="14:14" x14ac:dyDescent="0.25">
      <c r="N9529" s="26"/>
    </row>
    <row r="9530" spans="14:14" x14ac:dyDescent="0.25">
      <c r="N9530" s="26"/>
    </row>
    <row r="9531" spans="14:14" x14ac:dyDescent="0.25">
      <c r="N9531" s="26"/>
    </row>
    <row r="9532" spans="14:14" x14ac:dyDescent="0.25">
      <c r="N9532" s="26"/>
    </row>
    <row r="9533" spans="14:14" x14ac:dyDescent="0.25">
      <c r="N9533" s="26"/>
    </row>
    <row r="9534" spans="14:14" x14ac:dyDescent="0.25">
      <c r="N9534" s="26"/>
    </row>
    <row r="9535" spans="14:14" x14ac:dyDescent="0.25">
      <c r="N9535" s="26"/>
    </row>
    <row r="9536" spans="14:14" x14ac:dyDescent="0.25">
      <c r="N9536" s="26"/>
    </row>
    <row r="9537" spans="14:14" x14ac:dyDescent="0.25">
      <c r="N9537" s="26"/>
    </row>
    <row r="9538" spans="14:14" x14ac:dyDescent="0.25">
      <c r="N9538" s="26"/>
    </row>
    <row r="9539" spans="14:14" x14ac:dyDescent="0.25">
      <c r="N9539" s="26"/>
    </row>
    <row r="9540" spans="14:14" x14ac:dyDescent="0.25">
      <c r="N9540" s="26"/>
    </row>
    <row r="9541" spans="14:14" x14ac:dyDescent="0.25">
      <c r="N9541" s="26"/>
    </row>
    <row r="9542" spans="14:14" x14ac:dyDescent="0.25">
      <c r="N9542" s="26"/>
    </row>
    <row r="9543" spans="14:14" x14ac:dyDescent="0.25">
      <c r="N9543" s="26"/>
    </row>
    <row r="9544" spans="14:14" x14ac:dyDescent="0.25">
      <c r="N9544" s="26"/>
    </row>
    <row r="9545" spans="14:14" x14ac:dyDescent="0.25">
      <c r="N9545" s="26"/>
    </row>
    <row r="9546" spans="14:14" x14ac:dyDescent="0.25">
      <c r="N9546" s="26"/>
    </row>
    <row r="9547" spans="14:14" x14ac:dyDescent="0.25">
      <c r="N9547" s="26"/>
    </row>
    <row r="9548" spans="14:14" x14ac:dyDescent="0.25">
      <c r="N9548" s="26"/>
    </row>
    <row r="9549" spans="14:14" x14ac:dyDescent="0.25">
      <c r="N9549" s="26"/>
    </row>
    <row r="9550" spans="14:14" x14ac:dyDescent="0.25">
      <c r="N9550" s="26"/>
    </row>
    <row r="9551" spans="14:14" x14ac:dyDescent="0.25">
      <c r="N9551" s="26"/>
    </row>
    <row r="9552" spans="14:14" x14ac:dyDescent="0.25">
      <c r="N9552" s="26"/>
    </row>
    <row r="9553" spans="14:14" x14ac:dyDescent="0.25">
      <c r="N9553" s="26"/>
    </row>
    <row r="9554" spans="14:14" x14ac:dyDescent="0.25">
      <c r="N9554" s="26"/>
    </row>
    <row r="9555" spans="14:14" x14ac:dyDescent="0.25">
      <c r="N9555" s="26"/>
    </row>
    <row r="9556" spans="14:14" x14ac:dyDescent="0.25">
      <c r="N9556" s="26"/>
    </row>
    <row r="9557" spans="14:14" x14ac:dyDescent="0.25">
      <c r="N9557" s="26"/>
    </row>
    <row r="9558" spans="14:14" x14ac:dyDescent="0.25">
      <c r="N9558" s="26"/>
    </row>
    <row r="9559" spans="14:14" x14ac:dyDescent="0.25">
      <c r="N9559" s="26"/>
    </row>
    <row r="9560" spans="14:14" x14ac:dyDescent="0.25">
      <c r="N9560" s="26"/>
    </row>
    <row r="9561" spans="14:14" x14ac:dyDescent="0.25">
      <c r="N9561" s="26"/>
    </row>
    <row r="9562" spans="14:14" x14ac:dyDescent="0.25">
      <c r="N9562" s="26"/>
    </row>
    <row r="9563" spans="14:14" x14ac:dyDescent="0.25">
      <c r="N9563" s="26"/>
    </row>
    <row r="9564" spans="14:14" x14ac:dyDescent="0.25">
      <c r="N9564" s="26"/>
    </row>
    <row r="9565" spans="14:14" x14ac:dyDescent="0.25">
      <c r="N9565" s="26"/>
    </row>
    <row r="9566" spans="14:14" x14ac:dyDescent="0.25">
      <c r="N9566" s="26"/>
    </row>
    <row r="9567" spans="14:14" x14ac:dyDescent="0.25">
      <c r="N9567" s="26"/>
    </row>
    <row r="9568" spans="14:14" x14ac:dyDescent="0.25">
      <c r="N9568" s="26"/>
    </row>
    <row r="9569" spans="14:14" x14ac:dyDescent="0.25">
      <c r="N9569" s="26"/>
    </row>
    <row r="9570" spans="14:14" x14ac:dyDescent="0.25">
      <c r="N9570" s="26"/>
    </row>
    <row r="9571" spans="14:14" x14ac:dyDescent="0.25">
      <c r="N9571" s="26"/>
    </row>
    <row r="9572" spans="14:14" x14ac:dyDescent="0.25">
      <c r="N9572" s="26"/>
    </row>
    <row r="9573" spans="14:14" x14ac:dyDescent="0.25">
      <c r="N9573" s="26"/>
    </row>
    <row r="9574" spans="14:14" x14ac:dyDescent="0.25">
      <c r="N9574" s="26"/>
    </row>
    <row r="9575" spans="14:14" x14ac:dyDescent="0.25">
      <c r="N9575" s="26"/>
    </row>
    <row r="9576" spans="14:14" x14ac:dyDescent="0.25">
      <c r="N9576" s="26"/>
    </row>
    <row r="9577" spans="14:14" x14ac:dyDescent="0.25">
      <c r="N9577" s="26"/>
    </row>
    <row r="9578" spans="14:14" x14ac:dyDescent="0.25">
      <c r="N9578" s="26"/>
    </row>
    <row r="9579" spans="14:14" x14ac:dyDescent="0.25">
      <c r="N9579" s="26"/>
    </row>
    <row r="9580" spans="14:14" x14ac:dyDescent="0.25">
      <c r="N9580" s="26"/>
    </row>
    <row r="9581" spans="14:14" x14ac:dyDescent="0.25">
      <c r="N9581" s="26"/>
    </row>
    <row r="9582" spans="14:14" x14ac:dyDescent="0.25">
      <c r="N9582" s="26"/>
    </row>
    <row r="9583" spans="14:14" x14ac:dyDescent="0.25">
      <c r="N9583" s="26"/>
    </row>
    <row r="9584" spans="14:14" x14ac:dyDescent="0.25">
      <c r="N9584" s="26"/>
    </row>
    <row r="9585" spans="14:14" x14ac:dyDescent="0.25">
      <c r="N9585" s="26"/>
    </row>
    <row r="9586" spans="14:14" x14ac:dyDescent="0.25">
      <c r="N9586" s="26"/>
    </row>
    <row r="9587" spans="14:14" x14ac:dyDescent="0.25">
      <c r="N9587" s="26"/>
    </row>
    <row r="9588" spans="14:14" x14ac:dyDescent="0.25">
      <c r="N9588" s="26"/>
    </row>
    <row r="9589" spans="14:14" x14ac:dyDescent="0.25">
      <c r="N9589" s="26"/>
    </row>
    <row r="9590" spans="14:14" x14ac:dyDescent="0.25">
      <c r="N9590" s="26"/>
    </row>
    <row r="9591" spans="14:14" x14ac:dyDescent="0.25">
      <c r="N9591" s="26"/>
    </row>
    <row r="9592" spans="14:14" x14ac:dyDescent="0.25">
      <c r="N9592" s="26"/>
    </row>
    <row r="9593" spans="14:14" x14ac:dyDescent="0.25">
      <c r="N9593" s="26"/>
    </row>
    <row r="9594" spans="14:14" x14ac:dyDescent="0.25">
      <c r="N9594" s="26"/>
    </row>
    <row r="9595" spans="14:14" x14ac:dyDescent="0.25">
      <c r="N9595" s="26"/>
    </row>
    <row r="9596" spans="14:14" x14ac:dyDescent="0.25">
      <c r="N9596" s="26"/>
    </row>
    <row r="9597" spans="14:14" x14ac:dyDescent="0.25">
      <c r="N9597" s="26"/>
    </row>
    <row r="9598" spans="14:14" x14ac:dyDescent="0.25">
      <c r="N9598" s="26"/>
    </row>
    <row r="9599" spans="14:14" x14ac:dyDescent="0.25">
      <c r="N9599" s="26"/>
    </row>
    <row r="9600" spans="14:14" x14ac:dyDescent="0.25">
      <c r="N9600" s="26"/>
    </row>
    <row r="9601" spans="14:14" x14ac:dyDescent="0.25">
      <c r="N9601" s="26"/>
    </row>
    <row r="9602" spans="14:14" x14ac:dyDescent="0.25">
      <c r="N9602" s="26"/>
    </row>
    <row r="9603" spans="14:14" x14ac:dyDescent="0.25">
      <c r="N9603" s="26"/>
    </row>
    <row r="9604" spans="14:14" x14ac:dyDescent="0.25">
      <c r="N9604" s="26"/>
    </row>
    <row r="9605" spans="14:14" x14ac:dyDescent="0.25">
      <c r="N9605" s="26"/>
    </row>
    <row r="9606" spans="14:14" x14ac:dyDescent="0.25">
      <c r="N9606" s="26"/>
    </row>
    <row r="9607" spans="14:14" x14ac:dyDescent="0.25">
      <c r="N9607" s="26"/>
    </row>
    <row r="9608" spans="14:14" x14ac:dyDescent="0.25">
      <c r="N9608" s="26"/>
    </row>
    <row r="9609" spans="14:14" x14ac:dyDescent="0.25">
      <c r="N9609" s="26"/>
    </row>
    <row r="9610" spans="14:14" x14ac:dyDescent="0.25">
      <c r="N9610" s="26"/>
    </row>
    <row r="9611" spans="14:14" x14ac:dyDescent="0.25">
      <c r="N9611" s="26"/>
    </row>
    <row r="9612" spans="14:14" x14ac:dyDescent="0.25">
      <c r="N9612" s="26"/>
    </row>
    <row r="9613" spans="14:14" x14ac:dyDescent="0.25">
      <c r="N9613" s="26"/>
    </row>
    <row r="9614" spans="14:14" x14ac:dyDescent="0.25">
      <c r="N9614" s="26"/>
    </row>
    <row r="9615" spans="14:14" x14ac:dyDescent="0.25">
      <c r="N9615" s="26"/>
    </row>
    <row r="9616" spans="14:14" x14ac:dyDescent="0.25">
      <c r="N9616" s="26"/>
    </row>
    <row r="9617" spans="14:14" x14ac:dyDescent="0.25">
      <c r="N9617" s="26"/>
    </row>
    <row r="9618" spans="14:14" x14ac:dyDescent="0.25">
      <c r="N9618" s="26"/>
    </row>
    <row r="9619" spans="14:14" x14ac:dyDescent="0.25">
      <c r="N9619" s="26"/>
    </row>
    <row r="9620" spans="14:14" x14ac:dyDescent="0.25">
      <c r="N9620" s="26"/>
    </row>
    <row r="9621" spans="14:14" x14ac:dyDescent="0.25">
      <c r="N9621" s="26"/>
    </row>
    <row r="9622" spans="14:14" x14ac:dyDescent="0.25">
      <c r="N9622" s="26"/>
    </row>
    <row r="9623" spans="14:14" x14ac:dyDescent="0.25">
      <c r="N9623" s="26"/>
    </row>
    <row r="9624" spans="14:14" x14ac:dyDescent="0.25">
      <c r="N9624" s="26"/>
    </row>
    <row r="9625" spans="14:14" x14ac:dyDescent="0.25">
      <c r="N9625" s="26"/>
    </row>
    <row r="9626" spans="14:14" x14ac:dyDescent="0.25">
      <c r="N9626" s="26"/>
    </row>
    <row r="9627" spans="14:14" x14ac:dyDescent="0.25">
      <c r="N9627" s="26"/>
    </row>
    <row r="9628" spans="14:14" x14ac:dyDescent="0.25">
      <c r="N9628" s="26"/>
    </row>
    <row r="9629" spans="14:14" x14ac:dyDescent="0.25">
      <c r="N9629" s="26"/>
    </row>
    <row r="9630" spans="14:14" x14ac:dyDescent="0.25">
      <c r="N9630" s="26"/>
    </row>
    <row r="9631" spans="14:14" x14ac:dyDescent="0.25">
      <c r="N9631" s="26"/>
    </row>
    <row r="9632" spans="14:14" x14ac:dyDescent="0.25">
      <c r="N9632" s="26"/>
    </row>
    <row r="9633" spans="14:14" x14ac:dyDescent="0.25">
      <c r="N9633" s="26"/>
    </row>
    <row r="9634" spans="14:14" x14ac:dyDescent="0.25">
      <c r="N9634" s="26"/>
    </row>
    <row r="9635" spans="14:14" x14ac:dyDescent="0.25">
      <c r="N9635" s="26"/>
    </row>
    <row r="9636" spans="14:14" x14ac:dyDescent="0.25">
      <c r="N9636" s="26"/>
    </row>
    <row r="9637" spans="14:14" x14ac:dyDescent="0.25">
      <c r="N9637" s="26"/>
    </row>
    <row r="9638" spans="14:14" x14ac:dyDescent="0.25">
      <c r="N9638" s="26"/>
    </row>
    <row r="9639" spans="14:14" x14ac:dyDescent="0.25">
      <c r="N9639" s="26"/>
    </row>
    <row r="9640" spans="14:14" x14ac:dyDescent="0.25">
      <c r="N9640" s="26"/>
    </row>
    <row r="9641" spans="14:14" x14ac:dyDescent="0.25">
      <c r="N9641" s="26"/>
    </row>
    <row r="9642" spans="14:14" x14ac:dyDescent="0.25">
      <c r="N9642" s="26"/>
    </row>
    <row r="9643" spans="14:14" x14ac:dyDescent="0.25">
      <c r="N9643" s="26"/>
    </row>
    <row r="9644" spans="14:14" x14ac:dyDescent="0.25">
      <c r="N9644" s="26"/>
    </row>
    <row r="9645" spans="14:14" x14ac:dyDescent="0.25">
      <c r="N9645" s="26"/>
    </row>
    <row r="9646" spans="14:14" x14ac:dyDescent="0.25">
      <c r="N9646" s="26"/>
    </row>
    <row r="9647" spans="14:14" x14ac:dyDescent="0.25">
      <c r="N9647" s="26"/>
    </row>
    <row r="9648" spans="14:14" x14ac:dyDescent="0.25">
      <c r="N9648" s="26"/>
    </row>
    <row r="9649" spans="14:14" x14ac:dyDescent="0.25">
      <c r="N9649" s="26"/>
    </row>
    <row r="9650" spans="14:14" x14ac:dyDescent="0.25">
      <c r="N9650" s="26"/>
    </row>
    <row r="9651" spans="14:14" x14ac:dyDescent="0.25">
      <c r="N9651" s="26"/>
    </row>
    <row r="9652" spans="14:14" x14ac:dyDescent="0.25">
      <c r="N9652" s="26"/>
    </row>
    <row r="9653" spans="14:14" x14ac:dyDescent="0.25">
      <c r="N9653" s="26"/>
    </row>
    <row r="9654" spans="14:14" x14ac:dyDescent="0.25">
      <c r="N9654" s="26"/>
    </row>
    <row r="9655" spans="14:14" x14ac:dyDescent="0.25">
      <c r="N9655" s="26"/>
    </row>
    <row r="9656" spans="14:14" x14ac:dyDescent="0.25">
      <c r="N9656" s="26"/>
    </row>
    <row r="9657" spans="14:14" x14ac:dyDescent="0.25">
      <c r="N9657" s="26"/>
    </row>
    <row r="9658" spans="14:14" x14ac:dyDescent="0.25">
      <c r="N9658" s="26"/>
    </row>
    <row r="9659" spans="14:14" x14ac:dyDescent="0.25">
      <c r="N9659" s="26"/>
    </row>
    <row r="9660" spans="14:14" x14ac:dyDescent="0.25">
      <c r="N9660" s="26"/>
    </row>
    <row r="9661" spans="14:14" x14ac:dyDescent="0.25">
      <c r="N9661" s="26"/>
    </row>
    <row r="9662" spans="14:14" x14ac:dyDescent="0.25">
      <c r="N9662" s="26"/>
    </row>
    <row r="9663" spans="14:14" x14ac:dyDescent="0.25">
      <c r="N9663" s="26"/>
    </row>
    <row r="9664" spans="14:14" x14ac:dyDescent="0.25">
      <c r="N9664" s="26"/>
    </row>
    <row r="9665" spans="14:14" x14ac:dyDescent="0.25">
      <c r="N9665" s="26"/>
    </row>
    <row r="9666" spans="14:14" x14ac:dyDescent="0.25">
      <c r="N9666" s="26"/>
    </row>
    <row r="9667" spans="14:14" x14ac:dyDescent="0.25">
      <c r="N9667" s="26"/>
    </row>
    <row r="9668" spans="14:14" x14ac:dyDescent="0.25">
      <c r="N9668" s="26"/>
    </row>
    <row r="9669" spans="14:14" x14ac:dyDescent="0.25">
      <c r="N9669" s="26"/>
    </row>
    <row r="9670" spans="14:14" x14ac:dyDescent="0.25">
      <c r="N9670" s="26"/>
    </row>
    <row r="9671" spans="14:14" x14ac:dyDescent="0.25">
      <c r="N9671" s="26"/>
    </row>
    <row r="9672" spans="14:14" x14ac:dyDescent="0.25">
      <c r="N9672" s="26"/>
    </row>
    <row r="9673" spans="14:14" x14ac:dyDescent="0.25">
      <c r="N9673" s="26"/>
    </row>
    <row r="9674" spans="14:14" x14ac:dyDescent="0.25">
      <c r="N9674" s="26"/>
    </row>
    <row r="9675" spans="14:14" x14ac:dyDescent="0.25">
      <c r="N9675" s="26"/>
    </row>
    <row r="9676" spans="14:14" x14ac:dyDescent="0.25">
      <c r="N9676" s="26"/>
    </row>
    <row r="9677" spans="14:14" x14ac:dyDescent="0.25">
      <c r="N9677" s="26"/>
    </row>
    <row r="9678" spans="14:14" x14ac:dyDescent="0.25">
      <c r="N9678" s="26"/>
    </row>
    <row r="9679" spans="14:14" x14ac:dyDescent="0.25">
      <c r="N9679" s="26"/>
    </row>
    <row r="9680" spans="14:14" x14ac:dyDescent="0.25">
      <c r="N9680" s="26"/>
    </row>
    <row r="9681" spans="14:14" x14ac:dyDescent="0.25">
      <c r="N9681" s="26"/>
    </row>
    <row r="9682" spans="14:14" x14ac:dyDescent="0.25">
      <c r="N9682" s="26"/>
    </row>
    <row r="9683" spans="14:14" x14ac:dyDescent="0.25">
      <c r="N9683" s="26"/>
    </row>
    <row r="9684" spans="14:14" x14ac:dyDescent="0.25">
      <c r="N9684" s="26"/>
    </row>
    <row r="9685" spans="14:14" x14ac:dyDescent="0.25">
      <c r="N9685" s="26"/>
    </row>
    <row r="9686" spans="14:14" x14ac:dyDescent="0.25">
      <c r="N9686" s="26"/>
    </row>
    <row r="9687" spans="14:14" x14ac:dyDescent="0.25">
      <c r="N9687" s="26"/>
    </row>
    <row r="9688" spans="14:14" x14ac:dyDescent="0.25">
      <c r="N9688" s="26"/>
    </row>
    <row r="9689" spans="14:14" x14ac:dyDescent="0.25">
      <c r="N9689" s="26"/>
    </row>
    <row r="9690" spans="14:14" x14ac:dyDescent="0.25">
      <c r="N9690" s="26"/>
    </row>
    <row r="9691" spans="14:14" x14ac:dyDescent="0.25">
      <c r="N9691" s="26"/>
    </row>
    <row r="9692" spans="14:14" x14ac:dyDescent="0.25">
      <c r="N9692" s="26"/>
    </row>
    <row r="9693" spans="14:14" x14ac:dyDescent="0.25">
      <c r="N9693" s="26"/>
    </row>
    <row r="9694" spans="14:14" x14ac:dyDescent="0.25">
      <c r="N9694" s="26"/>
    </row>
    <row r="9695" spans="14:14" x14ac:dyDescent="0.25">
      <c r="N9695" s="26"/>
    </row>
    <row r="9696" spans="14:14" x14ac:dyDescent="0.25">
      <c r="N9696" s="26"/>
    </row>
    <row r="9697" spans="14:14" x14ac:dyDescent="0.25">
      <c r="N9697" s="26"/>
    </row>
    <row r="9698" spans="14:14" x14ac:dyDescent="0.25">
      <c r="N9698" s="26"/>
    </row>
    <row r="9699" spans="14:14" x14ac:dyDescent="0.25">
      <c r="N9699" s="26"/>
    </row>
    <row r="9700" spans="14:14" x14ac:dyDescent="0.25">
      <c r="N9700" s="26"/>
    </row>
    <row r="9701" spans="14:14" x14ac:dyDescent="0.25">
      <c r="N9701" s="26"/>
    </row>
    <row r="9702" spans="14:14" x14ac:dyDescent="0.25">
      <c r="N9702" s="26"/>
    </row>
    <row r="9703" spans="14:14" x14ac:dyDescent="0.25">
      <c r="N9703" s="26"/>
    </row>
    <row r="9704" spans="14:14" x14ac:dyDescent="0.25">
      <c r="N9704" s="26"/>
    </row>
    <row r="9705" spans="14:14" x14ac:dyDescent="0.25">
      <c r="N9705" s="26"/>
    </row>
    <row r="9706" spans="14:14" x14ac:dyDescent="0.25">
      <c r="N9706" s="26"/>
    </row>
    <row r="9707" spans="14:14" x14ac:dyDescent="0.25">
      <c r="N9707" s="26"/>
    </row>
    <row r="9708" spans="14:14" x14ac:dyDescent="0.25">
      <c r="N9708" s="26"/>
    </row>
    <row r="9709" spans="14:14" x14ac:dyDescent="0.25">
      <c r="N9709" s="26"/>
    </row>
    <row r="9710" spans="14:14" x14ac:dyDescent="0.25">
      <c r="N9710" s="26"/>
    </row>
    <row r="9711" spans="14:14" x14ac:dyDescent="0.25">
      <c r="N9711" s="26"/>
    </row>
    <row r="9712" spans="14:14" x14ac:dyDescent="0.25">
      <c r="N9712" s="26"/>
    </row>
    <row r="9713" spans="14:14" x14ac:dyDescent="0.25">
      <c r="N9713" s="26"/>
    </row>
    <row r="9714" spans="14:14" x14ac:dyDescent="0.25">
      <c r="N9714" s="26"/>
    </row>
    <row r="9715" spans="14:14" x14ac:dyDescent="0.25">
      <c r="N9715" s="26"/>
    </row>
    <row r="9716" spans="14:14" x14ac:dyDescent="0.25">
      <c r="N9716" s="26"/>
    </row>
    <row r="9717" spans="14:14" x14ac:dyDescent="0.25">
      <c r="N9717" s="26"/>
    </row>
    <row r="9718" spans="14:14" x14ac:dyDescent="0.25">
      <c r="N9718" s="26"/>
    </row>
    <row r="9719" spans="14:14" x14ac:dyDescent="0.25">
      <c r="N9719" s="26"/>
    </row>
    <row r="9720" spans="14:14" x14ac:dyDescent="0.25">
      <c r="N9720" s="26"/>
    </row>
    <row r="9721" spans="14:14" x14ac:dyDescent="0.25">
      <c r="N9721" s="26"/>
    </row>
    <row r="9722" spans="14:14" x14ac:dyDescent="0.25">
      <c r="N9722" s="26"/>
    </row>
    <row r="9723" spans="14:14" x14ac:dyDescent="0.25">
      <c r="N9723" s="26"/>
    </row>
    <row r="9724" spans="14:14" x14ac:dyDescent="0.25">
      <c r="N9724" s="26"/>
    </row>
    <row r="9725" spans="14:14" x14ac:dyDescent="0.25">
      <c r="N9725" s="26"/>
    </row>
    <row r="9726" spans="14:14" x14ac:dyDescent="0.25">
      <c r="N9726" s="26"/>
    </row>
    <row r="9727" spans="14:14" x14ac:dyDescent="0.25">
      <c r="N9727" s="26"/>
    </row>
    <row r="9728" spans="14:14" x14ac:dyDescent="0.25">
      <c r="N9728" s="26"/>
    </row>
    <row r="9729" spans="14:14" x14ac:dyDescent="0.25">
      <c r="N9729" s="26"/>
    </row>
    <row r="9730" spans="14:14" x14ac:dyDescent="0.25">
      <c r="N9730" s="26"/>
    </row>
    <row r="9731" spans="14:14" x14ac:dyDescent="0.25">
      <c r="N9731" s="26"/>
    </row>
    <row r="9732" spans="14:14" x14ac:dyDescent="0.25">
      <c r="N9732" s="26"/>
    </row>
    <row r="9733" spans="14:14" x14ac:dyDescent="0.25">
      <c r="N9733" s="26"/>
    </row>
    <row r="9734" spans="14:14" x14ac:dyDescent="0.25">
      <c r="N9734" s="26"/>
    </row>
    <row r="9735" spans="14:14" x14ac:dyDescent="0.25">
      <c r="N9735" s="26"/>
    </row>
    <row r="9736" spans="14:14" x14ac:dyDescent="0.25">
      <c r="N9736" s="26"/>
    </row>
    <row r="9737" spans="14:14" x14ac:dyDescent="0.25">
      <c r="N9737" s="26"/>
    </row>
    <row r="9738" spans="14:14" x14ac:dyDescent="0.25">
      <c r="N9738" s="26"/>
    </row>
    <row r="9739" spans="14:14" x14ac:dyDescent="0.25">
      <c r="N9739" s="26"/>
    </row>
    <row r="9740" spans="14:14" x14ac:dyDescent="0.25">
      <c r="N9740" s="26"/>
    </row>
    <row r="9741" spans="14:14" x14ac:dyDescent="0.25">
      <c r="N9741" s="26"/>
    </row>
    <row r="9742" spans="14:14" x14ac:dyDescent="0.25">
      <c r="N9742" s="26"/>
    </row>
    <row r="9743" spans="14:14" x14ac:dyDescent="0.25">
      <c r="N9743" s="26"/>
    </row>
    <row r="9744" spans="14:14" x14ac:dyDescent="0.25">
      <c r="N9744" s="26"/>
    </row>
    <row r="9745" spans="14:14" x14ac:dyDescent="0.25">
      <c r="N9745" s="26"/>
    </row>
    <row r="9746" spans="14:14" x14ac:dyDescent="0.25">
      <c r="N9746" s="26"/>
    </row>
    <row r="9747" spans="14:14" x14ac:dyDescent="0.25">
      <c r="N9747" s="26"/>
    </row>
    <row r="9748" spans="14:14" x14ac:dyDescent="0.25">
      <c r="N9748" s="26"/>
    </row>
    <row r="9749" spans="14:14" x14ac:dyDescent="0.25">
      <c r="N9749" s="26"/>
    </row>
    <row r="9750" spans="14:14" x14ac:dyDescent="0.25">
      <c r="N9750" s="26"/>
    </row>
    <row r="9751" spans="14:14" x14ac:dyDescent="0.25">
      <c r="N9751" s="26"/>
    </row>
    <row r="9752" spans="14:14" x14ac:dyDescent="0.25">
      <c r="N9752" s="26"/>
    </row>
    <row r="9753" spans="14:14" x14ac:dyDescent="0.25">
      <c r="N9753" s="26"/>
    </row>
    <row r="9754" spans="14:14" x14ac:dyDescent="0.25">
      <c r="N9754" s="26"/>
    </row>
    <row r="9755" spans="14:14" x14ac:dyDescent="0.25">
      <c r="N9755" s="26"/>
    </row>
    <row r="9756" spans="14:14" x14ac:dyDescent="0.25">
      <c r="N9756" s="26"/>
    </row>
    <row r="9757" spans="14:14" x14ac:dyDescent="0.25">
      <c r="N9757" s="26"/>
    </row>
    <row r="9758" spans="14:14" x14ac:dyDescent="0.25">
      <c r="N9758" s="26"/>
    </row>
    <row r="9759" spans="14:14" x14ac:dyDescent="0.25">
      <c r="N9759" s="26"/>
    </row>
    <row r="9760" spans="14:14" x14ac:dyDescent="0.25">
      <c r="N9760" s="26"/>
    </row>
    <row r="9761" spans="14:14" x14ac:dyDescent="0.25">
      <c r="N9761" s="26"/>
    </row>
    <row r="9762" spans="14:14" x14ac:dyDescent="0.25">
      <c r="N9762" s="26"/>
    </row>
    <row r="9763" spans="14:14" x14ac:dyDescent="0.25">
      <c r="N9763" s="26"/>
    </row>
    <row r="9764" spans="14:14" x14ac:dyDescent="0.25">
      <c r="N9764" s="26"/>
    </row>
    <row r="9765" spans="14:14" x14ac:dyDescent="0.25">
      <c r="N9765" s="26"/>
    </row>
    <row r="9766" spans="14:14" x14ac:dyDescent="0.25">
      <c r="N9766" s="26"/>
    </row>
    <row r="9767" spans="14:14" x14ac:dyDescent="0.25">
      <c r="N9767" s="26"/>
    </row>
    <row r="9768" spans="14:14" x14ac:dyDescent="0.25">
      <c r="N9768" s="26"/>
    </row>
    <row r="9769" spans="14:14" x14ac:dyDescent="0.25">
      <c r="N9769" s="26"/>
    </row>
    <row r="9770" spans="14:14" x14ac:dyDescent="0.25">
      <c r="N9770" s="26"/>
    </row>
    <row r="9771" spans="14:14" x14ac:dyDescent="0.25">
      <c r="N9771" s="26"/>
    </row>
    <row r="9772" spans="14:14" x14ac:dyDescent="0.25">
      <c r="N9772" s="26"/>
    </row>
    <row r="9773" spans="14:14" x14ac:dyDescent="0.25">
      <c r="N9773" s="26"/>
    </row>
    <row r="9774" spans="14:14" x14ac:dyDescent="0.25">
      <c r="N9774" s="26"/>
    </row>
    <row r="9775" spans="14:14" x14ac:dyDescent="0.25">
      <c r="N9775" s="26"/>
    </row>
    <row r="9776" spans="14:14" x14ac:dyDescent="0.25">
      <c r="N9776" s="26"/>
    </row>
    <row r="9777" spans="14:14" x14ac:dyDescent="0.25">
      <c r="N9777" s="26"/>
    </row>
    <row r="9778" spans="14:14" x14ac:dyDescent="0.25">
      <c r="N9778" s="26"/>
    </row>
    <row r="9779" spans="14:14" x14ac:dyDescent="0.25">
      <c r="N9779" s="26"/>
    </row>
    <row r="9780" spans="14:14" x14ac:dyDescent="0.25">
      <c r="N9780" s="26"/>
    </row>
    <row r="9781" spans="14:14" x14ac:dyDescent="0.25">
      <c r="N9781" s="26"/>
    </row>
    <row r="9782" spans="14:14" x14ac:dyDescent="0.25">
      <c r="N9782" s="26"/>
    </row>
    <row r="9783" spans="14:14" x14ac:dyDescent="0.25">
      <c r="N9783" s="26"/>
    </row>
    <row r="9784" spans="14:14" x14ac:dyDescent="0.25">
      <c r="N9784" s="26"/>
    </row>
    <row r="9785" spans="14:14" x14ac:dyDescent="0.25">
      <c r="N9785" s="26"/>
    </row>
    <row r="9786" spans="14:14" x14ac:dyDescent="0.25">
      <c r="N9786" s="26"/>
    </row>
    <row r="9787" spans="14:14" x14ac:dyDescent="0.25">
      <c r="N9787" s="26"/>
    </row>
    <row r="9788" spans="14:14" x14ac:dyDescent="0.25">
      <c r="N9788" s="26"/>
    </row>
    <row r="9789" spans="14:14" x14ac:dyDescent="0.25">
      <c r="N9789" s="26"/>
    </row>
    <row r="9790" spans="14:14" x14ac:dyDescent="0.25">
      <c r="N9790" s="26"/>
    </row>
    <row r="9791" spans="14:14" x14ac:dyDescent="0.25">
      <c r="N9791" s="26"/>
    </row>
    <row r="9792" spans="14:14" x14ac:dyDescent="0.25">
      <c r="N9792" s="26"/>
    </row>
    <row r="9793" spans="14:14" x14ac:dyDescent="0.25">
      <c r="N9793" s="26"/>
    </row>
    <row r="9794" spans="14:14" x14ac:dyDescent="0.25">
      <c r="N9794" s="26"/>
    </row>
    <row r="9795" spans="14:14" x14ac:dyDescent="0.25">
      <c r="N9795" s="26"/>
    </row>
    <row r="9796" spans="14:14" x14ac:dyDescent="0.25">
      <c r="N9796" s="26"/>
    </row>
    <row r="9797" spans="14:14" x14ac:dyDescent="0.25">
      <c r="N9797" s="26"/>
    </row>
    <row r="9798" spans="14:14" x14ac:dyDescent="0.25">
      <c r="N9798" s="26"/>
    </row>
    <row r="9799" spans="14:14" x14ac:dyDescent="0.25">
      <c r="N9799" s="26"/>
    </row>
    <row r="9800" spans="14:14" x14ac:dyDescent="0.25">
      <c r="N9800" s="26"/>
    </row>
    <row r="9801" spans="14:14" x14ac:dyDescent="0.25">
      <c r="N9801" s="26"/>
    </row>
    <row r="9802" spans="14:14" x14ac:dyDescent="0.25">
      <c r="N9802" s="26"/>
    </row>
    <row r="9803" spans="14:14" x14ac:dyDescent="0.25">
      <c r="N9803" s="26"/>
    </row>
    <row r="9804" spans="14:14" x14ac:dyDescent="0.25">
      <c r="N9804" s="26"/>
    </row>
    <row r="9805" spans="14:14" x14ac:dyDescent="0.25">
      <c r="N9805" s="26"/>
    </row>
    <row r="9806" spans="14:14" x14ac:dyDescent="0.25">
      <c r="N9806" s="26"/>
    </row>
    <row r="9807" spans="14:14" x14ac:dyDescent="0.25">
      <c r="N9807" s="26"/>
    </row>
    <row r="9808" spans="14:14" x14ac:dyDescent="0.25">
      <c r="N9808" s="26"/>
    </row>
    <row r="9809" spans="14:14" x14ac:dyDescent="0.25">
      <c r="N9809" s="26"/>
    </row>
    <row r="9810" spans="14:14" x14ac:dyDescent="0.25">
      <c r="N9810" s="26"/>
    </row>
    <row r="9811" spans="14:14" x14ac:dyDescent="0.25">
      <c r="N9811" s="26"/>
    </row>
    <row r="9812" spans="14:14" x14ac:dyDescent="0.25">
      <c r="N9812" s="26"/>
    </row>
    <row r="9813" spans="14:14" x14ac:dyDescent="0.25">
      <c r="N9813" s="26"/>
    </row>
    <row r="9814" spans="14:14" x14ac:dyDescent="0.25">
      <c r="N9814" s="26"/>
    </row>
    <row r="9815" spans="14:14" x14ac:dyDescent="0.25">
      <c r="N9815" s="26"/>
    </row>
    <row r="9816" spans="14:14" x14ac:dyDescent="0.25">
      <c r="N9816" s="26"/>
    </row>
    <row r="9817" spans="14:14" x14ac:dyDescent="0.25">
      <c r="N9817" s="26"/>
    </row>
    <row r="9818" spans="14:14" x14ac:dyDescent="0.25">
      <c r="N9818" s="26"/>
    </row>
    <row r="9819" spans="14:14" x14ac:dyDescent="0.25">
      <c r="N9819" s="26"/>
    </row>
    <row r="9820" spans="14:14" x14ac:dyDescent="0.25">
      <c r="N9820" s="26"/>
    </row>
    <row r="9821" spans="14:14" x14ac:dyDescent="0.25">
      <c r="N9821" s="26"/>
    </row>
    <row r="9822" spans="14:14" x14ac:dyDescent="0.25">
      <c r="N9822" s="26"/>
    </row>
    <row r="9823" spans="14:14" x14ac:dyDescent="0.25">
      <c r="N9823" s="26"/>
    </row>
    <row r="9824" spans="14:14" x14ac:dyDescent="0.25">
      <c r="N9824" s="26"/>
    </row>
    <row r="9825" spans="14:14" x14ac:dyDescent="0.25">
      <c r="N9825" s="26"/>
    </row>
    <row r="9826" spans="14:14" x14ac:dyDescent="0.25">
      <c r="N9826" s="26"/>
    </row>
    <row r="9827" spans="14:14" x14ac:dyDescent="0.25">
      <c r="N9827" s="26"/>
    </row>
    <row r="9828" spans="14:14" x14ac:dyDescent="0.25">
      <c r="N9828" s="26"/>
    </row>
    <row r="9829" spans="14:14" x14ac:dyDescent="0.25">
      <c r="N9829" s="26"/>
    </row>
    <row r="9830" spans="14:14" x14ac:dyDescent="0.25">
      <c r="N9830" s="26"/>
    </row>
    <row r="9831" spans="14:14" x14ac:dyDescent="0.25">
      <c r="N9831" s="26"/>
    </row>
    <row r="9832" spans="14:14" x14ac:dyDescent="0.25">
      <c r="N9832" s="26"/>
    </row>
    <row r="9833" spans="14:14" x14ac:dyDescent="0.25">
      <c r="N9833" s="26"/>
    </row>
    <row r="9834" spans="14:14" x14ac:dyDescent="0.25">
      <c r="N9834" s="26"/>
    </row>
    <row r="9835" spans="14:14" x14ac:dyDescent="0.25">
      <c r="N9835" s="26"/>
    </row>
    <row r="9836" spans="14:14" x14ac:dyDescent="0.25">
      <c r="N9836" s="26"/>
    </row>
    <row r="9837" spans="14:14" x14ac:dyDescent="0.25">
      <c r="N9837" s="26"/>
    </row>
    <row r="9838" spans="14:14" x14ac:dyDescent="0.25">
      <c r="N9838" s="26"/>
    </row>
    <row r="9839" spans="14:14" x14ac:dyDescent="0.25">
      <c r="N9839" s="26"/>
    </row>
    <row r="9840" spans="14:14" x14ac:dyDescent="0.25">
      <c r="N9840" s="26"/>
    </row>
    <row r="9841" spans="14:14" x14ac:dyDescent="0.25">
      <c r="N9841" s="26"/>
    </row>
    <row r="9842" spans="14:14" x14ac:dyDescent="0.25">
      <c r="N9842" s="26"/>
    </row>
    <row r="9843" spans="14:14" x14ac:dyDescent="0.25">
      <c r="N9843" s="26"/>
    </row>
    <row r="9844" spans="14:14" x14ac:dyDescent="0.25">
      <c r="N9844" s="26"/>
    </row>
    <row r="9845" spans="14:14" x14ac:dyDescent="0.25">
      <c r="N9845" s="26"/>
    </row>
    <row r="9846" spans="14:14" x14ac:dyDescent="0.25">
      <c r="N9846" s="26"/>
    </row>
    <row r="9847" spans="14:14" x14ac:dyDescent="0.25">
      <c r="N9847" s="26"/>
    </row>
    <row r="9848" spans="14:14" x14ac:dyDescent="0.25">
      <c r="N9848" s="26"/>
    </row>
    <row r="9849" spans="14:14" x14ac:dyDescent="0.25">
      <c r="N9849" s="26"/>
    </row>
    <row r="9850" spans="14:14" x14ac:dyDescent="0.25">
      <c r="N9850" s="26"/>
    </row>
    <row r="9851" spans="14:14" x14ac:dyDescent="0.25">
      <c r="N9851" s="26"/>
    </row>
    <row r="9852" spans="14:14" x14ac:dyDescent="0.25">
      <c r="N9852" s="26"/>
    </row>
    <row r="9853" spans="14:14" x14ac:dyDescent="0.25">
      <c r="N9853" s="26"/>
    </row>
    <row r="9854" spans="14:14" x14ac:dyDescent="0.25">
      <c r="N9854" s="26"/>
    </row>
    <row r="9855" spans="14:14" x14ac:dyDescent="0.25">
      <c r="N9855" s="26"/>
    </row>
    <row r="9856" spans="14:14" x14ac:dyDescent="0.25">
      <c r="N9856" s="26"/>
    </row>
    <row r="9857" spans="14:14" x14ac:dyDescent="0.25">
      <c r="N9857" s="26"/>
    </row>
    <row r="9858" spans="14:14" x14ac:dyDescent="0.25">
      <c r="N9858" s="26"/>
    </row>
    <row r="9859" spans="14:14" x14ac:dyDescent="0.25">
      <c r="N9859" s="26"/>
    </row>
    <row r="9860" spans="14:14" x14ac:dyDescent="0.25">
      <c r="N9860" s="26"/>
    </row>
    <row r="9861" spans="14:14" x14ac:dyDescent="0.25">
      <c r="N9861" s="26"/>
    </row>
    <row r="9862" spans="14:14" x14ac:dyDescent="0.25">
      <c r="N9862" s="26"/>
    </row>
    <row r="9863" spans="14:14" x14ac:dyDescent="0.25">
      <c r="N9863" s="26"/>
    </row>
    <row r="9864" spans="14:14" x14ac:dyDescent="0.25">
      <c r="N9864" s="26"/>
    </row>
    <row r="9865" spans="14:14" x14ac:dyDescent="0.25">
      <c r="N9865" s="26"/>
    </row>
    <row r="9866" spans="14:14" x14ac:dyDescent="0.25">
      <c r="N9866" s="26"/>
    </row>
    <row r="9867" spans="14:14" x14ac:dyDescent="0.25">
      <c r="N9867" s="26"/>
    </row>
    <row r="9868" spans="14:14" x14ac:dyDescent="0.25">
      <c r="N9868" s="26"/>
    </row>
    <row r="9869" spans="14:14" x14ac:dyDescent="0.25">
      <c r="N9869" s="26"/>
    </row>
    <row r="9870" spans="14:14" x14ac:dyDescent="0.25">
      <c r="N9870" s="26"/>
    </row>
    <row r="9871" spans="14:14" x14ac:dyDescent="0.25">
      <c r="N9871" s="26"/>
    </row>
    <row r="9872" spans="14:14" x14ac:dyDescent="0.25">
      <c r="N9872" s="26"/>
    </row>
    <row r="9873" spans="14:14" x14ac:dyDescent="0.25">
      <c r="N9873" s="26"/>
    </row>
    <row r="9874" spans="14:14" x14ac:dyDescent="0.25">
      <c r="N9874" s="26"/>
    </row>
    <row r="9875" spans="14:14" x14ac:dyDescent="0.25">
      <c r="N9875" s="26"/>
    </row>
    <row r="9876" spans="14:14" x14ac:dyDescent="0.25">
      <c r="N9876" s="26"/>
    </row>
    <row r="9877" spans="14:14" x14ac:dyDescent="0.25">
      <c r="N9877" s="26"/>
    </row>
    <row r="9878" spans="14:14" x14ac:dyDescent="0.25">
      <c r="N9878" s="26"/>
    </row>
    <row r="9879" spans="14:14" x14ac:dyDescent="0.25">
      <c r="N9879" s="26"/>
    </row>
    <row r="9880" spans="14:14" x14ac:dyDescent="0.25">
      <c r="N9880" s="26"/>
    </row>
    <row r="9881" spans="14:14" x14ac:dyDescent="0.25">
      <c r="N9881" s="26"/>
    </row>
    <row r="9882" spans="14:14" x14ac:dyDescent="0.25">
      <c r="N9882" s="26"/>
    </row>
    <row r="9883" spans="14:14" x14ac:dyDescent="0.25">
      <c r="N9883" s="26"/>
    </row>
    <row r="9884" spans="14:14" x14ac:dyDescent="0.25">
      <c r="N9884" s="26"/>
    </row>
    <row r="9885" spans="14:14" x14ac:dyDescent="0.25">
      <c r="N9885" s="26"/>
    </row>
    <row r="9886" spans="14:14" x14ac:dyDescent="0.25">
      <c r="N9886" s="26"/>
    </row>
    <row r="9887" spans="14:14" x14ac:dyDescent="0.25">
      <c r="N9887" s="26"/>
    </row>
    <row r="9888" spans="14:14" x14ac:dyDescent="0.25">
      <c r="N9888" s="26"/>
    </row>
    <row r="9889" spans="14:14" x14ac:dyDescent="0.25">
      <c r="N9889" s="26"/>
    </row>
    <row r="9890" spans="14:14" x14ac:dyDescent="0.25">
      <c r="N9890" s="26"/>
    </row>
    <row r="9891" spans="14:14" x14ac:dyDescent="0.25">
      <c r="N9891" s="26"/>
    </row>
    <row r="9892" spans="14:14" x14ac:dyDescent="0.25">
      <c r="N9892" s="26"/>
    </row>
    <row r="9893" spans="14:14" x14ac:dyDescent="0.25">
      <c r="N9893" s="26"/>
    </row>
    <row r="9894" spans="14:14" x14ac:dyDescent="0.25">
      <c r="N9894" s="26"/>
    </row>
    <row r="9895" spans="14:14" x14ac:dyDescent="0.25">
      <c r="N9895" s="26"/>
    </row>
    <row r="9896" spans="14:14" x14ac:dyDescent="0.25">
      <c r="N9896" s="26"/>
    </row>
    <row r="9897" spans="14:14" x14ac:dyDescent="0.25">
      <c r="N9897" s="26"/>
    </row>
    <row r="9898" spans="14:14" x14ac:dyDescent="0.25">
      <c r="N9898" s="26"/>
    </row>
    <row r="9899" spans="14:14" x14ac:dyDescent="0.25">
      <c r="N9899" s="26"/>
    </row>
    <row r="9900" spans="14:14" x14ac:dyDescent="0.25">
      <c r="N9900" s="26"/>
    </row>
    <row r="9901" spans="14:14" x14ac:dyDescent="0.25">
      <c r="N9901" s="26"/>
    </row>
    <row r="9902" spans="14:14" x14ac:dyDescent="0.25">
      <c r="N9902" s="26"/>
    </row>
    <row r="9903" spans="14:14" x14ac:dyDescent="0.25">
      <c r="N9903" s="26"/>
    </row>
    <row r="9904" spans="14:14" x14ac:dyDescent="0.25">
      <c r="N9904" s="26"/>
    </row>
    <row r="9905" spans="14:14" x14ac:dyDescent="0.25">
      <c r="N9905" s="26"/>
    </row>
    <row r="9906" spans="14:14" x14ac:dyDescent="0.25">
      <c r="N9906" s="26"/>
    </row>
    <row r="9907" spans="14:14" x14ac:dyDescent="0.25">
      <c r="N9907" s="26"/>
    </row>
    <row r="9908" spans="14:14" x14ac:dyDescent="0.25">
      <c r="N9908" s="26"/>
    </row>
    <row r="9909" spans="14:14" x14ac:dyDescent="0.25">
      <c r="N9909" s="26"/>
    </row>
    <row r="9910" spans="14:14" x14ac:dyDescent="0.25">
      <c r="N9910" s="26"/>
    </row>
    <row r="9911" spans="14:14" x14ac:dyDescent="0.25">
      <c r="N9911" s="26"/>
    </row>
    <row r="9912" spans="14:14" x14ac:dyDescent="0.25">
      <c r="N9912" s="26"/>
    </row>
    <row r="9913" spans="14:14" x14ac:dyDescent="0.25">
      <c r="N9913" s="26"/>
    </row>
    <row r="9914" spans="14:14" x14ac:dyDescent="0.25">
      <c r="N9914" s="26"/>
    </row>
    <row r="9915" spans="14:14" x14ac:dyDescent="0.25">
      <c r="N9915" s="26"/>
    </row>
    <row r="9916" spans="14:14" x14ac:dyDescent="0.25">
      <c r="N9916" s="26"/>
    </row>
    <row r="9917" spans="14:14" x14ac:dyDescent="0.25">
      <c r="N9917" s="26"/>
    </row>
    <row r="9918" spans="14:14" x14ac:dyDescent="0.25">
      <c r="N9918" s="26"/>
    </row>
    <row r="9919" spans="14:14" x14ac:dyDescent="0.25">
      <c r="N9919" s="26"/>
    </row>
    <row r="9920" spans="14:14" x14ac:dyDescent="0.25">
      <c r="N9920" s="26"/>
    </row>
    <row r="9921" spans="14:14" x14ac:dyDescent="0.25">
      <c r="N9921" s="26"/>
    </row>
    <row r="9922" spans="14:14" x14ac:dyDescent="0.25">
      <c r="N9922" s="26"/>
    </row>
    <row r="9923" spans="14:14" x14ac:dyDescent="0.25">
      <c r="N9923" s="26"/>
    </row>
    <row r="9924" spans="14:14" x14ac:dyDescent="0.25">
      <c r="N9924" s="26"/>
    </row>
    <row r="9925" spans="14:14" x14ac:dyDescent="0.25">
      <c r="N9925" s="26"/>
    </row>
    <row r="9926" spans="14:14" x14ac:dyDescent="0.25">
      <c r="N9926" s="26"/>
    </row>
    <row r="9927" spans="14:14" x14ac:dyDescent="0.25">
      <c r="N9927" s="26"/>
    </row>
    <row r="9928" spans="14:14" x14ac:dyDescent="0.25">
      <c r="N9928" s="26"/>
    </row>
    <row r="9929" spans="14:14" x14ac:dyDescent="0.25">
      <c r="N9929" s="26"/>
    </row>
    <row r="9930" spans="14:14" x14ac:dyDescent="0.25">
      <c r="N9930" s="26"/>
    </row>
    <row r="9931" spans="14:14" x14ac:dyDescent="0.25">
      <c r="N9931" s="26"/>
    </row>
    <row r="9932" spans="14:14" x14ac:dyDescent="0.25">
      <c r="N9932" s="26"/>
    </row>
    <row r="9933" spans="14:14" x14ac:dyDescent="0.25">
      <c r="N9933" s="26"/>
    </row>
    <row r="9934" spans="14:14" x14ac:dyDescent="0.25">
      <c r="N9934" s="26"/>
    </row>
    <row r="9935" spans="14:14" x14ac:dyDescent="0.25">
      <c r="N9935" s="26"/>
    </row>
    <row r="9936" spans="14:14" x14ac:dyDescent="0.25">
      <c r="N9936" s="26"/>
    </row>
    <row r="9937" spans="14:14" x14ac:dyDescent="0.25">
      <c r="N9937" s="26"/>
    </row>
    <row r="9938" spans="14:14" x14ac:dyDescent="0.25">
      <c r="N9938" s="26"/>
    </row>
    <row r="9939" spans="14:14" x14ac:dyDescent="0.25">
      <c r="N9939" s="26"/>
    </row>
    <row r="9940" spans="14:14" x14ac:dyDescent="0.25">
      <c r="N9940" s="26"/>
    </row>
    <row r="9941" spans="14:14" x14ac:dyDescent="0.25">
      <c r="N9941" s="26"/>
    </row>
    <row r="9942" spans="14:14" x14ac:dyDescent="0.25">
      <c r="N9942" s="26"/>
    </row>
    <row r="9943" spans="14:14" x14ac:dyDescent="0.25">
      <c r="N9943" s="26"/>
    </row>
    <row r="9944" spans="14:14" x14ac:dyDescent="0.25">
      <c r="N9944" s="26"/>
    </row>
    <row r="9945" spans="14:14" x14ac:dyDescent="0.25">
      <c r="N9945" s="26"/>
    </row>
    <row r="9946" spans="14:14" x14ac:dyDescent="0.25">
      <c r="N9946" s="26"/>
    </row>
    <row r="9947" spans="14:14" x14ac:dyDescent="0.25">
      <c r="N9947" s="26"/>
    </row>
    <row r="9948" spans="14:14" x14ac:dyDescent="0.25">
      <c r="N9948" s="26"/>
    </row>
    <row r="9949" spans="14:14" x14ac:dyDescent="0.25">
      <c r="N9949" s="26"/>
    </row>
    <row r="9950" spans="14:14" x14ac:dyDescent="0.25">
      <c r="N9950" s="26"/>
    </row>
    <row r="9951" spans="14:14" x14ac:dyDescent="0.25">
      <c r="N9951" s="26"/>
    </row>
    <row r="9952" spans="14:14" x14ac:dyDescent="0.25">
      <c r="N9952" s="26"/>
    </row>
    <row r="9953" spans="14:14" x14ac:dyDescent="0.25">
      <c r="N9953" s="26"/>
    </row>
    <row r="9954" spans="14:14" x14ac:dyDescent="0.25">
      <c r="N9954" s="26"/>
    </row>
    <row r="9955" spans="14:14" x14ac:dyDescent="0.25">
      <c r="N9955" s="26"/>
    </row>
    <row r="9956" spans="14:14" x14ac:dyDescent="0.25">
      <c r="N9956" s="26"/>
    </row>
    <row r="9957" spans="14:14" x14ac:dyDescent="0.25">
      <c r="N9957" s="26"/>
    </row>
    <row r="9958" spans="14:14" x14ac:dyDescent="0.25">
      <c r="N9958" s="26"/>
    </row>
    <row r="9959" spans="14:14" x14ac:dyDescent="0.25">
      <c r="N9959" s="26"/>
    </row>
    <row r="9960" spans="14:14" x14ac:dyDescent="0.25">
      <c r="N9960" s="26"/>
    </row>
    <row r="9961" spans="14:14" x14ac:dyDescent="0.25">
      <c r="N9961" s="26"/>
    </row>
    <row r="9962" spans="14:14" x14ac:dyDescent="0.25">
      <c r="N9962" s="26"/>
    </row>
    <row r="9963" spans="14:14" x14ac:dyDescent="0.25">
      <c r="N9963" s="26"/>
    </row>
    <row r="9964" spans="14:14" x14ac:dyDescent="0.25">
      <c r="N9964" s="26"/>
    </row>
    <row r="9965" spans="14:14" x14ac:dyDescent="0.25">
      <c r="N9965" s="26"/>
    </row>
    <row r="9966" spans="14:14" x14ac:dyDescent="0.25">
      <c r="N9966" s="26"/>
    </row>
    <row r="9967" spans="14:14" x14ac:dyDescent="0.25">
      <c r="N9967" s="26"/>
    </row>
    <row r="9968" spans="14:14" x14ac:dyDescent="0.25">
      <c r="N9968" s="26"/>
    </row>
    <row r="9969" spans="14:14" x14ac:dyDescent="0.25">
      <c r="N9969" s="26"/>
    </row>
    <row r="9970" spans="14:14" x14ac:dyDescent="0.25">
      <c r="N9970" s="26"/>
    </row>
    <row r="9971" spans="14:14" x14ac:dyDescent="0.25">
      <c r="N9971" s="26"/>
    </row>
    <row r="9972" spans="14:14" x14ac:dyDescent="0.25">
      <c r="N9972" s="26"/>
    </row>
    <row r="9973" spans="14:14" x14ac:dyDescent="0.25">
      <c r="N9973" s="26"/>
    </row>
    <row r="9974" spans="14:14" x14ac:dyDescent="0.25">
      <c r="N9974" s="26"/>
    </row>
    <row r="9975" spans="14:14" x14ac:dyDescent="0.25">
      <c r="N9975" s="26"/>
    </row>
    <row r="9976" spans="14:14" x14ac:dyDescent="0.25">
      <c r="N9976" s="26"/>
    </row>
    <row r="9977" spans="14:14" x14ac:dyDescent="0.25">
      <c r="N9977" s="26"/>
    </row>
    <row r="9978" spans="14:14" x14ac:dyDescent="0.25">
      <c r="N9978" s="26"/>
    </row>
    <row r="9979" spans="14:14" x14ac:dyDescent="0.25">
      <c r="N9979" s="26"/>
    </row>
    <row r="9980" spans="14:14" x14ac:dyDescent="0.25">
      <c r="N9980" s="26"/>
    </row>
    <row r="9981" spans="14:14" x14ac:dyDescent="0.25">
      <c r="N9981" s="26"/>
    </row>
    <row r="9982" spans="14:14" x14ac:dyDescent="0.25">
      <c r="N9982" s="26"/>
    </row>
    <row r="9983" spans="14:14" x14ac:dyDescent="0.25">
      <c r="N9983" s="26"/>
    </row>
    <row r="9984" spans="14:14" x14ac:dyDescent="0.25">
      <c r="N9984" s="26"/>
    </row>
    <row r="9985" spans="14:14" x14ac:dyDescent="0.25">
      <c r="N9985" s="26"/>
    </row>
    <row r="9986" spans="14:14" x14ac:dyDescent="0.25">
      <c r="N9986" s="26"/>
    </row>
    <row r="9987" spans="14:14" x14ac:dyDescent="0.25">
      <c r="N9987" s="26"/>
    </row>
    <row r="9988" spans="14:14" x14ac:dyDescent="0.25">
      <c r="N9988" s="26"/>
    </row>
    <row r="9989" spans="14:14" x14ac:dyDescent="0.25">
      <c r="N9989" s="26"/>
    </row>
    <row r="9990" spans="14:14" x14ac:dyDescent="0.25">
      <c r="N9990" s="26"/>
    </row>
    <row r="9991" spans="14:14" x14ac:dyDescent="0.25">
      <c r="N9991" s="26"/>
    </row>
    <row r="9992" spans="14:14" x14ac:dyDescent="0.25">
      <c r="N9992" s="26"/>
    </row>
    <row r="9993" spans="14:14" x14ac:dyDescent="0.25">
      <c r="N9993" s="26"/>
    </row>
    <row r="9994" spans="14:14" x14ac:dyDescent="0.25">
      <c r="N9994" s="26"/>
    </row>
    <row r="9995" spans="14:14" x14ac:dyDescent="0.25">
      <c r="N9995" s="26"/>
    </row>
    <row r="9996" spans="14:14" x14ac:dyDescent="0.25">
      <c r="N9996" s="26"/>
    </row>
    <row r="9997" spans="14:14" x14ac:dyDescent="0.25">
      <c r="N9997" s="26"/>
    </row>
    <row r="9998" spans="14:14" x14ac:dyDescent="0.25">
      <c r="N9998" s="26"/>
    </row>
    <row r="9999" spans="14:14" x14ac:dyDescent="0.25">
      <c r="N9999" s="26"/>
    </row>
    <row r="10000" spans="14:14" x14ac:dyDescent="0.25">
      <c r="N10000" s="26"/>
    </row>
    <row r="10001" spans="14:14" x14ac:dyDescent="0.25">
      <c r="N10001" s="26"/>
    </row>
    <row r="10002" spans="14:14" x14ac:dyDescent="0.25">
      <c r="N10002" s="26"/>
    </row>
    <row r="10003" spans="14:14" x14ac:dyDescent="0.25">
      <c r="N10003" s="26"/>
    </row>
    <row r="10004" spans="14:14" x14ac:dyDescent="0.25">
      <c r="N10004" s="26"/>
    </row>
    <row r="10005" spans="14:14" x14ac:dyDescent="0.25">
      <c r="N10005" s="26"/>
    </row>
    <row r="10006" spans="14:14" x14ac:dyDescent="0.25">
      <c r="N10006" s="26"/>
    </row>
    <row r="10007" spans="14:14" x14ac:dyDescent="0.25">
      <c r="N10007" s="26"/>
    </row>
    <row r="10008" spans="14:14" x14ac:dyDescent="0.25">
      <c r="N10008" s="26"/>
    </row>
    <row r="10009" spans="14:14" x14ac:dyDescent="0.25">
      <c r="N10009" s="26"/>
    </row>
    <row r="10010" spans="14:14" x14ac:dyDescent="0.25">
      <c r="N10010" s="26"/>
    </row>
    <row r="10011" spans="14:14" x14ac:dyDescent="0.25">
      <c r="N10011" s="26"/>
    </row>
    <row r="10012" spans="14:14" x14ac:dyDescent="0.25">
      <c r="N10012" s="26"/>
    </row>
    <row r="10013" spans="14:14" x14ac:dyDescent="0.25">
      <c r="N10013" s="26"/>
    </row>
    <row r="10014" spans="14:14" x14ac:dyDescent="0.25">
      <c r="N10014" s="26"/>
    </row>
    <row r="10015" spans="14:14" x14ac:dyDescent="0.25">
      <c r="N10015" s="26"/>
    </row>
    <row r="10016" spans="14:14" x14ac:dyDescent="0.25">
      <c r="N10016" s="26"/>
    </row>
    <row r="10017" spans="14:14" x14ac:dyDescent="0.25">
      <c r="N10017" s="26"/>
    </row>
    <row r="10018" spans="14:14" x14ac:dyDescent="0.25">
      <c r="N10018" s="26"/>
    </row>
    <row r="10019" spans="14:14" x14ac:dyDescent="0.25">
      <c r="N10019" s="26"/>
    </row>
    <row r="10020" spans="14:14" x14ac:dyDescent="0.25">
      <c r="N10020" s="26"/>
    </row>
    <row r="10021" spans="14:14" x14ac:dyDescent="0.25">
      <c r="N10021" s="26"/>
    </row>
    <row r="10022" spans="14:14" x14ac:dyDescent="0.25">
      <c r="N10022" s="26"/>
    </row>
    <row r="10023" spans="14:14" x14ac:dyDescent="0.25">
      <c r="N10023" s="26"/>
    </row>
    <row r="10024" spans="14:14" x14ac:dyDescent="0.25">
      <c r="N10024" s="26"/>
    </row>
    <row r="10025" spans="14:14" x14ac:dyDescent="0.25">
      <c r="N10025" s="26"/>
    </row>
    <row r="10026" spans="14:14" x14ac:dyDescent="0.25">
      <c r="N10026" s="26"/>
    </row>
    <row r="10027" spans="14:14" x14ac:dyDescent="0.25">
      <c r="N10027" s="26"/>
    </row>
    <row r="10028" spans="14:14" x14ac:dyDescent="0.25">
      <c r="N10028" s="26"/>
    </row>
    <row r="10029" spans="14:14" x14ac:dyDescent="0.25">
      <c r="N10029" s="26"/>
    </row>
    <row r="10030" spans="14:14" x14ac:dyDescent="0.25">
      <c r="N10030" s="26"/>
    </row>
    <row r="10031" spans="14:14" x14ac:dyDescent="0.25">
      <c r="N10031" s="26"/>
    </row>
    <row r="10032" spans="14:14" x14ac:dyDescent="0.25">
      <c r="N10032" s="26"/>
    </row>
    <row r="10033" spans="14:14" x14ac:dyDescent="0.25">
      <c r="N10033" s="26"/>
    </row>
    <row r="10034" spans="14:14" x14ac:dyDescent="0.25">
      <c r="N10034" s="26"/>
    </row>
    <row r="10035" spans="14:14" x14ac:dyDescent="0.25">
      <c r="N10035" s="26"/>
    </row>
    <row r="10036" spans="14:14" x14ac:dyDescent="0.25">
      <c r="N10036" s="26"/>
    </row>
    <row r="10037" spans="14:14" x14ac:dyDescent="0.25">
      <c r="N10037" s="26"/>
    </row>
    <row r="10038" spans="14:14" x14ac:dyDescent="0.25">
      <c r="N10038" s="26"/>
    </row>
    <row r="10039" spans="14:14" x14ac:dyDescent="0.25">
      <c r="N10039" s="26"/>
    </row>
    <row r="10040" spans="14:14" x14ac:dyDescent="0.25">
      <c r="N10040" s="26"/>
    </row>
    <row r="10041" spans="14:14" x14ac:dyDescent="0.25">
      <c r="N10041" s="26"/>
    </row>
    <row r="10042" spans="14:14" x14ac:dyDescent="0.25">
      <c r="N10042" s="26"/>
    </row>
    <row r="10043" spans="14:14" x14ac:dyDescent="0.25">
      <c r="N10043" s="26"/>
    </row>
    <row r="10044" spans="14:14" x14ac:dyDescent="0.25">
      <c r="N10044" s="26"/>
    </row>
    <row r="10045" spans="14:14" x14ac:dyDescent="0.25">
      <c r="N10045" s="26"/>
    </row>
    <row r="10046" spans="14:14" x14ac:dyDescent="0.25">
      <c r="N10046" s="26"/>
    </row>
    <row r="10047" spans="14:14" x14ac:dyDescent="0.25">
      <c r="N10047" s="26"/>
    </row>
    <row r="10048" spans="14:14" x14ac:dyDescent="0.25">
      <c r="N10048" s="26"/>
    </row>
    <row r="10049" spans="14:14" x14ac:dyDescent="0.25">
      <c r="N10049" s="26"/>
    </row>
    <row r="10050" spans="14:14" x14ac:dyDescent="0.25">
      <c r="N10050" s="26"/>
    </row>
    <row r="10051" spans="14:14" x14ac:dyDescent="0.25">
      <c r="N10051" s="26"/>
    </row>
    <row r="10052" spans="14:14" x14ac:dyDescent="0.25">
      <c r="N10052" s="26"/>
    </row>
    <row r="10053" spans="14:14" x14ac:dyDescent="0.25">
      <c r="N10053" s="26"/>
    </row>
    <row r="10054" spans="14:14" x14ac:dyDescent="0.25">
      <c r="N10054" s="26"/>
    </row>
    <row r="10055" spans="14:14" x14ac:dyDescent="0.25">
      <c r="N10055" s="26"/>
    </row>
    <row r="10056" spans="14:14" x14ac:dyDescent="0.25">
      <c r="N10056" s="26"/>
    </row>
    <row r="10057" spans="14:14" x14ac:dyDescent="0.25">
      <c r="N10057" s="26"/>
    </row>
    <row r="10058" spans="14:14" x14ac:dyDescent="0.25">
      <c r="N10058" s="26"/>
    </row>
    <row r="10059" spans="14:14" x14ac:dyDescent="0.25">
      <c r="N10059" s="26"/>
    </row>
    <row r="10060" spans="14:14" x14ac:dyDescent="0.25">
      <c r="N10060" s="26"/>
    </row>
    <row r="10061" spans="14:14" x14ac:dyDescent="0.25">
      <c r="N10061" s="26"/>
    </row>
    <row r="10062" spans="14:14" x14ac:dyDescent="0.25">
      <c r="N10062" s="26"/>
    </row>
    <row r="10063" spans="14:14" x14ac:dyDescent="0.25">
      <c r="N10063" s="26"/>
    </row>
    <row r="10064" spans="14:14" x14ac:dyDescent="0.25">
      <c r="N10064" s="26"/>
    </row>
    <row r="10065" spans="14:14" x14ac:dyDescent="0.25">
      <c r="N10065" s="26"/>
    </row>
    <row r="10066" spans="14:14" x14ac:dyDescent="0.25">
      <c r="N10066" s="26"/>
    </row>
    <row r="10067" spans="14:14" x14ac:dyDescent="0.25">
      <c r="N10067" s="26"/>
    </row>
    <row r="10068" spans="14:14" x14ac:dyDescent="0.25">
      <c r="N10068" s="26"/>
    </row>
    <row r="10069" spans="14:14" x14ac:dyDescent="0.25">
      <c r="N10069" s="26"/>
    </row>
    <row r="10070" spans="14:14" x14ac:dyDescent="0.25">
      <c r="N10070" s="26"/>
    </row>
    <row r="10071" spans="14:14" x14ac:dyDescent="0.25">
      <c r="N10071" s="26"/>
    </row>
    <row r="10072" spans="14:14" x14ac:dyDescent="0.25">
      <c r="N10072" s="26"/>
    </row>
    <row r="10073" spans="14:14" x14ac:dyDescent="0.25">
      <c r="N10073" s="26"/>
    </row>
    <row r="10074" spans="14:14" x14ac:dyDescent="0.25">
      <c r="N10074" s="26"/>
    </row>
    <row r="10075" spans="14:14" x14ac:dyDescent="0.25">
      <c r="N10075" s="26"/>
    </row>
    <row r="10076" spans="14:14" x14ac:dyDescent="0.25">
      <c r="N10076" s="26"/>
    </row>
    <row r="10077" spans="14:14" x14ac:dyDescent="0.25">
      <c r="N10077" s="26"/>
    </row>
    <row r="10078" spans="14:14" x14ac:dyDescent="0.25">
      <c r="N10078" s="26"/>
    </row>
    <row r="10079" spans="14:14" x14ac:dyDescent="0.25">
      <c r="N10079" s="26"/>
    </row>
    <row r="10080" spans="14:14" x14ac:dyDescent="0.25">
      <c r="N10080" s="26"/>
    </row>
    <row r="10081" spans="14:14" x14ac:dyDescent="0.25">
      <c r="N10081" s="26"/>
    </row>
    <row r="10082" spans="14:14" x14ac:dyDescent="0.25">
      <c r="N10082" s="26"/>
    </row>
    <row r="10083" spans="14:14" x14ac:dyDescent="0.25">
      <c r="N10083" s="26"/>
    </row>
    <row r="10084" spans="14:14" x14ac:dyDescent="0.25">
      <c r="N10084" s="26"/>
    </row>
    <row r="10085" spans="14:14" x14ac:dyDescent="0.25">
      <c r="N10085" s="26"/>
    </row>
    <row r="10086" spans="14:14" x14ac:dyDescent="0.25">
      <c r="N10086" s="26"/>
    </row>
    <row r="10087" spans="14:14" x14ac:dyDescent="0.25">
      <c r="N10087" s="26"/>
    </row>
    <row r="10088" spans="14:14" x14ac:dyDescent="0.25">
      <c r="N10088" s="26"/>
    </row>
    <row r="10089" spans="14:14" x14ac:dyDescent="0.25">
      <c r="N10089" s="26"/>
    </row>
    <row r="10090" spans="14:14" x14ac:dyDescent="0.25">
      <c r="N10090" s="26"/>
    </row>
    <row r="10091" spans="14:14" x14ac:dyDescent="0.25">
      <c r="N10091" s="26"/>
    </row>
    <row r="10092" spans="14:14" x14ac:dyDescent="0.25">
      <c r="N10092" s="26"/>
    </row>
    <row r="10093" spans="14:14" x14ac:dyDescent="0.25">
      <c r="N10093" s="26"/>
    </row>
    <row r="10094" spans="14:14" x14ac:dyDescent="0.25">
      <c r="N10094" s="26"/>
    </row>
    <row r="10095" spans="14:14" x14ac:dyDescent="0.25">
      <c r="N10095" s="26"/>
    </row>
    <row r="10096" spans="14:14" x14ac:dyDescent="0.25">
      <c r="N10096" s="26"/>
    </row>
    <row r="10097" spans="14:14" x14ac:dyDescent="0.25">
      <c r="N10097" s="26"/>
    </row>
    <row r="10098" spans="14:14" x14ac:dyDescent="0.25">
      <c r="N10098" s="26"/>
    </row>
    <row r="10099" spans="14:14" x14ac:dyDescent="0.25">
      <c r="N10099" s="26"/>
    </row>
    <row r="10100" spans="14:14" x14ac:dyDescent="0.25">
      <c r="N10100" s="26"/>
    </row>
    <row r="10101" spans="14:14" x14ac:dyDescent="0.25">
      <c r="N10101" s="26"/>
    </row>
    <row r="10102" spans="14:14" x14ac:dyDescent="0.25">
      <c r="N10102" s="26"/>
    </row>
    <row r="10103" spans="14:14" x14ac:dyDescent="0.25">
      <c r="N10103" s="26"/>
    </row>
    <row r="10104" spans="14:14" x14ac:dyDescent="0.25">
      <c r="N10104" s="26"/>
    </row>
    <row r="10105" spans="14:14" x14ac:dyDescent="0.25">
      <c r="N10105" s="26"/>
    </row>
    <row r="10106" spans="14:14" x14ac:dyDescent="0.25">
      <c r="N10106" s="26"/>
    </row>
    <row r="10107" spans="14:14" x14ac:dyDescent="0.25">
      <c r="N10107" s="26"/>
    </row>
    <row r="10108" spans="14:14" x14ac:dyDescent="0.25">
      <c r="N10108" s="26"/>
    </row>
    <row r="10109" spans="14:14" x14ac:dyDescent="0.25">
      <c r="N10109" s="26"/>
    </row>
    <row r="10110" spans="14:14" x14ac:dyDescent="0.25">
      <c r="N10110" s="26"/>
    </row>
    <row r="10111" spans="14:14" x14ac:dyDescent="0.25">
      <c r="N10111" s="26"/>
    </row>
    <row r="10112" spans="14:14" x14ac:dyDescent="0.25">
      <c r="N10112" s="26"/>
    </row>
    <row r="10113" spans="14:14" x14ac:dyDescent="0.25">
      <c r="N10113" s="26"/>
    </row>
    <row r="10114" spans="14:14" x14ac:dyDescent="0.25">
      <c r="N10114" s="26"/>
    </row>
    <row r="10115" spans="14:14" x14ac:dyDescent="0.25">
      <c r="N10115" s="26"/>
    </row>
    <row r="10116" spans="14:14" x14ac:dyDescent="0.25">
      <c r="N10116" s="26"/>
    </row>
    <row r="10117" spans="14:14" x14ac:dyDescent="0.25">
      <c r="N10117" s="26"/>
    </row>
    <row r="10118" spans="14:14" x14ac:dyDescent="0.25">
      <c r="N10118" s="26"/>
    </row>
    <row r="10119" spans="14:14" x14ac:dyDescent="0.25">
      <c r="N10119" s="26"/>
    </row>
    <row r="10120" spans="14:14" x14ac:dyDescent="0.25">
      <c r="N10120" s="26"/>
    </row>
    <row r="10121" spans="14:14" x14ac:dyDescent="0.25">
      <c r="N10121" s="26"/>
    </row>
    <row r="10122" spans="14:14" x14ac:dyDescent="0.25">
      <c r="N10122" s="26"/>
    </row>
    <row r="10123" spans="14:14" x14ac:dyDescent="0.25">
      <c r="N10123" s="26"/>
    </row>
    <row r="10124" spans="14:14" x14ac:dyDescent="0.25">
      <c r="N10124" s="26"/>
    </row>
    <row r="10125" spans="14:14" x14ac:dyDescent="0.25">
      <c r="N10125" s="26"/>
    </row>
    <row r="10126" spans="14:14" x14ac:dyDescent="0.25">
      <c r="N10126" s="26"/>
    </row>
    <row r="10127" spans="14:14" x14ac:dyDescent="0.25">
      <c r="N10127" s="26"/>
    </row>
    <row r="10128" spans="14:14" x14ac:dyDescent="0.25">
      <c r="N10128" s="26"/>
    </row>
    <row r="10129" spans="14:14" x14ac:dyDescent="0.25">
      <c r="N10129" s="26"/>
    </row>
    <row r="10130" spans="14:14" x14ac:dyDescent="0.25">
      <c r="N10130" s="26"/>
    </row>
    <row r="10131" spans="14:14" x14ac:dyDescent="0.25">
      <c r="N10131" s="26"/>
    </row>
    <row r="10132" spans="14:14" x14ac:dyDescent="0.25">
      <c r="N10132" s="26"/>
    </row>
    <row r="10133" spans="14:14" x14ac:dyDescent="0.25">
      <c r="N10133" s="26"/>
    </row>
    <row r="10134" spans="14:14" x14ac:dyDescent="0.25">
      <c r="N10134" s="26"/>
    </row>
    <row r="10135" spans="14:14" x14ac:dyDescent="0.25">
      <c r="N10135" s="26"/>
    </row>
    <row r="10136" spans="14:14" x14ac:dyDescent="0.25">
      <c r="N10136" s="26"/>
    </row>
    <row r="10137" spans="14:14" x14ac:dyDescent="0.25">
      <c r="N10137" s="26"/>
    </row>
    <row r="10138" spans="14:14" x14ac:dyDescent="0.25">
      <c r="N10138" s="26"/>
    </row>
    <row r="10139" spans="14:14" x14ac:dyDescent="0.25">
      <c r="N10139" s="26"/>
    </row>
    <row r="10140" spans="14:14" x14ac:dyDescent="0.25">
      <c r="N10140" s="26"/>
    </row>
    <row r="10141" spans="14:14" x14ac:dyDescent="0.25">
      <c r="N10141" s="26"/>
    </row>
    <row r="10142" spans="14:14" x14ac:dyDescent="0.25">
      <c r="N10142" s="26"/>
    </row>
    <row r="10143" spans="14:14" x14ac:dyDescent="0.25">
      <c r="N10143" s="26"/>
    </row>
    <row r="10144" spans="14:14" x14ac:dyDescent="0.25">
      <c r="N10144" s="26"/>
    </row>
    <row r="10145" spans="14:14" x14ac:dyDescent="0.25">
      <c r="N10145" s="26"/>
    </row>
    <row r="10146" spans="14:14" x14ac:dyDescent="0.25">
      <c r="N10146" s="26"/>
    </row>
    <row r="10147" spans="14:14" x14ac:dyDescent="0.25">
      <c r="N10147" s="26"/>
    </row>
    <row r="10148" spans="14:14" x14ac:dyDescent="0.25">
      <c r="N10148" s="26"/>
    </row>
    <row r="10149" spans="14:14" x14ac:dyDescent="0.25">
      <c r="N10149" s="26"/>
    </row>
    <row r="10150" spans="14:14" x14ac:dyDescent="0.25">
      <c r="N10150" s="26"/>
    </row>
    <row r="10151" spans="14:14" x14ac:dyDescent="0.25">
      <c r="N10151" s="26"/>
    </row>
    <row r="10152" spans="14:14" x14ac:dyDescent="0.25">
      <c r="N10152" s="26"/>
    </row>
    <row r="10153" spans="14:14" x14ac:dyDescent="0.25">
      <c r="N10153" s="26"/>
    </row>
    <row r="10154" spans="14:14" x14ac:dyDescent="0.25">
      <c r="N10154" s="26"/>
    </row>
    <row r="10155" spans="14:14" x14ac:dyDescent="0.25">
      <c r="N10155" s="26"/>
    </row>
    <row r="10156" spans="14:14" x14ac:dyDescent="0.25">
      <c r="N10156" s="26"/>
    </row>
    <row r="10157" spans="14:14" x14ac:dyDescent="0.25">
      <c r="N10157" s="26"/>
    </row>
    <row r="10158" spans="14:14" x14ac:dyDescent="0.25">
      <c r="N10158" s="26"/>
    </row>
    <row r="10159" spans="14:14" x14ac:dyDescent="0.25">
      <c r="N10159" s="26"/>
    </row>
    <row r="10160" spans="14:14" x14ac:dyDescent="0.25">
      <c r="N10160" s="26"/>
    </row>
    <row r="10161" spans="14:14" x14ac:dyDescent="0.25">
      <c r="N10161" s="26"/>
    </row>
    <row r="10162" spans="14:14" x14ac:dyDescent="0.25">
      <c r="N10162" s="26"/>
    </row>
    <row r="10163" spans="14:14" x14ac:dyDescent="0.25">
      <c r="N10163" s="26"/>
    </row>
    <row r="10164" spans="14:14" x14ac:dyDescent="0.25">
      <c r="N10164" s="26"/>
    </row>
    <row r="10165" spans="14:14" x14ac:dyDescent="0.25">
      <c r="N10165" s="26"/>
    </row>
    <row r="10166" spans="14:14" x14ac:dyDescent="0.25">
      <c r="N10166" s="26"/>
    </row>
    <row r="10167" spans="14:14" x14ac:dyDescent="0.25">
      <c r="N10167" s="26"/>
    </row>
    <row r="10168" spans="14:14" x14ac:dyDescent="0.25">
      <c r="N10168" s="26"/>
    </row>
    <row r="10169" spans="14:14" x14ac:dyDescent="0.25">
      <c r="N10169" s="26"/>
    </row>
    <row r="10170" spans="14:14" x14ac:dyDescent="0.25">
      <c r="N10170" s="26"/>
    </row>
    <row r="10171" spans="14:14" x14ac:dyDescent="0.25">
      <c r="N10171" s="26"/>
    </row>
    <row r="10172" spans="14:14" x14ac:dyDescent="0.25">
      <c r="N10172" s="26"/>
    </row>
    <row r="10173" spans="14:14" x14ac:dyDescent="0.25">
      <c r="N10173" s="26"/>
    </row>
    <row r="10174" spans="14:14" x14ac:dyDescent="0.25">
      <c r="N10174" s="26"/>
    </row>
    <row r="10175" spans="14:14" x14ac:dyDescent="0.25">
      <c r="N10175" s="26"/>
    </row>
    <row r="10176" spans="14:14" x14ac:dyDescent="0.25">
      <c r="N10176" s="26"/>
    </row>
    <row r="10177" spans="14:14" x14ac:dyDescent="0.25">
      <c r="N10177" s="26"/>
    </row>
    <row r="10178" spans="14:14" x14ac:dyDescent="0.25">
      <c r="N10178" s="26"/>
    </row>
    <row r="10179" spans="14:14" x14ac:dyDescent="0.25">
      <c r="N10179" s="26"/>
    </row>
    <row r="10180" spans="14:14" x14ac:dyDescent="0.25">
      <c r="N10180" s="26"/>
    </row>
    <row r="10181" spans="14:14" x14ac:dyDescent="0.25">
      <c r="N10181" s="26"/>
    </row>
    <row r="10182" spans="14:14" x14ac:dyDescent="0.25">
      <c r="N10182" s="26"/>
    </row>
    <row r="10183" spans="14:14" x14ac:dyDescent="0.25">
      <c r="N10183" s="26"/>
    </row>
    <row r="10184" spans="14:14" x14ac:dyDescent="0.25">
      <c r="N10184" s="26"/>
    </row>
    <row r="10185" spans="14:14" x14ac:dyDescent="0.25">
      <c r="N10185" s="26"/>
    </row>
    <row r="10186" spans="14:14" x14ac:dyDescent="0.25">
      <c r="N10186" s="26"/>
    </row>
    <row r="10187" spans="14:14" x14ac:dyDescent="0.25">
      <c r="N10187" s="26"/>
    </row>
    <row r="10188" spans="14:14" x14ac:dyDescent="0.25">
      <c r="N10188" s="26"/>
    </row>
    <row r="10189" spans="14:14" x14ac:dyDescent="0.25">
      <c r="N10189" s="26"/>
    </row>
    <row r="10190" spans="14:14" x14ac:dyDescent="0.25">
      <c r="N10190" s="26"/>
    </row>
    <row r="10191" spans="14:14" x14ac:dyDescent="0.25">
      <c r="N10191" s="26"/>
    </row>
    <row r="10192" spans="14:14" x14ac:dyDescent="0.25">
      <c r="N10192" s="26"/>
    </row>
    <row r="10193" spans="14:14" x14ac:dyDescent="0.25">
      <c r="N10193" s="26"/>
    </row>
    <row r="10194" spans="14:14" x14ac:dyDescent="0.25">
      <c r="N10194" s="26"/>
    </row>
    <row r="10195" spans="14:14" x14ac:dyDescent="0.25">
      <c r="N10195" s="26"/>
    </row>
    <row r="10196" spans="14:14" x14ac:dyDescent="0.25">
      <c r="N10196" s="26"/>
    </row>
    <row r="10197" spans="14:14" x14ac:dyDescent="0.25">
      <c r="N10197" s="26"/>
    </row>
    <row r="10198" spans="14:14" x14ac:dyDescent="0.25">
      <c r="N10198" s="26"/>
    </row>
    <row r="10199" spans="14:14" x14ac:dyDescent="0.25">
      <c r="N10199" s="26"/>
    </row>
    <row r="10200" spans="14:14" x14ac:dyDescent="0.25">
      <c r="N10200" s="26"/>
    </row>
    <row r="10201" spans="14:14" x14ac:dyDescent="0.25">
      <c r="N10201" s="26"/>
    </row>
    <row r="10202" spans="14:14" x14ac:dyDescent="0.25">
      <c r="N10202" s="26"/>
    </row>
    <row r="10203" spans="14:14" x14ac:dyDescent="0.25">
      <c r="N10203" s="26"/>
    </row>
    <row r="10204" spans="14:14" x14ac:dyDescent="0.25">
      <c r="N10204" s="26"/>
    </row>
    <row r="10205" spans="14:14" x14ac:dyDescent="0.25">
      <c r="N10205" s="26"/>
    </row>
    <row r="10206" spans="14:14" x14ac:dyDescent="0.25">
      <c r="N10206" s="26"/>
    </row>
    <row r="10207" spans="14:14" x14ac:dyDescent="0.25">
      <c r="N10207" s="26"/>
    </row>
    <row r="10208" spans="14:14" x14ac:dyDescent="0.25">
      <c r="N10208" s="26"/>
    </row>
    <row r="10209" spans="14:14" x14ac:dyDescent="0.25">
      <c r="N10209" s="26"/>
    </row>
    <row r="10210" spans="14:14" x14ac:dyDescent="0.25">
      <c r="N10210" s="26"/>
    </row>
    <row r="10211" spans="14:14" x14ac:dyDescent="0.25">
      <c r="N10211" s="26"/>
    </row>
    <row r="10212" spans="14:14" x14ac:dyDescent="0.25">
      <c r="N10212" s="26"/>
    </row>
    <row r="10213" spans="14:14" x14ac:dyDescent="0.25">
      <c r="N10213" s="26"/>
    </row>
    <row r="10214" spans="14:14" x14ac:dyDescent="0.25">
      <c r="N10214" s="26"/>
    </row>
    <row r="10215" spans="14:14" x14ac:dyDescent="0.25">
      <c r="N10215" s="26"/>
    </row>
    <row r="10216" spans="14:14" x14ac:dyDescent="0.25">
      <c r="N10216" s="26"/>
    </row>
    <row r="10217" spans="14:14" x14ac:dyDescent="0.25">
      <c r="N10217" s="26"/>
    </row>
    <row r="10218" spans="14:14" x14ac:dyDescent="0.25">
      <c r="N10218" s="26"/>
    </row>
    <row r="10219" spans="14:14" x14ac:dyDescent="0.25">
      <c r="N10219" s="26"/>
    </row>
    <row r="10220" spans="14:14" x14ac:dyDescent="0.25">
      <c r="N10220" s="26"/>
    </row>
    <row r="10221" spans="14:14" x14ac:dyDescent="0.25">
      <c r="N10221" s="26"/>
    </row>
    <row r="10222" spans="14:14" x14ac:dyDescent="0.25">
      <c r="N10222" s="26"/>
    </row>
    <row r="10223" spans="14:14" x14ac:dyDescent="0.25">
      <c r="N10223" s="26"/>
    </row>
    <row r="10224" spans="14:14" x14ac:dyDescent="0.25">
      <c r="N10224" s="26"/>
    </row>
    <row r="10225" spans="14:14" x14ac:dyDescent="0.25">
      <c r="N10225" s="26"/>
    </row>
    <row r="10226" spans="14:14" x14ac:dyDescent="0.25">
      <c r="N10226" s="26"/>
    </row>
    <row r="10227" spans="14:14" x14ac:dyDescent="0.25">
      <c r="N10227" s="26"/>
    </row>
    <row r="10228" spans="14:14" x14ac:dyDescent="0.25">
      <c r="N10228" s="26"/>
    </row>
    <row r="10229" spans="14:14" x14ac:dyDescent="0.25">
      <c r="N10229" s="26"/>
    </row>
    <row r="10230" spans="14:14" x14ac:dyDescent="0.25">
      <c r="N10230" s="26"/>
    </row>
    <row r="10231" spans="14:14" x14ac:dyDescent="0.25">
      <c r="N10231" s="26"/>
    </row>
    <row r="10232" spans="14:14" x14ac:dyDescent="0.25">
      <c r="N10232" s="26"/>
    </row>
    <row r="10233" spans="14:14" x14ac:dyDescent="0.25">
      <c r="N10233" s="26"/>
    </row>
    <row r="10234" spans="14:14" x14ac:dyDescent="0.25">
      <c r="N10234" s="26"/>
    </row>
    <row r="10235" spans="14:14" x14ac:dyDescent="0.25">
      <c r="N10235" s="26"/>
    </row>
    <row r="10236" spans="14:14" x14ac:dyDescent="0.25">
      <c r="N10236" s="26"/>
    </row>
    <row r="10237" spans="14:14" x14ac:dyDescent="0.25">
      <c r="N10237" s="26"/>
    </row>
    <row r="10238" spans="14:14" x14ac:dyDescent="0.25">
      <c r="N10238" s="26"/>
    </row>
    <row r="10239" spans="14:14" x14ac:dyDescent="0.25">
      <c r="N10239" s="26"/>
    </row>
    <row r="10240" spans="14:14" x14ac:dyDescent="0.25">
      <c r="N10240" s="26"/>
    </row>
    <row r="10241" spans="14:14" x14ac:dyDescent="0.25">
      <c r="N10241" s="26"/>
    </row>
    <row r="10242" spans="14:14" x14ac:dyDescent="0.25">
      <c r="N10242" s="26"/>
    </row>
    <row r="10243" spans="14:14" x14ac:dyDescent="0.25">
      <c r="N10243" s="26"/>
    </row>
    <row r="10244" spans="14:14" x14ac:dyDescent="0.25">
      <c r="N10244" s="26"/>
    </row>
    <row r="10245" spans="14:14" x14ac:dyDescent="0.25">
      <c r="N10245" s="26"/>
    </row>
    <row r="10246" spans="14:14" x14ac:dyDescent="0.25">
      <c r="N10246" s="26"/>
    </row>
    <row r="10247" spans="14:14" x14ac:dyDescent="0.25">
      <c r="N10247" s="26"/>
    </row>
    <row r="10248" spans="14:14" x14ac:dyDescent="0.25">
      <c r="N10248" s="26"/>
    </row>
    <row r="10249" spans="14:14" x14ac:dyDescent="0.25">
      <c r="N10249" s="26"/>
    </row>
    <row r="10250" spans="14:14" x14ac:dyDescent="0.25">
      <c r="N10250" s="26"/>
    </row>
    <row r="10251" spans="14:14" x14ac:dyDescent="0.25">
      <c r="N10251" s="26"/>
    </row>
    <row r="10252" spans="14:14" x14ac:dyDescent="0.25">
      <c r="N10252" s="26"/>
    </row>
    <row r="10253" spans="14:14" x14ac:dyDescent="0.25">
      <c r="N10253" s="26"/>
    </row>
    <row r="10254" spans="14:14" x14ac:dyDescent="0.25">
      <c r="N10254" s="26"/>
    </row>
    <row r="10255" spans="14:14" x14ac:dyDescent="0.25">
      <c r="N10255" s="26"/>
    </row>
    <row r="10256" spans="14:14" x14ac:dyDescent="0.25">
      <c r="N10256" s="26"/>
    </row>
    <row r="10257" spans="14:14" x14ac:dyDescent="0.25">
      <c r="N10257" s="26"/>
    </row>
    <row r="10258" spans="14:14" x14ac:dyDescent="0.25">
      <c r="N10258" s="26"/>
    </row>
    <row r="10259" spans="14:14" x14ac:dyDescent="0.25">
      <c r="N10259" s="26"/>
    </row>
    <row r="10260" spans="14:14" x14ac:dyDescent="0.25">
      <c r="N10260" s="26"/>
    </row>
    <row r="10261" spans="14:14" x14ac:dyDescent="0.25">
      <c r="N10261" s="26"/>
    </row>
    <row r="10262" spans="14:14" x14ac:dyDescent="0.25">
      <c r="N10262" s="26"/>
    </row>
    <row r="10263" spans="14:14" x14ac:dyDescent="0.25">
      <c r="N10263" s="26"/>
    </row>
    <row r="10264" spans="14:14" x14ac:dyDescent="0.25">
      <c r="N10264" s="26"/>
    </row>
    <row r="10265" spans="14:14" x14ac:dyDescent="0.25">
      <c r="N10265" s="26"/>
    </row>
    <row r="10266" spans="14:14" x14ac:dyDescent="0.25">
      <c r="N10266" s="26"/>
    </row>
    <row r="10267" spans="14:14" x14ac:dyDescent="0.25">
      <c r="N10267" s="26"/>
    </row>
    <row r="10268" spans="14:14" x14ac:dyDescent="0.25">
      <c r="N10268" s="26"/>
    </row>
    <row r="10269" spans="14:14" x14ac:dyDescent="0.25">
      <c r="N10269" s="26"/>
    </row>
    <row r="10270" spans="14:14" x14ac:dyDescent="0.25">
      <c r="N10270" s="26"/>
    </row>
    <row r="10271" spans="14:14" x14ac:dyDescent="0.25">
      <c r="N10271" s="26"/>
    </row>
    <row r="10272" spans="14:14" x14ac:dyDescent="0.25">
      <c r="N10272" s="26"/>
    </row>
    <row r="10273" spans="14:14" x14ac:dyDescent="0.25">
      <c r="N10273" s="26"/>
    </row>
    <row r="10274" spans="14:14" x14ac:dyDescent="0.25">
      <c r="N10274" s="26"/>
    </row>
    <row r="10275" spans="14:14" x14ac:dyDescent="0.25">
      <c r="N10275" s="26"/>
    </row>
    <row r="10276" spans="14:14" x14ac:dyDescent="0.25">
      <c r="N10276" s="26"/>
    </row>
    <row r="10277" spans="14:14" x14ac:dyDescent="0.25">
      <c r="N10277" s="26"/>
    </row>
    <row r="10278" spans="14:14" x14ac:dyDescent="0.25">
      <c r="N10278" s="26"/>
    </row>
    <row r="10279" spans="14:14" x14ac:dyDescent="0.25">
      <c r="N10279" s="26"/>
    </row>
    <row r="10280" spans="14:14" x14ac:dyDescent="0.25">
      <c r="N10280" s="26"/>
    </row>
    <row r="10281" spans="14:14" x14ac:dyDescent="0.25">
      <c r="N10281" s="26"/>
    </row>
    <row r="10282" spans="14:14" x14ac:dyDescent="0.25">
      <c r="N10282" s="26"/>
    </row>
    <row r="10283" spans="14:14" x14ac:dyDescent="0.25">
      <c r="N10283" s="26"/>
    </row>
    <row r="10284" spans="14:14" x14ac:dyDescent="0.25">
      <c r="N10284" s="26"/>
    </row>
    <row r="10285" spans="14:14" x14ac:dyDescent="0.25">
      <c r="N10285" s="26"/>
    </row>
    <row r="10286" spans="14:14" x14ac:dyDescent="0.25">
      <c r="N10286" s="26"/>
    </row>
    <row r="10287" spans="14:14" x14ac:dyDescent="0.25">
      <c r="N10287" s="26"/>
    </row>
    <row r="10288" spans="14:14" x14ac:dyDescent="0.25">
      <c r="N10288" s="26"/>
    </row>
    <row r="10289" spans="14:14" x14ac:dyDescent="0.25">
      <c r="N10289" s="26"/>
    </row>
    <row r="10290" spans="14:14" x14ac:dyDescent="0.25">
      <c r="N10290" s="26"/>
    </row>
    <row r="10291" spans="14:14" x14ac:dyDescent="0.25">
      <c r="N10291" s="26"/>
    </row>
    <row r="10292" spans="14:14" x14ac:dyDescent="0.25">
      <c r="N10292" s="26"/>
    </row>
    <row r="10293" spans="14:14" x14ac:dyDescent="0.25">
      <c r="N10293" s="26"/>
    </row>
    <row r="10294" spans="14:14" x14ac:dyDescent="0.25">
      <c r="N10294" s="26"/>
    </row>
    <row r="10295" spans="14:14" x14ac:dyDescent="0.25">
      <c r="N10295" s="26"/>
    </row>
    <row r="10296" spans="14:14" x14ac:dyDescent="0.25">
      <c r="N10296" s="26"/>
    </row>
    <row r="10297" spans="14:14" x14ac:dyDescent="0.25">
      <c r="N10297" s="26"/>
    </row>
    <row r="10298" spans="14:14" x14ac:dyDescent="0.25">
      <c r="N10298" s="26"/>
    </row>
    <row r="10299" spans="14:14" x14ac:dyDescent="0.25">
      <c r="N10299" s="26"/>
    </row>
    <row r="10300" spans="14:14" x14ac:dyDescent="0.25">
      <c r="N10300" s="26"/>
    </row>
    <row r="10301" spans="14:14" x14ac:dyDescent="0.25">
      <c r="N10301" s="26"/>
    </row>
    <row r="10302" spans="14:14" x14ac:dyDescent="0.25">
      <c r="N10302" s="26"/>
    </row>
    <row r="10303" spans="14:14" x14ac:dyDescent="0.25">
      <c r="N10303" s="26"/>
    </row>
    <row r="10304" spans="14:14" x14ac:dyDescent="0.25">
      <c r="N10304" s="26"/>
    </row>
    <row r="10305" spans="14:14" x14ac:dyDescent="0.25">
      <c r="N10305" s="26"/>
    </row>
    <row r="10306" spans="14:14" x14ac:dyDescent="0.25">
      <c r="N10306" s="26"/>
    </row>
    <row r="10307" spans="14:14" x14ac:dyDescent="0.25">
      <c r="N10307" s="26"/>
    </row>
    <row r="10308" spans="14:14" x14ac:dyDescent="0.25">
      <c r="N10308" s="26"/>
    </row>
    <row r="10309" spans="14:14" x14ac:dyDescent="0.25">
      <c r="N10309" s="26"/>
    </row>
    <row r="10310" spans="14:14" x14ac:dyDescent="0.25">
      <c r="N10310" s="26"/>
    </row>
    <row r="10311" spans="14:14" x14ac:dyDescent="0.25">
      <c r="N10311" s="26"/>
    </row>
    <row r="10312" spans="14:14" x14ac:dyDescent="0.25">
      <c r="N10312" s="26"/>
    </row>
    <row r="10313" spans="14:14" x14ac:dyDescent="0.25">
      <c r="N10313" s="26"/>
    </row>
    <row r="10314" spans="14:14" x14ac:dyDescent="0.25">
      <c r="N10314" s="26"/>
    </row>
    <row r="10315" spans="14:14" x14ac:dyDescent="0.25">
      <c r="N10315" s="26"/>
    </row>
    <row r="10316" spans="14:14" x14ac:dyDescent="0.25">
      <c r="N10316" s="26"/>
    </row>
    <row r="10317" spans="14:14" x14ac:dyDescent="0.25">
      <c r="N10317" s="26"/>
    </row>
    <row r="10318" spans="14:14" x14ac:dyDescent="0.25">
      <c r="N10318" s="26"/>
    </row>
    <row r="10319" spans="14:14" x14ac:dyDescent="0.25">
      <c r="N10319" s="26"/>
    </row>
    <row r="10320" spans="14:14" x14ac:dyDescent="0.25">
      <c r="N10320" s="26"/>
    </row>
    <row r="10321" spans="14:14" x14ac:dyDescent="0.25">
      <c r="N10321" s="26"/>
    </row>
    <row r="10322" spans="14:14" x14ac:dyDescent="0.25">
      <c r="N10322" s="26"/>
    </row>
    <row r="10323" spans="14:14" x14ac:dyDescent="0.25">
      <c r="N10323" s="26"/>
    </row>
    <row r="10324" spans="14:14" x14ac:dyDescent="0.25">
      <c r="N10324" s="26"/>
    </row>
    <row r="10325" spans="14:14" x14ac:dyDescent="0.25">
      <c r="N10325" s="26"/>
    </row>
    <row r="10326" spans="14:14" x14ac:dyDescent="0.25">
      <c r="N10326" s="26"/>
    </row>
    <row r="10327" spans="14:14" x14ac:dyDescent="0.25">
      <c r="N10327" s="26"/>
    </row>
    <row r="10328" spans="14:14" x14ac:dyDescent="0.25">
      <c r="N10328" s="26"/>
    </row>
    <row r="10329" spans="14:14" x14ac:dyDescent="0.25">
      <c r="N10329" s="26"/>
    </row>
    <row r="10330" spans="14:14" x14ac:dyDescent="0.25">
      <c r="N10330" s="26"/>
    </row>
    <row r="10331" spans="14:14" x14ac:dyDescent="0.25">
      <c r="N10331" s="26"/>
    </row>
    <row r="10332" spans="14:14" x14ac:dyDescent="0.25">
      <c r="N10332" s="26"/>
    </row>
    <row r="10333" spans="14:14" x14ac:dyDescent="0.25">
      <c r="N10333" s="26"/>
    </row>
    <row r="10334" spans="14:14" x14ac:dyDescent="0.25">
      <c r="N10334" s="26"/>
    </row>
    <row r="10335" spans="14:14" x14ac:dyDescent="0.25">
      <c r="N10335" s="26"/>
    </row>
    <row r="10336" spans="14:14" x14ac:dyDescent="0.25">
      <c r="N10336" s="26"/>
    </row>
    <row r="10337" spans="14:14" x14ac:dyDescent="0.25">
      <c r="N10337" s="26"/>
    </row>
    <row r="10338" spans="14:14" x14ac:dyDescent="0.25">
      <c r="N10338" s="26"/>
    </row>
    <row r="10339" spans="14:14" x14ac:dyDescent="0.25">
      <c r="N10339" s="26"/>
    </row>
    <row r="10340" spans="14:14" x14ac:dyDescent="0.25">
      <c r="N10340" s="26"/>
    </row>
    <row r="10341" spans="14:14" x14ac:dyDescent="0.25">
      <c r="N10341" s="26"/>
    </row>
    <row r="10342" spans="14:14" x14ac:dyDescent="0.25">
      <c r="N10342" s="26"/>
    </row>
    <row r="10343" spans="14:14" x14ac:dyDescent="0.25">
      <c r="N10343" s="26"/>
    </row>
    <row r="10344" spans="14:14" x14ac:dyDescent="0.25">
      <c r="N10344" s="26"/>
    </row>
    <row r="10345" spans="14:14" x14ac:dyDescent="0.25">
      <c r="N10345" s="26"/>
    </row>
    <row r="10346" spans="14:14" x14ac:dyDescent="0.25">
      <c r="N10346" s="26"/>
    </row>
    <row r="10347" spans="14:14" x14ac:dyDescent="0.25">
      <c r="N10347" s="26"/>
    </row>
    <row r="10348" spans="14:14" x14ac:dyDescent="0.25">
      <c r="N10348" s="26"/>
    </row>
    <row r="10349" spans="14:14" x14ac:dyDescent="0.25">
      <c r="N10349" s="26"/>
    </row>
    <row r="10350" spans="14:14" x14ac:dyDescent="0.25">
      <c r="N10350" s="26"/>
    </row>
    <row r="10351" spans="14:14" x14ac:dyDescent="0.25">
      <c r="N10351" s="26"/>
    </row>
    <row r="10352" spans="14:14" x14ac:dyDescent="0.25">
      <c r="N10352" s="26"/>
    </row>
    <row r="10353" spans="14:14" x14ac:dyDescent="0.25">
      <c r="N10353" s="26"/>
    </row>
    <row r="10354" spans="14:14" x14ac:dyDescent="0.25">
      <c r="N10354" s="26"/>
    </row>
    <row r="10355" spans="14:14" x14ac:dyDescent="0.25">
      <c r="N10355" s="26"/>
    </row>
    <row r="10356" spans="14:14" x14ac:dyDescent="0.25">
      <c r="N10356" s="26"/>
    </row>
    <row r="10357" spans="14:14" x14ac:dyDescent="0.25">
      <c r="N10357" s="26"/>
    </row>
    <row r="10358" spans="14:14" x14ac:dyDescent="0.25">
      <c r="N10358" s="26"/>
    </row>
    <row r="10359" spans="14:14" x14ac:dyDescent="0.25">
      <c r="N10359" s="26"/>
    </row>
    <row r="10360" spans="14:14" x14ac:dyDescent="0.25">
      <c r="N10360" s="26"/>
    </row>
    <row r="10361" spans="14:14" x14ac:dyDescent="0.25">
      <c r="N10361" s="26"/>
    </row>
    <row r="10362" spans="14:14" x14ac:dyDescent="0.25">
      <c r="N10362" s="26"/>
    </row>
    <row r="10363" spans="14:14" x14ac:dyDescent="0.25">
      <c r="N10363" s="26"/>
    </row>
    <row r="10364" spans="14:14" x14ac:dyDescent="0.25">
      <c r="N10364" s="26"/>
    </row>
    <row r="10365" spans="14:14" x14ac:dyDescent="0.25">
      <c r="N10365" s="26"/>
    </row>
    <row r="10366" spans="14:14" x14ac:dyDescent="0.25">
      <c r="N10366" s="26"/>
    </row>
    <row r="10367" spans="14:14" x14ac:dyDescent="0.25">
      <c r="N10367" s="26"/>
    </row>
    <row r="10368" spans="14:14" x14ac:dyDescent="0.25">
      <c r="N10368" s="26"/>
    </row>
    <row r="10369" spans="14:14" x14ac:dyDescent="0.25">
      <c r="N10369" s="26"/>
    </row>
    <row r="10370" spans="14:14" x14ac:dyDescent="0.25">
      <c r="N10370" s="26"/>
    </row>
    <row r="10371" spans="14:14" x14ac:dyDescent="0.25">
      <c r="N10371" s="26"/>
    </row>
    <row r="10372" spans="14:14" x14ac:dyDescent="0.25">
      <c r="N10372" s="26"/>
    </row>
    <row r="10373" spans="14:14" x14ac:dyDescent="0.25">
      <c r="N10373" s="26"/>
    </row>
    <row r="10374" spans="14:14" x14ac:dyDescent="0.25">
      <c r="N10374" s="26"/>
    </row>
    <row r="10375" spans="14:14" x14ac:dyDescent="0.25">
      <c r="N10375" s="26"/>
    </row>
    <row r="10376" spans="14:14" x14ac:dyDescent="0.25">
      <c r="N10376" s="26"/>
    </row>
    <row r="10377" spans="14:14" x14ac:dyDescent="0.25">
      <c r="N10377" s="26"/>
    </row>
    <row r="10378" spans="14:14" x14ac:dyDescent="0.25">
      <c r="N10378" s="26"/>
    </row>
    <row r="10379" spans="14:14" x14ac:dyDescent="0.25">
      <c r="N10379" s="26"/>
    </row>
    <row r="10380" spans="14:14" x14ac:dyDescent="0.25">
      <c r="N10380" s="26"/>
    </row>
    <row r="10381" spans="14:14" x14ac:dyDescent="0.25">
      <c r="N10381" s="26"/>
    </row>
    <row r="10382" spans="14:14" x14ac:dyDescent="0.25">
      <c r="N10382" s="26"/>
    </row>
    <row r="10383" spans="14:14" x14ac:dyDescent="0.25">
      <c r="N10383" s="26"/>
    </row>
    <row r="10384" spans="14:14" x14ac:dyDescent="0.25">
      <c r="N10384" s="26"/>
    </row>
    <row r="10385" spans="14:14" x14ac:dyDescent="0.25">
      <c r="N10385" s="26"/>
    </row>
    <row r="10386" spans="14:14" x14ac:dyDescent="0.25">
      <c r="N10386" s="26"/>
    </row>
    <row r="10387" spans="14:14" x14ac:dyDescent="0.25">
      <c r="N10387" s="26"/>
    </row>
    <row r="10388" spans="14:14" x14ac:dyDescent="0.25">
      <c r="N10388" s="26"/>
    </row>
    <row r="10389" spans="14:14" x14ac:dyDescent="0.25">
      <c r="N10389" s="26"/>
    </row>
    <row r="10390" spans="14:14" x14ac:dyDescent="0.25">
      <c r="N10390" s="26"/>
    </row>
    <row r="10391" spans="14:14" x14ac:dyDescent="0.25">
      <c r="N10391" s="26"/>
    </row>
    <row r="10392" spans="14:14" x14ac:dyDescent="0.25">
      <c r="N10392" s="26"/>
    </row>
    <row r="10393" spans="14:14" x14ac:dyDescent="0.25">
      <c r="N10393" s="26"/>
    </row>
    <row r="10394" spans="14:14" x14ac:dyDescent="0.25">
      <c r="N10394" s="26"/>
    </row>
    <row r="10395" spans="14:14" x14ac:dyDescent="0.25">
      <c r="N10395" s="26"/>
    </row>
    <row r="10396" spans="14:14" x14ac:dyDescent="0.25">
      <c r="N10396" s="26"/>
    </row>
    <row r="10397" spans="14:14" x14ac:dyDescent="0.25">
      <c r="N10397" s="26"/>
    </row>
    <row r="10398" spans="14:14" x14ac:dyDescent="0.25">
      <c r="N10398" s="26"/>
    </row>
    <row r="10399" spans="14:14" x14ac:dyDescent="0.25">
      <c r="N10399" s="26"/>
    </row>
    <row r="10400" spans="14:14" x14ac:dyDescent="0.25">
      <c r="N10400" s="26"/>
    </row>
    <row r="10401" spans="14:14" x14ac:dyDescent="0.25">
      <c r="N10401" s="26"/>
    </row>
    <row r="10402" spans="14:14" x14ac:dyDescent="0.25">
      <c r="N10402" s="26"/>
    </row>
    <row r="10403" spans="14:14" x14ac:dyDescent="0.25">
      <c r="N10403" s="26"/>
    </row>
    <row r="10404" spans="14:14" x14ac:dyDescent="0.25">
      <c r="N10404" s="26"/>
    </row>
    <row r="10405" spans="14:14" x14ac:dyDescent="0.25">
      <c r="N10405" s="26"/>
    </row>
    <row r="10406" spans="14:14" x14ac:dyDescent="0.25">
      <c r="N10406" s="26"/>
    </row>
    <row r="10407" spans="14:14" x14ac:dyDescent="0.25">
      <c r="N10407" s="26"/>
    </row>
    <row r="10408" spans="14:14" x14ac:dyDescent="0.25">
      <c r="N10408" s="26"/>
    </row>
    <row r="10409" spans="14:14" x14ac:dyDescent="0.25">
      <c r="N10409" s="26"/>
    </row>
    <row r="10410" spans="14:14" x14ac:dyDescent="0.25">
      <c r="N10410" s="26"/>
    </row>
    <row r="10411" spans="14:14" x14ac:dyDescent="0.25">
      <c r="N10411" s="26"/>
    </row>
    <row r="10412" spans="14:14" x14ac:dyDescent="0.25">
      <c r="N10412" s="26"/>
    </row>
    <row r="10413" spans="14:14" x14ac:dyDescent="0.25">
      <c r="N10413" s="26"/>
    </row>
    <row r="10414" spans="14:14" x14ac:dyDescent="0.25">
      <c r="N10414" s="26"/>
    </row>
    <row r="10415" spans="14:14" x14ac:dyDescent="0.25">
      <c r="N10415" s="26"/>
    </row>
    <row r="10416" spans="14:14" x14ac:dyDescent="0.25">
      <c r="N10416" s="26"/>
    </row>
    <row r="10417" spans="14:14" x14ac:dyDescent="0.25">
      <c r="N10417" s="26"/>
    </row>
    <row r="10418" spans="14:14" x14ac:dyDescent="0.25">
      <c r="N10418" s="26"/>
    </row>
    <row r="10419" spans="14:14" x14ac:dyDescent="0.25">
      <c r="N10419" s="26"/>
    </row>
    <row r="10420" spans="14:14" x14ac:dyDescent="0.25">
      <c r="N10420" s="26"/>
    </row>
    <row r="10421" spans="14:14" x14ac:dyDescent="0.25">
      <c r="N10421" s="26"/>
    </row>
    <row r="10422" spans="14:14" x14ac:dyDescent="0.25">
      <c r="N10422" s="26"/>
    </row>
    <row r="10423" spans="14:14" x14ac:dyDescent="0.25">
      <c r="N10423" s="26"/>
    </row>
    <row r="10424" spans="14:14" x14ac:dyDescent="0.25">
      <c r="N10424" s="26"/>
    </row>
    <row r="10425" spans="14:14" x14ac:dyDescent="0.25">
      <c r="N10425" s="26"/>
    </row>
    <row r="10426" spans="14:14" x14ac:dyDescent="0.25">
      <c r="N10426" s="26"/>
    </row>
    <row r="10427" spans="14:14" x14ac:dyDescent="0.25">
      <c r="N10427" s="26"/>
    </row>
    <row r="10428" spans="14:14" x14ac:dyDescent="0.25">
      <c r="N10428" s="26"/>
    </row>
    <row r="10429" spans="14:14" x14ac:dyDescent="0.25">
      <c r="N10429" s="26"/>
    </row>
    <row r="10430" spans="14:14" x14ac:dyDescent="0.25">
      <c r="N10430" s="26"/>
    </row>
    <row r="10431" spans="14:14" x14ac:dyDescent="0.25">
      <c r="N10431" s="26"/>
    </row>
    <row r="10432" spans="14:14" x14ac:dyDescent="0.25">
      <c r="N10432" s="26"/>
    </row>
    <row r="10433" spans="14:14" x14ac:dyDescent="0.25">
      <c r="N10433" s="26"/>
    </row>
    <row r="10434" spans="14:14" x14ac:dyDescent="0.25">
      <c r="N10434" s="26"/>
    </row>
    <row r="10435" spans="14:14" x14ac:dyDescent="0.25">
      <c r="N10435" s="26"/>
    </row>
    <row r="10436" spans="14:14" x14ac:dyDescent="0.25">
      <c r="N10436" s="26"/>
    </row>
    <row r="10437" spans="14:14" x14ac:dyDescent="0.25">
      <c r="N10437" s="26"/>
    </row>
    <row r="10438" spans="14:14" x14ac:dyDescent="0.25">
      <c r="N10438" s="26"/>
    </row>
    <row r="10439" spans="14:14" x14ac:dyDescent="0.25">
      <c r="N10439" s="26"/>
    </row>
    <row r="10440" spans="14:14" x14ac:dyDescent="0.25">
      <c r="N10440" s="26"/>
    </row>
    <row r="10441" spans="14:14" x14ac:dyDescent="0.25">
      <c r="N10441" s="26"/>
    </row>
    <row r="10442" spans="14:14" x14ac:dyDescent="0.25">
      <c r="N10442" s="26"/>
    </row>
    <row r="10443" spans="14:14" x14ac:dyDescent="0.25">
      <c r="N10443" s="26"/>
    </row>
    <row r="10444" spans="14:14" x14ac:dyDescent="0.25">
      <c r="N10444" s="26"/>
    </row>
    <row r="10445" spans="14:14" x14ac:dyDescent="0.25">
      <c r="N10445" s="26"/>
    </row>
    <row r="10446" spans="14:14" x14ac:dyDescent="0.25">
      <c r="N10446" s="26"/>
    </row>
    <row r="10447" spans="14:14" x14ac:dyDescent="0.25">
      <c r="N10447" s="26"/>
    </row>
    <row r="10448" spans="14:14" x14ac:dyDescent="0.25">
      <c r="N10448" s="26"/>
    </row>
    <row r="10449" spans="14:14" x14ac:dyDescent="0.25">
      <c r="N10449" s="26"/>
    </row>
    <row r="10450" spans="14:14" x14ac:dyDescent="0.25">
      <c r="N10450" s="26"/>
    </row>
    <row r="10451" spans="14:14" x14ac:dyDescent="0.25">
      <c r="N10451" s="26"/>
    </row>
    <row r="10452" spans="14:14" x14ac:dyDescent="0.25">
      <c r="N10452" s="26"/>
    </row>
    <row r="10453" spans="14:14" x14ac:dyDescent="0.25">
      <c r="N10453" s="26"/>
    </row>
    <row r="10454" spans="14:14" x14ac:dyDescent="0.25">
      <c r="N10454" s="26"/>
    </row>
    <row r="10455" spans="14:14" x14ac:dyDescent="0.25">
      <c r="N10455" s="26"/>
    </row>
    <row r="10456" spans="14:14" x14ac:dyDescent="0.25">
      <c r="N10456" s="26"/>
    </row>
    <row r="10457" spans="14:14" x14ac:dyDescent="0.25">
      <c r="N10457" s="26"/>
    </row>
    <row r="10458" spans="14:14" x14ac:dyDescent="0.25">
      <c r="N10458" s="26"/>
    </row>
    <row r="10459" spans="14:14" x14ac:dyDescent="0.25">
      <c r="N10459" s="26"/>
    </row>
    <row r="10460" spans="14:14" x14ac:dyDescent="0.25">
      <c r="N10460" s="26"/>
    </row>
    <row r="10461" spans="14:14" x14ac:dyDescent="0.25">
      <c r="N10461" s="26"/>
    </row>
    <row r="10462" spans="14:14" x14ac:dyDescent="0.25">
      <c r="N10462" s="26"/>
    </row>
    <row r="10463" spans="14:14" x14ac:dyDescent="0.25">
      <c r="N10463" s="26"/>
    </row>
    <row r="10464" spans="14:14" x14ac:dyDescent="0.25">
      <c r="N10464" s="26"/>
    </row>
    <row r="10465" spans="14:14" x14ac:dyDescent="0.25">
      <c r="N10465" s="26"/>
    </row>
    <row r="10466" spans="14:14" x14ac:dyDescent="0.25">
      <c r="N10466" s="26"/>
    </row>
    <row r="10467" spans="14:14" x14ac:dyDescent="0.25">
      <c r="N10467" s="26"/>
    </row>
    <row r="10468" spans="14:14" x14ac:dyDescent="0.25">
      <c r="N10468" s="26"/>
    </row>
    <row r="10469" spans="14:14" x14ac:dyDescent="0.25">
      <c r="N10469" s="26"/>
    </row>
    <row r="10470" spans="14:14" x14ac:dyDescent="0.25">
      <c r="N10470" s="26"/>
    </row>
    <row r="10471" spans="14:14" x14ac:dyDescent="0.25">
      <c r="N10471" s="26"/>
    </row>
    <row r="10472" spans="14:14" x14ac:dyDescent="0.25">
      <c r="N10472" s="26"/>
    </row>
    <row r="10473" spans="14:14" x14ac:dyDescent="0.25">
      <c r="N10473" s="26"/>
    </row>
    <row r="10474" spans="14:14" x14ac:dyDescent="0.25">
      <c r="N10474" s="26"/>
    </row>
    <row r="10475" spans="14:14" x14ac:dyDescent="0.25">
      <c r="N10475" s="26"/>
    </row>
    <row r="10476" spans="14:14" x14ac:dyDescent="0.25">
      <c r="N10476" s="26"/>
    </row>
    <row r="10477" spans="14:14" x14ac:dyDescent="0.25">
      <c r="N10477" s="26"/>
    </row>
    <row r="10478" spans="14:14" x14ac:dyDescent="0.25">
      <c r="N10478" s="26"/>
    </row>
    <row r="10479" spans="14:14" x14ac:dyDescent="0.25">
      <c r="N10479" s="26"/>
    </row>
    <row r="10480" spans="14:14" x14ac:dyDescent="0.25">
      <c r="N10480" s="26"/>
    </row>
    <row r="10481" spans="14:14" x14ac:dyDescent="0.25">
      <c r="N10481" s="26"/>
    </row>
    <row r="10482" spans="14:14" x14ac:dyDescent="0.25">
      <c r="N10482" s="26"/>
    </row>
    <row r="10483" spans="14:14" x14ac:dyDescent="0.25">
      <c r="N10483" s="26"/>
    </row>
    <row r="10484" spans="14:14" x14ac:dyDescent="0.25">
      <c r="N10484" s="26"/>
    </row>
    <row r="10485" spans="14:14" x14ac:dyDescent="0.25">
      <c r="N10485" s="26"/>
    </row>
    <row r="10486" spans="14:14" x14ac:dyDescent="0.25">
      <c r="N10486" s="26"/>
    </row>
    <row r="10487" spans="14:14" x14ac:dyDescent="0.25">
      <c r="N10487" s="26"/>
    </row>
    <row r="10488" spans="14:14" x14ac:dyDescent="0.25">
      <c r="N10488" s="26"/>
    </row>
    <row r="10489" spans="14:14" x14ac:dyDescent="0.25">
      <c r="N10489" s="26"/>
    </row>
    <row r="10490" spans="14:14" x14ac:dyDescent="0.25">
      <c r="N10490" s="26"/>
    </row>
    <row r="10491" spans="14:14" x14ac:dyDescent="0.25">
      <c r="N10491" s="26"/>
    </row>
    <row r="10492" spans="14:14" x14ac:dyDescent="0.25">
      <c r="N10492" s="26"/>
    </row>
    <row r="10493" spans="14:14" x14ac:dyDescent="0.25">
      <c r="N10493" s="26"/>
    </row>
    <row r="10494" spans="14:14" x14ac:dyDescent="0.25">
      <c r="N10494" s="26"/>
    </row>
    <row r="10495" spans="14:14" x14ac:dyDescent="0.25">
      <c r="N10495" s="26"/>
    </row>
    <row r="10496" spans="14:14" x14ac:dyDescent="0.25">
      <c r="N10496" s="26"/>
    </row>
    <row r="10497" spans="14:14" x14ac:dyDescent="0.25">
      <c r="N10497" s="26"/>
    </row>
    <row r="10498" spans="14:14" x14ac:dyDescent="0.25">
      <c r="N10498" s="26"/>
    </row>
    <row r="10499" spans="14:14" x14ac:dyDescent="0.25">
      <c r="N10499" s="26"/>
    </row>
    <row r="10500" spans="14:14" x14ac:dyDescent="0.25">
      <c r="N10500" s="26"/>
    </row>
    <row r="10501" spans="14:14" x14ac:dyDescent="0.25">
      <c r="N10501" s="26"/>
    </row>
    <row r="10502" spans="14:14" x14ac:dyDescent="0.25">
      <c r="N10502" s="26"/>
    </row>
    <row r="10503" spans="14:14" x14ac:dyDescent="0.25">
      <c r="N10503" s="26"/>
    </row>
    <row r="10504" spans="14:14" x14ac:dyDescent="0.25">
      <c r="N10504" s="26"/>
    </row>
    <row r="10505" spans="14:14" x14ac:dyDescent="0.25">
      <c r="N10505" s="26"/>
    </row>
    <row r="10506" spans="14:14" x14ac:dyDescent="0.25">
      <c r="N10506" s="26"/>
    </row>
    <row r="10507" spans="14:14" x14ac:dyDescent="0.25">
      <c r="N10507" s="26"/>
    </row>
    <row r="10508" spans="14:14" x14ac:dyDescent="0.25">
      <c r="N10508" s="26"/>
    </row>
    <row r="10509" spans="14:14" x14ac:dyDescent="0.25">
      <c r="N10509" s="26"/>
    </row>
    <row r="10510" spans="14:14" x14ac:dyDescent="0.25">
      <c r="N10510" s="26"/>
    </row>
    <row r="10511" spans="14:14" x14ac:dyDescent="0.25">
      <c r="N10511" s="26"/>
    </row>
    <row r="10512" spans="14:14" x14ac:dyDescent="0.25">
      <c r="N10512" s="26"/>
    </row>
    <row r="10513" spans="14:14" x14ac:dyDescent="0.25">
      <c r="N10513" s="26"/>
    </row>
    <row r="10514" spans="14:14" x14ac:dyDescent="0.25">
      <c r="N10514" s="26"/>
    </row>
    <row r="10515" spans="14:14" x14ac:dyDescent="0.25">
      <c r="N10515" s="26"/>
    </row>
    <row r="10516" spans="14:14" x14ac:dyDescent="0.25">
      <c r="N10516" s="26"/>
    </row>
    <row r="10517" spans="14:14" x14ac:dyDescent="0.25">
      <c r="N10517" s="26"/>
    </row>
    <row r="10518" spans="14:14" x14ac:dyDescent="0.25">
      <c r="N10518" s="26"/>
    </row>
    <row r="10519" spans="14:14" x14ac:dyDescent="0.25">
      <c r="N10519" s="26"/>
    </row>
    <row r="10520" spans="14:14" x14ac:dyDescent="0.25">
      <c r="N10520" s="26"/>
    </row>
    <row r="10521" spans="14:14" x14ac:dyDescent="0.25">
      <c r="N10521" s="26"/>
    </row>
    <row r="10522" spans="14:14" x14ac:dyDescent="0.25">
      <c r="N10522" s="26"/>
    </row>
    <row r="10523" spans="14:14" x14ac:dyDescent="0.25">
      <c r="N10523" s="26"/>
    </row>
    <row r="10524" spans="14:14" x14ac:dyDescent="0.25">
      <c r="N10524" s="26"/>
    </row>
    <row r="10525" spans="14:14" x14ac:dyDescent="0.25">
      <c r="N10525" s="26"/>
    </row>
    <row r="10526" spans="14:14" x14ac:dyDescent="0.25">
      <c r="N10526" s="26"/>
    </row>
    <row r="10527" spans="14:14" x14ac:dyDescent="0.25">
      <c r="N10527" s="26"/>
    </row>
    <row r="10528" spans="14:14" x14ac:dyDescent="0.25">
      <c r="N10528" s="26"/>
    </row>
    <row r="10529" spans="14:14" x14ac:dyDescent="0.25">
      <c r="N10529" s="26"/>
    </row>
    <row r="10530" spans="14:14" x14ac:dyDescent="0.25">
      <c r="N10530" s="26"/>
    </row>
    <row r="10531" spans="14:14" x14ac:dyDescent="0.25">
      <c r="N10531" s="26"/>
    </row>
    <row r="10532" spans="14:14" x14ac:dyDescent="0.25">
      <c r="N10532" s="26"/>
    </row>
    <row r="10533" spans="14:14" x14ac:dyDescent="0.25">
      <c r="N10533" s="26"/>
    </row>
    <row r="10534" spans="14:14" x14ac:dyDescent="0.25">
      <c r="N10534" s="26"/>
    </row>
    <row r="10535" spans="14:14" x14ac:dyDescent="0.25">
      <c r="N10535" s="26"/>
    </row>
    <row r="10536" spans="14:14" x14ac:dyDescent="0.25">
      <c r="N10536" s="26"/>
    </row>
    <row r="10537" spans="14:14" x14ac:dyDescent="0.25">
      <c r="N10537" s="26"/>
    </row>
    <row r="10538" spans="14:14" x14ac:dyDescent="0.25">
      <c r="N10538" s="26"/>
    </row>
    <row r="10539" spans="14:14" x14ac:dyDescent="0.25">
      <c r="N10539" s="26"/>
    </row>
    <row r="10540" spans="14:14" x14ac:dyDescent="0.25">
      <c r="N10540" s="26"/>
    </row>
    <row r="10541" spans="14:14" x14ac:dyDescent="0.25">
      <c r="N10541" s="26"/>
    </row>
    <row r="10542" spans="14:14" x14ac:dyDescent="0.25">
      <c r="N10542" s="26"/>
    </row>
    <row r="10543" spans="14:14" x14ac:dyDescent="0.25">
      <c r="N10543" s="26"/>
    </row>
    <row r="10544" spans="14:14" x14ac:dyDescent="0.25">
      <c r="N10544" s="26"/>
    </row>
    <row r="10545" spans="14:14" x14ac:dyDescent="0.25">
      <c r="N10545" s="26"/>
    </row>
    <row r="10546" spans="14:14" x14ac:dyDescent="0.25">
      <c r="N10546" s="26"/>
    </row>
    <row r="10547" spans="14:14" x14ac:dyDescent="0.25">
      <c r="N10547" s="26"/>
    </row>
    <row r="10548" spans="14:14" x14ac:dyDescent="0.25">
      <c r="N10548" s="26"/>
    </row>
    <row r="10549" spans="14:14" x14ac:dyDescent="0.25">
      <c r="N10549" s="26"/>
    </row>
    <row r="10550" spans="14:14" x14ac:dyDescent="0.25">
      <c r="N10550" s="26"/>
    </row>
    <row r="10551" spans="14:14" x14ac:dyDescent="0.25">
      <c r="N10551" s="26"/>
    </row>
    <row r="10552" spans="14:14" x14ac:dyDescent="0.25">
      <c r="N10552" s="26"/>
    </row>
    <row r="10553" spans="14:14" x14ac:dyDescent="0.25">
      <c r="N10553" s="26"/>
    </row>
    <row r="10554" spans="14:14" x14ac:dyDescent="0.25">
      <c r="N10554" s="26"/>
    </row>
    <row r="10555" spans="14:14" x14ac:dyDescent="0.25">
      <c r="N10555" s="26"/>
    </row>
    <row r="10556" spans="14:14" x14ac:dyDescent="0.25">
      <c r="N10556" s="26"/>
    </row>
    <row r="10557" spans="14:14" x14ac:dyDescent="0.25">
      <c r="N10557" s="26"/>
    </row>
    <row r="10558" spans="14:14" x14ac:dyDescent="0.25">
      <c r="N10558" s="26"/>
    </row>
    <row r="10559" spans="14:14" x14ac:dyDescent="0.25">
      <c r="N10559" s="26"/>
    </row>
    <row r="10560" spans="14:14" x14ac:dyDescent="0.25">
      <c r="N10560" s="26"/>
    </row>
    <row r="10561" spans="14:14" x14ac:dyDescent="0.25">
      <c r="N10561" s="26"/>
    </row>
    <row r="10562" spans="14:14" x14ac:dyDescent="0.25">
      <c r="N10562" s="26"/>
    </row>
    <row r="10563" spans="14:14" x14ac:dyDescent="0.25">
      <c r="N10563" s="26"/>
    </row>
    <row r="10564" spans="14:14" x14ac:dyDescent="0.25">
      <c r="N10564" s="26"/>
    </row>
    <row r="10565" spans="14:14" x14ac:dyDescent="0.25">
      <c r="N10565" s="26"/>
    </row>
    <row r="10566" spans="14:14" x14ac:dyDescent="0.25">
      <c r="N10566" s="26"/>
    </row>
    <row r="10567" spans="14:14" x14ac:dyDescent="0.25">
      <c r="N10567" s="26"/>
    </row>
    <row r="10568" spans="14:14" x14ac:dyDescent="0.25">
      <c r="N10568" s="26"/>
    </row>
    <row r="10569" spans="14:14" x14ac:dyDescent="0.25">
      <c r="N10569" s="26"/>
    </row>
    <row r="10570" spans="14:14" x14ac:dyDescent="0.25">
      <c r="N10570" s="26"/>
    </row>
    <row r="10571" spans="14:14" x14ac:dyDescent="0.25">
      <c r="N10571" s="26"/>
    </row>
    <row r="10572" spans="14:14" x14ac:dyDescent="0.25">
      <c r="N10572" s="26"/>
    </row>
    <row r="10573" spans="14:14" x14ac:dyDescent="0.25">
      <c r="N10573" s="26"/>
    </row>
    <row r="10574" spans="14:14" x14ac:dyDescent="0.25">
      <c r="N10574" s="26"/>
    </row>
    <row r="10575" spans="14:14" x14ac:dyDescent="0.25">
      <c r="N10575" s="26"/>
    </row>
    <row r="10576" spans="14:14" x14ac:dyDescent="0.25">
      <c r="N10576" s="26"/>
    </row>
    <row r="10577" spans="14:14" x14ac:dyDescent="0.25">
      <c r="N10577" s="26"/>
    </row>
    <row r="10578" spans="14:14" x14ac:dyDescent="0.25">
      <c r="N10578" s="26"/>
    </row>
    <row r="10579" spans="14:14" x14ac:dyDescent="0.25">
      <c r="N10579" s="26"/>
    </row>
    <row r="10580" spans="14:14" x14ac:dyDescent="0.25">
      <c r="N10580" s="26"/>
    </row>
    <row r="10581" spans="14:14" x14ac:dyDescent="0.25">
      <c r="N10581" s="26"/>
    </row>
    <row r="10582" spans="14:14" x14ac:dyDescent="0.25">
      <c r="N10582" s="26"/>
    </row>
    <row r="10583" spans="14:14" x14ac:dyDescent="0.25">
      <c r="N10583" s="26"/>
    </row>
    <row r="10584" spans="14:14" x14ac:dyDescent="0.25">
      <c r="N10584" s="26"/>
    </row>
    <row r="10585" spans="14:14" x14ac:dyDescent="0.25">
      <c r="N10585" s="26"/>
    </row>
    <row r="10586" spans="14:14" x14ac:dyDescent="0.25">
      <c r="N10586" s="26"/>
    </row>
    <row r="10587" spans="14:14" x14ac:dyDescent="0.25">
      <c r="N10587" s="26"/>
    </row>
    <row r="10588" spans="14:14" x14ac:dyDescent="0.25">
      <c r="N10588" s="26"/>
    </row>
    <row r="10589" spans="14:14" x14ac:dyDescent="0.25">
      <c r="N10589" s="26"/>
    </row>
    <row r="10590" spans="14:14" x14ac:dyDescent="0.25">
      <c r="N10590" s="26"/>
    </row>
    <row r="10591" spans="14:14" x14ac:dyDescent="0.25">
      <c r="N10591" s="26"/>
    </row>
    <row r="10592" spans="14:14" x14ac:dyDescent="0.25">
      <c r="N10592" s="26"/>
    </row>
    <row r="10593" spans="14:14" x14ac:dyDescent="0.25">
      <c r="N10593" s="26"/>
    </row>
    <row r="10594" spans="14:14" x14ac:dyDescent="0.25">
      <c r="N10594" s="26"/>
    </row>
    <row r="10595" spans="14:14" x14ac:dyDescent="0.25">
      <c r="N10595" s="26"/>
    </row>
    <row r="10596" spans="14:14" x14ac:dyDescent="0.25">
      <c r="N10596" s="26"/>
    </row>
    <row r="10597" spans="14:14" x14ac:dyDescent="0.25">
      <c r="N10597" s="26"/>
    </row>
    <row r="10598" spans="14:14" x14ac:dyDescent="0.25">
      <c r="N10598" s="26"/>
    </row>
    <row r="10599" spans="14:14" x14ac:dyDescent="0.25">
      <c r="N10599" s="26"/>
    </row>
    <row r="10600" spans="14:14" x14ac:dyDescent="0.25">
      <c r="N10600" s="26"/>
    </row>
    <row r="10601" spans="14:14" x14ac:dyDescent="0.25">
      <c r="N10601" s="26"/>
    </row>
    <row r="10602" spans="14:14" x14ac:dyDescent="0.25">
      <c r="N10602" s="26"/>
    </row>
    <row r="10603" spans="14:14" x14ac:dyDescent="0.25">
      <c r="N10603" s="26"/>
    </row>
    <row r="10604" spans="14:14" x14ac:dyDescent="0.25">
      <c r="N10604" s="26"/>
    </row>
    <row r="10605" spans="14:14" x14ac:dyDescent="0.25">
      <c r="N10605" s="26"/>
    </row>
    <row r="10606" spans="14:14" x14ac:dyDescent="0.25">
      <c r="N10606" s="26"/>
    </row>
    <row r="10607" spans="14:14" x14ac:dyDescent="0.25">
      <c r="N10607" s="26"/>
    </row>
    <row r="10608" spans="14:14" x14ac:dyDescent="0.25">
      <c r="N10608" s="26"/>
    </row>
    <row r="10609" spans="14:14" x14ac:dyDescent="0.25">
      <c r="N10609" s="26"/>
    </row>
    <row r="10610" spans="14:14" x14ac:dyDescent="0.25">
      <c r="N10610" s="26"/>
    </row>
    <row r="10611" spans="14:14" x14ac:dyDescent="0.25">
      <c r="N10611" s="26"/>
    </row>
    <row r="10612" spans="14:14" x14ac:dyDescent="0.25">
      <c r="N10612" s="26"/>
    </row>
    <row r="10613" spans="14:14" x14ac:dyDescent="0.25">
      <c r="N10613" s="26"/>
    </row>
    <row r="10614" spans="14:14" x14ac:dyDescent="0.25">
      <c r="N10614" s="26"/>
    </row>
    <row r="10615" spans="14:14" x14ac:dyDescent="0.25">
      <c r="N10615" s="26"/>
    </row>
    <row r="10616" spans="14:14" x14ac:dyDescent="0.25">
      <c r="N10616" s="26"/>
    </row>
    <row r="10617" spans="14:14" x14ac:dyDescent="0.25">
      <c r="N10617" s="26"/>
    </row>
    <row r="10618" spans="14:14" x14ac:dyDescent="0.25">
      <c r="N10618" s="26"/>
    </row>
    <row r="10619" spans="14:14" x14ac:dyDescent="0.25">
      <c r="N10619" s="26"/>
    </row>
    <row r="10620" spans="14:14" x14ac:dyDescent="0.25">
      <c r="N10620" s="26"/>
    </row>
    <row r="10621" spans="14:14" x14ac:dyDescent="0.25">
      <c r="N10621" s="26"/>
    </row>
    <row r="10622" spans="14:14" x14ac:dyDescent="0.25">
      <c r="N10622" s="26"/>
    </row>
    <row r="10623" spans="14:14" x14ac:dyDescent="0.25">
      <c r="N10623" s="26"/>
    </row>
    <row r="10624" spans="14:14" x14ac:dyDescent="0.25">
      <c r="N10624" s="26"/>
    </row>
    <row r="10625" spans="14:14" x14ac:dyDescent="0.25">
      <c r="N10625" s="26"/>
    </row>
    <row r="10626" spans="14:14" x14ac:dyDescent="0.25">
      <c r="N10626" s="26"/>
    </row>
    <row r="10627" spans="14:14" x14ac:dyDescent="0.25">
      <c r="N10627" s="26"/>
    </row>
    <row r="10628" spans="14:14" x14ac:dyDescent="0.25">
      <c r="N10628" s="26"/>
    </row>
    <row r="10629" spans="14:14" x14ac:dyDescent="0.25">
      <c r="N10629" s="26"/>
    </row>
    <row r="10630" spans="14:14" x14ac:dyDescent="0.25">
      <c r="N10630" s="26"/>
    </row>
    <row r="10631" spans="14:14" x14ac:dyDescent="0.25">
      <c r="N10631" s="26"/>
    </row>
    <row r="10632" spans="14:14" x14ac:dyDescent="0.25">
      <c r="N10632" s="26"/>
    </row>
    <row r="10633" spans="14:14" x14ac:dyDescent="0.25">
      <c r="N10633" s="26"/>
    </row>
    <row r="10634" spans="14:14" x14ac:dyDescent="0.25">
      <c r="N10634" s="26"/>
    </row>
    <row r="10635" spans="14:14" x14ac:dyDescent="0.25">
      <c r="N10635" s="26"/>
    </row>
    <row r="10636" spans="14:14" x14ac:dyDescent="0.25">
      <c r="N10636" s="26"/>
    </row>
    <row r="10637" spans="14:14" x14ac:dyDescent="0.25">
      <c r="N10637" s="26"/>
    </row>
    <row r="10638" spans="14:14" x14ac:dyDescent="0.25">
      <c r="N10638" s="26"/>
    </row>
    <row r="10639" spans="14:14" x14ac:dyDescent="0.25">
      <c r="N10639" s="26"/>
    </row>
    <row r="10640" spans="14:14" x14ac:dyDescent="0.25">
      <c r="N10640" s="26"/>
    </row>
    <row r="10641" spans="14:14" x14ac:dyDescent="0.25">
      <c r="N10641" s="26"/>
    </row>
    <row r="10642" spans="14:14" x14ac:dyDescent="0.25">
      <c r="N10642" s="26"/>
    </row>
    <row r="10643" spans="14:14" x14ac:dyDescent="0.25">
      <c r="N10643" s="26"/>
    </row>
    <row r="10644" spans="14:14" x14ac:dyDescent="0.25">
      <c r="N10644" s="26"/>
    </row>
    <row r="10645" spans="14:14" x14ac:dyDescent="0.25">
      <c r="N10645" s="26"/>
    </row>
    <row r="10646" spans="14:14" x14ac:dyDescent="0.25">
      <c r="N10646" s="26"/>
    </row>
    <row r="10647" spans="14:14" x14ac:dyDescent="0.25">
      <c r="N10647" s="26"/>
    </row>
    <row r="10648" spans="14:14" x14ac:dyDescent="0.25">
      <c r="N10648" s="26"/>
    </row>
    <row r="10649" spans="14:14" x14ac:dyDescent="0.25">
      <c r="N10649" s="26"/>
    </row>
    <row r="10650" spans="14:14" x14ac:dyDescent="0.25">
      <c r="N10650" s="26"/>
    </row>
    <row r="10651" spans="14:14" x14ac:dyDescent="0.25">
      <c r="N10651" s="26"/>
    </row>
    <row r="10652" spans="14:14" x14ac:dyDescent="0.25">
      <c r="N10652" s="26"/>
    </row>
    <row r="10653" spans="14:14" x14ac:dyDescent="0.25">
      <c r="N10653" s="26"/>
    </row>
    <row r="10654" spans="14:14" x14ac:dyDescent="0.25">
      <c r="N10654" s="26"/>
    </row>
    <row r="10655" spans="14:14" x14ac:dyDescent="0.25">
      <c r="N10655" s="26"/>
    </row>
    <row r="10656" spans="14:14" x14ac:dyDescent="0.25">
      <c r="N10656" s="26"/>
    </row>
    <row r="10657" spans="14:14" x14ac:dyDescent="0.25">
      <c r="N10657" s="26"/>
    </row>
    <row r="10658" spans="14:14" x14ac:dyDescent="0.25">
      <c r="N10658" s="26"/>
    </row>
    <row r="10659" spans="14:14" x14ac:dyDescent="0.25">
      <c r="N10659" s="26"/>
    </row>
    <row r="10660" spans="14:14" x14ac:dyDescent="0.25">
      <c r="N10660" s="26"/>
    </row>
    <row r="10661" spans="14:14" x14ac:dyDescent="0.25">
      <c r="N10661" s="26"/>
    </row>
    <row r="10662" spans="14:14" x14ac:dyDescent="0.25">
      <c r="N10662" s="26"/>
    </row>
    <row r="10663" spans="14:14" x14ac:dyDescent="0.25">
      <c r="N10663" s="26"/>
    </row>
    <row r="10664" spans="14:14" x14ac:dyDescent="0.25">
      <c r="N10664" s="26"/>
    </row>
    <row r="10665" spans="14:14" x14ac:dyDescent="0.25">
      <c r="N10665" s="26"/>
    </row>
    <row r="10666" spans="14:14" x14ac:dyDescent="0.25">
      <c r="N10666" s="26"/>
    </row>
    <row r="10667" spans="14:14" x14ac:dyDescent="0.25">
      <c r="N10667" s="26"/>
    </row>
    <row r="10668" spans="14:14" x14ac:dyDescent="0.25">
      <c r="N10668" s="26"/>
    </row>
    <row r="10669" spans="14:14" x14ac:dyDescent="0.25">
      <c r="N10669" s="26"/>
    </row>
    <row r="10670" spans="14:14" x14ac:dyDescent="0.25">
      <c r="N10670" s="26"/>
    </row>
    <row r="10671" spans="14:14" x14ac:dyDescent="0.25">
      <c r="N10671" s="26"/>
    </row>
    <row r="10672" spans="14:14" x14ac:dyDescent="0.25">
      <c r="N10672" s="26"/>
    </row>
    <row r="10673" spans="14:14" x14ac:dyDescent="0.25">
      <c r="N10673" s="26"/>
    </row>
    <row r="10674" spans="14:14" x14ac:dyDescent="0.25">
      <c r="N10674" s="26"/>
    </row>
    <row r="10675" spans="14:14" x14ac:dyDescent="0.25">
      <c r="N10675" s="26"/>
    </row>
    <row r="10676" spans="14:14" x14ac:dyDescent="0.25">
      <c r="N10676" s="26"/>
    </row>
    <row r="10677" spans="14:14" x14ac:dyDescent="0.25">
      <c r="N10677" s="26"/>
    </row>
    <row r="10678" spans="14:14" x14ac:dyDescent="0.25">
      <c r="N10678" s="26"/>
    </row>
    <row r="10679" spans="14:14" x14ac:dyDescent="0.25">
      <c r="N10679" s="26"/>
    </row>
    <row r="10680" spans="14:14" x14ac:dyDescent="0.25">
      <c r="N10680" s="26"/>
    </row>
    <row r="10681" spans="14:14" x14ac:dyDescent="0.25">
      <c r="N10681" s="26"/>
    </row>
    <row r="10682" spans="14:14" x14ac:dyDescent="0.25">
      <c r="N10682" s="26"/>
    </row>
    <row r="10683" spans="14:14" x14ac:dyDescent="0.25">
      <c r="N10683" s="26"/>
    </row>
    <row r="10684" spans="14:14" x14ac:dyDescent="0.25">
      <c r="N10684" s="26"/>
    </row>
    <row r="10685" spans="14:14" x14ac:dyDescent="0.25">
      <c r="N10685" s="26"/>
    </row>
    <row r="10686" spans="14:14" x14ac:dyDescent="0.25">
      <c r="N10686" s="26"/>
    </row>
    <row r="10687" spans="14:14" x14ac:dyDescent="0.25">
      <c r="N10687" s="26"/>
    </row>
    <row r="10688" spans="14:14" x14ac:dyDescent="0.25">
      <c r="N10688" s="26"/>
    </row>
    <row r="10689" spans="14:14" x14ac:dyDescent="0.25">
      <c r="N10689" s="26"/>
    </row>
    <row r="10690" spans="14:14" x14ac:dyDescent="0.25">
      <c r="N10690" s="26"/>
    </row>
    <row r="10691" spans="14:14" x14ac:dyDescent="0.25">
      <c r="N10691" s="26"/>
    </row>
    <row r="10692" spans="14:14" x14ac:dyDescent="0.25">
      <c r="N10692" s="26"/>
    </row>
    <row r="10693" spans="14:14" x14ac:dyDescent="0.25">
      <c r="N10693" s="26"/>
    </row>
    <row r="10694" spans="14:14" x14ac:dyDescent="0.25">
      <c r="N10694" s="26"/>
    </row>
    <row r="10695" spans="14:14" x14ac:dyDescent="0.25">
      <c r="N10695" s="26"/>
    </row>
    <row r="10696" spans="14:14" x14ac:dyDescent="0.25">
      <c r="N10696" s="26"/>
    </row>
    <row r="10697" spans="14:14" x14ac:dyDescent="0.25">
      <c r="N10697" s="26"/>
    </row>
    <row r="10698" spans="14:14" x14ac:dyDescent="0.25">
      <c r="N10698" s="26"/>
    </row>
    <row r="10699" spans="14:14" x14ac:dyDescent="0.25">
      <c r="N10699" s="26"/>
    </row>
    <row r="10700" spans="14:14" x14ac:dyDescent="0.25">
      <c r="N10700" s="26"/>
    </row>
    <row r="10701" spans="14:14" x14ac:dyDescent="0.25">
      <c r="N10701" s="26"/>
    </row>
    <row r="10702" spans="14:14" x14ac:dyDescent="0.25">
      <c r="N10702" s="26"/>
    </row>
    <row r="10703" spans="14:14" x14ac:dyDescent="0.25">
      <c r="N10703" s="26"/>
    </row>
    <row r="10704" spans="14:14" x14ac:dyDescent="0.25">
      <c r="N10704" s="26"/>
    </row>
    <row r="10705" spans="14:14" x14ac:dyDescent="0.25">
      <c r="N10705" s="26"/>
    </row>
    <row r="10706" spans="14:14" x14ac:dyDescent="0.25">
      <c r="N10706" s="26"/>
    </row>
    <row r="10707" spans="14:14" x14ac:dyDescent="0.25">
      <c r="N10707" s="26"/>
    </row>
    <row r="10708" spans="14:14" x14ac:dyDescent="0.25">
      <c r="N10708" s="26"/>
    </row>
    <row r="10709" spans="14:14" x14ac:dyDescent="0.25">
      <c r="N10709" s="26"/>
    </row>
    <row r="10710" spans="14:14" x14ac:dyDescent="0.25">
      <c r="N10710" s="26"/>
    </row>
    <row r="10711" spans="14:14" x14ac:dyDescent="0.25">
      <c r="N10711" s="26"/>
    </row>
    <row r="10712" spans="14:14" x14ac:dyDescent="0.25">
      <c r="N10712" s="26"/>
    </row>
    <row r="10713" spans="14:14" x14ac:dyDescent="0.25">
      <c r="N10713" s="26"/>
    </row>
    <row r="10714" spans="14:14" x14ac:dyDescent="0.25">
      <c r="N10714" s="26"/>
    </row>
    <row r="10715" spans="14:14" x14ac:dyDescent="0.25">
      <c r="N10715" s="26"/>
    </row>
    <row r="10716" spans="14:14" x14ac:dyDescent="0.25">
      <c r="N10716" s="26"/>
    </row>
    <row r="10717" spans="14:14" x14ac:dyDescent="0.25">
      <c r="N10717" s="26"/>
    </row>
    <row r="10718" spans="14:14" x14ac:dyDescent="0.25">
      <c r="N10718" s="26"/>
    </row>
    <row r="10719" spans="14:14" x14ac:dyDescent="0.25">
      <c r="N10719" s="26"/>
    </row>
    <row r="10720" spans="14:14" x14ac:dyDescent="0.25">
      <c r="N10720" s="26"/>
    </row>
    <row r="10721" spans="14:14" x14ac:dyDescent="0.25">
      <c r="N10721" s="26"/>
    </row>
    <row r="10722" spans="14:14" x14ac:dyDescent="0.25">
      <c r="N10722" s="26"/>
    </row>
    <row r="10723" spans="14:14" x14ac:dyDescent="0.25">
      <c r="N10723" s="26"/>
    </row>
    <row r="10724" spans="14:14" x14ac:dyDescent="0.25">
      <c r="N10724" s="26"/>
    </row>
    <row r="10725" spans="14:14" x14ac:dyDescent="0.25">
      <c r="N10725" s="26"/>
    </row>
    <row r="10726" spans="14:14" x14ac:dyDescent="0.25">
      <c r="N10726" s="26"/>
    </row>
    <row r="10727" spans="14:14" x14ac:dyDescent="0.25">
      <c r="N10727" s="26"/>
    </row>
    <row r="10728" spans="14:14" x14ac:dyDescent="0.25">
      <c r="N10728" s="26"/>
    </row>
    <row r="10729" spans="14:14" x14ac:dyDescent="0.25">
      <c r="N10729" s="26"/>
    </row>
    <row r="10730" spans="14:14" x14ac:dyDescent="0.25">
      <c r="N10730" s="26"/>
    </row>
    <row r="10731" spans="14:14" x14ac:dyDescent="0.25">
      <c r="N10731" s="26"/>
    </row>
    <row r="10732" spans="14:14" x14ac:dyDescent="0.25">
      <c r="N10732" s="26"/>
    </row>
    <row r="10733" spans="14:14" x14ac:dyDescent="0.25">
      <c r="N10733" s="26"/>
    </row>
    <row r="10734" spans="14:14" x14ac:dyDescent="0.25">
      <c r="N10734" s="26"/>
    </row>
    <row r="10735" spans="14:14" x14ac:dyDescent="0.25">
      <c r="N10735" s="26"/>
    </row>
    <row r="10736" spans="14:14" x14ac:dyDescent="0.25">
      <c r="N10736" s="26"/>
    </row>
    <row r="10737" spans="14:14" x14ac:dyDescent="0.25">
      <c r="N10737" s="26"/>
    </row>
    <row r="10738" spans="14:14" x14ac:dyDescent="0.25">
      <c r="N10738" s="26"/>
    </row>
    <row r="10739" spans="14:14" x14ac:dyDescent="0.25">
      <c r="N10739" s="26"/>
    </row>
    <row r="10740" spans="14:14" x14ac:dyDescent="0.25">
      <c r="N10740" s="26"/>
    </row>
    <row r="10741" spans="14:14" x14ac:dyDescent="0.25">
      <c r="N10741" s="26"/>
    </row>
    <row r="10742" spans="14:14" x14ac:dyDescent="0.25">
      <c r="N10742" s="26"/>
    </row>
    <row r="10743" spans="14:14" x14ac:dyDescent="0.25">
      <c r="N10743" s="26"/>
    </row>
    <row r="10744" spans="14:14" x14ac:dyDescent="0.25">
      <c r="N10744" s="26"/>
    </row>
    <row r="10745" spans="14:14" x14ac:dyDescent="0.25">
      <c r="N10745" s="26"/>
    </row>
    <row r="10746" spans="14:14" x14ac:dyDescent="0.25">
      <c r="N10746" s="26"/>
    </row>
    <row r="10747" spans="14:14" x14ac:dyDescent="0.25">
      <c r="N10747" s="26"/>
    </row>
    <row r="10748" spans="14:14" x14ac:dyDescent="0.25">
      <c r="N10748" s="26"/>
    </row>
    <row r="10749" spans="14:14" x14ac:dyDescent="0.25">
      <c r="N10749" s="26"/>
    </row>
    <row r="10750" spans="14:14" x14ac:dyDescent="0.25">
      <c r="N10750" s="26"/>
    </row>
    <row r="10751" spans="14:14" x14ac:dyDescent="0.25">
      <c r="N10751" s="26"/>
    </row>
    <row r="10752" spans="14:14" x14ac:dyDescent="0.25">
      <c r="N10752" s="26"/>
    </row>
    <row r="10753" spans="14:14" x14ac:dyDescent="0.25">
      <c r="N10753" s="26"/>
    </row>
    <row r="10754" spans="14:14" x14ac:dyDescent="0.25">
      <c r="N10754" s="26"/>
    </row>
    <row r="10755" spans="14:14" x14ac:dyDescent="0.25">
      <c r="N10755" s="26"/>
    </row>
    <row r="10756" spans="14:14" x14ac:dyDescent="0.25">
      <c r="N10756" s="26"/>
    </row>
    <row r="10757" spans="14:14" x14ac:dyDescent="0.25">
      <c r="N10757" s="26"/>
    </row>
    <row r="10758" spans="14:14" x14ac:dyDescent="0.25">
      <c r="N10758" s="26"/>
    </row>
    <row r="10759" spans="14:14" x14ac:dyDescent="0.25">
      <c r="N10759" s="26"/>
    </row>
    <row r="10760" spans="14:14" x14ac:dyDescent="0.25">
      <c r="N10760" s="26"/>
    </row>
    <row r="10761" spans="14:14" x14ac:dyDescent="0.25">
      <c r="N10761" s="26"/>
    </row>
    <row r="10762" spans="14:14" x14ac:dyDescent="0.25">
      <c r="N10762" s="26"/>
    </row>
    <row r="10763" spans="14:14" x14ac:dyDescent="0.25">
      <c r="N10763" s="26"/>
    </row>
    <row r="10764" spans="14:14" x14ac:dyDescent="0.25">
      <c r="N10764" s="26"/>
    </row>
    <row r="10765" spans="14:14" x14ac:dyDescent="0.25">
      <c r="N10765" s="26"/>
    </row>
    <row r="10766" spans="14:14" x14ac:dyDescent="0.25">
      <c r="N10766" s="26"/>
    </row>
    <row r="10767" spans="14:14" x14ac:dyDescent="0.25">
      <c r="N10767" s="26"/>
    </row>
    <row r="10768" spans="14:14" x14ac:dyDescent="0.25">
      <c r="N10768" s="26"/>
    </row>
    <row r="10769" spans="14:14" x14ac:dyDescent="0.25">
      <c r="N10769" s="26"/>
    </row>
    <row r="10770" spans="14:14" x14ac:dyDescent="0.25">
      <c r="N10770" s="26"/>
    </row>
    <row r="10771" spans="14:14" x14ac:dyDescent="0.25">
      <c r="N10771" s="26"/>
    </row>
    <row r="10772" spans="14:14" x14ac:dyDescent="0.25">
      <c r="N10772" s="26"/>
    </row>
    <row r="10773" spans="14:14" x14ac:dyDescent="0.25">
      <c r="N10773" s="26"/>
    </row>
    <row r="10774" spans="14:14" x14ac:dyDescent="0.25">
      <c r="N10774" s="26"/>
    </row>
    <row r="10775" spans="14:14" x14ac:dyDescent="0.25">
      <c r="N10775" s="26"/>
    </row>
    <row r="10776" spans="14:14" x14ac:dyDescent="0.25">
      <c r="N10776" s="26"/>
    </row>
    <row r="10777" spans="14:14" x14ac:dyDescent="0.25">
      <c r="N10777" s="26"/>
    </row>
    <row r="10778" spans="14:14" x14ac:dyDescent="0.25">
      <c r="N10778" s="26"/>
    </row>
    <row r="10779" spans="14:14" x14ac:dyDescent="0.25">
      <c r="N10779" s="26"/>
    </row>
    <row r="10780" spans="14:14" x14ac:dyDescent="0.25">
      <c r="N10780" s="26"/>
    </row>
    <row r="10781" spans="14:14" x14ac:dyDescent="0.25">
      <c r="N10781" s="26"/>
    </row>
    <row r="10782" spans="14:14" x14ac:dyDescent="0.25">
      <c r="N10782" s="26"/>
    </row>
    <row r="10783" spans="14:14" x14ac:dyDescent="0.25">
      <c r="N10783" s="26"/>
    </row>
    <row r="10784" spans="14:14" x14ac:dyDescent="0.25">
      <c r="N10784" s="26"/>
    </row>
    <row r="10785" spans="14:14" x14ac:dyDescent="0.25">
      <c r="N10785" s="26"/>
    </row>
    <row r="10786" spans="14:14" x14ac:dyDescent="0.25">
      <c r="N10786" s="26"/>
    </row>
    <row r="10787" spans="14:14" x14ac:dyDescent="0.25">
      <c r="N10787" s="26"/>
    </row>
    <row r="10788" spans="14:14" x14ac:dyDescent="0.25">
      <c r="N10788" s="26"/>
    </row>
    <row r="10789" spans="14:14" x14ac:dyDescent="0.25">
      <c r="N10789" s="26"/>
    </row>
    <row r="10790" spans="14:14" x14ac:dyDescent="0.25">
      <c r="N10790" s="26"/>
    </row>
    <row r="10791" spans="14:14" x14ac:dyDescent="0.25">
      <c r="N10791" s="26"/>
    </row>
    <row r="10792" spans="14:14" x14ac:dyDescent="0.25">
      <c r="N10792" s="26"/>
    </row>
    <row r="10793" spans="14:14" x14ac:dyDescent="0.25">
      <c r="N10793" s="26"/>
    </row>
    <row r="10794" spans="14:14" x14ac:dyDescent="0.25">
      <c r="N10794" s="26"/>
    </row>
    <row r="10795" spans="14:14" x14ac:dyDescent="0.25">
      <c r="N10795" s="26"/>
    </row>
    <row r="10796" spans="14:14" x14ac:dyDescent="0.25">
      <c r="N10796" s="26"/>
    </row>
    <row r="10797" spans="14:14" x14ac:dyDescent="0.25">
      <c r="N10797" s="26"/>
    </row>
    <row r="10798" spans="14:14" x14ac:dyDescent="0.25">
      <c r="N10798" s="26"/>
    </row>
    <row r="10799" spans="14:14" x14ac:dyDescent="0.25">
      <c r="N10799" s="26"/>
    </row>
    <row r="10800" spans="14:14" x14ac:dyDescent="0.25">
      <c r="N10800" s="26"/>
    </row>
    <row r="10801" spans="14:14" x14ac:dyDescent="0.25">
      <c r="N10801" s="26"/>
    </row>
    <row r="10802" spans="14:14" x14ac:dyDescent="0.25">
      <c r="N10802" s="26"/>
    </row>
    <row r="10803" spans="14:14" x14ac:dyDescent="0.25">
      <c r="N10803" s="26"/>
    </row>
    <row r="10804" spans="14:14" x14ac:dyDescent="0.25">
      <c r="N10804" s="26"/>
    </row>
    <row r="10805" spans="14:14" x14ac:dyDescent="0.25">
      <c r="N10805" s="26"/>
    </row>
    <row r="10806" spans="14:14" x14ac:dyDescent="0.25">
      <c r="N10806" s="26"/>
    </row>
    <row r="10807" spans="14:14" x14ac:dyDescent="0.25">
      <c r="N10807" s="26"/>
    </row>
    <row r="10808" spans="14:14" x14ac:dyDescent="0.25">
      <c r="N10808" s="26"/>
    </row>
    <row r="10809" spans="14:14" x14ac:dyDescent="0.25">
      <c r="N10809" s="26"/>
    </row>
    <row r="10810" spans="14:14" x14ac:dyDescent="0.25">
      <c r="N10810" s="26"/>
    </row>
    <row r="10811" spans="14:14" x14ac:dyDescent="0.25">
      <c r="N10811" s="26"/>
    </row>
    <row r="10812" spans="14:14" x14ac:dyDescent="0.25">
      <c r="N10812" s="26"/>
    </row>
    <row r="10813" spans="14:14" x14ac:dyDescent="0.25">
      <c r="N10813" s="26"/>
    </row>
    <row r="10814" spans="14:14" x14ac:dyDescent="0.25">
      <c r="N10814" s="26"/>
    </row>
    <row r="10815" spans="14:14" x14ac:dyDescent="0.25">
      <c r="N10815" s="26"/>
    </row>
    <row r="10816" spans="14:14" x14ac:dyDescent="0.25">
      <c r="N10816" s="26"/>
    </row>
    <row r="10817" spans="14:14" x14ac:dyDescent="0.25">
      <c r="N10817" s="26"/>
    </row>
    <row r="10818" spans="14:14" x14ac:dyDescent="0.25">
      <c r="N10818" s="26"/>
    </row>
    <row r="10819" spans="14:14" x14ac:dyDescent="0.25">
      <c r="N10819" s="26"/>
    </row>
    <row r="10820" spans="14:14" x14ac:dyDescent="0.25">
      <c r="N10820" s="26"/>
    </row>
    <row r="10821" spans="14:14" x14ac:dyDescent="0.25">
      <c r="N10821" s="26"/>
    </row>
    <row r="10822" spans="14:14" x14ac:dyDescent="0.25">
      <c r="N10822" s="26"/>
    </row>
    <row r="10823" spans="14:14" x14ac:dyDescent="0.25">
      <c r="N10823" s="26"/>
    </row>
    <row r="10824" spans="14:14" x14ac:dyDescent="0.25">
      <c r="N10824" s="26"/>
    </row>
    <row r="10825" spans="14:14" x14ac:dyDescent="0.25">
      <c r="N10825" s="26"/>
    </row>
    <row r="10826" spans="14:14" x14ac:dyDescent="0.25">
      <c r="N10826" s="26"/>
    </row>
    <row r="10827" spans="14:14" x14ac:dyDescent="0.25">
      <c r="N10827" s="26"/>
    </row>
    <row r="10828" spans="14:14" x14ac:dyDescent="0.25">
      <c r="N10828" s="26"/>
    </row>
    <row r="10829" spans="14:14" x14ac:dyDescent="0.25">
      <c r="N10829" s="26"/>
    </row>
    <row r="10830" spans="14:14" x14ac:dyDescent="0.25">
      <c r="N10830" s="26"/>
    </row>
    <row r="10831" spans="14:14" x14ac:dyDescent="0.25">
      <c r="N10831" s="26"/>
    </row>
    <row r="10832" spans="14:14" x14ac:dyDescent="0.25">
      <c r="N10832" s="26"/>
    </row>
    <row r="10833" spans="14:14" x14ac:dyDescent="0.25">
      <c r="N10833" s="26"/>
    </row>
    <row r="10834" spans="14:14" x14ac:dyDescent="0.25">
      <c r="N10834" s="26"/>
    </row>
    <row r="10835" spans="14:14" x14ac:dyDescent="0.25">
      <c r="N10835" s="26"/>
    </row>
    <row r="10836" spans="14:14" x14ac:dyDescent="0.25">
      <c r="N10836" s="26"/>
    </row>
    <row r="10837" spans="14:14" x14ac:dyDescent="0.25">
      <c r="N10837" s="26"/>
    </row>
    <row r="10838" spans="14:14" x14ac:dyDescent="0.25">
      <c r="N10838" s="26"/>
    </row>
    <row r="10839" spans="14:14" x14ac:dyDescent="0.25">
      <c r="N10839" s="26"/>
    </row>
    <row r="10840" spans="14:14" x14ac:dyDescent="0.25">
      <c r="N10840" s="26"/>
    </row>
    <row r="10841" spans="14:14" x14ac:dyDescent="0.25">
      <c r="N10841" s="26"/>
    </row>
    <row r="10842" spans="14:14" x14ac:dyDescent="0.25">
      <c r="N10842" s="26"/>
    </row>
    <row r="10843" spans="14:14" x14ac:dyDescent="0.25">
      <c r="N10843" s="26"/>
    </row>
    <row r="10844" spans="14:14" x14ac:dyDescent="0.25">
      <c r="N10844" s="26"/>
    </row>
    <row r="10845" spans="14:14" x14ac:dyDescent="0.25">
      <c r="N10845" s="26"/>
    </row>
    <row r="10846" spans="14:14" x14ac:dyDescent="0.25">
      <c r="N10846" s="26"/>
    </row>
    <row r="10847" spans="14:14" x14ac:dyDescent="0.25">
      <c r="N10847" s="26"/>
    </row>
    <row r="10848" spans="14:14" x14ac:dyDescent="0.25">
      <c r="N10848" s="26"/>
    </row>
    <row r="10849" spans="14:14" x14ac:dyDescent="0.25">
      <c r="N10849" s="26"/>
    </row>
    <row r="10850" spans="14:14" x14ac:dyDescent="0.25">
      <c r="N10850" s="26"/>
    </row>
    <row r="10851" spans="14:14" x14ac:dyDescent="0.25">
      <c r="N10851" s="26"/>
    </row>
    <row r="10852" spans="14:14" x14ac:dyDescent="0.25">
      <c r="N10852" s="26"/>
    </row>
    <row r="10853" spans="14:14" x14ac:dyDescent="0.25">
      <c r="N10853" s="26"/>
    </row>
    <row r="10854" spans="14:14" x14ac:dyDescent="0.25">
      <c r="N10854" s="26"/>
    </row>
    <row r="10855" spans="14:14" x14ac:dyDescent="0.25">
      <c r="N10855" s="26"/>
    </row>
    <row r="10856" spans="14:14" x14ac:dyDescent="0.25">
      <c r="N10856" s="26"/>
    </row>
    <row r="10857" spans="14:14" x14ac:dyDescent="0.25">
      <c r="N10857" s="26"/>
    </row>
    <row r="10858" spans="14:14" x14ac:dyDescent="0.25">
      <c r="N10858" s="26"/>
    </row>
    <row r="10859" spans="14:14" x14ac:dyDescent="0.25">
      <c r="N10859" s="26"/>
    </row>
    <row r="10860" spans="14:14" x14ac:dyDescent="0.25">
      <c r="N10860" s="26"/>
    </row>
    <row r="10861" spans="14:14" x14ac:dyDescent="0.25">
      <c r="N10861" s="26"/>
    </row>
    <row r="10862" spans="14:14" x14ac:dyDescent="0.25">
      <c r="N10862" s="26"/>
    </row>
    <row r="10863" spans="14:14" x14ac:dyDescent="0.25">
      <c r="N10863" s="26"/>
    </row>
    <row r="10864" spans="14:14" x14ac:dyDescent="0.25">
      <c r="N10864" s="26"/>
    </row>
    <row r="10865" spans="14:14" x14ac:dyDescent="0.25">
      <c r="N10865" s="26"/>
    </row>
    <row r="10866" spans="14:14" x14ac:dyDescent="0.25">
      <c r="N10866" s="26"/>
    </row>
    <row r="10867" spans="14:14" x14ac:dyDescent="0.25">
      <c r="N10867" s="26"/>
    </row>
    <row r="10868" spans="14:14" x14ac:dyDescent="0.25">
      <c r="N10868" s="26"/>
    </row>
    <row r="10869" spans="14:14" x14ac:dyDescent="0.25">
      <c r="N10869" s="26"/>
    </row>
    <row r="10870" spans="14:14" x14ac:dyDescent="0.25">
      <c r="N10870" s="26"/>
    </row>
    <row r="10871" spans="14:14" x14ac:dyDescent="0.25">
      <c r="N10871" s="26"/>
    </row>
    <row r="10872" spans="14:14" x14ac:dyDescent="0.25">
      <c r="N10872" s="26"/>
    </row>
    <row r="10873" spans="14:14" x14ac:dyDescent="0.25">
      <c r="N10873" s="26"/>
    </row>
    <row r="10874" spans="14:14" x14ac:dyDescent="0.25">
      <c r="N10874" s="26"/>
    </row>
    <row r="10875" spans="14:14" x14ac:dyDescent="0.25">
      <c r="N10875" s="26"/>
    </row>
    <row r="10876" spans="14:14" x14ac:dyDescent="0.25">
      <c r="N10876" s="26"/>
    </row>
    <row r="10877" spans="14:14" x14ac:dyDescent="0.25">
      <c r="N10877" s="26"/>
    </row>
    <row r="10878" spans="14:14" x14ac:dyDescent="0.25">
      <c r="N10878" s="26"/>
    </row>
    <row r="10879" spans="14:14" x14ac:dyDescent="0.25">
      <c r="N10879" s="26"/>
    </row>
    <row r="10880" spans="14:14" x14ac:dyDescent="0.25">
      <c r="N10880" s="26"/>
    </row>
    <row r="10881" spans="14:14" x14ac:dyDescent="0.25">
      <c r="N10881" s="26"/>
    </row>
    <row r="10882" spans="14:14" x14ac:dyDescent="0.25">
      <c r="N10882" s="26"/>
    </row>
    <row r="10883" spans="14:14" x14ac:dyDescent="0.25">
      <c r="N10883" s="26"/>
    </row>
    <row r="10884" spans="14:14" x14ac:dyDescent="0.25">
      <c r="N10884" s="26"/>
    </row>
    <row r="10885" spans="14:14" x14ac:dyDescent="0.25">
      <c r="N10885" s="26"/>
    </row>
    <row r="10886" spans="14:14" x14ac:dyDescent="0.25">
      <c r="N10886" s="26"/>
    </row>
    <row r="10887" spans="14:14" x14ac:dyDescent="0.25">
      <c r="N10887" s="26"/>
    </row>
    <row r="10888" spans="14:14" x14ac:dyDescent="0.25">
      <c r="N10888" s="26"/>
    </row>
    <row r="10889" spans="14:14" x14ac:dyDescent="0.25">
      <c r="N10889" s="26"/>
    </row>
    <row r="10890" spans="14:14" x14ac:dyDescent="0.25">
      <c r="N10890" s="26"/>
    </row>
    <row r="10891" spans="14:14" x14ac:dyDescent="0.25">
      <c r="N10891" s="26"/>
    </row>
    <row r="10892" spans="14:14" x14ac:dyDescent="0.25">
      <c r="N10892" s="26"/>
    </row>
    <row r="10893" spans="14:14" x14ac:dyDescent="0.25">
      <c r="N10893" s="26"/>
    </row>
    <row r="10894" spans="14:14" x14ac:dyDescent="0.25">
      <c r="N10894" s="26"/>
    </row>
    <row r="10895" spans="14:14" x14ac:dyDescent="0.25">
      <c r="N10895" s="26"/>
    </row>
    <row r="10896" spans="14:14" x14ac:dyDescent="0.25">
      <c r="N10896" s="26"/>
    </row>
    <row r="10897" spans="14:14" x14ac:dyDescent="0.25">
      <c r="N10897" s="26"/>
    </row>
    <row r="10898" spans="14:14" x14ac:dyDescent="0.25">
      <c r="N10898" s="26"/>
    </row>
    <row r="10899" spans="14:14" x14ac:dyDescent="0.25">
      <c r="N10899" s="26"/>
    </row>
    <row r="10900" spans="14:14" x14ac:dyDescent="0.25">
      <c r="N10900" s="26"/>
    </row>
    <row r="10901" spans="14:14" x14ac:dyDescent="0.25">
      <c r="N10901" s="26"/>
    </row>
    <row r="10902" spans="14:14" x14ac:dyDescent="0.25">
      <c r="N10902" s="26"/>
    </row>
    <row r="10903" spans="14:14" x14ac:dyDescent="0.25">
      <c r="N10903" s="26"/>
    </row>
    <row r="10904" spans="14:14" x14ac:dyDescent="0.25">
      <c r="N10904" s="26"/>
    </row>
    <row r="10905" spans="14:14" x14ac:dyDescent="0.25">
      <c r="N10905" s="26"/>
    </row>
    <row r="10906" spans="14:14" x14ac:dyDescent="0.25">
      <c r="N10906" s="26"/>
    </row>
    <row r="10907" spans="14:14" x14ac:dyDescent="0.25">
      <c r="N10907" s="26"/>
    </row>
    <row r="10908" spans="14:14" x14ac:dyDescent="0.25">
      <c r="N10908" s="26"/>
    </row>
    <row r="10909" spans="14:14" x14ac:dyDescent="0.25">
      <c r="N10909" s="26"/>
    </row>
    <row r="10910" spans="14:14" x14ac:dyDescent="0.25">
      <c r="N10910" s="26"/>
    </row>
    <row r="10911" spans="14:14" x14ac:dyDescent="0.25">
      <c r="N10911" s="26"/>
    </row>
    <row r="10912" spans="14:14" x14ac:dyDescent="0.25">
      <c r="N10912" s="26"/>
    </row>
    <row r="10913" spans="14:14" x14ac:dyDescent="0.25">
      <c r="N10913" s="26"/>
    </row>
    <row r="10914" spans="14:14" x14ac:dyDescent="0.25">
      <c r="N10914" s="26"/>
    </row>
    <row r="10915" spans="14:14" x14ac:dyDescent="0.25">
      <c r="N10915" s="26"/>
    </row>
    <row r="10916" spans="14:14" x14ac:dyDescent="0.25">
      <c r="N10916" s="26"/>
    </row>
    <row r="10917" spans="14:14" x14ac:dyDescent="0.25">
      <c r="N10917" s="26"/>
    </row>
    <row r="10918" spans="14:14" x14ac:dyDescent="0.25">
      <c r="N10918" s="26"/>
    </row>
    <row r="10919" spans="14:14" x14ac:dyDescent="0.25">
      <c r="N10919" s="26"/>
    </row>
    <row r="10920" spans="14:14" x14ac:dyDescent="0.25">
      <c r="N10920" s="26"/>
    </row>
    <row r="10921" spans="14:14" x14ac:dyDescent="0.25">
      <c r="N10921" s="26"/>
    </row>
    <row r="10922" spans="14:14" x14ac:dyDescent="0.25">
      <c r="N10922" s="26"/>
    </row>
    <row r="10923" spans="14:14" x14ac:dyDescent="0.25">
      <c r="N10923" s="26"/>
    </row>
    <row r="10924" spans="14:14" x14ac:dyDescent="0.25">
      <c r="N10924" s="26"/>
    </row>
    <row r="10925" spans="14:14" x14ac:dyDescent="0.25">
      <c r="N10925" s="26"/>
    </row>
    <row r="10926" spans="14:14" x14ac:dyDescent="0.25">
      <c r="N10926" s="26"/>
    </row>
    <row r="10927" spans="14:14" x14ac:dyDescent="0.25">
      <c r="N10927" s="26"/>
    </row>
    <row r="10928" spans="14:14" x14ac:dyDescent="0.25">
      <c r="N10928" s="26"/>
    </row>
    <row r="10929" spans="14:14" x14ac:dyDescent="0.25">
      <c r="N10929" s="26"/>
    </row>
    <row r="10930" spans="14:14" x14ac:dyDescent="0.25">
      <c r="N10930" s="26"/>
    </row>
    <row r="10931" spans="14:14" x14ac:dyDescent="0.25">
      <c r="N10931" s="26"/>
    </row>
    <row r="10932" spans="14:14" x14ac:dyDescent="0.25">
      <c r="N10932" s="26"/>
    </row>
    <row r="10933" spans="14:14" x14ac:dyDescent="0.25">
      <c r="N10933" s="26"/>
    </row>
    <row r="10934" spans="14:14" x14ac:dyDescent="0.25">
      <c r="N10934" s="26"/>
    </row>
    <row r="10935" spans="14:14" x14ac:dyDescent="0.25">
      <c r="N10935" s="26"/>
    </row>
    <row r="10936" spans="14:14" x14ac:dyDescent="0.25">
      <c r="N10936" s="26"/>
    </row>
    <row r="10937" spans="14:14" x14ac:dyDescent="0.25">
      <c r="N10937" s="26"/>
    </row>
    <row r="10938" spans="14:14" x14ac:dyDescent="0.25">
      <c r="N10938" s="26"/>
    </row>
    <row r="10939" spans="14:14" x14ac:dyDescent="0.25">
      <c r="N10939" s="26"/>
    </row>
    <row r="10940" spans="14:14" x14ac:dyDescent="0.25">
      <c r="N10940" s="26"/>
    </row>
    <row r="10941" spans="14:14" x14ac:dyDescent="0.25">
      <c r="N10941" s="26"/>
    </row>
    <row r="10942" spans="14:14" x14ac:dyDescent="0.25">
      <c r="N10942" s="26"/>
    </row>
    <row r="10943" spans="14:14" x14ac:dyDescent="0.25">
      <c r="N10943" s="26"/>
    </row>
    <row r="10944" spans="14:14" x14ac:dyDescent="0.25">
      <c r="N10944" s="26"/>
    </row>
    <row r="10945" spans="14:14" x14ac:dyDescent="0.25">
      <c r="N10945" s="26"/>
    </row>
    <row r="10946" spans="14:14" x14ac:dyDescent="0.25">
      <c r="N10946" s="26"/>
    </row>
    <row r="10947" spans="14:14" x14ac:dyDescent="0.25">
      <c r="N10947" s="26"/>
    </row>
    <row r="10948" spans="14:14" x14ac:dyDescent="0.25">
      <c r="N10948" s="26"/>
    </row>
    <row r="10949" spans="14:14" x14ac:dyDescent="0.25">
      <c r="N10949" s="26"/>
    </row>
    <row r="10950" spans="14:14" x14ac:dyDescent="0.25">
      <c r="N10950" s="26"/>
    </row>
    <row r="10951" spans="14:14" x14ac:dyDescent="0.25">
      <c r="N10951" s="26"/>
    </row>
    <row r="10952" spans="14:14" x14ac:dyDescent="0.25">
      <c r="N10952" s="26"/>
    </row>
    <row r="10953" spans="14:14" x14ac:dyDescent="0.25">
      <c r="N10953" s="26"/>
    </row>
    <row r="10954" spans="14:14" x14ac:dyDescent="0.25">
      <c r="N10954" s="26"/>
    </row>
    <row r="10955" spans="14:14" x14ac:dyDescent="0.25">
      <c r="N10955" s="26"/>
    </row>
    <row r="10956" spans="14:14" x14ac:dyDescent="0.25">
      <c r="N10956" s="26"/>
    </row>
    <row r="10957" spans="14:14" x14ac:dyDescent="0.25">
      <c r="N10957" s="26"/>
    </row>
    <row r="10958" spans="14:14" x14ac:dyDescent="0.25">
      <c r="N10958" s="26"/>
    </row>
    <row r="10959" spans="14:14" x14ac:dyDescent="0.25">
      <c r="N10959" s="26"/>
    </row>
    <row r="10960" spans="14:14" x14ac:dyDescent="0.25">
      <c r="N10960" s="26"/>
    </row>
    <row r="10961" spans="14:14" x14ac:dyDescent="0.25">
      <c r="N10961" s="26"/>
    </row>
    <row r="10962" spans="14:14" x14ac:dyDescent="0.25">
      <c r="N10962" s="26"/>
    </row>
    <row r="10963" spans="14:14" x14ac:dyDescent="0.25">
      <c r="N10963" s="26"/>
    </row>
    <row r="10964" spans="14:14" x14ac:dyDescent="0.25">
      <c r="N10964" s="26"/>
    </row>
    <row r="10965" spans="14:14" x14ac:dyDescent="0.25">
      <c r="N10965" s="26"/>
    </row>
    <row r="10966" spans="14:14" x14ac:dyDescent="0.25">
      <c r="N10966" s="26"/>
    </row>
    <row r="10967" spans="14:14" x14ac:dyDescent="0.25">
      <c r="N10967" s="26"/>
    </row>
    <row r="10968" spans="14:14" x14ac:dyDescent="0.25">
      <c r="N10968" s="26"/>
    </row>
    <row r="10969" spans="14:14" x14ac:dyDescent="0.25">
      <c r="N10969" s="26"/>
    </row>
    <row r="10970" spans="14:14" x14ac:dyDescent="0.25">
      <c r="N10970" s="26"/>
    </row>
    <row r="10971" spans="14:14" x14ac:dyDescent="0.25">
      <c r="N10971" s="26"/>
    </row>
    <row r="10972" spans="14:14" x14ac:dyDescent="0.25">
      <c r="N10972" s="26"/>
    </row>
    <row r="10973" spans="14:14" x14ac:dyDescent="0.25">
      <c r="N10973" s="26"/>
    </row>
    <row r="10974" spans="14:14" x14ac:dyDescent="0.25">
      <c r="N10974" s="26"/>
    </row>
    <row r="10975" spans="14:14" x14ac:dyDescent="0.25">
      <c r="N10975" s="26"/>
    </row>
    <row r="10976" spans="14:14" x14ac:dyDescent="0.25">
      <c r="N10976" s="26"/>
    </row>
    <row r="10977" spans="14:14" x14ac:dyDescent="0.25">
      <c r="N10977" s="26"/>
    </row>
    <row r="10978" spans="14:14" x14ac:dyDescent="0.25">
      <c r="N10978" s="26"/>
    </row>
    <row r="10979" spans="14:14" x14ac:dyDescent="0.25">
      <c r="N10979" s="26"/>
    </row>
    <row r="10980" spans="14:14" x14ac:dyDescent="0.25">
      <c r="N10980" s="26"/>
    </row>
    <row r="10981" spans="14:14" x14ac:dyDescent="0.25">
      <c r="N10981" s="26"/>
    </row>
    <row r="10982" spans="14:14" x14ac:dyDescent="0.25">
      <c r="N10982" s="26"/>
    </row>
    <row r="10983" spans="14:14" x14ac:dyDescent="0.25">
      <c r="N10983" s="26"/>
    </row>
    <row r="10984" spans="14:14" x14ac:dyDescent="0.25">
      <c r="N10984" s="26"/>
    </row>
    <row r="10985" spans="14:14" x14ac:dyDescent="0.25">
      <c r="N10985" s="26"/>
    </row>
    <row r="10986" spans="14:14" x14ac:dyDescent="0.25">
      <c r="N10986" s="26"/>
    </row>
    <row r="10987" spans="14:14" x14ac:dyDescent="0.25">
      <c r="N10987" s="26"/>
    </row>
    <row r="10988" spans="14:14" x14ac:dyDescent="0.25">
      <c r="N10988" s="26"/>
    </row>
    <row r="10989" spans="14:14" x14ac:dyDescent="0.25">
      <c r="N10989" s="26"/>
    </row>
    <row r="10990" spans="14:14" x14ac:dyDescent="0.25">
      <c r="N10990" s="26"/>
    </row>
    <row r="10991" spans="14:14" x14ac:dyDescent="0.25">
      <c r="N10991" s="26"/>
    </row>
    <row r="10992" spans="14:14" x14ac:dyDescent="0.25">
      <c r="N10992" s="26"/>
    </row>
    <row r="10993" spans="14:14" x14ac:dyDescent="0.25">
      <c r="N10993" s="26"/>
    </row>
    <row r="10994" spans="14:14" x14ac:dyDescent="0.25">
      <c r="N10994" s="26"/>
    </row>
    <row r="10995" spans="14:14" x14ac:dyDescent="0.25">
      <c r="N10995" s="26"/>
    </row>
    <row r="10996" spans="14:14" x14ac:dyDescent="0.25">
      <c r="N10996" s="26"/>
    </row>
    <row r="10997" spans="14:14" x14ac:dyDescent="0.25">
      <c r="N10997" s="26"/>
    </row>
    <row r="10998" spans="14:14" x14ac:dyDescent="0.25">
      <c r="N10998" s="26"/>
    </row>
    <row r="10999" spans="14:14" x14ac:dyDescent="0.25">
      <c r="N10999" s="26"/>
    </row>
    <row r="11000" spans="14:14" x14ac:dyDescent="0.25">
      <c r="N11000" s="26"/>
    </row>
    <row r="11001" spans="14:14" x14ac:dyDescent="0.25">
      <c r="N11001" s="26"/>
    </row>
    <row r="11002" spans="14:14" x14ac:dyDescent="0.25">
      <c r="N11002" s="26"/>
    </row>
    <row r="11003" spans="14:14" x14ac:dyDescent="0.25">
      <c r="N11003" s="26"/>
    </row>
    <row r="11004" spans="14:14" x14ac:dyDescent="0.25">
      <c r="N11004" s="26"/>
    </row>
    <row r="11005" spans="14:14" x14ac:dyDescent="0.25">
      <c r="N11005" s="26"/>
    </row>
    <row r="11006" spans="14:14" x14ac:dyDescent="0.25">
      <c r="N11006" s="26"/>
    </row>
    <row r="11007" spans="14:14" x14ac:dyDescent="0.25">
      <c r="N11007" s="26"/>
    </row>
    <row r="11008" spans="14:14" x14ac:dyDescent="0.25">
      <c r="N11008" s="26"/>
    </row>
    <row r="11009" spans="14:14" x14ac:dyDescent="0.25">
      <c r="N11009" s="26"/>
    </row>
    <row r="11010" spans="14:14" x14ac:dyDescent="0.25">
      <c r="N11010" s="26"/>
    </row>
    <row r="11011" spans="14:14" x14ac:dyDescent="0.25">
      <c r="N11011" s="26"/>
    </row>
    <row r="11012" spans="14:14" x14ac:dyDescent="0.25">
      <c r="N11012" s="26"/>
    </row>
    <row r="11013" spans="14:14" x14ac:dyDescent="0.25">
      <c r="N11013" s="26"/>
    </row>
    <row r="11014" spans="14:14" x14ac:dyDescent="0.25">
      <c r="N11014" s="26"/>
    </row>
    <row r="11015" spans="14:14" x14ac:dyDescent="0.25">
      <c r="N11015" s="26"/>
    </row>
    <row r="11016" spans="14:14" x14ac:dyDescent="0.25">
      <c r="N11016" s="26"/>
    </row>
    <row r="11017" spans="14:14" x14ac:dyDescent="0.25">
      <c r="N11017" s="26"/>
    </row>
    <row r="11018" spans="14:14" x14ac:dyDescent="0.25">
      <c r="N11018" s="26"/>
    </row>
    <row r="11019" spans="14:14" x14ac:dyDescent="0.25">
      <c r="N11019" s="26"/>
    </row>
    <row r="11020" spans="14:14" x14ac:dyDescent="0.25">
      <c r="N11020" s="26"/>
    </row>
    <row r="11021" spans="14:14" x14ac:dyDescent="0.25">
      <c r="N11021" s="26"/>
    </row>
    <row r="11022" spans="14:14" x14ac:dyDescent="0.25">
      <c r="N11022" s="26"/>
    </row>
    <row r="11023" spans="14:14" x14ac:dyDescent="0.25">
      <c r="N11023" s="26"/>
    </row>
    <row r="11024" spans="14:14" x14ac:dyDescent="0.25">
      <c r="N11024" s="26"/>
    </row>
    <row r="11025" spans="14:14" x14ac:dyDescent="0.25">
      <c r="N11025" s="26"/>
    </row>
    <row r="11026" spans="14:14" x14ac:dyDescent="0.25">
      <c r="N11026" s="26"/>
    </row>
    <row r="11027" spans="14:14" x14ac:dyDescent="0.25">
      <c r="N11027" s="26"/>
    </row>
    <row r="11028" spans="14:14" x14ac:dyDescent="0.25">
      <c r="N11028" s="26"/>
    </row>
    <row r="11029" spans="14:14" x14ac:dyDescent="0.25">
      <c r="N11029" s="26"/>
    </row>
    <row r="11030" spans="14:14" x14ac:dyDescent="0.25">
      <c r="N11030" s="26"/>
    </row>
    <row r="11031" spans="14:14" x14ac:dyDescent="0.25">
      <c r="N11031" s="26"/>
    </row>
    <row r="11032" spans="14:14" x14ac:dyDescent="0.25">
      <c r="N11032" s="26"/>
    </row>
    <row r="11033" spans="14:14" x14ac:dyDescent="0.25">
      <c r="N11033" s="26"/>
    </row>
    <row r="11034" spans="14:14" x14ac:dyDescent="0.25">
      <c r="N11034" s="26"/>
    </row>
    <row r="11035" spans="14:14" x14ac:dyDescent="0.25">
      <c r="N11035" s="26"/>
    </row>
    <row r="11036" spans="14:14" x14ac:dyDescent="0.25">
      <c r="N11036" s="26"/>
    </row>
    <row r="11037" spans="14:14" x14ac:dyDescent="0.25">
      <c r="N11037" s="26"/>
    </row>
    <row r="11038" spans="14:14" x14ac:dyDescent="0.25">
      <c r="N11038" s="26"/>
    </row>
    <row r="11039" spans="14:14" x14ac:dyDescent="0.25">
      <c r="N11039" s="26"/>
    </row>
    <row r="11040" spans="14:14" x14ac:dyDescent="0.25">
      <c r="N11040" s="26"/>
    </row>
    <row r="11041" spans="14:14" x14ac:dyDescent="0.25">
      <c r="N11041" s="26"/>
    </row>
    <row r="11042" spans="14:14" x14ac:dyDescent="0.25">
      <c r="N11042" s="26"/>
    </row>
    <row r="11043" spans="14:14" x14ac:dyDescent="0.25">
      <c r="N11043" s="26"/>
    </row>
    <row r="11044" spans="14:14" x14ac:dyDescent="0.25">
      <c r="N11044" s="26"/>
    </row>
    <row r="11045" spans="14:14" x14ac:dyDescent="0.25">
      <c r="N11045" s="26"/>
    </row>
    <row r="11046" spans="14:14" x14ac:dyDescent="0.25">
      <c r="N11046" s="26"/>
    </row>
    <row r="11047" spans="14:14" x14ac:dyDescent="0.25">
      <c r="N11047" s="26"/>
    </row>
    <row r="11048" spans="14:14" x14ac:dyDescent="0.25">
      <c r="N11048" s="26"/>
    </row>
    <row r="11049" spans="14:14" x14ac:dyDescent="0.25">
      <c r="N11049" s="26"/>
    </row>
    <row r="11050" spans="14:14" x14ac:dyDescent="0.25">
      <c r="N11050" s="26"/>
    </row>
    <row r="11051" spans="14:14" x14ac:dyDescent="0.25">
      <c r="N11051" s="26"/>
    </row>
    <row r="11052" spans="14:14" x14ac:dyDescent="0.25">
      <c r="N11052" s="26"/>
    </row>
    <row r="11053" spans="14:14" x14ac:dyDescent="0.25">
      <c r="N11053" s="26"/>
    </row>
    <row r="11054" spans="14:14" x14ac:dyDescent="0.25">
      <c r="N11054" s="26"/>
    </row>
    <row r="11055" spans="14:14" x14ac:dyDescent="0.25">
      <c r="N11055" s="26"/>
    </row>
    <row r="11056" spans="14:14" x14ac:dyDescent="0.25">
      <c r="N11056" s="26"/>
    </row>
    <row r="11057" spans="14:14" x14ac:dyDescent="0.25">
      <c r="N11057" s="26"/>
    </row>
    <row r="11058" spans="14:14" x14ac:dyDescent="0.25">
      <c r="N11058" s="26"/>
    </row>
    <row r="11059" spans="14:14" x14ac:dyDescent="0.25">
      <c r="N11059" s="26"/>
    </row>
    <row r="11060" spans="14:14" x14ac:dyDescent="0.25">
      <c r="N11060" s="26"/>
    </row>
    <row r="11061" spans="14:14" x14ac:dyDescent="0.25">
      <c r="N11061" s="26"/>
    </row>
    <row r="11062" spans="14:14" x14ac:dyDescent="0.25">
      <c r="N11062" s="26"/>
    </row>
    <row r="11063" spans="14:14" x14ac:dyDescent="0.25">
      <c r="N11063" s="26"/>
    </row>
    <row r="11064" spans="14:14" x14ac:dyDescent="0.25">
      <c r="N11064" s="26"/>
    </row>
    <row r="11065" spans="14:14" x14ac:dyDescent="0.25">
      <c r="N11065" s="26"/>
    </row>
    <row r="11066" spans="14:14" x14ac:dyDescent="0.25">
      <c r="N11066" s="26"/>
    </row>
    <row r="11067" spans="14:14" x14ac:dyDescent="0.25">
      <c r="N11067" s="26"/>
    </row>
    <row r="11068" spans="14:14" x14ac:dyDescent="0.25">
      <c r="N11068" s="26"/>
    </row>
    <row r="11069" spans="14:14" x14ac:dyDescent="0.25">
      <c r="N11069" s="26"/>
    </row>
    <row r="11070" spans="14:14" x14ac:dyDescent="0.25">
      <c r="N11070" s="26"/>
    </row>
    <row r="11071" spans="14:14" x14ac:dyDescent="0.25">
      <c r="N11071" s="26"/>
    </row>
    <row r="11072" spans="14:14" x14ac:dyDescent="0.25">
      <c r="N11072" s="26"/>
    </row>
    <row r="11073" spans="14:14" x14ac:dyDescent="0.25">
      <c r="N11073" s="26"/>
    </row>
    <row r="11074" spans="14:14" x14ac:dyDescent="0.25">
      <c r="N11074" s="26"/>
    </row>
    <row r="11075" spans="14:14" x14ac:dyDescent="0.25">
      <c r="N11075" s="26"/>
    </row>
    <row r="11076" spans="14:14" x14ac:dyDescent="0.25">
      <c r="N11076" s="26"/>
    </row>
    <row r="11077" spans="14:14" x14ac:dyDescent="0.25">
      <c r="N11077" s="26"/>
    </row>
    <row r="11078" spans="14:14" x14ac:dyDescent="0.25">
      <c r="N11078" s="26"/>
    </row>
    <row r="11079" spans="14:14" x14ac:dyDescent="0.25">
      <c r="N11079" s="26"/>
    </row>
    <row r="11080" spans="14:14" x14ac:dyDescent="0.25">
      <c r="N11080" s="26"/>
    </row>
    <row r="11081" spans="14:14" x14ac:dyDescent="0.25">
      <c r="N11081" s="26"/>
    </row>
    <row r="11082" spans="14:14" x14ac:dyDescent="0.25">
      <c r="N11082" s="26"/>
    </row>
    <row r="11083" spans="14:14" x14ac:dyDescent="0.25">
      <c r="N11083" s="26"/>
    </row>
    <row r="11084" spans="14:14" x14ac:dyDescent="0.25">
      <c r="N11084" s="26"/>
    </row>
    <row r="11085" spans="14:14" x14ac:dyDescent="0.25">
      <c r="N11085" s="26"/>
    </row>
    <row r="11086" spans="14:14" x14ac:dyDescent="0.25">
      <c r="N11086" s="26"/>
    </row>
    <row r="11087" spans="14:14" x14ac:dyDescent="0.25">
      <c r="N11087" s="26"/>
    </row>
    <row r="11088" spans="14:14" x14ac:dyDescent="0.25">
      <c r="N11088" s="26"/>
    </row>
    <row r="11089" spans="14:14" x14ac:dyDescent="0.25">
      <c r="N11089" s="26"/>
    </row>
    <row r="11090" spans="14:14" x14ac:dyDescent="0.25">
      <c r="N11090" s="26"/>
    </row>
    <row r="11091" spans="14:14" x14ac:dyDescent="0.25">
      <c r="N11091" s="26"/>
    </row>
    <row r="11092" spans="14:14" x14ac:dyDescent="0.25">
      <c r="N11092" s="26"/>
    </row>
    <row r="11093" spans="14:14" x14ac:dyDescent="0.25">
      <c r="N11093" s="26"/>
    </row>
    <row r="11094" spans="14:14" x14ac:dyDescent="0.25">
      <c r="N11094" s="26"/>
    </row>
    <row r="11095" spans="14:14" x14ac:dyDescent="0.25">
      <c r="N11095" s="26"/>
    </row>
    <row r="11096" spans="14:14" x14ac:dyDescent="0.25">
      <c r="N11096" s="26"/>
    </row>
    <row r="11097" spans="14:14" x14ac:dyDescent="0.25">
      <c r="N11097" s="26"/>
    </row>
    <row r="11098" spans="14:14" x14ac:dyDescent="0.25">
      <c r="N11098" s="26"/>
    </row>
    <row r="11099" spans="14:14" x14ac:dyDescent="0.25">
      <c r="N11099" s="26"/>
    </row>
    <row r="11100" spans="14:14" x14ac:dyDescent="0.25">
      <c r="N11100" s="26"/>
    </row>
    <row r="11101" spans="14:14" x14ac:dyDescent="0.25">
      <c r="N11101" s="26"/>
    </row>
    <row r="11102" spans="14:14" x14ac:dyDescent="0.25">
      <c r="N11102" s="26"/>
    </row>
    <row r="11103" spans="14:14" x14ac:dyDescent="0.25">
      <c r="N11103" s="26"/>
    </row>
    <row r="11104" spans="14:14" x14ac:dyDescent="0.25">
      <c r="N11104" s="26"/>
    </row>
    <row r="11105" spans="14:14" x14ac:dyDescent="0.25">
      <c r="N11105" s="26"/>
    </row>
    <row r="11106" spans="14:14" x14ac:dyDescent="0.25">
      <c r="N11106" s="26"/>
    </row>
    <row r="11107" spans="14:14" x14ac:dyDescent="0.25">
      <c r="N11107" s="26"/>
    </row>
    <row r="11108" spans="14:14" x14ac:dyDescent="0.25">
      <c r="N11108" s="26"/>
    </row>
    <row r="11109" spans="14:14" x14ac:dyDescent="0.25">
      <c r="N11109" s="26"/>
    </row>
    <row r="11110" spans="14:14" x14ac:dyDescent="0.25">
      <c r="N11110" s="26"/>
    </row>
    <row r="11111" spans="14:14" x14ac:dyDescent="0.25">
      <c r="N11111" s="26"/>
    </row>
    <row r="11112" spans="14:14" x14ac:dyDescent="0.25">
      <c r="N11112" s="26"/>
    </row>
    <row r="11113" spans="14:14" x14ac:dyDescent="0.25">
      <c r="N11113" s="26"/>
    </row>
    <row r="11114" spans="14:14" x14ac:dyDescent="0.25">
      <c r="N11114" s="26"/>
    </row>
    <row r="11115" spans="14:14" x14ac:dyDescent="0.25">
      <c r="N11115" s="26"/>
    </row>
    <row r="11116" spans="14:14" x14ac:dyDescent="0.25">
      <c r="N11116" s="26"/>
    </row>
    <row r="11117" spans="14:14" x14ac:dyDescent="0.25">
      <c r="N11117" s="26"/>
    </row>
    <row r="11118" spans="14:14" x14ac:dyDescent="0.25">
      <c r="N11118" s="26"/>
    </row>
    <row r="11119" spans="14:14" x14ac:dyDescent="0.25">
      <c r="N11119" s="26"/>
    </row>
    <row r="11120" spans="14:14" x14ac:dyDescent="0.25">
      <c r="N11120" s="26"/>
    </row>
    <row r="11121" spans="14:14" x14ac:dyDescent="0.25">
      <c r="N11121" s="26"/>
    </row>
    <row r="11122" spans="14:14" x14ac:dyDescent="0.25">
      <c r="N11122" s="26"/>
    </row>
    <row r="11123" spans="14:14" x14ac:dyDescent="0.25">
      <c r="N11123" s="26"/>
    </row>
    <row r="11124" spans="14:14" x14ac:dyDescent="0.25">
      <c r="N11124" s="26"/>
    </row>
    <row r="11125" spans="14:14" x14ac:dyDescent="0.25">
      <c r="N11125" s="26"/>
    </row>
    <row r="11126" spans="14:14" x14ac:dyDescent="0.25">
      <c r="N11126" s="26"/>
    </row>
    <row r="11127" spans="14:14" x14ac:dyDescent="0.25">
      <c r="N11127" s="26"/>
    </row>
    <row r="11128" spans="14:14" x14ac:dyDescent="0.25">
      <c r="N11128" s="26"/>
    </row>
    <row r="11129" spans="14:14" x14ac:dyDescent="0.25">
      <c r="N11129" s="26"/>
    </row>
    <row r="11130" spans="14:14" x14ac:dyDescent="0.25">
      <c r="N11130" s="26"/>
    </row>
    <row r="11131" spans="14:14" x14ac:dyDescent="0.25">
      <c r="N11131" s="26"/>
    </row>
    <row r="11132" spans="14:14" x14ac:dyDescent="0.25">
      <c r="N11132" s="26"/>
    </row>
    <row r="11133" spans="14:14" x14ac:dyDescent="0.25">
      <c r="N11133" s="26"/>
    </row>
    <row r="11134" spans="14:14" x14ac:dyDescent="0.25">
      <c r="N11134" s="26"/>
    </row>
    <row r="11135" spans="14:14" x14ac:dyDescent="0.25">
      <c r="N11135" s="26"/>
    </row>
    <row r="11136" spans="14:14" x14ac:dyDescent="0.25">
      <c r="N11136" s="26"/>
    </row>
    <row r="11137" spans="14:14" x14ac:dyDescent="0.25">
      <c r="N11137" s="26"/>
    </row>
    <row r="11138" spans="14:14" x14ac:dyDescent="0.25">
      <c r="N11138" s="26"/>
    </row>
    <row r="11139" spans="14:14" x14ac:dyDescent="0.25">
      <c r="N11139" s="26"/>
    </row>
    <row r="11140" spans="14:14" x14ac:dyDescent="0.25">
      <c r="N11140" s="26"/>
    </row>
    <row r="11141" spans="14:14" x14ac:dyDescent="0.25">
      <c r="N11141" s="26"/>
    </row>
    <row r="11142" spans="14:14" x14ac:dyDescent="0.25">
      <c r="N11142" s="26"/>
    </row>
    <row r="11143" spans="14:14" x14ac:dyDescent="0.25">
      <c r="N11143" s="26"/>
    </row>
    <row r="11144" spans="14:14" x14ac:dyDescent="0.25">
      <c r="N11144" s="26"/>
    </row>
    <row r="11145" spans="14:14" x14ac:dyDescent="0.25">
      <c r="N11145" s="26"/>
    </row>
    <row r="11146" spans="14:14" x14ac:dyDescent="0.25">
      <c r="N11146" s="26"/>
    </row>
    <row r="11147" spans="14:14" x14ac:dyDescent="0.25">
      <c r="N11147" s="26"/>
    </row>
    <row r="11148" spans="14:14" x14ac:dyDescent="0.25">
      <c r="N11148" s="26"/>
    </row>
    <row r="11149" spans="14:14" x14ac:dyDescent="0.25">
      <c r="N11149" s="26"/>
    </row>
    <row r="11150" spans="14:14" x14ac:dyDescent="0.25">
      <c r="N11150" s="26"/>
    </row>
    <row r="11151" spans="14:14" x14ac:dyDescent="0.25">
      <c r="N11151" s="26"/>
    </row>
    <row r="11152" spans="14:14" x14ac:dyDescent="0.25">
      <c r="N11152" s="26"/>
    </row>
    <row r="11153" spans="14:14" x14ac:dyDescent="0.25">
      <c r="N11153" s="26"/>
    </row>
    <row r="11154" spans="14:14" x14ac:dyDescent="0.25">
      <c r="N11154" s="26"/>
    </row>
    <row r="11155" spans="14:14" x14ac:dyDescent="0.25">
      <c r="N11155" s="26"/>
    </row>
    <row r="11156" spans="14:14" x14ac:dyDescent="0.25">
      <c r="N11156" s="26"/>
    </row>
    <row r="11157" spans="14:14" x14ac:dyDescent="0.25">
      <c r="N11157" s="26"/>
    </row>
    <row r="11158" spans="14:14" x14ac:dyDescent="0.25">
      <c r="N11158" s="26"/>
    </row>
    <row r="11159" spans="14:14" x14ac:dyDescent="0.25">
      <c r="N11159" s="26"/>
    </row>
    <row r="11160" spans="14:14" x14ac:dyDescent="0.25">
      <c r="N11160" s="26"/>
    </row>
    <row r="11161" spans="14:14" x14ac:dyDescent="0.25">
      <c r="N11161" s="26"/>
    </row>
    <row r="11162" spans="14:14" x14ac:dyDescent="0.25">
      <c r="N11162" s="26"/>
    </row>
    <row r="11163" spans="14:14" x14ac:dyDescent="0.25">
      <c r="N11163" s="26"/>
    </row>
    <row r="11164" spans="14:14" x14ac:dyDescent="0.25">
      <c r="N11164" s="26"/>
    </row>
    <row r="11165" spans="14:14" x14ac:dyDescent="0.25">
      <c r="N11165" s="26"/>
    </row>
    <row r="11166" spans="14:14" x14ac:dyDescent="0.25">
      <c r="N11166" s="26"/>
    </row>
    <row r="11167" spans="14:14" x14ac:dyDescent="0.25">
      <c r="N11167" s="26"/>
    </row>
    <row r="11168" spans="14:14" x14ac:dyDescent="0.25">
      <c r="N11168" s="26"/>
    </row>
    <row r="11169" spans="14:14" x14ac:dyDescent="0.25">
      <c r="N11169" s="26"/>
    </row>
    <row r="11170" spans="14:14" x14ac:dyDescent="0.25">
      <c r="N11170" s="26"/>
    </row>
    <row r="11171" spans="14:14" x14ac:dyDescent="0.25">
      <c r="N11171" s="26"/>
    </row>
    <row r="11172" spans="14:14" x14ac:dyDescent="0.25">
      <c r="N11172" s="26"/>
    </row>
    <row r="11173" spans="14:14" x14ac:dyDescent="0.25">
      <c r="N11173" s="26"/>
    </row>
    <row r="11174" spans="14:14" x14ac:dyDescent="0.25">
      <c r="N11174" s="26"/>
    </row>
    <row r="11175" spans="14:14" x14ac:dyDescent="0.25">
      <c r="N11175" s="26"/>
    </row>
    <row r="11176" spans="14:14" x14ac:dyDescent="0.25">
      <c r="N11176" s="26"/>
    </row>
    <row r="11177" spans="14:14" x14ac:dyDescent="0.25">
      <c r="N11177" s="26"/>
    </row>
    <row r="11178" spans="14:14" x14ac:dyDescent="0.25">
      <c r="N11178" s="26"/>
    </row>
    <row r="11179" spans="14:14" x14ac:dyDescent="0.25">
      <c r="N11179" s="26"/>
    </row>
    <row r="11180" spans="14:14" x14ac:dyDescent="0.25">
      <c r="N11180" s="26"/>
    </row>
    <row r="11181" spans="14:14" x14ac:dyDescent="0.25">
      <c r="N11181" s="26"/>
    </row>
    <row r="11182" spans="14:14" x14ac:dyDescent="0.25">
      <c r="N11182" s="26"/>
    </row>
    <row r="11183" spans="14:14" x14ac:dyDescent="0.25">
      <c r="N11183" s="26"/>
    </row>
    <row r="11184" spans="14:14" x14ac:dyDescent="0.25">
      <c r="N11184" s="26"/>
    </row>
    <row r="11185" spans="14:14" x14ac:dyDescent="0.25">
      <c r="N11185" s="26"/>
    </row>
    <row r="11186" spans="14:14" x14ac:dyDescent="0.25">
      <c r="N11186" s="26"/>
    </row>
    <row r="11187" spans="14:14" x14ac:dyDescent="0.25">
      <c r="N11187" s="26"/>
    </row>
    <row r="11188" spans="14:14" x14ac:dyDescent="0.25">
      <c r="N11188" s="26"/>
    </row>
    <row r="11189" spans="14:14" x14ac:dyDescent="0.25">
      <c r="N11189" s="26"/>
    </row>
    <row r="11190" spans="14:14" x14ac:dyDescent="0.25">
      <c r="N11190" s="26"/>
    </row>
    <row r="11191" spans="14:14" x14ac:dyDescent="0.25">
      <c r="N11191" s="26"/>
    </row>
    <row r="11192" spans="14:14" x14ac:dyDescent="0.25">
      <c r="N11192" s="26"/>
    </row>
    <row r="11193" spans="14:14" x14ac:dyDescent="0.25">
      <c r="N11193" s="26"/>
    </row>
    <row r="11194" spans="14:14" x14ac:dyDescent="0.25">
      <c r="N11194" s="26"/>
    </row>
    <row r="11195" spans="14:14" x14ac:dyDescent="0.25">
      <c r="N11195" s="26"/>
    </row>
    <row r="11196" spans="14:14" x14ac:dyDescent="0.25">
      <c r="N11196" s="26"/>
    </row>
    <row r="11197" spans="14:14" x14ac:dyDescent="0.25">
      <c r="N11197" s="26"/>
    </row>
    <row r="11198" spans="14:14" x14ac:dyDescent="0.25">
      <c r="N11198" s="26"/>
    </row>
    <row r="11199" spans="14:14" x14ac:dyDescent="0.25">
      <c r="N11199" s="26"/>
    </row>
    <row r="11200" spans="14:14" x14ac:dyDescent="0.25">
      <c r="N11200" s="26"/>
    </row>
    <row r="11201" spans="14:14" x14ac:dyDescent="0.25">
      <c r="N11201" s="26"/>
    </row>
    <row r="11202" spans="14:14" x14ac:dyDescent="0.25">
      <c r="N11202" s="26"/>
    </row>
    <row r="11203" spans="14:14" x14ac:dyDescent="0.25">
      <c r="N11203" s="26"/>
    </row>
    <row r="11204" spans="14:14" x14ac:dyDescent="0.25">
      <c r="N11204" s="26"/>
    </row>
    <row r="11205" spans="14:14" x14ac:dyDescent="0.25">
      <c r="N11205" s="26"/>
    </row>
    <row r="11206" spans="14:14" x14ac:dyDescent="0.25">
      <c r="N11206" s="26"/>
    </row>
    <row r="11207" spans="14:14" x14ac:dyDescent="0.25">
      <c r="N11207" s="26"/>
    </row>
    <row r="11208" spans="14:14" x14ac:dyDescent="0.25">
      <c r="N11208" s="26"/>
    </row>
    <row r="11209" spans="14:14" x14ac:dyDescent="0.25">
      <c r="N11209" s="26"/>
    </row>
    <row r="11210" spans="14:14" x14ac:dyDescent="0.25">
      <c r="N11210" s="26"/>
    </row>
    <row r="11211" spans="14:14" x14ac:dyDescent="0.25">
      <c r="N11211" s="26"/>
    </row>
    <row r="11212" spans="14:14" x14ac:dyDescent="0.25">
      <c r="N11212" s="26"/>
    </row>
    <row r="11213" spans="14:14" x14ac:dyDescent="0.25">
      <c r="N11213" s="26"/>
    </row>
    <row r="11214" spans="14:14" x14ac:dyDescent="0.25">
      <c r="N11214" s="26"/>
    </row>
    <row r="11215" spans="14:14" x14ac:dyDescent="0.25">
      <c r="N11215" s="26"/>
    </row>
    <row r="11216" spans="14:14" x14ac:dyDescent="0.25">
      <c r="N11216" s="26"/>
    </row>
    <row r="11217" spans="14:14" x14ac:dyDescent="0.25">
      <c r="N11217" s="26"/>
    </row>
    <row r="11218" spans="14:14" x14ac:dyDescent="0.25">
      <c r="N11218" s="26"/>
    </row>
    <row r="11219" spans="14:14" x14ac:dyDescent="0.25">
      <c r="N11219" s="26"/>
    </row>
    <row r="11220" spans="14:14" x14ac:dyDescent="0.25">
      <c r="N11220" s="26"/>
    </row>
    <row r="11221" spans="14:14" x14ac:dyDescent="0.25">
      <c r="N11221" s="26"/>
    </row>
    <row r="11222" spans="14:14" x14ac:dyDescent="0.25">
      <c r="N11222" s="26"/>
    </row>
    <row r="11223" spans="14:14" x14ac:dyDescent="0.25">
      <c r="N11223" s="26"/>
    </row>
    <row r="11224" spans="14:14" x14ac:dyDescent="0.25">
      <c r="N11224" s="26"/>
    </row>
    <row r="11225" spans="14:14" x14ac:dyDescent="0.25">
      <c r="N11225" s="26"/>
    </row>
    <row r="11226" spans="14:14" x14ac:dyDescent="0.25">
      <c r="N11226" s="26"/>
    </row>
    <row r="11227" spans="14:14" x14ac:dyDescent="0.25">
      <c r="N11227" s="26"/>
    </row>
    <row r="11228" spans="14:14" x14ac:dyDescent="0.25">
      <c r="N11228" s="26"/>
    </row>
    <row r="11229" spans="14:14" x14ac:dyDescent="0.25">
      <c r="N11229" s="26"/>
    </row>
    <row r="11230" spans="14:14" x14ac:dyDescent="0.25">
      <c r="N11230" s="26"/>
    </row>
    <row r="11231" spans="14:14" x14ac:dyDescent="0.25">
      <c r="N11231" s="26"/>
    </row>
    <row r="11232" spans="14:14" x14ac:dyDescent="0.25">
      <c r="N11232" s="26"/>
    </row>
    <row r="11233" spans="14:14" x14ac:dyDescent="0.25">
      <c r="N11233" s="26"/>
    </row>
    <row r="11234" spans="14:14" x14ac:dyDescent="0.25">
      <c r="N11234" s="26"/>
    </row>
    <row r="11235" spans="14:14" x14ac:dyDescent="0.25">
      <c r="N11235" s="26"/>
    </row>
    <row r="11236" spans="14:14" x14ac:dyDescent="0.25">
      <c r="N11236" s="26"/>
    </row>
    <row r="11237" spans="14:14" x14ac:dyDescent="0.25">
      <c r="N11237" s="26"/>
    </row>
    <row r="11238" spans="14:14" x14ac:dyDescent="0.25">
      <c r="N11238" s="26"/>
    </row>
    <row r="11239" spans="14:14" x14ac:dyDescent="0.25">
      <c r="N11239" s="26"/>
    </row>
    <row r="11240" spans="14:14" x14ac:dyDescent="0.25">
      <c r="N11240" s="26"/>
    </row>
    <row r="11241" spans="14:14" x14ac:dyDescent="0.25">
      <c r="N11241" s="26"/>
    </row>
    <row r="11242" spans="14:14" x14ac:dyDescent="0.25">
      <c r="N11242" s="26"/>
    </row>
    <row r="11243" spans="14:14" x14ac:dyDescent="0.25">
      <c r="N11243" s="26"/>
    </row>
    <row r="11244" spans="14:14" x14ac:dyDescent="0.25">
      <c r="N11244" s="26"/>
    </row>
    <row r="11245" spans="14:14" x14ac:dyDescent="0.25">
      <c r="N11245" s="26"/>
    </row>
    <row r="11246" spans="14:14" x14ac:dyDescent="0.25">
      <c r="N11246" s="26"/>
    </row>
    <row r="11247" spans="14:14" x14ac:dyDescent="0.25">
      <c r="N11247" s="26"/>
    </row>
    <row r="11248" spans="14:14" x14ac:dyDescent="0.25">
      <c r="N11248" s="26"/>
    </row>
    <row r="11249" spans="14:14" x14ac:dyDescent="0.25">
      <c r="N11249" s="26"/>
    </row>
    <row r="11250" spans="14:14" x14ac:dyDescent="0.25">
      <c r="N11250" s="26"/>
    </row>
    <row r="11251" spans="14:14" x14ac:dyDescent="0.25">
      <c r="N11251" s="26"/>
    </row>
    <row r="11252" spans="14:14" x14ac:dyDescent="0.25">
      <c r="N11252" s="26"/>
    </row>
    <row r="11253" spans="14:14" x14ac:dyDescent="0.25">
      <c r="N11253" s="26"/>
    </row>
    <row r="11254" spans="14:14" x14ac:dyDescent="0.25">
      <c r="N11254" s="26"/>
    </row>
    <row r="11255" spans="14:14" x14ac:dyDescent="0.25">
      <c r="N11255" s="26"/>
    </row>
    <row r="11256" spans="14:14" x14ac:dyDescent="0.25">
      <c r="N11256" s="26"/>
    </row>
    <row r="11257" spans="14:14" x14ac:dyDescent="0.25">
      <c r="N11257" s="26"/>
    </row>
    <row r="11258" spans="14:14" x14ac:dyDescent="0.25">
      <c r="N11258" s="26"/>
    </row>
    <row r="11259" spans="14:14" x14ac:dyDescent="0.25">
      <c r="N11259" s="26"/>
    </row>
    <row r="11260" spans="14:14" x14ac:dyDescent="0.25">
      <c r="N11260" s="26"/>
    </row>
    <row r="11261" spans="14:14" x14ac:dyDescent="0.25">
      <c r="N11261" s="26"/>
    </row>
    <row r="11262" spans="14:14" x14ac:dyDescent="0.25">
      <c r="N11262" s="26"/>
    </row>
    <row r="11263" spans="14:14" x14ac:dyDescent="0.25">
      <c r="N11263" s="26"/>
    </row>
    <row r="11264" spans="14:14" x14ac:dyDescent="0.25">
      <c r="N11264" s="26"/>
    </row>
    <row r="11265" spans="14:14" x14ac:dyDescent="0.25">
      <c r="N11265" s="26"/>
    </row>
    <row r="11266" spans="14:14" x14ac:dyDescent="0.25">
      <c r="N11266" s="26"/>
    </row>
    <row r="11267" spans="14:14" x14ac:dyDescent="0.25">
      <c r="N11267" s="26"/>
    </row>
    <row r="11268" spans="14:14" x14ac:dyDescent="0.25">
      <c r="N11268" s="26"/>
    </row>
    <row r="11269" spans="14:14" x14ac:dyDescent="0.25">
      <c r="N11269" s="26"/>
    </row>
    <row r="11270" spans="14:14" x14ac:dyDescent="0.25">
      <c r="N11270" s="26"/>
    </row>
    <row r="11271" spans="14:14" x14ac:dyDescent="0.25">
      <c r="N11271" s="26"/>
    </row>
    <row r="11272" spans="14:14" x14ac:dyDescent="0.25">
      <c r="N11272" s="26"/>
    </row>
    <row r="11273" spans="14:14" x14ac:dyDescent="0.25">
      <c r="N11273" s="26"/>
    </row>
    <row r="11274" spans="14:14" x14ac:dyDescent="0.25">
      <c r="N11274" s="26"/>
    </row>
    <row r="11275" spans="14:14" x14ac:dyDescent="0.25">
      <c r="N11275" s="26"/>
    </row>
    <row r="11276" spans="14:14" x14ac:dyDescent="0.25">
      <c r="N11276" s="26"/>
    </row>
    <row r="11277" spans="14:14" x14ac:dyDescent="0.25">
      <c r="N11277" s="26"/>
    </row>
    <row r="11278" spans="14:14" x14ac:dyDescent="0.25">
      <c r="N11278" s="26"/>
    </row>
    <row r="11279" spans="14:14" x14ac:dyDescent="0.25">
      <c r="N11279" s="26"/>
    </row>
    <row r="11280" spans="14:14" x14ac:dyDescent="0.25">
      <c r="N11280" s="26"/>
    </row>
    <row r="11281" spans="14:14" x14ac:dyDescent="0.25">
      <c r="N11281" s="26"/>
    </row>
    <row r="11282" spans="14:14" x14ac:dyDescent="0.25">
      <c r="N11282" s="26"/>
    </row>
    <row r="11283" spans="14:14" x14ac:dyDescent="0.25">
      <c r="N11283" s="26"/>
    </row>
    <row r="11284" spans="14:14" x14ac:dyDescent="0.25">
      <c r="N11284" s="26"/>
    </row>
    <row r="11285" spans="14:14" x14ac:dyDescent="0.25">
      <c r="N11285" s="26"/>
    </row>
    <row r="11286" spans="14:14" x14ac:dyDescent="0.25">
      <c r="N11286" s="26"/>
    </row>
    <row r="11287" spans="14:14" x14ac:dyDescent="0.25">
      <c r="N11287" s="26"/>
    </row>
    <row r="11288" spans="14:14" x14ac:dyDescent="0.25">
      <c r="N11288" s="26"/>
    </row>
    <row r="11289" spans="14:14" x14ac:dyDescent="0.25">
      <c r="N11289" s="26"/>
    </row>
    <row r="11290" spans="14:14" x14ac:dyDescent="0.25">
      <c r="N11290" s="26"/>
    </row>
    <row r="11291" spans="14:14" x14ac:dyDescent="0.25">
      <c r="N11291" s="26"/>
    </row>
    <row r="11292" spans="14:14" x14ac:dyDescent="0.25">
      <c r="N11292" s="26"/>
    </row>
    <row r="11293" spans="14:14" x14ac:dyDescent="0.25">
      <c r="N11293" s="26"/>
    </row>
    <row r="11294" spans="14:14" x14ac:dyDescent="0.25">
      <c r="N11294" s="26"/>
    </row>
    <row r="11295" spans="14:14" x14ac:dyDescent="0.25">
      <c r="N11295" s="26"/>
    </row>
    <row r="11296" spans="14:14" x14ac:dyDescent="0.25">
      <c r="N11296" s="26"/>
    </row>
    <row r="11297" spans="14:14" x14ac:dyDescent="0.25">
      <c r="N11297" s="26"/>
    </row>
    <row r="11298" spans="14:14" x14ac:dyDescent="0.25">
      <c r="N11298" s="26"/>
    </row>
    <row r="11299" spans="14:14" x14ac:dyDescent="0.25">
      <c r="N11299" s="26"/>
    </row>
    <row r="11300" spans="14:14" x14ac:dyDescent="0.25">
      <c r="N11300" s="26"/>
    </row>
    <row r="11301" spans="14:14" x14ac:dyDescent="0.25">
      <c r="N11301" s="26"/>
    </row>
    <row r="11302" spans="14:14" x14ac:dyDescent="0.25">
      <c r="N11302" s="26"/>
    </row>
    <row r="11303" spans="14:14" x14ac:dyDescent="0.25">
      <c r="N11303" s="26"/>
    </row>
    <row r="11304" spans="14:14" x14ac:dyDescent="0.25">
      <c r="N11304" s="26"/>
    </row>
    <row r="11305" spans="14:14" x14ac:dyDescent="0.25">
      <c r="N11305" s="26"/>
    </row>
    <row r="11306" spans="14:14" x14ac:dyDescent="0.25">
      <c r="N11306" s="26"/>
    </row>
    <row r="11307" spans="14:14" x14ac:dyDescent="0.25">
      <c r="N11307" s="26"/>
    </row>
    <row r="11308" spans="14:14" x14ac:dyDescent="0.25">
      <c r="N11308" s="26"/>
    </row>
    <row r="11309" spans="14:14" x14ac:dyDescent="0.25">
      <c r="N11309" s="26"/>
    </row>
    <row r="11310" spans="14:14" x14ac:dyDescent="0.25">
      <c r="N11310" s="26"/>
    </row>
    <row r="11311" spans="14:14" x14ac:dyDescent="0.25">
      <c r="N11311" s="26"/>
    </row>
    <row r="11312" spans="14:14" x14ac:dyDescent="0.25">
      <c r="N11312" s="26"/>
    </row>
    <row r="11313" spans="14:14" x14ac:dyDescent="0.25">
      <c r="N11313" s="26"/>
    </row>
    <row r="11314" spans="14:14" x14ac:dyDescent="0.25">
      <c r="N11314" s="26"/>
    </row>
    <row r="11315" spans="14:14" x14ac:dyDescent="0.25">
      <c r="N11315" s="26"/>
    </row>
    <row r="11316" spans="14:14" x14ac:dyDescent="0.25">
      <c r="N11316" s="26"/>
    </row>
    <row r="11317" spans="14:14" x14ac:dyDescent="0.25">
      <c r="N11317" s="26"/>
    </row>
    <row r="11318" spans="14:14" x14ac:dyDescent="0.25">
      <c r="N11318" s="26"/>
    </row>
    <row r="11319" spans="14:14" x14ac:dyDescent="0.25">
      <c r="N11319" s="26"/>
    </row>
    <row r="11320" spans="14:14" x14ac:dyDescent="0.25">
      <c r="N11320" s="26"/>
    </row>
    <row r="11321" spans="14:14" x14ac:dyDescent="0.25">
      <c r="N11321" s="26"/>
    </row>
    <row r="11322" spans="14:14" x14ac:dyDescent="0.25">
      <c r="N11322" s="26"/>
    </row>
    <row r="11323" spans="14:14" x14ac:dyDescent="0.25">
      <c r="N11323" s="26"/>
    </row>
    <row r="11324" spans="14:14" x14ac:dyDescent="0.25">
      <c r="N11324" s="26"/>
    </row>
    <row r="11325" spans="14:14" x14ac:dyDescent="0.25">
      <c r="N11325" s="26"/>
    </row>
    <row r="11326" spans="14:14" x14ac:dyDescent="0.25">
      <c r="N11326" s="26"/>
    </row>
    <row r="11327" spans="14:14" x14ac:dyDescent="0.25">
      <c r="N11327" s="26"/>
    </row>
    <row r="11328" spans="14:14" x14ac:dyDescent="0.25">
      <c r="N11328" s="26"/>
    </row>
    <row r="11329" spans="14:14" x14ac:dyDescent="0.25">
      <c r="N11329" s="26"/>
    </row>
    <row r="11330" spans="14:14" x14ac:dyDescent="0.25">
      <c r="N11330" s="26"/>
    </row>
    <row r="11331" spans="14:14" x14ac:dyDescent="0.25">
      <c r="N11331" s="26"/>
    </row>
    <row r="11332" spans="14:14" x14ac:dyDescent="0.25">
      <c r="N11332" s="26"/>
    </row>
    <row r="11333" spans="14:14" x14ac:dyDescent="0.25">
      <c r="N11333" s="26"/>
    </row>
    <row r="11334" spans="14:14" x14ac:dyDescent="0.25">
      <c r="N11334" s="26"/>
    </row>
    <row r="11335" spans="14:14" x14ac:dyDescent="0.25">
      <c r="N11335" s="26"/>
    </row>
    <row r="11336" spans="14:14" x14ac:dyDescent="0.25">
      <c r="N11336" s="26"/>
    </row>
    <row r="11337" spans="14:14" x14ac:dyDescent="0.25">
      <c r="N11337" s="26"/>
    </row>
    <row r="11338" spans="14:14" x14ac:dyDescent="0.25">
      <c r="N11338" s="26"/>
    </row>
    <row r="11339" spans="14:14" x14ac:dyDescent="0.25">
      <c r="N11339" s="26"/>
    </row>
    <row r="11340" spans="14:14" x14ac:dyDescent="0.25">
      <c r="N11340" s="26"/>
    </row>
    <row r="11341" spans="14:14" x14ac:dyDescent="0.25">
      <c r="N11341" s="26"/>
    </row>
    <row r="11342" spans="14:14" x14ac:dyDescent="0.25">
      <c r="N11342" s="26"/>
    </row>
    <row r="11343" spans="14:14" x14ac:dyDescent="0.25">
      <c r="N11343" s="26"/>
    </row>
    <row r="11344" spans="14:14" x14ac:dyDescent="0.25">
      <c r="N11344" s="26"/>
    </row>
    <row r="11345" spans="14:14" x14ac:dyDescent="0.25">
      <c r="N11345" s="26"/>
    </row>
    <row r="11346" spans="14:14" x14ac:dyDescent="0.25">
      <c r="N11346" s="26"/>
    </row>
    <row r="11347" spans="14:14" x14ac:dyDescent="0.25">
      <c r="N11347" s="26"/>
    </row>
    <row r="11348" spans="14:14" x14ac:dyDescent="0.25">
      <c r="N11348" s="26"/>
    </row>
    <row r="11349" spans="14:14" x14ac:dyDescent="0.25">
      <c r="N11349" s="26"/>
    </row>
    <row r="11350" spans="14:14" x14ac:dyDescent="0.25">
      <c r="N11350" s="26"/>
    </row>
    <row r="11351" spans="14:14" x14ac:dyDescent="0.25">
      <c r="N11351" s="26"/>
    </row>
    <row r="11352" spans="14:14" x14ac:dyDescent="0.25">
      <c r="N11352" s="26"/>
    </row>
    <row r="11353" spans="14:14" x14ac:dyDescent="0.25">
      <c r="N11353" s="26"/>
    </row>
    <row r="11354" spans="14:14" x14ac:dyDescent="0.25">
      <c r="N11354" s="26"/>
    </row>
    <row r="11355" spans="14:14" x14ac:dyDescent="0.25">
      <c r="N11355" s="26"/>
    </row>
    <row r="11356" spans="14:14" x14ac:dyDescent="0.25">
      <c r="N11356" s="26"/>
    </row>
    <row r="11357" spans="14:14" x14ac:dyDescent="0.25">
      <c r="N11357" s="26"/>
    </row>
    <row r="11358" spans="14:14" x14ac:dyDescent="0.25">
      <c r="N11358" s="26"/>
    </row>
    <row r="11359" spans="14:14" x14ac:dyDescent="0.25">
      <c r="N11359" s="26"/>
    </row>
    <row r="11360" spans="14:14" x14ac:dyDescent="0.25">
      <c r="N11360" s="26"/>
    </row>
    <row r="11361" spans="14:14" x14ac:dyDescent="0.25">
      <c r="N11361" s="26"/>
    </row>
    <row r="11362" spans="14:14" x14ac:dyDescent="0.25">
      <c r="N11362" s="26"/>
    </row>
    <row r="11363" spans="14:14" x14ac:dyDescent="0.25">
      <c r="N11363" s="26"/>
    </row>
    <row r="11364" spans="14:14" x14ac:dyDescent="0.25">
      <c r="N11364" s="26"/>
    </row>
    <row r="11365" spans="14:14" x14ac:dyDescent="0.25">
      <c r="N11365" s="26"/>
    </row>
    <row r="11366" spans="14:14" x14ac:dyDescent="0.25">
      <c r="N11366" s="26"/>
    </row>
    <row r="11367" spans="14:14" x14ac:dyDescent="0.25">
      <c r="N11367" s="26"/>
    </row>
    <row r="11368" spans="14:14" x14ac:dyDescent="0.25">
      <c r="N11368" s="26"/>
    </row>
    <row r="11369" spans="14:14" x14ac:dyDescent="0.25">
      <c r="N11369" s="26"/>
    </row>
    <row r="11370" spans="14:14" x14ac:dyDescent="0.25">
      <c r="N11370" s="26"/>
    </row>
    <row r="11371" spans="14:14" x14ac:dyDescent="0.25">
      <c r="N11371" s="26"/>
    </row>
    <row r="11372" spans="14:14" x14ac:dyDescent="0.25">
      <c r="N11372" s="26"/>
    </row>
    <row r="11373" spans="14:14" x14ac:dyDescent="0.25">
      <c r="N11373" s="26"/>
    </row>
    <row r="11374" spans="14:14" x14ac:dyDescent="0.25">
      <c r="N11374" s="26"/>
    </row>
    <row r="11375" spans="14:14" x14ac:dyDescent="0.25">
      <c r="N11375" s="26"/>
    </row>
    <row r="11376" spans="14:14" x14ac:dyDescent="0.25">
      <c r="N11376" s="26"/>
    </row>
    <row r="11377" spans="14:14" x14ac:dyDescent="0.25">
      <c r="N11377" s="26"/>
    </row>
    <row r="11378" spans="14:14" x14ac:dyDescent="0.25">
      <c r="N11378" s="26"/>
    </row>
    <row r="11379" spans="14:14" x14ac:dyDescent="0.25">
      <c r="N11379" s="26"/>
    </row>
    <row r="11380" spans="14:14" x14ac:dyDescent="0.25">
      <c r="N11380" s="26"/>
    </row>
    <row r="11381" spans="14:14" x14ac:dyDescent="0.25">
      <c r="N11381" s="26"/>
    </row>
    <row r="11382" spans="14:14" x14ac:dyDescent="0.25">
      <c r="N11382" s="26"/>
    </row>
    <row r="11383" spans="14:14" x14ac:dyDescent="0.25">
      <c r="N11383" s="26"/>
    </row>
    <row r="11384" spans="14:14" x14ac:dyDescent="0.25">
      <c r="N11384" s="26"/>
    </row>
    <row r="11385" spans="14:14" x14ac:dyDescent="0.25">
      <c r="N11385" s="26"/>
    </row>
    <row r="11386" spans="14:14" x14ac:dyDescent="0.25">
      <c r="N11386" s="26"/>
    </row>
    <row r="11387" spans="14:14" x14ac:dyDescent="0.25">
      <c r="N11387" s="26"/>
    </row>
    <row r="11388" spans="14:14" x14ac:dyDescent="0.25">
      <c r="N11388" s="26"/>
    </row>
    <row r="11389" spans="14:14" x14ac:dyDescent="0.25">
      <c r="N11389" s="26"/>
    </row>
    <row r="11390" spans="14:14" x14ac:dyDescent="0.25">
      <c r="N11390" s="26"/>
    </row>
    <row r="11391" spans="14:14" x14ac:dyDescent="0.25">
      <c r="N11391" s="26"/>
    </row>
    <row r="11392" spans="14:14" x14ac:dyDescent="0.25">
      <c r="N11392" s="26"/>
    </row>
    <row r="11393" spans="14:14" x14ac:dyDescent="0.25">
      <c r="N11393" s="26"/>
    </row>
    <row r="11394" spans="14:14" x14ac:dyDescent="0.25">
      <c r="N11394" s="26"/>
    </row>
    <row r="11395" spans="14:14" x14ac:dyDescent="0.25">
      <c r="N11395" s="26"/>
    </row>
    <row r="11396" spans="14:14" x14ac:dyDescent="0.25">
      <c r="N11396" s="26"/>
    </row>
    <row r="11397" spans="14:14" x14ac:dyDescent="0.25">
      <c r="N11397" s="26"/>
    </row>
    <row r="11398" spans="14:14" x14ac:dyDescent="0.25">
      <c r="N11398" s="26"/>
    </row>
    <row r="11399" spans="14:14" x14ac:dyDescent="0.25">
      <c r="N11399" s="26"/>
    </row>
    <row r="11400" spans="14:14" x14ac:dyDescent="0.25">
      <c r="N11400" s="26"/>
    </row>
    <row r="11401" spans="14:14" x14ac:dyDescent="0.25">
      <c r="N11401" s="26"/>
    </row>
    <row r="11402" spans="14:14" x14ac:dyDescent="0.25">
      <c r="N11402" s="26"/>
    </row>
    <row r="11403" spans="14:14" x14ac:dyDescent="0.25">
      <c r="N11403" s="26"/>
    </row>
    <row r="11404" spans="14:14" x14ac:dyDescent="0.25">
      <c r="N11404" s="26"/>
    </row>
    <row r="11405" spans="14:14" x14ac:dyDescent="0.25">
      <c r="N11405" s="26"/>
    </row>
    <row r="11406" spans="14:14" x14ac:dyDescent="0.25">
      <c r="N11406" s="26"/>
    </row>
    <row r="11407" spans="14:14" x14ac:dyDescent="0.25">
      <c r="N11407" s="26"/>
    </row>
    <row r="11408" spans="14:14" x14ac:dyDescent="0.25">
      <c r="N11408" s="26"/>
    </row>
    <row r="11409" spans="14:14" x14ac:dyDescent="0.25">
      <c r="N11409" s="26"/>
    </row>
    <row r="11410" spans="14:14" x14ac:dyDescent="0.25">
      <c r="N11410" s="26"/>
    </row>
    <row r="11411" spans="14:14" x14ac:dyDescent="0.25">
      <c r="N11411" s="26"/>
    </row>
    <row r="11412" spans="14:14" x14ac:dyDescent="0.25">
      <c r="N11412" s="26"/>
    </row>
    <row r="11413" spans="14:14" x14ac:dyDescent="0.25">
      <c r="N11413" s="26"/>
    </row>
    <row r="11414" spans="14:14" x14ac:dyDescent="0.25">
      <c r="N11414" s="26"/>
    </row>
    <row r="11415" spans="14:14" x14ac:dyDescent="0.25">
      <c r="N11415" s="26"/>
    </row>
    <row r="11416" spans="14:14" x14ac:dyDescent="0.25">
      <c r="N11416" s="26"/>
    </row>
    <row r="11417" spans="14:14" x14ac:dyDescent="0.25">
      <c r="N11417" s="26"/>
    </row>
    <row r="11418" spans="14:14" x14ac:dyDescent="0.25">
      <c r="N11418" s="26"/>
    </row>
    <row r="11419" spans="14:14" x14ac:dyDescent="0.25">
      <c r="N11419" s="26"/>
    </row>
    <row r="11420" spans="14:14" x14ac:dyDescent="0.25">
      <c r="N11420" s="26"/>
    </row>
    <row r="11421" spans="14:14" x14ac:dyDescent="0.25">
      <c r="N11421" s="26"/>
    </row>
    <row r="11422" spans="14:14" x14ac:dyDescent="0.25">
      <c r="N11422" s="26"/>
    </row>
    <row r="11423" spans="14:14" x14ac:dyDescent="0.25">
      <c r="N11423" s="26"/>
    </row>
    <row r="11424" spans="14:14" x14ac:dyDescent="0.25">
      <c r="N11424" s="26"/>
    </row>
    <row r="11425" spans="14:14" x14ac:dyDescent="0.25">
      <c r="N11425" s="26"/>
    </row>
    <row r="11426" spans="14:14" x14ac:dyDescent="0.25">
      <c r="N11426" s="26"/>
    </row>
    <row r="11427" spans="14:14" x14ac:dyDescent="0.25">
      <c r="N11427" s="26"/>
    </row>
    <row r="11428" spans="14:14" x14ac:dyDescent="0.25">
      <c r="N11428" s="26"/>
    </row>
    <row r="11429" spans="14:14" x14ac:dyDescent="0.25">
      <c r="N11429" s="26"/>
    </row>
    <row r="11430" spans="14:14" x14ac:dyDescent="0.25">
      <c r="N11430" s="26"/>
    </row>
    <row r="11431" spans="14:14" x14ac:dyDescent="0.25">
      <c r="N11431" s="26"/>
    </row>
    <row r="11432" spans="14:14" x14ac:dyDescent="0.25">
      <c r="N11432" s="26"/>
    </row>
    <row r="11433" spans="14:14" x14ac:dyDescent="0.25">
      <c r="N11433" s="26"/>
    </row>
    <row r="11434" spans="14:14" x14ac:dyDescent="0.25">
      <c r="N11434" s="26"/>
    </row>
    <row r="11435" spans="14:14" x14ac:dyDescent="0.25">
      <c r="N11435" s="26"/>
    </row>
    <row r="11436" spans="14:14" x14ac:dyDescent="0.25">
      <c r="N11436" s="26"/>
    </row>
    <row r="11437" spans="14:14" x14ac:dyDescent="0.25">
      <c r="N11437" s="26"/>
    </row>
    <row r="11438" spans="14:14" x14ac:dyDescent="0.25">
      <c r="N11438" s="26"/>
    </row>
    <row r="11439" spans="14:14" x14ac:dyDescent="0.25">
      <c r="N11439" s="26"/>
    </row>
    <row r="11440" spans="14:14" x14ac:dyDescent="0.25">
      <c r="N11440" s="26"/>
    </row>
    <row r="11441" spans="14:14" x14ac:dyDescent="0.25">
      <c r="N11441" s="26"/>
    </row>
    <row r="11442" spans="14:14" x14ac:dyDescent="0.25">
      <c r="N11442" s="26"/>
    </row>
    <row r="11443" spans="14:14" x14ac:dyDescent="0.25">
      <c r="N11443" s="26"/>
    </row>
    <row r="11444" spans="14:14" x14ac:dyDescent="0.25">
      <c r="N11444" s="26"/>
    </row>
    <row r="11445" spans="14:14" x14ac:dyDescent="0.25">
      <c r="N11445" s="26"/>
    </row>
    <row r="11446" spans="14:14" x14ac:dyDescent="0.25">
      <c r="N11446" s="26"/>
    </row>
    <row r="11447" spans="14:14" x14ac:dyDescent="0.25">
      <c r="N11447" s="26"/>
    </row>
    <row r="11448" spans="14:14" x14ac:dyDescent="0.25">
      <c r="N11448" s="26"/>
    </row>
    <row r="11449" spans="14:14" x14ac:dyDescent="0.25">
      <c r="N11449" s="26"/>
    </row>
    <row r="11450" spans="14:14" x14ac:dyDescent="0.25">
      <c r="N11450" s="26"/>
    </row>
    <row r="11451" spans="14:14" x14ac:dyDescent="0.25">
      <c r="N11451" s="26"/>
    </row>
    <row r="11452" spans="14:14" x14ac:dyDescent="0.25">
      <c r="N11452" s="26"/>
    </row>
    <row r="11453" spans="14:14" x14ac:dyDescent="0.25">
      <c r="N11453" s="26"/>
    </row>
    <row r="11454" spans="14:14" x14ac:dyDescent="0.25">
      <c r="N11454" s="26"/>
    </row>
    <row r="11455" spans="14:14" x14ac:dyDescent="0.25">
      <c r="N11455" s="26"/>
    </row>
    <row r="11456" spans="14:14" x14ac:dyDescent="0.25">
      <c r="N11456" s="26"/>
    </row>
    <row r="11457" spans="14:14" x14ac:dyDescent="0.25">
      <c r="N11457" s="26"/>
    </row>
    <row r="11458" spans="14:14" x14ac:dyDescent="0.25">
      <c r="N11458" s="26"/>
    </row>
    <row r="11459" spans="14:14" x14ac:dyDescent="0.25">
      <c r="N11459" s="26"/>
    </row>
    <row r="11460" spans="14:14" x14ac:dyDescent="0.25">
      <c r="N11460" s="26"/>
    </row>
    <row r="11461" spans="14:14" x14ac:dyDescent="0.25">
      <c r="N11461" s="26"/>
    </row>
    <row r="11462" spans="14:14" x14ac:dyDescent="0.25">
      <c r="N11462" s="26"/>
    </row>
    <row r="11463" spans="14:14" x14ac:dyDescent="0.25">
      <c r="N11463" s="26"/>
    </row>
    <row r="11464" spans="14:14" x14ac:dyDescent="0.25">
      <c r="N11464" s="26"/>
    </row>
    <row r="11465" spans="14:14" x14ac:dyDescent="0.25">
      <c r="N11465" s="26"/>
    </row>
    <row r="11466" spans="14:14" x14ac:dyDescent="0.25">
      <c r="N11466" s="26"/>
    </row>
    <row r="11467" spans="14:14" x14ac:dyDescent="0.25">
      <c r="N11467" s="26"/>
    </row>
    <row r="11468" spans="14:14" x14ac:dyDescent="0.25">
      <c r="N11468" s="26"/>
    </row>
    <row r="11469" spans="14:14" x14ac:dyDescent="0.25">
      <c r="N11469" s="26"/>
    </row>
    <row r="11470" spans="14:14" x14ac:dyDescent="0.25">
      <c r="N11470" s="26"/>
    </row>
    <row r="11471" spans="14:14" x14ac:dyDescent="0.25">
      <c r="N11471" s="26"/>
    </row>
    <row r="11472" spans="14:14" x14ac:dyDescent="0.25">
      <c r="N11472" s="26"/>
    </row>
    <row r="11473" spans="14:14" x14ac:dyDescent="0.25">
      <c r="N11473" s="26"/>
    </row>
    <row r="11474" spans="14:14" x14ac:dyDescent="0.25">
      <c r="N11474" s="26"/>
    </row>
    <row r="11475" spans="14:14" x14ac:dyDescent="0.25">
      <c r="N11475" s="26"/>
    </row>
    <row r="11476" spans="14:14" x14ac:dyDescent="0.25">
      <c r="N11476" s="26"/>
    </row>
    <row r="11477" spans="14:14" x14ac:dyDescent="0.25">
      <c r="N11477" s="26"/>
    </row>
    <row r="11478" spans="14:14" x14ac:dyDescent="0.25">
      <c r="N11478" s="26"/>
    </row>
    <row r="11479" spans="14:14" x14ac:dyDescent="0.25">
      <c r="N11479" s="26"/>
    </row>
    <row r="11480" spans="14:14" x14ac:dyDescent="0.25">
      <c r="N11480" s="26"/>
    </row>
    <row r="11481" spans="14:14" x14ac:dyDescent="0.25">
      <c r="N11481" s="26"/>
    </row>
    <row r="11482" spans="14:14" x14ac:dyDescent="0.25">
      <c r="N11482" s="26"/>
    </row>
    <row r="11483" spans="14:14" x14ac:dyDescent="0.25">
      <c r="N11483" s="26"/>
    </row>
    <row r="11484" spans="14:14" x14ac:dyDescent="0.25">
      <c r="N11484" s="26"/>
    </row>
    <row r="11485" spans="14:14" x14ac:dyDescent="0.25">
      <c r="N11485" s="26"/>
    </row>
    <row r="11486" spans="14:14" x14ac:dyDescent="0.25">
      <c r="N11486" s="26"/>
    </row>
    <row r="11487" spans="14:14" x14ac:dyDescent="0.25">
      <c r="N11487" s="26"/>
    </row>
    <row r="11488" spans="14:14" x14ac:dyDescent="0.25">
      <c r="N11488" s="26"/>
    </row>
    <row r="11489" spans="14:14" x14ac:dyDescent="0.25">
      <c r="N11489" s="26"/>
    </row>
    <row r="11490" spans="14:14" x14ac:dyDescent="0.25">
      <c r="N11490" s="26"/>
    </row>
    <row r="11491" spans="14:14" x14ac:dyDescent="0.25">
      <c r="N11491" s="26"/>
    </row>
    <row r="11492" spans="14:14" x14ac:dyDescent="0.25">
      <c r="N11492" s="26"/>
    </row>
    <row r="11493" spans="14:14" x14ac:dyDescent="0.25">
      <c r="N11493" s="26"/>
    </row>
    <row r="11494" spans="14:14" x14ac:dyDescent="0.25">
      <c r="N11494" s="26"/>
    </row>
    <row r="11495" spans="14:14" x14ac:dyDescent="0.25">
      <c r="N11495" s="26"/>
    </row>
    <row r="11496" spans="14:14" x14ac:dyDescent="0.25">
      <c r="N11496" s="26"/>
    </row>
    <row r="11497" spans="14:14" x14ac:dyDescent="0.25">
      <c r="N11497" s="26"/>
    </row>
    <row r="11498" spans="14:14" x14ac:dyDescent="0.25">
      <c r="N11498" s="26"/>
    </row>
    <row r="11499" spans="14:14" x14ac:dyDescent="0.25">
      <c r="N11499" s="26"/>
    </row>
    <row r="11500" spans="14:14" x14ac:dyDescent="0.25">
      <c r="N11500" s="26"/>
    </row>
    <row r="11501" spans="14:14" x14ac:dyDescent="0.25">
      <c r="N11501" s="26"/>
    </row>
    <row r="11502" spans="14:14" x14ac:dyDescent="0.25">
      <c r="N11502" s="26"/>
    </row>
    <row r="11503" spans="14:14" x14ac:dyDescent="0.25">
      <c r="N11503" s="26"/>
    </row>
    <row r="11504" spans="14:14" x14ac:dyDescent="0.25">
      <c r="N11504" s="26"/>
    </row>
    <row r="11505" spans="14:14" x14ac:dyDescent="0.25">
      <c r="N11505" s="26"/>
    </row>
    <row r="11506" spans="14:14" x14ac:dyDescent="0.25">
      <c r="N11506" s="26"/>
    </row>
    <row r="11507" spans="14:14" x14ac:dyDescent="0.25">
      <c r="N11507" s="26"/>
    </row>
    <row r="11508" spans="14:14" x14ac:dyDescent="0.25">
      <c r="N11508" s="26"/>
    </row>
    <row r="11509" spans="14:14" x14ac:dyDescent="0.25">
      <c r="N11509" s="26"/>
    </row>
    <row r="11510" spans="14:14" x14ac:dyDescent="0.25">
      <c r="N11510" s="26"/>
    </row>
    <row r="11511" spans="14:14" x14ac:dyDescent="0.25">
      <c r="N11511" s="26"/>
    </row>
    <row r="11512" spans="14:14" x14ac:dyDescent="0.25">
      <c r="N11512" s="26"/>
    </row>
    <row r="11513" spans="14:14" x14ac:dyDescent="0.25">
      <c r="N11513" s="26"/>
    </row>
    <row r="11514" spans="14:14" x14ac:dyDescent="0.25">
      <c r="N11514" s="26"/>
    </row>
    <row r="11515" spans="14:14" x14ac:dyDescent="0.25">
      <c r="N11515" s="26"/>
    </row>
    <row r="11516" spans="14:14" x14ac:dyDescent="0.25">
      <c r="N11516" s="26"/>
    </row>
    <row r="11517" spans="14:14" x14ac:dyDescent="0.25">
      <c r="N11517" s="26"/>
    </row>
    <row r="11518" spans="14:14" x14ac:dyDescent="0.25">
      <c r="N11518" s="26"/>
    </row>
    <row r="11519" spans="14:14" x14ac:dyDescent="0.25">
      <c r="N11519" s="26"/>
    </row>
    <row r="11520" spans="14:14" x14ac:dyDescent="0.25">
      <c r="N11520" s="26"/>
    </row>
    <row r="11521" spans="14:14" x14ac:dyDescent="0.25">
      <c r="N11521" s="26"/>
    </row>
    <row r="11522" spans="14:14" x14ac:dyDescent="0.25">
      <c r="N11522" s="26"/>
    </row>
    <row r="11523" spans="14:14" x14ac:dyDescent="0.25">
      <c r="N11523" s="26"/>
    </row>
    <row r="11524" spans="14:14" x14ac:dyDescent="0.25">
      <c r="N11524" s="26"/>
    </row>
    <row r="11525" spans="14:14" x14ac:dyDescent="0.25">
      <c r="N11525" s="26"/>
    </row>
    <row r="11526" spans="14:14" x14ac:dyDescent="0.25">
      <c r="N11526" s="26"/>
    </row>
    <row r="11527" spans="14:14" x14ac:dyDescent="0.25">
      <c r="N11527" s="26"/>
    </row>
    <row r="11528" spans="14:14" x14ac:dyDescent="0.25">
      <c r="N11528" s="26"/>
    </row>
    <row r="11529" spans="14:14" x14ac:dyDescent="0.25">
      <c r="N11529" s="26"/>
    </row>
    <row r="11530" spans="14:14" x14ac:dyDescent="0.25">
      <c r="N11530" s="26"/>
    </row>
    <row r="11531" spans="14:14" x14ac:dyDescent="0.25">
      <c r="N11531" s="26"/>
    </row>
    <row r="11532" spans="14:14" x14ac:dyDescent="0.25">
      <c r="N11532" s="26"/>
    </row>
    <row r="11533" spans="14:14" x14ac:dyDescent="0.25">
      <c r="N11533" s="26"/>
    </row>
    <row r="11534" spans="14:14" x14ac:dyDescent="0.25">
      <c r="N11534" s="26"/>
    </row>
    <row r="11535" spans="14:14" x14ac:dyDescent="0.25">
      <c r="N11535" s="26"/>
    </row>
    <row r="11536" spans="14:14" x14ac:dyDescent="0.25">
      <c r="N11536" s="26"/>
    </row>
    <row r="11537" spans="14:14" x14ac:dyDescent="0.25">
      <c r="N11537" s="26"/>
    </row>
    <row r="11538" spans="14:14" x14ac:dyDescent="0.25">
      <c r="N11538" s="26"/>
    </row>
    <row r="11539" spans="14:14" x14ac:dyDescent="0.25">
      <c r="N11539" s="26"/>
    </row>
    <row r="11540" spans="14:14" x14ac:dyDescent="0.25">
      <c r="N11540" s="26"/>
    </row>
    <row r="11541" spans="14:14" x14ac:dyDescent="0.25">
      <c r="N11541" s="26"/>
    </row>
    <row r="11542" spans="14:14" x14ac:dyDescent="0.25">
      <c r="N11542" s="26"/>
    </row>
    <row r="11543" spans="14:14" x14ac:dyDescent="0.25">
      <c r="N11543" s="26"/>
    </row>
    <row r="11544" spans="14:14" x14ac:dyDescent="0.25">
      <c r="N11544" s="26"/>
    </row>
    <row r="11545" spans="14:14" x14ac:dyDescent="0.25">
      <c r="N11545" s="26"/>
    </row>
    <row r="11546" spans="14:14" x14ac:dyDescent="0.25">
      <c r="N11546" s="26"/>
    </row>
    <row r="11547" spans="14:14" x14ac:dyDescent="0.25">
      <c r="N11547" s="26"/>
    </row>
    <row r="11548" spans="14:14" x14ac:dyDescent="0.25">
      <c r="N11548" s="26"/>
    </row>
    <row r="11549" spans="14:14" x14ac:dyDescent="0.25">
      <c r="N11549" s="26"/>
    </row>
    <row r="11550" spans="14:14" x14ac:dyDescent="0.25">
      <c r="N11550" s="26"/>
    </row>
    <row r="11551" spans="14:14" x14ac:dyDescent="0.25">
      <c r="N11551" s="26"/>
    </row>
    <row r="11552" spans="14:14" x14ac:dyDescent="0.25">
      <c r="N11552" s="26"/>
    </row>
    <row r="11553" spans="14:14" x14ac:dyDescent="0.25">
      <c r="N11553" s="26"/>
    </row>
    <row r="11554" spans="14:14" x14ac:dyDescent="0.25">
      <c r="N11554" s="26"/>
    </row>
    <row r="11555" spans="14:14" x14ac:dyDescent="0.25">
      <c r="N11555" s="26"/>
    </row>
    <row r="11556" spans="14:14" x14ac:dyDescent="0.25">
      <c r="N11556" s="26"/>
    </row>
    <row r="11557" spans="14:14" x14ac:dyDescent="0.25">
      <c r="N11557" s="26"/>
    </row>
    <row r="11558" spans="14:14" x14ac:dyDescent="0.25">
      <c r="N11558" s="26"/>
    </row>
    <row r="11559" spans="14:14" x14ac:dyDescent="0.25">
      <c r="N11559" s="26"/>
    </row>
    <row r="11560" spans="14:14" x14ac:dyDescent="0.25">
      <c r="N11560" s="26"/>
    </row>
    <row r="11561" spans="14:14" x14ac:dyDescent="0.25">
      <c r="N11561" s="26"/>
    </row>
    <row r="11562" spans="14:14" x14ac:dyDescent="0.25">
      <c r="N11562" s="26"/>
    </row>
    <row r="11563" spans="14:14" x14ac:dyDescent="0.25">
      <c r="N11563" s="26"/>
    </row>
    <row r="11564" spans="14:14" x14ac:dyDescent="0.25">
      <c r="N11564" s="26"/>
    </row>
    <row r="11565" spans="14:14" x14ac:dyDescent="0.25">
      <c r="N11565" s="26"/>
    </row>
    <row r="11566" spans="14:14" x14ac:dyDescent="0.25">
      <c r="N11566" s="26"/>
    </row>
    <row r="11567" spans="14:14" x14ac:dyDescent="0.25">
      <c r="N11567" s="26"/>
    </row>
    <row r="11568" spans="14:14" x14ac:dyDescent="0.25">
      <c r="N11568" s="26"/>
    </row>
    <row r="11569" spans="14:14" x14ac:dyDescent="0.25">
      <c r="N11569" s="26"/>
    </row>
    <row r="11570" spans="14:14" x14ac:dyDescent="0.25">
      <c r="N11570" s="26"/>
    </row>
    <row r="11571" spans="14:14" x14ac:dyDescent="0.25">
      <c r="N11571" s="26"/>
    </row>
    <row r="11572" spans="14:14" x14ac:dyDescent="0.25">
      <c r="N11572" s="26"/>
    </row>
    <row r="11573" spans="14:14" x14ac:dyDescent="0.25">
      <c r="N11573" s="26"/>
    </row>
    <row r="11574" spans="14:14" x14ac:dyDescent="0.25">
      <c r="N11574" s="26"/>
    </row>
    <row r="11575" spans="14:14" x14ac:dyDescent="0.25">
      <c r="N11575" s="26"/>
    </row>
    <row r="11576" spans="14:14" x14ac:dyDescent="0.25">
      <c r="N11576" s="26"/>
    </row>
    <row r="11577" spans="14:14" x14ac:dyDescent="0.25">
      <c r="N11577" s="26"/>
    </row>
    <row r="11578" spans="14:14" x14ac:dyDescent="0.25">
      <c r="N11578" s="26"/>
    </row>
    <row r="11579" spans="14:14" x14ac:dyDescent="0.25">
      <c r="N11579" s="26"/>
    </row>
    <row r="11580" spans="14:14" x14ac:dyDescent="0.25">
      <c r="N11580" s="26"/>
    </row>
    <row r="11581" spans="14:14" x14ac:dyDescent="0.25">
      <c r="N11581" s="26"/>
    </row>
    <row r="11582" spans="14:14" x14ac:dyDescent="0.25">
      <c r="N11582" s="26"/>
    </row>
    <row r="11583" spans="14:14" x14ac:dyDescent="0.25">
      <c r="N11583" s="26"/>
    </row>
    <row r="11584" spans="14:14" x14ac:dyDescent="0.25">
      <c r="N11584" s="26"/>
    </row>
    <row r="11585" spans="14:14" x14ac:dyDescent="0.25">
      <c r="N11585" s="26"/>
    </row>
    <row r="11586" spans="14:14" x14ac:dyDescent="0.25">
      <c r="N11586" s="26"/>
    </row>
    <row r="11587" spans="14:14" x14ac:dyDescent="0.25">
      <c r="N11587" s="26"/>
    </row>
    <row r="11588" spans="14:14" x14ac:dyDescent="0.25">
      <c r="N11588" s="26"/>
    </row>
    <row r="11589" spans="14:14" x14ac:dyDescent="0.25">
      <c r="N11589" s="26"/>
    </row>
    <row r="11590" spans="14:14" x14ac:dyDescent="0.25">
      <c r="N11590" s="26"/>
    </row>
    <row r="11591" spans="14:14" x14ac:dyDescent="0.25">
      <c r="N11591" s="26"/>
    </row>
    <row r="11592" spans="14:14" x14ac:dyDescent="0.25">
      <c r="N11592" s="26"/>
    </row>
    <row r="11593" spans="14:14" x14ac:dyDescent="0.25">
      <c r="N11593" s="26"/>
    </row>
    <row r="11594" spans="14:14" x14ac:dyDescent="0.25">
      <c r="N11594" s="26"/>
    </row>
    <row r="11595" spans="14:14" x14ac:dyDescent="0.25">
      <c r="N11595" s="26"/>
    </row>
    <row r="11596" spans="14:14" x14ac:dyDescent="0.25">
      <c r="N11596" s="26"/>
    </row>
    <row r="11597" spans="14:14" x14ac:dyDescent="0.25">
      <c r="N11597" s="26"/>
    </row>
    <row r="11598" spans="14:14" x14ac:dyDescent="0.25">
      <c r="N11598" s="26"/>
    </row>
    <row r="11599" spans="14:14" x14ac:dyDescent="0.25">
      <c r="N11599" s="26"/>
    </row>
    <row r="11600" spans="14:14" x14ac:dyDescent="0.25">
      <c r="N11600" s="26"/>
    </row>
    <row r="11601" spans="14:14" x14ac:dyDescent="0.25">
      <c r="N11601" s="26"/>
    </row>
    <row r="11602" spans="14:14" x14ac:dyDescent="0.25">
      <c r="N11602" s="26"/>
    </row>
    <row r="11603" spans="14:14" x14ac:dyDescent="0.25">
      <c r="N11603" s="26"/>
    </row>
    <row r="11604" spans="14:14" x14ac:dyDescent="0.25">
      <c r="N11604" s="26"/>
    </row>
    <row r="11605" spans="14:14" x14ac:dyDescent="0.25">
      <c r="N11605" s="26"/>
    </row>
    <row r="11606" spans="14:14" x14ac:dyDescent="0.25">
      <c r="N11606" s="26"/>
    </row>
    <row r="11607" spans="14:14" x14ac:dyDescent="0.25">
      <c r="N11607" s="26"/>
    </row>
    <row r="11608" spans="14:14" x14ac:dyDescent="0.25">
      <c r="N11608" s="26"/>
    </row>
    <row r="11609" spans="14:14" x14ac:dyDescent="0.25">
      <c r="N11609" s="26"/>
    </row>
    <row r="11610" spans="14:14" x14ac:dyDescent="0.25">
      <c r="N11610" s="26"/>
    </row>
    <row r="11611" spans="14:14" x14ac:dyDescent="0.25">
      <c r="N11611" s="26"/>
    </row>
    <row r="11612" spans="14:14" x14ac:dyDescent="0.25">
      <c r="N11612" s="26"/>
    </row>
    <row r="11613" spans="14:14" x14ac:dyDescent="0.25">
      <c r="N11613" s="26"/>
    </row>
    <row r="11614" spans="14:14" x14ac:dyDescent="0.25">
      <c r="N11614" s="26"/>
    </row>
    <row r="11615" spans="14:14" x14ac:dyDescent="0.25">
      <c r="N11615" s="26"/>
    </row>
    <row r="11616" spans="14:14" x14ac:dyDescent="0.25">
      <c r="N11616" s="26"/>
    </row>
    <row r="11617" spans="14:14" x14ac:dyDescent="0.25">
      <c r="N11617" s="26"/>
    </row>
    <row r="11618" spans="14:14" x14ac:dyDescent="0.25">
      <c r="N11618" s="26"/>
    </row>
    <row r="11619" spans="14:14" x14ac:dyDescent="0.25">
      <c r="N11619" s="26"/>
    </row>
    <row r="11620" spans="14:14" x14ac:dyDescent="0.25">
      <c r="N11620" s="26"/>
    </row>
    <row r="11621" spans="14:14" x14ac:dyDescent="0.25">
      <c r="N11621" s="26"/>
    </row>
    <row r="11622" spans="14:14" x14ac:dyDescent="0.25">
      <c r="N11622" s="26"/>
    </row>
    <row r="11623" spans="14:14" x14ac:dyDescent="0.25">
      <c r="N11623" s="26"/>
    </row>
    <row r="11624" spans="14:14" x14ac:dyDescent="0.25">
      <c r="N11624" s="26"/>
    </row>
    <row r="11625" spans="14:14" x14ac:dyDescent="0.25">
      <c r="N11625" s="26"/>
    </row>
    <row r="11626" spans="14:14" x14ac:dyDescent="0.25">
      <c r="N11626" s="26"/>
    </row>
    <row r="11627" spans="14:14" x14ac:dyDescent="0.25">
      <c r="N11627" s="26"/>
    </row>
    <row r="11628" spans="14:14" x14ac:dyDescent="0.25">
      <c r="N11628" s="26"/>
    </row>
    <row r="11629" spans="14:14" x14ac:dyDescent="0.25">
      <c r="N11629" s="26"/>
    </row>
    <row r="11630" spans="14:14" x14ac:dyDescent="0.25">
      <c r="N11630" s="26"/>
    </row>
    <row r="11631" spans="14:14" x14ac:dyDescent="0.25">
      <c r="N11631" s="26"/>
    </row>
    <row r="11632" spans="14:14" x14ac:dyDescent="0.25">
      <c r="N11632" s="26"/>
    </row>
    <row r="11633" spans="14:14" x14ac:dyDescent="0.25">
      <c r="N11633" s="26"/>
    </row>
    <row r="11634" spans="14:14" x14ac:dyDescent="0.25">
      <c r="N11634" s="26"/>
    </row>
    <row r="11635" spans="14:14" x14ac:dyDescent="0.25">
      <c r="N11635" s="26"/>
    </row>
    <row r="11636" spans="14:14" x14ac:dyDescent="0.25">
      <c r="N11636" s="26"/>
    </row>
    <row r="11637" spans="14:14" x14ac:dyDescent="0.25">
      <c r="N11637" s="26"/>
    </row>
    <row r="11638" spans="14:14" x14ac:dyDescent="0.25">
      <c r="N11638" s="26"/>
    </row>
    <row r="11639" spans="14:14" x14ac:dyDescent="0.25">
      <c r="N11639" s="26"/>
    </row>
    <row r="11640" spans="14:14" x14ac:dyDescent="0.25">
      <c r="N11640" s="26"/>
    </row>
    <row r="11641" spans="14:14" x14ac:dyDescent="0.25">
      <c r="N11641" s="26"/>
    </row>
    <row r="11642" spans="14:14" x14ac:dyDescent="0.25">
      <c r="N11642" s="26"/>
    </row>
    <row r="11643" spans="14:14" x14ac:dyDescent="0.25">
      <c r="N11643" s="26"/>
    </row>
    <row r="11644" spans="14:14" x14ac:dyDescent="0.25">
      <c r="N11644" s="26"/>
    </row>
    <row r="11645" spans="14:14" x14ac:dyDescent="0.25">
      <c r="N11645" s="26"/>
    </row>
    <row r="11646" spans="14:14" x14ac:dyDescent="0.25">
      <c r="N11646" s="26"/>
    </row>
    <row r="11647" spans="14:14" x14ac:dyDescent="0.25">
      <c r="N11647" s="26"/>
    </row>
    <row r="11648" spans="14:14" x14ac:dyDescent="0.25">
      <c r="N11648" s="26"/>
    </row>
    <row r="11649" spans="14:14" x14ac:dyDescent="0.25">
      <c r="N11649" s="26"/>
    </row>
    <row r="11650" spans="14:14" x14ac:dyDescent="0.25">
      <c r="N11650" s="26"/>
    </row>
    <row r="11651" spans="14:14" x14ac:dyDescent="0.25">
      <c r="N11651" s="26"/>
    </row>
    <row r="11652" spans="14:14" x14ac:dyDescent="0.25">
      <c r="N11652" s="26"/>
    </row>
    <row r="11653" spans="14:14" x14ac:dyDescent="0.25">
      <c r="N11653" s="26"/>
    </row>
    <row r="11654" spans="14:14" x14ac:dyDescent="0.25">
      <c r="N11654" s="26"/>
    </row>
    <row r="11655" spans="14:14" x14ac:dyDescent="0.25">
      <c r="N11655" s="26"/>
    </row>
    <row r="11656" spans="14:14" x14ac:dyDescent="0.25">
      <c r="N11656" s="26"/>
    </row>
    <row r="11657" spans="14:14" x14ac:dyDescent="0.25">
      <c r="N11657" s="26"/>
    </row>
    <row r="11658" spans="14:14" x14ac:dyDescent="0.25">
      <c r="N11658" s="26"/>
    </row>
    <row r="11659" spans="14:14" x14ac:dyDescent="0.25">
      <c r="N11659" s="26"/>
    </row>
    <row r="11660" spans="14:14" x14ac:dyDescent="0.25">
      <c r="N11660" s="26"/>
    </row>
    <row r="11661" spans="14:14" x14ac:dyDescent="0.25">
      <c r="N11661" s="26"/>
    </row>
    <row r="11662" spans="14:14" x14ac:dyDescent="0.25">
      <c r="N11662" s="26"/>
    </row>
    <row r="11663" spans="14:14" x14ac:dyDescent="0.25">
      <c r="N11663" s="26"/>
    </row>
    <row r="11664" spans="14:14" x14ac:dyDescent="0.25">
      <c r="N11664" s="26"/>
    </row>
    <row r="11665" spans="14:14" x14ac:dyDescent="0.25">
      <c r="N11665" s="26"/>
    </row>
    <row r="11666" spans="14:14" x14ac:dyDescent="0.25">
      <c r="N11666" s="26"/>
    </row>
    <row r="11667" spans="14:14" x14ac:dyDescent="0.25">
      <c r="N11667" s="26"/>
    </row>
    <row r="11668" spans="14:14" x14ac:dyDescent="0.25">
      <c r="N11668" s="26"/>
    </row>
    <row r="11669" spans="14:14" x14ac:dyDescent="0.25">
      <c r="N11669" s="26"/>
    </row>
    <row r="11670" spans="14:14" x14ac:dyDescent="0.25">
      <c r="N11670" s="26"/>
    </row>
    <row r="11671" spans="14:14" x14ac:dyDescent="0.25">
      <c r="N11671" s="26"/>
    </row>
    <row r="11672" spans="14:14" x14ac:dyDescent="0.25">
      <c r="N11672" s="26"/>
    </row>
    <row r="11673" spans="14:14" x14ac:dyDescent="0.25">
      <c r="N11673" s="26"/>
    </row>
    <row r="11674" spans="14:14" x14ac:dyDescent="0.25">
      <c r="N11674" s="26"/>
    </row>
    <row r="11675" spans="14:14" x14ac:dyDescent="0.25">
      <c r="N11675" s="26"/>
    </row>
    <row r="11676" spans="14:14" x14ac:dyDescent="0.25">
      <c r="N11676" s="26"/>
    </row>
    <row r="11677" spans="14:14" x14ac:dyDescent="0.25">
      <c r="N11677" s="26"/>
    </row>
    <row r="11678" spans="14:14" x14ac:dyDescent="0.25">
      <c r="N11678" s="26"/>
    </row>
    <row r="11679" spans="14:14" x14ac:dyDescent="0.25">
      <c r="N11679" s="26"/>
    </row>
    <row r="11680" spans="14:14" x14ac:dyDescent="0.25">
      <c r="N11680" s="26"/>
    </row>
    <row r="11681" spans="14:14" x14ac:dyDescent="0.25">
      <c r="N11681" s="26"/>
    </row>
    <row r="11682" spans="14:14" x14ac:dyDescent="0.25">
      <c r="N11682" s="26"/>
    </row>
    <row r="11683" spans="14:14" x14ac:dyDescent="0.25">
      <c r="N11683" s="26"/>
    </row>
    <row r="11684" spans="14:14" x14ac:dyDescent="0.25">
      <c r="N11684" s="26"/>
    </row>
    <row r="11685" spans="14:14" x14ac:dyDescent="0.25">
      <c r="N11685" s="26"/>
    </row>
    <row r="11686" spans="14:14" x14ac:dyDescent="0.25">
      <c r="N11686" s="26"/>
    </row>
    <row r="11687" spans="14:14" x14ac:dyDescent="0.25">
      <c r="N11687" s="26"/>
    </row>
    <row r="11688" spans="14:14" x14ac:dyDescent="0.25">
      <c r="N11688" s="26"/>
    </row>
    <row r="11689" spans="14:14" x14ac:dyDescent="0.25">
      <c r="N11689" s="26"/>
    </row>
    <row r="11690" spans="14:14" x14ac:dyDescent="0.25">
      <c r="N11690" s="26"/>
    </row>
    <row r="11691" spans="14:14" x14ac:dyDescent="0.25">
      <c r="N11691" s="26"/>
    </row>
    <row r="11692" spans="14:14" x14ac:dyDescent="0.25">
      <c r="N11692" s="26"/>
    </row>
    <row r="11693" spans="14:14" x14ac:dyDescent="0.25">
      <c r="N11693" s="26"/>
    </row>
    <row r="11694" spans="14:14" x14ac:dyDescent="0.25">
      <c r="N11694" s="26"/>
    </row>
    <row r="11695" spans="14:14" x14ac:dyDescent="0.25">
      <c r="N11695" s="26"/>
    </row>
    <row r="11696" spans="14:14" x14ac:dyDescent="0.25">
      <c r="N11696" s="26"/>
    </row>
    <row r="11697" spans="14:14" x14ac:dyDescent="0.25">
      <c r="N11697" s="26"/>
    </row>
    <row r="11698" spans="14:14" x14ac:dyDescent="0.25">
      <c r="N11698" s="26"/>
    </row>
    <row r="11699" spans="14:14" x14ac:dyDescent="0.25">
      <c r="N11699" s="26"/>
    </row>
    <row r="11700" spans="14:14" x14ac:dyDescent="0.25">
      <c r="N11700" s="26"/>
    </row>
    <row r="11701" spans="14:14" x14ac:dyDescent="0.25">
      <c r="N11701" s="26"/>
    </row>
    <row r="11702" spans="14:14" x14ac:dyDescent="0.25">
      <c r="N11702" s="26"/>
    </row>
    <row r="11703" spans="14:14" x14ac:dyDescent="0.25">
      <c r="N11703" s="26"/>
    </row>
    <row r="11704" spans="14:14" x14ac:dyDescent="0.25">
      <c r="N11704" s="26"/>
    </row>
    <row r="11705" spans="14:14" x14ac:dyDescent="0.25">
      <c r="N11705" s="26"/>
    </row>
    <row r="11706" spans="14:14" x14ac:dyDescent="0.25">
      <c r="N11706" s="26"/>
    </row>
    <row r="11707" spans="14:14" x14ac:dyDescent="0.25">
      <c r="N11707" s="26"/>
    </row>
    <row r="11708" spans="14:14" x14ac:dyDescent="0.25">
      <c r="N11708" s="26"/>
    </row>
    <row r="11709" spans="14:14" x14ac:dyDescent="0.25">
      <c r="N11709" s="26"/>
    </row>
    <row r="11710" spans="14:14" x14ac:dyDescent="0.25">
      <c r="N11710" s="26"/>
    </row>
    <row r="11711" spans="14:14" x14ac:dyDescent="0.25">
      <c r="N11711" s="26"/>
    </row>
    <row r="11712" spans="14:14" x14ac:dyDescent="0.25">
      <c r="N11712" s="26"/>
    </row>
    <row r="11713" spans="14:14" x14ac:dyDescent="0.25">
      <c r="N11713" s="26"/>
    </row>
    <row r="11714" spans="14:14" x14ac:dyDescent="0.25">
      <c r="N11714" s="26"/>
    </row>
    <row r="11715" spans="14:14" x14ac:dyDescent="0.25">
      <c r="N11715" s="26"/>
    </row>
    <row r="11716" spans="14:14" x14ac:dyDescent="0.25">
      <c r="N11716" s="26"/>
    </row>
    <row r="11717" spans="14:14" x14ac:dyDescent="0.25">
      <c r="N11717" s="26"/>
    </row>
    <row r="11718" spans="14:14" x14ac:dyDescent="0.25">
      <c r="N11718" s="26"/>
    </row>
    <row r="11719" spans="14:14" x14ac:dyDescent="0.25">
      <c r="N11719" s="26"/>
    </row>
    <row r="11720" spans="14:14" x14ac:dyDescent="0.25">
      <c r="N11720" s="26"/>
    </row>
    <row r="11721" spans="14:14" x14ac:dyDescent="0.25">
      <c r="N11721" s="26"/>
    </row>
    <row r="11722" spans="14:14" x14ac:dyDescent="0.25">
      <c r="N11722" s="26"/>
    </row>
    <row r="11723" spans="14:14" x14ac:dyDescent="0.25">
      <c r="N11723" s="26"/>
    </row>
    <row r="11724" spans="14:14" x14ac:dyDescent="0.25">
      <c r="N11724" s="26"/>
    </row>
    <row r="11725" spans="14:14" x14ac:dyDescent="0.25">
      <c r="N11725" s="26"/>
    </row>
    <row r="11726" spans="14:14" x14ac:dyDescent="0.25">
      <c r="N11726" s="26"/>
    </row>
    <row r="11727" spans="14:14" x14ac:dyDescent="0.25">
      <c r="N11727" s="26"/>
    </row>
    <row r="11728" spans="14:14" x14ac:dyDescent="0.25">
      <c r="N11728" s="26"/>
    </row>
    <row r="11729" spans="14:14" x14ac:dyDescent="0.25">
      <c r="N11729" s="26"/>
    </row>
    <row r="11730" spans="14:14" x14ac:dyDescent="0.25">
      <c r="N11730" s="26"/>
    </row>
    <row r="11731" spans="14:14" x14ac:dyDescent="0.25">
      <c r="N11731" s="26"/>
    </row>
    <row r="11732" spans="14:14" x14ac:dyDescent="0.25">
      <c r="N11732" s="26"/>
    </row>
    <row r="11733" spans="14:14" x14ac:dyDescent="0.25">
      <c r="N11733" s="26"/>
    </row>
    <row r="11734" spans="14:14" x14ac:dyDescent="0.25">
      <c r="N11734" s="26"/>
    </row>
    <row r="11735" spans="14:14" x14ac:dyDescent="0.25">
      <c r="N11735" s="26"/>
    </row>
    <row r="11736" spans="14:14" x14ac:dyDescent="0.25">
      <c r="N11736" s="26"/>
    </row>
    <row r="11737" spans="14:14" x14ac:dyDescent="0.25">
      <c r="N11737" s="26"/>
    </row>
    <row r="11738" spans="14:14" x14ac:dyDescent="0.25">
      <c r="N11738" s="26"/>
    </row>
    <row r="11739" spans="14:14" x14ac:dyDescent="0.25">
      <c r="N11739" s="26"/>
    </row>
    <row r="11740" spans="14:14" x14ac:dyDescent="0.25">
      <c r="N11740" s="26"/>
    </row>
    <row r="11741" spans="14:14" x14ac:dyDescent="0.25">
      <c r="N11741" s="26"/>
    </row>
    <row r="11742" spans="14:14" x14ac:dyDescent="0.25">
      <c r="N11742" s="26"/>
    </row>
    <row r="11743" spans="14:14" x14ac:dyDescent="0.25">
      <c r="N11743" s="26"/>
    </row>
    <row r="11744" spans="14:14" x14ac:dyDescent="0.25">
      <c r="N11744" s="26"/>
    </row>
    <row r="11745" spans="14:14" x14ac:dyDescent="0.25">
      <c r="N11745" s="26"/>
    </row>
    <row r="11746" spans="14:14" x14ac:dyDescent="0.25">
      <c r="N11746" s="26"/>
    </row>
    <row r="11747" spans="14:14" x14ac:dyDescent="0.25">
      <c r="N11747" s="26"/>
    </row>
    <row r="11748" spans="14:14" x14ac:dyDescent="0.25">
      <c r="N11748" s="26"/>
    </row>
    <row r="11749" spans="14:14" x14ac:dyDescent="0.25">
      <c r="N11749" s="26"/>
    </row>
    <row r="11750" spans="14:14" x14ac:dyDescent="0.25">
      <c r="N11750" s="26"/>
    </row>
    <row r="11751" spans="14:14" x14ac:dyDescent="0.25">
      <c r="N11751" s="26"/>
    </row>
    <row r="11752" spans="14:14" x14ac:dyDescent="0.25">
      <c r="N11752" s="26"/>
    </row>
    <row r="11753" spans="14:14" x14ac:dyDescent="0.25">
      <c r="N11753" s="26"/>
    </row>
    <row r="11754" spans="14:14" x14ac:dyDescent="0.25">
      <c r="N11754" s="26"/>
    </row>
    <row r="11755" spans="14:14" x14ac:dyDescent="0.25">
      <c r="N11755" s="26"/>
    </row>
    <row r="11756" spans="14:14" x14ac:dyDescent="0.25">
      <c r="N11756" s="26"/>
    </row>
    <row r="11757" spans="14:14" x14ac:dyDescent="0.25">
      <c r="N11757" s="26"/>
    </row>
    <row r="11758" spans="14:14" x14ac:dyDescent="0.25">
      <c r="N11758" s="26"/>
    </row>
    <row r="11759" spans="14:14" x14ac:dyDescent="0.25">
      <c r="N11759" s="26"/>
    </row>
    <row r="11760" spans="14:14" x14ac:dyDescent="0.25">
      <c r="N11760" s="26"/>
    </row>
    <row r="11761" spans="14:14" x14ac:dyDescent="0.25">
      <c r="N11761" s="26"/>
    </row>
    <row r="11762" spans="14:14" x14ac:dyDescent="0.25">
      <c r="N11762" s="26"/>
    </row>
    <row r="11763" spans="14:14" x14ac:dyDescent="0.25">
      <c r="N11763" s="26"/>
    </row>
    <row r="11764" spans="14:14" x14ac:dyDescent="0.25">
      <c r="N11764" s="26"/>
    </row>
    <row r="11765" spans="14:14" x14ac:dyDescent="0.25">
      <c r="N11765" s="26"/>
    </row>
    <row r="11766" spans="14:14" x14ac:dyDescent="0.25">
      <c r="N11766" s="26"/>
    </row>
    <row r="11767" spans="14:14" x14ac:dyDescent="0.25">
      <c r="N11767" s="26"/>
    </row>
    <row r="11768" spans="14:14" x14ac:dyDescent="0.25">
      <c r="N11768" s="26"/>
    </row>
    <row r="11769" spans="14:14" x14ac:dyDescent="0.25">
      <c r="N11769" s="26"/>
    </row>
    <row r="11770" spans="14:14" x14ac:dyDescent="0.25">
      <c r="N11770" s="26"/>
    </row>
    <row r="11771" spans="14:14" x14ac:dyDescent="0.25">
      <c r="N11771" s="26"/>
    </row>
    <row r="11772" spans="14:14" x14ac:dyDescent="0.25">
      <c r="N11772" s="26"/>
    </row>
    <row r="11773" spans="14:14" x14ac:dyDescent="0.25">
      <c r="N11773" s="26"/>
    </row>
    <row r="11774" spans="14:14" x14ac:dyDescent="0.25">
      <c r="N11774" s="26"/>
    </row>
    <row r="11775" spans="14:14" x14ac:dyDescent="0.25">
      <c r="N11775" s="26"/>
    </row>
    <row r="11776" spans="14:14" x14ac:dyDescent="0.25">
      <c r="N11776" s="26"/>
    </row>
    <row r="11777" spans="14:14" x14ac:dyDescent="0.25">
      <c r="N11777" s="26"/>
    </row>
    <row r="11778" spans="14:14" x14ac:dyDescent="0.25">
      <c r="N11778" s="26"/>
    </row>
    <row r="11779" spans="14:14" x14ac:dyDescent="0.25">
      <c r="N11779" s="26"/>
    </row>
    <row r="11780" spans="14:14" x14ac:dyDescent="0.25">
      <c r="N11780" s="26"/>
    </row>
    <row r="11781" spans="14:14" x14ac:dyDescent="0.25">
      <c r="N11781" s="26"/>
    </row>
    <row r="11782" spans="14:14" x14ac:dyDescent="0.25">
      <c r="N11782" s="26"/>
    </row>
    <row r="11783" spans="14:14" x14ac:dyDescent="0.25">
      <c r="N11783" s="26"/>
    </row>
    <row r="11784" spans="14:14" x14ac:dyDescent="0.25">
      <c r="N11784" s="26"/>
    </row>
    <row r="11785" spans="14:14" x14ac:dyDescent="0.25">
      <c r="N11785" s="26"/>
    </row>
    <row r="11786" spans="14:14" x14ac:dyDescent="0.25">
      <c r="N11786" s="26"/>
    </row>
    <row r="11787" spans="14:14" x14ac:dyDescent="0.25">
      <c r="N11787" s="26"/>
    </row>
    <row r="11788" spans="14:14" x14ac:dyDescent="0.25">
      <c r="N11788" s="26"/>
    </row>
    <row r="11789" spans="14:14" x14ac:dyDescent="0.25">
      <c r="N11789" s="26"/>
    </row>
    <row r="11790" spans="14:14" x14ac:dyDescent="0.25">
      <c r="N11790" s="26"/>
    </row>
    <row r="11791" spans="14:14" x14ac:dyDescent="0.25">
      <c r="N11791" s="26"/>
    </row>
    <row r="11792" spans="14:14" x14ac:dyDescent="0.25">
      <c r="N11792" s="26"/>
    </row>
    <row r="11793" spans="14:14" x14ac:dyDescent="0.25">
      <c r="N11793" s="26"/>
    </row>
    <row r="11794" spans="14:14" x14ac:dyDescent="0.25">
      <c r="N11794" s="26"/>
    </row>
    <row r="11795" spans="14:14" x14ac:dyDescent="0.25">
      <c r="N11795" s="26"/>
    </row>
    <row r="11796" spans="14:14" x14ac:dyDescent="0.25">
      <c r="N11796" s="26"/>
    </row>
    <row r="11797" spans="14:14" x14ac:dyDescent="0.25">
      <c r="N11797" s="26"/>
    </row>
    <row r="11798" spans="14:14" x14ac:dyDescent="0.25">
      <c r="N11798" s="26"/>
    </row>
    <row r="11799" spans="14:14" x14ac:dyDescent="0.25">
      <c r="N11799" s="26"/>
    </row>
    <row r="11800" spans="14:14" x14ac:dyDescent="0.25">
      <c r="N11800" s="26"/>
    </row>
    <row r="11801" spans="14:14" x14ac:dyDescent="0.25">
      <c r="N11801" s="26"/>
    </row>
    <row r="11802" spans="14:14" x14ac:dyDescent="0.25">
      <c r="N11802" s="26"/>
    </row>
    <row r="11803" spans="14:14" x14ac:dyDescent="0.25">
      <c r="N11803" s="26"/>
    </row>
    <row r="11804" spans="14:14" x14ac:dyDescent="0.25">
      <c r="N11804" s="26"/>
    </row>
    <row r="11805" spans="14:14" x14ac:dyDescent="0.25">
      <c r="N11805" s="26"/>
    </row>
    <row r="11806" spans="14:14" x14ac:dyDescent="0.25">
      <c r="N11806" s="26"/>
    </row>
    <row r="11807" spans="14:14" x14ac:dyDescent="0.25">
      <c r="N11807" s="26"/>
    </row>
    <row r="11808" spans="14:14" x14ac:dyDescent="0.25">
      <c r="N11808" s="26"/>
    </row>
    <row r="11809" spans="14:14" x14ac:dyDescent="0.25">
      <c r="N11809" s="26"/>
    </row>
    <row r="11810" spans="14:14" x14ac:dyDescent="0.25">
      <c r="N11810" s="26"/>
    </row>
    <row r="11811" spans="14:14" x14ac:dyDescent="0.25">
      <c r="N11811" s="26"/>
    </row>
    <row r="11812" spans="14:14" x14ac:dyDescent="0.25">
      <c r="N11812" s="26"/>
    </row>
    <row r="11813" spans="14:14" x14ac:dyDescent="0.25">
      <c r="N11813" s="26"/>
    </row>
    <row r="11814" spans="14:14" x14ac:dyDescent="0.25">
      <c r="N11814" s="26"/>
    </row>
    <row r="11815" spans="14:14" x14ac:dyDescent="0.25">
      <c r="N11815" s="26"/>
    </row>
    <row r="11816" spans="14:14" x14ac:dyDescent="0.25">
      <c r="N11816" s="26"/>
    </row>
    <row r="11817" spans="14:14" x14ac:dyDescent="0.25">
      <c r="N11817" s="26"/>
    </row>
    <row r="11818" spans="14:14" x14ac:dyDescent="0.25">
      <c r="N11818" s="26"/>
    </row>
    <row r="11819" spans="14:14" x14ac:dyDescent="0.25">
      <c r="N11819" s="26"/>
    </row>
    <row r="11820" spans="14:14" x14ac:dyDescent="0.25">
      <c r="N11820" s="26"/>
    </row>
    <row r="11821" spans="14:14" x14ac:dyDescent="0.25">
      <c r="N11821" s="26"/>
    </row>
    <row r="11822" spans="14:14" x14ac:dyDescent="0.25">
      <c r="N11822" s="26"/>
    </row>
    <row r="11823" spans="14:14" x14ac:dyDescent="0.25">
      <c r="N11823" s="26"/>
    </row>
    <row r="11824" spans="14:14" x14ac:dyDescent="0.25">
      <c r="N11824" s="26"/>
    </row>
    <row r="11825" spans="14:14" x14ac:dyDescent="0.25">
      <c r="N11825" s="26"/>
    </row>
    <row r="11826" spans="14:14" x14ac:dyDescent="0.25">
      <c r="N11826" s="26"/>
    </row>
    <row r="11827" spans="14:14" x14ac:dyDescent="0.25">
      <c r="N11827" s="26"/>
    </row>
    <row r="11828" spans="14:14" x14ac:dyDescent="0.25">
      <c r="N11828" s="26"/>
    </row>
    <row r="11829" spans="14:14" x14ac:dyDescent="0.25">
      <c r="N11829" s="26"/>
    </row>
    <row r="11830" spans="14:14" x14ac:dyDescent="0.25">
      <c r="N11830" s="26"/>
    </row>
    <row r="11831" spans="14:14" x14ac:dyDescent="0.25">
      <c r="N11831" s="26"/>
    </row>
    <row r="11832" spans="14:14" x14ac:dyDescent="0.25">
      <c r="N11832" s="26"/>
    </row>
    <row r="11833" spans="14:14" x14ac:dyDescent="0.25">
      <c r="N11833" s="26"/>
    </row>
    <row r="11834" spans="14:14" x14ac:dyDescent="0.25">
      <c r="N11834" s="26"/>
    </row>
    <row r="11835" spans="14:14" x14ac:dyDescent="0.25">
      <c r="N11835" s="26"/>
    </row>
    <row r="11836" spans="14:14" x14ac:dyDescent="0.25">
      <c r="N11836" s="26"/>
    </row>
    <row r="11837" spans="14:14" x14ac:dyDescent="0.25">
      <c r="N11837" s="26"/>
    </row>
    <row r="11838" spans="14:14" x14ac:dyDescent="0.25">
      <c r="N11838" s="26"/>
    </row>
    <row r="11839" spans="14:14" x14ac:dyDescent="0.25">
      <c r="N11839" s="26"/>
    </row>
    <row r="11840" spans="14:14" x14ac:dyDescent="0.25">
      <c r="N11840" s="26"/>
    </row>
    <row r="11841" spans="14:14" x14ac:dyDescent="0.25">
      <c r="N11841" s="26"/>
    </row>
    <row r="11842" spans="14:14" x14ac:dyDescent="0.25">
      <c r="N11842" s="26"/>
    </row>
    <row r="11843" spans="14:14" x14ac:dyDescent="0.25">
      <c r="N11843" s="26"/>
    </row>
    <row r="11844" spans="14:14" x14ac:dyDescent="0.25">
      <c r="N11844" s="26"/>
    </row>
    <row r="11845" spans="14:14" x14ac:dyDescent="0.25">
      <c r="N11845" s="26"/>
    </row>
    <row r="11846" spans="14:14" x14ac:dyDescent="0.25">
      <c r="N11846" s="26"/>
    </row>
    <row r="11847" spans="14:14" x14ac:dyDescent="0.25">
      <c r="N11847" s="26"/>
    </row>
    <row r="11848" spans="14:14" x14ac:dyDescent="0.25">
      <c r="N11848" s="26"/>
    </row>
    <row r="11849" spans="14:14" x14ac:dyDescent="0.25">
      <c r="N11849" s="26"/>
    </row>
    <row r="11850" spans="14:14" x14ac:dyDescent="0.25">
      <c r="N11850" s="26"/>
    </row>
    <row r="11851" spans="14:14" x14ac:dyDescent="0.25">
      <c r="N11851" s="26"/>
    </row>
    <row r="11852" spans="14:14" x14ac:dyDescent="0.25">
      <c r="N11852" s="26"/>
    </row>
    <row r="11853" spans="14:14" x14ac:dyDescent="0.25">
      <c r="N11853" s="26"/>
    </row>
    <row r="11854" spans="14:14" x14ac:dyDescent="0.25">
      <c r="N11854" s="26"/>
    </row>
    <row r="11855" spans="14:14" x14ac:dyDescent="0.25">
      <c r="N11855" s="26"/>
    </row>
    <row r="11856" spans="14:14" x14ac:dyDescent="0.25">
      <c r="N11856" s="26"/>
    </row>
    <row r="11857" spans="14:14" x14ac:dyDescent="0.25">
      <c r="N11857" s="26"/>
    </row>
    <row r="11858" spans="14:14" x14ac:dyDescent="0.25">
      <c r="N11858" s="26"/>
    </row>
    <row r="11859" spans="14:14" x14ac:dyDescent="0.25">
      <c r="N11859" s="26"/>
    </row>
    <row r="11860" spans="14:14" x14ac:dyDescent="0.25">
      <c r="N11860" s="26"/>
    </row>
    <row r="11861" spans="14:14" x14ac:dyDescent="0.25">
      <c r="N11861" s="26"/>
    </row>
    <row r="11862" spans="14:14" x14ac:dyDescent="0.25">
      <c r="N11862" s="26"/>
    </row>
    <row r="11863" spans="14:14" x14ac:dyDescent="0.25">
      <c r="N11863" s="26"/>
    </row>
    <row r="11864" spans="14:14" x14ac:dyDescent="0.25">
      <c r="N11864" s="26"/>
    </row>
    <row r="11865" spans="14:14" x14ac:dyDescent="0.25">
      <c r="N11865" s="26"/>
    </row>
    <row r="11866" spans="14:14" x14ac:dyDescent="0.25">
      <c r="N11866" s="26"/>
    </row>
    <row r="11867" spans="14:14" x14ac:dyDescent="0.25">
      <c r="N11867" s="26"/>
    </row>
    <row r="11868" spans="14:14" x14ac:dyDescent="0.25">
      <c r="N11868" s="26"/>
    </row>
    <row r="11869" spans="14:14" x14ac:dyDescent="0.25">
      <c r="N11869" s="26"/>
    </row>
    <row r="11870" spans="14:14" x14ac:dyDescent="0.25">
      <c r="N11870" s="26"/>
    </row>
    <row r="11871" spans="14:14" x14ac:dyDescent="0.25">
      <c r="N11871" s="26"/>
    </row>
    <row r="11872" spans="14:14" x14ac:dyDescent="0.25">
      <c r="N11872" s="26"/>
    </row>
    <row r="11873" spans="14:14" x14ac:dyDescent="0.25">
      <c r="N11873" s="26"/>
    </row>
    <row r="11874" spans="14:14" x14ac:dyDescent="0.25">
      <c r="N11874" s="26"/>
    </row>
    <row r="11875" spans="14:14" x14ac:dyDescent="0.25">
      <c r="N11875" s="26"/>
    </row>
    <row r="11876" spans="14:14" x14ac:dyDescent="0.25">
      <c r="N11876" s="26"/>
    </row>
    <row r="11877" spans="14:14" x14ac:dyDescent="0.25">
      <c r="N11877" s="26"/>
    </row>
    <row r="11878" spans="14:14" x14ac:dyDescent="0.25">
      <c r="N11878" s="26"/>
    </row>
    <row r="11879" spans="14:14" x14ac:dyDescent="0.25">
      <c r="N11879" s="26"/>
    </row>
    <row r="11880" spans="14:14" x14ac:dyDescent="0.25">
      <c r="N11880" s="26"/>
    </row>
    <row r="11881" spans="14:14" x14ac:dyDescent="0.25">
      <c r="N11881" s="26"/>
    </row>
    <row r="11882" spans="14:14" x14ac:dyDescent="0.25">
      <c r="N11882" s="26"/>
    </row>
    <row r="11883" spans="14:14" x14ac:dyDescent="0.25">
      <c r="N11883" s="26"/>
    </row>
    <row r="11884" spans="14:14" x14ac:dyDescent="0.25">
      <c r="N11884" s="26"/>
    </row>
    <row r="11885" spans="14:14" x14ac:dyDescent="0.25">
      <c r="N11885" s="26"/>
    </row>
    <row r="11886" spans="14:14" x14ac:dyDescent="0.25">
      <c r="N11886" s="26"/>
    </row>
    <row r="11887" spans="14:14" x14ac:dyDescent="0.25">
      <c r="N11887" s="26"/>
    </row>
    <row r="11888" spans="14:14" x14ac:dyDescent="0.25">
      <c r="N11888" s="26"/>
    </row>
    <row r="11889" spans="14:14" x14ac:dyDescent="0.25">
      <c r="N11889" s="26"/>
    </row>
    <row r="11890" spans="14:14" x14ac:dyDescent="0.25">
      <c r="N11890" s="26"/>
    </row>
    <row r="11891" spans="14:14" x14ac:dyDescent="0.25">
      <c r="N11891" s="26"/>
    </row>
    <row r="11892" spans="14:14" x14ac:dyDescent="0.25">
      <c r="N11892" s="26"/>
    </row>
    <row r="11893" spans="14:14" x14ac:dyDescent="0.25">
      <c r="N11893" s="26"/>
    </row>
    <row r="11894" spans="14:14" x14ac:dyDescent="0.25">
      <c r="N11894" s="26"/>
    </row>
    <row r="11895" spans="14:14" x14ac:dyDescent="0.25">
      <c r="N11895" s="26"/>
    </row>
    <row r="11896" spans="14:14" x14ac:dyDescent="0.25">
      <c r="N11896" s="26"/>
    </row>
    <row r="11897" spans="14:14" x14ac:dyDescent="0.25">
      <c r="N11897" s="26"/>
    </row>
    <row r="11898" spans="14:14" x14ac:dyDescent="0.25">
      <c r="N11898" s="26"/>
    </row>
    <row r="11899" spans="14:14" x14ac:dyDescent="0.25">
      <c r="N11899" s="26"/>
    </row>
    <row r="11900" spans="14:14" x14ac:dyDescent="0.25">
      <c r="N11900" s="26"/>
    </row>
    <row r="11901" spans="14:14" x14ac:dyDescent="0.25">
      <c r="N11901" s="26"/>
    </row>
    <row r="11902" spans="14:14" x14ac:dyDescent="0.25">
      <c r="N11902" s="26"/>
    </row>
    <row r="11903" spans="14:14" x14ac:dyDescent="0.25">
      <c r="N11903" s="26"/>
    </row>
    <row r="11904" spans="14:14" x14ac:dyDescent="0.25">
      <c r="N11904" s="26"/>
    </row>
    <row r="11905" spans="14:14" x14ac:dyDescent="0.25">
      <c r="N11905" s="26"/>
    </row>
    <row r="11906" spans="14:14" x14ac:dyDescent="0.25">
      <c r="N11906" s="26"/>
    </row>
    <row r="11907" spans="14:14" x14ac:dyDescent="0.25">
      <c r="N11907" s="26"/>
    </row>
    <row r="11908" spans="14:14" x14ac:dyDescent="0.25">
      <c r="N11908" s="26"/>
    </row>
    <row r="11909" spans="14:14" x14ac:dyDescent="0.25">
      <c r="N11909" s="26"/>
    </row>
    <row r="11910" spans="14:14" x14ac:dyDescent="0.25">
      <c r="N11910" s="26"/>
    </row>
    <row r="11911" spans="14:14" x14ac:dyDescent="0.25">
      <c r="N11911" s="26"/>
    </row>
    <row r="11912" spans="14:14" x14ac:dyDescent="0.25">
      <c r="N11912" s="26"/>
    </row>
    <row r="11913" spans="14:14" x14ac:dyDescent="0.25">
      <c r="N11913" s="26"/>
    </row>
    <row r="11914" spans="14:14" x14ac:dyDescent="0.25">
      <c r="N11914" s="26"/>
    </row>
    <row r="11915" spans="14:14" x14ac:dyDescent="0.25">
      <c r="N11915" s="26"/>
    </row>
    <row r="11916" spans="14:14" x14ac:dyDescent="0.25">
      <c r="N11916" s="26"/>
    </row>
    <row r="11917" spans="14:14" x14ac:dyDescent="0.25">
      <c r="N11917" s="26"/>
    </row>
    <row r="11918" spans="14:14" x14ac:dyDescent="0.25">
      <c r="N11918" s="26"/>
    </row>
    <row r="11919" spans="14:14" x14ac:dyDescent="0.25">
      <c r="N11919" s="26"/>
    </row>
    <row r="11920" spans="14:14" x14ac:dyDescent="0.25">
      <c r="N11920" s="26"/>
    </row>
    <row r="11921" spans="14:14" x14ac:dyDescent="0.25">
      <c r="N11921" s="26"/>
    </row>
    <row r="11922" spans="14:14" x14ac:dyDescent="0.25">
      <c r="N11922" s="26"/>
    </row>
    <row r="11923" spans="14:14" x14ac:dyDescent="0.25">
      <c r="N11923" s="26"/>
    </row>
    <row r="11924" spans="14:14" x14ac:dyDescent="0.25">
      <c r="N11924" s="26"/>
    </row>
    <row r="11925" spans="14:14" x14ac:dyDescent="0.25">
      <c r="N11925" s="26"/>
    </row>
    <row r="11926" spans="14:14" x14ac:dyDescent="0.25">
      <c r="N11926" s="26"/>
    </row>
    <row r="11927" spans="14:14" x14ac:dyDescent="0.25">
      <c r="N11927" s="26"/>
    </row>
    <row r="11928" spans="14:14" x14ac:dyDescent="0.25">
      <c r="N11928" s="26"/>
    </row>
    <row r="11929" spans="14:14" x14ac:dyDescent="0.25">
      <c r="N11929" s="26"/>
    </row>
    <row r="11930" spans="14:14" x14ac:dyDescent="0.25">
      <c r="N11930" s="26"/>
    </row>
    <row r="11931" spans="14:14" x14ac:dyDescent="0.25">
      <c r="N11931" s="26"/>
    </row>
    <row r="11932" spans="14:14" x14ac:dyDescent="0.25">
      <c r="N11932" s="26"/>
    </row>
    <row r="11933" spans="14:14" x14ac:dyDescent="0.25">
      <c r="N11933" s="26"/>
    </row>
    <row r="11934" spans="14:14" x14ac:dyDescent="0.25">
      <c r="N11934" s="26"/>
    </row>
    <row r="11935" spans="14:14" x14ac:dyDescent="0.25">
      <c r="N11935" s="26"/>
    </row>
    <row r="11936" spans="14:14" x14ac:dyDescent="0.25">
      <c r="N11936" s="26"/>
    </row>
    <row r="11937" spans="14:14" x14ac:dyDescent="0.25">
      <c r="N11937" s="26"/>
    </row>
    <row r="11938" spans="14:14" x14ac:dyDescent="0.25">
      <c r="N11938" s="26"/>
    </row>
    <row r="11939" spans="14:14" x14ac:dyDescent="0.25">
      <c r="N11939" s="26"/>
    </row>
    <row r="11940" spans="14:14" x14ac:dyDescent="0.25">
      <c r="N11940" s="26"/>
    </row>
    <row r="11941" spans="14:14" x14ac:dyDescent="0.25">
      <c r="N11941" s="26"/>
    </row>
    <row r="11942" spans="14:14" x14ac:dyDescent="0.25">
      <c r="N11942" s="26"/>
    </row>
    <row r="11943" spans="14:14" x14ac:dyDescent="0.25">
      <c r="N11943" s="26"/>
    </row>
    <row r="11944" spans="14:14" x14ac:dyDescent="0.25">
      <c r="N11944" s="26"/>
    </row>
    <row r="11945" spans="14:14" x14ac:dyDescent="0.25">
      <c r="N11945" s="26"/>
    </row>
    <row r="11946" spans="14:14" x14ac:dyDescent="0.25">
      <c r="N11946" s="26"/>
    </row>
    <row r="11947" spans="14:14" x14ac:dyDescent="0.25">
      <c r="N11947" s="26"/>
    </row>
    <row r="11948" spans="14:14" x14ac:dyDescent="0.25">
      <c r="N11948" s="26"/>
    </row>
    <row r="11949" spans="14:14" x14ac:dyDescent="0.25">
      <c r="N11949" s="26"/>
    </row>
    <row r="11950" spans="14:14" x14ac:dyDescent="0.25">
      <c r="N11950" s="26"/>
    </row>
    <row r="11951" spans="14:14" x14ac:dyDescent="0.25">
      <c r="N11951" s="26"/>
    </row>
    <row r="11952" spans="14:14" x14ac:dyDescent="0.25">
      <c r="N11952" s="26"/>
    </row>
    <row r="11953" spans="14:14" x14ac:dyDescent="0.25">
      <c r="N11953" s="26"/>
    </row>
    <row r="11954" spans="14:14" x14ac:dyDescent="0.25">
      <c r="N11954" s="26"/>
    </row>
    <row r="11955" spans="14:14" x14ac:dyDescent="0.25">
      <c r="N11955" s="26"/>
    </row>
    <row r="11956" spans="14:14" x14ac:dyDescent="0.25">
      <c r="N11956" s="26"/>
    </row>
    <row r="11957" spans="14:14" x14ac:dyDescent="0.25">
      <c r="N11957" s="26"/>
    </row>
    <row r="11958" spans="14:14" x14ac:dyDescent="0.25">
      <c r="N11958" s="26"/>
    </row>
    <row r="11959" spans="14:14" x14ac:dyDescent="0.25">
      <c r="N11959" s="26"/>
    </row>
    <row r="11960" spans="14:14" x14ac:dyDescent="0.25">
      <c r="N11960" s="26"/>
    </row>
    <row r="11961" spans="14:14" x14ac:dyDescent="0.25">
      <c r="N11961" s="26"/>
    </row>
    <row r="11962" spans="14:14" x14ac:dyDescent="0.25">
      <c r="N11962" s="26"/>
    </row>
    <row r="11963" spans="14:14" x14ac:dyDescent="0.25">
      <c r="N11963" s="26"/>
    </row>
    <row r="11964" spans="14:14" x14ac:dyDescent="0.25">
      <c r="N11964" s="26"/>
    </row>
    <row r="11965" spans="14:14" x14ac:dyDescent="0.25">
      <c r="N11965" s="26"/>
    </row>
    <row r="11966" spans="14:14" x14ac:dyDescent="0.25">
      <c r="N11966" s="26"/>
    </row>
    <row r="11967" spans="14:14" x14ac:dyDescent="0.25">
      <c r="N11967" s="26"/>
    </row>
    <row r="11968" spans="14:14" x14ac:dyDescent="0.25">
      <c r="N11968" s="26"/>
    </row>
    <row r="11969" spans="14:14" x14ac:dyDescent="0.25">
      <c r="N11969" s="26"/>
    </row>
    <row r="11970" spans="14:14" x14ac:dyDescent="0.25">
      <c r="N11970" s="26"/>
    </row>
    <row r="11971" spans="14:14" x14ac:dyDescent="0.25">
      <c r="N11971" s="26"/>
    </row>
    <row r="11972" spans="14:14" x14ac:dyDescent="0.25">
      <c r="N11972" s="26"/>
    </row>
    <row r="11973" spans="14:14" x14ac:dyDescent="0.25">
      <c r="N11973" s="26"/>
    </row>
    <row r="11974" spans="14:14" x14ac:dyDescent="0.25">
      <c r="N11974" s="26"/>
    </row>
    <row r="11975" spans="14:14" x14ac:dyDescent="0.25">
      <c r="N11975" s="26"/>
    </row>
    <row r="11976" spans="14:14" x14ac:dyDescent="0.25">
      <c r="N11976" s="26"/>
    </row>
    <row r="11977" spans="14:14" x14ac:dyDescent="0.25">
      <c r="N11977" s="26"/>
    </row>
    <row r="11978" spans="14:14" x14ac:dyDescent="0.25">
      <c r="N11978" s="26"/>
    </row>
    <row r="11979" spans="14:14" x14ac:dyDescent="0.25">
      <c r="N11979" s="26"/>
    </row>
    <row r="11980" spans="14:14" x14ac:dyDescent="0.25">
      <c r="N11980" s="26"/>
    </row>
    <row r="11981" spans="14:14" x14ac:dyDescent="0.25">
      <c r="N11981" s="26"/>
    </row>
    <row r="11982" spans="14:14" x14ac:dyDescent="0.25">
      <c r="N11982" s="26"/>
    </row>
    <row r="11983" spans="14:14" x14ac:dyDescent="0.25">
      <c r="N11983" s="26"/>
    </row>
    <row r="11984" spans="14:14" x14ac:dyDescent="0.25">
      <c r="N11984" s="26"/>
    </row>
    <row r="11985" spans="14:14" x14ac:dyDescent="0.25">
      <c r="N11985" s="26"/>
    </row>
    <row r="11986" spans="14:14" x14ac:dyDescent="0.25">
      <c r="N11986" s="26"/>
    </row>
    <row r="11987" spans="14:14" x14ac:dyDescent="0.25">
      <c r="N11987" s="26"/>
    </row>
    <row r="11988" spans="14:14" x14ac:dyDescent="0.25">
      <c r="N11988" s="26"/>
    </row>
    <row r="11989" spans="14:14" x14ac:dyDescent="0.25">
      <c r="N11989" s="26"/>
    </row>
    <row r="11990" spans="14:14" x14ac:dyDescent="0.25">
      <c r="N11990" s="26"/>
    </row>
    <row r="11991" spans="14:14" x14ac:dyDescent="0.25">
      <c r="N11991" s="26"/>
    </row>
    <row r="11992" spans="14:14" x14ac:dyDescent="0.25">
      <c r="N11992" s="26"/>
    </row>
    <row r="11993" spans="14:14" x14ac:dyDescent="0.25">
      <c r="N11993" s="26"/>
    </row>
    <row r="11994" spans="14:14" x14ac:dyDescent="0.25">
      <c r="N11994" s="26"/>
    </row>
    <row r="11995" spans="14:14" x14ac:dyDescent="0.25">
      <c r="N11995" s="26"/>
    </row>
    <row r="11996" spans="14:14" x14ac:dyDescent="0.25">
      <c r="N11996" s="26"/>
    </row>
    <row r="11997" spans="14:14" x14ac:dyDescent="0.25">
      <c r="N11997" s="26"/>
    </row>
    <row r="11998" spans="14:14" x14ac:dyDescent="0.25">
      <c r="N11998" s="26"/>
    </row>
    <row r="11999" spans="14:14" x14ac:dyDescent="0.25">
      <c r="N11999" s="26"/>
    </row>
    <row r="12000" spans="14:14" x14ac:dyDescent="0.25">
      <c r="N12000" s="26"/>
    </row>
    <row r="12001" spans="14:14" x14ac:dyDescent="0.25">
      <c r="N12001" s="26"/>
    </row>
    <row r="12002" spans="14:14" x14ac:dyDescent="0.25">
      <c r="N12002" s="26"/>
    </row>
    <row r="12003" spans="14:14" x14ac:dyDescent="0.25">
      <c r="N12003" s="26"/>
    </row>
    <row r="12004" spans="14:14" x14ac:dyDescent="0.25">
      <c r="N12004" s="26"/>
    </row>
    <row r="12005" spans="14:14" x14ac:dyDescent="0.25">
      <c r="N12005" s="26"/>
    </row>
    <row r="12006" spans="14:14" x14ac:dyDescent="0.25">
      <c r="N12006" s="26"/>
    </row>
    <row r="12007" spans="14:14" x14ac:dyDescent="0.25">
      <c r="N12007" s="26"/>
    </row>
    <row r="12008" spans="14:14" x14ac:dyDescent="0.25">
      <c r="N12008" s="26"/>
    </row>
    <row r="12009" spans="14:14" x14ac:dyDescent="0.25">
      <c r="N12009" s="26"/>
    </row>
    <row r="12010" spans="14:14" x14ac:dyDescent="0.25">
      <c r="N12010" s="26"/>
    </row>
    <row r="12011" spans="14:14" x14ac:dyDescent="0.25">
      <c r="N12011" s="26"/>
    </row>
    <row r="12012" spans="14:14" x14ac:dyDescent="0.25">
      <c r="N12012" s="26"/>
    </row>
    <row r="12013" spans="14:14" x14ac:dyDescent="0.25">
      <c r="N12013" s="26"/>
    </row>
    <row r="12014" spans="14:14" x14ac:dyDescent="0.25">
      <c r="N12014" s="26"/>
    </row>
    <row r="12015" spans="14:14" x14ac:dyDescent="0.25">
      <c r="N12015" s="26"/>
    </row>
    <row r="12016" spans="14:14" x14ac:dyDescent="0.25">
      <c r="N12016" s="26"/>
    </row>
    <row r="12017" spans="14:14" x14ac:dyDescent="0.25">
      <c r="N12017" s="26"/>
    </row>
    <row r="12018" spans="14:14" x14ac:dyDescent="0.25">
      <c r="N12018" s="26"/>
    </row>
    <row r="12019" spans="14:14" x14ac:dyDescent="0.25">
      <c r="N12019" s="26"/>
    </row>
    <row r="12020" spans="14:14" x14ac:dyDescent="0.25">
      <c r="N12020" s="26"/>
    </row>
    <row r="12021" spans="14:14" x14ac:dyDescent="0.25">
      <c r="N12021" s="26"/>
    </row>
    <row r="12022" spans="14:14" x14ac:dyDescent="0.25">
      <c r="N12022" s="26"/>
    </row>
    <row r="12023" spans="14:14" x14ac:dyDescent="0.25">
      <c r="N12023" s="26"/>
    </row>
    <row r="12024" spans="14:14" x14ac:dyDescent="0.25">
      <c r="N12024" s="26"/>
    </row>
    <row r="12025" spans="14:14" x14ac:dyDescent="0.25">
      <c r="N12025" s="26"/>
    </row>
    <row r="12026" spans="14:14" x14ac:dyDescent="0.25">
      <c r="N12026" s="26"/>
    </row>
    <row r="12027" spans="14:14" x14ac:dyDescent="0.25">
      <c r="N12027" s="26"/>
    </row>
    <row r="12028" spans="14:14" x14ac:dyDescent="0.25">
      <c r="N12028" s="26"/>
    </row>
    <row r="12029" spans="14:14" x14ac:dyDescent="0.25">
      <c r="N12029" s="26"/>
    </row>
    <row r="12030" spans="14:14" x14ac:dyDescent="0.25">
      <c r="N12030" s="26"/>
    </row>
    <row r="12031" spans="14:14" x14ac:dyDescent="0.25">
      <c r="N12031" s="26"/>
    </row>
    <row r="12032" spans="14:14" x14ac:dyDescent="0.25">
      <c r="N12032" s="26"/>
    </row>
    <row r="12033" spans="14:14" x14ac:dyDescent="0.25">
      <c r="N12033" s="26"/>
    </row>
    <row r="12034" spans="14:14" x14ac:dyDescent="0.25">
      <c r="N12034" s="26"/>
    </row>
    <row r="12035" spans="14:14" x14ac:dyDescent="0.25">
      <c r="N12035" s="26"/>
    </row>
    <row r="12036" spans="14:14" x14ac:dyDescent="0.25">
      <c r="N12036" s="26"/>
    </row>
    <row r="12037" spans="14:14" x14ac:dyDescent="0.25">
      <c r="N12037" s="26"/>
    </row>
    <row r="12038" spans="14:14" x14ac:dyDescent="0.25">
      <c r="N12038" s="26"/>
    </row>
    <row r="12039" spans="14:14" x14ac:dyDescent="0.25">
      <c r="N12039" s="26"/>
    </row>
    <row r="12040" spans="14:14" x14ac:dyDescent="0.25">
      <c r="N12040" s="26"/>
    </row>
    <row r="12041" spans="14:14" x14ac:dyDescent="0.25">
      <c r="N12041" s="26"/>
    </row>
    <row r="12042" spans="14:14" x14ac:dyDescent="0.25">
      <c r="N12042" s="26"/>
    </row>
    <row r="12043" spans="14:14" x14ac:dyDescent="0.25">
      <c r="N12043" s="26"/>
    </row>
    <row r="12044" spans="14:14" x14ac:dyDescent="0.25">
      <c r="N12044" s="26"/>
    </row>
    <row r="12045" spans="14:14" x14ac:dyDescent="0.25">
      <c r="N12045" s="26"/>
    </row>
    <row r="12046" spans="14:14" x14ac:dyDescent="0.25">
      <c r="N12046" s="26"/>
    </row>
    <row r="12047" spans="14:14" x14ac:dyDescent="0.25">
      <c r="N12047" s="26"/>
    </row>
    <row r="12048" spans="14:14" x14ac:dyDescent="0.25">
      <c r="N12048" s="26"/>
    </row>
    <row r="12049" spans="14:14" x14ac:dyDescent="0.25">
      <c r="N12049" s="26"/>
    </row>
    <row r="12050" spans="14:14" x14ac:dyDescent="0.25">
      <c r="N12050" s="26"/>
    </row>
    <row r="12051" spans="14:14" x14ac:dyDescent="0.25">
      <c r="N12051" s="26"/>
    </row>
    <row r="12052" spans="14:14" x14ac:dyDescent="0.25">
      <c r="N12052" s="26"/>
    </row>
    <row r="12053" spans="14:14" x14ac:dyDescent="0.25">
      <c r="N12053" s="26"/>
    </row>
    <row r="12054" spans="14:14" x14ac:dyDescent="0.25">
      <c r="N12054" s="26"/>
    </row>
    <row r="12055" spans="14:14" x14ac:dyDescent="0.25">
      <c r="N12055" s="26"/>
    </row>
    <row r="12056" spans="14:14" x14ac:dyDescent="0.25">
      <c r="N12056" s="26"/>
    </row>
    <row r="12057" spans="14:14" x14ac:dyDescent="0.25">
      <c r="N12057" s="26"/>
    </row>
    <row r="12058" spans="14:14" x14ac:dyDescent="0.25">
      <c r="N12058" s="26"/>
    </row>
    <row r="12059" spans="14:14" x14ac:dyDescent="0.25">
      <c r="N12059" s="26"/>
    </row>
    <row r="12060" spans="14:14" x14ac:dyDescent="0.25">
      <c r="N12060" s="26"/>
    </row>
    <row r="12061" spans="14:14" x14ac:dyDescent="0.25">
      <c r="N12061" s="26"/>
    </row>
    <row r="12062" spans="14:14" x14ac:dyDescent="0.25">
      <c r="N12062" s="26"/>
    </row>
    <row r="12063" spans="14:14" x14ac:dyDescent="0.25">
      <c r="N12063" s="26"/>
    </row>
    <row r="12064" spans="14:14" x14ac:dyDescent="0.25">
      <c r="N12064" s="26"/>
    </row>
    <row r="12065" spans="14:14" x14ac:dyDescent="0.25">
      <c r="N12065" s="26"/>
    </row>
    <row r="12066" spans="14:14" x14ac:dyDescent="0.25">
      <c r="N12066" s="26"/>
    </row>
    <row r="12067" spans="14:14" x14ac:dyDescent="0.25">
      <c r="N12067" s="26"/>
    </row>
    <row r="12068" spans="14:14" x14ac:dyDescent="0.25">
      <c r="N12068" s="26"/>
    </row>
    <row r="12069" spans="14:14" x14ac:dyDescent="0.25">
      <c r="N12069" s="26"/>
    </row>
    <row r="12070" spans="14:14" x14ac:dyDescent="0.25">
      <c r="N12070" s="26"/>
    </row>
    <row r="12071" spans="14:14" x14ac:dyDescent="0.25">
      <c r="N12071" s="26"/>
    </row>
    <row r="12072" spans="14:14" x14ac:dyDescent="0.25">
      <c r="N12072" s="26"/>
    </row>
    <row r="12073" spans="14:14" x14ac:dyDescent="0.25">
      <c r="N12073" s="26"/>
    </row>
    <row r="12074" spans="14:14" x14ac:dyDescent="0.25">
      <c r="N12074" s="26"/>
    </row>
    <row r="12075" spans="14:14" x14ac:dyDescent="0.25">
      <c r="N12075" s="26"/>
    </row>
    <row r="12076" spans="14:14" x14ac:dyDescent="0.25">
      <c r="N12076" s="26"/>
    </row>
    <row r="12077" spans="14:14" x14ac:dyDescent="0.25">
      <c r="N12077" s="26"/>
    </row>
    <row r="12078" spans="14:14" x14ac:dyDescent="0.25">
      <c r="N12078" s="26"/>
    </row>
    <row r="12079" spans="14:14" x14ac:dyDescent="0.25">
      <c r="N12079" s="26"/>
    </row>
    <row r="12080" spans="14:14" x14ac:dyDescent="0.25">
      <c r="N12080" s="26"/>
    </row>
    <row r="12081" spans="14:14" x14ac:dyDescent="0.25">
      <c r="N12081" s="26"/>
    </row>
    <row r="12082" spans="14:14" x14ac:dyDescent="0.25">
      <c r="N12082" s="26"/>
    </row>
    <row r="12083" spans="14:14" x14ac:dyDescent="0.25">
      <c r="N12083" s="26"/>
    </row>
    <row r="12084" spans="14:14" x14ac:dyDescent="0.25">
      <c r="N12084" s="26"/>
    </row>
    <row r="12085" spans="14:14" x14ac:dyDescent="0.25">
      <c r="N12085" s="26"/>
    </row>
    <row r="12086" spans="14:14" x14ac:dyDescent="0.25">
      <c r="N12086" s="26"/>
    </row>
    <row r="12087" spans="14:14" x14ac:dyDescent="0.25">
      <c r="N12087" s="26"/>
    </row>
    <row r="12088" spans="14:14" x14ac:dyDescent="0.25">
      <c r="N12088" s="26"/>
    </row>
    <row r="12089" spans="14:14" x14ac:dyDescent="0.25">
      <c r="N12089" s="26"/>
    </row>
    <row r="12090" spans="14:14" x14ac:dyDescent="0.25">
      <c r="N12090" s="26"/>
    </row>
    <row r="12091" spans="14:14" x14ac:dyDescent="0.25">
      <c r="N12091" s="26"/>
    </row>
    <row r="12092" spans="14:14" x14ac:dyDescent="0.25">
      <c r="N12092" s="26"/>
    </row>
    <row r="12093" spans="14:14" x14ac:dyDescent="0.25">
      <c r="N12093" s="26"/>
    </row>
    <row r="12094" spans="14:14" x14ac:dyDescent="0.25">
      <c r="N12094" s="26"/>
    </row>
    <row r="12095" spans="14:14" x14ac:dyDescent="0.25">
      <c r="N12095" s="26"/>
    </row>
    <row r="12096" spans="14:14" x14ac:dyDescent="0.25">
      <c r="N12096" s="26"/>
    </row>
    <row r="12097" spans="14:14" x14ac:dyDescent="0.25">
      <c r="N12097" s="26"/>
    </row>
    <row r="12098" spans="14:14" x14ac:dyDescent="0.25">
      <c r="N12098" s="26"/>
    </row>
    <row r="12099" spans="14:14" x14ac:dyDescent="0.25">
      <c r="N12099" s="26"/>
    </row>
    <row r="12100" spans="14:14" x14ac:dyDescent="0.25">
      <c r="N12100" s="26"/>
    </row>
    <row r="12101" spans="14:14" x14ac:dyDescent="0.25">
      <c r="N12101" s="26"/>
    </row>
    <row r="12102" spans="14:14" x14ac:dyDescent="0.25">
      <c r="N12102" s="26"/>
    </row>
    <row r="12103" spans="14:14" x14ac:dyDescent="0.25">
      <c r="N12103" s="26"/>
    </row>
    <row r="12104" spans="14:14" x14ac:dyDescent="0.25">
      <c r="N12104" s="26"/>
    </row>
    <row r="12105" spans="14:14" x14ac:dyDescent="0.25">
      <c r="N12105" s="26"/>
    </row>
    <row r="12106" spans="14:14" x14ac:dyDescent="0.25">
      <c r="N12106" s="26"/>
    </row>
    <row r="12107" spans="14:14" x14ac:dyDescent="0.25">
      <c r="N12107" s="26"/>
    </row>
    <row r="12108" spans="14:14" x14ac:dyDescent="0.25">
      <c r="N12108" s="26"/>
    </row>
    <row r="12109" spans="14:14" x14ac:dyDescent="0.25">
      <c r="N12109" s="26"/>
    </row>
    <row r="12110" spans="14:14" x14ac:dyDescent="0.25">
      <c r="N12110" s="26"/>
    </row>
    <row r="12111" spans="14:14" x14ac:dyDescent="0.25">
      <c r="N12111" s="26"/>
    </row>
    <row r="12112" spans="14:14" x14ac:dyDescent="0.25">
      <c r="N12112" s="26"/>
    </row>
    <row r="12113" spans="14:14" x14ac:dyDescent="0.25">
      <c r="N12113" s="26"/>
    </row>
    <row r="12114" spans="14:14" x14ac:dyDescent="0.25">
      <c r="N12114" s="26"/>
    </row>
    <row r="12115" spans="14:14" x14ac:dyDescent="0.25">
      <c r="N12115" s="26"/>
    </row>
    <row r="12116" spans="14:14" x14ac:dyDescent="0.25">
      <c r="N12116" s="26"/>
    </row>
    <row r="12117" spans="14:14" x14ac:dyDescent="0.25">
      <c r="N12117" s="26"/>
    </row>
    <row r="12118" spans="14:14" x14ac:dyDescent="0.25">
      <c r="N12118" s="26"/>
    </row>
    <row r="12119" spans="14:14" x14ac:dyDescent="0.25">
      <c r="N12119" s="26"/>
    </row>
    <row r="12120" spans="14:14" x14ac:dyDescent="0.25">
      <c r="N12120" s="26"/>
    </row>
    <row r="12121" spans="14:14" x14ac:dyDescent="0.25">
      <c r="N12121" s="26"/>
    </row>
    <row r="12122" spans="14:14" x14ac:dyDescent="0.25">
      <c r="N12122" s="26"/>
    </row>
    <row r="12123" spans="14:14" x14ac:dyDescent="0.25">
      <c r="N12123" s="26"/>
    </row>
    <row r="12124" spans="14:14" x14ac:dyDescent="0.25">
      <c r="N12124" s="26"/>
    </row>
    <row r="12125" spans="14:14" x14ac:dyDescent="0.25">
      <c r="N12125" s="26"/>
    </row>
    <row r="12126" spans="14:14" x14ac:dyDescent="0.25">
      <c r="N12126" s="26"/>
    </row>
    <row r="12127" spans="14:14" x14ac:dyDescent="0.25">
      <c r="N12127" s="26"/>
    </row>
    <row r="12128" spans="14:14" x14ac:dyDescent="0.25">
      <c r="N12128" s="26"/>
    </row>
    <row r="12129" spans="14:14" x14ac:dyDescent="0.25">
      <c r="N12129" s="26"/>
    </row>
    <row r="12130" spans="14:14" x14ac:dyDescent="0.25">
      <c r="N12130" s="26"/>
    </row>
    <row r="12131" spans="14:14" x14ac:dyDescent="0.25">
      <c r="N12131" s="26"/>
    </row>
    <row r="12132" spans="14:14" x14ac:dyDescent="0.25">
      <c r="N12132" s="26"/>
    </row>
    <row r="12133" spans="14:14" x14ac:dyDescent="0.25">
      <c r="N12133" s="26"/>
    </row>
    <row r="12134" spans="14:14" x14ac:dyDescent="0.25">
      <c r="N12134" s="26"/>
    </row>
    <row r="12135" spans="14:14" x14ac:dyDescent="0.25">
      <c r="N12135" s="26"/>
    </row>
    <row r="12136" spans="14:14" x14ac:dyDescent="0.25">
      <c r="N12136" s="26"/>
    </row>
    <row r="12137" spans="14:14" x14ac:dyDescent="0.25">
      <c r="N12137" s="26"/>
    </row>
    <row r="12138" spans="14:14" x14ac:dyDescent="0.25">
      <c r="N12138" s="26"/>
    </row>
    <row r="12139" spans="14:14" x14ac:dyDescent="0.25">
      <c r="N12139" s="26"/>
    </row>
    <row r="12140" spans="14:14" x14ac:dyDescent="0.25">
      <c r="N12140" s="26"/>
    </row>
    <row r="12141" spans="14:14" x14ac:dyDescent="0.25">
      <c r="N12141" s="26"/>
    </row>
    <row r="12142" spans="14:14" x14ac:dyDescent="0.25">
      <c r="N12142" s="26"/>
    </row>
    <row r="12143" spans="14:14" x14ac:dyDescent="0.25">
      <c r="N12143" s="26"/>
    </row>
    <row r="12144" spans="14:14" x14ac:dyDescent="0.25">
      <c r="N12144" s="26"/>
    </row>
    <row r="12145" spans="14:14" x14ac:dyDescent="0.25">
      <c r="N12145" s="26"/>
    </row>
    <row r="12146" spans="14:14" x14ac:dyDescent="0.25">
      <c r="N12146" s="26"/>
    </row>
    <row r="12147" spans="14:14" x14ac:dyDescent="0.25">
      <c r="N12147" s="26"/>
    </row>
    <row r="12148" spans="14:14" x14ac:dyDescent="0.25">
      <c r="N12148" s="26"/>
    </row>
    <row r="12149" spans="14:14" x14ac:dyDescent="0.25">
      <c r="N12149" s="26"/>
    </row>
    <row r="12150" spans="14:14" x14ac:dyDescent="0.25">
      <c r="N12150" s="26"/>
    </row>
    <row r="12151" spans="14:14" x14ac:dyDescent="0.25">
      <c r="N12151" s="26"/>
    </row>
    <row r="12152" spans="14:14" x14ac:dyDescent="0.25">
      <c r="N12152" s="26"/>
    </row>
    <row r="12153" spans="14:14" x14ac:dyDescent="0.25">
      <c r="N12153" s="26"/>
    </row>
    <row r="12154" spans="14:14" x14ac:dyDescent="0.25">
      <c r="N12154" s="26"/>
    </row>
    <row r="12155" spans="14:14" x14ac:dyDescent="0.25">
      <c r="N12155" s="26"/>
    </row>
    <row r="12156" spans="14:14" x14ac:dyDescent="0.25">
      <c r="N12156" s="26"/>
    </row>
    <row r="12157" spans="14:14" x14ac:dyDescent="0.25">
      <c r="N12157" s="26"/>
    </row>
    <row r="12158" spans="14:14" x14ac:dyDescent="0.25">
      <c r="N12158" s="26"/>
    </row>
    <row r="12159" spans="14:14" x14ac:dyDescent="0.25">
      <c r="N12159" s="26"/>
    </row>
    <row r="12160" spans="14:14" x14ac:dyDescent="0.25">
      <c r="N12160" s="26"/>
    </row>
    <row r="12161" spans="14:14" x14ac:dyDescent="0.25">
      <c r="N12161" s="26"/>
    </row>
    <row r="12162" spans="14:14" x14ac:dyDescent="0.25">
      <c r="N12162" s="26"/>
    </row>
    <row r="12163" spans="14:14" x14ac:dyDescent="0.25">
      <c r="N12163" s="26"/>
    </row>
    <row r="12164" spans="14:14" x14ac:dyDescent="0.25">
      <c r="N12164" s="26"/>
    </row>
    <row r="12165" spans="14:14" x14ac:dyDescent="0.25">
      <c r="N12165" s="26"/>
    </row>
    <row r="12166" spans="14:14" x14ac:dyDescent="0.25">
      <c r="N12166" s="26"/>
    </row>
    <row r="12167" spans="14:14" x14ac:dyDescent="0.25">
      <c r="N12167" s="26"/>
    </row>
    <row r="12168" spans="14:14" x14ac:dyDescent="0.25">
      <c r="N12168" s="26"/>
    </row>
    <row r="12169" spans="14:14" x14ac:dyDescent="0.25">
      <c r="N12169" s="26"/>
    </row>
    <row r="12170" spans="14:14" x14ac:dyDescent="0.25">
      <c r="N12170" s="26"/>
    </row>
    <row r="12171" spans="14:14" x14ac:dyDescent="0.25">
      <c r="N12171" s="26"/>
    </row>
    <row r="12172" spans="14:14" x14ac:dyDescent="0.25">
      <c r="N12172" s="26"/>
    </row>
    <row r="12173" spans="14:14" x14ac:dyDescent="0.25">
      <c r="N12173" s="26"/>
    </row>
    <row r="12174" spans="14:14" x14ac:dyDescent="0.25">
      <c r="N12174" s="26"/>
    </row>
    <row r="12175" spans="14:14" x14ac:dyDescent="0.25">
      <c r="N12175" s="26"/>
    </row>
    <row r="12176" spans="14:14" x14ac:dyDescent="0.25">
      <c r="N12176" s="26"/>
    </row>
    <row r="12177" spans="14:14" x14ac:dyDescent="0.25">
      <c r="N12177" s="26"/>
    </row>
    <row r="12178" spans="14:14" x14ac:dyDescent="0.25">
      <c r="N12178" s="26"/>
    </row>
    <row r="12179" spans="14:14" x14ac:dyDescent="0.25">
      <c r="N12179" s="26"/>
    </row>
    <row r="12180" spans="14:14" x14ac:dyDescent="0.25">
      <c r="N12180" s="26"/>
    </row>
    <row r="12181" spans="14:14" x14ac:dyDescent="0.25">
      <c r="N12181" s="26"/>
    </row>
    <row r="12182" spans="14:14" x14ac:dyDescent="0.25">
      <c r="N12182" s="26"/>
    </row>
    <row r="12183" spans="14:14" x14ac:dyDescent="0.25">
      <c r="N12183" s="26"/>
    </row>
    <row r="12184" spans="14:14" x14ac:dyDescent="0.25">
      <c r="N12184" s="26"/>
    </row>
    <row r="12185" spans="14:14" x14ac:dyDescent="0.25">
      <c r="N12185" s="26"/>
    </row>
    <row r="12186" spans="14:14" x14ac:dyDescent="0.25">
      <c r="N12186" s="26"/>
    </row>
    <row r="12187" spans="14:14" x14ac:dyDescent="0.25">
      <c r="N12187" s="26"/>
    </row>
    <row r="12188" spans="14:14" x14ac:dyDescent="0.25">
      <c r="N12188" s="26"/>
    </row>
    <row r="12189" spans="14:14" x14ac:dyDescent="0.25">
      <c r="N12189" s="26"/>
    </row>
    <row r="12190" spans="14:14" x14ac:dyDescent="0.25">
      <c r="N12190" s="26"/>
    </row>
    <row r="12191" spans="14:14" x14ac:dyDescent="0.25">
      <c r="N12191" s="26"/>
    </row>
    <row r="12192" spans="14:14" x14ac:dyDescent="0.25">
      <c r="N12192" s="26"/>
    </row>
    <row r="12193" spans="14:14" x14ac:dyDescent="0.25">
      <c r="N12193" s="26"/>
    </row>
    <row r="12194" spans="14:14" x14ac:dyDescent="0.25">
      <c r="N12194" s="26"/>
    </row>
    <row r="12195" spans="14:14" x14ac:dyDescent="0.25">
      <c r="N12195" s="26"/>
    </row>
    <row r="12196" spans="14:14" x14ac:dyDescent="0.25">
      <c r="N12196" s="26"/>
    </row>
    <row r="12197" spans="14:14" x14ac:dyDescent="0.25">
      <c r="N12197" s="26"/>
    </row>
    <row r="12198" spans="14:14" x14ac:dyDescent="0.25">
      <c r="N12198" s="26"/>
    </row>
    <row r="12199" spans="14:14" x14ac:dyDescent="0.25">
      <c r="N12199" s="26"/>
    </row>
    <row r="12200" spans="14:14" x14ac:dyDescent="0.25">
      <c r="N12200" s="26"/>
    </row>
    <row r="12201" spans="14:14" x14ac:dyDescent="0.25">
      <c r="N12201" s="26"/>
    </row>
    <row r="12202" spans="14:14" x14ac:dyDescent="0.25">
      <c r="N12202" s="26"/>
    </row>
    <row r="12203" spans="14:14" x14ac:dyDescent="0.25">
      <c r="N12203" s="26"/>
    </row>
    <row r="12204" spans="14:14" x14ac:dyDescent="0.25">
      <c r="N12204" s="26"/>
    </row>
    <row r="12205" spans="14:14" x14ac:dyDescent="0.25">
      <c r="N12205" s="26"/>
    </row>
    <row r="12206" spans="14:14" x14ac:dyDescent="0.25">
      <c r="N12206" s="26"/>
    </row>
    <row r="12207" spans="14:14" x14ac:dyDescent="0.25">
      <c r="N12207" s="26"/>
    </row>
    <row r="12208" spans="14:14" x14ac:dyDescent="0.25">
      <c r="N12208" s="26"/>
    </row>
    <row r="12209" spans="14:14" x14ac:dyDescent="0.25">
      <c r="N12209" s="26"/>
    </row>
    <row r="12210" spans="14:14" x14ac:dyDescent="0.25">
      <c r="N12210" s="26"/>
    </row>
    <row r="12211" spans="14:14" x14ac:dyDescent="0.25">
      <c r="N12211" s="26"/>
    </row>
    <row r="12212" spans="14:14" x14ac:dyDescent="0.25">
      <c r="N12212" s="26"/>
    </row>
    <row r="12213" spans="14:14" x14ac:dyDescent="0.25">
      <c r="N12213" s="26"/>
    </row>
    <row r="12214" spans="14:14" x14ac:dyDescent="0.25">
      <c r="N12214" s="26"/>
    </row>
    <row r="12215" spans="14:14" x14ac:dyDescent="0.25">
      <c r="N12215" s="26"/>
    </row>
    <row r="12216" spans="14:14" x14ac:dyDescent="0.25">
      <c r="N12216" s="26"/>
    </row>
    <row r="12217" spans="14:14" x14ac:dyDescent="0.25">
      <c r="N12217" s="26"/>
    </row>
    <row r="12218" spans="14:14" x14ac:dyDescent="0.25">
      <c r="N12218" s="26"/>
    </row>
    <row r="12219" spans="14:14" x14ac:dyDescent="0.25">
      <c r="N12219" s="26"/>
    </row>
    <row r="12220" spans="14:14" x14ac:dyDescent="0.25">
      <c r="N12220" s="26"/>
    </row>
    <row r="12221" spans="14:14" x14ac:dyDescent="0.25">
      <c r="N12221" s="26"/>
    </row>
    <row r="12222" spans="14:14" x14ac:dyDescent="0.25">
      <c r="N12222" s="26"/>
    </row>
    <row r="12223" spans="14:14" x14ac:dyDescent="0.25">
      <c r="N12223" s="26"/>
    </row>
    <row r="12224" spans="14:14" x14ac:dyDescent="0.25">
      <c r="N12224" s="26"/>
    </row>
    <row r="12225" spans="14:14" x14ac:dyDescent="0.25">
      <c r="N12225" s="26"/>
    </row>
    <row r="12226" spans="14:14" x14ac:dyDescent="0.25">
      <c r="N12226" s="26"/>
    </row>
    <row r="12227" spans="14:14" x14ac:dyDescent="0.25">
      <c r="N12227" s="26"/>
    </row>
    <row r="12228" spans="14:14" x14ac:dyDescent="0.25">
      <c r="N12228" s="26"/>
    </row>
    <row r="12229" spans="14:14" x14ac:dyDescent="0.25">
      <c r="N12229" s="26"/>
    </row>
    <row r="12230" spans="14:14" x14ac:dyDescent="0.25">
      <c r="N12230" s="26"/>
    </row>
    <row r="12231" spans="14:14" x14ac:dyDescent="0.25">
      <c r="N12231" s="26"/>
    </row>
    <row r="12232" spans="14:14" x14ac:dyDescent="0.25">
      <c r="N12232" s="26"/>
    </row>
    <row r="12233" spans="14:14" x14ac:dyDescent="0.25">
      <c r="N12233" s="26"/>
    </row>
    <row r="12234" spans="14:14" x14ac:dyDescent="0.25">
      <c r="N12234" s="26"/>
    </row>
    <row r="12235" spans="14:14" x14ac:dyDescent="0.25">
      <c r="N12235" s="26"/>
    </row>
    <row r="12236" spans="14:14" x14ac:dyDescent="0.25">
      <c r="N12236" s="26"/>
    </row>
    <row r="12237" spans="14:14" x14ac:dyDescent="0.25">
      <c r="N12237" s="26"/>
    </row>
    <row r="12238" spans="14:14" x14ac:dyDescent="0.25">
      <c r="N12238" s="26"/>
    </row>
    <row r="12239" spans="14:14" x14ac:dyDescent="0.25">
      <c r="N12239" s="26"/>
    </row>
    <row r="12240" spans="14:14" x14ac:dyDescent="0.25">
      <c r="N12240" s="26"/>
    </row>
    <row r="12241" spans="14:14" x14ac:dyDescent="0.25">
      <c r="N12241" s="26"/>
    </row>
    <row r="12242" spans="14:14" x14ac:dyDescent="0.25">
      <c r="N12242" s="26"/>
    </row>
    <row r="12243" spans="14:14" x14ac:dyDescent="0.25">
      <c r="N12243" s="26"/>
    </row>
    <row r="12244" spans="14:14" x14ac:dyDescent="0.25">
      <c r="N12244" s="26"/>
    </row>
    <row r="12245" spans="14:14" x14ac:dyDescent="0.25">
      <c r="N12245" s="26"/>
    </row>
    <row r="12246" spans="14:14" x14ac:dyDescent="0.25">
      <c r="N12246" s="26"/>
    </row>
    <row r="12247" spans="14:14" x14ac:dyDescent="0.25">
      <c r="N12247" s="26"/>
    </row>
    <row r="12248" spans="14:14" x14ac:dyDescent="0.25">
      <c r="N12248" s="26"/>
    </row>
    <row r="12249" spans="14:14" x14ac:dyDescent="0.25">
      <c r="N12249" s="26"/>
    </row>
    <row r="12250" spans="14:14" x14ac:dyDescent="0.25">
      <c r="N12250" s="26"/>
    </row>
    <row r="12251" spans="14:14" x14ac:dyDescent="0.25">
      <c r="N12251" s="26"/>
    </row>
    <row r="12252" spans="14:14" x14ac:dyDescent="0.25">
      <c r="N12252" s="26"/>
    </row>
    <row r="12253" spans="14:14" x14ac:dyDescent="0.25">
      <c r="N12253" s="26"/>
    </row>
    <row r="12254" spans="14:14" x14ac:dyDescent="0.25">
      <c r="N12254" s="26"/>
    </row>
    <row r="12255" spans="14:14" x14ac:dyDescent="0.25">
      <c r="N12255" s="26"/>
    </row>
    <row r="12256" spans="14:14" x14ac:dyDescent="0.25">
      <c r="N12256" s="26"/>
    </row>
    <row r="12257" spans="14:14" x14ac:dyDescent="0.25">
      <c r="N12257" s="26"/>
    </row>
    <row r="12258" spans="14:14" x14ac:dyDescent="0.25">
      <c r="N12258" s="26"/>
    </row>
    <row r="12259" spans="14:14" x14ac:dyDescent="0.25">
      <c r="N12259" s="26"/>
    </row>
    <row r="12260" spans="14:14" x14ac:dyDescent="0.25">
      <c r="N12260" s="26"/>
    </row>
    <row r="12261" spans="14:14" x14ac:dyDescent="0.25">
      <c r="N12261" s="26"/>
    </row>
    <row r="12262" spans="14:14" x14ac:dyDescent="0.25">
      <c r="N12262" s="26"/>
    </row>
    <row r="12263" spans="14:14" x14ac:dyDescent="0.25">
      <c r="N12263" s="26"/>
    </row>
    <row r="12264" spans="14:14" x14ac:dyDescent="0.25">
      <c r="N12264" s="26"/>
    </row>
    <row r="12265" spans="14:14" x14ac:dyDescent="0.25">
      <c r="N12265" s="26"/>
    </row>
    <row r="12266" spans="14:14" x14ac:dyDescent="0.25">
      <c r="N12266" s="26"/>
    </row>
    <row r="12267" spans="14:14" x14ac:dyDescent="0.25">
      <c r="N12267" s="26"/>
    </row>
    <row r="12268" spans="14:14" x14ac:dyDescent="0.25">
      <c r="N12268" s="26"/>
    </row>
    <row r="12269" spans="14:14" x14ac:dyDescent="0.25">
      <c r="N12269" s="26"/>
    </row>
    <row r="12270" spans="14:14" x14ac:dyDescent="0.25">
      <c r="N12270" s="26"/>
    </row>
    <row r="12271" spans="14:14" x14ac:dyDescent="0.25">
      <c r="N12271" s="26"/>
    </row>
    <row r="12272" spans="14:14" x14ac:dyDescent="0.25">
      <c r="N12272" s="26"/>
    </row>
    <row r="12273" spans="14:14" x14ac:dyDescent="0.25">
      <c r="N12273" s="26"/>
    </row>
    <row r="12274" spans="14:14" x14ac:dyDescent="0.25">
      <c r="N12274" s="26"/>
    </row>
    <row r="12275" spans="14:14" x14ac:dyDescent="0.25">
      <c r="N12275" s="26"/>
    </row>
    <row r="12276" spans="14:14" x14ac:dyDescent="0.25">
      <c r="N12276" s="26"/>
    </row>
    <row r="12277" spans="14:14" x14ac:dyDescent="0.25">
      <c r="N12277" s="26"/>
    </row>
    <row r="12278" spans="14:14" x14ac:dyDescent="0.25">
      <c r="N12278" s="26"/>
    </row>
    <row r="12279" spans="14:14" x14ac:dyDescent="0.25">
      <c r="N12279" s="26"/>
    </row>
    <row r="12280" spans="14:14" x14ac:dyDescent="0.25">
      <c r="N12280" s="26"/>
    </row>
    <row r="12281" spans="14:14" x14ac:dyDescent="0.25">
      <c r="N12281" s="26"/>
    </row>
    <row r="12282" spans="14:14" x14ac:dyDescent="0.25">
      <c r="N12282" s="26"/>
    </row>
    <row r="12283" spans="14:14" x14ac:dyDescent="0.25">
      <c r="N12283" s="26"/>
    </row>
    <row r="12284" spans="14:14" x14ac:dyDescent="0.25">
      <c r="N12284" s="26"/>
    </row>
    <row r="12285" spans="14:14" x14ac:dyDescent="0.25">
      <c r="N12285" s="26"/>
    </row>
    <row r="12286" spans="14:14" x14ac:dyDescent="0.25">
      <c r="N12286" s="26"/>
    </row>
    <row r="12287" spans="14:14" x14ac:dyDescent="0.25">
      <c r="N12287" s="26"/>
    </row>
    <row r="12288" spans="14:14" x14ac:dyDescent="0.25">
      <c r="N12288" s="26"/>
    </row>
    <row r="12289" spans="14:14" x14ac:dyDescent="0.25">
      <c r="N12289" s="26"/>
    </row>
    <row r="12290" spans="14:14" x14ac:dyDescent="0.25">
      <c r="N12290" s="26"/>
    </row>
    <row r="12291" spans="14:14" x14ac:dyDescent="0.25">
      <c r="N12291" s="26"/>
    </row>
    <row r="12292" spans="14:14" x14ac:dyDescent="0.25">
      <c r="N12292" s="26"/>
    </row>
    <row r="12293" spans="14:14" x14ac:dyDescent="0.25">
      <c r="N12293" s="26"/>
    </row>
    <row r="12294" spans="14:14" x14ac:dyDescent="0.25">
      <c r="N12294" s="26"/>
    </row>
    <row r="12295" spans="14:14" x14ac:dyDescent="0.25">
      <c r="N12295" s="26"/>
    </row>
    <row r="12296" spans="14:14" x14ac:dyDescent="0.25">
      <c r="N12296" s="26"/>
    </row>
    <row r="12297" spans="14:14" x14ac:dyDescent="0.25">
      <c r="N12297" s="26"/>
    </row>
    <row r="12298" spans="14:14" x14ac:dyDescent="0.25">
      <c r="N12298" s="26"/>
    </row>
    <row r="12299" spans="14:14" x14ac:dyDescent="0.25">
      <c r="N12299" s="26"/>
    </row>
    <row r="12300" spans="14:14" x14ac:dyDescent="0.25">
      <c r="N12300" s="26"/>
    </row>
    <row r="12301" spans="14:14" x14ac:dyDescent="0.25">
      <c r="N12301" s="26"/>
    </row>
    <row r="12302" spans="14:14" x14ac:dyDescent="0.25">
      <c r="N12302" s="26"/>
    </row>
    <row r="12303" spans="14:14" x14ac:dyDescent="0.25">
      <c r="N12303" s="26"/>
    </row>
    <row r="12304" spans="14:14" x14ac:dyDescent="0.25">
      <c r="N12304" s="26"/>
    </row>
    <row r="12305" spans="14:14" x14ac:dyDescent="0.25">
      <c r="N12305" s="26"/>
    </row>
    <row r="12306" spans="14:14" x14ac:dyDescent="0.25">
      <c r="N12306" s="26"/>
    </row>
    <row r="12307" spans="14:14" x14ac:dyDescent="0.25">
      <c r="N12307" s="26"/>
    </row>
    <row r="12308" spans="14:14" x14ac:dyDescent="0.25">
      <c r="N12308" s="26"/>
    </row>
    <row r="12309" spans="14:14" x14ac:dyDescent="0.25">
      <c r="N12309" s="26"/>
    </row>
    <row r="12310" spans="14:14" x14ac:dyDescent="0.25">
      <c r="N12310" s="26"/>
    </row>
    <row r="12311" spans="14:14" x14ac:dyDescent="0.25">
      <c r="N12311" s="26"/>
    </row>
    <row r="12312" spans="14:14" x14ac:dyDescent="0.25">
      <c r="N12312" s="26"/>
    </row>
    <row r="12313" spans="14:14" x14ac:dyDescent="0.25">
      <c r="N12313" s="26"/>
    </row>
    <row r="12314" spans="14:14" x14ac:dyDescent="0.25">
      <c r="N12314" s="26"/>
    </row>
    <row r="12315" spans="14:14" x14ac:dyDescent="0.25">
      <c r="N12315" s="26"/>
    </row>
    <row r="12316" spans="14:14" x14ac:dyDescent="0.25">
      <c r="N12316" s="26"/>
    </row>
    <row r="12317" spans="14:14" x14ac:dyDescent="0.25">
      <c r="N12317" s="26"/>
    </row>
    <row r="12318" spans="14:14" x14ac:dyDescent="0.25">
      <c r="N12318" s="26"/>
    </row>
    <row r="12319" spans="14:14" x14ac:dyDescent="0.25">
      <c r="N12319" s="26"/>
    </row>
    <row r="12320" spans="14:14" x14ac:dyDescent="0.25">
      <c r="N12320" s="26"/>
    </row>
    <row r="12321" spans="14:14" x14ac:dyDescent="0.25">
      <c r="N12321" s="26"/>
    </row>
    <row r="12322" spans="14:14" x14ac:dyDescent="0.25">
      <c r="N12322" s="26"/>
    </row>
    <row r="12323" spans="14:14" x14ac:dyDescent="0.25">
      <c r="N12323" s="26"/>
    </row>
    <row r="12324" spans="14:14" x14ac:dyDescent="0.25">
      <c r="N12324" s="26"/>
    </row>
    <row r="12325" spans="14:14" x14ac:dyDescent="0.25">
      <c r="N12325" s="26"/>
    </row>
    <row r="12326" spans="14:14" x14ac:dyDescent="0.25">
      <c r="N12326" s="26"/>
    </row>
    <row r="12327" spans="14:14" x14ac:dyDescent="0.25">
      <c r="N12327" s="26"/>
    </row>
    <row r="12328" spans="14:14" x14ac:dyDescent="0.25">
      <c r="N12328" s="26"/>
    </row>
    <row r="12329" spans="14:14" x14ac:dyDescent="0.25">
      <c r="N12329" s="26"/>
    </row>
    <row r="12330" spans="14:14" x14ac:dyDescent="0.25">
      <c r="N12330" s="26"/>
    </row>
    <row r="12331" spans="14:14" x14ac:dyDescent="0.25">
      <c r="N12331" s="26"/>
    </row>
    <row r="12332" spans="14:14" x14ac:dyDescent="0.25">
      <c r="N12332" s="26"/>
    </row>
    <row r="12333" spans="14:14" x14ac:dyDescent="0.25">
      <c r="N12333" s="26"/>
    </row>
    <row r="12334" spans="14:14" x14ac:dyDescent="0.25">
      <c r="N12334" s="26"/>
    </row>
    <row r="12335" spans="14:14" x14ac:dyDescent="0.25">
      <c r="N12335" s="26"/>
    </row>
    <row r="12336" spans="14:14" x14ac:dyDescent="0.25">
      <c r="N12336" s="26"/>
    </row>
    <row r="12337" spans="14:14" x14ac:dyDescent="0.25">
      <c r="N12337" s="26"/>
    </row>
    <row r="12338" spans="14:14" x14ac:dyDescent="0.25">
      <c r="N12338" s="26"/>
    </row>
    <row r="12339" spans="14:14" x14ac:dyDescent="0.25">
      <c r="N12339" s="26"/>
    </row>
    <row r="12340" spans="14:14" x14ac:dyDescent="0.25">
      <c r="N12340" s="26"/>
    </row>
    <row r="12341" spans="14:14" x14ac:dyDescent="0.25">
      <c r="N12341" s="26"/>
    </row>
    <row r="12342" spans="14:14" x14ac:dyDescent="0.25">
      <c r="N12342" s="26"/>
    </row>
    <row r="12343" spans="14:14" x14ac:dyDescent="0.25">
      <c r="N12343" s="26"/>
    </row>
    <row r="12344" spans="14:14" x14ac:dyDescent="0.25">
      <c r="N12344" s="26"/>
    </row>
    <row r="12345" spans="14:14" x14ac:dyDescent="0.25">
      <c r="N12345" s="26"/>
    </row>
    <row r="12346" spans="14:14" x14ac:dyDescent="0.25">
      <c r="N12346" s="26"/>
    </row>
    <row r="12347" spans="14:14" x14ac:dyDescent="0.25">
      <c r="N12347" s="26"/>
    </row>
    <row r="12348" spans="14:14" x14ac:dyDescent="0.25">
      <c r="N12348" s="26"/>
    </row>
    <row r="12349" spans="14:14" x14ac:dyDescent="0.25">
      <c r="N12349" s="26"/>
    </row>
    <row r="12350" spans="14:14" x14ac:dyDescent="0.25">
      <c r="N12350" s="26"/>
    </row>
    <row r="12351" spans="14:14" x14ac:dyDescent="0.25">
      <c r="N12351" s="26"/>
    </row>
    <row r="12352" spans="14:14" x14ac:dyDescent="0.25">
      <c r="N12352" s="26"/>
    </row>
    <row r="12353" spans="14:14" x14ac:dyDescent="0.25">
      <c r="N12353" s="26"/>
    </row>
    <row r="12354" spans="14:14" x14ac:dyDescent="0.25">
      <c r="N12354" s="26"/>
    </row>
    <row r="12355" spans="14:14" x14ac:dyDescent="0.25">
      <c r="N12355" s="26"/>
    </row>
    <row r="12356" spans="14:14" x14ac:dyDescent="0.25">
      <c r="N12356" s="26"/>
    </row>
    <row r="12357" spans="14:14" x14ac:dyDescent="0.25">
      <c r="N12357" s="26"/>
    </row>
    <row r="12358" spans="14:14" x14ac:dyDescent="0.25">
      <c r="N12358" s="26"/>
    </row>
    <row r="12359" spans="14:14" x14ac:dyDescent="0.25">
      <c r="N12359" s="26"/>
    </row>
    <row r="12360" spans="14:14" x14ac:dyDescent="0.25">
      <c r="N12360" s="26"/>
    </row>
    <row r="12361" spans="14:14" x14ac:dyDescent="0.25">
      <c r="N12361" s="26"/>
    </row>
    <row r="12362" spans="14:14" x14ac:dyDescent="0.25">
      <c r="N12362" s="26"/>
    </row>
    <row r="12363" spans="14:14" x14ac:dyDescent="0.25">
      <c r="N12363" s="26"/>
    </row>
    <row r="12364" spans="14:14" x14ac:dyDescent="0.25">
      <c r="N12364" s="26"/>
    </row>
    <row r="12365" spans="14:14" x14ac:dyDescent="0.25">
      <c r="N12365" s="26"/>
    </row>
    <row r="12366" spans="14:14" x14ac:dyDescent="0.25">
      <c r="N12366" s="26"/>
    </row>
    <row r="12367" spans="14:14" x14ac:dyDescent="0.25">
      <c r="N12367" s="26"/>
    </row>
    <row r="12368" spans="14:14" x14ac:dyDescent="0.25">
      <c r="N12368" s="26"/>
    </row>
    <row r="12369" spans="14:14" x14ac:dyDescent="0.25">
      <c r="N12369" s="26"/>
    </row>
    <row r="12370" spans="14:14" x14ac:dyDescent="0.25">
      <c r="N12370" s="26"/>
    </row>
    <row r="12371" spans="14:14" x14ac:dyDescent="0.25">
      <c r="N12371" s="26"/>
    </row>
    <row r="12372" spans="14:14" x14ac:dyDescent="0.25">
      <c r="N12372" s="26"/>
    </row>
    <row r="12373" spans="14:14" x14ac:dyDescent="0.25">
      <c r="N12373" s="26"/>
    </row>
    <row r="12374" spans="14:14" x14ac:dyDescent="0.25">
      <c r="N12374" s="26"/>
    </row>
    <row r="12375" spans="14:14" x14ac:dyDescent="0.25">
      <c r="N12375" s="26"/>
    </row>
    <row r="12376" spans="14:14" x14ac:dyDescent="0.25">
      <c r="N12376" s="26"/>
    </row>
    <row r="12377" spans="14:14" x14ac:dyDescent="0.25">
      <c r="N12377" s="26"/>
    </row>
    <row r="12378" spans="14:14" x14ac:dyDescent="0.25">
      <c r="N12378" s="26"/>
    </row>
    <row r="12379" spans="14:14" x14ac:dyDescent="0.25">
      <c r="N12379" s="26"/>
    </row>
    <row r="12380" spans="14:14" x14ac:dyDescent="0.25">
      <c r="N12380" s="26"/>
    </row>
    <row r="12381" spans="14:14" x14ac:dyDescent="0.25">
      <c r="N12381" s="26"/>
    </row>
    <row r="12382" spans="14:14" x14ac:dyDescent="0.25">
      <c r="N12382" s="26"/>
    </row>
    <row r="12383" spans="14:14" x14ac:dyDescent="0.25">
      <c r="N12383" s="26"/>
    </row>
    <row r="12384" spans="14:14" x14ac:dyDescent="0.25">
      <c r="N12384" s="26"/>
    </row>
    <row r="12385" spans="14:14" x14ac:dyDescent="0.25">
      <c r="N12385" s="26"/>
    </row>
    <row r="12386" spans="14:14" x14ac:dyDescent="0.25">
      <c r="N12386" s="26"/>
    </row>
    <row r="12387" spans="14:14" x14ac:dyDescent="0.25">
      <c r="N12387" s="26"/>
    </row>
    <row r="12388" spans="14:14" x14ac:dyDescent="0.25">
      <c r="N12388" s="26"/>
    </row>
    <row r="12389" spans="14:14" x14ac:dyDescent="0.25">
      <c r="N12389" s="26"/>
    </row>
    <row r="12390" spans="14:14" x14ac:dyDescent="0.25">
      <c r="N12390" s="26"/>
    </row>
    <row r="12391" spans="14:14" x14ac:dyDescent="0.25">
      <c r="N12391" s="26"/>
    </row>
    <row r="12392" spans="14:14" x14ac:dyDescent="0.25">
      <c r="N12392" s="26"/>
    </row>
    <row r="12393" spans="14:14" x14ac:dyDescent="0.25">
      <c r="N12393" s="26"/>
    </row>
    <row r="12394" spans="14:14" x14ac:dyDescent="0.25">
      <c r="N12394" s="26"/>
    </row>
    <row r="12395" spans="14:14" x14ac:dyDescent="0.25">
      <c r="N12395" s="26"/>
    </row>
    <row r="12396" spans="14:14" x14ac:dyDescent="0.25">
      <c r="N12396" s="26"/>
    </row>
    <row r="12397" spans="14:14" x14ac:dyDescent="0.25">
      <c r="N12397" s="26"/>
    </row>
    <row r="12398" spans="14:14" x14ac:dyDescent="0.25">
      <c r="N12398" s="26"/>
    </row>
    <row r="12399" spans="14:14" x14ac:dyDescent="0.25">
      <c r="N12399" s="26"/>
    </row>
    <row r="12400" spans="14:14" x14ac:dyDescent="0.25">
      <c r="N12400" s="26"/>
    </row>
    <row r="12401" spans="14:14" x14ac:dyDescent="0.25">
      <c r="N12401" s="26"/>
    </row>
    <row r="12402" spans="14:14" x14ac:dyDescent="0.25">
      <c r="N12402" s="26"/>
    </row>
    <row r="12403" spans="14:14" x14ac:dyDescent="0.25">
      <c r="N12403" s="26"/>
    </row>
    <row r="12404" spans="14:14" x14ac:dyDescent="0.25">
      <c r="N12404" s="26"/>
    </row>
    <row r="12405" spans="14:14" x14ac:dyDescent="0.25">
      <c r="N12405" s="26"/>
    </row>
    <row r="12406" spans="14:14" x14ac:dyDescent="0.25">
      <c r="N12406" s="26"/>
    </row>
    <row r="12407" spans="14:14" x14ac:dyDescent="0.25">
      <c r="N12407" s="26"/>
    </row>
    <row r="12408" spans="14:14" x14ac:dyDescent="0.25">
      <c r="N12408" s="26"/>
    </row>
    <row r="12409" spans="14:14" x14ac:dyDescent="0.25">
      <c r="N12409" s="26"/>
    </row>
    <row r="12410" spans="14:14" x14ac:dyDescent="0.25">
      <c r="N12410" s="26"/>
    </row>
    <row r="12411" spans="14:14" x14ac:dyDescent="0.25">
      <c r="N12411" s="26"/>
    </row>
    <row r="12412" spans="14:14" x14ac:dyDescent="0.25">
      <c r="N12412" s="26"/>
    </row>
    <row r="12413" spans="14:14" x14ac:dyDescent="0.25">
      <c r="N12413" s="26"/>
    </row>
    <row r="12414" spans="14:14" x14ac:dyDescent="0.25">
      <c r="N12414" s="26"/>
    </row>
    <row r="12415" spans="14:14" x14ac:dyDescent="0.25">
      <c r="N12415" s="26"/>
    </row>
    <row r="12416" spans="14:14" x14ac:dyDescent="0.25">
      <c r="N12416" s="26"/>
    </row>
    <row r="12417" spans="14:14" x14ac:dyDescent="0.25">
      <c r="N12417" s="26"/>
    </row>
    <row r="12418" spans="14:14" x14ac:dyDescent="0.25">
      <c r="N12418" s="26"/>
    </row>
    <row r="12419" spans="14:14" x14ac:dyDescent="0.25">
      <c r="N12419" s="26"/>
    </row>
    <row r="12420" spans="14:14" x14ac:dyDescent="0.25">
      <c r="N12420" s="26"/>
    </row>
    <row r="12421" spans="14:14" x14ac:dyDescent="0.25">
      <c r="N12421" s="26"/>
    </row>
    <row r="12422" spans="14:14" x14ac:dyDescent="0.25">
      <c r="N12422" s="26"/>
    </row>
    <row r="12423" spans="14:14" x14ac:dyDescent="0.25">
      <c r="N12423" s="26"/>
    </row>
    <row r="12424" spans="14:14" x14ac:dyDescent="0.25">
      <c r="N12424" s="26"/>
    </row>
    <row r="12425" spans="14:14" x14ac:dyDescent="0.25">
      <c r="N12425" s="26"/>
    </row>
    <row r="12426" spans="14:14" x14ac:dyDescent="0.25">
      <c r="N12426" s="26"/>
    </row>
    <row r="12427" spans="14:14" x14ac:dyDescent="0.25">
      <c r="N12427" s="26"/>
    </row>
    <row r="12428" spans="14:14" x14ac:dyDescent="0.25">
      <c r="N12428" s="26"/>
    </row>
    <row r="12429" spans="14:14" x14ac:dyDescent="0.25">
      <c r="N12429" s="26"/>
    </row>
    <row r="12430" spans="14:14" x14ac:dyDescent="0.25">
      <c r="N12430" s="26"/>
    </row>
    <row r="12431" spans="14:14" x14ac:dyDescent="0.25">
      <c r="N12431" s="26"/>
    </row>
    <row r="12432" spans="14:14" x14ac:dyDescent="0.25">
      <c r="N12432" s="26"/>
    </row>
    <row r="12433" spans="14:14" x14ac:dyDescent="0.25">
      <c r="N12433" s="26"/>
    </row>
    <row r="12434" spans="14:14" x14ac:dyDescent="0.25">
      <c r="N12434" s="26"/>
    </row>
    <row r="12435" spans="14:14" x14ac:dyDescent="0.25">
      <c r="N12435" s="26"/>
    </row>
    <row r="12436" spans="14:14" x14ac:dyDescent="0.25">
      <c r="N12436" s="26"/>
    </row>
    <row r="12437" spans="14:14" x14ac:dyDescent="0.25">
      <c r="N12437" s="26"/>
    </row>
    <row r="12438" spans="14:14" x14ac:dyDescent="0.25">
      <c r="N12438" s="26"/>
    </row>
    <row r="12439" spans="14:14" x14ac:dyDescent="0.25">
      <c r="N12439" s="26"/>
    </row>
    <row r="12440" spans="14:14" x14ac:dyDescent="0.25">
      <c r="N12440" s="26"/>
    </row>
    <row r="12441" spans="14:14" x14ac:dyDescent="0.25">
      <c r="N12441" s="26"/>
    </row>
    <row r="12442" spans="14:14" x14ac:dyDescent="0.25">
      <c r="N12442" s="26"/>
    </row>
    <row r="12443" spans="14:14" x14ac:dyDescent="0.25">
      <c r="N12443" s="26"/>
    </row>
    <row r="12444" spans="14:14" x14ac:dyDescent="0.25">
      <c r="N12444" s="26"/>
    </row>
    <row r="12445" spans="14:14" x14ac:dyDescent="0.25">
      <c r="N12445" s="26"/>
    </row>
    <row r="12446" spans="14:14" x14ac:dyDescent="0.25">
      <c r="N12446" s="26"/>
    </row>
    <row r="12447" spans="14:14" x14ac:dyDescent="0.25">
      <c r="N12447" s="26"/>
    </row>
    <row r="12448" spans="14:14" x14ac:dyDescent="0.25">
      <c r="N12448" s="26"/>
    </row>
    <row r="12449" spans="14:14" x14ac:dyDescent="0.25">
      <c r="N12449" s="26"/>
    </row>
    <row r="12450" spans="14:14" x14ac:dyDescent="0.25">
      <c r="N12450" s="26"/>
    </row>
    <row r="12451" spans="14:14" x14ac:dyDescent="0.25">
      <c r="N12451" s="26"/>
    </row>
    <row r="12452" spans="14:14" x14ac:dyDescent="0.25">
      <c r="N12452" s="26"/>
    </row>
    <row r="12453" spans="14:14" x14ac:dyDescent="0.25">
      <c r="N12453" s="26"/>
    </row>
    <row r="12454" spans="14:14" x14ac:dyDescent="0.25">
      <c r="N12454" s="26"/>
    </row>
    <row r="12455" spans="14:14" x14ac:dyDescent="0.25">
      <c r="N12455" s="26"/>
    </row>
    <row r="12456" spans="14:14" x14ac:dyDescent="0.25">
      <c r="N12456" s="26"/>
    </row>
    <row r="12457" spans="14:14" x14ac:dyDescent="0.25">
      <c r="N12457" s="26"/>
    </row>
    <row r="12458" spans="14:14" x14ac:dyDescent="0.25">
      <c r="N12458" s="26"/>
    </row>
    <row r="12459" spans="14:14" x14ac:dyDescent="0.25">
      <c r="N12459" s="26"/>
    </row>
    <row r="12460" spans="14:14" x14ac:dyDescent="0.25">
      <c r="N12460" s="26"/>
    </row>
    <row r="12461" spans="14:14" x14ac:dyDescent="0.25">
      <c r="N12461" s="26"/>
    </row>
    <row r="12462" spans="14:14" x14ac:dyDescent="0.25">
      <c r="N12462" s="26"/>
    </row>
    <row r="12463" spans="14:14" x14ac:dyDescent="0.25">
      <c r="N12463" s="26"/>
    </row>
    <row r="12464" spans="14:14" x14ac:dyDescent="0.25">
      <c r="N12464" s="26"/>
    </row>
    <row r="12465" spans="14:14" x14ac:dyDescent="0.25">
      <c r="N12465" s="26"/>
    </row>
    <row r="12466" spans="14:14" x14ac:dyDescent="0.25">
      <c r="N12466" s="26"/>
    </row>
    <row r="12467" spans="14:14" x14ac:dyDescent="0.25">
      <c r="N12467" s="26"/>
    </row>
    <row r="12468" spans="14:14" x14ac:dyDescent="0.25">
      <c r="N12468" s="26"/>
    </row>
    <row r="12469" spans="14:14" x14ac:dyDescent="0.25">
      <c r="N12469" s="26"/>
    </row>
    <row r="12470" spans="14:14" x14ac:dyDescent="0.25">
      <c r="N12470" s="26"/>
    </row>
    <row r="12471" spans="14:14" x14ac:dyDescent="0.25">
      <c r="N12471" s="26"/>
    </row>
    <row r="12472" spans="14:14" x14ac:dyDescent="0.25">
      <c r="N12472" s="26"/>
    </row>
    <row r="12473" spans="14:14" x14ac:dyDescent="0.25">
      <c r="N12473" s="26"/>
    </row>
    <row r="12474" spans="14:14" x14ac:dyDescent="0.25">
      <c r="N12474" s="26"/>
    </row>
    <row r="12475" spans="14:14" x14ac:dyDescent="0.25">
      <c r="N12475" s="26"/>
    </row>
    <row r="12476" spans="14:14" x14ac:dyDescent="0.25">
      <c r="N12476" s="26"/>
    </row>
    <row r="12477" spans="14:14" x14ac:dyDescent="0.25">
      <c r="N12477" s="26"/>
    </row>
    <row r="12478" spans="14:14" x14ac:dyDescent="0.25">
      <c r="N12478" s="26"/>
    </row>
    <row r="12479" spans="14:14" x14ac:dyDescent="0.25">
      <c r="N12479" s="26"/>
    </row>
    <row r="12480" spans="14:14" x14ac:dyDescent="0.25">
      <c r="N12480" s="26"/>
    </row>
    <row r="12481" spans="14:14" x14ac:dyDescent="0.25">
      <c r="N12481" s="26"/>
    </row>
    <row r="12482" spans="14:14" x14ac:dyDescent="0.25">
      <c r="N12482" s="26"/>
    </row>
    <row r="12483" spans="14:14" x14ac:dyDescent="0.25">
      <c r="N12483" s="26"/>
    </row>
    <row r="12484" spans="14:14" x14ac:dyDescent="0.25">
      <c r="N12484" s="26"/>
    </row>
    <row r="12485" spans="14:14" x14ac:dyDescent="0.25">
      <c r="N12485" s="26"/>
    </row>
    <row r="12486" spans="14:14" x14ac:dyDescent="0.25">
      <c r="N12486" s="26"/>
    </row>
    <row r="12487" spans="14:14" x14ac:dyDescent="0.25">
      <c r="N12487" s="26"/>
    </row>
    <row r="12488" spans="14:14" x14ac:dyDescent="0.25">
      <c r="N12488" s="26"/>
    </row>
    <row r="12489" spans="14:14" x14ac:dyDescent="0.25">
      <c r="N12489" s="26"/>
    </row>
    <row r="12490" spans="14:14" x14ac:dyDescent="0.25">
      <c r="N12490" s="26"/>
    </row>
    <row r="12491" spans="14:14" x14ac:dyDescent="0.25">
      <c r="N12491" s="26"/>
    </row>
    <row r="12492" spans="14:14" x14ac:dyDescent="0.25">
      <c r="N12492" s="26"/>
    </row>
    <row r="12493" spans="14:14" x14ac:dyDescent="0.25">
      <c r="N12493" s="26"/>
    </row>
    <row r="12494" spans="14:14" x14ac:dyDescent="0.25">
      <c r="N12494" s="26"/>
    </row>
    <row r="12495" spans="14:14" x14ac:dyDescent="0.25">
      <c r="N12495" s="26"/>
    </row>
    <row r="12496" spans="14:14" x14ac:dyDescent="0.25">
      <c r="N12496" s="26"/>
    </row>
    <row r="12497" spans="14:14" x14ac:dyDescent="0.25">
      <c r="N12497" s="26"/>
    </row>
    <row r="12498" spans="14:14" x14ac:dyDescent="0.25">
      <c r="N12498" s="26"/>
    </row>
    <row r="12499" spans="14:14" x14ac:dyDescent="0.25">
      <c r="N12499" s="26"/>
    </row>
    <row r="12500" spans="14:14" x14ac:dyDescent="0.25">
      <c r="N12500" s="26"/>
    </row>
    <row r="12501" spans="14:14" x14ac:dyDescent="0.25">
      <c r="N12501" s="26"/>
    </row>
    <row r="12502" spans="14:14" x14ac:dyDescent="0.25">
      <c r="N12502" s="26"/>
    </row>
    <row r="12503" spans="14:14" x14ac:dyDescent="0.25">
      <c r="N12503" s="26"/>
    </row>
    <row r="12504" spans="14:14" x14ac:dyDescent="0.25">
      <c r="N12504" s="26"/>
    </row>
    <row r="12505" spans="14:14" x14ac:dyDescent="0.25">
      <c r="N12505" s="26"/>
    </row>
    <row r="12506" spans="14:14" x14ac:dyDescent="0.25">
      <c r="N12506" s="26"/>
    </row>
    <row r="12507" spans="14:14" x14ac:dyDescent="0.25">
      <c r="N12507" s="26"/>
    </row>
    <row r="12508" spans="14:14" x14ac:dyDescent="0.25">
      <c r="N12508" s="26"/>
    </row>
    <row r="12509" spans="14:14" x14ac:dyDescent="0.25">
      <c r="N12509" s="26"/>
    </row>
    <row r="12510" spans="14:14" x14ac:dyDescent="0.25">
      <c r="N12510" s="26"/>
    </row>
    <row r="12511" spans="14:14" x14ac:dyDescent="0.25">
      <c r="N12511" s="26"/>
    </row>
    <row r="12512" spans="14:14" x14ac:dyDescent="0.25">
      <c r="N12512" s="26"/>
    </row>
    <row r="12513" spans="14:14" x14ac:dyDescent="0.25">
      <c r="N12513" s="26"/>
    </row>
    <row r="12514" spans="14:14" x14ac:dyDescent="0.25">
      <c r="N12514" s="26"/>
    </row>
    <row r="12515" spans="14:14" x14ac:dyDescent="0.25">
      <c r="N12515" s="26"/>
    </row>
    <row r="12516" spans="14:14" x14ac:dyDescent="0.25">
      <c r="N12516" s="26"/>
    </row>
    <row r="12517" spans="14:14" x14ac:dyDescent="0.25">
      <c r="N12517" s="26"/>
    </row>
    <row r="12518" spans="14:14" x14ac:dyDescent="0.25">
      <c r="N12518" s="26"/>
    </row>
    <row r="12519" spans="14:14" x14ac:dyDescent="0.25">
      <c r="N12519" s="26"/>
    </row>
    <row r="12520" spans="14:14" x14ac:dyDescent="0.25">
      <c r="N12520" s="26"/>
    </row>
    <row r="12521" spans="14:14" x14ac:dyDescent="0.25">
      <c r="N12521" s="26"/>
    </row>
    <row r="12522" spans="14:14" x14ac:dyDescent="0.25">
      <c r="N12522" s="26"/>
    </row>
    <row r="12523" spans="14:14" x14ac:dyDescent="0.25">
      <c r="N12523" s="26"/>
    </row>
    <row r="12524" spans="14:14" x14ac:dyDescent="0.25">
      <c r="N12524" s="26"/>
    </row>
    <row r="12525" spans="14:14" x14ac:dyDescent="0.25">
      <c r="N12525" s="26"/>
    </row>
    <row r="12526" spans="14:14" x14ac:dyDescent="0.25">
      <c r="N12526" s="26"/>
    </row>
    <row r="12527" spans="14:14" x14ac:dyDescent="0.25">
      <c r="N12527" s="26"/>
    </row>
    <row r="12528" spans="14:14" x14ac:dyDescent="0.25">
      <c r="N12528" s="26"/>
    </row>
    <row r="12529" spans="14:14" x14ac:dyDescent="0.25">
      <c r="N12529" s="26"/>
    </row>
    <row r="12530" spans="14:14" x14ac:dyDescent="0.25">
      <c r="N12530" s="26"/>
    </row>
    <row r="12531" spans="14:14" x14ac:dyDescent="0.25">
      <c r="N12531" s="26"/>
    </row>
    <row r="12532" spans="14:14" x14ac:dyDescent="0.25">
      <c r="N12532" s="26"/>
    </row>
    <row r="12533" spans="14:14" x14ac:dyDescent="0.25">
      <c r="N12533" s="26"/>
    </row>
    <row r="12534" spans="14:14" x14ac:dyDescent="0.25">
      <c r="N12534" s="26"/>
    </row>
    <row r="12535" spans="14:14" x14ac:dyDescent="0.25">
      <c r="N12535" s="26"/>
    </row>
    <row r="12536" spans="14:14" x14ac:dyDescent="0.25">
      <c r="N12536" s="26"/>
    </row>
    <row r="12537" spans="14:14" x14ac:dyDescent="0.25">
      <c r="N12537" s="26"/>
    </row>
    <row r="12538" spans="14:14" x14ac:dyDescent="0.25">
      <c r="N12538" s="26"/>
    </row>
    <row r="12539" spans="14:14" x14ac:dyDescent="0.25">
      <c r="N12539" s="26"/>
    </row>
    <row r="12540" spans="14:14" x14ac:dyDescent="0.25">
      <c r="N12540" s="26"/>
    </row>
    <row r="12541" spans="14:14" x14ac:dyDescent="0.25">
      <c r="N12541" s="26"/>
    </row>
    <row r="12542" spans="14:14" x14ac:dyDescent="0.25">
      <c r="N12542" s="26"/>
    </row>
    <row r="12543" spans="14:14" x14ac:dyDescent="0.25">
      <c r="N12543" s="26"/>
    </row>
    <row r="12544" spans="14:14" x14ac:dyDescent="0.25">
      <c r="N12544" s="26"/>
    </row>
    <row r="12545" spans="14:14" x14ac:dyDescent="0.25">
      <c r="N12545" s="26"/>
    </row>
    <row r="12546" spans="14:14" x14ac:dyDescent="0.25">
      <c r="N12546" s="26"/>
    </row>
    <row r="12547" spans="14:14" x14ac:dyDescent="0.25">
      <c r="N12547" s="26"/>
    </row>
    <row r="12548" spans="14:14" x14ac:dyDescent="0.25">
      <c r="N12548" s="26"/>
    </row>
    <row r="12549" spans="14:14" x14ac:dyDescent="0.25">
      <c r="N12549" s="26"/>
    </row>
    <row r="12550" spans="14:14" x14ac:dyDescent="0.25">
      <c r="N12550" s="26"/>
    </row>
    <row r="12551" spans="14:14" x14ac:dyDescent="0.25">
      <c r="N12551" s="26"/>
    </row>
    <row r="12552" spans="14:14" x14ac:dyDescent="0.25">
      <c r="N12552" s="26"/>
    </row>
    <row r="12553" spans="14:14" x14ac:dyDescent="0.25">
      <c r="N12553" s="26"/>
    </row>
    <row r="12554" spans="14:14" x14ac:dyDescent="0.25">
      <c r="N12554" s="26"/>
    </row>
    <row r="12555" spans="14:14" x14ac:dyDescent="0.25">
      <c r="N12555" s="26"/>
    </row>
    <row r="12556" spans="14:14" x14ac:dyDescent="0.25">
      <c r="N12556" s="26"/>
    </row>
    <row r="12557" spans="14:14" x14ac:dyDescent="0.25">
      <c r="N12557" s="26"/>
    </row>
    <row r="12558" spans="14:14" x14ac:dyDescent="0.25">
      <c r="N12558" s="26"/>
    </row>
    <row r="12559" spans="14:14" x14ac:dyDescent="0.25">
      <c r="N12559" s="26"/>
    </row>
    <row r="12560" spans="14:14" x14ac:dyDescent="0.25">
      <c r="N12560" s="26"/>
    </row>
    <row r="12561" spans="14:14" x14ac:dyDescent="0.25">
      <c r="N12561" s="26"/>
    </row>
    <row r="12562" spans="14:14" x14ac:dyDescent="0.25">
      <c r="N12562" s="26"/>
    </row>
    <row r="12563" spans="14:14" x14ac:dyDescent="0.25">
      <c r="N12563" s="26"/>
    </row>
    <row r="12564" spans="14:14" x14ac:dyDescent="0.25">
      <c r="N12564" s="26"/>
    </row>
    <row r="12565" spans="14:14" x14ac:dyDescent="0.25">
      <c r="N12565" s="26"/>
    </row>
    <row r="12566" spans="14:14" x14ac:dyDescent="0.25">
      <c r="N12566" s="26"/>
    </row>
    <row r="12567" spans="14:14" x14ac:dyDescent="0.25">
      <c r="N12567" s="26"/>
    </row>
    <row r="12568" spans="14:14" x14ac:dyDescent="0.25">
      <c r="N12568" s="26"/>
    </row>
    <row r="12569" spans="14:14" x14ac:dyDescent="0.25">
      <c r="N12569" s="26"/>
    </row>
    <row r="12570" spans="14:14" x14ac:dyDescent="0.25">
      <c r="N12570" s="26"/>
    </row>
    <row r="12571" spans="14:14" x14ac:dyDescent="0.25">
      <c r="N12571" s="26"/>
    </row>
    <row r="12572" spans="14:14" x14ac:dyDescent="0.25">
      <c r="N12572" s="26"/>
    </row>
    <row r="12573" spans="14:14" x14ac:dyDescent="0.25">
      <c r="N12573" s="26"/>
    </row>
    <row r="12574" spans="14:14" x14ac:dyDescent="0.25">
      <c r="N12574" s="26"/>
    </row>
    <row r="12575" spans="14:14" x14ac:dyDescent="0.25">
      <c r="N12575" s="26"/>
    </row>
    <row r="12576" spans="14:14" x14ac:dyDescent="0.25">
      <c r="N12576" s="26"/>
    </row>
    <row r="12577" spans="14:14" x14ac:dyDescent="0.25">
      <c r="N12577" s="26"/>
    </row>
    <row r="12578" spans="14:14" x14ac:dyDescent="0.25">
      <c r="N12578" s="26"/>
    </row>
    <row r="12579" spans="14:14" x14ac:dyDescent="0.25">
      <c r="N12579" s="26"/>
    </row>
    <row r="12580" spans="14:14" x14ac:dyDescent="0.25">
      <c r="N12580" s="26"/>
    </row>
    <row r="12581" spans="14:14" x14ac:dyDescent="0.25">
      <c r="N12581" s="26"/>
    </row>
    <row r="12582" spans="14:14" x14ac:dyDescent="0.25">
      <c r="N12582" s="26"/>
    </row>
    <row r="12583" spans="14:14" x14ac:dyDescent="0.25">
      <c r="N12583" s="26"/>
    </row>
    <row r="12584" spans="14:14" x14ac:dyDescent="0.25">
      <c r="N12584" s="26"/>
    </row>
    <row r="12585" spans="14:14" x14ac:dyDescent="0.25">
      <c r="N12585" s="26"/>
    </row>
    <row r="12586" spans="14:14" x14ac:dyDescent="0.25">
      <c r="N12586" s="26"/>
    </row>
    <row r="12587" spans="14:14" x14ac:dyDescent="0.25">
      <c r="N12587" s="26"/>
    </row>
    <row r="12588" spans="14:14" x14ac:dyDescent="0.25">
      <c r="N12588" s="26"/>
    </row>
    <row r="12589" spans="14:14" x14ac:dyDescent="0.25">
      <c r="N12589" s="26"/>
    </row>
    <row r="12590" spans="14:14" x14ac:dyDescent="0.25">
      <c r="N12590" s="26"/>
    </row>
    <row r="12591" spans="14:14" x14ac:dyDescent="0.25">
      <c r="N12591" s="26"/>
    </row>
    <row r="12592" spans="14:14" x14ac:dyDescent="0.25">
      <c r="N12592" s="26"/>
    </row>
    <row r="12593" spans="14:14" x14ac:dyDescent="0.25">
      <c r="N12593" s="26"/>
    </row>
    <row r="12594" spans="14:14" x14ac:dyDescent="0.25">
      <c r="N12594" s="26"/>
    </row>
    <row r="12595" spans="14:14" x14ac:dyDescent="0.25">
      <c r="N12595" s="26"/>
    </row>
    <row r="12596" spans="14:14" x14ac:dyDescent="0.25">
      <c r="N12596" s="26"/>
    </row>
    <row r="12597" spans="14:14" x14ac:dyDescent="0.25">
      <c r="N12597" s="26"/>
    </row>
    <row r="12598" spans="14:14" x14ac:dyDescent="0.25">
      <c r="N12598" s="26"/>
    </row>
    <row r="12599" spans="14:14" x14ac:dyDescent="0.25">
      <c r="N12599" s="26"/>
    </row>
    <row r="12600" spans="14:14" x14ac:dyDescent="0.25">
      <c r="N12600" s="26"/>
    </row>
    <row r="12601" spans="14:14" x14ac:dyDescent="0.25">
      <c r="N12601" s="26"/>
    </row>
    <row r="12602" spans="14:14" x14ac:dyDescent="0.25">
      <c r="N12602" s="26"/>
    </row>
    <row r="12603" spans="14:14" x14ac:dyDescent="0.25">
      <c r="N12603" s="26"/>
    </row>
    <row r="12604" spans="14:14" x14ac:dyDescent="0.25">
      <c r="N12604" s="26"/>
    </row>
    <row r="12605" spans="14:14" x14ac:dyDescent="0.25">
      <c r="N12605" s="26"/>
    </row>
    <row r="12606" spans="14:14" x14ac:dyDescent="0.25">
      <c r="N12606" s="26"/>
    </row>
    <row r="12607" spans="14:14" x14ac:dyDescent="0.25">
      <c r="N12607" s="26"/>
    </row>
    <row r="12608" spans="14:14" x14ac:dyDescent="0.25">
      <c r="N12608" s="26"/>
    </row>
    <row r="12609" spans="14:14" x14ac:dyDescent="0.25">
      <c r="N12609" s="26"/>
    </row>
    <row r="12610" spans="14:14" x14ac:dyDescent="0.25">
      <c r="N12610" s="26"/>
    </row>
    <row r="12611" spans="14:14" x14ac:dyDescent="0.25">
      <c r="N12611" s="26"/>
    </row>
    <row r="12612" spans="14:14" x14ac:dyDescent="0.25">
      <c r="N12612" s="26"/>
    </row>
    <row r="12613" spans="14:14" x14ac:dyDescent="0.25">
      <c r="N12613" s="26"/>
    </row>
    <row r="12614" spans="14:14" x14ac:dyDescent="0.25">
      <c r="N12614" s="26"/>
    </row>
    <row r="12615" spans="14:14" x14ac:dyDescent="0.25">
      <c r="N12615" s="26"/>
    </row>
    <row r="12616" spans="14:14" x14ac:dyDescent="0.25">
      <c r="N12616" s="26"/>
    </row>
    <row r="12617" spans="14:14" x14ac:dyDescent="0.25">
      <c r="N12617" s="26"/>
    </row>
    <row r="12618" spans="14:14" x14ac:dyDescent="0.25">
      <c r="N12618" s="26"/>
    </row>
    <row r="12619" spans="14:14" x14ac:dyDescent="0.25">
      <c r="N12619" s="26"/>
    </row>
    <row r="12620" spans="14:14" x14ac:dyDescent="0.25">
      <c r="N12620" s="26"/>
    </row>
    <row r="12621" spans="14:14" x14ac:dyDescent="0.25">
      <c r="N12621" s="26"/>
    </row>
    <row r="12622" spans="14:14" x14ac:dyDescent="0.25">
      <c r="N12622" s="26"/>
    </row>
    <row r="12623" spans="14:14" x14ac:dyDescent="0.25">
      <c r="N12623" s="26"/>
    </row>
    <row r="12624" spans="14:14" x14ac:dyDescent="0.25">
      <c r="N12624" s="26"/>
    </row>
    <row r="12625" spans="14:14" x14ac:dyDescent="0.25">
      <c r="N12625" s="26"/>
    </row>
    <row r="12626" spans="14:14" x14ac:dyDescent="0.25">
      <c r="N12626" s="26"/>
    </row>
    <row r="12627" spans="14:14" x14ac:dyDescent="0.25">
      <c r="N12627" s="26"/>
    </row>
    <row r="12628" spans="14:14" x14ac:dyDescent="0.25">
      <c r="N12628" s="26"/>
    </row>
    <row r="12629" spans="14:14" x14ac:dyDescent="0.25">
      <c r="N12629" s="26"/>
    </row>
    <row r="12630" spans="14:14" x14ac:dyDescent="0.25">
      <c r="N12630" s="26"/>
    </row>
    <row r="12631" spans="14:14" x14ac:dyDescent="0.25">
      <c r="N12631" s="26"/>
    </row>
    <row r="12632" spans="14:14" x14ac:dyDescent="0.25">
      <c r="N12632" s="26"/>
    </row>
    <row r="12633" spans="14:14" x14ac:dyDescent="0.25">
      <c r="N12633" s="26"/>
    </row>
    <row r="12634" spans="14:14" x14ac:dyDescent="0.25">
      <c r="N12634" s="26"/>
    </row>
    <row r="12635" spans="14:14" x14ac:dyDescent="0.25">
      <c r="N12635" s="26"/>
    </row>
    <row r="12636" spans="14:14" x14ac:dyDescent="0.25">
      <c r="N12636" s="26"/>
    </row>
    <row r="12637" spans="14:14" x14ac:dyDescent="0.25">
      <c r="N12637" s="26"/>
    </row>
    <row r="12638" spans="14:14" x14ac:dyDescent="0.25">
      <c r="N12638" s="26"/>
    </row>
    <row r="12639" spans="14:14" x14ac:dyDescent="0.25">
      <c r="N12639" s="26"/>
    </row>
    <row r="12640" spans="14:14" x14ac:dyDescent="0.25">
      <c r="N12640" s="26"/>
    </row>
    <row r="12641" spans="14:14" x14ac:dyDescent="0.25">
      <c r="N12641" s="26"/>
    </row>
    <row r="12642" spans="14:14" x14ac:dyDescent="0.25">
      <c r="N12642" s="26"/>
    </row>
    <row r="12643" spans="14:14" x14ac:dyDescent="0.25">
      <c r="N12643" s="26"/>
    </row>
    <row r="12644" spans="14:14" x14ac:dyDescent="0.25">
      <c r="N12644" s="26"/>
    </row>
    <row r="12645" spans="14:14" x14ac:dyDescent="0.25">
      <c r="N12645" s="26"/>
    </row>
    <row r="12646" spans="14:14" x14ac:dyDescent="0.25">
      <c r="N12646" s="26"/>
    </row>
    <row r="12647" spans="14:14" x14ac:dyDescent="0.25">
      <c r="N12647" s="26"/>
    </row>
    <row r="12648" spans="14:14" x14ac:dyDescent="0.25">
      <c r="N12648" s="26"/>
    </row>
    <row r="12649" spans="14:14" x14ac:dyDescent="0.25">
      <c r="N12649" s="26"/>
    </row>
    <row r="12650" spans="14:14" x14ac:dyDescent="0.25">
      <c r="N12650" s="26"/>
    </row>
    <row r="12651" spans="14:14" x14ac:dyDescent="0.25">
      <c r="N12651" s="26"/>
    </row>
    <row r="12652" spans="14:14" x14ac:dyDescent="0.25">
      <c r="N12652" s="26"/>
    </row>
    <row r="12653" spans="14:14" x14ac:dyDescent="0.25">
      <c r="N12653" s="26"/>
    </row>
    <row r="12654" spans="14:14" x14ac:dyDescent="0.25">
      <c r="N12654" s="26"/>
    </row>
    <row r="12655" spans="14:14" x14ac:dyDescent="0.25">
      <c r="N12655" s="26"/>
    </row>
    <row r="12656" spans="14:14" x14ac:dyDescent="0.25">
      <c r="N12656" s="26"/>
    </row>
    <row r="12657" spans="14:14" x14ac:dyDescent="0.25">
      <c r="N12657" s="26"/>
    </row>
    <row r="12658" spans="14:14" x14ac:dyDescent="0.25">
      <c r="N12658" s="26"/>
    </row>
    <row r="12659" spans="14:14" x14ac:dyDescent="0.25">
      <c r="N12659" s="26"/>
    </row>
    <row r="12660" spans="14:14" x14ac:dyDescent="0.25">
      <c r="N12660" s="26"/>
    </row>
    <row r="12661" spans="14:14" x14ac:dyDescent="0.25">
      <c r="N12661" s="26"/>
    </row>
    <row r="12662" spans="14:14" x14ac:dyDescent="0.25">
      <c r="N12662" s="26"/>
    </row>
    <row r="12663" spans="14:14" x14ac:dyDescent="0.25">
      <c r="N12663" s="26"/>
    </row>
    <row r="12664" spans="14:14" x14ac:dyDescent="0.25">
      <c r="N12664" s="26"/>
    </row>
    <row r="12665" spans="14:14" x14ac:dyDescent="0.25">
      <c r="N12665" s="26"/>
    </row>
    <row r="12666" spans="14:14" x14ac:dyDescent="0.25">
      <c r="N12666" s="26"/>
    </row>
    <row r="12667" spans="14:14" x14ac:dyDescent="0.25">
      <c r="N12667" s="26"/>
    </row>
    <row r="12668" spans="14:14" x14ac:dyDescent="0.25">
      <c r="N12668" s="26"/>
    </row>
    <row r="12669" spans="14:14" x14ac:dyDescent="0.25">
      <c r="N12669" s="26"/>
    </row>
    <row r="12670" spans="14:14" x14ac:dyDescent="0.25">
      <c r="N12670" s="26"/>
    </row>
    <row r="12671" spans="14:14" x14ac:dyDescent="0.25">
      <c r="N12671" s="26"/>
    </row>
    <row r="12672" spans="14:14" x14ac:dyDescent="0.25">
      <c r="N12672" s="26"/>
    </row>
    <row r="12673" spans="14:14" x14ac:dyDescent="0.25">
      <c r="N12673" s="26"/>
    </row>
    <row r="12674" spans="14:14" x14ac:dyDescent="0.25">
      <c r="N12674" s="26"/>
    </row>
    <row r="12675" spans="14:14" x14ac:dyDescent="0.25">
      <c r="N12675" s="26"/>
    </row>
    <row r="12676" spans="14:14" x14ac:dyDescent="0.25">
      <c r="N12676" s="26"/>
    </row>
    <row r="12677" spans="14:14" x14ac:dyDescent="0.25">
      <c r="N12677" s="26"/>
    </row>
    <row r="12678" spans="14:14" x14ac:dyDescent="0.25">
      <c r="N12678" s="26"/>
    </row>
    <row r="12679" spans="14:14" x14ac:dyDescent="0.25">
      <c r="N12679" s="26"/>
    </row>
    <row r="12680" spans="14:14" x14ac:dyDescent="0.25">
      <c r="N12680" s="26"/>
    </row>
    <row r="12681" spans="14:14" x14ac:dyDescent="0.25">
      <c r="N12681" s="26"/>
    </row>
    <row r="12682" spans="14:14" x14ac:dyDescent="0.25">
      <c r="N12682" s="26"/>
    </row>
    <row r="12683" spans="14:14" x14ac:dyDescent="0.25">
      <c r="N12683" s="26"/>
    </row>
    <row r="12684" spans="14:14" x14ac:dyDescent="0.25">
      <c r="N12684" s="26"/>
    </row>
    <row r="12685" spans="14:14" x14ac:dyDescent="0.25">
      <c r="N12685" s="26"/>
    </row>
    <row r="12686" spans="14:14" x14ac:dyDescent="0.25">
      <c r="N12686" s="26"/>
    </row>
    <row r="12687" spans="14:14" x14ac:dyDescent="0.25">
      <c r="N12687" s="26"/>
    </row>
    <row r="12688" spans="14:14" x14ac:dyDescent="0.25">
      <c r="N12688" s="26"/>
    </row>
    <row r="12689" spans="14:14" x14ac:dyDescent="0.25">
      <c r="N12689" s="26"/>
    </row>
    <row r="12690" spans="14:14" x14ac:dyDescent="0.25">
      <c r="N12690" s="26"/>
    </row>
    <row r="12691" spans="14:14" x14ac:dyDescent="0.25">
      <c r="N12691" s="26"/>
    </row>
    <row r="12692" spans="14:14" x14ac:dyDescent="0.25">
      <c r="N12692" s="26"/>
    </row>
    <row r="12693" spans="14:14" x14ac:dyDescent="0.25">
      <c r="N12693" s="26"/>
    </row>
    <row r="12694" spans="14:14" x14ac:dyDescent="0.25">
      <c r="N12694" s="26"/>
    </row>
    <row r="12695" spans="14:14" x14ac:dyDescent="0.25">
      <c r="N12695" s="26"/>
    </row>
    <row r="12696" spans="14:14" x14ac:dyDescent="0.25">
      <c r="N12696" s="26"/>
    </row>
    <row r="12697" spans="14:14" x14ac:dyDescent="0.25">
      <c r="N12697" s="26"/>
    </row>
    <row r="12698" spans="14:14" x14ac:dyDescent="0.25">
      <c r="N12698" s="26"/>
    </row>
    <row r="12699" spans="14:14" x14ac:dyDescent="0.25">
      <c r="N12699" s="26"/>
    </row>
    <row r="12700" spans="14:14" x14ac:dyDescent="0.25">
      <c r="N12700" s="26"/>
    </row>
    <row r="12701" spans="14:14" x14ac:dyDescent="0.25">
      <c r="N12701" s="26"/>
    </row>
    <row r="12702" spans="14:14" x14ac:dyDescent="0.25">
      <c r="N12702" s="26"/>
    </row>
    <row r="12703" spans="14:14" x14ac:dyDescent="0.25">
      <c r="N12703" s="26"/>
    </row>
    <row r="12704" spans="14:14" x14ac:dyDescent="0.25">
      <c r="N12704" s="26"/>
    </row>
    <row r="12705" spans="14:14" x14ac:dyDescent="0.25">
      <c r="N12705" s="26"/>
    </row>
    <row r="12706" spans="14:14" x14ac:dyDescent="0.25">
      <c r="N12706" s="26"/>
    </row>
    <row r="12707" spans="14:14" x14ac:dyDescent="0.25">
      <c r="N12707" s="26"/>
    </row>
    <row r="12708" spans="14:14" x14ac:dyDescent="0.25">
      <c r="N12708" s="26"/>
    </row>
    <row r="12709" spans="14:14" x14ac:dyDescent="0.25">
      <c r="N12709" s="26"/>
    </row>
    <row r="12710" spans="14:14" x14ac:dyDescent="0.25">
      <c r="N12710" s="26"/>
    </row>
    <row r="12711" spans="14:14" x14ac:dyDescent="0.25">
      <c r="N12711" s="26"/>
    </row>
    <row r="12712" spans="14:14" x14ac:dyDescent="0.25">
      <c r="N12712" s="26"/>
    </row>
    <row r="12713" spans="14:14" x14ac:dyDescent="0.25">
      <c r="N12713" s="26"/>
    </row>
    <row r="12714" spans="14:14" x14ac:dyDescent="0.25">
      <c r="N12714" s="26"/>
    </row>
    <row r="12715" spans="14:14" x14ac:dyDescent="0.25">
      <c r="N12715" s="26"/>
    </row>
    <row r="12716" spans="14:14" x14ac:dyDescent="0.25">
      <c r="N12716" s="26"/>
    </row>
    <row r="12717" spans="14:14" x14ac:dyDescent="0.25">
      <c r="N12717" s="26"/>
    </row>
    <row r="12718" spans="14:14" x14ac:dyDescent="0.25">
      <c r="N12718" s="26"/>
    </row>
    <row r="12719" spans="14:14" x14ac:dyDescent="0.25">
      <c r="N12719" s="26"/>
    </row>
    <row r="12720" spans="14:14" x14ac:dyDescent="0.25">
      <c r="N12720" s="26"/>
    </row>
    <row r="12721" spans="14:14" x14ac:dyDescent="0.25">
      <c r="N12721" s="26"/>
    </row>
    <row r="12722" spans="14:14" x14ac:dyDescent="0.25">
      <c r="N12722" s="26"/>
    </row>
    <row r="12723" spans="14:14" x14ac:dyDescent="0.25">
      <c r="N12723" s="26"/>
    </row>
    <row r="12724" spans="14:14" x14ac:dyDescent="0.25">
      <c r="N12724" s="26"/>
    </row>
    <row r="12725" spans="14:14" x14ac:dyDescent="0.25">
      <c r="N12725" s="26"/>
    </row>
    <row r="12726" spans="14:14" x14ac:dyDescent="0.25">
      <c r="N12726" s="26"/>
    </row>
    <row r="12727" spans="14:14" x14ac:dyDescent="0.25">
      <c r="N12727" s="26"/>
    </row>
    <row r="12728" spans="14:14" x14ac:dyDescent="0.25">
      <c r="N12728" s="26"/>
    </row>
    <row r="12729" spans="14:14" x14ac:dyDescent="0.25">
      <c r="N12729" s="26"/>
    </row>
    <row r="12730" spans="14:14" x14ac:dyDescent="0.25">
      <c r="N12730" s="26"/>
    </row>
    <row r="12731" spans="14:14" x14ac:dyDescent="0.25">
      <c r="N12731" s="26"/>
    </row>
    <row r="12732" spans="14:14" x14ac:dyDescent="0.25">
      <c r="N12732" s="26"/>
    </row>
    <row r="12733" spans="14:14" x14ac:dyDescent="0.25">
      <c r="N12733" s="26"/>
    </row>
    <row r="12734" spans="14:14" x14ac:dyDescent="0.25">
      <c r="N12734" s="26"/>
    </row>
    <row r="12735" spans="14:14" x14ac:dyDescent="0.25">
      <c r="N12735" s="26"/>
    </row>
    <row r="12736" spans="14:14" x14ac:dyDescent="0.25">
      <c r="N12736" s="26"/>
    </row>
    <row r="12737" spans="14:14" x14ac:dyDescent="0.25">
      <c r="N12737" s="26"/>
    </row>
    <row r="12738" spans="14:14" x14ac:dyDescent="0.25">
      <c r="N12738" s="26"/>
    </row>
    <row r="12739" spans="14:14" x14ac:dyDescent="0.25">
      <c r="N12739" s="26"/>
    </row>
    <row r="12740" spans="14:14" x14ac:dyDescent="0.25">
      <c r="N12740" s="26"/>
    </row>
    <row r="12741" spans="14:14" x14ac:dyDescent="0.25">
      <c r="N12741" s="26"/>
    </row>
    <row r="12742" spans="14:14" x14ac:dyDescent="0.25">
      <c r="N12742" s="26"/>
    </row>
    <row r="12743" spans="14:14" x14ac:dyDescent="0.25">
      <c r="N12743" s="26"/>
    </row>
    <row r="12744" spans="14:14" x14ac:dyDescent="0.25">
      <c r="N12744" s="26"/>
    </row>
    <row r="12745" spans="14:14" x14ac:dyDescent="0.25">
      <c r="N12745" s="26"/>
    </row>
    <row r="12746" spans="14:14" x14ac:dyDescent="0.25">
      <c r="N12746" s="26"/>
    </row>
    <row r="12747" spans="14:14" x14ac:dyDescent="0.25">
      <c r="N12747" s="26"/>
    </row>
    <row r="12748" spans="14:14" x14ac:dyDescent="0.25">
      <c r="N12748" s="26"/>
    </row>
    <row r="12749" spans="14:14" x14ac:dyDescent="0.25">
      <c r="N12749" s="26"/>
    </row>
    <row r="12750" spans="14:14" x14ac:dyDescent="0.25">
      <c r="N12750" s="26"/>
    </row>
    <row r="12751" spans="14:14" x14ac:dyDescent="0.25">
      <c r="N12751" s="26"/>
    </row>
    <row r="12752" spans="14:14" x14ac:dyDescent="0.25">
      <c r="N12752" s="26"/>
    </row>
    <row r="12753" spans="14:14" x14ac:dyDescent="0.25">
      <c r="N12753" s="26"/>
    </row>
    <row r="12754" spans="14:14" x14ac:dyDescent="0.25">
      <c r="N12754" s="26"/>
    </row>
    <row r="12755" spans="14:14" x14ac:dyDescent="0.25">
      <c r="N12755" s="26"/>
    </row>
    <row r="12756" spans="14:14" x14ac:dyDescent="0.25">
      <c r="N12756" s="26"/>
    </row>
    <row r="12757" spans="14:14" x14ac:dyDescent="0.25">
      <c r="N12757" s="26"/>
    </row>
    <row r="12758" spans="14:14" x14ac:dyDescent="0.25">
      <c r="N12758" s="26"/>
    </row>
    <row r="12759" spans="14:14" x14ac:dyDescent="0.25">
      <c r="N12759" s="26"/>
    </row>
    <row r="12760" spans="14:14" x14ac:dyDescent="0.25">
      <c r="N12760" s="26"/>
    </row>
    <row r="12761" spans="14:14" x14ac:dyDescent="0.25">
      <c r="N12761" s="26"/>
    </row>
    <row r="12762" spans="14:14" x14ac:dyDescent="0.25">
      <c r="N12762" s="26"/>
    </row>
    <row r="12763" spans="14:14" x14ac:dyDescent="0.25">
      <c r="N12763" s="26"/>
    </row>
    <row r="12764" spans="14:14" x14ac:dyDescent="0.25">
      <c r="N12764" s="26"/>
    </row>
    <row r="12765" spans="14:14" x14ac:dyDescent="0.25">
      <c r="N12765" s="26"/>
    </row>
    <row r="12766" spans="14:14" x14ac:dyDescent="0.25">
      <c r="N12766" s="26"/>
    </row>
    <row r="12767" spans="14:14" x14ac:dyDescent="0.25">
      <c r="N12767" s="26"/>
    </row>
    <row r="12768" spans="14:14" x14ac:dyDescent="0.25">
      <c r="N12768" s="26"/>
    </row>
    <row r="12769" spans="14:14" x14ac:dyDescent="0.25">
      <c r="N12769" s="26"/>
    </row>
    <row r="12770" spans="14:14" x14ac:dyDescent="0.25">
      <c r="N12770" s="26"/>
    </row>
    <row r="12771" spans="14:14" x14ac:dyDescent="0.25">
      <c r="N12771" s="26"/>
    </row>
    <row r="12772" spans="14:14" x14ac:dyDescent="0.25">
      <c r="N12772" s="26"/>
    </row>
    <row r="12773" spans="14:14" x14ac:dyDescent="0.25">
      <c r="N12773" s="26"/>
    </row>
    <row r="12774" spans="14:14" x14ac:dyDescent="0.25">
      <c r="N12774" s="26"/>
    </row>
    <row r="12775" spans="14:14" x14ac:dyDescent="0.25">
      <c r="N12775" s="26"/>
    </row>
    <row r="12776" spans="14:14" x14ac:dyDescent="0.25">
      <c r="N12776" s="26"/>
    </row>
    <row r="12777" spans="14:14" x14ac:dyDescent="0.25">
      <c r="N12777" s="26"/>
    </row>
    <row r="12778" spans="14:14" x14ac:dyDescent="0.25">
      <c r="N12778" s="26"/>
    </row>
    <row r="12779" spans="14:14" x14ac:dyDescent="0.25">
      <c r="N12779" s="26"/>
    </row>
    <row r="12780" spans="14:14" x14ac:dyDescent="0.25">
      <c r="N12780" s="26"/>
    </row>
    <row r="12781" spans="14:14" x14ac:dyDescent="0.25">
      <c r="N12781" s="26"/>
    </row>
    <row r="12782" spans="14:14" x14ac:dyDescent="0.25">
      <c r="N12782" s="26"/>
    </row>
    <row r="12783" spans="14:14" x14ac:dyDescent="0.25">
      <c r="N12783" s="26"/>
    </row>
    <row r="12784" spans="14:14" x14ac:dyDescent="0.25">
      <c r="N12784" s="26"/>
    </row>
    <row r="12785" spans="14:14" x14ac:dyDescent="0.25">
      <c r="N12785" s="26"/>
    </row>
    <row r="12786" spans="14:14" x14ac:dyDescent="0.25">
      <c r="N12786" s="26"/>
    </row>
    <row r="12787" spans="14:14" x14ac:dyDescent="0.25">
      <c r="N12787" s="26"/>
    </row>
    <row r="12788" spans="14:14" x14ac:dyDescent="0.25">
      <c r="N12788" s="26"/>
    </row>
    <row r="12789" spans="14:14" x14ac:dyDescent="0.25">
      <c r="N12789" s="26"/>
    </row>
    <row r="12790" spans="14:14" x14ac:dyDescent="0.25">
      <c r="N12790" s="26"/>
    </row>
    <row r="12791" spans="14:14" x14ac:dyDescent="0.25">
      <c r="N12791" s="26"/>
    </row>
    <row r="12792" spans="14:14" x14ac:dyDescent="0.25">
      <c r="N12792" s="26"/>
    </row>
    <row r="12793" spans="14:14" x14ac:dyDescent="0.25">
      <c r="N12793" s="26"/>
    </row>
    <row r="12794" spans="14:14" x14ac:dyDescent="0.25">
      <c r="N12794" s="26"/>
    </row>
    <row r="12795" spans="14:14" x14ac:dyDescent="0.25">
      <c r="N12795" s="26"/>
    </row>
    <row r="12796" spans="14:14" x14ac:dyDescent="0.25">
      <c r="N12796" s="26"/>
    </row>
    <row r="12797" spans="14:14" x14ac:dyDescent="0.25">
      <c r="N12797" s="26"/>
    </row>
    <row r="12798" spans="14:14" x14ac:dyDescent="0.25">
      <c r="N12798" s="26"/>
    </row>
    <row r="12799" spans="14:14" x14ac:dyDescent="0.25">
      <c r="N12799" s="26"/>
    </row>
    <row r="12800" spans="14:14" x14ac:dyDescent="0.25">
      <c r="N12800" s="26"/>
    </row>
    <row r="12801" spans="14:14" x14ac:dyDescent="0.25">
      <c r="N12801" s="26"/>
    </row>
    <row r="12802" spans="14:14" x14ac:dyDescent="0.25">
      <c r="N12802" s="26"/>
    </row>
    <row r="12803" spans="14:14" x14ac:dyDescent="0.25">
      <c r="N12803" s="26"/>
    </row>
    <row r="12804" spans="14:14" x14ac:dyDescent="0.25">
      <c r="N12804" s="26"/>
    </row>
    <row r="12805" spans="14:14" x14ac:dyDescent="0.25">
      <c r="N12805" s="26"/>
    </row>
    <row r="12806" spans="14:14" x14ac:dyDescent="0.25">
      <c r="N12806" s="26"/>
    </row>
    <row r="12807" spans="14:14" x14ac:dyDescent="0.25">
      <c r="N12807" s="26"/>
    </row>
    <row r="12808" spans="14:14" x14ac:dyDescent="0.25">
      <c r="N12808" s="26"/>
    </row>
    <row r="12809" spans="14:14" x14ac:dyDescent="0.25">
      <c r="N12809" s="26"/>
    </row>
    <row r="12810" spans="14:14" x14ac:dyDescent="0.25">
      <c r="N12810" s="26"/>
    </row>
    <row r="12811" spans="14:14" x14ac:dyDescent="0.25">
      <c r="N12811" s="26"/>
    </row>
    <row r="12812" spans="14:14" x14ac:dyDescent="0.25">
      <c r="N12812" s="26"/>
    </row>
    <row r="12813" spans="14:14" x14ac:dyDescent="0.25">
      <c r="N12813" s="26"/>
    </row>
    <row r="12814" spans="14:14" x14ac:dyDescent="0.25">
      <c r="N12814" s="26"/>
    </row>
    <row r="12815" spans="14:14" x14ac:dyDescent="0.25">
      <c r="N12815" s="26"/>
    </row>
    <row r="12816" spans="14:14" x14ac:dyDescent="0.25">
      <c r="N12816" s="26"/>
    </row>
    <row r="12817" spans="14:14" x14ac:dyDescent="0.25">
      <c r="N12817" s="26"/>
    </row>
    <row r="12818" spans="14:14" x14ac:dyDescent="0.25">
      <c r="N12818" s="26"/>
    </row>
    <row r="12819" spans="14:14" x14ac:dyDescent="0.25">
      <c r="N12819" s="26"/>
    </row>
    <row r="12820" spans="14:14" x14ac:dyDescent="0.25">
      <c r="N12820" s="26"/>
    </row>
    <row r="12821" spans="14:14" x14ac:dyDescent="0.25">
      <c r="N12821" s="26"/>
    </row>
    <row r="12822" spans="14:14" x14ac:dyDescent="0.25">
      <c r="N12822" s="26"/>
    </row>
    <row r="12823" spans="14:14" x14ac:dyDescent="0.25">
      <c r="N12823" s="26"/>
    </row>
    <row r="12824" spans="14:14" x14ac:dyDescent="0.25">
      <c r="N12824" s="26"/>
    </row>
    <row r="12825" spans="14:14" x14ac:dyDescent="0.25">
      <c r="N12825" s="26"/>
    </row>
    <row r="12826" spans="14:14" x14ac:dyDescent="0.25">
      <c r="N12826" s="26"/>
    </row>
    <row r="12827" spans="14:14" x14ac:dyDescent="0.25">
      <c r="N12827" s="26"/>
    </row>
    <row r="12828" spans="14:14" x14ac:dyDescent="0.25">
      <c r="N12828" s="26"/>
    </row>
    <row r="12829" spans="14:14" x14ac:dyDescent="0.25">
      <c r="N12829" s="26"/>
    </row>
    <row r="12830" spans="14:14" x14ac:dyDescent="0.25">
      <c r="N12830" s="26"/>
    </row>
    <row r="12831" spans="14:14" x14ac:dyDescent="0.25">
      <c r="N12831" s="26"/>
    </row>
    <row r="12832" spans="14:14" x14ac:dyDescent="0.25">
      <c r="N12832" s="26"/>
    </row>
    <row r="12833" spans="14:14" x14ac:dyDescent="0.25">
      <c r="N12833" s="26"/>
    </row>
    <row r="12834" spans="14:14" x14ac:dyDescent="0.25">
      <c r="N12834" s="26"/>
    </row>
    <row r="12835" spans="14:14" x14ac:dyDescent="0.25">
      <c r="N12835" s="26"/>
    </row>
    <row r="12836" spans="14:14" x14ac:dyDescent="0.25">
      <c r="N12836" s="26"/>
    </row>
    <row r="12837" spans="14:14" x14ac:dyDescent="0.25">
      <c r="N12837" s="26"/>
    </row>
    <row r="12838" spans="14:14" x14ac:dyDescent="0.25">
      <c r="N12838" s="26"/>
    </row>
    <row r="12839" spans="14:14" x14ac:dyDescent="0.25">
      <c r="N12839" s="26"/>
    </row>
    <row r="12840" spans="14:14" x14ac:dyDescent="0.25">
      <c r="N12840" s="26"/>
    </row>
    <row r="12841" spans="14:14" x14ac:dyDescent="0.25">
      <c r="N12841" s="26"/>
    </row>
    <row r="12842" spans="14:14" x14ac:dyDescent="0.25">
      <c r="N12842" s="26"/>
    </row>
    <row r="12843" spans="14:14" x14ac:dyDescent="0.25">
      <c r="N12843" s="26"/>
    </row>
    <row r="12844" spans="14:14" x14ac:dyDescent="0.25">
      <c r="N12844" s="26"/>
    </row>
    <row r="12845" spans="14:14" x14ac:dyDescent="0.25">
      <c r="N12845" s="26"/>
    </row>
    <row r="12846" spans="14:14" x14ac:dyDescent="0.25">
      <c r="N12846" s="26"/>
    </row>
    <row r="12847" spans="14:14" x14ac:dyDescent="0.25">
      <c r="N12847" s="26"/>
    </row>
    <row r="12848" spans="14:14" x14ac:dyDescent="0.25">
      <c r="N12848" s="26"/>
    </row>
    <row r="12849" spans="14:14" x14ac:dyDescent="0.25">
      <c r="N12849" s="26"/>
    </row>
    <row r="12850" spans="14:14" x14ac:dyDescent="0.25">
      <c r="N12850" s="26"/>
    </row>
    <row r="12851" spans="14:14" x14ac:dyDescent="0.25">
      <c r="N12851" s="26"/>
    </row>
    <row r="12852" spans="14:14" x14ac:dyDescent="0.25">
      <c r="N12852" s="26"/>
    </row>
    <row r="12853" spans="14:14" x14ac:dyDescent="0.25">
      <c r="N12853" s="26"/>
    </row>
    <row r="12854" spans="14:14" x14ac:dyDescent="0.25">
      <c r="N12854" s="26"/>
    </row>
    <row r="12855" spans="14:14" x14ac:dyDescent="0.25">
      <c r="N12855" s="26"/>
    </row>
    <row r="12856" spans="14:14" x14ac:dyDescent="0.25">
      <c r="N12856" s="26"/>
    </row>
    <row r="12857" spans="14:14" x14ac:dyDescent="0.25">
      <c r="N12857" s="26"/>
    </row>
    <row r="12858" spans="14:14" x14ac:dyDescent="0.25">
      <c r="N12858" s="26"/>
    </row>
    <row r="12859" spans="14:14" x14ac:dyDescent="0.25">
      <c r="N12859" s="26"/>
    </row>
    <row r="12860" spans="14:14" x14ac:dyDescent="0.25">
      <c r="N12860" s="26"/>
    </row>
    <row r="12861" spans="14:14" x14ac:dyDescent="0.25">
      <c r="N12861" s="26"/>
    </row>
    <row r="12862" spans="14:14" x14ac:dyDescent="0.25">
      <c r="N12862" s="26"/>
    </row>
    <row r="12863" spans="14:14" x14ac:dyDescent="0.25">
      <c r="N12863" s="26"/>
    </row>
    <row r="12864" spans="14:14" x14ac:dyDescent="0.25">
      <c r="N12864" s="26"/>
    </row>
    <row r="12865" spans="14:14" x14ac:dyDescent="0.25">
      <c r="N12865" s="26"/>
    </row>
    <row r="12866" spans="14:14" x14ac:dyDescent="0.25">
      <c r="N12866" s="26"/>
    </row>
    <row r="12867" spans="14:14" x14ac:dyDescent="0.25">
      <c r="N12867" s="26"/>
    </row>
    <row r="12868" spans="14:14" x14ac:dyDescent="0.25">
      <c r="N12868" s="26"/>
    </row>
    <row r="12869" spans="14:14" x14ac:dyDescent="0.25">
      <c r="N12869" s="26"/>
    </row>
    <row r="12870" spans="14:14" x14ac:dyDescent="0.25">
      <c r="N12870" s="26"/>
    </row>
    <row r="12871" spans="14:14" x14ac:dyDescent="0.25">
      <c r="N12871" s="26"/>
    </row>
    <row r="12872" spans="14:14" x14ac:dyDescent="0.25">
      <c r="N12872" s="26"/>
    </row>
    <row r="12873" spans="14:14" x14ac:dyDescent="0.25">
      <c r="N12873" s="26"/>
    </row>
    <row r="12874" spans="14:14" x14ac:dyDescent="0.25">
      <c r="N12874" s="26"/>
    </row>
    <row r="12875" spans="14:14" x14ac:dyDescent="0.25">
      <c r="N12875" s="26"/>
    </row>
    <row r="12876" spans="14:14" x14ac:dyDescent="0.25">
      <c r="N12876" s="26"/>
    </row>
    <row r="12877" spans="14:14" x14ac:dyDescent="0.25">
      <c r="N12877" s="26"/>
    </row>
    <row r="12878" spans="14:14" x14ac:dyDescent="0.25">
      <c r="N12878" s="26"/>
    </row>
    <row r="12879" spans="14:14" x14ac:dyDescent="0.25">
      <c r="N12879" s="26"/>
    </row>
    <row r="12880" spans="14:14" x14ac:dyDescent="0.25">
      <c r="N12880" s="26"/>
    </row>
    <row r="12881" spans="14:14" x14ac:dyDescent="0.25">
      <c r="N12881" s="26"/>
    </row>
    <row r="12882" spans="14:14" x14ac:dyDescent="0.25">
      <c r="N12882" s="26"/>
    </row>
    <row r="12883" spans="14:14" x14ac:dyDescent="0.25">
      <c r="N12883" s="26"/>
    </row>
    <row r="12884" spans="14:14" x14ac:dyDescent="0.25">
      <c r="N12884" s="26"/>
    </row>
    <row r="12885" spans="14:14" x14ac:dyDescent="0.25">
      <c r="N12885" s="26"/>
    </row>
    <row r="12886" spans="14:14" x14ac:dyDescent="0.25">
      <c r="N12886" s="26"/>
    </row>
    <row r="12887" spans="14:14" x14ac:dyDescent="0.25">
      <c r="N12887" s="26"/>
    </row>
    <row r="12888" spans="14:14" x14ac:dyDescent="0.25">
      <c r="N12888" s="26"/>
    </row>
    <row r="12889" spans="14:14" x14ac:dyDescent="0.25">
      <c r="N12889" s="26"/>
    </row>
    <row r="12890" spans="14:14" x14ac:dyDescent="0.25">
      <c r="N12890" s="26"/>
    </row>
    <row r="12891" spans="14:14" x14ac:dyDescent="0.25">
      <c r="N12891" s="26"/>
    </row>
    <row r="12892" spans="14:14" x14ac:dyDescent="0.25">
      <c r="N12892" s="26"/>
    </row>
    <row r="12893" spans="14:14" x14ac:dyDescent="0.25">
      <c r="N12893" s="26"/>
    </row>
    <row r="12894" spans="14:14" x14ac:dyDescent="0.25">
      <c r="N12894" s="26"/>
    </row>
    <row r="12895" spans="14:14" x14ac:dyDescent="0.25">
      <c r="N12895" s="26"/>
    </row>
    <row r="12896" spans="14:14" x14ac:dyDescent="0.25">
      <c r="N12896" s="26"/>
    </row>
    <row r="12897" spans="14:14" x14ac:dyDescent="0.25">
      <c r="N12897" s="26"/>
    </row>
    <row r="12898" spans="14:14" x14ac:dyDescent="0.25">
      <c r="N12898" s="26"/>
    </row>
    <row r="12899" spans="14:14" x14ac:dyDescent="0.25">
      <c r="N12899" s="26"/>
    </row>
    <row r="12900" spans="14:14" x14ac:dyDescent="0.25">
      <c r="N12900" s="26"/>
    </row>
    <row r="12901" spans="14:14" x14ac:dyDescent="0.25">
      <c r="N12901" s="26"/>
    </row>
    <row r="12902" spans="14:14" x14ac:dyDescent="0.25">
      <c r="N12902" s="26"/>
    </row>
    <row r="12903" spans="14:14" x14ac:dyDescent="0.25">
      <c r="N12903" s="26"/>
    </row>
    <row r="12904" spans="14:14" x14ac:dyDescent="0.25">
      <c r="N12904" s="26"/>
    </row>
    <row r="12905" spans="14:14" x14ac:dyDescent="0.25">
      <c r="N12905" s="26"/>
    </row>
    <row r="12906" spans="14:14" x14ac:dyDescent="0.25">
      <c r="N12906" s="26"/>
    </row>
    <row r="12907" spans="14:14" x14ac:dyDescent="0.25">
      <c r="N12907" s="26"/>
    </row>
    <row r="12908" spans="14:14" x14ac:dyDescent="0.25">
      <c r="N12908" s="26"/>
    </row>
    <row r="12909" spans="14:14" x14ac:dyDescent="0.25">
      <c r="N12909" s="26"/>
    </row>
    <row r="12910" spans="14:14" x14ac:dyDescent="0.25">
      <c r="N12910" s="26"/>
    </row>
    <row r="12911" spans="14:14" x14ac:dyDescent="0.25">
      <c r="N12911" s="26"/>
    </row>
    <row r="12912" spans="14:14" x14ac:dyDescent="0.25">
      <c r="N12912" s="26"/>
    </row>
    <row r="12913" spans="14:14" x14ac:dyDescent="0.25">
      <c r="N12913" s="26"/>
    </row>
    <row r="12914" spans="14:14" x14ac:dyDescent="0.25">
      <c r="N12914" s="26"/>
    </row>
    <row r="12915" spans="14:14" x14ac:dyDescent="0.25">
      <c r="N12915" s="26"/>
    </row>
    <row r="12916" spans="14:14" x14ac:dyDescent="0.25">
      <c r="N12916" s="26"/>
    </row>
    <row r="12917" spans="14:14" x14ac:dyDescent="0.25">
      <c r="N12917" s="26"/>
    </row>
    <row r="12918" spans="14:14" x14ac:dyDescent="0.25">
      <c r="N12918" s="26"/>
    </row>
    <row r="12919" spans="14:14" x14ac:dyDescent="0.25">
      <c r="N12919" s="26"/>
    </row>
    <row r="12920" spans="14:14" x14ac:dyDescent="0.25">
      <c r="N12920" s="26"/>
    </row>
    <row r="12921" spans="14:14" x14ac:dyDescent="0.25">
      <c r="N12921" s="26"/>
    </row>
    <row r="12922" spans="14:14" x14ac:dyDescent="0.25">
      <c r="N12922" s="26"/>
    </row>
    <row r="12923" spans="14:14" x14ac:dyDescent="0.25">
      <c r="N12923" s="26"/>
    </row>
    <row r="12924" spans="14:14" x14ac:dyDescent="0.25">
      <c r="N12924" s="26"/>
    </row>
    <row r="12925" spans="14:14" x14ac:dyDescent="0.25">
      <c r="N12925" s="26"/>
    </row>
    <row r="12926" spans="14:14" x14ac:dyDescent="0.25">
      <c r="N12926" s="26"/>
    </row>
    <row r="12927" spans="14:14" x14ac:dyDescent="0.25">
      <c r="N12927" s="26"/>
    </row>
    <row r="12928" spans="14:14" x14ac:dyDescent="0.25">
      <c r="N12928" s="26"/>
    </row>
    <row r="12929" spans="14:14" x14ac:dyDescent="0.25">
      <c r="N12929" s="26"/>
    </row>
    <row r="12930" spans="14:14" x14ac:dyDescent="0.25">
      <c r="N12930" s="26"/>
    </row>
    <row r="12931" spans="14:14" x14ac:dyDescent="0.25">
      <c r="N12931" s="26"/>
    </row>
    <row r="12932" spans="14:14" x14ac:dyDescent="0.25">
      <c r="N12932" s="26"/>
    </row>
    <row r="12933" spans="14:14" x14ac:dyDescent="0.25">
      <c r="N12933" s="26"/>
    </row>
    <row r="12934" spans="14:14" x14ac:dyDescent="0.25">
      <c r="N12934" s="26"/>
    </row>
    <row r="12935" spans="14:14" x14ac:dyDescent="0.25">
      <c r="N12935" s="26"/>
    </row>
    <row r="12936" spans="14:14" x14ac:dyDescent="0.25">
      <c r="N12936" s="26"/>
    </row>
    <row r="12937" spans="14:14" x14ac:dyDescent="0.25">
      <c r="N12937" s="26"/>
    </row>
    <row r="12938" spans="14:14" x14ac:dyDescent="0.25">
      <c r="N12938" s="26"/>
    </row>
    <row r="12939" spans="14:14" x14ac:dyDescent="0.25">
      <c r="N12939" s="26"/>
    </row>
    <row r="12940" spans="14:14" x14ac:dyDescent="0.25">
      <c r="N12940" s="26"/>
    </row>
    <row r="12941" spans="14:14" x14ac:dyDescent="0.25">
      <c r="N12941" s="26"/>
    </row>
    <row r="12942" spans="14:14" x14ac:dyDescent="0.25">
      <c r="N12942" s="26"/>
    </row>
    <row r="12943" spans="14:14" x14ac:dyDescent="0.25">
      <c r="N12943" s="26"/>
    </row>
    <row r="12944" spans="14:14" x14ac:dyDescent="0.25">
      <c r="N12944" s="26"/>
    </row>
    <row r="12945" spans="14:14" x14ac:dyDescent="0.25">
      <c r="N12945" s="26"/>
    </row>
    <row r="12946" spans="14:14" x14ac:dyDescent="0.25">
      <c r="N12946" s="26"/>
    </row>
    <row r="12947" spans="14:14" x14ac:dyDescent="0.25">
      <c r="N12947" s="26"/>
    </row>
    <row r="12948" spans="14:14" x14ac:dyDescent="0.25">
      <c r="N12948" s="26"/>
    </row>
    <row r="12949" spans="14:14" x14ac:dyDescent="0.25">
      <c r="N12949" s="26"/>
    </row>
    <row r="12950" spans="14:14" x14ac:dyDescent="0.25">
      <c r="N12950" s="26"/>
    </row>
    <row r="12951" spans="14:14" x14ac:dyDescent="0.25">
      <c r="N12951" s="26"/>
    </row>
    <row r="12952" spans="14:14" x14ac:dyDescent="0.25">
      <c r="N12952" s="26"/>
    </row>
    <row r="12953" spans="14:14" x14ac:dyDescent="0.25">
      <c r="N12953" s="26"/>
    </row>
    <row r="12954" spans="14:14" x14ac:dyDescent="0.25">
      <c r="N12954" s="26"/>
    </row>
    <row r="12955" spans="14:14" x14ac:dyDescent="0.25">
      <c r="N12955" s="26"/>
    </row>
    <row r="12956" spans="14:14" x14ac:dyDescent="0.25">
      <c r="N12956" s="26"/>
    </row>
    <row r="12957" spans="14:14" x14ac:dyDescent="0.25">
      <c r="N12957" s="26"/>
    </row>
    <row r="12958" spans="14:14" x14ac:dyDescent="0.25">
      <c r="N12958" s="26"/>
    </row>
    <row r="12959" spans="14:14" x14ac:dyDescent="0.25">
      <c r="N12959" s="26"/>
    </row>
    <row r="12960" spans="14:14" x14ac:dyDescent="0.25">
      <c r="N12960" s="26"/>
    </row>
    <row r="12961" spans="14:14" x14ac:dyDescent="0.25">
      <c r="N12961" s="26"/>
    </row>
    <row r="12962" spans="14:14" x14ac:dyDescent="0.25">
      <c r="N12962" s="26"/>
    </row>
    <row r="12963" spans="14:14" x14ac:dyDescent="0.25">
      <c r="N12963" s="26"/>
    </row>
    <row r="12964" spans="14:14" x14ac:dyDescent="0.25">
      <c r="N12964" s="26"/>
    </row>
    <row r="12965" spans="14:14" x14ac:dyDescent="0.25">
      <c r="N12965" s="26"/>
    </row>
    <row r="12966" spans="14:14" x14ac:dyDescent="0.25">
      <c r="N12966" s="26"/>
    </row>
    <row r="12967" spans="14:14" x14ac:dyDescent="0.25">
      <c r="N12967" s="26"/>
    </row>
    <row r="12968" spans="14:14" x14ac:dyDescent="0.25">
      <c r="N12968" s="26"/>
    </row>
    <row r="12969" spans="14:14" x14ac:dyDescent="0.25">
      <c r="N12969" s="26"/>
    </row>
    <row r="12970" spans="14:14" x14ac:dyDescent="0.25">
      <c r="N12970" s="26"/>
    </row>
    <row r="12971" spans="14:14" x14ac:dyDescent="0.25">
      <c r="N12971" s="26"/>
    </row>
    <row r="12972" spans="14:14" x14ac:dyDescent="0.25">
      <c r="N12972" s="26"/>
    </row>
    <row r="12973" spans="14:14" x14ac:dyDescent="0.25">
      <c r="N12973" s="26"/>
    </row>
    <row r="12974" spans="14:14" x14ac:dyDescent="0.25">
      <c r="N12974" s="26"/>
    </row>
    <row r="12975" spans="14:14" x14ac:dyDescent="0.25">
      <c r="N12975" s="26"/>
    </row>
    <row r="12976" spans="14:14" x14ac:dyDescent="0.25">
      <c r="N12976" s="26"/>
    </row>
    <row r="12977" spans="14:14" x14ac:dyDescent="0.25">
      <c r="N12977" s="26"/>
    </row>
    <row r="12978" spans="14:14" x14ac:dyDescent="0.25">
      <c r="N12978" s="26"/>
    </row>
    <row r="12979" spans="14:14" x14ac:dyDescent="0.25">
      <c r="N12979" s="26"/>
    </row>
    <row r="12980" spans="14:14" x14ac:dyDescent="0.25">
      <c r="N12980" s="26"/>
    </row>
    <row r="12981" spans="14:14" x14ac:dyDescent="0.25">
      <c r="N12981" s="26"/>
    </row>
    <row r="12982" spans="14:14" x14ac:dyDescent="0.25">
      <c r="N12982" s="26"/>
    </row>
    <row r="12983" spans="14:14" x14ac:dyDescent="0.25">
      <c r="N12983" s="26"/>
    </row>
    <row r="12984" spans="14:14" x14ac:dyDescent="0.25">
      <c r="N12984" s="26"/>
    </row>
    <row r="12985" spans="14:14" x14ac:dyDescent="0.25">
      <c r="N12985" s="26"/>
    </row>
    <row r="12986" spans="14:14" x14ac:dyDescent="0.25">
      <c r="N12986" s="26"/>
    </row>
    <row r="12987" spans="14:14" x14ac:dyDescent="0.25">
      <c r="N12987" s="26"/>
    </row>
    <row r="12988" spans="14:14" x14ac:dyDescent="0.25">
      <c r="N12988" s="26"/>
    </row>
    <row r="12989" spans="14:14" x14ac:dyDescent="0.25">
      <c r="N12989" s="26"/>
    </row>
    <row r="12990" spans="14:14" x14ac:dyDescent="0.25">
      <c r="N12990" s="26"/>
    </row>
    <row r="12991" spans="14:14" x14ac:dyDescent="0.25">
      <c r="N12991" s="26"/>
    </row>
    <row r="12992" spans="14:14" x14ac:dyDescent="0.25">
      <c r="N12992" s="26"/>
    </row>
    <row r="12993" spans="14:14" x14ac:dyDescent="0.25">
      <c r="N12993" s="26"/>
    </row>
    <row r="12994" spans="14:14" x14ac:dyDescent="0.25">
      <c r="N12994" s="26"/>
    </row>
    <row r="12995" spans="14:14" x14ac:dyDescent="0.25">
      <c r="N12995" s="26"/>
    </row>
    <row r="12996" spans="14:14" x14ac:dyDescent="0.25">
      <c r="N12996" s="26"/>
    </row>
    <row r="12997" spans="14:14" x14ac:dyDescent="0.25">
      <c r="N12997" s="26"/>
    </row>
    <row r="12998" spans="14:14" x14ac:dyDescent="0.25">
      <c r="N12998" s="26"/>
    </row>
    <row r="12999" spans="14:14" x14ac:dyDescent="0.25">
      <c r="N12999" s="26"/>
    </row>
    <row r="13000" spans="14:14" x14ac:dyDescent="0.25">
      <c r="N13000" s="26"/>
    </row>
    <row r="13001" spans="14:14" x14ac:dyDescent="0.25">
      <c r="N13001" s="26"/>
    </row>
    <row r="13002" spans="14:14" x14ac:dyDescent="0.25">
      <c r="N13002" s="26"/>
    </row>
    <row r="13003" spans="14:14" x14ac:dyDescent="0.25">
      <c r="N13003" s="26"/>
    </row>
    <row r="13004" spans="14:14" x14ac:dyDescent="0.25">
      <c r="N13004" s="26"/>
    </row>
    <row r="13005" spans="14:14" x14ac:dyDescent="0.25">
      <c r="N13005" s="26"/>
    </row>
    <row r="13006" spans="14:14" x14ac:dyDescent="0.25">
      <c r="N13006" s="26"/>
    </row>
    <row r="13007" spans="14:14" x14ac:dyDescent="0.25">
      <c r="N13007" s="26"/>
    </row>
    <row r="13008" spans="14:14" x14ac:dyDescent="0.25">
      <c r="N13008" s="26"/>
    </row>
    <row r="13009" spans="14:14" x14ac:dyDescent="0.25">
      <c r="N13009" s="26"/>
    </row>
    <row r="13010" spans="14:14" x14ac:dyDescent="0.25">
      <c r="N13010" s="26"/>
    </row>
    <row r="13011" spans="14:14" x14ac:dyDescent="0.25">
      <c r="N13011" s="26"/>
    </row>
    <row r="13012" spans="14:14" x14ac:dyDescent="0.25">
      <c r="N13012" s="26"/>
    </row>
    <row r="13013" spans="14:14" x14ac:dyDescent="0.25">
      <c r="N13013" s="26"/>
    </row>
    <row r="13014" spans="14:14" x14ac:dyDescent="0.25">
      <c r="N13014" s="26"/>
    </row>
    <row r="13015" spans="14:14" x14ac:dyDescent="0.25">
      <c r="N13015" s="26"/>
    </row>
    <row r="13016" spans="14:14" x14ac:dyDescent="0.25">
      <c r="N13016" s="26"/>
    </row>
    <row r="13017" spans="14:14" x14ac:dyDescent="0.25">
      <c r="N13017" s="26"/>
    </row>
    <row r="13018" spans="14:14" x14ac:dyDescent="0.25">
      <c r="N13018" s="26"/>
    </row>
    <row r="13019" spans="14:14" x14ac:dyDescent="0.25">
      <c r="N13019" s="26"/>
    </row>
    <row r="13020" spans="14:14" x14ac:dyDescent="0.25">
      <c r="N13020" s="26"/>
    </row>
    <row r="13021" spans="14:14" x14ac:dyDescent="0.25">
      <c r="N13021" s="26"/>
    </row>
    <row r="13022" spans="14:14" x14ac:dyDescent="0.25">
      <c r="N13022" s="26"/>
    </row>
    <row r="13023" spans="14:14" x14ac:dyDescent="0.25">
      <c r="N13023" s="26"/>
    </row>
    <row r="13024" spans="14:14" x14ac:dyDescent="0.25">
      <c r="N13024" s="26"/>
    </row>
    <row r="13025" spans="14:14" x14ac:dyDescent="0.25">
      <c r="N13025" s="26"/>
    </row>
    <row r="13026" spans="14:14" x14ac:dyDescent="0.25">
      <c r="N13026" s="26"/>
    </row>
    <row r="13027" spans="14:14" x14ac:dyDescent="0.25">
      <c r="N13027" s="26"/>
    </row>
    <row r="13028" spans="14:14" x14ac:dyDescent="0.25">
      <c r="N13028" s="26"/>
    </row>
    <row r="13029" spans="14:14" x14ac:dyDescent="0.25">
      <c r="N13029" s="26"/>
    </row>
    <row r="13030" spans="14:14" x14ac:dyDescent="0.25">
      <c r="N13030" s="26"/>
    </row>
    <row r="13031" spans="14:14" x14ac:dyDescent="0.25">
      <c r="N13031" s="26"/>
    </row>
    <row r="13032" spans="14:14" x14ac:dyDescent="0.25">
      <c r="N13032" s="26"/>
    </row>
    <row r="13033" spans="14:14" x14ac:dyDescent="0.25">
      <c r="N13033" s="26"/>
    </row>
    <row r="13034" spans="14:14" x14ac:dyDescent="0.25">
      <c r="N13034" s="26"/>
    </row>
    <row r="13035" spans="14:14" x14ac:dyDescent="0.25">
      <c r="N13035" s="26"/>
    </row>
    <row r="13036" spans="14:14" x14ac:dyDescent="0.25">
      <c r="N13036" s="26"/>
    </row>
    <row r="13037" spans="14:14" x14ac:dyDescent="0.25">
      <c r="N13037" s="26"/>
    </row>
    <row r="13038" spans="14:14" x14ac:dyDescent="0.25">
      <c r="N13038" s="26"/>
    </row>
    <row r="13039" spans="14:14" x14ac:dyDescent="0.25">
      <c r="N13039" s="26"/>
    </row>
    <row r="13040" spans="14:14" x14ac:dyDescent="0.25">
      <c r="N13040" s="26"/>
    </row>
    <row r="13041" spans="14:14" x14ac:dyDescent="0.25">
      <c r="N13041" s="26"/>
    </row>
    <row r="13042" spans="14:14" x14ac:dyDescent="0.25">
      <c r="N13042" s="26"/>
    </row>
    <row r="13043" spans="14:14" x14ac:dyDescent="0.25">
      <c r="N13043" s="26"/>
    </row>
    <row r="13044" spans="14:14" x14ac:dyDescent="0.25">
      <c r="N13044" s="26"/>
    </row>
    <row r="13045" spans="14:14" x14ac:dyDescent="0.25">
      <c r="N13045" s="26"/>
    </row>
    <row r="13046" spans="14:14" x14ac:dyDescent="0.25">
      <c r="N13046" s="26"/>
    </row>
    <row r="13047" spans="14:14" x14ac:dyDescent="0.25">
      <c r="N13047" s="26"/>
    </row>
    <row r="13048" spans="14:14" x14ac:dyDescent="0.25">
      <c r="N13048" s="26"/>
    </row>
    <row r="13049" spans="14:14" x14ac:dyDescent="0.25">
      <c r="N13049" s="26"/>
    </row>
    <row r="13050" spans="14:14" x14ac:dyDescent="0.25">
      <c r="N13050" s="26"/>
    </row>
    <row r="13051" spans="14:14" x14ac:dyDescent="0.25">
      <c r="N13051" s="26"/>
    </row>
    <row r="13052" spans="14:14" x14ac:dyDescent="0.25">
      <c r="N13052" s="26"/>
    </row>
    <row r="13053" spans="14:14" x14ac:dyDescent="0.25">
      <c r="N13053" s="26"/>
    </row>
    <row r="13054" spans="14:14" x14ac:dyDescent="0.25">
      <c r="N13054" s="26"/>
    </row>
    <row r="13055" spans="14:14" x14ac:dyDescent="0.25">
      <c r="N13055" s="26"/>
    </row>
    <row r="13056" spans="14:14" x14ac:dyDescent="0.25">
      <c r="N13056" s="26"/>
    </row>
    <row r="13057" spans="14:14" x14ac:dyDescent="0.25">
      <c r="N13057" s="26"/>
    </row>
    <row r="13058" spans="14:14" x14ac:dyDescent="0.25">
      <c r="N13058" s="26"/>
    </row>
    <row r="13059" spans="14:14" x14ac:dyDescent="0.25">
      <c r="N13059" s="26"/>
    </row>
    <row r="13060" spans="14:14" x14ac:dyDescent="0.25">
      <c r="N13060" s="26"/>
    </row>
    <row r="13061" spans="14:14" x14ac:dyDescent="0.25">
      <c r="N13061" s="26"/>
    </row>
    <row r="13062" spans="14:14" x14ac:dyDescent="0.25">
      <c r="N13062" s="26"/>
    </row>
    <row r="13063" spans="14:14" x14ac:dyDescent="0.25">
      <c r="N13063" s="26"/>
    </row>
    <row r="13064" spans="14:14" x14ac:dyDescent="0.25">
      <c r="N13064" s="26"/>
    </row>
    <row r="13065" spans="14:14" x14ac:dyDescent="0.25">
      <c r="N13065" s="26"/>
    </row>
    <row r="13066" spans="14:14" x14ac:dyDescent="0.25">
      <c r="N13066" s="26"/>
    </row>
    <row r="13067" spans="14:14" x14ac:dyDescent="0.25">
      <c r="N13067" s="26"/>
    </row>
    <row r="13068" spans="14:14" x14ac:dyDescent="0.25">
      <c r="N13068" s="26"/>
    </row>
    <row r="13069" spans="14:14" x14ac:dyDescent="0.25">
      <c r="N13069" s="26"/>
    </row>
    <row r="13070" spans="14:14" x14ac:dyDescent="0.25">
      <c r="N13070" s="26"/>
    </row>
    <row r="13071" spans="14:14" x14ac:dyDescent="0.25">
      <c r="N13071" s="26"/>
    </row>
    <row r="13072" spans="14:14" x14ac:dyDescent="0.25">
      <c r="N13072" s="26"/>
    </row>
    <row r="13073" spans="14:14" x14ac:dyDescent="0.25">
      <c r="N13073" s="26"/>
    </row>
    <row r="13074" spans="14:14" x14ac:dyDescent="0.25">
      <c r="N13074" s="26"/>
    </row>
    <row r="13075" spans="14:14" x14ac:dyDescent="0.25">
      <c r="N13075" s="26"/>
    </row>
    <row r="13076" spans="14:14" x14ac:dyDescent="0.25">
      <c r="N13076" s="26"/>
    </row>
    <row r="13077" spans="14:14" x14ac:dyDescent="0.25">
      <c r="N13077" s="26"/>
    </row>
    <row r="13078" spans="14:14" x14ac:dyDescent="0.25">
      <c r="N13078" s="26"/>
    </row>
    <row r="13079" spans="14:14" x14ac:dyDescent="0.25">
      <c r="N13079" s="26"/>
    </row>
    <row r="13080" spans="14:14" x14ac:dyDescent="0.25">
      <c r="N13080" s="26"/>
    </row>
    <row r="13081" spans="14:14" x14ac:dyDescent="0.25">
      <c r="N13081" s="26"/>
    </row>
    <row r="13082" spans="14:14" x14ac:dyDescent="0.25">
      <c r="N13082" s="26"/>
    </row>
    <row r="13083" spans="14:14" x14ac:dyDescent="0.25">
      <c r="N13083" s="26"/>
    </row>
    <row r="13084" spans="14:14" x14ac:dyDescent="0.25">
      <c r="N13084" s="26"/>
    </row>
    <row r="13085" spans="14:14" x14ac:dyDescent="0.25">
      <c r="N13085" s="26"/>
    </row>
    <row r="13086" spans="14:14" x14ac:dyDescent="0.25">
      <c r="N13086" s="26"/>
    </row>
    <row r="13087" spans="14:14" x14ac:dyDescent="0.25">
      <c r="N13087" s="26"/>
    </row>
    <row r="13088" spans="14:14" x14ac:dyDescent="0.25">
      <c r="N13088" s="26"/>
    </row>
    <row r="13089" spans="14:14" x14ac:dyDescent="0.25">
      <c r="N13089" s="26"/>
    </row>
    <row r="13090" spans="14:14" x14ac:dyDescent="0.25">
      <c r="N13090" s="26"/>
    </row>
    <row r="13091" spans="14:14" x14ac:dyDescent="0.25">
      <c r="N13091" s="26"/>
    </row>
    <row r="13092" spans="14:14" x14ac:dyDescent="0.25">
      <c r="N13092" s="26"/>
    </row>
    <row r="13093" spans="14:14" x14ac:dyDescent="0.25">
      <c r="N13093" s="26"/>
    </row>
    <row r="13094" spans="14:14" x14ac:dyDescent="0.25">
      <c r="N13094" s="26"/>
    </row>
    <row r="13095" spans="14:14" x14ac:dyDescent="0.25">
      <c r="N13095" s="26"/>
    </row>
    <row r="13096" spans="14:14" x14ac:dyDescent="0.25">
      <c r="N13096" s="26"/>
    </row>
    <row r="13097" spans="14:14" x14ac:dyDescent="0.25">
      <c r="N13097" s="26"/>
    </row>
    <row r="13098" spans="14:14" x14ac:dyDescent="0.25">
      <c r="N13098" s="26"/>
    </row>
    <row r="13099" spans="14:14" x14ac:dyDescent="0.25">
      <c r="N13099" s="26"/>
    </row>
    <row r="13100" spans="14:14" x14ac:dyDescent="0.25">
      <c r="N13100" s="26"/>
    </row>
    <row r="13101" spans="14:14" x14ac:dyDescent="0.25">
      <c r="N13101" s="26"/>
    </row>
    <row r="13102" spans="14:14" x14ac:dyDescent="0.25">
      <c r="N13102" s="26"/>
    </row>
    <row r="13103" spans="14:14" x14ac:dyDescent="0.25">
      <c r="N13103" s="26"/>
    </row>
    <row r="13104" spans="14:14" x14ac:dyDescent="0.25">
      <c r="N13104" s="26"/>
    </row>
    <row r="13105" spans="14:14" x14ac:dyDescent="0.25">
      <c r="N13105" s="26"/>
    </row>
    <row r="13106" spans="14:14" x14ac:dyDescent="0.25">
      <c r="N13106" s="26"/>
    </row>
    <row r="13107" spans="14:14" x14ac:dyDescent="0.25">
      <c r="N13107" s="26"/>
    </row>
    <row r="13108" spans="14:14" x14ac:dyDescent="0.25">
      <c r="N13108" s="26"/>
    </row>
    <row r="13109" spans="14:14" x14ac:dyDescent="0.25">
      <c r="N13109" s="26"/>
    </row>
    <row r="13110" spans="14:14" x14ac:dyDescent="0.25">
      <c r="N13110" s="26"/>
    </row>
    <row r="13111" spans="14:14" x14ac:dyDescent="0.25">
      <c r="N13111" s="26"/>
    </row>
    <row r="13112" spans="14:14" x14ac:dyDescent="0.25">
      <c r="N13112" s="26"/>
    </row>
    <row r="13113" spans="14:14" x14ac:dyDescent="0.25">
      <c r="N13113" s="26"/>
    </row>
    <row r="13114" spans="14:14" x14ac:dyDescent="0.25">
      <c r="N13114" s="26"/>
    </row>
    <row r="13115" spans="14:14" x14ac:dyDescent="0.25">
      <c r="N13115" s="26"/>
    </row>
    <row r="13116" spans="14:14" x14ac:dyDescent="0.25">
      <c r="N13116" s="26"/>
    </row>
    <row r="13117" spans="14:14" x14ac:dyDescent="0.25">
      <c r="N13117" s="26"/>
    </row>
    <row r="13118" spans="14:14" x14ac:dyDescent="0.25">
      <c r="N13118" s="26"/>
    </row>
    <row r="13119" spans="14:14" x14ac:dyDescent="0.25">
      <c r="N13119" s="26"/>
    </row>
    <row r="13120" spans="14:14" x14ac:dyDescent="0.25">
      <c r="N13120" s="26"/>
    </row>
    <row r="13121" spans="14:14" x14ac:dyDescent="0.25">
      <c r="N13121" s="26"/>
    </row>
    <row r="13122" spans="14:14" x14ac:dyDescent="0.25">
      <c r="N13122" s="26"/>
    </row>
    <row r="13123" spans="14:14" x14ac:dyDescent="0.25">
      <c r="N13123" s="26"/>
    </row>
    <row r="13124" spans="14:14" x14ac:dyDescent="0.25">
      <c r="N13124" s="26"/>
    </row>
    <row r="13125" spans="14:14" x14ac:dyDescent="0.25">
      <c r="N13125" s="26"/>
    </row>
    <row r="13126" spans="14:14" x14ac:dyDescent="0.25">
      <c r="N13126" s="26"/>
    </row>
    <row r="13127" spans="14:14" x14ac:dyDescent="0.25">
      <c r="N13127" s="26"/>
    </row>
    <row r="13128" spans="14:14" x14ac:dyDescent="0.25">
      <c r="N13128" s="26"/>
    </row>
    <row r="13129" spans="14:14" x14ac:dyDescent="0.25">
      <c r="N13129" s="26"/>
    </row>
    <row r="13130" spans="14:14" x14ac:dyDescent="0.25">
      <c r="N13130" s="26"/>
    </row>
    <row r="13131" spans="14:14" x14ac:dyDescent="0.25">
      <c r="N13131" s="26"/>
    </row>
    <row r="13132" spans="14:14" x14ac:dyDescent="0.25">
      <c r="N13132" s="26"/>
    </row>
    <row r="13133" spans="14:14" x14ac:dyDescent="0.25">
      <c r="N13133" s="26"/>
    </row>
    <row r="13134" spans="14:14" x14ac:dyDescent="0.25">
      <c r="N13134" s="26"/>
    </row>
    <row r="13135" spans="14:14" x14ac:dyDescent="0.25">
      <c r="N13135" s="26"/>
    </row>
    <row r="13136" spans="14:14" x14ac:dyDescent="0.25">
      <c r="N13136" s="26"/>
    </row>
    <row r="13137" spans="14:14" x14ac:dyDescent="0.25">
      <c r="N13137" s="26"/>
    </row>
    <row r="13138" spans="14:14" x14ac:dyDescent="0.25">
      <c r="N13138" s="26"/>
    </row>
    <row r="13139" spans="14:14" x14ac:dyDescent="0.25">
      <c r="N13139" s="26"/>
    </row>
    <row r="13140" spans="14:14" x14ac:dyDescent="0.25">
      <c r="N13140" s="26"/>
    </row>
    <row r="13141" spans="14:14" x14ac:dyDescent="0.25">
      <c r="N13141" s="26"/>
    </row>
    <row r="13142" spans="14:14" x14ac:dyDescent="0.25">
      <c r="N13142" s="26"/>
    </row>
    <row r="13143" spans="14:14" x14ac:dyDescent="0.25">
      <c r="N13143" s="26"/>
    </row>
    <row r="13144" spans="14:14" x14ac:dyDescent="0.25">
      <c r="N13144" s="26"/>
    </row>
    <row r="13145" spans="14:14" x14ac:dyDescent="0.25">
      <c r="N13145" s="26"/>
    </row>
    <row r="13146" spans="14:14" x14ac:dyDescent="0.25">
      <c r="N13146" s="26"/>
    </row>
    <row r="13147" spans="14:14" x14ac:dyDescent="0.25">
      <c r="N13147" s="26"/>
    </row>
    <row r="13148" spans="14:14" x14ac:dyDescent="0.25">
      <c r="N13148" s="26"/>
    </row>
    <row r="13149" spans="14:14" x14ac:dyDescent="0.25">
      <c r="N13149" s="26"/>
    </row>
    <row r="13150" spans="14:14" x14ac:dyDescent="0.25">
      <c r="N13150" s="26"/>
    </row>
    <row r="13151" spans="14:14" x14ac:dyDescent="0.25">
      <c r="N13151" s="26"/>
    </row>
    <row r="13152" spans="14:14" x14ac:dyDescent="0.25">
      <c r="N13152" s="26"/>
    </row>
    <row r="13153" spans="14:14" x14ac:dyDescent="0.25">
      <c r="N13153" s="26"/>
    </row>
    <row r="13154" spans="14:14" x14ac:dyDescent="0.25">
      <c r="N13154" s="26"/>
    </row>
    <row r="13155" spans="14:14" x14ac:dyDescent="0.25">
      <c r="N13155" s="26"/>
    </row>
    <row r="13156" spans="14:14" x14ac:dyDescent="0.25">
      <c r="N13156" s="26"/>
    </row>
    <row r="13157" spans="14:14" x14ac:dyDescent="0.25">
      <c r="N13157" s="26"/>
    </row>
    <row r="13158" spans="14:14" x14ac:dyDescent="0.25">
      <c r="N13158" s="26"/>
    </row>
    <row r="13159" spans="14:14" x14ac:dyDescent="0.25">
      <c r="N13159" s="26"/>
    </row>
    <row r="13160" spans="14:14" x14ac:dyDescent="0.25">
      <c r="N13160" s="26"/>
    </row>
    <row r="13161" spans="14:14" x14ac:dyDescent="0.25">
      <c r="N13161" s="26"/>
    </row>
    <row r="13162" spans="14:14" x14ac:dyDescent="0.25">
      <c r="N13162" s="26"/>
    </row>
    <row r="13163" spans="14:14" x14ac:dyDescent="0.25">
      <c r="N13163" s="26"/>
    </row>
    <row r="13164" spans="14:14" x14ac:dyDescent="0.25">
      <c r="N13164" s="26"/>
    </row>
    <row r="13165" spans="14:14" x14ac:dyDescent="0.25">
      <c r="N13165" s="26"/>
    </row>
    <row r="13166" spans="14:14" x14ac:dyDescent="0.25">
      <c r="N13166" s="26"/>
    </row>
    <row r="13167" spans="14:14" x14ac:dyDescent="0.25">
      <c r="N13167" s="26"/>
    </row>
    <row r="13168" spans="14:14" x14ac:dyDescent="0.25">
      <c r="N13168" s="26"/>
    </row>
    <row r="13169" spans="14:14" x14ac:dyDescent="0.25">
      <c r="N13169" s="26"/>
    </row>
    <row r="13170" spans="14:14" x14ac:dyDescent="0.25">
      <c r="N13170" s="26"/>
    </row>
    <row r="13171" spans="14:14" x14ac:dyDescent="0.25">
      <c r="N13171" s="26"/>
    </row>
    <row r="13172" spans="14:14" x14ac:dyDescent="0.25">
      <c r="N13172" s="26"/>
    </row>
    <row r="13173" spans="14:14" x14ac:dyDescent="0.25">
      <c r="N13173" s="26"/>
    </row>
    <row r="13174" spans="14:14" x14ac:dyDescent="0.25">
      <c r="N13174" s="26"/>
    </row>
    <row r="13175" spans="14:14" x14ac:dyDescent="0.25">
      <c r="N13175" s="26"/>
    </row>
    <row r="13176" spans="14:14" x14ac:dyDescent="0.25">
      <c r="N13176" s="26"/>
    </row>
    <row r="13177" spans="14:14" x14ac:dyDescent="0.25">
      <c r="N13177" s="26"/>
    </row>
    <row r="13178" spans="14:14" x14ac:dyDescent="0.25">
      <c r="N13178" s="26"/>
    </row>
    <row r="13179" spans="14:14" x14ac:dyDescent="0.25">
      <c r="N13179" s="26"/>
    </row>
    <row r="13180" spans="14:14" x14ac:dyDescent="0.25">
      <c r="N13180" s="26"/>
    </row>
    <row r="13181" spans="14:14" x14ac:dyDescent="0.25">
      <c r="N13181" s="26"/>
    </row>
    <row r="13182" spans="14:14" x14ac:dyDescent="0.25">
      <c r="N13182" s="26"/>
    </row>
    <row r="13183" spans="14:14" x14ac:dyDescent="0.25">
      <c r="N13183" s="26"/>
    </row>
    <row r="13184" spans="14:14" x14ac:dyDescent="0.25">
      <c r="N13184" s="26"/>
    </row>
    <row r="13185" spans="14:14" x14ac:dyDescent="0.25">
      <c r="N13185" s="26"/>
    </row>
    <row r="13186" spans="14:14" x14ac:dyDescent="0.25">
      <c r="N13186" s="26"/>
    </row>
    <row r="13187" spans="14:14" x14ac:dyDescent="0.25">
      <c r="N13187" s="26"/>
    </row>
    <row r="13188" spans="14:14" x14ac:dyDescent="0.25">
      <c r="N13188" s="26"/>
    </row>
    <row r="13189" spans="14:14" x14ac:dyDescent="0.25">
      <c r="N13189" s="26"/>
    </row>
    <row r="13190" spans="14:14" x14ac:dyDescent="0.25">
      <c r="N13190" s="26"/>
    </row>
    <row r="13191" spans="14:14" x14ac:dyDescent="0.25">
      <c r="N13191" s="26"/>
    </row>
    <row r="13192" spans="14:14" x14ac:dyDescent="0.25">
      <c r="N13192" s="26"/>
    </row>
    <row r="13193" spans="14:14" x14ac:dyDescent="0.25">
      <c r="N13193" s="26"/>
    </row>
    <row r="13194" spans="14:14" x14ac:dyDescent="0.25">
      <c r="N13194" s="26"/>
    </row>
    <row r="13195" spans="14:14" x14ac:dyDescent="0.25">
      <c r="N13195" s="26"/>
    </row>
    <row r="13196" spans="14:14" x14ac:dyDescent="0.25">
      <c r="N13196" s="26"/>
    </row>
    <row r="13197" spans="14:14" x14ac:dyDescent="0.25">
      <c r="N13197" s="26"/>
    </row>
    <row r="13198" spans="14:14" x14ac:dyDescent="0.25">
      <c r="N13198" s="26"/>
    </row>
    <row r="13199" spans="14:14" x14ac:dyDescent="0.25">
      <c r="N13199" s="26"/>
    </row>
    <row r="13200" spans="14:14" x14ac:dyDescent="0.25">
      <c r="N13200" s="26"/>
    </row>
    <row r="13201" spans="14:14" x14ac:dyDescent="0.25">
      <c r="N13201" s="26"/>
    </row>
    <row r="13202" spans="14:14" x14ac:dyDescent="0.25">
      <c r="N13202" s="26"/>
    </row>
    <row r="13203" spans="14:14" x14ac:dyDescent="0.25">
      <c r="N13203" s="26"/>
    </row>
    <row r="13204" spans="14:14" x14ac:dyDescent="0.25">
      <c r="N13204" s="26"/>
    </row>
    <row r="13205" spans="14:14" x14ac:dyDescent="0.25">
      <c r="N13205" s="26"/>
    </row>
    <row r="13206" spans="14:14" x14ac:dyDescent="0.25">
      <c r="N13206" s="26"/>
    </row>
    <row r="13207" spans="14:14" x14ac:dyDescent="0.25">
      <c r="N13207" s="26"/>
    </row>
    <row r="13208" spans="14:14" x14ac:dyDescent="0.25">
      <c r="N13208" s="26"/>
    </row>
    <row r="13209" spans="14:14" x14ac:dyDescent="0.25">
      <c r="N13209" s="26"/>
    </row>
    <row r="13210" spans="14:14" x14ac:dyDescent="0.25">
      <c r="N13210" s="26"/>
    </row>
    <row r="13211" spans="14:14" x14ac:dyDescent="0.25">
      <c r="N13211" s="26"/>
    </row>
    <row r="13212" spans="14:14" x14ac:dyDescent="0.25">
      <c r="N13212" s="26"/>
    </row>
    <row r="13213" spans="14:14" x14ac:dyDescent="0.25">
      <c r="N13213" s="26"/>
    </row>
    <row r="13214" spans="14:14" x14ac:dyDescent="0.25">
      <c r="N13214" s="26"/>
    </row>
    <row r="13215" spans="14:14" x14ac:dyDescent="0.25">
      <c r="N13215" s="26"/>
    </row>
    <row r="13216" spans="14:14" x14ac:dyDescent="0.25">
      <c r="N13216" s="26"/>
    </row>
    <row r="13217" spans="14:14" x14ac:dyDescent="0.25">
      <c r="N13217" s="26"/>
    </row>
    <row r="13218" spans="14:14" x14ac:dyDescent="0.25">
      <c r="N13218" s="26"/>
    </row>
    <row r="13219" spans="14:14" x14ac:dyDescent="0.25">
      <c r="N13219" s="26"/>
    </row>
    <row r="13220" spans="14:14" x14ac:dyDescent="0.25">
      <c r="N13220" s="26"/>
    </row>
    <row r="13221" spans="14:14" x14ac:dyDescent="0.25">
      <c r="N13221" s="26"/>
    </row>
    <row r="13222" spans="14:14" x14ac:dyDescent="0.25">
      <c r="N13222" s="26"/>
    </row>
    <row r="13223" spans="14:14" x14ac:dyDescent="0.25">
      <c r="N13223" s="26"/>
    </row>
    <row r="13224" spans="14:14" x14ac:dyDescent="0.25">
      <c r="N13224" s="26"/>
    </row>
    <row r="13225" spans="14:14" x14ac:dyDescent="0.25">
      <c r="N13225" s="26"/>
    </row>
    <row r="13226" spans="14:14" x14ac:dyDescent="0.25">
      <c r="N13226" s="26"/>
    </row>
    <row r="13227" spans="14:14" x14ac:dyDescent="0.25">
      <c r="N13227" s="26"/>
    </row>
    <row r="13228" spans="14:14" x14ac:dyDescent="0.25">
      <c r="N13228" s="26"/>
    </row>
    <row r="13229" spans="14:14" x14ac:dyDescent="0.25">
      <c r="N13229" s="26"/>
    </row>
    <row r="13230" spans="14:14" x14ac:dyDescent="0.25">
      <c r="N13230" s="26"/>
    </row>
    <row r="13231" spans="14:14" x14ac:dyDescent="0.25">
      <c r="N13231" s="26"/>
    </row>
    <row r="13232" spans="14:14" x14ac:dyDescent="0.25">
      <c r="N13232" s="26"/>
    </row>
    <row r="13233" spans="14:14" x14ac:dyDescent="0.25">
      <c r="N13233" s="26"/>
    </row>
    <row r="13234" spans="14:14" x14ac:dyDescent="0.25">
      <c r="N13234" s="26"/>
    </row>
    <row r="13235" spans="14:14" x14ac:dyDescent="0.25">
      <c r="N13235" s="26"/>
    </row>
    <row r="13236" spans="14:14" x14ac:dyDescent="0.25">
      <c r="N13236" s="26"/>
    </row>
    <row r="13237" spans="14:14" x14ac:dyDescent="0.25">
      <c r="N13237" s="26"/>
    </row>
    <row r="13238" spans="14:14" x14ac:dyDescent="0.25">
      <c r="N13238" s="26"/>
    </row>
    <row r="13239" spans="14:14" x14ac:dyDescent="0.25">
      <c r="N13239" s="26"/>
    </row>
    <row r="13240" spans="14:14" x14ac:dyDescent="0.25">
      <c r="N13240" s="26"/>
    </row>
    <row r="13241" spans="14:14" x14ac:dyDescent="0.25">
      <c r="N13241" s="26"/>
    </row>
    <row r="13242" spans="14:14" x14ac:dyDescent="0.25">
      <c r="N13242" s="26"/>
    </row>
    <row r="13243" spans="14:14" x14ac:dyDescent="0.25">
      <c r="N13243" s="26"/>
    </row>
    <row r="13244" spans="14:14" x14ac:dyDescent="0.25">
      <c r="N13244" s="26"/>
    </row>
    <row r="13245" spans="14:14" x14ac:dyDescent="0.25">
      <c r="N13245" s="26"/>
    </row>
    <row r="13246" spans="14:14" x14ac:dyDescent="0.25">
      <c r="N13246" s="26"/>
    </row>
    <row r="13247" spans="14:14" x14ac:dyDescent="0.25">
      <c r="N13247" s="26"/>
    </row>
    <row r="13248" spans="14:14" x14ac:dyDescent="0.25">
      <c r="N13248" s="26"/>
    </row>
    <row r="13249" spans="14:14" x14ac:dyDescent="0.25">
      <c r="N13249" s="26"/>
    </row>
    <row r="13250" spans="14:14" x14ac:dyDescent="0.25">
      <c r="N13250" s="26"/>
    </row>
    <row r="13251" spans="14:14" x14ac:dyDescent="0.25">
      <c r="N13251" s="26"/>
    </row>
    <row r="13252" spans="14:14" x14ac:dyDescent="0.25">
      <c r="N13252" s="26"/>
    </row>
    <row r="13253" spans="14:14" x14ac:dyDescent="0.25">
      <c r="N13253" s="26"/>
    </row>
    <row r="13254" spans="14:14" x14ac:dyDescent="0.25">
      <c r="N13254" s="26"/>
    </row>
    <row r="13255" spans="14:14" x14ac:dyDescent="0.25">
      <c r="N13255" s="26"/>
    </row>
    <row r="13256" spans="14:14" x14ac:dyDescent="0.25">
      <c r="N13256" s="26"/>
    </row>
    <row r="13257" spans="14:14" x14ac:dyDescent="0.25">
      <c r="N13257" s="26"/>
    </row>
    <row r="13258" spans="14:14" x14ac:dyDescent="0.25">
      <c r="N13258" s="26"/>
    </row>
    <row r="13259" spans="14:14" x14ac:dyDescent="0.25">
      <c r="N13259" s="26"/>
    </row>
    <row r="13260" spans="14:14" x14ac:dyDescent="0.25">
      <c r="N13260" s="26"/>
    </row>
    <row r="13261" spans="14:14" x14ac:dyDescent="0.25">
      <c r="N13261" s="26"/>
    </row>
    <row r="13262" spans="14:14" x14ac:dyDescent="0.25">
      <c r="N13262" s="26"/>
    </row>
    <row r="13263" spans="14:14" x14ac:dyDescent="0.25">
      <c r="N13263" s="26"/>
    </row>
    <row r="13264" spans="14:14" x14ac:dyDescent="0.25">
      <c r="N13264" s="26"/>
    </row>
    <row r="13265" spans="14:14" x14ac:dyDescent="0.25">
      <c r="N13265" s="26"/>
    </row>
    <row r="13266" spans="14:14" x14ac:dyDescent="0.25">
      <c r="N13266" s="26"/>
    </row>
    <row r="13267" spans="14:14" x14ac:dyDescent="0.25">
      <c r="N13267" s="26"/>
    </row>
    <row r="13268" spans="14:14" x14ac:dyDescent="0.25">
      <c r="N13268" s="26"/>
    </row>
    <row r="13269" spans="14:14" x14ac:dyDescent="0.25">
      <c r="N13269" s="26"/>
    </row>
    <row r="13270" spans="14:14" x14ac:dyDescent="0.25">
      <c r="N13270" s="26"/>
    </row>
    <row r="13271" spans="14:14" x14ac:dyDescent="0.25">
      <c r="N13271" s="26"/>
    </row>
    <row r="13272" spans="14:14" x14ac:dyDescent="0.25">
      <c r="N13272" s="26"/>
    </row>
    <row r="13273" spans="14:14" x14ac:dyDescent="0.25">
      <c r="N13273" s="26"/>
    </row>
    <row r="13274" spans="14:14" x14ac:dyDescent="0.25">
      <c r="N13274" s="26"/>
    </row>
    <row r="13275" spans="14:14" x14ac:dyDescent="0.25">
      <c r="N13275" s="26"/>
    </row>
    <row r="13276" spans="14:14" x14ac:dyDescent="0.25">
      <c r="N13276" s="26"/>
    </row>
    <row r="13277" spans="14:14" x14ac:dyDescent="0.25">
      <c r="N13277" s="26"/>
    </row>
    <row r="13278" spans="14:14" x14ac:dyDescent="0.25">
      <c r="N13278" s="26"/>
    </row>
    <row r="13279" spans="14:14" x14ac:dyDescent="0.25">
      <c r="N13279" s="26"/>
    </row>
    <row r="13280" spans="14:14" x14ac:dyDescent="0.25">
      <c r="N13280" s="26"/>
    </row>
    <row r="13281" spans="14:14" x14ac:dyDescent="0.25">
      <c r="N13281" s="26"/>
    </row>
    <row r="13282" spans="14:14" x14ac:dyDescent="0.25">
      <c r="N13282" s="26"/>
    </row>
    <row r="13283" spans="14:14" x14ac:dyDescent="0.25">
      <c r="N13283" s="26"/>
    </row>
    <row r="13284" spans="14:14" x14ac:dyDescent="0.25">
      <c r="N13284" s="26"/>
    </row>
    <row r="13285" spans="14:14" x14ac:dyDescent="0.25">
      <c r="N13285" s="26"/>
    </row>
    <row r="13286" spans="14:14" x14ac:dyDescent="0.25">
      <c r="N13286" s="26"/>
    </row>
    <row r="13287" spans="14:14" x14ac:dyDescent="0.25">
      <c r="N13287" s="26"/>
    </row>
    <row r="13288" spans="14:14" x14ac:dyDescent="0.25">
      <c r="N13288" s="26"/>
    </row>
    <row r="13289" spans="14:14" x14ac:dyDescent="0.25">
      <c r="N13289" s="26"/>
    </row>
    <row r="13290" spans="14:14" x14ac:dyDescent="0.25">
      <c r="N13290" s="26"/>
    </row>
    <row r="13291" spans="14:14" x14ac:dyDescent="0.25">
      <c r="N13291" s="26"/>
    </row>
    <row r="13292" spans="14:14" x14ac:dyDescent="0.25">
      <c r="N13292" s="26"/>
    </row>
    <row r="13293" spans="14:14" x14ac:dyDescent="0.25">
      <c r="N13293" s="26"/>
    </row>
    <row r="13294" spans="14:14" x14ac:dyDescent="0.25">
      <c r="N13294" s="26"/>
    </row>
    <row r="13295" spans="14:14" x14ac:dyDescent="0.25">
      <c r="N13295" s="26"/>
    </row>
    <row r="13296" spans="14:14" x14ac:dyDescent="0.25">
      <c r="N13296" s="26"/>
    </row>
    <row r="13297" spans="14:14" x14ac:dyDescent="0.25">
      <c r="N13297" s="26"/>
    </row>
    <row r="13298" spans="14:14" x14ac:dyDescent="0.25">
      <c r="N13298" s="26"/>
    </row>
    <row r="13299" spans="14:14" x14ac:dyDescent="0.25">
      <c r="N13299" s="26"/>
    </row>
    <row r="13300" spans="14:14" x14ac:dyDescent="0.25">
      <c r="N13300" s="26"/>
    </row>
    <row r="13301" spans="14:14" x14ac:dyDescent="0.25">
      <c r="N13301" s="26"/>
    </row>
    <row r="13302" spans="14:14" x14ac:dyDescent="0.25">
      <c r="N13302" s="26"/>
    </row>
    <row r="13303" spans="14:14" x14ac:dyDescent="0.25">
      <c r="N13303" s="26"/>
    </row>
    <row r="13304" spans="14:14" x14ac:dyDescent="0.25">
      <c r="N13304" s="26"/>
    </row>
    <row r="13305" spans="14:14" x14ac:dyDescent="0.25">
      <c r="N13305" s="26"/>
    </row>
    <row r="13306" spans="14:14" x14ac:dyDescent="0.25">
      <c r="N13306" s="26"/>
    </row>
    <row r="13307" spans="14:14" x14ac:dyDescent="0.25">
      <c r="N13307" s="26"/>
    </row>
    <row r="13308" spans="14:14" x14ac:dyDescent="0.25">
      <c r="N13308" s="26"/>
    </row>
    <row r="13309" spans="14:14" x14ac:dyDescent="0.25">
      <c r="N13309" s="26"/>
    </row>
    <row r="13310" spans="14:14" x14ac:dyDescent="0.25">
      <c r="N13310" s="26"/>
    </row>
    <row r="13311" spans="14:14" x14ac:dyDescent="0.25">
      <c r="N13311" s="26"/>
    </row>
    <row r="13312" spans="14:14" x14ac:dyDescent="0.25">
      <c r="N13312" s="26"/>
    </row>
    <row r="13313" spans="14:14" x14ac:dyDescent="0.25">
      <c r="N13313" s="26"/>
    </row>
    <row r="13314" spans="14:14" x14ac:dyDescent="0.25">
      <c r="N13314" s="26"/>
    </row>
    <row r="13315" spans="14:14" x14ac:dyDescent="0.25">
      <c r="N13315" s="26"/>
    </row>
    <row r="13316" spans="14:14" x14ac:dyDescent="0.25">
      <c r="N13316" s="26"/>
    </row>
    <row r="13317" spans="14:14" x14ac:dyDescent="0.25">
      <c r="N13317" s="26"/>
    </row>
    <row r="13318" spans="14:14" x14ac:dyDescent="0.25">
      <c r="N13318" s="26"/>
    </row>
    <row r="13319" spans="14:14" x14ac:dyDescent="0.25">
      <c r="N13319" s="26"/>
    </row>
    <row r="13320" spans="14:14" x14ac:dyDescent="0.25">
      <c r="N13320" s="26"/>
    </row>
    <row r="13321" spans="14:14" x14ac:dyDescent="0.25">
      <c r="N13321" s="26"/>
    </row>
    <row r="13322" spans="14:14" x14ac:dyDescent="0.25">
      <c r="N13322" s="26"/>
    </row>
    <row r="13323" spans="14:14" x14ac:dyDescent="0.25">
      <c r="N13323" s="26"/>
    </row>
    <row r="13324" spans="14:14" x14ac:dyDescent="0.25">
      <c r="N13324" s="26"/>
    </row>
    <row r="13325" spans="14:14" x14ac:dyDescent="0.25">
      <c r="N13325" s="26"/>
    </row>
    <row r="13326" spans="14:14" x14ac:dyDescent="0.25">
      <c r="N13326" s="26"/>
    </row>
    <row r="13327" spans="14:14" x14ac:dyDescent="0.25">
      <c r="N13327" s="26"/>
    </row>
    <row r="13328" spans="14:14" x14ac:dyDescent="0.25">
      <c r="N13328" s="26"/>
    </row>
    <row r="13329" spans="14:14" x14ac:dyDescent="0.25">
      <c r="N13329" s="26"/>
    </row>
    <row r="13330" spans="14:14" x14ac:dyDescent="0.25">
      <c r="N13330" s="26"/>
    </row>
    <row r="13331" spans="14:14" x14ac:dyDescent="0.25">
      <c r="N13331" s="26"/>
    </row>
    <row r="13332" spans="14:14" x14ac:dyDescent="0.25">
      <c r="N13332" s="26"/>
    </row>
    <row r="13333" spans="14:14" x14ac:dyDescent="0.25">
      <c r="N13333" s="26"/>
    </row>
    <row r="13334" spans="14:14" x14ac:dyDescent="0.25">
      <c r="N13334" s="26"/>
    </row>
    <row r="13335" spans="14:14" x14ac:dyDescent="0.25">
      <c r="N13335" s="26"/>
    </row>
    <row r="13336" spans="14:14" x14ac:dyDescent="0.25">
      <c r="N13336" s="26"/>
    </row>
    <row r="13337" spans="14:14" x14ac:dyDescent="0.25">
      <c r="N13337" s="26"/>
    </row>
    <row r="13338" spans="14:14" x14ac:dyDescent="0.25">
      <c r="N13338" s="26"/>
    </row>
    <row r="13339" spans="14:14" x14ac:dyDescent="0.25">
      <c r="N13339" s="26"/>
    </row>
    <row r="13340" spans="14:14" x14ac:dyDescent="0.25">
      <c r="N13340" s="26"/>
    </row>
    <row r="13341" spans="14:14" x14ac:dyDescent="0.25">
      <c r="N13341" s="26"/>
    </row>
    <row r="13342" spans="14:14" x14ac:dyDescent="0.25">
      <c r="N13342" s="26"/>
    </row>
    <row r="13343" spans="14:14" x14ac:dyDescent="0.25">
      <c r="N13343" s="26"/>
    </row>
    <row r="13344" spans="14:14" x14ac:dyDescent="0.25">
      <c r="N13344" s="26"/>
    </row>
    <row r="13345" spans="14:14" x14ac:dyDescent="0.25">
      <c r="N13345" s="26"/>
    </row>
    <row r="13346" spans="14:14" x14ac:dyDescent="0.25">
      <c r="N13346" s="26"/>
    </row>
    <row r="13347" spans="14:14" x14ac:dyDescent="0.25">
      <c r="N13347" s="26"/>
    </row>
    <row r="13348" spans="14:14" x14ac:dyDescent="0.25">
      <c r="N13348" s="26"/>
    </row>
    <row r="13349" spans="14:14" x14ac:dyDescent="0.25">
      <c r="N13349" s="26"/>
    </row>
    <row r="13350" spans="14:14" x14ac:dyDescent="0.25">
      <c r="N13350" s="26"/>
    </row>
    <row r="13351" spans="14:14" x14ac:dyDescent="0.25">
      <c r="N13351" s="26"/>
    </row>
    <row r="13352" spans="14:14" x14ac:dyDescent="0.25">
      <c r="N13352" s="26"/>
    </row>
    <row r="13353" spans="14:14" x14ac:dyDescent="0.25">
      <c r="N13353" s="26"/>
    </row>
    <row r="13354" spans="14:14" x14ac:dyDescent="0.25">
      <c r="N13354" s="26"/>
    </row>
    <row r="13355" spans="14:14" x14ac:dyDescent="0.25">
      <c r="N13355" s="26"/>
    </row>
    <row r="13356" spans="14:14" x14ac:dyDescent="0.25">
      <c r="N13356" s="26"/>
    </row>
    <row r="13357" spans="14:14" x14ac:dyDescent="0.25">
      <c r="N13357" s="26"/>
    </row>
    <row r="13358" spans="14:14" x14ac:dyDescent="0.25">
      <c r="N13358" s="26"/>
    </row>
    <row r="13359" spans="14:14" x14ac:dyDescent="0.25">
      <c r="N13359" s="26"/>
    </row>
    <row r="13360" spans="14:14" x14ac:dyDescent="0.25">
      <c r="N13360" s="26"/>
    </row>
    <row r="13361" spans="14:14" x14ac:dyDescent="0.25">
      <c r="N13361" s="26"/>
    </row>
    <row r="13362" spans="14:14" x14ac:dyDescent="0.25">
      <c r="N13362" s="26"/>
    </row>
    <row r="13363" spans="14:14" x14ac:dyDescent="0.25">
      <c r="N13363" s="26"/>
    </row>
    <row r="13364" spans="14:14" x14ac:dyDescent="0.25">
      <c r="N13364" s="26"/>
    </row>
    <row r="13365" spans="14:14" x14ac:dyDescent="0.25">
      <c r="N13365" s="26"/>
    </row>
    <row r="13366" spans="14:14" x14ac:dyDescent="0.25">
      <c r="N13366" s="26"/>
    </row>
    <row r="13367" spans="14:14" x14ac:dyDescent="0.25">
      <c r="N13367" s="26"/>
    </row>
    <row r="13368" spans="14:14" x14ac:dyDescent="0.25">
      <c r="N13368" s="26"/>
    </row>
    <row r="13369" spans="14:14" x14ac:dyDescent="0.25">
      <c r="N13369" s="26"/>
    </row>
    <row r="13370" spans="14:14" x14ac:dyDescent="0.25">
      <c r="N13370" s="26"/>
    </row>
    <row r="13371" spans="14:14" x14ac:dyDescent="0.25">
      <c r="N13371" s="26"/>
    </row>
    <row r="13372" spans="14:14" x14ac:dyDescent="0.25">
      <c r="N13372" s="26"/>
    </row>
    <row r="13373" spans="14:14" x14ac:dyDescent="0.25">
      <c r="N13373" s="26"/>
    </row>
    <row r="13374" spans="14:14" x14ac:dyDescent="0.25">
      <c r="N13374" s="26"/>
    </row>
    <row r="13375" spans="14:14" x14ac:dyDescent="0.25">
      <c r="N13375" s="26"/>
    </row>
    <row r="13376" spans="14:14" x14ac:dyDescent="0.25">
      <c r="N13376" s="26"/>
    </row>
    <row r="13377" spans="14:14" x14ac:dyDescent="0.25">
      <c r="N13377" s="26"/>
    </row>
    <row r="13378" spans="14:14" x14ac:dyDescent="0.25">
      <c r="N13378" s="26"/>
    </row>
    <row r="13379" spans="14:14" x14ac:dyDescent="0.25">
      <c r="N13379" s="26"/>
    </row>
    <row r="13380" spans="14:14" x14ac:dyDescent="0.25">
      <c r="N13380" s="26"/>
    </row>
    <row r="13381" spans="14:14" x14ac:dyDescent="0.25">
      <c r="N13381" s="26"/>
    </row>
    <row r="13382" spans="14:14" x14ac:dyDescent="0.25">
      <c r="N13382" s="26"/>
    </row>
    <row r="13383" spans="14:14" x14ac:dyDescent="0.25">
      <c r="N13383" s="26"/>
    </row>
    <row r="13384" spans="14:14" x14ac:dyDescent="0.25">
      <c r="N13384" s="26"/>
    </row>
    <row r="13385" spans="14:14" x14ac:dyDescent="0.25">
      <c r="N13385" s="26"/>
    </row>
    <row r="13386" spans="14:14" x14ac:dyDescent="0.25">
      <c r="N13386" s="26"/>
    </row>
    <row r="13387" spans="14:14" x14ac:dyDescent="0.25">
      <c r="N13387" s="26"/>
    </row>
    <row r="13388" spans="14:14" x14ac:dyDescent="0.25">
      <c r="N13388" s="26"/>
    </row>
    <row r="13389" spans="14:14" x14ac:dyDescent="0.25">
      <c r="N13389" s="26"/>
    </row>
    <row r="13390" spans="14:14" x14ac:dyDescent="0.25">
      <c r="N13390" s="26"/>
    </row>
    <row r="13391" spans="14:14" x14ac:dyDescent="0.25">
      <c r="N13391" s="26"/>
    </row>
    <row r="13392" spans="14:14" x14ac:dyDescent="0.25">
      <c r="N13392" s="26"/>
    </row>
    <row r="13393" spans="14:14" x14ac:dyDescent="0.25">
      <c r="N13393" s="26"/>
    </row>
    <row r="13394" spans="14:14" x14ac:dyDescent="0.25">
      <c r="N13394" s="26"/>
    </row>
    <row r="13395" spans="14:14" x14ac:dyDescent="0.25">
      <c r="N13395" s="26"/>
    </row>
    <row r="13396" spans="14:14" x14ac:dyDescent="0.25">
      <c r="N13396" s="26"/>
    </row>
    <row r="13397" spans="14:14" x14ac:dyDescent="0.25">
      <c r="N13397" s="26"/>
    </row>
    <row r="13398" spans="14:14" x14ac:dyDescent="0.25">
      <c r="N13398" s="26"/>
    </row>
    <row r="13399" spans="14:14" x14ac:dyDescent="0.25">
      <c r="N13399" s="26"/>
    </row>
    <row r="13400" spans="14:14" x14ac:dyDescent="0.25">
      <c r="N13400" s="26"/>
    </row>
    <row r="13401" spans="14:14" x14ac:dyDescent="0.25">
      <c r="N13401" s="26"/>
    </row>
    <row r="13402" spans="14:14" x14ac:dyDescent="0.25">
      <c r="N13402" s="26"/>
    </row>
    <row r="13403" spans="14:14" x14ac:dyDescent="0.25">
      <c r="N13403" s="26"/>
    </row>
    <row r="13404" spans="14:14" x14ac:dyDescent="0.25">
      <c r="N13404" s="26"/>
    </row>
    <row r="13405" spans="14:14" x14ac:dyDescent="0.25">
      <c r="N13405" s="26"/>
    </row>
    <row r="13406" spans="14:14" x14ac:dyDescent="0.25">
      <c r="N13406" s="26"/>
    </row>
    <row r="13407" spans="14:14" x14ac:dyDescent="0.25">
      <c r="N13407" s="26"/>
    </row>
    <row r="13408" spans="14:14" x14ac:dyDescent="0.25">
      <c r="N13408" s="26"/>
    </row>
    <row r="13409" spans="14:14" x14ac:dyDescent="0.25">
      <c r="N13409" s="26"/>
    </row>
    <row r="13410" spans="14:14" x14ac:dyDescent="0.25">
      <c r="N13410" s="26"/>
    </row>
    <row r="13411" spans="14:14" x14ac:dyDescent="0.25">
      <c r="N13411" s="26"/>
    </row>
    <row r="13412" spans="14:14" x14ac:dyDescent="0.25">
      <c r="N13412" s="26"/>
    </row>
    <row r="13413" spans="14:14" x14ac:dyDescent="0.25">
      <c r="N13413" s="26"/>
    </row>
    <row r="13414" spans="14:14" x14ac:dyDescent="0.25">
      <c r="N13414" s="26"/>
    </row>
    <row r="13415" spans="14:14" x14ac:dyDescent="0.25">
      <c r="N13415" s="26"/>
    </row>
    <row r="13416" spans="14:14" x14ac:dyDescent="0.25">
      <c r="N13416" s="26"/>
    </row>
    <row r="13417" spans="14:14" x14ac:dyDescent="0.25">
      <c r="N13417" s="26"/>
    </row>
    <row r="13418" spans="14:14" x14ac:dyDescent="0.25">
      <c r="N13418" s="26"/>
    </row>
    <row r="13419" spans="14:14" x14ac:dyDescent="0.25">
      <c r="N13419" s="26"/>
    </row>
    <row r="13420" spans="14:14" x14ac:dyDescent="0.25">
      <c r="N13420" s="26"/>
    </row>
    <row r="13421" spans="14:14" x14ac:dyDescent="0.25">
      <c r="N13421" s="26"/>
    </row>
    <row r="13422" spans="14:14" x14ac:dyDescent="0.25">
      <c r="N13422" s="26"/>
    </row>
    <row r="13423" spans="14:14" x14ac:dyDescent="0.25">
      <c r="N13423" s="26"/>
    </row>
    <row r="13424" spans="14:14" x14ac:dyDescent="0.25">
      <c r="N13424" s="26"/>
    </row>
    <row r="13425" spans="14:14" x14ac:dyDescent="0.25">
      <c r="N13425" s="26"/>
    </row>
    <row r="13426" spans="14:14" x14ac:dyDescent="0.25">
      <c r="N13426" s="26"/>
    </row>
    <row r="13427" spans="14:14" x14ac:dyDescent="0.25">
      <c r="N13427" s="26"/>
    </row>
    <row r="13428" spans="14:14" x14ac:dyDescent="0.25">
      <c r="N13428" s="26"/>
    </row>
    <row r="13429" spans="14:14" x14ac:dyDescent="0.25">
      <c r="N13429" s="26"/>
    </row>
    <row r="13430" spans="14:14" x14ac:dyDescent="0.25">
      <c r="N13430" s="26"/>
    </row>
    <row r="13431" spans="14:14" x14ac:dyDescent="0.25">
      <c r="N13431" s="26"/>
    </row>
    <row r="13432" spans="14:14" x14ac:dyDescent="0.25">
      <c r="N13432" s="26"/>
    </row>
    <row r="13433" spans="14:14" x14ac:dyDescent="0.25">
      <c r="N13433" s="26"/>
    </row>
    <row r="13434" spans="14:14" x14ac:dyDescent="0.25">
      <c r="N13434" s="26"/>
    </row>
    <row r="13435" spans="14:14" x14ac:dyDescent="0.25">
      <c r="N13435" s="26"/>
    </row>
    <row r="13436" spans="14:14" x14ac:dyDescent="0.25">
      <c r="N13436" s="26"/>
    </row>
    <row r="13437" spans="14:14" x14ac:dyDescent="0.25">
      <c r="N13437" s="26"/>
    </row>
    <row r="13438" spans="14:14" x14ac:dyDescent="0.25">
      <c r="N13438" s="26"/>
    </row>
    <row r="13439" spans="14:14" x14ac:dyDescent="0.25">
      <c r="N13439" s="26"/>
    </row>
    <row r="13440" spans="14:14" x14ac:dyDescent="0.25">
      <c r="N13440" s="26"/>
    </row>
    <row r="13441" spans="14:14" x14ac:dyDescent="0.25">
      <c r="N13441" s="26"/>
    </row>
    <row r="13442" spans="14:14" x14ac:dyDescent="0.25">
      <c r="N13442" s="26"/>
    </row>
    <row r="13443" spans="14:14" x14ac:dyDescent="0.25">
      <c r="N13443" s="26"/>
    </row>
    <row r="13444" spans="14:14" x14ac:dyDescent="0.25">
      <c r="N13444" s="26"/>
    </row>
    <row r="13445" spans="14:14" x14ac:dyDescent="0.25">
      <c r="N13445" s="26"/>
    </row>
    <row r="13446" spans="14:14" x14ac:dyDescent="0.25">
      <c r="N13446" s="26"/>
    </row>
    <row r="13447" spans="14:14" x14ac:dyDescent="0.25">
      <c r="N13447" s="26"/>
    </row>
    <row r="13448" spans="14:14" x14ac:dyDescent="0.25">
      <c r="N13448" s="26"/>
    </row>
    <row r="13449" spans="14:14" x14ac:dyDescent="0.25">
      <c r="N13449" s="26"/>
    </row>
    <row r="13450" spans="14:14" x14ac:dyDescent="0.25">
      <c r="N13450" s="26"/>
    </row>
    <row r="13451" spans="14:14" x14ac:dyDescent="0.25">
      <c r="N13451" s="26"/>
    </row>
    <row r="13452" spans="14:14" x14ac:dyDescent="0.25">
      <c r="N13452" s="26"/>
    </row>
    <row r="13453" spans="14:14" x14ac:dyDescent="0.25">
      <c r="N13453" s="26"/>
    </row>
    <row r="13454" spans="14:14" x14ac:dyDescent="0.25">
      <c r="N13454" s="26"/>
    </row>
    <row r="13455" spans="14:14" x14ac:dyDescent="0.25">
      <c r="N13455" s="26"/>
    </row>
    <row r="13456" spans="14:14" x14ac:dyDescent="0.25">
      <c r="N13456" s="26"/>
    </row>
    <row r="13457" spans="14:14" x14ac:dyDescent="0.25">
      <c r="N13457" s="26"/>
    </row>
    <row r="13458" spans="14:14" x14ac:dyDescent="0.25">
      <c r="N13458" s="26"/>
    </row>
    <row r="13459" spans="14:14" x14ac:dyDescent="0.25">
      <c r="N13459" s="26"/>
    </row>
    <row r="13460" spans="14:14" x14ac:dyDescent="0.25">
      <c r="N13460" s="26"/>
    </row>
    <row r="13461" spans="14:14" x14ac:dyDescent="0.25">
      <c r="N13461" s="26"/>
    </row>
    <row r="13462" spans="14:14" x14ac:dyDescent="0.25">
      <c r="N13462" s="26"/>
    </row>
    <row r="13463" spans="14:14" x14ac:dyDescent="0.25">
      <c r="N13463" s="26"/>
    </row>
    <row r="13464" spans="14:14" x14ac:dyDescent="0.25">
      <c r="N13464" s="26"/>
    </row>
    <row r="13465" spans="14:14" x14ac:dyDescent="0.25">
      <c r="N13465" s="26"/>
    </row>
    <row r="13466" spans="14:14" x14ac:dyDescent="0.25">
      <c r="N13466" s="26"/>
    </row>
    <row r="13467" spans="14:14" x14ac:dyDescent="0.25">
      <c r="N13467" s="26"/>
    </row>
    <row r="13468" spans="14:14" x14ac:dyDescent="0.25">
      <c r="N13468" s="26"/>
    </row>
    <row r="13469" spans="14:14" x14ac:dyDescent="0.25">
      <c r="N13469" s="26"/>
    </row>
    <row r="13470" spans="14:14" x14ac:dyDescent="0.25">
      <c r="N13470" s="26"/>
    </row>
    <row r="13471" spans="14:14" x14ac:dyDescent="0.25">
      <c r="N13471" s="26"/>
    </row>
    <row r="13472" spans="14:14" x14ac:dyDescent="0.25">
      <c r="N13472" s="26"/>
    </row>
    <row r="13473" spans="14:14" x14ac:dyDescent="0.25">
      <c r="N13473" s="26"/>
    </row>
    <row r="13474" spans="14:14" x14ac:dyDescent="0.25">
      <c r="N13474" s="26"/>
    </row>
    <row r="13475" spans="14:14" x14ac:dyDescent="0.25">
      <c r="N13475" s="26"/>
    </row>
    <row r="13476" spans="14:14" x14ac:dyDescent="0.25">
      <c r="N13476" s="26"/>
    </row>
    <row r="13477" spans="14:14" x14ac:dyDescent="0.25">
      <c r="N13477" s="26"/>
    </row>
    <row r="13478" spans="14:14" x14ac:dyDescent="0.25">
      <c r="N13478" s="26"/>
    </row>
    <row r="13479" spans="14:14" x14ac:dyDescent="0.25">
      <c r="N13479" s="26"/>
    </row>
    <row r="13480" spans="14:14" x14ac:dyDescent="0.25">
      <c r="N13480" s="26"/>
    </row>
    <row r="13481" spans="14:14" x14ac:dyDescent="0.25">
      <c r="N13481" s="26"/>
    </row>
    <row r="13482" spans="14:14" x14ac:dyDescent="0.25">
      <c r="N13482" s="26"/>
    </row>
    <row r="13483" spans="14:14" x14ac:dyDescent="0.25">
      <c r="N13483" s="26"/>
    </row>
    <row r="13484" spans="14:14" x14ac:dyDescent="0.25">
      <c r="N13484" s="26"/>
    </row>
    <row r="13485" spans="14:14" x14ac:dyDescent="0.25">
      <c r="N13485" s="26"/>
    </row>
    <row r="13486" spans="14:14" x14ac:dyDescent="0.25">
      <c r="N13486" s="26"/>
    </row>
    <row r="13487" spans="14:14" x14ac:dyDescent="0.25">
      <c r="N13487" s="26"/>
    </row>
    <row r="13488" spans="14:14" x14ac:dyDescent="0.25">
      <c r="N13488" s="26"/>
    </row>
    <row r="13489" spans="14:14" x14ac:dyDescent="0.25">
      <c r="N13489" s="26"/>
    </row>
    <row r="13490" spans="14:14" x14ac:dyDescent="0.25">
      <c r="N13490" s="26"/>
    </row>
    <row r="13491" spans="14:14" x14ac:dyDescent="0.25">
      <c r="N13491" s="26"/>
    </row>
    <row r="13492" spans="14:14" x14ac:dyDescent="0.25">
      <c r="N13492" s="26"/>
    </row>
    <row r="13493" spans="14:14" x14ac:dyDescent="0.25">
      <c r="N13493" s="26"/>
    </row>
    <row r="13494" spans="14:14" x14ac:dyDescent="0.25">
      <c r="N13494" s="26"/>
    </row>
    <row r="13495" spans="14:14" x14ac:dyDescent="0.25">
      <c r="N13495" s="26"/>
    </row>
    <row r="13496" spans="14:14" x14ac:dyDescent="0.25">
      <c r="N13496" s="26"/>
    </row>
    <row r="13497" spans="14:14" x14ac:dyDescent="0.25">
      <c r="N13497" s="26"/>
    </row>
    <row r="13498" spans="14:14" x14ac:dyDescent="0.25">
      <c r="N13498" s="26"/>
    </row>
    <row r="13499" spans="14:14" x14ac:dyDescent="0.25">
      <c r="N13499" s="26"/>
    </row>
    <row r="13500" spans="14:14" x14ac:dyDescent="0.25">
      <c r="N13500" s="26"/>
    </row>
    <row r="13501" spans="14:14" x14ac:dyDescent="0.25">
      <c r="N13501" s="26"/>
    </row>
    <row r="13502" spans="14:14" x14ac:dyDescent="0.25">
      <c r="N13502" s="26"/>
    </row>
    <row r="13503" spans="14:14" x14ac:dyDescent="0.25">
      <c r="N13503" s="26"/>
    </row>
    <row r="13504" spans="14:14" x14ac:dyDescent="0.25">
      <c r="N13504" s="26"/>
    </row>
    <row r="13505" spans="14:14" x14ac:dyDescent="0.25">
      <c r="N13505" s="26"/>
    </row>
    <row r="13506" spans="14:14" x14ac:dyDescent="0.25">
      <c r="N13506" s="26"/>
    </row>
    <row r="13507" spans="14:14" x14ac:dyDescent="0.25">
      <c r="N13507" s="26"/>
    </row>
    <row r="13508" spans="14:14" x14ac:dyDescent="0.25">
      <c r="N13508" s="26"/>
    </row>
    <row r="13509" spans="14:14" x14ac:dyDescent="0.25">
      <c r="N13509" s="26"/>
    </row>
    <row r="13510" spans="14:14" x14ac:dyDescent="0.25">
      <c r="N13510" s="26"/>
    </row>
    <row r="13511" spans="14:14" x14ac:dyDescent="0.25">
      <c r="N13511" s="26"/>
    </row>
    <row r="13512" spans="14:14" x14ac:dyDescent="0.25">
      <c r="N13512" s="26"/>
    </row>
    <row r="13513" spans="14:14" x14ac:dyDescent="0.25">
      <c r="N13513" s="26"/>
    </row>
    <row r="13514" spans="14:14" x14ac:dyDescent="0.25">
      <c r="N13514" s="26"/>
    </row>
    <row r="13515" spans="14:14" x14ac:dyDescent="0.25">
      <c r="N13515" s="26"/>
    </row>
    <row r="13516" spans="14:14" x14ac:dyDescent="0.25">
      <c r="N13516" s="26"/>
    </row>
    <row r="13517" spans="14:14" x14ac:dyDescent="0.25">
      <c r="N13517" s="26"/>
    </row>
    <row r="13518" spans="14:14" x14ac:dyDescent="0.25">
      <c r="N13518" s="26"/>
    </row>
    <row r="13519" spans="14:14" x14ac:dyDescent="0.25">
      <c r="N13519" s="26"/>
    </row>
    <row r="13520" spans="14:14" x14ac:dyDescent="0.25">
      <c r="N13520" s="26"/>
    </row>
    <row r="13521" spans="14:14" x14ac:dyDescent="0.25">
      <c r="N13521" s="26"/>
    </row>
    <row r="13522" spans="14:14" x14ac:dyDescent="0.25">
      <c r="N13522" s="26"/>
    </row>
    <row r="13523" spans="14:14" x14ac:dyDescent="0.25">
      <c r="N13523" s="26"/>
    </row>
    <row r="13524" spans="14:14" x14ac:dyDescent="0.25">
      <c r="N13524" s="26"/>
    </row>
    <row r="13525" spans="14:14" x14ac:dyDescent="0.25">
      <c r="N13525" s="26"/>
    </row>
    <row r="13526" spans="14:14" x14ac:dyDescent="0.25">
      <c r="N13526" s="26"/>
    </row>
    <row r="13527" spans="14:14" x14ac:dyDescent="0.25">
      <c r="N13527" s="26"/>
    </row>
    <row r="13528" spans="14:14" x14ac:dyDescent="0.25">
      <c r="N13528" s="26"/>
    </row>
    <row r="13529" spans="14:14" x14ac:dyDescent="0.25">
      <c r="N13529" s="26"/>
    </row>
    <row r="13530" spans="14:14" x14ac:dyDescent="0.25">
      <c r="N13530" s="26"/>
    </row>
    <row r="13531" spans="14:14" x14ac:dyDescent="0.25">
      <c r="N13531" s="26"/>
    </row>
    <row r="13532" spans="14:14" x14ac:dyDescent="0.25">
      <c r="N13532" s="26"/>
    </row>
    <row r="13533" spans="14:14" x14ac:dyDescent="0.25">
      <c r="N13533" s="26"/>
    </row>
    <row r="13534" spans="14:14" x14ac:dyDescent="0.25">
      <c r="N13534" s="26"/>
    </row>
    <row r="13535" spans="14:14" x14ac:dyDescent="0.25">
      <c r="N13535" s="26"/>
    </row>
    <row r="13536" spans="14:14" x14ac:dyDescent="0.25">
      <c r="N13536" s="26"/>
    </row>
    <row r="13537" spans="14:14" x14ac:dyDescent="0.25">
      <c r="N13537" s="26"/>
    </row>
    <row r="13538" spans="14:14" x14ac:dyDescent="0.25">
      <c r="N13538" s="26"/>
    </row>
    <row r="13539" spans="14:14" x14ac:dyDescent="0.25">
      <c r="N13539" s="26"/>
    </row>
    <row r="13540" spans="14:14" x14ac:dyDescent="0.25">
      <c r="N13540" s="26"/>
    </row>
    <row r="13541" spans="14:14" x14ac:dyDescent="0.25">
      <c r="N13541" s="26"/>
    </row>
    <row r="13542" spans="14:14" x14ac:dyDescent="0.25">
      <c r="N13542" s="26"/>
    </row>
    <row r="13543" spans="14:14" x14ac:dyDescent="0.25">
      <c r="N13543" s="26"/>
    </row>
    <row r="13544" spans="14:14" x14ac:dyDescent="0.25">
      <c r="N13544" s="26"/>
    </row>
    <row r="13545" spans="14:14" x14ac:dyDescent="0.25">
      <c r="N13545" s="26"/>
    </row>
    <row r="13546" spans="14:14" x14ac:dyDescent="0.25">
      <c r="N13546" s="26"/>
    </row>
    <row r="13547" spans="14:14" x14ac:dyDescent="0.25">
      <c r="N13547" s="26"/>
    </row>
    <row r="13548" spans="14:14" x14ac:dyDescent="0.25">
      <c r="N13548" s="26"/>
    </row>
    <row r="13549" spans="14:14" x14ac:dyDescent="0.25">
      <c r="N13549" s="26"/>
    </row>
    <row r="13550" spans="14:14" x14ac:dyDescent="0.25">
      <c r="N13550" s="26"/>
    </row>
    <row r="13551" spans="14:14" x14ac:dyDescent="0.25">
      <c r="N13551" s="26"/>
    </row>
    <row r="13552" spans="14:14" x14ac:dyDescent="0.25">
      <c r="N13552" s="26"/>
    </row>
    <row r="13553" spans="14:14" x14ac:dyDescent="0.25">
      <c r="N13553" s="26"/>
    </row>
    <row r="13554" spans="14:14" x14ac:dyDescent="0.25">
      <c r="N13554" s="26"/>
    </row>
    <row r="13555" spans="14:14" x14ac:dyDescent="0.25">
      <c r="N13555" s="26"/>
    </row>
    <row r="13556" spans="14:14" x14ac:dyDescent="0.25">
      <c r="N13556" s="26"/>
    </row>
    <row r="13557" spans="14:14" x14ac:dyDescent="0.25">
      <c r="N13557" s="26"/>
    </row>
    <row r="13558" spans="14:14" x14ac:dyDescent="0.25">
      <c r="N13558" s="26"/>
    </row>
    <row r="13559" spans="14:14" x14ac:dyDescent="0.25">
      <c r="N13559" s="26"/>
    </row>
    <row r="13560" spans="14:14" x14ac:dyDescent="0.25">
      <c r="N13560" s="26"/>
    </row>
    <row r="13561" spans="14:14" x14ac:dyDescent="0.25">
      <c r="N13561" s="26"/>
    </row>
    <row r="13562" spans="14:14" x14ac:dyDescent="0.25">
      <c r="N13562" s="26"/>
    </row>
    <row r="13563" spans="14:14" x14ac:dyDescent="0.25">
      <c r="N13563" s="26"/>
    </row>
    <row r="13564" spans="14:14" x14ac:dyDescent="0.25">
      <c r="N13564" s="26"/>
    </row>
    <row r="13565" spans="14:14" x14ac:dyDescent="0.25">
      <c r="N13565" s="26"/>
    </row>
    <row r="13566" spans="14:14" x14ac:dyDescent="0.25">
      <c r="N13566" s="26"/>
    </row>
    <row r="13567" spans="14:14" x14ac:dyDescent="0.25">
      <c r="N13567" s="26"/>
    </row>
    <row r="13568" spans="14:14" x14ac:dyDescent="0.25">
      <c r="N13568" s="26"/>
    </row>
    <row r="13569" spans="14:14" x14ac:dyDescent="0.25">
      <c r="N13569" s="26"/>
    </row>
    <row r="13570" spans="14:14" x14ac:dyDescent="0.25">
      <c r="N13570" s="26"/>
    </row>
    <row r="13571" spans="14:14" x14ac:dyDescent="0.25">
      <c r="N13571" s="26"/>
    </row>
    <row r="13572" spans="14:14" x14ac:dyDescent="0.25">
      <c r="N13572" s="26"/>
    </row>
    <row r="13573" spans="14:14" x14ac:dyDescent="0.25">
      <c r="N13573" s="26"/>
    </row>
    <row r="13574" spans="14:14" x14ac:dyDescent="0.25">
      <c r="N13574" s="26"/>
    </row>
    <row r="13575" spans="14:14" x14ac:dyDescent="0.25">
      <c r="N13575" s="26"/>
    </row>
    <row r="13576" spans="14:14" x14ac:dyDescent="0.25">
      <c r="N13576" s="26"/>
    </row>
    <row r="13577" spans="14:14" x14ac:dyDescent="0.25">
      <c r="N13577" s="26"/>
    </row>
    <row r="13578" spans="14:14" x14ac:dyDescent="0.25">
      <c r="N13578" s="26"/>
    </row>
    <row r="13579" spans="14:14" x14ac:dyDescent="0.25">
      <c r="N13579" s="26"/>
    </row>
    <row r="13580" spans="14:14" x14ac:dyDescent="0.25">
      <c r="N13580" s="26"/>
    </row>
    <row r="13581" spans="14:14" x14ac:dyDescent="0.25">
      <c r="N13581" s="26"/>
    </row>
    <row r="13582" spans="14:14" x14ac:dyDescent="0.25">
      <c r="N13582" s="26"/>
    </row>
    <row r="13583" spans="14:14" x14ac:dyDescent="0.25">
      <c r="N13583" s="26"/>
    </row>
    <row r="13584" spans="14:14" x14ac:dyDescent="0.25">
      <c r="N13584" s="26"/>
    </row>
    <row r="13585" spans="14:14" x14ac:dyDescent="0.25">
      <c r="N13585" s="26"/>
    </row>
    <row r="13586" spans="14:14" x14ac:dyDescent="0.25">
      <c r="N13586" s="26"/>
    </row>
    <row r="13587" spans="14:14" x14ac:dyDescent="0.25">
      <c r="N13587" s="26"/>
    </row>
    <row r="13588" spans="14:14" x14ac:dyDescent="0.25">
      <c r="N13588" s="26"/>
    </row>
    <row r="13589" spans="14:14" x14ac:dyDescent="0.25">
      <c r="N13589" s="26"/>
    </row>
    <row r="13590" spans="14:14" x14ac:dyDescent="0.25">
      <c r="N13590" s="26"/>
    </row>
    <row r="13591" spans="14:14" x14ac:dyDescent="0.25">
      <c r="N13591" s="26"/>
    </row>
    <row r="13592" spans="14:14" x14ac:dyDescent="0.25">
      <c r="N13592" s="26"/>
    </row>
    <row r="13593" spans="14:14" x14ac:dyDescent="0.25">
      <c r="N13593" s="26"/>
    </row>
    <row r="13594" spans="14:14" x14ac:dyDescent="0.25">
      <c r="N13594" s="26"/>
    </row>
    <row r="13595" spans="14:14" x14ac:dyDescent="0.25">
      <c r="N13595" s="26"/>
    </row>
    <row r="13596" spans="14:14" x14ac:dyDescent="0.25">
      <c r="N13596" s="26"/>
    </row>
    <row r="13597" spans="14:14" x14ac:dyDescent="0.25">
      <c r="N13597" s="26"/>
    </row>
    <row r="13598" spans="14:14" x14ac:dyDescent="0.25">
      <c r="N13598" s="26"/>
    </row>
    <row r="13599" spans="14:14" x14ac:dyDescent="0.25">
      <c r="N13599" s="26"/>
    </row>
    <row r="13600" spans="14:14" x14ac:dyDescent="0.25">
      <c r="N13600" s="26"/>
    </row>
    <row r="13601" spans="14:14" x14ac:dyDescent="0.25">
      <c r="N13601" s="26"/>
    </row>
    <row r="13602" spans="14:14" x14ac:dyDescent="0.25">
      <c r="N13602" s="26"/>
    </row>
    <row r="13603" spans="14:14" x14ac:dyDescent="0.25">
      <c r="N13603" s="26"/>
    </row>
    <row r="13604" spans="14:14" x14ac:dyDescent="0.25">
      <c r="N13604" s="26"/>
    </row>
    <row r="13605" spans="14:14" x14ac:dyDescent="0.25">
      <c r="N13605" s="26"/>
    </row>
    <row r="13606" spans="14:14" x14ac:dyDescent="0.25">
      <c r="N13606" s="26"/>
    </row>
    <row r="13607" spans="14:14" x14ac:dyDescent="0.25">
      <c r="N13607" s="26"/>
    </row>
    <row r="13608" spans="14:14" x14ac:dyDescent="0.25">
      <c r="N13608" s="26"/>
    </row>
    <row r="13609" spans="14:14" x14ac:dyDescent="0.25">
      <c r="N13609" s="26"/>
    </row>
    <row r="13610" spans="14:14" x14ac:dyDescent="0.25">
      <c r="N13610" s="26"/>
    </row>
    <row r="13611" spans="14:14" x14ac:dyDescent="0.25">
      <c r="N13611" s="26"/>
    </row>
    <row r="13612" spans="14:14" x14ac:dyDescent="0.25">
      <c r="N13612" s="26"/>
    </row>
    <row r="13613" spans="14:14" x14ac:dyDescent="0.25">
      <c r="N13613" s="26"/>
    </row>
    <row r="13614" spans="14:14" x14ac:dyDescent="0.25">
      <c r="N13614" s="26"/>
    </row>
    <row r="13615" spans="14:14" x14ac:dyDescent="0.25">
      <c r="N13615" s="26"/>
    </row>
    <row r="13616" spans="14:14" x14ac:dyDescent="0.25">
      <c r="N13616" s="26"/>
    </row>
    <row r="13617" spans="14:14" x14ac:dyDescent="0.25">
      <c r="N13617" s="26"/>
    </row>
    <row r="13618" spans="14:14" x14ac:dyDescent="0.25">
      <c r="N13618" s="26"/>
    </row>
    <row r="13619" spans="14:14" x14ac:dyDescent="0.25">
      <c r="N13619" s="26"/>
    </row>
    <row r="13620" spans="14:14" x14ac:dyDescent="0.25">
      <c r="N13620" s="26"/>
    </row>
    <row r="13621" spans="14:14" x14ac:dyDescent="0.25">
      <c r="N13621" s="26"/>
    </row>
    <row r="13622" spans="14:14" x14ac:dyDescent="0.25">
      <c r="N13622" s="26"/>
    </row>
    <row r="13623" spans="14:14" x14ac:dyDescent="0.25">
      <c r="N13623" s="26"/>
    </row>
    <row r="13624" spans="14:14" x14ac:dyDescent="0.25">
      <c r="N13624" s="26"/>
    </row>
    <row r="13625" spans="14:14" x14ac:dyDescent="0.25">
      <c r="N13625" s="26"/>
    </row>
    <row r="13626" spans="14:14" x14ac:dyDescent="0.25">
      <c r="N13626" s="26"/>
    </row>
    <row r="13627" spans="14:14" x14ac:dyDescent="0.25">
      <c r="N13627" s="26"/>
    </row>
    <row r="13628" spans="14:14" x14ac:dyDescent="0.25">
      <c r="N13628" s="26"/>
    </row>
    <row r="13629" spans="14:14" x14ac:dyDescent="0.25">
      <c r="N13629" s="26"/>
    </row>
    <row r="13630" spans="14:14" x14ac:dyDescent="0.25">
      <c r="N13630" s="26"/>
    </row>
    <row r="13631" spans="14:14" x14ac:dyDescent="0.25">
      <c r="N13631" s="26"/>
    </row>
    <row r="13632" spans="14:14" x14ac:dyDescent="0.25">
      <c r="N13632" s="26"/>
    </row>
    <row r="13633" spans="14:14" x14ac:dyDescent="0.25">
      <c r="N13633" s="26"/>
    </row>
    <row r="13634" spans="14:14" x14ac:dyDescent="0.25">
      <c r="N13634" s="26"/>
    </row>
    <row r="13635" spans="14:14" x14ac:dyDescent="0.25">
      <c r="N13635" s="26"/>
    </row>
    <row r="13636" spans="14:14" x14ac:dyDescent="0.25">
      <c r="N13636" s="26"/>
    </row>
    <row r="13637" spans="14:14" x14ac:dyDescent="0.25">
      <c r="N13637" s="26"/>
    </row>
    <row r="13638" spans="14:14" x14ac:dyDescent="0.25">
      <c r="N13638" s="26"/>
    </row>
    <row r="13639" spans="14:14" x14ac:dyDescent="0.25">
      <c r="N13639" s="26"/>
    </row>
    <row r="13640" spans="14:14" x14ac:dyDescent="0.25">
      <c r="N13640" s="26"/>
    </row>
    <row r="13641" spans="14:14" x14ac:dyDescent="0.25">
      <c r="N13641" s="26"/>
    </row>
    <row r="13642" spans="14:14" x14ac:dyDescent="0.25">
      <c r="N13642" s="26"/>
    </row>
    <row r="13643" spans="14:14" x14ac:dyDescent="0.25">
      <c r="N13643" s="26"/>
    </row>
    <row r="13644" spans="14:14" x14ac:dyDescent="0.25">
      <c r="N13644" s="26"/>
    </row>
    <row r="13645" spans="14:14" x14ac:dyDescent="0.25">
      <c r="N13645" s="26"/>
    </row>
    <row r="13646" spans="14:14" x14ac:dyDescent="0.25">
      <c r="N13646" s="26"/>
    </row>
    <row r="13647" spans="14:14" x14ac:dyDescent="0.25">
      <c r="N13647" s="26"/>
    </row>
    <row r="13648" spans="14:14" x14ac:dyDescent="0.25">
      <c r="N13648" s="26"/>
    </row>
    <row r="13649" spans="14:14" x14ac:dyDescent="0.25">
      <c r="N13649" s="26"/>
    </row>
    <row r="13650" spans="14:14" x14ac:dyDescent="0.25">
      <c r="N13650" s="26"/>
    </row>
    <row r="13651" spans="14:14" x14ac:dyDescent="0.25">
      <c r="N13651" s="26"/>
    </row>
    <row r="13652" spans="14:14" x14ac:dyDescent="0.25">
      <c r="N13652" s="26"/>
    </row>
    <row r="13653" spans="14:14" x14ac:dyDescent="0.25">
      <c r="N13653" s="26"/>
    </row>
    <row r="13654" spans="14:14" x14ac:dyDescent="0.25">
      <c r="N13654" s="26"/>
    </row>
    <row r="13655" spans="14:14" x14ac:dyDescent="0.25">
      <c r="N13655" s="26"/>
    </row>
    <row r="13656" spans="14:14" x14ac:dyDescent="0.25">
      <c r="N13656" s="26"/>
    </row>
    <row r="13657" spans="14:14" x14ac:dyDescent="0.25">
      <c r="N13657" s="26"/>
    </row>
    <row r="13658" spans="14:14" x14ac:dyDescent="0.25">
      <c r="N13658" s="26"/>
    </row>
    <row r="13659" spans="14:14" x14ac:dyDescent="0.25">
      <c r="N13659" s="26"/>
    </row>
    <row r="13660" spans="14:14" x14ac:dyDescent="0.25">
      <c r="N13660" s="26"/>
    </row>
    <row r="13661" spans="14:14" x14ac:dyDescent="0.25">
      <c r="N13661" s="26"/>
    </row>
    <row r="13662" spans="14:14" x14ac:dyDescent="0.25">
      <c r="N13662" s="26"/>
    </row>
    <row r="13663" spans="14:14" x14ac:dyDescent="0.25">
      <c r="N13663" s="26"/>
    </row>
    <row r="13664" spans="14:14" x14ac:dyDescent="0.25">
      <c r="N13664" s="26"/>
    </row>
    <row r="13665" spans="14:14" x14ac:dyDescent="0.25">
      <c r="N13665" s="26"/>
    </row>
    <row r="13666" spans="14:14" x14ac:dyDescent="0.25">
      <c r="N13666" s="26"/>
    </row>
    <row r="13667" spans="14:14" x14ac:dyDescent="0.25">
      <c r="N13667" s="26"/>
    </row>
    <row r="13668" spans="14:14" x14ac:dyDescent="0.25">
      <c r="N13668" s="26"/>
    </row>
    <row r="13669" spans="14:14" x14ac:dyDescent="0.25">
      <c r="N13669" s="26"/>
    </row>
    <row r="13670" spans="14:14" x14ac:dyDescent="0.25">
      <c r="N13670" s="26"/>
    </row>
    <row r="13671" spans="14:14" x14ac:dyDescent="0.25">
      <c r="N13671" s="26"/>
    </row>
    <row r="13672" spans="14:14" x14ac:dyDescent="0.25">
      <c r="N13672" s="26"/>
    </row>
    <row r="13673" spans="14:14" x14ac:dyDescent="0.25">
      <c r="N13673" s="26"/>
    </row>
    <row r="13674" spans="14:14" x14ac:dyDescent="0.25">
      <c r="N13674" s="26"/>
    </row>
    <row r="13675" spans="14:14" x14ac:dyDescent="0.25">
      <c r="N13675" s="26"/>
    </row>
    <row r="13676" spans="14:14" x14ac:dyDescent="0.25">
      <c r="N13676" s="26"/>
    </row>
    <row r="13677" spans="14:14" x14ac:dyDescent="0.25">
      <c r="N13677" s="26"/>
    </row>
    <row r="13678" spans="14:14" x14ac:dyDescent="0.25">
      <c r="N13678" s="26"/>
    </row>
    <row r="13679" spans="14:14" x14ac:dyDescent="0.25">
      <c r="N13679" s="26"/>
    </row>
    <row r="13680" spans="14:14" x14ac:dyDescent="0.25">
      <c r="N13680" s="26"/>
    </row>
    <row r="13681" spans="14:14" x14ac:dyDescent="0.25">
      <c r="N13681" s="26"/>
    </row>
    <row r="13682" spans="14:14" x14ac:dyDescent="0.25">
      <c r="N13682" s="26"/>
    </row>
    <row r="13683" spans="14:14" x14ac:dyDescent="0.25">
      <c r="N13683" s="26"/>
    </row>
    <row r="13684" spans="14:14" x14ac:dyDescent="0.25">
      <c r="N13684" s="26"/>
    </row>
    <row r="13685" spans="14:14" x14ac:dyDescent="0.25">
      <c r="N13685" s="26"/>
    </row>
    <row r="13686" spans="14:14" x14ac:dyDescent="0.25">
      <c r="N13686" s="26"/>
    </row>
    <row r="13687" spans="14:14" x14ac:dyDescent="0.25">
      <c r="N13687" s="26"/>
    </row>
    <row r="13688" spans="14:14" x14ac:dyDescent="0.25">
      <c r="N13688" s="26"/>
    </row>
    <row r="13689" spans="14:14" x14ac:dyDescent="0.25">
      <c r="N13689" s="26"/>
    </row>
    <row r="13690" spans="14:14" x14ac:dyDescent="0.25">
      <c r="N13690" s="26"/>
    </row>
    <row r="13691" spans="14:14" x14ac:dyDescent="0.25">
      <c r="N13691" s="26"/>
    </row>
    <row r="13692" spans="14:14" x14ac:dyDescent="0.25">
      <c r="N13692" s="26"/>
    </row>
    <row r="13693" spans="14:14" x14ac:dyDescent="0.25">
      <c r="N13693" s="26"/>
    </row>
    <row r="13694" spans="14:14" x14ac:dyDescent="0.25">
      <c r="N13694" s="26"/>
    </row>
    <row r="13695" spans="14:14" x14ac:dyDescent="0.25">
      <c r="N13695" s="26"/>
    </row>
    <row r="13696" spans="14:14" x14ac:dyDescent="0.25">
      <c r="N13696" s="26"/>
    </row>
    <row r="13697" spans="14:14" x14ac:dyDescent="0.25">
      <c r="N13697" s="26"/>
    </row>
    <row r="13698" spans="14:14" x14ac:dyDescent="0.25">
      <c r="N13698" s="26"/>
    </row>
    <row r="13699" spans="14:14" x14ac:dyDescent="0.25">
      <c r="N13699" s="26"/>
    </row>
    <row r="13700" spans="14:14" x14ac:dyDescent="0.25">
      <c r="N13700" s="26"/>
    </row>
    <row r="13701" spans="14:14" x14ac:dyDescent="0.25">
      <c r="N13701" s="26"/>
    </row>
    <row r="13702" spans="14:14" x14ac:dyDescent="0.25">
      <c r="N13702" s="26"/>
    </row>
    <row r="13703" spans="14:14" x14ac:dyDescent="0.25">
      <c r="N13703" s="26"/>
    </row>
    <row r="13704" spans="14:14" x14ac:dyDescent="0.25">
      <c r="N13704" s="26"/>
    </row>
    <row r="13705" spans="14:14" x14ac:dyDescent="0.25">
      <c r="N13705" s="26"/>
    </row>
    <row r="13706" spans="14:14" x14ac:dyDescent="0.25">
      <c r="N13706" s="26"/>
    </row>
    <row r="13707" spans="14:14" x14ac:dyDescent="0.25">
      <c r="N13707" s="26"/>
    </row>
    <row r="13708" spans="14:14" x14ac:dyDescent="0.25">
      <c r="N13708" s="26"/>
    </row>
    <row r="13709" spans="14:14" x14ac:dyDescent="0.25">
      <c r="N13709" s="26"/>
    </row>
    <row r="13710" spans="14:14" x14ac:dyDescent="0.25">
      <c r="N13710" s="26"/>
    </row>
    <row r="13711" spans="14:14" x14ac:dyDescent="0.25">
      <c r="N13711" s="26"/>
    </row>
    <row r="13712" spans="14:14" x14ac:dyDescent="0.25">
      <c r="N13712" s="26"/>
    </row>
    <row r="13713" spans="14:14" x14ac:dyDescent="0.25">
      <c r="N13713" s="26"/>
    </row>
    <row r="13714" spans="14:14" x14ac:dyDescent="0.25">
      <c r="N13714" s="26"/>
    </row>
    <row r="13715" spans="14:14" x14ac:dyDescent="0.25">
      <c r="N13715" s="26"/>
    </row>
    <row r="13716" spans="14:14" x14ac:dyDescent="0.25">
      <c r="N13716" s="26"/>
    </row>
    <row r="13717" spans="14:14" x14ac:dyDescent="0.25">
      <c r="N13717" s="26"/>
    </row>
    <row r="13718" spans="14:14" x14ac:dyDescent="0.25">
      <c r="N13718" s="26"/>
    </row>
    <row r="13719" spans="14:14" x14ac:dyDescent="0.25">
      <c r="N13719" s="26"/>
    </row>
    <row r="13720" spans="14:14" x14ac:dyDescent="0.25">
      <c r="N13720" s="26"/>
    </row>
    <row r="13721" spans="14:14" x14ac:dyDescent="0.25">
      <c r="N13721" s="26"/>
    </row>
    <row r="13722" spans="14:14" x14ac:dyDescent="0.25">
      <c r="N13722" s="26"/>
    </row>
    <row r="13723" spans="14:14" x14ac:dyDescent="0.25">
      <c r="N13723" s="26"/>
    </row>
    <row r="13724" spans="14:14" x14ac:dyDescent="0.25">
      <c r="N13724" s="26"/>
    </row>
    <row r="13725" spans="14:14" x14ac:dyDescent="0.25">
      <c r="N13725" s="26"/>
    </row>
    <row r="13726" spans="14:14" x14ac:dyDescent="0.25">
      <c r="N13726" s="26"/>
    </row>
    <row r="13727" spans="14:14" x14ac:dyDescent="0.25">
      <c r="N13727" s="26"/>
    </row>
    <row r="13728" spans="14:14" x14ac:dyDescent="0.25">
      <c r="N13728" s="26"/>
    </row>
    <row r="13729" spans="14:14" x14ac:dyDescent="0.25">
      <c r="N13729" s="26"/>
    </row>
    <row r="13730" spans="14:14" x14ac:dyDescent="0.25">
      <c r="N13730" s="26"/>
    </row>
    <row r="13731" spans="14:14" x14ac:dyDescent="0.25">
      <c r="N13731" s="26"/>
    </row>
    <row r="13732" spans="14:14" x14ac:dyDescent="0.25">
      <c r="N13732" s="26"/>
    </row>
    <row r="13733" spans="14:14" x14ac:dyDescent="0.25">
      <c r="N13733" s="26"/>
    </row>
    <row r="13734" spans="14:14" x14ac:dyDescent="0.25">
      <c r="N13734" s="26"/>
    </row>
    <row r="13735" spans="14:14" x14ac:dyDescent="0.25">
      <c r="N13735" s="26"/>
    </row>
    <row r="13736" spans="14:14" x14ac:dyDescent="0.25">
      <c r="N13736" s="26"/>
    </row>
    <row r="13737" spans="14:14" x14ac:dyDescent="0.25">
      <c r="N13737" s="26"/>
    </row>
    <row r="13738" spans="14:14" x14ac:dyDescent="0.25">
      <c r="N13738" s="26"/>
    </row>
    <row r="13739" spans="14:14" x14ac:dyDescent="0.25">
      <c r="N13739" s="26"/>
    </row>
    <row r="13740" spans="14:14" x14ac:dyDescent="0.25">
      <c r="N13740" s="26"/>
    </row>
    <row r="13741" spans="14:14" x14ac:dyDescent="0.25">
      <c r="N13741" s="26"/>
    </row>
    <row r="13742" spans="14:14" x14ac:dyDescent="0.25">
      <c r="N13742" s="26"/>
    </row>
    <row r="13743" spans="14:14" x14ac:dyDescent="0.25">
      <c r="N13743" s="26"/>
    </row>
    <row r="13744" spans="14:14" x14ac:dyDescent="0.25">
      <c r="N13744" s="26"/>
    </row>
    <row r="13745" spans="14:14" x14ac:dyDescent="0.25">
      <c r="N13745" s="26"/>
    </row>
    <row r="13746" spans="14:14" x14ac:dyDescent="0.25">
      <c r="N13746" s="26"/>
    </row>
    <row r="13747" spans="14:14" x14ac:dyDescent="0.25">
      <c r="N13747" s="26"/>
    </row>
    <row r="13748" spans="14:14" x14ac:dyDescent="0.25">
      <c r="N13748" s="26"/>
    </row>
    <row r="13749" spans="14:14" x14ac:dyDescent="0.25">
      <c r="N13749" s="26"/>
    </row>
    <row r="13750" spans="14:14" x14ac:dyDescent="0.25">
      <c r="N13750" s="26"/>
    </row>
    <row r="13751" spans="14:14" x14ac:dyDescent="0.25">
      <c r="N13751" s="26"/>
    </row>
    <row r="13752" spans="14:14" x14ac:dyDescent="0.25">
      <c r="N13752" s="26"/>
    </row>
    <row r="13753" spans="14:14" x14ac:dyDescent="0.25">
      <c r="N13753" s="26"/>
    </row>
    <row r="13754" spans="14:14" x14ac:dyDescent="0.25">
      <c r="N13754" s="26"/>
    </row>
    <row r="13755" spans="14:14" x14ac:dyDescent="0.25">
      <c r="N13755" s="26"/>
    </row>
    <row r="13756" spans="14:14" x14ac:dyDescent="0.25">
      <c r="N13756" s="26"/>
    </row>
    <row r="13757" spans="14:14" x14ac:dyDescent="0.25">
      <c r="N13757" s="26"/>
    </row>
    <row r="13758" spans="14:14" x14ac:dyDescent="0.25">
      <c r="N13758" s="26"/>
    </row>
    <row r="13759" spans="14:14" x14ac:dyDescent="0.25">
      <c r="N13759" s="26"/>
    </row>
    <row r="13760" spans="14:14" x14ac:dyDescent="0.25">
      <c r="N13760" s="26"/>
    </row>
    <row r="13761" spans="14:14" x14ac:dyDescent="0.25">
      <c r="N13761" s="26"/>
    </row>
    <row r="13762" spans="14:14" x14ac:dyDescent="0.25">
      <c r="N13762" s="26"/>
    </row>
    <row r="13763" spans="14:14" x14ac:dyDescent="0.25">
      <c r="N13763" s="26"/>
    </row>
    <row r="13764" spans="14:14" x14ac:dyDescent="0.25">
      <c r="N13764" s="26"/>
    </row>
    <row r="13765" spans="14:14" x14ac:dyDescent="0.25">
      <c r="N13765" s="26"/>
    </row>
    <row r="13766" spans="14:14" x14ac:dyDescent="0.25">
      <c r="N13766" s="26"/>
    </row>
    <row r="13767" spans="14:14" x14ac:dyDescent="0.25">
      <c r="N13767" s="26"/>
    </row>
    <row r="13768" spans="14:14" x14ac:dyDescent="0.25">
      <c r="N13768" s="26"/>
    </row>
    <row r="13769" spans="14:14" x14ac:dyDescent="0.25">
      <c r="N13769" s="26"/>
    </row>
    <row r="13770" spans="14:14" x14ac:dyDescent="0.25">
      <c r="N13770" s="26"/>
    </row>
    <row r="13771" spans="14:14" x14ac:dyDescent="0.25">
      <c r="N13771" s="26"/>
    </row>
    <row r="13772" spans="14:14" x14ac:dyDescent="0.25">
      <c r="N13772" s="26"/>
    </row>
    <row r="13773" spans="14:14" x14ac:dyDescent="0.25">
      <c r="N13773" s="26"/>
    </row>
    <row r="13774" spans="14:14" x14ac:dyDescent="0.25">
      <c r="N13774" s="26"/>
    </row>
    <row r="13775" spans="14:14" x14ac:dyDescent="0.25">
      <c r="N13775" s="26"/>
    </row>
    <row r="13776" spans="14:14" x14ac:dyDescent="0.25">
      <c r="N13776" s="26"/>
    </row>
    <row r="13777" spans="14:14" x14ac:dyDescent="0.25">
      <c r="N13777" s="26"/>
    </row>
    <row r="13778" spans="14:14" x14ac:dyDescent="0.25">
      <c r="N13778" s="26"/>
    </row>
    <row r="13779" spans="14:14" x14ac:dyDescent="0.25">
      <c r="N13779" s="26"/>
    </row>
    <row r="13780" spans="14:14" x14ac:dyDescent="0.25">
      <c r="N13780" s="26"/>
    </row>
    <row r="13781" spans="14:14" x14ac:dyDescent="0.25">
      <c r="N13781" s="26"/>
    </row>
    <row r="13782" spans="14:14" x14ac:dyDescent="0.25">
      <c r="N13782" s="26"/>
    </row>
    <row r="13783" spans="14:14" x14ac:dyDescent="0.25">
      <c r="N13783" s="26"/>
    </row>
    <row r="13784" spans="14:14" x14ac:dyDescent="0.25">
      <c r="N13784" s="26"/>
    </row>
    <row r="13785" spans="14:14" x14ac:dyDescent="0.25">
      <c r="N13785" s="26"/>
    </row>
    <row r="13786" spans="14:14" x14ac:dyDescent="0.25">
      <c r="N13786" s="26"/>
    </row>
    <row r="13787" spans="14:14" x14ac:dyDescent="0.25">
      <c r="N13787" s="26"/>
    </row>
    <row r="13788" spans="14:14" x14ac:dyDescent="0.25">
      <c r="N13788" s="26"/>
    </row>
    <row r="13789" spans="14:14" x14ac:dyDescent="0.25">
      <c r="N13789" s="26"/>
    </row>
    <row r="13790" spans="14:14" x14ac:dyDescent="0.25">
      <c r="N13790" s="26"/>
    </row>
    <row r="13791" spans="14:14" x14ac:dyDescent="0.25">
      <c r="N13791" s="26"/>
    </row>
    <row r="13792" spans="14:14" x14ac:dyDescent="0.25">
      <c r="N13792" s="26"/>
    </row>
    <row r="13793" spans="14:14" x14ac:dyDescent="0.25">
      <c r="N13793" s="26"/>
    </row>
    <row r="13794" spans="14:14" x14ac:dyDescent="0.25">
      <c r="N13794" s="26"/>
    </row>
    <row r="13795" spans="14:14" x14ac:dyDescent="0.25">
      <c r="N13795" s="26"/>
    </row>
    <row r="13796" spans="14:14" x14ac:dyDescent="0.25">
      <c r="N13796" s="26"/>
    </row>
    <row r="13797" spans="14:14" x14ac:dyDescent="0.25">
      <c r="N13797" s="26"/>
    </row>
    <row r="13798" spans="14:14" x14ac:dyDescent="0.25">
      <c r="N13798" s="26"/>
    </row>
    <row r="13799" spans="14:14" x14ac:dyDescent="0.25">
      <c r="N13799" s="26"/>
    </row>
    <row r="13800" spans="14:14" x14ac:dyDescent="0.25">
      <c r="N13800" s="26"/>
    </row>
    <row r="13801" spans="14:14" x14ac:dyDescent="0.25">
      <c r="N13801" s="26"/>
    </row>
    <row r="13802" spans="14:14" x14ac:dyDescent="0.25">
      <c r="N13802" s="26"/>
    </row>
    <row r="13803" spans="14:14" x14ac:dyDescent="0.25">
      <c r="N13803" s="26"/>
    </row>
    <row r="13804" spans="14:14" x14ac:dyDescent="0.25">
      <c r="N13804" s="26"/>
    </row>
    <row r="13805" spans="14:14" x14ac:dyDescent="0.25">
      <c r="N13805" s="26"/>
    </row>
    <row r="13806" spans="14:14" x14ac:dyDescent="0.25">
      <c r="N13806" s="26"/>
    </row>
    <row r="13807" spans="14:14" x14ac:dyDescent="0.25">
      <c r="N13807" s="26"/>
    </row>
    <row r="13808" spans="14:14" x14ac:dyDescent="0.25">
      <c r="N13808" s="26"/>
    </row>
    <row r="13809" spans="14:14" x14ac:dyDescent="0.25">
      <c r="N13809" s="26"/>
    </row>
    <row r="13810" spans="14:14" x14ac:dyDescent="0.25">
      <c r="N13810" s="26"/>
    </row>
    <row r="13811" spans="14:14" x14ac:dyDescent="0.25">
      <c r="N13811" s="26"/>
    </row>
    <row r="13812" spans="14:14" x14ac:dyDescent="0.25">
      <c r="N13812" s="26"/>
    </row>
    <row r="13813" spans="14:14" x14ac:dyDescent="0.25">
      <c r="N13813" s="26"/>
    </row>
    <row r="13814" spans="14:14" x14ac:dyDescent="0.25">
      <c r="N13814" s="26"/>
    </row>
    <row r="13815" spans="14:14" x14ac:dyDescent="0.25">
      <c r="N13815" s="26"/>
    </row>
    <row r="13816" spans="14:14" x14ac:dyDescent="0.25">
      <c r="N13816" s="26"/>
    </row>
    <row r="13817" spans="14:14" x14ac:dyDescent="0.25">
      <c r="N13817" s="26"/>
    </row>
    <row r="13818" spans="14:14" x14ac:dyDescent="0.25">
      <c r="N13818" s="26"/>
    </row>
    <row r="13819" spans="14:14" x14ac:dyDescent="0.25">
      <c r="N13819" s="26"/>
    </row>
    <row r="13820" spans="14:14" x14ac:dyDescent="0.25">
      <c r="N13820" s="26"/>
    </row>
    <row r="13821" spans="14:14" x14ac:dyDescent="0.25">
      <c r="N13821" s="26"/>
    </row>
    <row r="13822" spans="14:14" x14ac:dyDescent="0.25">
      <c r="N13822" s="26"/>
    </row>
    <row r="13823" spans="14:14" x14ac:dyDescent="0.25">
      <c r="N13823" s="26"/>
    </row>
    <row r="13824" spans="14:14" x14ac:dyDescent="0.25">
      <c r="N13824" s="26"/>
    </row>
    <row r="13825" spans="14:14" x14ac:dyDescent="0.25">
      <c r="N13825" s="26"/>
    </row>
    <row r="13826" spans="14:14" x14ac:dyDescent="0.25">
      <c r="N13826" s="26"/>
    </row>
    <row r="13827" spans="14:14" x14ac:dyDescent="0.25">
      <c r="N13827" s="26"/>
    </row>
    <row r="13828" spans="14:14" x14ac:dyDescent="0.25">
      <c r="N13828" s="26"/>
    </row>
    <row r="13829" spans="14:14" x14ac:dyDescent="0.25">
      <c r="N13829" s="26"/>
    </row>
    <row r="13830" spans="14:14" x14ac:dyDescent="0.25">
      <c r="N13830" s="26"/>
    </row>
    <row r="13831" spans="14:14" x14ac:dyDescent="0.25">
      <c r="N13831" s="26"/>
    </row>
    <row r="13832" spans="14:14" x14ac:dyDescent="0.25">
      <c r="N13832" s="26"/>
    </row>
    <row r="13833" spans="14:14" x14ac:dyDescent="0.25">
      <c r="N13833" s="26"/>
    </row>
    <row r="13834" spans="14:14" x14ac:dyDescent="0.25">
      <c r="N13834" s="26"/>
    </row>
    <row r="13835" spans="14:14" x14ac:dyDescent="0.25">
      <c r="N13835" s="26"/>
    </row>
    <row r="13836" spans="14:14" x14ac:dyDescent="0.25">
      <c r="N13836" s="26"/>
    </row>
    <row r="13837" spans="14:14" x14ac:dyDescent="0.25">
      <c r="N13837" s="26"/>
    </row>
    <row r="13838" spans="14:14" x14ac:dyDescent="0.25">
      <c r="N13838" s="26"/>
    </row>
    <row r="13839" spans="14:14" x14ac:dyDescent="0.25">
      <c r="N13839" s="26"/>
    </row>
    <row r="13840" spans="14:14" x14ac:dyDescent="0.25">
      <c r="N13840" s="26"/>
    </row>
    <row r="13841" spans="14:14" x14ac:dyDescent="0.25">
      <c r="N13841" s="26"/>
    </row>
    <row r="13842" spans="14:14" x14ac:dyDescent="0.25">
      <c r="N13842" s="26"/>
    </row>
    <row r="13843" spans="14:14" x14ac:dyDescent="0.25">
      <c r="N13843" s="26"/>
    </row>
    <row r="13844" spans="14:14" x14ac:dyDescent="0.25">
      <c r="N13844" s="26"/>
    </row>
    <row r="13845" spans="14:14" x14ac:dyDescent="0.25">
      <c r="N13845" s="26"/>
    </row>
    <row r="13846" spans="14:14" x14ac:dyDescent="0.25">
      <c r="N13846" s="26"/>
    </row>
    <row r="13847" spans="14:14" x14ac:dyDescent="0.25">
      <c r="N13847" s="26"/>
    </row>
    <row r="13848" spans="14:14" x14ac:dyDescent="0.25">
      <c r="N13848" s="26"/>
    </row>
    <row r="13849" spans="14:14" x14ac:dyDescent="0.25">
      <c r="N13849" s="26"/>
    </row>
    <row r="13850" spans="14:14" x14ac:dyDescent="0.25">
      <c r="N13850" s="26"/>
    </row>
    <row r="13851" spans="14:14" x14ac:dyDescent="0.25">
      <c r="N13851" s="26"/>
    </row>
    <row r="13852" spans="14:14" x14ac:dyDescent="0.25">
      <c r="N13852" s="26"/>
    </row>
    <row r="13853" spans="14:14" x14ac:dyDescent="0.25">
      <c r="N13853" s="26"/>
    </row>
    <row r="13854" spans="14:14" x14ac:dyDescent="0.25">
      <c r="N13854" s="26"/>
    </row>
    <row r="13855" spans="14:14" x14ac:dyDescent="0.25">
      <c r="N13855" s="26"/>
    </row>
    <row r="13856" spans="14:14" x14ac:dyDescent="0.25">
      <c r="N13856" s="26"/>
    </row>
    <row r="13857" spans="14:14" x14ac:dyDescent="0.25">
      <c r="N13857" s="26"/>
    </row>
    <row r="13858" spans="14:14" x14ac:dyDescent="0.25">
      <c r="N13858" s="26"/>
    </row>
    <row r="13859" spans="14:14" x14ac:dyDescent="0.25">
      <c r="N13859" s="26"/>
    </row>
    <row r="13860" spans="14:14" x14ac:dyDescent="0.25">
      <c r="N13860" s="26"/>
    </row>
    <row r="13861" spans="14:14" x14ac:dyDescent="0.25">
      <c r="N13861" s="26"/>
    </row>
    <row r="13862" spans="14:14" x14ac:dyDescent="0.25">
      <c r="N13862" s="26"/>
    </row>
    <row r="13863" spans="14:14" x14ac:dyDescent="0.25">
      <c r="N13863" s="26"/>
    </row>
    <row r="13864" spans="14:14" x14ac:dyDescent="0.25">
      <c r="N13864" s="26"/>
    </row>
    <row r="13865" spans="14:14" x14ac:dyDescent="0.25">
      <c r="N13865" s="26"/>
    </row>
    <row r="13866" spans="14:14" x14ac:dyDescent="0.25">
      <c r="N13866" s="26"/>
    </row>
    <row r="13867" spans="14:14" x14ac:dyDescent="0.25">
      <c r="N13867" s="26"/>
    </row>
    <row r="13868" spans="14:14" x14ac:dyDescent="0.25">
      <c r="N13868" s="26"/>
    </row>
    <row r="13869" spans="14:14" x14ac:dyDescent="0.25">
      <c r="N13869" s="26"/>
    </row>
    <row r="13870" spans="14:14" x14ac:dyDescent="0.25">
      <c r="N13870" s="26"/>
    </row>
    <row r="13871" spans="14:14" x14ac:dyDescent="0.25">
      <c r="N13871" s="26"/>
    </row>
    <row r="13872" spans="14:14" x14ac:dyDescent="0.25">
      <c r="N13872" s="26"/>
    </row>
    <row r="13873" spans="14:14" x14ac:dyDescent="0.25">
      <c r="N13873" s="26"/>
    </row>
    <row r="13874" spans="14:14" x14ac:dyDescent="0.25">
      <c r="N13874" s="26"/>
    </row>
    <row r="13875" spans="14:14" x14ac:dyDescent="0.25">
      <c r="N13875" s="26"/>
    </row>
    <row r="13876" spans="14:14" x14ac:dyDescent="0.25">
      <c r="N13876" s="26"/>
    </row>
    <row r="13877" spans="14:14" x14ac:dyDescent="0.25">
      <c r="N13877" s="26"/>
    </row>
    <row r="13878" spans="14:14" x14ac:dyDescent="0.25">
      <c r="N13878" s="26"/>
    </row>
    <row r="13879" spans="14:14" x14ac:dyDescent="0.25">
      <c r="N13879" s="26"/>
    </row>
    <row r="13880" spans="14:14" x14ac:dyDescent="0.25">
      <c r="N13880" s="26"/>
    </row>
    <row r="13881" spans="14:14" x14ac:dyDescent="0.25">
      <c r="N13881" s="26"/>
    </row>
    <row r="13882" spans="14:14" x14ac:dyDescent="0.25">
      <c r="N13882" s="26"/>
    </row>
    <row r="13883" spans="14:14" x14ac:dyDescent="0.25">
      <c r="N13883" s="26"/>
    </row>
    <row r="13884" spans="14:14" x14ac:dyDescent="0.25">
      <c r="N13884" s="26"/>
    </row>
    <row r="13885" spans="14:14" x14ac:dyDescent="0.25">
      <c r="N13885" s="26"/>
    </row>
    <row r="13886" spans="14:14" x14ac:dyDescent="0.25">
      <c r="N13886" s="26"/>
    </row>
    <row r="13887" spans="14:14" x14ac:dyDescent="0.25">
      <c r="N13887" s="26"/>
    </row>
    <row r="13888" spans="14:14" x14ac:dyDescent="0.25">
      <c r="N13888" s="26"/>
    </row>
    <row r="13889" spans="14:14" x14ac:dyDescent="0.25">
      <c r="N13889" s="26"/>
    </row>
    <row r="13890" spans="14:14" x14ac:dyDescent="0.25">
      <c r="N13890" s="26"/>
    </row>
    <row r="13891" spans="14:14" x14ac:dyDescent="0.25">
      <c r="N13891" s="26"/>
    </row>
    <row r="13892" spans="14:14" x14ac:dyDescent="0.25">
      <c r="N13892" s="26"/>
    </row>
    <row r="13893" spans="14:14" x14ac:dyDescent="0.25">
      <c r="N13893" s="26"/>
    </row>
    <row r="13894" spans="14:14" x14ac:dyDescent="0.25">
      <c r="N13894" s="26"/>
    </row>
    <row r="13895" spans="14:14" x14ac:dyDescent="0.25">
      <c r="N13895" s="26"/>
    </row>
    <row r="13896" spans="14:14" x14ac:dyDescent="0.25">
      <c r="N13896" s="26"/>
    </row>
    <row r="13897" spans="14:14" x14ac:dyDescent="0.25">
      <c r="N13897" s="26"/>
    </row>
    <row r="13898" spans="14:14" x14ac:dyDescent="0.25">
      <c r="N13898" s="26"/>
    </row>
    <row r="13899" spans="14:14" x14ac:dyDescent="0.25">
      <c r="N13899" s="26"/>
    </row>
    <row r="13900" spans="14:14" x14ac:dyDescent="0.25">
      <c r="N13900" s="26"/>
    </row>
    <row r="13901" spans="14:14" x14ac:dyDescent="0.25">
      <c r="N13901" s="26"/>
    </row>
    <row r="13902" spans="14:14" x14ac:dyDescent="0.25">
      <c r="N13902" s="26"/>
    </row>
    <row r="13903" spans="14:14" x14ac:dyDescent="0.25">
      <c r="N13903" s="26"/>
    </row>
    <row r="13904" spans="14:14" x14ac:dyDescent="0.25">
      <c r="N13904" s="26"/>
    </row>
    <row r="13905" spans="14:14" x14ac:dyDescent="0.25">
      <c r="N13905" s="26"/>
    </row>
    <row r="13906" spans="14:14" x14ac:dyDescent="0.25">
      <c r="N13906" s="26"/>
    </row>
    <row r="13907" spans="14:14" x14ac:dyDescent="0.25">
      <c r="N13907" s="26"/>
    </row>
    <row r="13908" spans="14:14" x14ac:dyDescent="0.25">
      <c r="N13908" s="26"/>
    </row>
    <row r="13909" spans="14:14" x14ac:dyDescent="0.25">
      <c r="N13909" s="26"/>
    </row>
    <row r="13910" spans="14:14" x14ac:dyDescent="0.25">
      <c r="N13910" s="26"/>
    </row>
    <row r="13911" spans="14:14" x14ac:dyDescent="0.25">
      <c r="N13911" s="26"/>
    </row>
    <row r="13912" spans="14:14" x14ac:dyDescent="0.25">
      <c r="N13912" s="26"/>
    </row>
    <row r="13913" spans="14:14" x14ac:dyDescent="0.25">
      <c r="N13913" s="26"/>
    </row>
    <row r="13914" spans="14:14" x14ac:dyDescent="0.25">
      <c r="N13914" s="26"/>
    </row>
    <row r="13915" spans="14:14" x14ac:dyDescent="0.25">
      <c r="N13915" s="26"/>
    </row>
    <row r="13916" spans="14:14" x14ac:dyDescent="0.25">
      <c r="N13916" s="26"/>
    </row>
    <row r="13917" spans="14:14" x14ac:dyDescent="0.25">
      <c r="N13917" s="26"/>
    </row>
    <row r="13918" spans="14:14" x14ac:dyDescent="0.25">
      <c r="N13918" s="26"/>
    </row>
    <row r="13919" spans="14:14" x14ac:dyDescent="0.25">
      <c r="N13919" s="26"/>
    </row>
    <row r="13920" spans="14:14" x14ac:dyDescent="0.25">
      <c r="N13920" s="26"/>
    </row>
    <row r="13921" spans="14:14" x14ac:dyDescent="0.25">
      <c r="N13921" s="26"/>
    </row>
    <row r="13922" spans="14:14" x14ac:dyDescent="0.25">
      <c r="N13922" s="26"/>
    </row>
    <row r="13923" spans="14:14" x14ac:dyDescent="0.25">
      <c r="N13923" s="26"/>
    </row>
    <row r="13924" spans="14:14" x14ac:dyDescent="0.25">
      <c r="N13924" s="26"/>
    </row>
    <row r="13925" spans="14:14" x14ac:dyDescent="0.25">
      <c r="N13925" s="26"/>
    </row>
    <row r="13926" spans="14:14" x14ac:dyDescent="0.25">
      <c r="N13926" s="26"/>
    </row>
    <row r="13927" spans="14:14" x14ac:dyDescent="0.25">
      <c r="N13927" s="26"/>
    </row>
    <row r="13928" spans="14:14" x14ac:dyDescent="0.25">
      <c r="N13928" s="26"/>
    </row>
    <row r="13929" spans="14:14" x14ac:dyDescent="0.25">
      <c r="N13929" s="26"/>
    </row>
    <row r="13930" spans="14:14" x14ac:dyDescent="0.25">
      <c r="N13930" s="26"/>
    </row>
    <row r="13931" spans="14:14" x14ac:dyDescent="0.25">
      <c r="N13931" s="26"/>
    </row>
    <row r="13932" spans="14:14" x14ac:dyDescent="0.25">
      <c r="N13932" s="26"/>
    </row>
    <row r="13933" spans="14:14" x14ac:dyDescent="0.25">
      <c r="N13933" s="26"/>
    </row>
    <row r="13934" spans="14:14" x14ac:dyDescent="0.25">
      <c r="N13934" s="26"/>
    </row>
    <row r="13935" spans="14:14" x14ac:dyDescent="0.25">
      <c r="N13935" s="26"/>
    </row>
    <row r="13936" spans="14:14" x14ac:dyDescent="0.25">
      <c r="N13936" s="26"/>
    </row>
    <row r="13937" spans="14:14" x14ac:dyDescent="0.25">
      <c r="N13937" s="26"/>
    </row>
    <row r="13938" spans="14:14" x14ac:dyDescent="0.25">
      <c r="N13938" s="26"/>
    </row>
    <row r="13939" spans="14:14" x14ac:dyDescent="0.25">
      <c r="N13939" s="26"/>
    </row>
    <row r="13940" spans="14:14" x14ac:dyDescent="0.25">
      <c r="N13940" s="26"/>
    </row>
    <row r="13941" spans="14:14" x14ac:dyDescent="0.25">
      <c r="N13941" s="26"/>
    </row>
    <row r="13942" spans="14:14" x14ac:dyDescent="0.25">
      <c r="N13942" s="26"/>
    </row>
    <row r="13943" spans="14:14" x14ac:dyDescent="0.25">
      <c r="N13943" s="26"/>
    </row>
    <row r="13944" spans="14:14" x14ac:dyDescent="0.25">
      <c r="N13944" s="26"/>
    </row>
    <row r="13945" spans="14:14" x14ac:dyDescent="0.25">
      <c r="N13945" s="26"/>
    </row>
    <row r="13946" spans="14:14" x14ac:dyDescent="0.25">
      <c r="N13946" s="26"/>
    </row>
    <row r="13947" spans="14:14" x14ac:dyDescent="0.25">
      <c r="N13947" s="26"/>
    </row>
    <row r="13948" spans="14:14" x14ac:dyDescent="0.25">
      <c r="N13948" s="26"/>
    </row>
    <row r="13949" spans="14:14" x14ac:dyDescent="0.25">
      <c r="N13949" s="26"/>
    </row>
    <row r="13950" spans="14:14" x14ac:dyDescent="0.25">
      <c r="N13950" s="26"/>
    </row>
    <row r="13951" spans="14:14" x14ac:dyDescent="0.25">
      <c r="N13951" s="26"/>
    </row>
    <row r="13952" spans="14:14" x14ac:dyDescent="0.25">
      <c r="N13952" s="26"/>
    </row>
    <row r="13953" spans="14:14" x14ac:dyDescent="0.25">
      <c r="N13953" s="26"/>
    </row>
    <row r="13954" spans="14:14" x14ac:dyDescent="0.25">
      <c r="N13954" s="26"/>
    </row>
    <row r="13955" spans="14:14" x14ac:dyDescent="0.25">
      <c r="N13955" s="26"/>
    </row>
    <row r="13956" spans="14:14" x14ac:dyDescent="0.25">
      <c r="N13956" s="26"/>
    </row>
    <row r="13957" spans="14:14" x14ac:dyDescent="0.25">
      <c r="N13957" s="26"/>
    </row>
    <row r="13958" spans="14:14" x14ac:dyDescent="0.25">
      <c r="N13958" s="26"/>
    </row>
    <row r="13959" spans="14:14" x14ac:dyDescent="0.25">
      <c r="N13959" s="26"/>
    </row>
    <row r="13960" spans="14:14" x14ac:dyDescent="0.25">
      <c r="N13960" s="26"/>
    </row>
    <row r="13961" spans="14:14" x14ac:dyDescent="0.25">
      <c r="N13961" s="26"/>
    </row>
    <row r="13962" spans="14:14" x14ac:dyDescent="0.25">
      <c r="N13962" s="26"/>
    </row>
    <row r="13963" spans="14:14" x14ac:dyDescent="0.25">
      <c r="N13963" s="26"/>
    </row>
    <row r="13964" spans="14:14" x14ac:dyDescent="0.25">
      <c r="N13964" s="26"/>
    </row>
    <row r="13965" spans="14:14" x14ac:dyDescent="0.25">
      <c r="N13965" s="26"/>
    </row>
    <row r="13966" spans="14:14" x14ac:dyDescent="0.25">
      <c r="N13966" s="26"/>
    </row>
    <row r="13967" spans="14:14" x14ac:dyDescent="0.25">
      <c r="N13967" s="26"/>
    </row>
    <row r="13968" spans="14:14" x14ac:dyDescent="0.25">
      <c r="N13968" s="26"/>
    </row>
    <row r="13969" spans="14:14" x14ac:dyDescent="0.25">
      <c r="N13969" s="26"/>
    </row>
    <row r="13970" spans="14:14" x14ac:dyDescent="0.25">
      <c r="N13970" s="26"/>
    </row>
    <row r="13971" spans="14:14" x14ac:dyDescent="0.25">
      <c r="N13971" s="26"/>
    </row>
    <row r="13972" spans="14:14" x14ac:dyDescent="0.25">
      <c r="N13972" s="26"/>
    </row>
    <row r="13973" spans="14:14" x14ac:dyDescent="0.25">
      <c r="N13973" s="26"/>
    </row>
    <row r="13974" spans="14:14" x14ac:dyDescent="0.25">
      <c r="N13974" s="26"/>
    </row>
    <row r="13975" spans="14:14" x14ac:dyDescent="0.25">
      <c r="N13975" s="26"/>
    </row>
    <row r="13976" spans="14:14" x14ac:dyDescent="0.25">
      <c r="N13976" s="26"/>
    </row>
    <row r="13977" spans="14:14" x14ac:dyDescent="0.25">
      <c r="N13977" s="26"/>
    </row>
    <row r="13978" spans="14:14" x14ac:dyDescent="0.25">
      <c r="N13978" s="26"/>
    </row>
    <row r="13979" spans="14:14" x14ac:dyDescent="0.25">
      <c r="N13979" s="26"/>
    </row>
    <row r="13980" spans="14:14" x14ac:dyDescent="0.25">
      <c r="N13980" s="26"/>
    </row>
    <row r="13981" spans="14:14" x14ac:dyDescent="0.25">
      <c r="N13981" s="26"/>
    </row>
    <row r="13982" spans="14:14" x14ac:dyDescent="0.25">
      <c r="N13982" s="26"/>
    </row>
    <row r="13983" spans="14:14" x14ac:dyDescent="0.25">
      <c r="N13983" s="26"/>
    </row>
    <row r="13984" spans="14:14" x14ac:dyDescent="0.25">
      <c r="N13984" s="26"/>
    </row>
    <row r="13985" spans="14:14" x14ac:dyDescent="0.25">
      <c r="N13985" s="26"/>
    </row>
    <row r="13986" spans="14:14" x14ac:dyDescent="0.25">
      <c r="N13986" s="26"/>
    </row>
    <row r="13987" spans="14:14" x14ac:dyDescent="0.25">
      <c r="N13987" s="26"/>
    </row>
    <row r="13988" spans="14:14" x14ac:dyDescent="0.25">
      <c r="N13988" s="26"/>
    </row>
    <row r="13989" spans="14:14" x14ac:dyDescent="0.25">
      <c r="N13989" s="26"/>
    </row>
    <row r="13990" spans="14:14" x14ac:dyDescent="0.25">
      <c r="N13990" s="26"/>
    </row>
    <row r="13991" spans="14:14" x14ac:dyDescent="0.25">
      <c r="N13991" s="26"/>
    </row>
    <row r="13992" spans="14:14" x14ac:dyDescent="0.25">
      <c r="N13992" s="26"/>
    </row>
    <row r="13993" spans="14:14" x14ac:dyDescent="0.25">
      <c r="N13993" s="26"/>
    </row>
    <row r="13994" spans="14:14" x14ac:dyDescent="0.25">
      <c r="N13994" s="26"/>
    </row>
    <row r="13995" spans="14:14" x14ac:dyDescent="0.25">
      <c r="N13995" s="26"/>
    </row>
    <row r="13996" spans="14:14" x14ac:dyDescent="0.25">
      <c r="N13996" s="26"/>
    </row>
    <row r="13997" spans="14:14" x14ac:dyDescent="0.25">
      <c r="N13997" s="26"/>
    </row>
    <row r="13998" spans="14:14" x14ac:dyDescent="0.25">
      <c r="N13998" s="26"/>
    </row>
    <row r="13999" spans="14:14" x14ac:dyDescent="0.25">
      <c r="N13999" s="26"/>
    </row>
    <row r="14000" spans="14:14" x14ac:dyDescent="0.25">
      <c r="N14000" s="26"/>
    </row>
    <row r="14001" spans="14:14" x14ac:dyDescent="0.25">
      <c r="N14001" s="26"/>
    </row>
    <row r="14002" spans="14:14" x14ac:dyDescent="0.25">
      <c r="N14002" s="26"/>
    </row>
    <row r="14003" spans="14:14" x14ac:dyDescent="0.25">
      <c r="N14003" s="26"/>
    </row>
    <row r="14004" spans="14:14" x14ac:dyDescent="0.25">
      <c r="N14004" s="26"/>
    </row>
    <row r="14005" spans="14:14" x14ac:dyDescent="0.25">
      <c r="N14005" s="26"/>
    </row>
    <row r="14006" spans="14:14" x14ac:dyDescent="0.25">
      <c r="N14006" s="26"/>
    </row>
    <row r="14007" spans="14:14" x14ac:dyDescent="0.25">
      <c r="N14007" s="26"/>
    </row>
    <row r="14008" spans="14:14" x14ac:dyDescent="0.25">
      <c r="N14008" s="26"/>
    </row>
    <row r="14009" spans="14:14" x14ac:dyDescent="0.25">
      <c r="N14009" s="26"/>
    </row>
    <row r="14010" spans="14:14" x14ac:dyDescent="0.25">
      <c r="N14010" s="26"/>
    </row>
    <row r="14011" spans="14:14" x14ac:dyDescent="0.25">
      <c r="N14011" s="26"/>
    </row>
    <row r="14012" spans="14:14" x14ac:dyDescent="0.25">
      <c r="N14012" s="26"/>
    </row>
    <row r="14013" spans="14:14" x14ac:dyDescent="0.25">
      <c r="N14013" s="26"/>
    </row>
    <row r="14014" spans="14:14" x14ac:dyDescent="0.25">
      <c r="N14014" s="26"/>
    </row>
    <row r="14015" spans="14:14" x14ac:dyDescent="0.25">
      <c r="N14015" s="26"/>
    </row>
    <row r="14016" spans="14:14" x14ac:dyDescent="0.25">
      <c r="N14016" s="26"/>
    </row>
    <row r="14017" spans="14:14" x14ac:dyDescent="0.25">
      <c r="N14017" s="26"/>
    </row>
    <row r="14018" spans="14:14" x14ac:dyDescent="0.25">
      <c r="N14018" s="26"/>
    </row>
    <row r="14019" spans="14:14" x14ac:dyDescent="0.25">
      <c r="N14019" s="26"/>
    </row>
    <row r="14020" spans="14:14" x14ac:dyDescent="0.25">
      <c r="N14020" s="26"/>
    </row>
    <row r="14021" spans="14:14" x14ac:dyDescent="0.25">
      <c r="N14021" s="26"/>
    </row>
    <row r="14022" spans="14:14" x14ac:dyDescent="0.25">
      <c r="N14022" s="26"/>
    </row>
    <row r="14023" spans="14:14" x14ac:dyDescent="0.25">
      <c r="N14023" s="26"/>
    </row>
    <row r="14024" spans="14:14" x14ac:dyDescent="0.25">
      <c r="N14024" s="26"/>
    </row>
    <row r="14025" spans="14:14" x14ac:dyDescent="0.25">
      <c r="N14025" s="26"/>
    </row>
    <row r="14026" spans="14:14" x14ac:dyDescent="0.25">
      <c r="N14026" s="26"/>
    </row>
    <row r="14027" spans="14:14" x14ac:dyDescent="0.25">
      <c r="N14027" s="26"/>
    </row>
    <row r="14028" spans="14:14" x14ac:dyDescent="0.25">
      <c r="N14028" s="26"/>
    </row>
    <row r="14029" spans="14:14" x14ac:dyDescent="0.25">
      <c r="N14029" s="26"/>
    </row>
    <row r="14030" spans="14:14" x14ac:dyDescent="0.25">
      <c r="N14030" s="26"/>
    </row>
    <row r="14031" spans="14:14" x14ac:dyDescent="0.25">
      <c r="N14031" s="26"/>
    </row>
    <row r="14032" spans="14:14" x14ac:dyDescent="0.25">
      <c r="N14032" s="26"/>
    </row>
    <row r="14033" spans="14:14" x14ac:dyDescent="0.25">
      <c r="N14033" s="26"/>
    </row>
    <row r="14034" spans="14:14" x14ac:dyDescent="0.25">
      <c r="N14034" s="26"/>
    </row>
    <row r="14035" spans="14:14" x14ac:dyDescent="0.25">
      <c r="N14035" s="26"/>
    </row>
    <row r="14036" spans="14:14" x14ac:dyDescent="0.25">
      <c r="N14036" s="26"/>
    </row>
    <row r="14037" spans="14:14" x14ac:dyDescent="0.25">
      <c r="N14037" s="26"/>
    </row>
    <row r="14038" spans="14:14" x14ac:dyDescent="0.25">
      <c r="N14038" s="26"/>
    </row>
    <row r="14039" spans="14:14" x14ac:dyDescent="0.25">
      <c r="N14039" s="26"/>
    </row>
    <row r="14040" spans="14:14" x14ac:dyDescent="0.25">
      <c r="N14040" s="26"/>
    </row>
    <row r="14041" spans="14:14" x14ac:dyDescent="0.25">
      <c r="N14041" s="26"/>
    </row>
    <row r="14042" spans="14:14" x14ac:dyDescent="0.25">
      <c r="N14042" s="26"/>
    </row>
    <row r="14043" spans="14:14" x14ac:dyDescent="0.25">
      <c r="N14043" s="26"/>
    </row>
    <row r="14044" spans="14:14" x14ac:dyDescent="0.25">
      <c r="N14044" s="26"/>
    </row>
    <row r="14045" spans="14:14" x14ac:dyDescent="0.25">
      <c r="N14045" s="26"/>
    </row>
    <row r="14046" spans="14:14" x14ac:dyDescent="0.25">
      <c r="N14046" s="26"/>
    </row>
    <row r="14047" spans="14:14" x14ac:dyDescent="0.25">
      <c r="N14047" s="26"/>
    </row>
    <row r="14048" spans="14:14" x14ac:dyDescent="0.25">
      <c r="N14048" s="26"/>
    </row>
    <row r="14049" spans="14:14" x14ac:dyDescent="0.25">
      <c r="N14049" s="26"/>
    </row>
    <row r="14050" spans="14:14" x14ac:dyDescent="0.25">
      <c r="N14050" s="26"/>
    </row>
    <row r="14051" spans="14:14" x14ac:dyDescent="0.25">
      <c r="N14051" s="26"/>
    </row>
    <row r="14052" spans="14:14" x14ac:dyDescent="0.25">
      <c r="N14052" s="26"/>
    </row>
    <row r="14053" spans="14:14" x14ac:dyDescent="0.25">
      <c r="N14053" s="26"/>
    </row>
    <row r="14054" spans="14:14" x14ac:dyDescent="0.25">
      <c r="N14054" s="26"/>
    </row>
    <row r="14055" spans="14:14" x14ac:dyDescent="0.25">
      <c r="N14055" s="26"/>
    </row>
    <row r="14056" spans="14:14" x14ac:dyDescent="0.25">
      <c r="N14056" s="26"/>
    </row>
    <row r="14057" spans="14:14" x14ac:dyDescent="0.25">
      <c r="N14057" s="26"/>
    </row>
    <row r="14058" spans="14:14" x14ac:dyDescent="0.25">
      <c r="N14058" s="26"/>
    </row>
    <row r="14059" spans="14:14" x14ac:dyDescent="0.25">
      <c r="N14059" s="26"/>
    </row>
    <row r="14060" spans="14:14" x14ac:dyDescent="0.25">
      <c r="N14060" s="26"/>
    </row>
    <row r="14061" spans="14:14" x14ac:dyDescent="0.25">
      <c r="N14061" s="26"/>
    </row>
    <row r="14062" spans="14:14" x14ac:dyDescent="0.25">
      <c r="N14062" s="26"/>
    </row>
    <row r="14063" spans="14:14" x14ac:dyDescent="0.25">
      <c r="N14063" s="26"/>
    </row>
    <row r="14064" spans="14:14" x14ac:dyDescent="0.25">
      <c r="N14064" s="26"/>
    </row>
    <row r="14065" spans="14:14" x14ac:dyDescent="0.25">
      <c r="N14065" s="26"/>
    </row>
    <row r="14066" spans="14:14" x14ac:dyDescent="0.25">
      <c r="N14066" s="26"/>
    </row>
    <row r="14067" spans="14:14" x14ac:dyDescent="0.25">
      <c r="N14067" s="26"/>
    </row>
    <row r="14068" spans="14:14" x14ac:dyDescent="0.25">
      <c r="N14068" s="26"/>
    </row>
    <row r="14069" spans="14:14" x14ac:dyDescent="0.25">
      <c r="N14069" s="26"/>
    </row>
    <row r="14070" spans="14:14" x14ac:dyDescent="0.25">
      <c r="N14070" s="26"/>
    </row>
    <row r="14071" spans="14:14" x14ac:dyDescent="0.25">
      <c r="N14071" s="26"/>
    </row>
    <row r="14072" spans="14:14" x14ac:dyDescent="0.25">
      <c r="N14072" s="26"/>
    </row>
    <row r="14073" spans="14:14" x14ac:dyDescent="0.25">
      <c r="N14073" s="26"/>
    </row>
    <row r="14074" spans="14:14" x14ac:dyDescent="0.25">
      <c r="N14074" s="26"/>
    </row>
    <row r="14075" spans="14:14" x14ac:dyDescent="0.25">
      <c r="N14075" s="26"/>
    </row>
    <row r="14076" spans="14:14" x14ac:dyDescent="0.25">
      <c r="N14076" s="26"/>
    </row>
    <row r="14077" spans="14:14" x14ac:dyDescent="0.25">
      <c r="N14077" s="26"/>
    </row>
    <row r="14078" spans="14:14" x14ac:dyDescent="0.25">
      <c r="N14078" s="26"/>
    </row>
    <row r="14079" spans="14:14" x14ac:dyDescent="0.25">
      <c r="N14079" s="26"/>
    </row>
    <row r="14080" spans="14:14" x14ac:dyDescent="0.25">
      <c r="N14080" s="26"/>
    </row>
    <row r="14081" spans="14:14" x14ac:dyDescent="0.25">
      <c r="N14081" s="26"/>
    </row>
    <row r="14082" spans="14:14" x14ac:dyDescent="0.25">
      <c r="N14082" s="26"/>
    </row>
    <row r="14083" spans="14:14" x14ac:dyDescent="0.25">
      <c r="N14083" s="26"/>
    </row>
    <row r="14084" spans="14:14" x14ac:dyDescent="0.25">
      <c r="N14084" s="26"/>
    </row>
    <row r="14085" spans="14:14" x14ac:dyDescent="0.25">
      <c r="N14085" s="26"/>
    </row>
    <row r="14086" spans="14:14" x14ac:dyDescent="0.25">
      <c r="N14086" s="26"/>
    </row>
    <row r="14087" spans="14:14" x14ac:dyDescent="0.25">
      <c r="N14087" s="26"/>
    </row>
    <row r="14088" spans="14:14" x14ac:dyDescent="0.25">
      <c r="N14088" s="26"/>
    </row>
    <row r="14089" spans="14:14" x14ac:dyDescent="0.25">
      <c r="N14089" s="26"/>
    </row>
    <row r="14090" spans="14:14" x14ac:dyDescent="0.25">
      <c r="N14090" s="26"/>
    </row>
    <row r="14091" spans="14:14" x14ac:dyDescent="0.25">
      <c r="N14091" s="26"/>
    </row>
    <row r="14092" spans="14:14" x14ac:dyDescent="0.25">
      <c r="N14092" s="26"/>
    </row>
    <row r="14093" spans="14:14" x14ac:dyDescent="0.25">
      <c r="N14093" s="26"/>
    </row>
    <row r="14094" spans="14:14" x14ac:dyDescent="0.25">
      <c r="N14094" s="26"/>
    </row>
    <row r="14095" spans="14:14" x14ac:dyDescent="0.25">
      <c r="N14095" s="26"/>
    </row>
    <row r="14096" spans="14:14" x14ac:dyDescent="0.25">
      <c r="N14096" s="26"/>
    </row>
    <row r="14097" spans="14:14" x14ac:dyDescent="0.25">
      <c r="N14097" s="26"/>
    </row>
    <row r="14098" spans="14:14" x14ac:dyDescent="0.25">
      <c r="N14098" s="26"/>
    </row>
    <row r="14099" spans="14:14" x14ac:dyDescent="0.25">
      <c r="N14099" s="26"/>
    </row>
    <row r="14100" spans="14:14" x14ac:dyDescent="0.25">
      <c r="N14100" s="26"/>
    </row>
    <row r="14101" spans="14:14" x14ac:dyDescent="0.25">
      <c r="N14101" s="26"/>
    </row>
    <row r="14102" spans="14:14" x14ac:dyDescent="0.25">
      <c r="N14102" s="26"/>
    </row>
    <row r="14103" spans="14:14" x14ac:dyDescent="0.25">
      <c r="N14103" s="26"/>
    </row>
    <row r="14104" spans="14:14" x14ac:dyDescent="0.25">
      <c r="N14104" s="26"/>
    </row>
    <row r="14105" spans="14:14" x14ac:dyDescent="0.25">
      <c r="N14105" s="26"/>
    </row>
    <row r="14106" spans="14:14" x14ac:dyDescent="0.25">
      <c r="N14106" s="26"/>
    </row>
    <row r="14107" spans="14:14" x14ac:dyDescent="0.25">
      <c r="N14107" s="26"/>
    </row>
    <row r="14108" spans="14:14" x14ac:dyDescent="0.25">
      <c r="N14108" s="26"/>
    </row>
    <row r="14109" spans="14:14" x14ac:dyDescent="0.25">
      <c r="N14109" s="26"/>
    </row>
    <row r="14110" spans="14:14" x14ac:dyDescent="0.25">
      <c r="N14110" s="26"/>
    </row>
    <row r="14111" spans="14:14" x14ac:dyDescent="0.25">
      <c r="N14111" s="26"/>
    </row>
    <row r="14112" spans="14:14" x14ac:dyDescent="0.25">
      <c r="N14112" s="26"/>
    </row>
    <row r="14113" spans="14:14" x14ac:dyDescent="0.25">
      <c r="N14113" s="26"/>
    </row>
    <row r="14114" spans="14:14" x14ac:dyDescent="0.25">
      <c r="N14114" s="26"/>
    </row>
    <row r="14115" spans="14:14" x14ac:dyDescent="0.25">
      <c r="N14115" s="26"/>
    </row>
    <row r="14116" spans="14:14" x14ac:dyDescent="0.25">
      <c r="N14116" s="26"/>
    </row>
    <row r="14117" spans="14:14" x14ac:dyDescent="0.25">
      <c r="N14117" s="26"/>
    </row>
    <row r="14118" spans="14:14" x14ac:dyDescent="0.25">
      <c r="N14118" s="26"/>
    </row>
    <row r="14119" spans="14:14" x14ac:dyDescent="0.25">
      <c r="N14119" s="26"/>
    </row>
    <row r="14120" spans="14:14" x14ac:dyDescent="0.25">
      <c r="N14120" s="26"/>
    </row>
    <row r="14121" spans="14:14" x14ac:dyDescent="0.25">
      <c r="N14121" s="26"/>
    </row>
    <row r="14122" spans="14:14" x14ac:dyDescent="0.25">
      <c r="N14122" s="26"/>
    </row>
    <row r="14123" spans="14:14" x14ac:dyDescent="0.25">
      <c r="N14123" s="26"/>
    </row>
    <row r="14124" spans="14:14" x14ac:dyDescent="0.25">
      <c r="N14124" s="26"/>
    </row>
    <row r="14125" spans="14:14" x14ac:dyDescent="0.25">
      <c r="N14125" s="26"/>
    </row>
    <row r="14126" spans="14:14" x14ac:dyDescent="0.25">
      <c r="N14126" s="26"/>
    </row>
    <row r="14127" spans="14:14" x14ac:dyDescent="0.25">
      <c r="N14127" s="26"/>
    </row>
    <row r="14128" spans="14:14" x14ac:dyDescent="0.25">
      <c r="N14128" s="26"/>
    </row>
    <row r="14129" spans="14:14" x14ac:dyDescent="0.25">
      <c r="N14129" s="26"/>
    </row>
    <row r="14130" spans="14:14" x14ac:dyDescent="0.25">
      <c r="N14130" s="26"/>
    </row>
    <row r="14131" spans="14:14" x14ac:dyDescent="0.25">
      <c r="N14131" s="26"/>
    </row>
    <row r="14132" spans="14:14" x14ac:dyDescent="0.25">
      <c r="N14132" s="26"/>
    </row>
    <row r="14133" spans="14:14" x14ac:dyDescent="0.25">
      <c r="N14133" s="26"/>
    </row>
    <row r="14134" spans="14:14" x14ac:dyDescent="0.25">
      <c r="N14134" s="26"/>
    </row>
    <row r="14135" spans="14:14" x14ac:dyDescent="0.25">
      <c r="N14135" s="26"/>
    </row>
    <row r="14136" spans="14:14" x14ac:dyDescent="0.25">
      <c r="N14136" s="26"/>
    </row>
    <row r="14137" spans="14:14" x14ac:dyDescent="0.25">
      <c r="N14137" s="26"/>
    </row>
    <row r="14138" spans="14:14" x14ac:dyDescent="0.25">
      <c r="N14138" s="26"/>
    </row>
    <row r="14139" spans="14:14" x14ac:dyDescent="0.25">
      <c r="N14139" s="26"/>
    </row>
    <row r="14140" spans="14:14" x14ac:dyDescent="0.25">
      <c r="N14140" s="26"/>
    </row>
    <row r="14141" spans="14:14" x14ac:dyDescent="0.25">
      <c r="N14141" s="26"/>
    </row>
    <row r="14142" spans="14:14" x14ac:dyDescent="0.25">
      <c r="N14142" s="26"/>
    </row>
    <row r="14143" spans="14:14" x14ac:dyDescent="0.25">
      <c r="N14143" s="26"/>
    </row>
    <row r="14144" spans="14:14" x14ac:dyDescent="0.25">
      <c r="N14144" s="26"/>
    </row>
    <row r="14145" spans="14:14" x14ac:dyDescent="0.25">
      <c r="N14145" s="26"/>
    </row>
    <row r="14146" spans="14:14" x14ac:dyDescent="0.25">
      <c r="N14146" s="26"/>
    </row>
    <row r="14147" spans="14:14" x14ac:dyDescent="0.25">
      <c r="N14147" s="26"/>
    </row>
    <row r="14148" spans="14:14" x14ac:dyDescent="0.25">
      <c r="N14148" s="26"/>
    </row>
    <row r="14149" spans="14:14" x14ac:dyDescent="0.25">
      <c r="N14149" s="26"/>
    </row>
    <row r="14150" spans="14:14" x14ac:dyDescent="0.25">
      <c r="N14150" s="26"/>
    </row>
    <row r="14151" spans="14:14" x14ac:dyDescent="0.25">
      <c r="N14151" s="26"/>
    </row>
    <row r="14152" spans="14:14" x14ac:dyDescent="0.25">
      <c r="N14152" s="26"/>
    </row>
    <row r="14153" spans="14:14" x14ac:dyDescent="0.25">
      <c r="N14153" s="26"/>
    </row>
    <row r="14154" spans="14:14" x14ac:dyDescent="0.25">
      <c r="N14154" s="26"/>
    </row>
    <row r="14155" spans="14:14" x14ac:dyDescent="0.25">
      <c r="N14155" s="26"/>
    </row>
    <row r="14156" spans="14:14" x14ac:dyDescent="0.25">
      <c r="N14156" s="26"/>
    </row>
    <row r="14157" spans="14:14" x14ac:dyDescent="0.25">
      <c r="N14157" s="26"/>
    </row>
    <row r="14158" spans="14:14" x14ac:dyDescent="0.25">
      <c r="N14158" s="26"/>
    </row>
    <row r="14159" spans="14:14" x14ac:dyDescent="0.25">
      <c r="N14159" s="26"/>
    </row>
    <row r="14160" spans="14:14" x14ac:dyDescent="0.25">
      <c r="N14160" s="26"/>
    </row>
    <row r="14161" spans="14:14" x14ac:dyDescent="0.25">
      <c r="N14161" s="26"/>
    </row>
    <row r="14162" spans="14:14" x14ac:dyDescent="0.25">
      <c r="N14162" s="26"/>
    </row>
    <row r="14163" spans="14:14" x14ac:dyDescent="0.25">
      <c r="N14163" s="26"/>
    </row>
    <row r="14164" spans="14:14" x14ac:dyDescent="0.25">
      <c r="N14164" s="26"/>
    </row>
    <row r="14165" spans="14:14" x14ac:dyDescent="0.25">
      <c r="N14165" s="26"/>
    </row>
    <row r="14166" spans="14:14" x14ac:dyDescent="0.25">
      <c r="N14166" s="26"/>
    </row>
    <row r="14167" spans="14:14" x14ac:dyDescent="0.25">
      <c r="N14167" s="26"/>
    </row>
    <row r="14168" spans="14:14" x14ac:dyDescent="0.25">
      <c r="N14168" s="26"/>
    </row>
    <row r="14169" spans="14:14" x14ac:dyDescent="0.25">
      <c r="N14169" s="26"/>
    </row>
    <row r="14170" spans="14:14" x14ac:dyDescent="0.25">
      <c r="N14170" s="26"/>
    </row>
    <row r="14171" spans="14:14" x14ac:dyDescent="0.25">
      <c r="N14171" s="26"/>
    </row>
    <row r="14172" spans="14:14" x14ac:dyDescent="0.25">
      <c r="N14172" s="26"/>
    </row>
    <row r="14173" spans="14:14" x14ac:dyDescent="0.25">
      <c r="N14173" s="26"/>
    </row>
    <row r="14174" spans="14:14" x14ac:dyDescent="0.25">
      <c r="N14174" s="26"/>
    </row>
    <row r="14175" spans="14:14" x14ac:dyDescent="0.25">
      <c r="N14175" s="26"/>
    </row>
    <row r="14176" spans="14:14" x14ac:dyDescent="0.25">
      <c r="N14176" s="26"/>
    </row>
    <row r="14177" spans="14:14" x14ac:dyDescent="0.25">
      <c r="N14177" s="26"/>
    </row>
    <row r="14178" spans="14:14" x14ac:dyDescent="0.25">
      <c r="N14178" s="26"/>
    </row>
    <row r="14179" spans="14:14" x14ac:dyDescent="0.25">
      <c r="N14179" s="26"/>
    </row>
    <row r="14180" spans="14:14" x14ac:dyDescent="0.25">
      <c r="N14180" s="26"/>
    </row>
    <row r="14181" spans="14:14" x14ac:dyDescent="0.25">
      <c r="N14181" s="26"/>
    </row>
    <row r="14182" spans="14:14" x14ac:dyDescent="0.25">
      <c r="N14182" s="26"/>
    </row>
    <row r="14183" spans="14:14" x14ac:dyDescent="0.25">
      <c r="N14183" s="26"/>
    </row>
    <row r="14184" spans="14:14" x14ac:dyDescent="0.25">
      <c r="N14184" s="26"/>
    </row>
    <row r="14185" spans="14:14" x14ac:dyDescent="0.25">
      <c r="N14185" s="26"/>
    </row>
    <row r="14186" spans="14:14" x14ac:dyDescent="0.25">
      <c r="N14186" s="26"/>
    </row>
    <row r="14187" spans="14:14" x14ac:dyDescent="0.25">
      <c r="N14187" s="26"/>
    </row>
    <row r="14188" spans="14:14" x14ac:dyDescent="0.25">
      <c r="N14188" s="26"/>
    </row>
    <row r="14189" spans="14:14" x14ac:dyDescent="0.25">
      <c r="N14189" s="26"/>
    </row>
    <row r="14190" spans="14:14" x14ac:dyDescent="0.25">
      <c r="N14190" s="26"/>
    </row>
    <row r="14191" spans="14:14" x14ac:dyDescent="0.25">
      <c r="N14191" s="26"/>
    </row>
    <row r="14192" spans="14:14" x14ac:dyDescent="0.25">
      <c r="N14192" s="26"/>
    </row>
    <row r="14193" spans="14:14" x14ac:dyDescent="0.25">
      <c r="N14193" s="26"/>
    </row>
    <row r="14194" spans="14:14" x14ac:dyDescent="0.25">
      <c r="N14194" s="26"/>
    </row>
    <row r="14195" spans="14:14" x14ac:dyDescent="0.25">
      <c r="N14195" s="26"/>
    </row>
    <row r="14196" spans="14:14" x14ac:dyDescent="0.25">
      <c r="N14196" s="26"/>
    </row>
    <row r="14197" spans="14:14" x14ac:dyDescent="0.25">
      <c r="N14197" s="26"/>
    </row>
    <row r="14198" spans="14:14" x14ac:dyDescent="0.25">
      <c r="N14198" s="26"/>
    </row>
    <row r="14199" spans="14:14" x14ac:dyDescent="0.25">
      <c r="N14199" s="26"/>
    </row>
    <row r="14200" spans="14:14" x14ac:dyDescent="0.25">
      <c r="N14200" s="26"/>
    </row>
    <row r="14201" spans="14:14" x14ac:dyDescent="0.25">
      <c r="N14201" s="26"/>
    </row>
    <row r="14202" spans="14:14" x14ac:dyDescent="0.25">
      <c r="N14202" s="26"/>
    </row>
    <row r="14203" spans="14:14" x14ac:dyDescent="0.25">
      <c r="N14203" s="26"/>
    </row>
    <row r="14204" spans="14:14" x14ac:dyDescent="0.25">
      <c r="N14204" s="26"/>
    </row>
    <row r="14205" spans="14:14" x14ac:dyDescent="0.25">
      <c r="N14205" s="26"/>
    </row>
    <row r="14206" spans="14:14" x14ac:dyDescent="0.25">
      <c r="N14206" s="26"/>
    </row>
    <row r="14207" spans="14:14" x14ac:dyDescent="0.25">
      <c r="N14207" s="26"/>
    </row>
    <row r="14208" spans="14:14" x14ac:dyDescent="0.25">
      <c r="N14208" s="26"/>
    </row>
    <row r="14209" spans="14:14" x14ac:dyDescent="0.25">
      <c r="N14209" s="26"/>
    </row>
    <row r="14210" spans="14:14" x14ac:dyDescent="0.25">
      <c r="N14210" s="26"/>
    </row>
    <row r="14211" spans="14:14" x14ac:dyDescent="0.25">
      <c r="N14211" s="26"/>
    </row>
    <row r="14212" spans="14:14" x14ac:dyDescent="0.25">
      <c r="N14212" s="26"/>
    </row>
    <row r="14213" spans="14:14" x14ac:dyDescent="0.25">
      <c r="N14213" s="26"/>
    </row>
    <row r="14214" spans="14:14" x14ac:dyDescent="0.25">
      <c r="N14214" s="26"/>
    </row>
    <row r="14215" spans="14:14" x14ac:dyDescent="0.25">
      <c r="N14215" s="26"/>
    </row>
    <row r="14216" spans="14:14" x14ac:dyDescent="0.25">
      <c r="N14216" s="26"/>
    </row>
    <row r="14217" spans="14:14" x14ac:dyDescent="0.25">
      <c r="N14217" s="26"/>
    </row>
    <row r="14218" spans="14:14" x14ac:dyDescent="0.25">
      <c r="N14218" s="26"/>
    </row>
    <row r="14219" spans="14:14" x14ac:dyDescent="0.25">
      <c r="N14219" s="26"/>
    </row>
    <row r="14220" spans="14:14" x14ac:dyDescent="0.25">
      <c r="N14220" s="26"/>
    </row>
    <row r="14221" spans="14:14" x14ac:dyDescent="0.25">
      <c r="N14221" s="26"/>
    </row>
    <row r="14222" spans="14:14" x14ac:dyDescent="0.25">
      <c r="N14222" s="26"/>
    </row>
    <row r="14223" spans="14:14" x14ac:dyDescent="0.25">
      <c r="N14223" s="26"/>
    </row>
    <row r="14224" spans="14:14" x14ac:dyDescent="0.25">
      <c r="N14224" s="26"/>
    </row>
    <row r="14225" spans="14:14" x14ac:dyDescent="0.25">
      <c r="N14225" s="26"/>
    </row>
    <row r="14226" spans="14:14" x14ac:dyDescent="0.25">
      <c r="N14226" s="26"/>
    </row>
    <row r="14227" spans="14:14" x14ac:dyDescent="0.25">
      <c r="N14227" s="26"/>
    </row>
    <row r="14228" spans="14:14" x14ac:dyDescent="0.25">
      <c r="N14228" s="26"/>
    </row>
    <row r="14229" spans="14:14" x14ac:dyDescent="0.25">
      <c r="N14229" s="26"/>
    </row>
    <row r="14230" spans="14:14" x14ac:dyDescent="0.25">
      <c r="N14230" s="26"/>
    </row>
    <row r="14231" spans="14:14" x14ac:dyDescent="0.25">
      <c r="N14231" s="26"/>
    </row>
    <row r="14232" spans="14:14" x14ac:dyDescent="0.25">
      <c r="N14232" s="26"/>
    </row>
    <row r="14233" spans="14:14" x14ac:dyDescent="0.25">
      <c r="N14233" s="26"/>
    </row>
    <row r="14234" spans="14:14" x14ac:dyDescent="0.25">
      <c r="N14234" s="26"/>
    </row>
    <row r="14235" spans="14:14" x14ac:dyDescent="0.25">
      <c r="N14235" s="26"/>
    </row>
    <row r="14236" spans="14:14" x14ac:dyDescent="0.25">
      <c r="N14236" s="26"/>
    </row>
    <row r="14237" spans="14:14" x14ac:dyDescent="0.25">
      <c r="N14237" s="26"/>
    </row>
    <row r="14238" spans="14:14" x14ac:dyDescent="0.25">
      <c r="N14238" s="26"/>
    </row>
    <row r="14239" spans="14:14" x14ac:dyDescent="0.25">
      <c r="N14239" s="26"/>
    </row>
    <row r="14240" spans="14:14" x14ac:dyDescent="0.25">
      <c r="N14240" s="26"/>
    </row>
    <row r="14241" spans="14:14" x14ac:dyDescent="0.25">
      <c r="N14241" s="26"/>
    </row>
    <row r="14242" spans="14:14" x14ac:dyDescent="0.25">
      <c r="N14242" s="26"/>
    </row>
    <row r="14243" spans="14:14" x14ac:dyDescent="0.25">
      <c r="N14243" s="26"/>
    </row>
    <row r="14244" spans="14:14" x14ac:dyDescent="0.25">
      <c r="N14244" s="26"/>
    </row>
    <row r="14245" spans="14:14" x14ac:dyDescent="0.25">
      <c r="N14245" s="26"/>
    </row>
    <row r="14246" spans="14:14" x14ac:dyDescent="0.25">
      <c r="N14246" s="26"/>
    </row>
    <row r="14247" spans="14:14" x14ac:dyDescent="0.25">
      <c r="N14247" s="26"/>
    </row>
    <row r="14248" spans="14:14" x14ac:dyDescent="0.25">
      <c r="N14248" s="26"/>
    </row>
    <row r="14249" spans="14:14" x14ac:dyDescent="0.25">
      <c r="N14249" s="26"/>
    </row>
    <row r="14250" spans="14:14" x14ac:dyDescent="0.25">
      <c r="N14250" s="26"/>
    </row>
    <row r="14251" spans="14:14" x14ac:dyDescent="0.25">
      <c r="N14251" s="26"/>
    </row>
    <row r="14252" spans="14:14" x14ac:dyDescent="0.25">
      <c r="N14252" s="26"/>
    </row>
    <row r="14253" spans="14:14" x14ac:dyDescent="0.25">
      <c r="N14253" s="26"/>
    </row>
    <row r="14254" spans="14:14" x14ac:dyDescent="0.25">
      <c r="N14254" s="26"/>
    </row>
    <row r="14255" spans="14:14" x14ac:dyDescent="0.25">
      <c r="N14255" s="26"/>
    </row>
    <row r="14256" spans="14:14" x14ac:dyDescent="0.25">
      <c r="N14256" s="26"/>
    </row>
    <row r="14257" spans="14:14" x14ac:dyDescent="0.25">
      <c r="N14257" s="26"/>
    </row>
    <row r="14258" spans="14:14" x14ac:dyDescent="0.25">
      <c r="N14258" s="26"/>
    </row>
    <row r="14259" spans="14:14" x14ac:dyDescent="0.25">
      <c r="N14259" s="26"/>
    </row>
    <row r="14260" spans="14:14" x14ac:dyDescent="0.25">
      <c r="N14260" s="26"/>
    </row>
    <row r="14261" spans="14:14" x14ac:dyDescent="0.25">
      <c r="N14261" s="26"/>
    </row>
    <row r="14262" spans="14:14" x14ac:dyDescent="0.25">
      <c r="N14262" s="26"/>
    </row>
    <row r="14263" spans="14:14" x14ac:dyDescent="0.25">
      <c r="N14263" s="26"/>
    </row>
    <row r="14264" spans="14:14" x14ac:dyDescent="0.25">
      <c r="N14264" s="26"/>
    </row>
    <row r="14265" spans="14:14" x14ac:dyDescent="0.25">
      <c r="N14265" s="26"/>
    </row>
    <row r="14266" spans="14:14" x14ac:dyDescent="0.25">
      <c r="N14266" s="26"/>
    </row>
    <row r="14267" spans="14:14" x14ac:dyDescent="0.25">
      <c r="N14267" s="26"/>
    </row>
    <row r="14268" spans="14:14" x14ac:dyDescent="0.25">
      <c r="N14268" s="26"/>
    </row>
    <row r="14269" spans="14:14" x14ac:dyDescent="0.25">
      <c r="N14269" s="26"/>
    </row>
    <row r="14270" spans="14:14" x14ac:dyDescent="0.25">
      <c r="N14270" s="26"/>
    </row>
    <row r="14271" spans="14:14" x14ac:dyDescent="0.25">
      <c r="N14271" s="26"/>
    </row>
    <row r="14272" spans="14:14" x14ac:dyDescent="0.25">
      <c r="N14272" s="26"/>
    </row>
    <row r="14273" spans="14:14" x14ac:dyDescent="0.25">
      <c r="N14273" s="26"/>
    </row>
    <row r="14274" spans="14:14" x14ac:dyDescent="0.25">
      <c r="N14274" s="26"/>
    </row>
    <row r="14275" spans="14:14" x14ac:dyDescent="0.25">
      <c r="N14275" s="26"/>
    </row>
    <row r="14276" spans="14:14" x14ac:dyDescent="0.25">
      <c r="N14276" s="26"/>
    </row>
    <row r="14277" spans="14:14" x14ac:dyDescent="0.25">
      <c r="N14277" s="26"/>
    </row>
    <row r="14278" spans="14:14" x14ac:dyDescent="0.25">
      <c r="N14278" s="26"/>
    </row>
    <row r="14279" spans="14:14" x14ac:dyDescent="0.25">
      <c r="N14279" s="26"/>
    </row>
    <row r="14280" spans="14:14" x14ac:dyDescent="0.25">
      <c r="N14280" s="26"/>
    </row>
    <row r="14281" spans="14:14" x14ac:dyDescent="0.25">
      <c r="N14281" s="26"/>
    </row>
    <row r="14282" spans="14:14" x14ac:dyDescent="0.25">
      <c r="N14282" s="26"/>
    </row>
    <row r="14283" spans="14:14" x14ac:dyDescent="0.25">
      <c r="N14283" s="26"/>
    </row>
    <row r="14284" spans="14:14" x14ac:dyDescent="0.25">
      <c r="N14284" s="26"/>
    </row>
    <row r="14285" spans="14:14" x14ac:dyDescent="0.25">
      <c r="N14285" s="26"/>
    </row>
    <row r="14286" spans="14:14" x14ac:dyDescent="0.25">
      <c r="N14286" s="26"/>
    </row>
    <row r="14287" spans="14:14" x14ac:dyDescent="0.25">
      <c r="N14287" s="26"/>
    </row>
    <row r="14288" spans="14:14" x14ac:dyDescent="0.25">
      <c r="N14288" s="26"/>
    </row>
    <row r="14289" spans="14:14" x14ac:dyDescent="0.25">
      <c r="N14289" s="26"/>
    </row>
    <row r="14290" spans="14:14" x14ac:dyDescent="0.25">
      <c r="N14290" s="26"/>
    </row>
    <row r="14291" spans="14:14" x14ac:dyDescent="0.25">
      <c r="N14291" s="26"/>
    </row>
    <row r="14292" spans="14:14" x14ac:dyDescent="0.25">
      <c r="N14292" s="26"/>
    </row>
    <row r="14293" spans="14:14" x14ac:dyDescent="0.25">
      <c r="N14293" s="26"/>
    </row>
    <row r="14294" spans="14:14" x14ac:dyDescent="0.25">
      <c r="N14294" s="26"/>
    </row>
    <row r="14295" spans="14:14" x14ac:dyDescent="0.25">
      <c r="N14295" s="26"/>
    </row>
    <row r="14296" spans="14:14" x14ac:dyDescent="0.25">
      <c r="N14296" s="26"/>
    </row>
    <row r="14297" spans="14:14" x14ac:dyDescent="0.25">
      <c r="N14297" s="26"/>
    </row>
    <row r="14298" spans="14:14" x14ac:dyDescent="0.25">
      <c r="N14298" s="26"/>
    </row>
    <row r="14299" spans="14:14" x14ac:dyDescent="0.25">
      <c r="N14299" s="26"/>
    </row>
    <row r="14300" spans="14:14" x14ac:dyDescent="0.25">
      <c r="N14300" s="26"/>
    </row>
    <row r="14301" spans="14:14" x14ac:dyDescent="0.25">
      <c r="N14301" s="26"/>
    </row>
    <row r="14302" spans="14:14" x14ac:dyDescent="0.25">
      <c r="N14302" s="26"/>
    </row>
    <row r="14303" spans="14:14" x14ac:dyDescent="0.25">
      <c r="N14303" s="26"/>
    </row>
    <row r="14304" spans="14:14" x14ac:dyDescent="0.25">
      <c r="N14304" s="26"/>
    </row>
    <row r="14305" spans="14:14" x14ac:dyDescent="0.25">
      <c r="N14305" s="26"/>
    </row>
    <row r="14306" spans="14:14" x14ac:dyDescent="0.25">
      <c r="N14306" s="26"/>
    </row>
    <row r="14307" spans="14:14" x14ac:dyDescent="0.25">
      <c r="N14307" s="26"/>
    </row>
    <row r="14308" spans="14:14" x14ac:dyDescent="0.25">
      <c r="N14308" s="26"/>
    </row>
    <row r="14309" spans="14:14" x14ac:dyDescent="0.25">
      <c r="N14309" s="26"/>
    </row>
    <row r="14310" spans="14:14" x14ac:dyDescent="0.25">
      <c r="N14310" s="26"/>
    </row>
    <row r="14311" spans="14:14" x14ac:dyDescent="0.25">
      <c r="N14311" s="26"/>
    </row>
    <row r="14312" spans="14:14" x14ac:dyDescent="0.25">
      <c r="N14312" s="26"/>
    </row>
    <row r="14313" spans="14:14" x14ac:dyDescent="0.25">
      <c r="N14313" s="26"/>
    </row>
    <row r="14314" spans="14:14" x14ac:dyDescent="0.25">
      <c r="N14314" s="26"/>
    </row>
    <row r="14315" spans="14:14" x14ac:dyDescent="0.25">
      <c r="N14315" s="26"/>
    </row>
    <row r="14316" spans="14:14" x14ac:dyDescent="0.25">
      <c r="N14316" s="26"/>
    </row>
    <row r="14317" spans="14:14" x14ac:dyDescent="0.25">
      <c r="N14317" s="26"/>
    </row>
    <row r="14318" spans="14:14" x14ac:dyDescent="0.25">
      <c r="N14318" s="26"/>
    </row>
    <row r="14319" spans="14:14" x14ac:dyDescent="0.25">
      <c r="N14319" s="26"/>
    </row>
    <row r="14320" spans="14:14" x14ac:dyDescent="0.25">
      <c r="N14320" s="26"/>
    </row>
    <row r="14321" spans="14:14" x14ac:dyDescent="0.25">
      <c r="N14321" s="26"/>
    </row>
    <row r="14322" spans="14:14" x14ac:dyDescent="0.25">
      <c r="N14322" s="26"/>
    </row>
    <row r="14323" spans="14:14" x14ac:dyDescent="0.25">
      <c r="N14323" s="26"/>
    </row>
    <row r="14324" spans="14:14" x14ac:dyDescent="0.25">
      <c r="N14324" s="26"/>
    </row>
    <row r="14325" spans="14:14" x14ac:dyDescent="0.25">
      <c r="N14325" s="26"/>
    </row>
    <row r="14326" spans="14:14" x14ac:dyDescent="0.25">
      <c r="N14326" s="26"/>
    </row>
    <row r="14327" spans="14:14" x14ac:dyDescent="0.25">
      <c r="N14327" s="26"/>
    </row>
    <row r="14328" spans="14:14" x14ac:dyDescent="0.25">
      <c r="N14328" s="26"/>
    </row>
    <row r="14329" spans="14:14" x14ac:dyDescent="0.25">
      <c r="N14329" s="26"/>
    </row>
    <row r="14330" spans="14:14" x14ac:dyDescent="0.25">
      <c r="N14330" s="26"/>
    </row>
    <row r="14331" spans="14:14" x14ac:dyDescent="0.25">
      <c r="N14331" s="26"/>
    </row>
    <row r="14332" spans="14:14" x14ac:dyDescent="0.25">
      <c r="N14332" s="26"/>
    </row>
    <row r="14333" spans="14:14" x14ac:dyDescent="0.25">
      <c r="N14333" s="26"/>
    </row>
    <row r="14334" spans="14:14" x14ac:dyDescent="0.25">
      <c r="N14334" s="26"/>
    </row>
    <row r="14335" spans="14:14" x14ac:dyDescent="0.25">
      <c r="N14335" s="26"/>
    </row>
    <row r="14336" spans="14:14" x14ac:dyDescent="0.25">
      <c r="N14336" s="26"/>
    </row>
    <row r="14337" spans="14:14" x14ac:dyDescent="0.25">
      <c r="N14337" s="26"/>
    </row>
    <row r="14338" spans="14:14" x14ac:dyDescent="0.25">
      <c r="N14338" s="26"/>
    </row>
    <row r="14339" spans="14:14" x14ac:dyDescent="0.25">
      <c r="N14339" s="26"/>
    </row>
    <row r="14340" spans="14:14" x14ac:dyDescent="0.25">
      <c r="N14340" s="26"/>
    </row>
    <row r="14341" spans="14:14" x14ac:dyDescent="0.25">
      <c r="N14341" s="26"/>
    </row>
    <row r="14342" spans="14:14" x14ac:dyDescent="0.25">
      <c r="N14342" s="26"/>
    </row>
    <row r="14343" spans="14:14" x14ac:dyDescent="0.25">
      <c r="N14343" s="26"/>
    </row>
    <row r="14344" spans="14:14" x14ac:dyDescent="0.25">
      <c r="N14344" s="26"/>
    </row>
    <row r="14345" spans="14:14" x14ac:dyDescent="0.25">
      <c r="N14345" s="26"/>
    </row>
    <row r="14346" spans="14:14" x14ac:dyDescent="0.25">
      <c r="N14346" s="26"/>
    </row>
    <row r="14347" spans="14:14" x14ac:dyDescent="0.25">
      <c r="N14347" s="26"/>
    </row>
    <row r="14348" spans="14:14" x14ac:dyDescent="0.25">
      <c r="N14348" s="26"/>
    </row>
    <row r="14349" spans="14:14" x14ac:dyDescent="0.25">
      <c r="N14349" s="26"/>
    </row>
    <row r="14350" spans="14:14" x14ac:dyDescent="0.25">
      <c r="N14350" s="26"/>
    </row>
    <row r="14351" spans="14:14" x14ac:dyDescent="0.25">
      <c r="N14351" s="26"/>
    </row>
    <row r="14352" spans="14:14" x14ac:dyDescent="0.25">
      <c r="N14352" s="26"/>
    </row>
    <row r="14353" spans="14:14" x14ac:dyDescent="0.25">
      <c r="N14353" s="26"/>
    </row>
    <row r="14354" spans="14:14" x14ac:dyDescent="0.25">
      <c r="N14354" s="26"/>
    </row>
    <row r="14355" spans="14:14" x14ac:dyDescent="0.25">
      <c r="N14355" s="26"/>
    </row>
    <row r="14356" spans="14:14" x14ac:dyDescent="0.25">
      <c r="N14356" s="26"/>
    </row>
    <row r="14357" spans="14:14" x14ac:dyDescent="0.25">
      <c r="N14357" s="26"/>
    </row>
    <row r="14358" spans="14:14" x14ac:dyDescent="0.25">
      <c r="N14358" s="26"/>
    </row>
    <row r="14359" spans="14:14" x14ac:dyDescent="0.25">
      <c r="N14359" s="26"/>
    </row>
    <row r="14360" spans="14:14" x14ac:dyDescent="0.25">
      <c r="N14360" s="26"/>
    </row>
    <row r="14361" spans="14:14" x14ac:dyDescent="0.25">
      <c r="N14361" s="26"/>
    </row>
    <row r="14362" spans="14:14" x14ac:dyDescent="0.25">
      <c r="N14362" s="26"/>
    </row>
    <row r="14363" spans="14:14" x14ac:dyDescent="0.25">
      <c r="N14363" s="26"/>
    </row>
    <row r="14364" spans="14:14" x14ac:dyDescent="0.25">
      <c r="N14364" s="26"/>
    </row>
    <row r="14365" spans="14:14" x14ac:dyDescent="0.25">
      <c r="N14365" s="26"/>
    </row>
    <row r="14366" spans="14:14" x14ac:dyDescent="0.25">
      <c r="N14366" s="26"/>
    </row>
    <row r="14367" spans="14:14" x14ac:dyDescent="0.25">
      <c r="N14367" s="26"/>
    </row>
    <row r="14368" spans="14:14" x14ac:dyDescent="0.25">
      <c r="N14368" s="26"/>
    </row>
    <row r="14369" spans="14:14" x14ac:dyDescent="0.25">
      <c r="N14369" s="26"/>
    </row>
    <row r="14370" spans="14:14" x14ac:dyDescent="0.25">
      <c r="N14370" s="26"/>
    </row>
    <row r="14371" spans="14:14" x14ac:dyDescent="0.25">
      <c r="N14371" s="26"/>
    </row>
    <row r="14372" spans="14:14" x14ac:dyDescent="0.25">
      <c r="N14372" s="26"/>
    </row>
    <row r="14373" spans="14:14" x14ac:dyDescent="0.25">
      <c r="N14373" s="26"/>
    </row>
    <row r="14374" spans="14:14" x14ac:dyDescent="0.25">
      <c r="N14374" s="26"/>
    </row>
    <row r="14375" spans="14:14" x14ac:dyDescent="0.25">
      <c r="N14375" s="26"/>
    </row>
    <row r="14376" spans="14:14" x14ac:dyDescent="0.25">
      <c r="N14376" s="26"/>
    </row>
    <row r="14377" spans="14:14" x14ac:dyDescent="0.25">
      <c r="N14377" s="26"/>
    </row>
    <row r="14378" spans="14:14" x14ac:dyDescent="0.25">
      <c r="N14378" s="26"/>
    </row>
    <row r="14379" spans="14:14" x14ac:dyDescent="0.25">
      <c r="N14379" s="26"/>
    </row>
    <row r="14380" spans="14:14" x14ac:dyDescent="0.25">
      <c r="N14380" s="26"/>
    </row>
    <row r="14381" spans="14:14" x14ac:dyDescent="0.25">
      <c r="N14381" s="26"/>
    </row>
    <row r="14382" spans="14:14" x14ac:dyDescent="0.25">
      <c r="N14382" s="26"/>
    </row>
    <row r="14383" spans="14:14" x14ac:dyDescent="0.25">
      <c r="N14383" s="26"/>
    </row>
    <row r="14384" spans="14:14" x14ac:dyDescent="0.25">
      <c r="N14384" s="26"/>
    </row>
    <row r="14385" spans="14:14" x14ac:dyDescent="0.25">
      <c r="N14385" s="26"/>
    </row>
    <row r="14386" spans="14:14" x14ac:dyDescent="0.25">
      <c r="N14386" s="26"/>
    </row>
    <row r="14387" spans="14:14" x14ac:dyDescent="0.25">
      <c r="N14387" s="26"/>
    </row>
    <row r="14388" spans="14:14" x14ac:dyDescent="0.25">
      <c r="N14388" s="26"/>
    </row>
    <row r="14389" spans="14:14" x14ac:dyDescent="0.25">
      <c r="N14389" s="26"/>
    </row>
    <row r="14390" spans="14:14" x14ac:dyDescent="0.25">
      <c r="N14390" s="26"/>
    </row>
    <row r="14391" spans="14:14" x14ac:dyDescent="0.25">
      <c r="N14391" s="26"/>
    </row>
    <row r="14392" spans="14:14" x14ac:dyDescent="0.25">
      <c r="N14392" s="26"/>
    </row>
    <row r="14393" spans="14:14" x14ac:dyDescent="0.25">
      <c r="N14393" s="26"/>
    </row>
    <row r="14394" spans="14:14" x14ac:dyDescent="0.25">
      <c r="N14394" s="26"/>
    </row>
    <row r="14395" spans="14:14" x14ac:dyDescent="0.25">
      <c r="N14395" s="26"/>
    </row>
    <row r="14396" spans="14:14" x14ac:dyDescent="0.25">
      <c r="N14396" s="26"/>
    </row>
    <row r="14397" spans="14:14" x14ac:dyDescent="0.25">
      <c r="N14397" s="26"/>
    </row>
    <row r="14398" spans="14:14" x14ac:dyDescent="0.25">
      <c r="N14398" s="26"/>
    </row>
    <row r="14399" spans="14:14" x14ac:dyDescent="0.25">
      <c r="N14399" s="26"/>
    </row>
    <row r="14400" spans="14:14" x14ac:dyDescent="0.25">
      <c r="N14400" s="26"/>
    </row>
    <row r="14401" spans="14:14" x14ac:dyDescent="0.25">
      <c r="N14401" s="26"/>
    </row>
    <row r="14402" spans="14:14" x14ac:dyDescent="0.25">
      <c r="N14402" s="26"/>
    </row>
    <row r="14403" spans="14:14" x14ac:dyDescent="0.25">
      <c r="N14403" s="26"/>
    </row>
    <row r="14404" spans="14:14" x14ac:dyDescent="0.25">
      <c r="N14404" s="26"/>
    </row>
    <row r="14405" spans="14:14" x14ac:dyDescent="0.25">
      <c r="N14405" s="26"/>
    </row>
    <row r="14406" spans="14:14" x14ac:dyDescent="0.25">
      <c r="N14406" s="26"/>
    </row>
    <row r="14407" spans="14:14" x14ac:dyDescent="0.25">
      <c r="N14407" s="26"/>
    </row>
    <row r="14408" spans="14:14" x14ac:dyDescent="0.25">
      <c r="N14408" s="26"/>
    </row>
    <row r="14409" spans="14:14" x14ac:dyDescent="0.25">
      <c r="N14409" s="26"/>
    </row>
    <row r="14410" spans="14:14" x14ac:dyDescent="0.25">
      <c r="N14410" s="26"/>
    </row>
    <row r="14411" spans="14:14" x14ac:dyDescent="0.25">
      <c r="N14411" s="26"/>
    </row>
    <row r="14412" spans="14:14" x14ac:dyDescent="0.25">
      <c r="N14412" s="26"/>
    </row>
    <row r="14413" spans="14:14" x14ac:dyDescent="0.25">
      <c r="N14413" s="26"/>
    </row>
    <row r="14414" spans="14:14" x14ac:dyDescent="0.25">
      <c r="N14414" s="26"/>
    </row>
    <row r="14415" spans="14:14" x14ac:dyDescent="0.25">
      <c r="N14415" s="26"/>
    </row>
    <row r="14416" spans="14:14" x14ac:dyDescent="0.25">
      <c r="N14416" s="26"/>
    </row>
    <row r="14417" spans="14:14" x14ac:dyDescent="0.25">
      <c r="N14417" s="26"/>
    </row>
    <row r="14418" spans="14:14" x14ac:dyDescent="0.25">
      <c r="N14418" s="26"/>
    </row>
    <row r="14419" spans="14:14" x14ac:dyDescent="0.25">
      <c r="N14419" s="26"/>
    </row>
    <row r="14420" spans="14:14" x14ac:dyDescent="0.25">
      <c r="N14420" s="26"/>
    </row>
    <row r="14421" spans="14:14" x14ac:dyDescent="0.25">
      <c r="N14421" s="26"/>
    </row>
    <row r="14422" spans="14:14" x14ac:dyDescent="0.25">
      <c r="N14422" s="26"/>
    </row>
    <row r="14423" spans="14:14" x14ac:dyDescent="0.25">
      <c r="N14423" s="26"/>
    </row>
    <row r="14424" spans="14:14" x14ac:dyDescent="0.25">
      <c r="N14424" s="26"/>
    </row>
    <row r="14425" spans="14:14" x14ac:dyDescent="0.25">
      <c r="N14425" s="26"/>
    </row>
    <row r="14426" spans="14:14" x14ac:dyDescent="0.25">
      <c r="N14426" s="26"/>
    </row>
    <row r="14427" spans="14:14" x14ac:dyDescent="0.25">
      <c r="N14427" s="26"/>
    </row>
    <row r="14428" spans="14:14" x14ac:dyDescent="0.25">
      <c r="N14428" s="26"/>
    </row>
    <row r="14429" spans="14:14" x14ac:dyDescent="0.25">
      <c r="N14429" s="26"/>
    </row>
    <row r="14430" spans="14:14" x14ac:dyDescent="0.25">
      <c r="N14430" s="26"/>
    </row>
    <row r="14431" spans="14:14" x14ac:dyDescent="0.25">
      <c r="N14431" s="26"/>
    </row>
    <row r="14432" spans="14:14" x14ac:dyDescent="0.25">
      <c r="N14432" s="26"/>
    </row>
    <row r="14433" spans="14:14" x14ac:dyDescent="0.25">
      <c r="N14433" s="26"/>
    </row>
    <row r="14434" spans="14:14" x14ac:dyDescent="0.25">
      <c r="N14434" s="26"/>
    </row>
    <row r="14435" spans="14:14" x14ac:dyDescent="0.25">
      <c r="N14435" s="26"/>
    </row>
    <row r="14436" spans="14:14" x14ac:dyDescent="0.25">
      <c r="N14436" s="26"/>
    </row>
    <row r="14437" spans="14:14" x14ac:dyDescent="0.25">
      <c r="N14437" s="26"/>
    </row>
    <row r="14438" spans="14:14" x14ac:dyDescent="0.25">
      <c r="N14438" s="26"/>
    </row>
    <row r="14439" spans="14:14" x14ac:dyDescent="0.25">
      <c r="N14439" s="26"/>
    </row>
    <row r="14440" spans="14:14" x14ac:dyDescent="0.25">
      <c r="N14440" s="26"/>
    </row>
    <row r="14441" spans="14:14" x14ac:dyDescent="0.25">
      <c r="N14441" s="26"/>
    </row>
    <row r="14442" spans="14:14" x14ac:dyDescent="0.25">
      <c r="N14442" s="26"/>
    </row>
    <row r="14443" spans="14:14" x14ac:dyDescent="0.25">
      <c r="N14443" s="26"/>
    </row>
    <row r="14444" spans="14:14" x14ac:dyDescent="0.25">
      <c r="N14444" s="26"/>
    </row>
    <row r="14445" spans="14:14" x14ac:dyDescent="0.25">
      <c r="N14445" s="26"/>
    </row>
    <row r="14446" spans="14:14" x14ac:dyDescent="0.25">
      <c r="N14446" s="26"/>
    </row>
    <row r="14447" spans="14:14" x14ac:dyDescent="0.25">
      <c r="N14447" s="26"/>
    </row>
    <row r="14448" spans="14:14" x14ac:dyDescent="0.25">
      <c r="N14448" s="26"/>
    </row>
    <row r="14449" spans="14:14" x14ac:dyDescent="0.25">
      <c r="N14449" s="26"/>
    </row>
    <row r="14450" spans="14:14" x14ac:dyDescent="0.25">
      <c r="N14450" s="26"/>
    </row>
    <row r="14451" spans="14:14" x14ac:dyDescent="0.25">
      <c r="N14451" s="26"/>
    </row>
    <row r="14452" spans="14:14" x14ac:dyDescent="0.25">
      <c r="N14452" s="26"/>
    </row>
    <row r="14453" spans="14:14" x14ac:dyDescent="0.25">
      <c r="N14453" s="26"/>
    </row>
    <row r="14454" spans="14:14" x14ac:dyDescent="0.25">
      <c r="N14454" s="26"/>
    </row>
    <row r="14455" spans="14:14" x14ac:dyDescent="0.25">
      <c r="N14455" s="26"/>
    </row>
    <row r="14456" spans="14:14" x14ac:dyDescent="0.25">
      <c r="N14456" s="26"/>
    </row>
    <row r="14457" spans="14:14" x14ac:dyDescent="0.25">
      <c r="N14457" s="26"/>
    </row>
    <row r="14458" spans="14:14" x14ac:dyDescent="0.25">
      <c r="N14458" s="26"/>
    </row>
    <row r="14459" spans="14:14" x14ac:dyDescent="0.25">
      <c r="N14459" s="26"/>
    </row>
    <row r="14460" spans="14:14" x14ac:dyDescent="0.25">
      <c r="N14460" s="26"/>
    </row>
    <row r="14461" spans="14:14" x14ac:dyDescent="0.25">
      <c r="N14461" s="26"/>
    </row>
    <row r="14462" spans="14:14" x14ac:dyDescent="0.25">
      <c r="N14462" s="26"/>
    </row>
    <row r="14463" spans="14:14" x14ac:dyDescent="0.25">
      <c r="N14463" s="26"/>
    </row>
    <row r="14464" spans="14:14" x14ac:dyDescent="0.25">
      <c r="N14464" s="26"/>
    </row>
    <row r="14465" spans="14:14" x14ac:dyDescent="0.25">
      <c r="N14465" s="26"/>
    </row>
    <row r="14466" spans="14:14" x14ac:dyDescent="0.25">
      <c r="N14466" s="26"/>
    </row>
    <row r="14467" spans="14:14" x14ac:dyDescent="0.25">
      <c r="N14467" s="26"/>
    </row>
    <row r="14468" spans="14:14" x14ac:dyDescent="0.25">
      <c r="N14468" s="26"/>
    </row>
    <row r="14469" spans="14:14" x14ac:dyDescent="0.25">
      <c r="N14469" s="26"/>
    </row>
    <row r="14470" spans="14:14" x14ac:dyDescent="0.25">
      <c r="N14470" s="26"/>
    </row>
    <row r="14471" spans="14:14" x14ac:dyDescent="0.25">
      <c r="N14471" s="26"/>
    </row>
    <row r="14472" spans="14:14" x14ac:dyDescent="0.25">
      <c r="N14472" s="26"/>
    </row>
    <row r="14473" spans="14:14" x14ac:dyDescent="0.25">
      <c r="N14473" s="26"/>
    </row>
    <row r="14474" spans="14:14" x14ac:dyDescent="0.25">
      <c r="N14474" s="26"/>
    </row>
    <row r="14475" spans="14:14" x14ac:dyDescent="0.25">
      <c r="N14475" s="26"/>
    </row>
    <row r="14476" spans="14:14" x14ac:dyDescent="0.25">
      <c r="N14476" s="26"/>
    </row>
    <row r="14477" spans="14:14" x14ac:dyDescent="0.25">
      <c r="N14477" s="26"/>
    </row>
    <row r="14478" spans="14:14" x14ac:dyDescent="0.25">
      <c r="N14478" s="26"/>
    </row>
    <row r="14479" spans="14:14" x14ac:dyDescent="0.25">
      <c r="N14479" s="26"/>
    </row>
    <row r="14480" spans="14:14" x14ac:dyDescent="0.25">
      <c r="N14480" s="26"/>
    </row>
    <row r="14481" spans="14:14" x14ac:dyDescent="0.25">
      <c r="N14481" s="26"/>
    </row>
    <row r="14482" spans="14:14" x14ac:dyDescent="0.25">
      <c r="N14482" s="26"/>
    </row>
    <row r="14483" spans="14:14" x14ac:dyDescent="0.25">
      <c r="N14483" s="26"/>
    </row>
    <row r="14484" spans="14:14" x14ac:dyDescent="0.25">
      <c r="N14484" s="26"/>
    </row>
    <row r="14485" spans="14:14" x14ac:dyDescent="0.25">
      <c r="N14485" s="26"/>
    </row>
    <row r="14486" spans="14:14" x14ac:dyDescent="0.25">
      <c r="N14486" s="26"/>
    </row>
    <row r="14487" spans="14:14" x14ac:dyDescent="0.25">
      <c r="N14487" s="26"/>
    </row>
    <row r="14488" spans="14:14" x14ac:dyDescent="0.25">
      <c r="N14488" s="26"/>
    </row>
    <row r="14489" spans="14:14" x14ac:dyDescent="0.25">
      <c r="N14489" s="26"/>
    </row>
    <row r="14490" spans="14:14" x14ac:dyDescent="0.25">
      <c r="N14490" s="26"/>
    </row>
    <row r="14491" spans="14:14" x14ac:dyDescent="0.25">
      <c r="N14491" s="26"/>
    </row>
    <row r="14492" spans="14:14" x14ac:dyDescent="0.25">
      <c r="N14492" s="26"/>
    </row>
    <row r="14493" spans="14:14" x14ac:dyDescent="0.25">
      <c r="N14493" s="26"/>
    </row>
    <row r="14494" spans="14:14" x14ac:dyDescent="0.25">
      <c r="N14494" s="26"/>
    </row>
    <row r="14495" spans="14:14" x14ac:dyDescent="0.25">
      <c r="N14495" s="26"/>
    </row>
    <row r="14496" spans="14:14" x14ac:dyDescent="0.25">
      <c r="N14496" s="26"/>
    </row>
    <row r="14497" spans="14:14" x14ac:dyDescent="0.25">
      <c r="N14497" s="26"/>
    </row>
    <row r="14498" spans="14:14" x14ac:dyDescent="0.25">
      <c r="N14498" s="26"/>
    </row>
    <row r="14499" spans="14:14" x14ac:dyDescent="0.25">
      <c r="N14499" s="26"/>
    </row>
    <row r="14500" spans="14:14" x14ac:dyDescent="0.25">
      <c r="N14500" s="26"/>
    </row>
    <row r="14501" spans="14:14" x14ac:dyDescent="0.25">
      <c r="N14501" s="26"/>
    </row>
    <row r="14502" spans="14:14" x14ac:dyDescent="0.25">
      <c r="N14502" s="26"/>
    </row>
    <row r="14503" spans="14:14" x14ac:dyDescent="0.25">
      <c r="N14503" s="26"/>
    </row>
    <row r="14504" spans="14:14" x14ac:dyDescent="0.25">
      <c r="N14504" s="26"/>
    </row>
    <row r="14505" spans="14:14" x14ac:dyDescent="0.25">
      <c r="N14505" s="26"/>
    </row>
    <row r="14506" spans="14:14" x14ac:dyDescent="0.25">
      <c r="N14506" s="26"/>
    </row>
    <row r="14507" spans="14:14" x14ac:dyDescent="0.25">
      <c r="N14507" s="26"/>
    </row>
    <row r="14508" spans="14:14" x14ac:dyDescent="0.25">
      <c r="N14508" s="26"/>
    </row>
    <row r="14509" spans="14:14" x14ac:dyDescent="0.25">
      <c r="N14509" s="26"/>
    </row>
    <row r="14510" spans="14:14" x14ac:dyDescent="0.25">
      <c r="N14510" s="26"/>
    </row>
    <row r="14511" spans="14:14" x14ac:dyDescent="0.25">
      <c r="N14511" s="26"/>
    </row>
    <row r="14512" spans="14:14" x14ac:dyDescent="0.25">
      <c r="N14512" s="26"/>
    </row>
    <row r="14513" spans="14:14" x14ac:dyDescent="0.25">
      <c r="N14513" s="26"/>
    </row>
    <row r="14514" spans="14:14" x14ac:dyDescent="0.25">
      <c r="N14514" s="26"/>
    </row>
    <row r="14515" spans="14:14" x14ac:dyDescent="0.25">
      <c r="N14515" s="26"/>
    </row>
    <row r="14516" spans="14:14" x14ac:dyDescent="0.25">
      <c r="N14516" s="26"/>
    </row>
    <row r="14517" spans="14:14" x14ac:dyDescent="0.25">
      <c r="N14517" s="26"/>
    </row>
    <row r="14518" spans="14:14" x14ac:dyDescent="0.25">
      <c r="N14518" s="26"/>
    </row>
    <row r="14519" spans="14:14" x14ac:dyDescent="0.25">
      <c r="N14519" s="26"/>
    </row>
    <row r="14520" spans="14:14" x14ac:dyDescent="0.25">
      <c r="N14520" s="26"/>
    </row>
    <row r="14521" spans="14:14" x14ac:dyDescent="0.25">
      <c r="N14521" s="26"/>
    </row>
    <row r="14522" spans="14:14" x14ac:dyDescent="0.25">
      <c r="N14522" s="26"/>
    </row>
    <row r="14523" spans="14:14" x14ac:dyDescent="0.25">
      <c r="N14523" s="26"/>
    </row>
    <row r="14524" spans="14:14" x14ac:dyDescent="0.25">
      <c r="N14524" s="26"/>
    </row>
    <row r="14525" spans="14:14" x14ac:dyDescent="0.25">
      <c r="N14525" s="26"/>
    </row>
    <row r="14526" spans="14:14" x14ac:dyDescent="0.25">
      <c r="N14526" s="26"/>
    </row>
    <row r="14527" spans="14:14" x14ac:dyDescent="0.25">
      <c r="N14527" s="26"/>
    </row>
    <row r="14528" spans="14:14" x14ac:dyDescent="0.25">
      <c r="N14528" s="26"/>
    </row>
    <row r="14529" spans="14:14" x14ac:dyDescent="0.25">
      <c r="N14529" s="26"/>
    </row>
    <row r="14530" spans="14:14" x14ac:dyDescent="0.25">
      <c r="N14530" s="26"/>
    </row>
    <row r="14531" spans="14:14" x14ac:dyDescent="0.25">
      <c r="N14531" s="26"/>
    </row>
    <row r="14532" spans="14:14" x14ac:dyDescent="0.25">
      <c r="N14532" s="26"/>
    </row>
    <row r="14533" spans="14:14" x14ac:dyDescent="0.25">
      <c r="N14533" s="26"/>
    </row>
    <row r="14534" spans="14:14" x14ac:dyDescent="0.25">
      <c r="N14534" s="26"/>
    </row>
    <row r="14535" spans="14:14" x14ac:dyDescent="0.25">
      <c r="N14535" s="26"/>
    </row>
    <row r="14536" spans="14:14" x14ac:dyDescent="0.25">
      <c r="N14536" s="26"/>
    </row>
    <row r="14537" spans="14:14" x14ac:dyDescent="0.25">
      <c r="N14537" s="26"/>
    </row>
    <row r="14538" spans="14:14" x14ac:dyDescent="0.25">
      <c r="N14538" s="26"/>
    </row>
    <row r="14539" spans="14:14" x14ac:dyDescent="0.25">
      <c r="N14539" s="26"/>
    </row>
    <row r="14540" spans="14:14" x14ac:dyDescent="0.25">
      <c r="N14540" s="26"/>
    </row>
    <row r="14541" spans="14:14" x14ac:dyDescent="0.25">
      <c r="N14541" s="26"/>
    </row>
    <row r="14542" spans="14:14" x14ac:dyDescent="0.25">
      <c r="N14542" s="26"/>
    </row>
    <row r="14543" spans="14:14" x14ac:dyDescent="0.25">
      <c r="N14543" s="26"/>
    </row>
    <row r="14544" spans="14:14" x14ac:dyDescent="0.25">
      <c r="N14544" s="26"/>
    </row>
    <row r="14545" spans="14:14" x14ac:dyDescent="0.25">
      <c r="N14545" s="26"/>
    </row>
    <row r="14546" spans="14:14" x14ac:dyDescent="0.25">
      <c r="N14546" s="26"/>
    </row>
    <row r="14547" spans="14:14" x14ac:dyDescent="0.25">
      <c r="N14547" s="26"/>
    </row>
    <row r="14548" spans="14:14" x14ac:dyDescent="0.25">
      <c r="N14548" s="26"/>
    </row>
    <row r="14549" spans="14:14" x14ac:dyDescent="0.25">
      <c r="N14549" s="26"/>
    </row>
    <row r="14550" spans="14:14" x14ac:dyDescent="0.25">
      <c r="N14550" s="26"/>
    </row>
    <row r="14551" spans="14:14" x14ac:dyDescent="0.25">
      <c r="N14551" s="26"/>
    </row>
    <row r="14552" spans="14:14" x14ac:dyDescent="0.25">
      <c r="N14552" s="26"/>
    </row>
    <row r="14553" spans="14:14" x14ac:dyDescent="0.25">
      <c r="N14553" s="26"/>
    </row>
    <row r="14554" spans="14:14" x14ac:dyDescent="0.25">
      <c r="N14554" s="26"/>
    </row>
    <row r="14555" spans="14:14" x14ac:dyDescent="0.25">
      <c r="N14555" s="26"/>
    </row>
    <row r="14556" spans="14:14" x14ac:dyDescent="0.25">
      <c r="N14556" s="26"/>
    </row>
    <row r="14557" spans="14:14" x14ac:dyDescent="0.25">
      <c r="N14557" s="26"/>
    </row>
    <row r="14558" spans="14:14" x14ac:dyDescent="0.25">
      <c r="N14558" s="26"/>
    </row>
    <row r="14559" spans="14:14" x14ac:dyDescent="0.25">
      <c r="N14559" s="26"/>
    </row>
    <row r="14560" spans="14:14" x14ac:dyDescent="0.25">
      <c r="N14560" s="26"/>
    </row>
    <row r="14561" spans="14:14" x14ac:dyDescent="0.25">
      <c r="N14561" s="26"/>
    </row>
    <row r="14562" spans="14:14" x14ac:dyDescent="0.25">
      <c r="N14562" s="26"/>
    </row>
    <row r="14563" spans="14:14" x14ac:dyDescent="0.25">
      <c r="N14563" s="26"/>
    </row>
    <row r="14564" spans="14:14" x14ac:dyDescent="0.25">
      <c r="N14564" s="26"/>
    </row>
    <row r="14565" spans="14:14" x14ac:dyDescent="0.25">
      <c r="N14565" s="26"/>
    </row>
    <row r="14566" spans="14:14" x14ac:dyDescent="0.25">
      <c r="N14566" s="26"/>
    </row>
    <row r="14567" spans="14:14" x14ac:dyDescent="0.25">
      <c r="N14567" s="26"/>
    </row>
    <row r="14568" spans="14:14" x14ac:dyDescent="0.25">
      <c r="N14568" s="26"/>
    </row>
    <row r="14569" spans="14:14" x14ac:dyDescent="0.25">
      <c r="N14569" s="26"/>
    </row>
    <row r="14570" spans="14:14" x14ac:dyDescent="0.25">
      <c r="N14570" s="26"/>
    </row>
    <row r="14571" spans="14:14" x14ac:dyDescent="0.25">
      <c r="N14571" s="26"/>
    </row>
    <row r="14572" spans="14:14" x14ac:dyDescent="0.25">
      <c r="N14572" s="26"/>
    </row>
    <row r="14573" spans="14:14" x14ac:dyDescent="0.25">
      <c r="N14573" s="26"/>
    </row>
    <row r="14574" spans="14:14" x14ac:dyDescent="0.25">
      <c r="N14574" s="26"/>
    </row>
    <row r="14575" spans="14:14" x14ac:dyDescent="0.25">
      <c r="N14575" s="26"/>
    </row>
    <row r="14576" spans="14:14" x14ac:dyDescent="0.25">
      <c r="N14576" s="26"/>
    </row>
    <row r="14577" spans="14:14" x14ac:dyDescent="0.25">
      <c r="N14577" s="26"/>
    </row>
    <row r="14578" spans="14:14" x14ac:dyDescent="0.25">
      <c r="N14578" s="26"/>
    </row>
    <row r="14579" spans="14:14" x14ac:dyDescent="0.25">
      <c r="N14579" s="26"/>
    </row>
    <row r="14580" spans="14:14" x14ac:dyDescent="0.25">
      <c r="N14580" s="26"/>
    </row>
    <row r="14581" spans="14:14" x14ac:dyDescent="0.25">
      <c r="N14581" s="26"/>
    </row>
    <row r="14582" spans="14:14" x14ac:dyDescent="0.25">
      <c r="N14582" s="26"/>
    </row>
    <row r="14583" spans="14:14" x14ac:dyDescent="0.25">
      <c r="N14583" s="26"/>
    </row>
    <row r="14584" spans="14:14" x14ac:dyDescent="0.25">
      <c r="N14584" s="26"/>
    </row>
    <row r="14585" spans="14:14" x14ac:dyDescent="0.25">
      <c r="N14585" s="26"/>
    </row>
    <row r="14586" spans="14:14" x14ac:dyDescent="0.25">
      <c r="N14586" s="26"/>
    </row>
    <row r="14587" spans="14:14" x14ac:dyDescent="0.25">
      <c r="N14587" s="26"/>
    </row>
    <row r="14588" spans="14:14" x14ac:dyDescent="0.25">
      <c r="N14588" s="26"/>
    </row>
    <row r="14589" spans="14:14" x14ac:dyDescent="0.25">
      <c r="N14589" s="26"/>
    </row>
    <row r="14590" spans="14:14" x14ac:dyDescent="0.25">
      <c r="N14590" s="26"/>
    </row>
    <row r="14591" spans="14:14" x14ac:dyDescent="0.25">
      <c r="N14591" s="26"/>
    </row>
    <row r="14592" spans="14:14" x14ac:dyDescent="0.25">
      <c r="N14592" s="26"/>
    </row>
    <row r="14593" spans="14:14" x14ac:dyDescent="0.25">
      <c r="N14593" s="26"/>
    </row>
    <row r="14594" spans="14:14" x14ac:dyDescent="0.25">
      <c r="N14594" s="26"/>
    </row>
    <row r="14595" spans="14:14" x14ac:dyDescent="0.25">
      <c r="N14595" s="26"/>
    </row>
    <row r="14596" spans="14:14" x14ac:dyDescent="0.25">
      <c r="N14596" s="26"/>
    </row>
    <row r="14597" spans="14:14" x14ac:dyDescent="0.25">
      <c r="N14597" s="26"/>
    </row>
    <row r="14598" spans="14:14" x14ac:dyDescent="0.25">
      <c r="N14598" s="26"/>
    </row>
    <row r="14599" spans="14:14" x14ac:dyDescent="0.25">
      <c r="N14599" s="26"/>
    </row>
    <row r="14600" spans="14:14" x14ac:dyDescent="0.25">
      <c r="N14600" s="26"/>
    </row>
    <row r="14601" spans="14:14" x14ac:dyDescent="0.25">
      <c r="N14601" s="26"/>
    </row>
    <row r="14602" spans="14:14" x14ac:dyDescent="0.25">
      <c r="N14602" s="26"/>
    </row>
    <row r="14603" spans="14:14" x14ac:dyDescent="0.25">
      <c r="N14603" s="26"/>
    </row>
    <row r="14604" spans="14:14" x14ac:dyDescent="0.25">
      <c r="N14604" s="26"/>
    </row>
    <row r="14605" spans="14:14" x14ac:dyDescent="0.25">
      <c r="N14605" s="26"/>
    </row>
    <row r="14606" spans="14:14" x14ac:dyDescent="0.25">
      <c r="N14606" s="26"/>
    </row>
    <row r="14607" spans="14:14" x14ac:dyDescent="0.25">
      <c r="N14607" s="26"/>
    </row>
    <row r="14608" spans="14:14" x14ac:dyDescent="0.25">
      <c r="N14608" s="26"/>
    </row>
    <row r="14609" spans="14:14" x14ac:dyDescent="0.25">
      <c r="N14609" s="26"/>
    </row>
    <row r="14610" spans="14:14" x14ac:dyDescent="0.25">
      <c r="N14610" s="26"/>
    </row>
    <row r="14611" spans="14:14" x14ac:dyDescent="0.25">
      <c r="N14611" s="26"/>
    </row>
    <row r="14612" spans="14:14" x14ac:dyDescent="0.25">
      <c r="N14612" s="26"/>
    </row>
    <row r="14613" spans="14:14" x14ac:dyDescent="0.25">
      <c r="N14613" s="26"/>
    </row>
    <row r="14614" spans="14:14" x14ac:dyDescent="0.25">
      <c r="N14614" s="26"/>
    </row>
    <row r="14615" spans="14:14" x14ac:dyDescent="0.25">
      <c r="N14615" s="26"/>
    </row>
    <row r="14616" spans="14:14" x14ac:dyDescent="0.25">
      <c r="N14616" s="26"/>
    </row>
    <row r="14617" spans="14:14" x14ac:dyDescent="0.25">
      <c r="N14617" s="26"/>
    </row>
    <row r="14618" spans="14:14" x14ac:dyDescent="0.25">
      <c r="N14618" s="26"/>
    </row>
    <row r="14619" spans="14:14" x14ac:dyDescent="0.25">
      <c r="N14619" s="26"/>
    </row>
    <row r="14620" spans="14:14" x14ac:dyDescent="0.25">
      <c r="N14620" s="26"/>
    </row>
    <row r="14621" spans="14:14" x14ac:dyDescent="0.25">
      <c r="N14621" s="26"/>
    </row>
    <row r="14622" spans="14:14" x14ac:dyDescent="0.25">
      <c r="N14622" s="26"/>
    </row>
    <row r="14623" spans="14:14" x14ac:dyDescent="0.25">
      <c r="N14623" s="26"/>
    </row>
    <row r="14624" spans="14:14" x14ac:dyDescent="0.25">
      <c r="N14624" s="26"/>
    </row>
    <row r="14625" spans="14:14" x14ac:dyDescent="0.25">
      <c r="N14625" s="26"/>
    </row>
    <row r="14626" spans="14:14" x14ac:dyDescent="0.25">
      <c r="N14626" s="26"/>
    </row>
    <row r="14627" spans="14:14" x14ac:dyDescent="0.25">
      <c r="N14627" s="26"/>
    </row>
    <row r="14628" spans="14:14" x14ac:dyDescent="0.25">
      <c r="N14628" s="26"/>
    </row>
    <row r="14629" spans="14:14" x14ac:dyDescent="0.25">
      <c r="N14629" s="26"/>
    </row>
    <row r="14630" spans="14:14" x14ac:dyDescent="0.25">
      <c r="N14630" s="26"/>
    </row>
    <row r="14631" spans="14:14" x14ac:dyDescent="0.25">
      <c r="N14631" s="26"/>
    </row>
    <row r="14632" spans="14:14" x14ac:dyDescent="0.25">
      <c r="N14632" s="26"/>
    </row>
    <row r="14633" spans="14:14" x14ac:dyDescent="0.25">
      <c r="N14633" s="26"/>
    </row>
    <row r="14634" spans="14:14" x14ac:dyDescent="0.25">
      <c r="N14634" s="26"/>
    </row>
    <row r="14635" spans="14:14" x14ac:dyDescent="0.25">
      <c r="N14635" s="26"/>
    </row>
    <row r="14636" spans="14:14" x14ac:dyDescent="0.25">
      <c r="N14636" s="26"/>
    </row>
    <row r="14637" spans="14:14" x14ac:dyDescent="0.25">
      <c r="N14637" s="26"/>
    </row>
    <row r="14638" spans="14:14" x14ac:dyDescent="0.25">
      <c r="N14638" s="26"/>
    </row>
    <row r="14639" spans="14:14" x14ac:dyDescent="0.25">
      <c r="N14639" s="26"/>
    </row>
    <row r="14640" spans="14:14" x14ac:dyDescent="0.25">
      <c r="N14640" s="26"/>
    </row>
    <row r="14641" spans="14:14" x14ac:dyDescent="0.25">
      <c r="N14641" s="26"/>
    </row>
    <row r="14642" spans="14:14" x14ac:dyDescent="0.25">
      <c r="N14642" s="26"/>
    </row>
    <row r="14643" spans="14:14" x14ac:dyDescent="0.25">
      <c r="N14643" s="26"/>
    </row>
    <row r="14644" spans="14:14" x14ac:dyDescent="0.25">
      <c r="N14644" s="26"/>
    </row>
    <row r="14645" spans="14:14" x14ac:dyDescent="0.25">
      <c r="N14645" s="26"/>
    </row>
    <row r="14646" spans="14:14" x14ac:dyDescent="0.25">
      <c r="N14646" s="26"/>
    </row>
    <row r="14647" spans="14:14" x14ac:dyDescent="0.25">
      <c r="N14647" s="26"/>
    </row>
    <row r="14648" spans="14:14" x14ac:dyDescent="0.25">
      <c r="N14648" s="26"/>
    </row>
    <row r="14649" spans="14:14" x14ac:dyDescent="0.25">
      <c r="N14649" s="26"/>
    </row>
    <row r="14650" spans="14:14" x14ac:dyDescent="0.25">
      <c r="N14650" s="26"/>
    </row>
    <row r="14651" spans="14:14" x14ac:dyDescent="0.25">
      <c r="N14651" s="26"/>
    </row>
    <row r="14652" spans="14:14" x14ac:dyDescent="0.25">
      <c r="N14652" s="26"/>
    </row>
    <row r="14653" spans="14:14" x14ac:dyDescent="0.25">
      <c r="N14653" s="26"/>
    </row>
    <row r="14654" spans="14:14" x14ac:dyDescent="0.25">
      <c r="N14654" s="26"/>
    </row>
    <row r="14655" spans="14:14" x14ac:dyDescent="0.25">
      <c r="N14655" s="26"/>
    </row>
    <row r="14656" spans="14:14" x14ac:dyDescent="0.25">
      <c r="N14656" s="26"/>
    </row>
    <row r="14657" spans="14:14" x14ac:dyDescent="0.25">
      <c r="N14657" s="26"/>
    </row>
    <row r="14658" spans="14:14" x14ac:dyDescent="0.25">
      <c r="N14658" s="26"/>
    </row>
    <row r="14659" spans="14:14" x14ac:dyDescent="0.25">
      <c r="N14659" s="26"/>
    </row>
    <row r="14660" spans="14:14" x14ac:dyDescent="0.25">
      <c r="N14660" s="26"/>
    </row>
    <row r="14661" spans="14:14" x14ac:dyDescent="0.25">
      <c r="N14661" s="26"/>
    </row>
    <row r="14662" spans="14:14" x14ac:dyDescent="0.25">
      <c r="N14662" s="26"/>
    </row>
    <row r="14663" spans="14:14" x14ac:dyDescent="0.25">
      <c r="N14663" s="26"/>
    </row>
    <row r="14664" spans="14:14" x14ac:dyDescent="0.25">
      <c r="N14664" s="26"/>
    </row>
    <row r="14665" spans="14:14" x14ac:dyDescent="0.25">
      <c r="N14665" s="26"/>
    </row>
    <row r="14666" spans="14:14" x14ac:dyDescent="0.25">
      <c r="N14666" s="26"/>
    </row>
    <row r="14667" spans="14:14" x14ac:dyDescent="0.25">
      <c r="N14667" s="26"/>
    </row>
    <row r="14668" spans="14:14" x14ac:dyDescent="0.25">
      <c r="N14668" s="26"/>
    </row>
    <row r="14669" spans="14:14" x14ac:dyDescent="0.25">
      <c r="N14669" s="26"/>
    </row>
    <row r="14670" spans="14:14" x14ac:dyDescent="0.25">
      <c r="N14670" s="26"/>
    </row>
    <row r="14671" spans="14:14" x14ac:dyDescent="0.25">
      <c r="N14671" s="26"/>
    </row>
    <row r="14672" spans="14:14" x14ac:dyDescent="0.25">
      <c r="N14672" s="26"/>
    </row>
    <row r="14673" spans="14:14" x14ac:dyDescent="0.25">
      <c r="N14673" s="26"/>
    </row>
    <row r="14674" spans="14:14" x14ac:dyDescent="0.25">
      <c r="N14674" s="26"/>
    </row>
    <row r="14675" spans="14:14" x14ac:dyDescent="0.25">
      <c r="N14675" s="26"/>
    </row>
    <row r="14676" spans="14:14" x14ac:dyDescent="0.25">
      <c r="N14676" s="26"/>
    </row>
    <row r="14677" spans="14:14" x14ac:dyDescent="0.25">
      <c r="N14677" s="26"/>
    </row>
    <row r="14678" spans="14:14" x14ac:dyDescent="0.25">
      <c r="N14678" s="26"/>
    </row>
    <row r="14679" spans="14:14" x14ac:dyDescent="0.25">
      <c r="N14679" s="26"/>
    </row>
    <row r="14680" spans="14:14" x14ac:dyDescent="0.25">
      <c r="N14680" s="26"/>
    </row>
    <row r="14681" spans="14:14" x14ac:dyDescent="0.25">
      <c r="N14681" s="26"/>
    </row>
    <row r="14682" spans="14:14" x14ac:dyDescent="0.25">
      <c r="N14682" s="26"/>
    </row>
    <row r="14683" spans="14:14" x14ac:dyDescent="0.25">
      <c r="N14683" s="26"/>
    </row>
    <row r="14684" spans="14:14" x14ac:dyDescent="0.25">
      <c r="N14684" s="26"/>
    </row>
    <row r="14685" spans="14:14" x14ac:dyDescent="0.25">
      <c r="N14685" s="26"/>
    </row>
    <row r="14686" spans="14:14" x14ac:dyDescent="0.25">
      <c r="N14686" s="26"/>
    </row>
    <row r="14687" spans="14:14" x14ac:dyDescent="0.25">
      <c r="N14687" s="26"/>
    </row>
    <row r="14688" spans="14:14" x14ac:dyDescent="0.25">
      <c r="N14688" s="26"/>
    </row>
    <row r="14689" spans="14:14" x14ac:dyDescent="0.25">
      <c r="N14689" s="26"/>
    </row>
    <row r="14690" spans="14:14" x14ac:dyDescent="0.25">
      <c r="N14690" s="26"/>
    </row>
    <row r="14691" spans="14:14" x14ac:dyDescent="0.25">
      <c r="N14691" s="26"/>
    </row>
    <row r="14692" spans="14:14" x14ac:dyDescent="0.25">
      <c r="N14692" s="26"/>
    </row>
    <row r="14693" spans="14:14" x14ac:dyDescent="0.25">
      <c r="N14693" s="26"/>
    </row>
    <row r="14694" spans="14:14" x14ac:dyDescent="0.25">
      <c r="N14694" s="26"/>
    </row>
    <row r="14695" spans="14:14" x14ac:dyDescent="0.25">
      <c r="N14695" s="26"/>
    </row>
    <row r="14696" spans="14:14" x14ac:dyDescent="0.25">
      <c r="N14696" s="26"/>
    </row>
    <row r="14697" spans="14:14" x14ac:dyDescent="0.25">
      <c r="N14697" s="26"/>
    </row>
    <row r="14698" spans="14:14" x14ac:dyDescent="0.25">
      <c r="N14698" s="26"/>
    </row>
    <row r="14699" spans="14:14" x14ac:dyDescent="0.25">
      <c r="N14699" s="26"/>
    </row>
    <row r="14700" spans="14:14" x14ac:dyDescent="0.25">
      <c r="N14700" s="26"/>
    </row>
    <row r="14701" spans="14:14" x14ac:dyDescent="0.25">
      <c r="N14701" s="26"/>
    </row>
    <row r="14702" spans="14:14" x14ac:dyDescent="0.25">
      <c r="N14702" s="26"/>
    </row>
    <row r="14703" spans="14:14" x14ac:dyDescent="0.25">
      <c r="N14703" s="26"/>
    </row>
    <row r="14704" spans="14:14" x14ac:dyDescent="0.25">
      <c r="N14704" s="26"/>
    </row>
    <row r="14705" spans="14:14" x14ac:dyDescent="0.25">
      <c r="N14705" s="26"/>
    </row>
    <row r="14706" spans="14:14" x14ac:dyDescent="0.25">
      <c r="N14706" s="26"/>
    </row>
    <row r="14707" spans="14:14" x14ac:dyDescent="0.25">
      <c r="N14707" s="26"/>
    </row>
    <row r="14708" spans="14:14" x14ac:dyDescent="0.25">
      <c r="N14708" s="26"/>
    </row>
    <row r="14709" spans="14:14" x14ac:dyDescent="0.25">
      <c r="N14709" s="26"/>
    </row>
    <row r="14710" spans="14:14" x14ac:dyDescent="0.25">
      <c r="N14710" s="26"/>
    </row>
    <row r="14711" spans="14:14" x14ac:dyDescent="0.25">
      <c r="N14711" s="26"/>
    </row>
    <row r="14712" spans="14:14" x14ac:dyDescent="0.25">
      <c r="N14712" s="26"/>
    </row>
    <row r="14713" spans="14:14" x14ac:dyDescent="0.25">
      <c r="N14713" s="26"/>
    </row>
    <row r="14714" spans="14:14" x14ac:dyDescent="0.25">
      <c r="N14714" s="26"/>
    </row>
    <row r="14715" spans="14:14" x14ac:dyDescent="0.25">
      <c r="N14715" s="26"/>
    </row>
    <row r="14716" spans="14:14" x14ac:dyDescent="0.25">
      <c r="N14716" s="26"/>
    </row>
    <row r="14717" spans="14:14" x14ac:dyDescent="0.25">
      <c r="N14717" s="26"/>
    </row>
    <row r="14718" spans="14:14" x14ac:dyDescent="0.25">
      <c r="N14718" s="26"/>
    </row>
    <row r="14719" spans="14:14" x14ac:dyDescent="0.25">
      <c r="N14719" s="26"/>
    </row>
    <row r="14720" spans="14:14" x14ac:dyDescent="0.25">
      <c r="N14720" s="26"/>
    </row>
    <row r="14721" spans="14:14" x14ac:dyDescent="0.25">
      <c r="N14721" s="26"/>
    </row>
    <row r="14722" spans="14:14" x14ac:dyDescent="0.25">
      <c r="N14722" s="26"/>
    </row>
    <row r="14723" spans="14:14" x14ac:dyDescent="0.25">
      <c r="N14723" s="26"/>
    </row>
    <row r="14724" spans="14:14" x14ac:dyDescent="0.25">
      <c r="N14724" s="26"/>
    </row>
    <row r="14725" spans="14:14" x14ac:dyDescent="0.25">
      <c r="N14725" s="26"/>
    </row>
    <row r="14726" spans="14:14" x14ac:dyDescent="0.25">
      <c r="N14726" s="26"/>
    </row>
    <row r="14727" spans="14:14" x14ac:dyDescent="0.25">
      <c r="N14727" s="26"/>
    </row>
    <row r="14728" spans="14:14" x14ac:dyDescent="0.25">
      <c r="N14728" s="26"/>
    </row>
    <row r="14729" spans="14:14" x14ac:dyDescent="0.25">
      <c r="N14729" s="26"/>
    </row>
    <row r="14730" spans="14:14" x14ac:dyDescent="0.25">
      <c r="N14730" s="26"/>
    </row>
    <row r="14731" spans="14:14" x14ac:dyDescent="0.25">
      <c r="N14731" s="26"/>
    </row>
    <row r="14732" spans="14:14" x14ac:dyDescent="0.25">
      <c r="N14732" s="26"/>
    </row>
    <row r="14733" spans="14:14" x14ac:dyDescent="0.25">
      <c r="N14733" s="26"/>
    </row>
    <row r="14734" spans="14:14" x14ac:dyDescent="0.25">
      <c r="N14734" s="26"/>
    </row>
    <row r="14735" spans="14:14" x14ac:dyDescent="0.25">
      <c r="N14735" s="26"/>
    </row>
    <row r="14736" spans="14:14" x14ac:dyDescent="0.25">
      <c r="N14736" s="26"/>
    </row>
    <row r="14737" spans="14:14" x14ac:dyDescent="0.25">
      <c r="N14737" s="26"/>
    </row>
    <row r="14738" spans="14:14" x14ac:dyDescent="0.25">
      <c r="N14738" s="26"/>
    </row>
    <row r="14739" spans="14:14" x14ac:dyDescent="0.25">
      <c r="N14739" s="26"/>
    </row>
    <row r="14740" spans="14:14" x14ac:dyDescent="0.25">
      <c r="N14740" s="26"/>
    </row>
    <row r="14741" spans="14:14" x14ac:dyDescent="0.25">
      <c r="N14741" s="26"/>
    </row>
    <row r="14742" spans="14:14" x14ac:dyDescent="0.25">
      <c r="N14742" s="26"/>
    </row>
    <row r="14743" spans="14:14" x14ac:dyDescent="0.25">
      <c r="N14743" s="26"/>
    </row>
    <row r="14744" spans="14:14" x14ac:dyDescent="0.25">
      <c r="N14744" s="26"/>
    </row>
    <row r="14745" spans="14:14" x14ac:dyDescent="0.25">
      <c r="N14745" s="26"/>
    </row>
    <row r="14746" spans="14:14" x14ac:dyDescent="0.25">
      <c r="N14746" s="26"/>
    </row>
    <row r="14747" spans="14:14" x14ac:dyDescent="0.25">
      <c r="N14747" s="26"/>
    </row>
    <row r="14748" spans="14:14" x14ac:dyDescent="0.25">
      <c r="N14748" s="26"/>
    </row>
    <row r="14749" spans="14:14" x14ac:dyDescent="0.25">
      <c r="N14749" s="26"/>
    </row>
    <row r="14750" spans="14:14" x14ac:dyDescent="0.25">
      <c r="N14750" s="26"/>
    </row>
    <row r="14751" spans="14:14" x14ac:dyDescent="0.25">
      <c r="N14751" s="26"/>
    </row>
    <row r="14752" spans="14:14" x14ac:dyDescent="0.25">
      <c r="N14752" s="26"/>
    </row>
    <row r="14753" spans="14:14" x14ac:dyDescent="0.25">
      <c r="N14753" s="26"/>
    </row>
    <row r="14754" spans="14:14" x14ac:dyDescent="0.25">
      <c r="N14754" s="26"/>
    </row>
    <row r="14755" spans="14:14" x14ac:dyDescent="0.25">
      <c r="N14755" s="26"/>
    </row>
    <row r="14756" spans="14:14" x14ac:dyDescent="0.25">
      <c r="N14756" s="26"/>
    </row>
    <row r="14757" spans="14:14" x14ac:dyDescent="0.25">
      <c r="N14757" s="26"/>
    </row>
    <row r="14758" spans="14:14" x14ac:dyDescent="0.25">
      <c r="N14758" s="26"/>
    </row>
    <row r="14759" spans="14:14" x14ac:dyDescent="0.25">
      <c r="N14759" s="26"/>
    </row>
    <row r="14760" spans="14:14" x14ac:dyDescent="0.25">
      <c r="N14760" s="26"/>
    </row>
    <row r="14761" spans="14:14" x14ac:dyDescent="0.25">
      <c r="N14761" s="26"/>
    </row>
    <row r="14762" spans="14:14" x14ac:dyDescent="0.25">
      <c r="N14762" s="26"/>
    </row>
    <row r="14763" spans="14:14" x14ac:dyDescent="0.25">
      <c r="N14763" s="26"/>
    </row>
    <row r="14764" spans="14:14" x14ac:dyDescent="0.25">
      <c r="N14764" s="26"/>
    </row>
    <row r="14765" spans="14:14" x14ac:dyDescent="0.25">
      <c r="N14765" s="26"/>
    </row>
    <row r="14766" spans="14:14" x14ac:dyDescent="0.25">
      <c r="N14766" s="26"/>
    </row>
    <row r="14767" spans="14:14" x14ac:dyDescent="0.25">
      <c r="N14767" s="26"/>
    </row>
    <row r="14768" spans="14:14" x14ac:dyDescent="0.25">
      <c r="N14768" s="26"/>
    </row>
    <row r="14769" spans="14:14" x14ac:dyDescent="0.25">
      <c r="N14769" s="26"/>
    </row>
    <row r="14770" spans="14:14" x14ac:dyDescent="0.25">
      <c r="N14770" s="26"/>
    </row>
    <row r="14771" spans="14:14" x14ac:dyDescent="0.25">
      <c r="N14771" s="26"/>
    </row>
    <row r="14772" spans="14:14" x14ac:dyDescent="0.25">
      <c r="N14772" s="26"/>
    </row>
    <row r="14773" spans="14:14" x14ac:dyDescent="0.25">
      <c r="N14773" s="26"/>
    </row>
    <row r="14774" spans="14:14" x14ac:dyDescent="0.25">
      <c r="N14774" s="26"/>
    </row>
    <row r="14775" spans="14:14" x14ac:dyDescent="0.25">
      <c r="N14775" s="26"/>
    </row>
    <row r="14776" spans="14:14" x14ac:dyDescent="0.25">
      <c r="N14776" s="26"/>
    </row>
    <row r="14777" spans="14:14" x14ac:dyDescent="0.25">
      <c r="N14777" s="26"/>
    </row>
    <row r="14778" spans="14:14" x14ac:dyDescent="0.25">
      <c r="N14778" s="26"/>
    </row>
    <row r="14779" spans="14:14" x14ac:dyDescent="0.25">
      <c r="N14779" s="26"/>
    </row>
    <row r="14780" spans="14:14" x14ac:dyDescent="0.25">
      <c r="N14780" s="26"/>
    </row>
    <row r="14781" spans="14:14" x14ac:dyDescent="0.25">
      <c r="N14781" s="26"/>
    </row>
    <row r="14782" spans="14:14" x14ac:dyDescent="0.25">
      <c r="N14782" s="26"/>
    </row>
    <row r="14783" spans="14:14" x14ac:dyDescent="0.25">
      <c r="N14783" s="26"/>
    </row>
    <row r="14784" spans="14:14" x14ac:dyDescent="0.25">
      <c r="N14784" s="26"/>
    </row>
    <row r="14785" spans="14:14" x14ac:dyDescent="0.25">
      <c r="N14785" s="26"/>
    </row>
    <row r="14786" spans="14:14" x14ac:dyDescent="0.25">
      <c r="N14786" s="26"/>
    </row>
    <row r="14787" spans="14:14" x14ac:dyDescent="0.25">
      <c r="N14787" s="26"/>
    </row>
    <row r="14788" spans="14:14" x14ac:dyDescent="0.25">
      <c r="N14788" s="26"/>
    </row>
    <row r="14789" spans="14:14" x14ac:dyDescent="0.25">
      <c r="N14789" s="26"/>
    </row>
    <row r="14790" spans="14:14" x14ac:dyDescent="0.25">
      <c r="N14790" s="26"/>
    </row>
    <row r="14791" spans="14:14" x14ac:dyDescent="0.25">
      <c r="N14791" s="26"/>
    </row>
    <row r="14792" spans="14:14" x14ac:dyDescent="0.25">
      <c r="N14792" s="26"/>
    </row>
    <row r="14793" spans="14:14" x14ac:dyDescent="0.25">
      <c r="N14793" s="26"/>
    </row>
    <row r="14794" spans="14:14" x14ac:dyDescent="0.25">
      <c r="N14794" s="26"/>
    </row>
    <row r="14795" spans="14:14" x14ac:dyDescent="0.25">
      <c r="N14795" s="26"/>
    </row>
    <row r="14796" spans="14:14" x14ac:dyDescent="0.25">
      <c r="N14796" s="26"/>
    </row>
    <row r="14797" spans="14:14" x14ac:dyDescent="0.25">
      <c r="N14797" s="26"/>
    </row>
    <row r="14798" spans="14:14" x14ac:dyDescent="0.25">
      <c r="N14798" s="26"/>
    </row>
    <row r="14799" spans="14:14" x14ac:dyDescent="0.25">
      <c r="N14799" s="26"/>
    </row>
    <row r="14800" spans="14:14" x14ac:dyDescent="0.25">
      <c r="N14800" s="26"/>
    </row>
    <row r="14801" spans="14:14" x14ac:dyDescent="0.25">
      <c r="N14801" s="26"/>
    </row>
    <row r="14802" spans="14:14" x14ac:dyDescent="0.25">
      <c r="N14802" s="26"/>
    </row>
    <row r="14803" spans="14:14" x14ac:dyDescent="0.25">
      <c r="N14803" s="26"/>
    </row>
    <row r="14804" spans="14:14" x14ac:dyDescent="0.25">
      <c r="N14804" s="26"/>
    </row>
    <row r="14805" spans="14:14" x14ac:dyDescent="0.25">
      <c r="N14805" s="26"/>
    </row>
    <row r="14806" spans="14:14" x14ac:dyDescent="0.25">
      <c r="N14806" s="26"/>
    </row>
    <row r="14807" spans="14:14" x14ac:dyDescent="0.25">
      <c r="N14807" s="26"/>
    </row>
    <row r="14808" spans="14:14" x14ac:dyDescent="0.25">
      <c r="N14808" s="26"/>
    </row>
    <row r="14809" spans="14:14" x14ac:dyDescent="0.25">
      <c r="N14809" s="26"/>
    </row>
    <row r="14810" spans="14:14" x14ac:dyDescent="0.25">
      <c r="N14810" s="26"/>
    </row>
    <row r="14811" spans="14:14" x14ac:dyDescent="0.25">
      <c r="N14811" s="26"/>
    </row>
    <row r="14812" spans="14:14" x14ac:dyDescent="0.25">
      <c r="N14812" s="26"/>
    </row>
    <row r="14813" spans="14:14" x14ac:dyDescent="0.25">
      <c r="N14813" s="26"/>
    </row>
    <row r="14814" spans="14:14" x14ac:dyDescent="0.25">
      <c r="N14814" s="26"/>
    </row>
    <row r="14815" spans="14:14" x14ac:dyDescent="0.25">
      <c r="N14815" s="26"/>
    </row>
    <row r="14816" spans="14:14" x14ac:dyDescent="0.25">
      <c r="N14816" s="26"/>
    </row>
    <row r="14817" spans="14:14" x14ac:dyDescent="0.25">
      <c r="N14817" s="26"/>
    </row>
    <row r="14818" spans="14:14" x14ac:dyDescent="0.25">
      <c r="N14818" s="26"/>
    </row>
    <row r="14819" spans="14:14" x14ac:dyDescent="0.25">
      <c r="N14819" s="26"/>
    </row>
    <row r="14820" spans="14:14" x14ac:dyDescent="0.25">
      <c r="N14820" s="26"/>
    </row>
    <row r="14821" spans="14:14" x14ac:dyDescent="0.25">
      <c r="N14821" s="26"/>
    </row>
    <row r="14822" spans="14:14" x14ac:dyDescent="0.25">
      <c r="N14822" s="26"/>
    </row>
    <row r="14823" spans="14:14" x14ac:dyDescent="0.25">
      <c r="N14823" s="26"/>
    </row>
    <row r="14824" spans="14:14" x14ac:dyDescent="0.25">
      <c r="N14824" s="26"/>
    </row>
    <row r="14825" spans="14:14" x14ac:dyDescent="0.25">
      <c r="N14825" s="26"/>
    </row>
    <row r="14826" spans="14:14" x14ac:dyDescent="0.25">
      <c r="N14826" s="26"/>
    </row>
    <row r="14827" spans="14:14" x14ac:dyDescent="0.25">
      <c r="N14827" s="26"/>
    </row>
    <row r="14828" spans="14:14" x14ac:dyDescent="0.25">
      <c r="N14828" s="26"/>
    </row>
    <row r="14829" spans="14:14" x14ac:dyDescent="0.25">
      <c r="N14829" s="26"/>
    </row>
    <row r="14830" spans="14:14" x14ac:dyDescent="0.25">
      <c r="N14830" s="26"/>
    </row>
    <row r="14831" spans="14:14" x14ac:dyDescent="0.25">
      <c r="N14831" s="26"/>
    </row>
    <row r="14832" spans="14:14" x14ac:dyDescent="0.25">
      <c r="N14832" s="26"/>
    </row>
    <row r="14833" spans="14:14" x14ac:dyDescent="0.25">
      <c r="N14833" s="26"/>
    </row>
    <row r="14834" spans="14:14" x14ac:dyDescent="0.25">
      <c r="N14834" s="26"/>
    </row>
    <row r="14835" spans="14:14" x14ac:dyDescent="0.25">
      <c r="N14835" s="26"/>
    </row>
    <row r="14836" spans="14:14" x14ac:dyDescent="0.25">
      <c r="N14836" s="26"/>
    </row>
    <row r="14837" spans="14:14" x14ac:dyDescent="0.25">
      <c r="N14837" s="26"/>
    </row>
    <row r="14838" spans="14:14" x14ac:dyDescent="0.25">
      <c r="N14838" s="26"/>
    </row>
    <row r="14839" spans="14:14" x14ac:dyDescent="0.25">
      <c r="N14839" s="26"/>
    </row>
    <row r="14840" spans="14:14" x14ac:dyDescent="0.25">
      <c r="N14840" s="26"/>
    </row>
    <row r="14841" spans="14:14" x14ac:dyDescent="0.25">
      <c r="N14841" s="26"/>
    </row>
    <row r="14842" spans="14:14" x14ac:dyDescent="0.25">
      <c r="N14842" s="26"/>
    </row>
    <row r="14843" spans="14:14" x14ac:dyDescent="0.25">
      <c r="N14843" s="26"/>
    </row>
    <row r="14844" spans="14:14" x14ac:dyDescent="0.25">
      <c r="N14844" s="26"/>
    </row>
    <row r="14845" spans="14:14" x14ac:dyDescent="0.25">
      <c r="N14845" s="26"/>
    </row>
    <row r="14846" spans="14:14" x14ac:dyDescent="0.25">
      <c r="N14846" s="26"/>
    </row>
    <row r="14847" spans="14:14" x14ac:dyDescent="0.25">
      <c r="N14847" s="26"/>
    </row>
    <row r="14848" spans="14:14" x14ac:dyDescent="0.25">
      <c r="N14848" s="26"/>
    </row>
    <row r="14849" spans="14:14" x14ac:dyDescent="0.25">
      <c r="N14849" s="26"/>
    </row>
    <row r="14850" spans="14:14" x14ac:dyDescent="0.25">
      <c r="N14850" s="26"/>
    </row>
    <row r="14851" spans="14:14" x14ac:dyDescent="0.25">
      <c r="N14851" s="26"/>
    </row>
    <row r="14852" spans="14:14" x14ac:dyDescent="0.25">
      <c r="N14852" s="26"/>
    </row>
    <row r="14853" spans="14:14" x14ac:dyDescent="0.25">
      <c r="N14853" s="26"/>
    </row>
    <row r="14854" spans="14:14" x14ac:dyDescent="0.25">
      <c r="N14854" s="26"/>
    </row>
    <row r="14855" spans="14:14" x14ac:dyDescent="0.25">
      <c r="N14855" s="26"/>
    </row>
    <row r="14856" spans="14:14" x14ac:dyDescent="0.25">
      <c r="N14856" s="26"/>
    </row>
    <row r="14857" spans="14:14" x14ac:dyDescent="0.25">
      <c r="N14857" s="26"/>
    </row>
    <row r="14858" spans="14:14" x14ac:dyDescent="0.25">
      <c r="N14858" s="26"/>
    </row>
    <row r="14859" spans="14:14" x14ac:dyDescent="0.25">
      <c r="N14859" s="26"/>
    </row>
    <row r="14860" spans="14:14" x14ac:dyDescent="0.25">
      <c r="N14860" s="26"/>
    </row>
    <row r="14861" spans="14:14" x14ac:dyDescent="0.25">
      <c r="N14861" s="26"/>
    </row>
    <row r="14862" spans="14:14" x14ac:dyDescent="0.25">
      <c r="N14862" s="26"/>
    </row>
    <row r="14863" spans="14:14" x14ac:dyDescent="0.25">
      <c r="N14863" s="26"/>
    </row>
    <row r="14864" spans="14:14" x14ac:dyDescent="0.25">
      <c r="N14864" s="26"/>
    </row>
    <row r="14865" spans="14:14" x14ac:dyDescent="0.25">
      <c r="N14865" s="26"/>
    </row>
    <row r="14866" spans="14:14" x14ac:dyDescent="0.25">
      <c r="N14866" s="26"/>
    </row>
    <row r="14867" spans="14:14" x14ac:dyDescent="0.25">
      <c r="N14867" s="26"/>
    </row>
    <row r="14868" spans="14:14" x14ac:dyDescent="0.25">
      <c r="N14868" s="26"/>
    </row>
    <row r="14869" spans="14:14" x14ac:dyDescent="0.25">
      <c r="N14869" s="26"/>
    </row>
    <row r="14870" spans="14:14" x14ac:dyDescent="0.25">
      <c r="N14870" s="26"/>
    </row>
    <row r="14871" spans="14:14" x14ac:dyDescent="0.25">
      <c r="N14871" s="26"/>
    </row>
    <row r="14872" spans="14:14" x14ac:dyDescent="0.25">
      <c r="N14872" s="26"/>
    </row>
    <row r="14873" spans="14:14" x14ac:dyDescent="0.25">
      <c r="N14873" s="26"/>
    </row>
    <row r="14874" spans="14:14" x14ac:dyDescent="0.25">
      <c r="N14874" s="26"/>
    </row>
    <row r="14875" spans="14:14" x14ac:dyDescent="0.25">
      <c r="N14875" s="26"/>
    </row>
    <row r="14876" spans="14:14" x14ac:dyDescent="0.25">
      <c r="N14876" s="26"/>
    </row>
    <row r="14877" spans="14:14" x14ac:dyDescent="0.25">
      <c r="N14877" s="26"/>
    </row>
    <row r="14878" spans="14:14" x14ac:dyDescent="0.25">
      <c r="N14878" s="26"/>
    </row>
    <row r="14879" spans="14:14" x14ac:dyDescent="0.25">
      <c r="N14879" s="26"/>
    </row>
    <row r="14880" spans="14:14" x14ac:dyDescent="0.25">
      <c r="N14880" s="26"/>
    </row>
    <row r="14881" spans="14:14" x14ac:dyDescent="0.25">
      <c r="N14881" s="26"/>
    </row>
    <row r="14882" spans="14:14" x14ac:dyDescent="0.25">
      <c r="N14882" s="26"/>
    </row>
    <row r="14883" spans="14:14" x14ac:dyDescent="0.25">
      <c r="N14883" s="26"/>
    </row>
    <row r="14884" spans="14:14" x14ac:dyDescent="0.25">
      <c r="N14884" s="26"/>
    </row>
    <row r="14885" spans="14:14" x14ac:dyDescent="0.25">
      <c r="N14885" s="26"/>
    </row>
    <row r="14886" spans="14:14" x14ac:dyDescent="0.25">
      <c r="N14886" s="26"/>
    </row>
    <row r="14887" spans="14:14" x14ac:dyDescent="0.25">
      <c r="N14887" s="26"/>
    </row>
    <row r="14888" spans="14:14" x14ac:dyDescent="0.25">
      <c r="N14888" s="26"/>
    </row>
    <row r="14889" spans="14:14" x14ac:dyDescent="0.25">
      <c r="N14889" s="26"/>
    </row>
    <row r="14890" spans="14:14" x14ac:dyDescent="0.25">
      <c r="N14890" s="26"/>
    </row>
    <row r="14891" spans="14:14" x14ac:dyDescent="0.25">
      <c r="N14891" s="26"/>
    </row>
    <row r="14892" spans="14:14" x14ac:dyDescent="0.25">
      <c r="N14892" s="26"/>
    </row>
    <row r="14893" spans="14:14" x14ac:dyDescent="0.25">
      <c r="N14893" s="26"/>
    </row>
    <row r="14894" spans="14:14" x14ac:dyDescent="0.25">
      <c r="N14894" s="26"/>
    </row>
    <row r="14895" spans="14:14" x14ac:dyDescent="0.25">
      <c r="N14895" s="26"/>
    </row>
    <row r="14896" spans="14:14" x14ac:dyDescent="0.25">
      <c r="N14896" s="26"/>
    </row>
    <row r="14897" spans="14:14" x14ac:dyDescent="0.25">
      <c r="N14897" s="26"/>
    </row>
    <row r="14898" spans="14:14" x14ac:dyDescent="0.25">
      <c r="N14898" s="26"/>
    </row>
    <row r="14899" spans="14:14" x14ac:dyDescent="0.25">
      <c r="N14899" s="26"/>
    </row>
    <row r="14900" spans="14:14" x14ac:dyDescent="0.25">
      <c r="N14900" s="26"/>
    </row>
    <row r="14901" spans="14:14" x14ac:dyDescent="0.25">
      <c r="N14901" s="26"/>
    </row>
    <row r="14902" spans="14:14" x14ac:dyDescent="0.25">
      <c r="N14902" s="26"/>
    </row>
    <row r="14903" spans="14:14" x14ac:dyDescent="0.25">
      <c r="N14903" s="26"/>
    </row>
    <row r="14904" spans="14:14" x14ac:dyDescent="0.25">
      <c r="N14904" s="26"/>
    </row>
    <row r="14905" spans="14:14" x14ac:dyDescent="0.25">
      <c r="N14905" s="26"/>
    </row>
    <row r="14906" spans="14:14" x14ac:dyDescent="0.25">
      <c r="N14906" s="26"/>
    </row>
    <row r="14907" spans="14:14" x14ac:dyDescent="0.25">
      <c r="N14907" s="26"/>
    </row>
    <row r="14908" spans="14:14" x14ac:dyDescent="0.25">
      <c r="N14908" s="26"/>
    </row>
    <row r="14909" spans="14:14" x14ac:dyDescent="0.25">
      <c r="N14909" s="26"/>
    </row>
    <row r="14910" spans="14:14" x14ac:dyDescent="0.25">
      <c r="N14910" s="26"/>
    </row>
    <row r="14911" spans="14:14" x14ac:dyDescent="0.25">
      <c r="N14911" s="26"/>
    </row>
    <row r="14912" spans="14:14" x14ac:dyDescent="0.25">
      <c r="N14912" s="26"/>
    </row>
    <row r="14913" spans="14:14" x14ac:dyDescent="0.25">
      <c r="N14913" s="26"/>
    </row>
    <row r="14914" spans="14:14" x14ac:dyDescent="0.25">
      <c r="N14914" s="26"/>
    </row>
    <row r="14915" spans="14:14" x14ac:dyDescent="0.25">
      <c r="N14915" s="26"/>
    </row>
    <row r="14916" spans="14:14" x14ac:dyDescent="0.25">
      <c r="N14916" s="26"/>
    </row>
    <row r="14917" spans="14:14" x14ac:dyDescent="0.25">
      <c r="N14917" s="26"/>
    </row>
    <row r="14918" spans="14:14" x14ac:dyDescent="0.25">
      <c r="N14918" s="26"/>
    </row>
    <row r="14919" spans="14:14" x14ac:dyDescent="0.25">
      <c r="N14919" s="26"/>
    </row>
    <row r="14920" spans="14:14" x14ac:dyDescent="0.25">
      <c r="N14920" s="26"/>
    </row>
    <row r="14921" spans="14:14" x14ac:dyDescent="0.25">
      <c r="N14921" s="26"/>
    </row>
    <row r="14922" spans="14:14" x14ac:dyDescent="0.25">
      <c r="N14922" s="26"/>
    </row>
    <row r="14923" spans="14:14" x14ac:dyDescent="0.25">
      <c r="N14923" s="26"/>
    </row>
    <row r="14924" spans="14:14" x14ac:dyDescent="0.25">
      <c r="N14924" s="26"/>
    </row>
    <row r="14925" spans="14:14" x14ac:dyDescent="0.25">
      <c r="N14925" s="26"/>
    </row>
    <row r="14926" spans="14:14" x14ac:dyDescent="0.25">
      <c r="N14926" s="26"/>
    </row>
    <row r="14927" spans="14:14" x14ac:dyDescent="0.25">
      <c r="N14927" s="26"/>
    </row>
    <row r="14928" spans="14:14" x14ac:dyDescent="0.25">
      <c r="N14928" s="26"/>
    </row>
    <row r="14929" spans="14:14" x14ac:dyDescent="0.25">
      <c r="N14929" s="26"/>
    </row>
    <row r="14930" spans="14:14" x14ac:dyDescent="0.25">
      <c r="N14930" s="26"/>
    </row>
    <row r="14931" spans="14:14" x14ac:dyDescent="0.25">
      <c r="N14931" s="26"/>
    </row>
    <row r="14932" spans="14:14" x14ac:dyDescent="0.25">
      <c r="N14932" s="26"/>
    </row>
    <row r="14933" spans="14:14" x14ac:dyDescent="0.25">
      <c r="N14933" s="26"/>
    </row>
    <row r="14934" spans="14:14" x14ac:dyDescent="0.25">
      <c r="N14934" s="26"/>
    </row>
    <row r="14935" spans="14:14" x14ac:dyDescent="0.25">
      <c r="N14935" s="26"/>
    </row>
    <row r="14936" spans="14:14" x14ac:dyDescent="0.25">
      <c r="N14936" s="26"/>
    </row>
    <row r="14937" spans="14:14" x14ac:dyDescent="0.25">
      <c r="N14937" s="26"/>
    </row>
    <row r="14938" spans="14:14" x14ac:dyDescent="0.25">
      <c r="N14938" s="26"/>
    </row>
    <row r="14939" spans="14:14" x14ac:dyDescent="0.25">
      <c r="N14939" s="26"/>
    </row>
    <row r="14940" spans="14:14" x14ac:dyDescent="0.25">
      <c r="N14940" s="26"/>
    </row>
    <row r="14941" spans="14:14" x14ac:dyDescent="0.25">
      <c r="N14941" s="26"/>
    </row>
    <row r="14942" spans="14:14" x14ac:dyDescent="0.25">
      <c r="N14942" s="26"/>
    </row>
    <row r="14943" spans="14:14" x14ac:dyDescent="0.25">
      <c r="N14943" s="26"/>
    </row>
    <row r="14944" spans="14:14" x14ac:dyDescent="0.25">
      <c r="N14944" s="26"/>
    </row>
    <row r="14945" spans="14:14" x14ac:dyDescent="0.25">
      <c r="N14945" s="26"/>
    </row>
    <row r="14946" spans="14:14" x14ac:dyDescent="0.25">
      <c r="N14946" s="26"/>
    </row>
    <row r="14947" spans="14:14" x14ac:dyDescent="0.25">
      <c r="N14947" s="26"/>
    </row>
    <row r="14948" spans="14:14" x14ac:dyDescent="0.25">
      <c r="N14948" s="26"/>
    </row>
    <row r="14949" spans="14:14" x14ac:dyDescent="0.25">
      <c r="N14949" s="26"/>
    </row>
    <row r="14950" spans="14:14" x14ac:dyDescent="0.25">
      <c r="N14950" s="26"/>
    </row>
    <row r="14951" spans="14:14" x14ac:dyDescent="0.25">
      <c r="N14951" s="26"/>
    </row>
    <row r="14952" spans="14:14" x14ac:dyDescent="0.25">
      <c r="N14952" s="26"/>
    </row>
    <row r="14953" spans="14:14" x14ac:dyDescent="0.25">
      <c r="N14953" s="26"/>
    </row>
    <row r="14954" spans="14:14" x14ac:dyDescent="0.25">
      <c r="N14954" s="26"/>
    </row>
    <row r="14955" spans="14:14" x14ac:dyDescent="0.25">
      <c r="N14955" s="26"/>
    </row>
    <row r="14956" spans="14:14" x14ac:dyDescent="0.25">
      <c r="N14956" s="26"/>
    </row>
    <row r="14957" spans="14:14" x14ac:dyDescent="0.25">
      <c r="N14957" s="26"/>
    </row>
    <row r="14958" spans="14:14" x14ac:dyDescent="0.25">
      <c r="N14958" s="26"/>
    </row>
    <row r="14959" spans="14:14" x14ac:dyDescent="0.25">
      <c r="N14959" s="26"/>
    </row>
    <row r="14960" spans="14:14" x14ac:dyDescent="0.25">
      <c r="N14960" s="26"/>
    </row>
    <row r="14961" spans="14:14" x14ac:dyDescent="0.25">
      <c r="N14961" s="26"/>
    </row>
    <row r="14962" spans="14:14" x14ac:dyDescent="0.25">
      <c r="N14962" s="26"/>
    </row>
    <row r="14963" spans="14:14" x14ac:dyDescent="0.25">
      <c r="N14963" s="26"/>
    </row>
    <row r="14964" spans="14:14" x14ac:dyDescent="0.25">
      <c r="N14964" s="26"/>
    </row>
    <row r="14965" spans="14:14" x14ac:dyDescent="0.25">
      <c r="N14965" s="26"/>
    </row>
    <row r="14966" spans="14:14" x14ac:dyDescent="0.25">
      <c r="N14966" s="26"/>
    </row>
    <row r="14967" spans="14:14" x14ac:dyDescent="0.25">
      <c r="N14967" s="26"/>
    </row>
    <row r="14968" spans="14:14" x14ac:dyDescent="0.25">
      <c r="N14968" s="26"/>
    </row>
    <row r="14969" spans="14:14" x14ac:dyDescent="0.25">
      <c r="N14969" s="26"/>
    </row>
    <row r="14970" spans="14:14" x14ac:dyDescent="0.25">
      <c r="N14970" s="26"/>
    </row>
    <row r="14971" spans="14:14" x14ac:dyDescent="0.25">
      <c r="N14971" s="26"/>
    </row>
    <row r="14972" spans="14:14" x14ac:dyDescent="0.25">
      <c r="N14972" s="26"/>
    </row>
    <row r="14973" spans="14:14" x14ac:dyDescent="0.25">
      <c r="N14973" s="26"/>
    </row>
    <row r="14974" spans="14:14" x14ac:dyDescent="0.25">
      <c r="N14974" s="26"/>
    </row>
    <row r="14975" spans="14:14" x14ac:dyDescent="0.25">
      <c r="N14975" s="26"/>
    </row>
    <row r="14976" spans="14:14" x14ac:dyDescent="0.25">
      <c r="N14976" s="26"/>
    </row>
    <row r="14977" spans="14:14" x14ac:dyDescent="0.25">
      <c r="N14977" s="26"/>
    </row>
    <row r="14978" spans="14:14" x14ac:dyDescent="0.25">
      <c r="N14978" s="26"/>
    </row>
    <row r="14979" spans="14:14" x14ac:dyDescent="0.25">
      <c r="N14979" s="26"/>
    </row>
    <row r="14980" spans="14:14" x14ac:dyDescent="0.25">
      <c r="N14980" s="26"/>
    </row>
    <row r="14981" spans="14:14" x14ac:dyDescent="0.25">
      <c r="N14981" s="26"/>
    </row>
    <row r="14982" spans="14:14" x14ac:dyDescent="0.25">
      <c r="N14982" s="26"/>
    </row>
    <row r="14983" spans="14:14" x14ac:dyDescent="0.25">
      <c r="N14983" s="26"/>
    </row>
    <row r="14984" spans="14:14" x14ac:dyDescent="0.25">
      <c r="N14984" s="26"/>
    </row>
    <row r="14985" spans="14:14" x14ac:dyDescent="0.25">
      <c r="N14985" s="26"/>
    </row>
    <row r="14986" spans="14:14" x14ac:dyDescent="0.25">
      <c r="N14986" s="26"/>
    </row>
    <row r="14987" spans="14:14" x14ac:dyDescent="0.25">
      <c r="N14987" s="26"/>
    </row>
    <row r="14988" spans="14:14" x14ac:dyDescent="0.25">
      <c r="N14988" s="26"/>
    </row>
    <row r="14989" spans="14:14" x14ac:dyDescent="0.25">
      <c r="N14989" s="26"/>
    </row>
    <row r="14990" spans="14:14" x14ac:dyDescent="0.25">
      <c r="N14990" s="26"/>
    </row>
    <row r="14991" spans="14:14" x14ac:dyDescent="0.25">
      <c r="N14991" s="26"/>
    </row>
    <row r="14992" spans="14:14" x14ac:dyDescent="0.25">
      <c r="N14992" s="26"/>
    </row>
    <row r="14993" spans="10:14" x14ac:dyDescent="0.25">
      <c r="N14993" s="26"/>
    </row>
    <row r="14994" spans="10:14" x14ac:dyDescent="0.25">
      <c r="N14994" s="26"/>
    </row>
    <row r="14995" spans="10:14" x14ac:dyDescent="0.25">
      <c r="N14995" s="26"/>
    </row>
    <row r="14996" spans="10:14" x14ac:dyDescent="0.25">
      <c r="N14996" s="26"/>
    </row>
    <row r="14997" spans="10:14" x14ac:dyDescent="0.25">
      <c r="N14997" s="26"/>
    </row>
    <row r="14998" spans="10:14" x14ac:dyDescent="0.25">
      <c r="N14998" s="26"/>
    </row>
    <row r="14999" spans="10:14" x14ac:dyDescent="0.25">
      <c r="N14999" s="26"/>
    </row>
    <row r="15000" spans="10:14" x14ac:dyDescent="0.25">
      <c r="N15000" s="26"/>
    </row>
    <row r="15001" spans="10:14" x14ac:dyDescent="0.25">
      <c r="J15001" s="8">
        <v>-0.19126385635044518</v>
      </c>
      <c r="N15001" s="26"/>
    </row>
    <row r="15002" spans="10:14" x14ac:dyDescent="0.25">
      <c r="J15002" s="8">
        <v>-0.35775196653600383</v>
      </c>
      <c r="N15002" s="26"/>
    </row>
    <row r="15003" spans="10:14" x14ac:dyDescent="0.25">
      <c r="J15003" s="8">
        <v>0.11966000225698159</v>
      </c>
      <c r="N15003" s="26"/>
    </row>
    <row r="15004" spans="10:14" x14ac:dyDescent="0.25">
      <c r="J15004" s="8">
        <v>-0.32439637446170722</v>
      </c>
      <c r="N15004" s="26"/>
    </row>
    <row r="15005" spans="10:14" x14ac:dyDescent="0.25">
      <c r="J15005" s="8">
        <v>7.7077625567209873E-2</v>
      </c>
      <c r="N15005" s="26"/>
    </row>
    <row r="15006" spans="10:14" x14ac:dyDescent="0.25">
      <c r="J15006" s="8">
        <v>9.7617945449573362E-2</v>
      </c>
      <c r="N15006" s="26"/>
    </row>
    <row r="15007" spans="10:14" x14ac:dyDescent="0.25">
      <c r="J15007" s="8">
        <v>0.12243087643641615</v>
      </c>
      <c r="N15007" s="26"/>
    </row>
  </sheetData>
  <sortState xmlns:xlrd2="http://schemas.microsoft.com/office/spreadsheetml/2017/richdata2" ref="F7:G46">
    <sortCondition ref="G6"/>
  </sortState>
  <mergeCells count="2">
    <mergeCell ref="A1:H1"/>
    <mergeCell ref="J1:N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andomizeit">
                <anchor moveWithCells="1" sizeWithCells="1">
                  <from>
                    <xdr:col>14</xdr:col>
                    <xdr:colOff>304800</xdr:colOff>
                    <xdr:row>28</xdr:row>
                    <xdr:rowOff>99060</xdr:rowOff>
                  </from>
                  <to>
                    <xdr:col>17</xdr:col>
                    <xdr:colOff>556260</xdr:colOff>
                    <xdr:row>34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8</vt:i4>
      </vt:variant>
    </vt:vector>
  </HeadingPairs>
  <TitlesOfParts>
    <vt:vector size="9" baseType="lpstr">
      <vt:lpstr>Sheet1</vt:lpstr>
      <vt:lpstr>elapsed</vt:lpstr>
      <vt:lpstr>ExchangeRand</vt:lpstr>
      <vt:lpstr>IndexRand</vt:lpstr>
      <vt:lpstr>InterestRand</vt:lpstr>
      <vt:lpstr>iterations</vt:lpstr>
      <vt:lpstr>meanreturn</vt:lpstr>
      <vt:lpstr>returndata</vt:lpstr>
      <vt:lpstr>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2024-11-12T11:55:12Z</dcterms:modified>
</cp:coreProperties>
</file>