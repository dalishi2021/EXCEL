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15\"/>
    </mc:Choice>
  </mc:AlternateContent>
  <xr:revisionPtr revIDLastSave="0" documentId="13_ncr:1_{1D547C87-F93D-4F9B-9CE1-20172EAD8902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5" i="1" l="1"/>
  <c r="B5" i="1"/>
  <c r="B8" i="1" s="1"/>
  <c r="G13" i="1"/>
  <c r="C6" i="1"/>
  <c r="C5" i="1"/>
  <c r="B6" i="1" l="1"/>
  <c r="F14" i="1" l="1"/>
  <c r="A8" i="1"/>
</calcChain>
</file>

<file path=xl/sharedStrings.xml><?xml version="1.0" encoding="utf-8"?>
<sst xmlns="http://schemas.openxmlformats.org/spreadsheetml/2006/main" count="6" uniqueCount="6">
  <si>
    <t xml:space="preserve">CALCULATING THE QUANTILES </t>
  </si>
  <si>
    <t>Mean</t>
  </si>
  <si>
    <t>Sigma</t>
  </si>
  <si>
    <t>Initial investment</t>
  </si>
  <si>
    <t>Cutoff</t>
  </si>
  <si>
    <t>&lt;-- =B5-B6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</si>
</sst>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"/>
  </numFmts>
  <fonts count="8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rgb="FFFF0000"/>
      <name val="等线"/>
      <family val="2"/>
      <charset val="134"/>
      <scheme val="minor"/>
    </font>
    <font>
      <b/>
      <sz val="14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color rgb="FFFF000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13">
    <xf numFmtId="0" fontId="0" fillId="0" borderId="0" xfId="0">
      <alignment vertical="center"/>
    </xf>
    <xf numFmtId="0" fontId="4" fillId="0" borderId="0" xfId="0" applyFont="1" applyAlignment="1">
      <alignment horizontal="center"/>
    </xf>
    <xf numFmtId="0" fontId="0" fillId="0" borderId="0" xfId="0" applyAlignment="1"/>
    <xf numFmtId="0" fontId="5" fillId="0" borderId="0" xfId="0" applyFont="1" applyAlignment="1"/>
    <xf numFmtId="9" fontId="5" fillId="0" borderId="0" xfId="0" applyNumberFormat="1" applyFont="1" applyAlignment="1"/>
    <xf numFmtId="176" fontId="5" fillId="0" borderId="0" xfId="0" applyNumberFormat="1" applyFont="1" applyAlignment="1"/>
    <xf numFmtId="10" fontId="5" fillId="0" borderId="0" xfId="1" applyNumberFormat="1" applyFont="1" applyAlignment="1"/>
    <xf numFmtId="10" fontId="0" fillId="0" borderId="0" xfId="0" applyNumberFormat="1" applyAlignment="1"/>
    <xf numFmtId="0" fontId="6" fillId="0" borderId="0" xfId="0" applyFont="1" applyAlignment="1"/>
    <xf numFmtId="9" fontId="0" fillId="0" borderId="0" xfId="0" applyNumberFormat="1" applyAlignment="1"/>
    <xf numFmtId="176" fontId="7" fillId="0" borderId="0" xfId="0" applyNumberFormat="1" applyFont="1" applyAlignment="1"/>
    <xf numFmtId="0" fontId="0" fillId="0" borderId="0" xfId="0" applyAlignment="1">
      <alignment horizontal="center"/>
    </xf>
    <xf numFmtId="0" fontId="3" fillId="0" borderId="0" xfId="0" applyFont="1" applyAlignment="1"/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altLang="zh-CN"/>
              <a:t>Cumulative Normal Distribution
(only part--so we can see the 1% quantile)</a:t>
            </a:r>
          </a:p>
        </c:rich>
      </c:tx>
      <c:layout>
        <c:manualLayout>
          <c:xMode val="edge"/>
          <c:yMode val="edge"/>
          <c:x val="0.15322635953840191"/>
          <c:y val="5.841958707271992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827999683666114"/>
          <c:y val="0.23711479458927506"/>
          <c:w val="0.81989543261776465"/>
          <c:h val="0.5257762836544793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dPt>
            <c:idx val="16"/>
            <c:marker>
              <c:symbol val="star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00-4377-4103-90EB-634F690F6A6B}"/>
              </c:ext>
            </c:extLst>
          </c:dPt>
          <c:xVal>
            <c:numRef>
              <c:f>Sheet1!$E$15:$E$42</c:f>
              <c:numCache>
                <c:formatCode>General</c:formatCode>
                <c:ptCount val="28"/>
                <c:pt idx="0">
                  <c:v>-20</c:v>
                </c:pt>
                <c:pt idx="1">
                  <c:v>-10</c:v>
                </c:pt>
                <c:pt idx="2">
                  <c:v>0</c:v>
                </c:pt>
                <c:pt idx="3">
                  <c:v>10</c:v>
                </c:pt>
                <c:pt idx="4">
                  <c:v>15</c:v>
                </c:pt>
                <c:pt idx="5">
                  <c:v>20</c:v>
                </c:pt>
                <c:pt idx="6">
                  <c:v>25</c:v>
                </c:pt>
                <c:pt idx="7">
                  <c:v>30</c:v>
                </c:pt>
                <c:pt idx="8">
                  <c:v>35</c:v>
                </c:pt>
                <c:pt idx="9">
                  <c:v>40</c:v>
                </c:pt>
                <c:pt idx="10">
                  <c:v>45</c:v>
                </c:pt>
                <c:pt idx="11">
                  <c:v>46</c:v>
                </c:pt>
                <c:pt idx="12">
                  <c:v>47</c:v>
                </c:pt>
                <c:pt idx="13">
                  <c:v>48</c:v>
                </c:pt>
                <c:pt idx="14">
                  <c:v>49</c:v>
                </c:pt>
                <c:pt idx="15">
                  <c:v>50</c:v>
                </c:pt>
                <c:pt idx="16">
                  <c:v>50.209739999999996</c:v>
                </c:pt>
                <c:pt idx="17">
                  <c:v>52</c:v>
                </c:pt>
                <c:pt idx="18">
                  <c:v>53</c:v>
                </c:pt>
                <c:pt idx="19">
                  <c:v>54</c:v>
                </c:pt>
                <c:pt idx="20">
                  <c:v>55</c:v>
                </c:pt>
                <c:pt idx="21">
                  <c:v>56</c:v>
                </c:pt>
                <c:pt idx="22">
                  <c:v>57</c:v>
                </c:pt>
                <c:pt idx="23">
                  <c:v>58</c:v>
                </c:pt>
                <c:pt idx="24">
                  <c:v>59</c:v>
                </c:pt>
                <c:pt idx="25">
                  <c:v>60</c:v>
                </c:pt>
                <c:pt idx="26">
                  <c:v>61</c:v>
                </c:pt>
                <c:pt idx="27">
                  <c:v>62</c:v>
                </c:pt>
              </c:numCache>
            </c:numRef>
          </c:xVal>
          <c:yVal>
            <c:numRef>
              <c:f>Sheet1!$F$15:$F$42</c:f>
              <c:numCache>
                <c:formatCode>General</c:formatCode>
                <c:ptCount val="28"/>
                <c:pt idx="0">
                  <c:v>1.530626736531063E-6</c:v>
                </c:pt>
                <c:pt idx="1">
                  <c:v>7.3434238368946899E-6</c:v>
                </c:pt>
                <c:pt idx="2">
                  <c:v>3.1671241833119857E-5</c:v>
                </c:pt>
                <c:pt idx="3">
                  <c:v>1.228663899651522E-4</c:v>
                </c:pt>
                <c:pt idx="4">
                  <c:v>2.3262907903552504E-4</c:v>
                </c:pt>
                <c:pt idx="5">
                  <c:v>4.2906033319683703E-4</c:v>
                </c:pt>
                <c:pt idx="6">
                  <c:v>7.7098478446997558E-4</c:v>
                </c:pt>
                <c:pt idx="7">
                  <c:v>1.3498980316300933E-3</c:v>
                </c:pt>
                <c:pt idx="8">
                  <c:v>2.3032661316958821E-3</c:v>
                </c:pt>
                <c:pt idx="9">
                  <c:v>3.8303805675897356E-3</c:v>
                </c:pt>
                <c:pt idx="10">
                  <c:v>6.2096653257761331E-3</c:v>
                </c:pt>
                <c:pt idx="11">
                  <c:v>6.8188622701760961E-3</c:v>
                </c:pt>
                <c:pt idx="12">
                  <c:v>7.4802605603901283E-3</c:v>
                </c:pt>
                <c:pt idx="13">
                  <c:v>8.1975359245961311E-3</c:v>
                </c:pt>
                <c:pt idx="14">
                  <c:v>8.9745452957830183E-3</c:v>
                </c:pt>
                <c:pt idx="15">
                  <c:v>9.8153286286453353E-3</c:v>
                </c:pt>
                <c:pt idx="16">
                  <c:v>1.0000156556841475E-2</c:v>
                </c:pt>
                <c:pt idx="17">
                  <c:v>1.1705298080558344E-2</c:v>
                </c:pt>
                <c:pt idx="18">
                  <c:v>1.2763485458978322E-2</c:v>
                </c:pt>
                <c:pt idx="19">
                  <c:v>1.3903447513498597E-2</c:v>
                </c:pt>
                <c:pt idx="20">
                  <c:v>1.5130140010235814E-2</c:v>
                </c:pt>
                <c:pt idx="21">
                  <c:v>1.6448695822745323E-2</c:v>
                </c:pt>
                <c:pt idx="22">
                  <c:v>1.7864420562816546E-2</c:v>
                </c:pt>
                <c:pt idx="23">
                  <c:v>1.9382787088818593E-2</c:v>
                </c:pt>
                <c:pt idx="24">
                  <c:v>2.1009428839842793E-2</c:v>
                </c:pt>
                <c:pt idx="25">
                  <c:v>2.2750131948179191E-2</c:v>
                </c:pt>
                <c:pt idx="26">
                  <c:v>2.4610826087650108E-2</c:v>
                </c:pt>
                <c:pt idx="27">
                  <c:v>2.6597574021009637E-2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377-4103-90EB-634F690F6A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0572120"/>
        <c:axId val="1"/>
      </c:scatterChart>
      <c:valAx>
        <c:axId val="660572120"/>
        <c:scaling>
          <c:orientation val="minMax"/>
          <c:max val="65"/>
          <c:min val="-20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Portfolio value (million $)</a:t>
                </a:r>
              </a:p>
            </c:rich>
          </c:tx>
          <c:layout>
            <c:manualLayout>
              <c:xMode val="edge"/>
              <c:yMode val="edge"/>
              <c:x val="0.3387109000322569"/>
              <c:y val="0.9003489301795659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 val="autoZero"/>
        <c:crossBetween val="midCat"/>
        <c:majorUnit val="5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Probability</a:t>
                </a:r>
              </a:p>
            </c:rich>
          </c:tx>
          <c:layout>
            <c:manualLayout>
              <c:xMode val="edge"/>
              <c:yMode val="edge"/>
              <c:x val="0.14516181429953864"/>
              <c:y val="0.34020818354113375"/>
            </c:manualLayout>
          </c:layout>
          <c:overlay val="0"/>
          <c:spPr>
            <a:noFill/>
            <a:ln w="25400">
              <a:noFill/>
            </a:ln>
          </c:spPr>
        </c:title>
        <c:numFmt formatCode="0.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660572120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 orientation="landscape" verticalDpi="0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236220</xdr:colOff>
      <xdr:row>8</xdr:row>
      <xdr:rowOff>76200</xdr:rowOff>
    </xdr:from>
    <xdr:to>
      <xdr:col>2</xdr:col>
      <xdr:colOff>1973580</xdr:colOff>
      <xdr:row>24</xdr:row>
      <xdr:rowOff>106680</xdr:rowOff>
    </xdr:to>
    <xdr:graphicFrame macro="">
      <xdr:nvGraphicFramePr>
        <xdr:cNvPr id="2" name="图表 3">
          <a:extLst>
            <a:ext uri="{FF2B5EF4-FFF2-40B4-BE49-F238E27FC236}">
              <a16:creationId xmlns:a16="http://schemas.microsoft.com/office/drawing/2014/main" id="{844D01A9-63B7-4853-A14C-C8EE5EB6E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967740</xdr:colOff>
      <xdr:row>17</xdr:row>
      <xdr:rowOff>76200</xdr:rowOff>
    </xdr:from>
    <xdr:to>
      <xdr:col>2</xdr:col>
      <xdr:colOff>1295400</xdr:colOff>
      <xdr:row>18</xdr:row>
      <xdr:rowOff>53340</xdr:rowOff>
    </xdr:to>
    <xdr:sp macro="" textlink="">
      <xdr:nvSpPr>
        <xdr:cNvPr id="3" name="Line 4">
          <a:extLst>
            <a:ext uri="{FF2B5EF4-FFF2-40B4-BE49-F238E27FC236}">
              <a16:creationId xmlns:a16="http://schemas.microsoft.com/office/drawing/2014/main" id="{D3B64F3D-2051-4AA2-8719-B1DA76117FE6}"/>
            </a:ext>
          </a:extLst>
        </xdr:cNvPr>
        <xdr:cNvSpPr>
          <a:spLocks noChangeShapeType="1"/>
        </xdr:cNvSpPr>
      </xdr:nvSpPr>
      <xdr:spPr bwMode="auto">
        <a:xfrm>
          <a:off x="2781300" y="3038475"/>
          <a:ext cx="323850" cy="152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327660</xdr:colOff>
      <xdr:row>16</xdr:row>
      <xdr:rowOff>53340</xdr:rowOff>
    </xdr:from>
    <xdr:to>
      <xdr:col>2</xdr:col>
      <xdr:colOff>1226820</xdr:colOff>
      <xdr:row>17</xdr:row>
      <xdr:rowOff>53340</xdr:rowOff>
    </xdr:to>
    <xdr:sp macro="" textlink="">
      <xdr:nvSpPr>
        <xdr:cNvPr id="4" name="Text Box 5">
          <a:extLst>
            <a:ext uri="{FF2B5EF4-FFF2-40B4-BE49-F238E27FC236}">
              <a16:creationId xmlns:a16="http://schemas.microsoft.com/office/drawing/2014/main" id="{A3CBAA2D-568B-4677-BA3F-64B0A195FCFB}"/>
            </a:ext>
          </a:extLst>
        </xdr:cNvPr>
        <xdr:cNvSpPr txBox="1">
          <a:spLocks noChangeArrowheads="1"/>
        </xdr:cNvSpPr>
      </xdr:nvSpPr>
      <xdr:spPr bwMode="auto">
        <a:xfrm>
          <a:off x="2133600" y="2847975"/>
          <a:ext cx="904875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1% quantile point</a:t>
          </a:r>
        </a:p>
      </xdr:txBody>
    </xdr:sp>
    <xdr:clientData/>
  </xdr:twoCellAnchor>
  <xdr:twoCellAnchor>
    <xdr:from>
      <xdr:col>2</xdr:col>
      <xdr:colOff>1341120</xdr:colOff>
      <xdr:row>18</xdr:row>
      <xdr:rowOff>114300</xdr:rowOff>
    </xdr:from>
    <xdr:to>
      <xdr:col>2</xdr:col>
      <xdr:colOff>1341120</xdr:colOff>
      <xdr:row>21</xdr:row>
      <xdr:rowOff>106680</xdr:rowOff>
    </xdr:to>
    <xdr:sp macro="" textlink="">
      <xdr:nvSpPr>
        <xdr:cNvPr id="5" name="Line 7">
          <a:extLst>
            <a:ext uri="{FF2B5EF4-FFF2-40B4-BE49-F238E27FC236}">
              <a16:creationId xmlns:a16="http://schemas.microsoft.com/office/drawing/2014/main" id="{0024A29D-348F-4E84-AF88-F1E29DB9A6D5}"/>
            </a:ext>
          </a:extLst>
        </xdr:cNvPr>
        <xdr:cNvSpPr>
          <a:spLocks noChangeShapeType="1"/>
        </xdr:cNvSpPr>
      </xdr:nvSpPr>
      <xdr:spPr bwMode="auto">
        <a:xfrm>
          <a:off x="3152775" y="3248025"/>
          <a:ext cx="0" cy="5048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</xdr:col>
      <xdr:colOff>541020</xdr:colOff>
      <xdr:row>3</xdr:row>
      <xdr:rowOff>45720</xdr:rowOff>
    </xdr:from>
    <xdr:to>
      <xdr:col>21</xdr:col>
      <xdr:colOff>59055</xdr:colOff>
      <xdr:row>45</xdr:row>
      <xdr:rowOff>114300</xdr:rowOff>
    </xdr:to>
    <xdr:pic>
      <xdr:nvPicPr>
        <xdr:cNvPr id="6" name="图片 5">
          <a:extLst>
            <a:ext uri="{FF2B5EF4-FFF2-40B4-BE49-F238E27FC236}">
              <a16:creationId xmlns:a16="http://schemas.microsoft.com/office/drawing/2014/main" id="{EE5F787D-AE05-4711-DB4E-B1D5298324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8595360" y="617220"/>
          <a:ext cx="8061960" cy="74295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15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15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398"/>
      <sheetName val="Page 398（中文）"/>
      <sheetName val="Page 400"/>
      <sheetName val="Page 400（中文）"/>
      <sheetName val="Page 401"/>
      <sheetName val="Page 401（中文）"/>
      <sheetName val="Page 402"/>
      <sheetName val="Page 402（中文）"/>
      <sheetName val="Page 404"/>
      <sheetName val="Page 404（中文）"/>
      <sheetName val="Page 405, top"/>
      <sheetName val="Page 405, top（中文）"/>
      <sheetName val="Page 405, bottom"/>
      <sheetName val="Page 405, bottom（中文）"/>
      <sheetName val="Page 406-7"/>
      <sheetName val="Page 406-7（中文）"/>
      <sheetName val="Page 410"/>
      <sheetName val="Page 410（中文）"/>
      <sheetName val="Page 411"/>
      <sheetName val="Page 411（中文）"/>
      <sheetName val="Page 412"/>
      <sheetName val="Page 412（中文）"/>
      <sheetName val="Page 414"/>
      <sheetName val="Page 414（中文）"/>
      <sheetName val="Page 417"/>
      <sheetName val="Page 417（中文）"/>
    </sheetNames>
    <sheetDataSet>
      <sheetData sheetId="0">
        <row r="11">
          <cell r="A11">
            <v>0</v>
          </cell>
        </row>
      </sheetData>
      <sheetData sheetId="1" refreshError="1"/>
      <sheetData sheetId="2" refreshError="1"/>
      <sheetData sheetId="3" refreshError="1"/>
      <sheetData sheetId="4">
        <row r="15">
          <cell r="E15">
            <v>-20</v>
          </cell>
          <cell r="F15">
            <v>1.530626736531063E-6</v>
          </cell>
        </row>
        <row r="16">
          <cell r="E16">
            <v>-10</v>
          </cell>
          <cell r="F16">
            <v>7.3434238368946899E-6</v>
          </cell>
        </row>
        <row r="17">
          <cell r="E17">
            <v>0</v>
          </cell>
          <cell r="F17">
            <v>3.1671241833119857E-5</v>
          </cell>
        </row>
        <row r="18">
          <cell r="E18">
            <v>10</v>
          </cell>
          <cell r="F18">
            <v>1.228663899651522E-4</v>
          </cell>
        </row>
        <row r="19">
          <cell r="E19">
            <v>15</v>
          </cell>
          <cell r="F19">
            <v>2.3262907903552504E-4</v>
          </cell>
        </row>
        <row r="20">
          <cell r="E20">
            <v>20</v>
          </cell>
          <cell r="F20">
            <v>4.2906033319683703E-4</v>
          </cell>
        </row>
        <row r="21">
          <cell r="E21">
            <v>25</v>
          </cell>
          <cell r="F21">
            <v>7.7098478446997558E-4</v>
          </cell>
        </row>
        <row r="22">
          <cell r="E22">
            <v>30</v>
          </cell>
          <cell r="F22">
            <v>1.3498980316300933E-3</v>
          </cell>
        </row>
        <row r="23">
          <cell r="E23">
            <v>35</v>
          </cell>
          <cell r="F23">
            <v>2.3032661316958821E-3</v>
          </cell>
        </row>
        <row r="24">
          <cell r="E24">
            <v>40</v>
          </cell>
          <cell r="F24">
            <v>3.8303805675897356E-3</v>
          </cell>
        </row>
        <row r="25">
          <cell r="E25">
            <v>45</v>
          </cell>
          <cell r="F25">
            <v>6.2096653257761331E-3</v>
          </cell>
        </row>
        <row r="26">
          <cell r="E26">
            <v>46</v>
          </cell>
          <cell r="F26">
            <v>6.8188622701760961E-3</v>
          </cell>
        </row>
        <row r="27">
          <cell r="E27">
            <v>47</v>
          </cell>
          <cell r="F27">
            <v>7.4802605603901283E-3</v>
          </cell>
        </row>
        <row r="28">
          <cell r="E28">
            <v>48</v>
          </cell>
          <cell r="F28">
            <v>8.1975359245961311E-3</v>
          </cell>
        </row>
        <row r="29">
          <cell r="E29">
            <v>49</v>
          </cell>
          <cell r="F29">
            <v>8.9745452957830183E-3</v>
          </cell>
        </row>
        <row r="30">
          <cell r="E30">
            <v>50</v>
          </cell>
          <cell r="F30">
            <v>9.8153286286453353E-3</v>
          </cell>
        </row>
        <row r="31">
          <cell r="E31">
            <v>50.209739999999996</v>
          </cell>
          <cell r="F31">
            <v>1.0000156556841475E-2</v>
          </cell>
        </row>
        <row r="32">
          <cell r="E32">
            <v>52</v>
          </cell>
          <cell r="F32">
            <v>1.1705298080558344E-2</v>
          </cell>
        </row>
        <row r="33">
          <cell r="E33">
            <v>53</v>
          </cell>
          <cell r="F33">
            <v>1.2763485458978322E-2</v>
          </cell>
        </row>
        <row r="34">
          <cell r="E34">
            <v>54</v>
          </cell>
          <cell r="F34">
            <v>1.3903447513498597E-2</v>
          </cell>
        </row>
        <row r="35">
          <cell r="E35">
            <v>55</v>
          </cell>
          <cell r="F35">
            <v>1.5130140010235814E-2</v>
          </cell>
        </row>
        <row r="36">
          <cell r="E36">
            <v>56</v>
          </cell>
          <cell r="F36">
            <v>1.6448695822745323E-2</v>
          </cell>
        </row>
        <row r="37">
          <cell r="E37">
            <v>57</v>
          </cell>
          <cell r="F37">
            <v>1.7864420562816546E-2</v>
          </cell>
        </row>
        <row r="38">
          <cell r="E38">
            <v>58</v>
          </cell>
          <cell r="F38">
            <v>1.9382787088818593E-2</v>
          </cell>
        </row>
        <row r="39">
          <cell r="E39">
            <v>59</v>
          </cell>
          <cell r="F39">
            <v>2.1009428839842793E-2</v>
          </cell>
        </row>
        <row r="40">
          <cell r="E40">
            <v>60</v>
          </cell>
          <cell r="F40">
            <v>2.2750131948179191E-2</v>
          </cell>
        </row>
        <row r="41">
          <cell r="E41">
            <v>61</v>
          </cell>
          <cell r="F41">
            <v>2.4610826087650108E-2</v>
          </cell>
        </row>
        <row r="42">
          <cell r="E42">
            <v>62</v>
          </cell>
          <cell r="F42">
            <v>2.6597574021009637E-2</v>
          </cell>
        </row>
      </sheetData>
      <sheetData sheetId="5" refreshError="1"/>
      <sheetData sheetId="6"/>
      <sheetData sheetId="7" refreshError="1"/>
      <sheetData sheetId="8"/>
      <sheetData sheetId="9" refreshError="1"/>
      <sheetData sheetId="10"/>
      <sheetData sheetId="11" refreshError="1"/>
      <sheetData sheetId="12"/>
      <sheetData sheetId="13" refreshError="1"/>
      <sheetData sheetId="14">
        <row r="4">
          <cell r="X4" t="str">
            <v>Bootstrapped Return Frequency Distribution
5,000 Iterations</v>
          </cell>
        </row>
      </sheetData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:G42"/>
  <sheetViews>
    <sheetView tabSelected="1" topLeftCell="A2" zoomScale="145" zoomScaleNormal="145" workbookViewId="0">
      <selection activeCell="D20" sqref="D20"/>
    </sheetView>
  </sheetViews>
  <sheetFormatPr defaultRowHeight="13.8" x14ac:dyDescent="0.25"/>
  <cols>
    <col min="1" max="1" width="17.5546875" style="2" customWidth="1"/>
    <col min="2" max="2" width="8.88671875" style="2"/>
    <col min="3" max="3" width="40" style="2" bestFit="1" customWidth="1"/>
    <col min="4" max="6" width="8.88671875" style="2"/>
    <col min="7" max="7" width="28" style="2" bestFit="1" customWidth="1"/>
  </cols>
  <sheetData>
    <row r="1" spans="1:7" ht="17.399999999999999" x14ac:dyDescent="0.3">
      <c r="A1" s="1" t="s">
        <v>0</v>
      </c>
      <c r="B1" s="1"/>
      <c r="C1" s="1"/>
    </row>
    <row r="2" spans="1:7" x14ac:dyDescent="0.25">
      <c r="A2" s="3" t="s">
        <v>1</v>
      </c>
      <c r="B2" s="4">
        <v>0.2</v>
      </c>
      <c r="C2" s="3"/>
      <c r="D2" s="3"/>
    </row>
    <row r="3" spans="1:7" x14ac:dyDescent="0.25">
      <c r="A3" s="3" t="s">
        <v>2</v>
      </c>
      <c r="B3" s="4">
        <v>0.3</v>
      </c>
      <c r="C3" s="3"/>
      <c r="D3" s="3"/>
    </row>
    <row r="4" spans="1:7" x14ac:dyDescent="0.25">
      <c r="A4" s="3" t="s">
        <v>3</v>
      </c>
      <c r="B4" s="3">
        <v>100</v>
      </c>
      <c r="C4" s="3"/>
      <c r="D4" s="3"/>
    </row>
    <row r="5" spans="1:7" x14ac:dyDescent="0.25">
      <c r="A5" s="3" t="s">
        <v>4</v>
      </c>
      <c r="B5" s="10">
        <f>NORMINV(0.01,(1+B2)*B4,B4*B3)</f>
        <v>50.209563778774779</v>
      </c>
      <c r="C5" s="3" t="str">
        <f ca="1">[2]!getformula(B5)</f>
        <v>&lt;--  =NORMINV(0.01,(1+B2)*B4,B4*B3)</v>
      </c>
      <c r="D5" s="3"/>
    </row>
    <row r="6" spans="1:7" x14ac:dyDescent="0.25">
      <c r="A6" s="3"/>
      <c r="B6" s="6">
        <f>NORMDIST(B5,(1+B2)*B4,B4*B3,TRUE)</f>
        <v>9.9999999999999985E-3</v>
      </c>
      <c r="C6" s="3" t="str">
        <f ca="1">[2]!getformula(B6)</f>
        <v>&lt;--  =NORMDIST(B5,(1+B2)*B4,B4*B3,TRUE)</v>
      </c>
      <c r="D6" s="3"/>
    </row>
    <row r="8" spans="1:7" x14ac:dyDescent="0.25">
      <c r="A8" s="2" t="str">
        <f>"VaR at "&amp;TEXT(B6,"0.00%")&amp;" level"</f>
        <v>VaR at 1.00% level</v>
      </c>
      <c r="B8" s="5">
        <f>B4-B5</f>
        <v>49.790436221225221</v>
      </c>
      <c r="C8" s="3" t="s">
        <v>5</v>
      </c>
    </row>
    <row r="13" spans="1:7" x14ac:dyDescent="0.25">
      <c r="G13" s="11" t="str">
        <f ca="1">[2]!getformula(F14)&amp;" , data table header"</f>
        <v>&lt;--  =B6 , data table header</v>
      </c>
    </row>
    <row r="14" spans="1:7" x14ac:dyDescent="0.25">
      <c r="F14" s="7">
        <f>B6</f>
        <v>9.9999999999999985E-3</v>
      </c>
      <c r="G14" s="11"/>
    </row>
    <row r="15" spans="1:7" x14ac:dyDescent="0.25">
      <c r="E15" s="2">
        <f>-20</f>
        <v>-20</v>
      </c>
      <c r="F15" s="2">
        <f t="dataTable" ref="F15:F42" dt2D="0" dtr="0" r1="B5"/>
        <v>1.530626736531063E-6</v>
      </c>
    </row>
    <row r="16" spans="1:7" x14ac:dyDescent="0.25">
      <c r="A16" s="8"/>
      <c r="E16" s="2">
        <v>-10</v>
      </c>
      <c r="F16" s="2">
        <v>7.3434238368946899E-6</v>
      </c>
    </row>
    <row r="17" spans="2:6" x14ac:dyDescent="0.25">
      <c r="B17" s="9"/>
      <c r="E17" s="2">
        <v>0</v>
      </c>
      <c r="F17" s="2">
        <v>3.1671241833119857E-5</v>
      </c>
    </row>
    <row r="18" spans="2:6" x14ac:dyDescent="0.25">
      <c r="B18" s="9"/>
      <c r="E18" s="2">
        <v>10</v>
      </c>
      <c r="F18" s="2">
        <v>1.228663899651522E-4</v>
      </c>
    </row>
    <row r="19" spans="2:6" x14ac:dyDescent="0.25">
      <c r="E19" s="2">
        <v>15</v>
      </c>
      <c r="F19" s="2">
        <v>2.3262907903552504E-4</v>
      </c>
    </row>
    <row r="20" spans="2:6" x14ac:dyDescent="0.25">
      <c r="E20" s="2">
        <v>20</v>
      </c>
      <c r="F20" s="2">
        <v>4.2906033319683703E-4</v>
      </c>
    </row>
    <row r="21" spans="2:6" x14ac:dyDescent="0.25">
      <c r="E21" s="2">
        <v>25</v>
      </c>
      <c r="F21" s="2">
        <v>7.7098478446997558E-4</v>
      </c>
    </row>
    <row r="22" spans="2:6" x14ac:dyDescent="0.25">
      <c r="E22" s="2">
        <v>30</v>
      </c>
      <c r="F22" s="2">
        <v>1.3498980316300933E-3</v>
      </c>
    </row>
    <row r="23" spans="2:6" x14ac:dyDescent="0.25">
      <c r="E23" s="2">
        <v>35</v>
      </c>
      <c r="F23" s="2">
        <v>2.3032661316958821E-3</v>
      </c>
    </row>
    <row r="24" spans="2:6" x14ac:dyDescent="0.25">
      <c r="E24" s="2">
        <v>40</v>
      </c>
      <c r="F24" s="2">
        <v>3.8303805675897356E-3</v>
      </c>
    </row>
    <row r="25" spans="2:6" x14ac:dyDescent="0.25">
      <c r="E25" s="2">
        <v>45</v>
      </c>
      <c r="F25" s="2">
        <v>6.2096653257761331E-3</v>
      </c>
    </row>
    <row r="26" spans="2:6" x14ac:dyDescent="0.25">
      <c r="E26" s="2">
        <v>46</v>
      </c>
      <c r="F26" s="2">
        <v>6.8188622701760961E-3</v>
      </c>
    </row>
    <row r="27" spans="2:6" x14ac:dyDescent="0.25">
      <c r="E27" s="2">
        <v>47</v>
      </c>
      <c r="F27" s="2">
        <v>7.4802605603901283E-3</v>
      </c>
    </row>
    <row r="28" spans="2:6" x14ac:dyDescent="0.25">
      <c r="E28" s="2">
        <v>48</v>
      </c>
      <c r="F28" s="2">
        <v>8.1975359245961311E-3</v>
      </c>
    </row>
    <row r="29" spans="2:6" x14ac:dyDescent="0.25">
      <c r="E29" s="2">
        <v>49</v>
      </c>
      <c r="F29" s="2">
        <v>8.9745452957830183E-3</v>
      </c>
    </row>
    <row r="30" spans="2:6" x14ac:dyDescent="0.25">
      <c r="E30" s="2">
        <v>50</v>
      </c>
      <c r="F30" s="2">
        <v>9.8153286286453353E-3</v>
      </c>
    </row>
    <row r="31" spans="2:6" x14ac:dyDescent="0.25">
      <c r="E31" s="12">
        <v>50.209739999999996</v>
      </c>
      <c r="F31" s="12">
        <v>1.0000156556841475E-2</v>
      </c>
    </row>
    <row r="32" spans="2:6" x14ac:dyDescent="0.25">
      <c r="E32" s="2">
        <v>52</v>
      </c>
      <c r="F32" s="2">
        <v>1.1705298080558344E-2</v>
      </c>
    </row>
    <row r="33" spans="5:6" x14ac:dyDescent="0.25">
      <c r="E33" s="2">
        <v>53</v>
      </c>
      <c r="F33" s="2">
        <v>1.2763485458978322E-2</v>
      </c>
    </row>
    <row r="34" spans="5:6" x14ac:dyDescent="0.25">
      <c r="E34" s="2">
        <v>54</v>
      </c>
      <c r="F34" s="2">
        <v>1.3903447513498597E-2</v>
      </c>
    </row>
    <row r="35" spans="5:6" x14ac:dyDescent="0.25">
      <c r="E35" s="2">
        <v>55</v>
      </c>
      <c r="F35" s="2">
        <v>1.5130140010235814E-2</v>
      </c>
    </row>
    <row r="36" spans="5:6" x14ac:dyDescent="0.25">
      <c r="E36" s="2">
        <v>56</v>
      </c>
      <c r="F36" s="2">
        <v>1.6448695822745323E-2</v>
      </c>
    </row>
    <row r="37" spans="5:6" x14ac:dyDescent="0.25">
      <c r="E37" s="2">
        <v>57</v>
      </c>
      <c r="F37" s="2">
        <v>1.7864420562816546E-2</v>
      </c>
    </row>
    <row r="38" spans="5:6" x14ac:dyDescent="0.25">
      <c r="E38" s="2">
        <v>58</v>
      </c>
      <c r="F38" s="2">
        <v>1.9382787088818593E-2</v>
      </c>
    </row>
    <row r="39" spans="5:6" x14ac:dyDescent="0.25">
      <c r="E39" s="2">
        <v>59</v>
      </c>
      <c r="F39" s="2">
        <v>2.1009428839842793E-2</v>
      </c>
    </row>
    <row r="40" spans="5:6" x14ac:dyDescent="0.25">
      <c r="E40" s="2">
        <v>60</v>
      </c>
      <c r="F40" s="2">
        <v>2.2750131948179191E-2</v>
      </c>
    </row>
    <row r="41" spans="5:6" x14ac:dyDescent="0.25">
      <c r="E41" s="2">
        <v>61</v>
      </c>
      <c r="F41" s="2">
        <v>2.4610826087650108E-2</v>
      </c>
    </row>
    <row r="42" spans="5:6" x14ac:dyDescent="0.25">
      <c r="E42" s="2">
        <v>62</v>
      </c>
      <c r="F42" s="2">
        <v>2.6597574021009637E-2</v>
      </c>
    </row>
  </sheetData>
  <mergeCells count="2">
    <mergeCell ref="A1:C1"/>
    <mergeCell ref="G13:G14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2024-11-12T11:08:18Z</dcterms:modified>
</cp:coreProperties>
</file>