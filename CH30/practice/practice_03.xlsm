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0\practice\"/>
    </mc:Choice>
  </mc:AlternateContent>
  <xr:revisionPtr revIDLastSave="0" documentId="13_ncr:1_{55665C8E-7606-409B-901E-B9D13009CCF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D8" i="2" s="1"/>
  <c r="B8" i="2"/>
  <c r="F11" i="2"/>
  <c r="C11" i="2"/>
  <c r="C10" i="2"/>
  <c r="E8" i="2" l="1"/>
  <c r="F8" i="2" s="1"/>
  <c r="G8" i="2" s="1"/>
  <c r="B11" i="2" l="1"/>
  <c r="B10" i="2"/>
  <c r="B15" i="2" s="1"/>
</calcChain>
</file>

<file path=xl/sharedStrings.xml><?xml version="1.0" encoding="utf-8"?>
<sst xmlns="http://schemas.openxmlformats.org/spreadsheetml/2006/main" count="11" uniqueCount="10">
  <si>
    <t>NPV, DISCOUNT AND GROWTH RATES</t>
  </si>
  <si>
    <t>Growth rate</t>
  </si>
  <si>
    <t>Discount rate</t>
  </si>
  <si>
    <t>Cost</t>
  </si>
  <si>
    <t>Year 1 cash flow</t>
  </si>
  <si>
    <t>Year</t>
  </si>
  <si>
    <t>Cash flow</t>
  </si>
  <si>
    <t>NPV</t>
  </si>
  <si>
    <t>IRR</t>
  </si>
  <si>
    <t>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</si>
</sst>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_);[Red]\(&quot;$&quot;#,##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2" fillId="0" borderId="0" xfId="1" applyAlignment="1">
      <alignment horizontal="center"/>
    </xf>
    <xf numFmtId="2" fontId="2" fillId="0" borderId="0" xfId="1" applyNumberFormat="1"/>
    <xf numFmtId="39" fontId="2" fillId="0" borderId="0" xfId="1" applyNumberFormat="1"/>
    <xf numFmtId="10" fontId="2" fillId="0" borderId="0" xfId="1" applyNumberFormat="1"/>
    <xf numFmtId="0" fontId="2" fillId="2" borderId="0" xfId="1" applyFill="1" applyAlignment="1">
      <alignment horizontal="center" wrapText="1"/>
    </xf>
    <xf numFmtId="0" fontId="4" fillId="0" borderId="0" xfId="1" applyFont="1"/>
    <xf numFmtId="176" fontId="2" fillId="0" borderId="0" xfId="1" applyNumberFormat="1"/>
    <xf numFmtId="0" fontId="4" fillId="0" borderId="0" xfId="1" applyFont="1" applyAlignment="1">
      <alignment horizontal="right"/>
    </xf>
    <xf numFmtId="0" fontId="2" fillId="3" borderId="0" xfId="1" applyFill="1"/>
    <xf numFmtId="9" fontId="2" fillId="3" borderId="0" xfId="1" applyNumberFormat="1" applyFill="1"/>
  </cellXfs>
  <cellStyles count="2">
    <cellStyle name="常规" xfId="0" builtinId="0"/>
    <cellStyle name="常规 2" xfId="1" xr:uid="{A04F0AAC-F27B-4738-A17B-2719943CE65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11</xdr:row>
      <xdr:rowOff>15240</xdr:rowOff>
    </xdr:from>
    <xdr:to>
      <xdr:col>4</xdr:col>
      <xdr:colOff>480060</xdr:colOff>
      <xdr:row>14</xdr:row>
      <xdr:rowOff>38100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52623AC2-37CC-45A4-8D60-A3D55921D999}"/>
            </a:ext>
          </a:extLst>
        </xdr:cNvPr>
        <xdr:cNvSpPr>
          <a:spLocks noChangeShapeType="1"/>
        </xdr:cNvSpPr>
      </xdr:nvSpPr>
      <xdr:spPr bwMode="auto">
        <a:xfrm flipH="1">
          <a:off x="1790700" y="1952625"/>
          <a:ext cx="1676400" cy="533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323850</xdr:colOff>
      <xdr:row>9</xdr:row>
      <xdr:rowOff>95250</xdr:rowOff>
    </xdr:from>
    <xdr:to>
      <xdr:col>22</xdr:col>
      <xdr:colOff>976</xdr:colOff>
      <xdr:row>40</xdr:row>
      <xdr:rowOff>113139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7A18BA16-0BDD-BABC-9566-D74C515D6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72300" y="1685925"/>
          <a:ext cx="6992326" cy="53328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9F29-A5FE-40F5-9675-B80217D57537}">
  <sheetPr codeName="Sheet3"/>
  <dimension ref="A1:H24"/>
  <sheetViews>
    <sheetView tabSelected="1" workbookViewId="0">
      <selection activeCell="G36" sqref="G36"/>
    </sheetView>
  </sheetViews>
  <sheetFormatPr defaultRowHeight="13.2" x14ac:dyDescent="0.25"/>
  <cols>
    <col min="1" max="1" width="16.109375" style="2" customWidth="1"/>
    <col min="2" max="2" width="9.6640625" style="2" bestFit="1" customWidth="1"/>
    <col min="3" max="256" width="8.88671875" style="2"/>
    <col min="257" max="257" width="16.109375" style="2" customWidth="1"/>
    <col min="258" max="258" width="9.6640625" style="2" bestFit="1" customWidth="1"/>
    <col min="259" max="512" width="8.88671875" style="2"/>
    <col min="513" max="513" width="16.109375" style="2" customWidth="1"/>
    <col min="514" max="514" width="9.6640625" style="2" bestFit="1" customWidth="1"/>
    <col min="515" max="768" width="8.88671875" style="2"/>
    <col min="769" max="769" width="16.109375" style="2" customWidth="1"/>
    <col min="770" max="770" width="9.6640625" style="2" bestFit="1" customWidth="1"/>
    <col min="771" max="1024" width="8.88671875" style="2"/>
    <col min="1025" max="1025" width="16.109375" style="2" customWidth="1"/>
    <col min="1026" max="1026" width="9.6640625" style="2" bestFit="1" customWidth="1"/>
    <col min="1027" max="1280" width="8.88671875" style="2"/>
    <col min="1281" max="1281" width="16.109375" style="2" customWidth="1"/>
    <col min="1282" max="1282" width="9.6640625" style="2" bestFit="1" customWidth="1"/>
    <col min="1283" max="1536" width="8.88671875" style="2"/>
    <col min="1537" max="1537" width="16.109375" style="2" customWidth="1"/>
    <col min="1538" max="1538" width="9.6640625" style="2" bestFit="1" customWidth="1"/>
    <col min="1539" max="1792" width="8.88671875" style="2"/>
    <col min="1793" max="1793" width="16.109375" style="2" customWidth="1"/>
    <col min="1794" max="1794" width="9.6640625" style="2" bestFit="1" customWidth="1"/>
    <col min="1795" max="2048" width="8.88671875" style="2"/>
    <col min="2049" max="2049" width="16.109375" style="2" customWidth="1"/>
    <col min="2050" max="2050" width="9.6640625" style="2" bestFit="1" customWidth="1"/>
    <col min="2051" max="2304" width="8.88671875" style="2"/>
    <col min="2305" max="2305" width="16.109375" style="2" customWidth="1"/>
    <col min="2306" max="2306" width="9.6640625" style="2" bestFit="1" customWidth="1"/>
    <col min="2307" max="2560" width="8.88671875" style="2"/>
    <col min="2561" max="2561" width="16.109375" style="2" customWidth="1"/>
    <col min="2562" max="2562" width="9.6640625" style="2" bestFit="1" customWidth="1"/>
    <col min="2563" max="2816" width="8.88671875" style="2"/>
    <col min="2817" max="2817" width="16.109375" style="2" customWidth="1"/>
    <col min="2818" max="2818" width="9.6640625" style="2" bestFit="1" customWidth="1"/>
    <col min="2819" max="3072" width="8.88671875" style="2"/>
    <col min="3073" max="3073" width="16.109375" style="2" customWidth="1"/>
    <col min="3074" max="3074" width="9.6640625" style="2" bestFit="1" customWidth="1"/>
    <col min="3075" max="3328" width="8.88671875" style="2"/>
    <col min="3329" max="3329" width="16.109375" style="2" customWidth="1"/>
    <col min="3330" max="3330" width="9.6640625" style="2" bestFit="1" customWidth="1"/>
    <col min="3331" max="3584" width="8.88671875" style="2"/>
    <col min="3585" max="3585" width="16.109375" style="2" customWidth="1"/>
    <col min="3586" max="3586" width="9.6640625" style="2" bestFit="1" customWidth="1"/>
    <col min="3587" max="3840" width="8.88671875" style="2"/>
    <col min="3841" max="3841" width="16.109375" style="2" customWidth="1"/>
    <col min="3842" max="3842" width="9.6640625" style="2" bestFit="1" customWidth="1"/>
    <col min="3843" max="4096" width="8.88671875" style="2"/>
    <col min="4097" max="4097" width="16.109375" style="2" customWidth="1"/>
    <col min="4098" max="4098" width="9.6640625" style="2" bestFit="1" customWidth="1"/>
    <col min="4099" max="4352" width="8.88671875" style="2"/>
    <col min="4353" max="4353" width="16.109375" style="2" customWidth="1"/>
    <col min="4354" max="4354" width="9.6640625" style="2" bestFit="1" customWidth="1"/>
    <col min="4355" max="4608" width="8.88671875" style="2"/>
    <col min="4609" max="4609" width="16.109375" style="2" customWidth="1"/>
    <col min="4610" max="4610" width="9.6640625" style="2" bestFit="1" customWidth="1"/>
    <col min="4611" max="4864" width="8.88671875" style="2"/>
    <col min="4865" max="4865" width="16.109375" style="2" customWidth="1"/>
    <col min="4866" max="4866" width="9.6640625" style="2" bestFit="1" customWidth="1"/>
    <col min="4867" max="5120" width="8.88671875" style="2"/>
    <col min="5121" max="5121" width="16.109375" style="2" customWidth="1"/>
    <col min="5122" max="5122" width="9.6640625" style="2" bestFit="1" customWidth="1"/>
    <col min="5123" max="5376" width="8.88671875" style="2"/>
    <col min="5377" max="5377" width="16.109375" style="2" customWidth="1"/>
    <col min="5378" max="5378" width="9.6640625" style="2" bestFit="1" customWidth="1"/>
    <col min="5379" max="5632" width="8.88671875" style="2"/>
    <col min="5633" max="5633" width="16.109375" style="2" customWidth="1"/>
    <col min="5634" max="5634" width="9.6640625" style="2" bestFit="1" customWidth="1"/>
    <col min="5635" max="5888" width="8.88671875" style="2"/>
    <col min="5889" max="5889" width="16.109375" style="2" customWidth="1"/>
    <col min="5890" max="5890" width="9.6640625" style="2" bestFit="1" customWidth="1"/>
    <col min="5891" max="6144" width="8.88671875" style="2"/>
    <col min="6145" max="6145" width="16.109375" style="2" customWidth="1"/>
    <col min="6146" max="6146" width="9.6640625" style="2" bestFit="1" customWidth="1"/>
    <col min="6147" max="6400" width="8.88671875" style="2"/>
    <col min="6401" max="6401" width="16.109375" style="2" customWidth="1"/>
    <col min="6402" max="6402" width="9.6640625" style="2" bestFit="1" customWidth="1"/>
    <col min="6403" max="6656" width="8.88671875" style="2"/>
    <col min="6657" max="6657" width="16.109375" style="2" customWidth="1"/>
    <col min="6658" max="6658" width="9.6640625" style="2" bestFit="1" customWidth="1"/>
    <col min="6659" max="6912" width="8.88671875" style="2"/>
    <col min="6913" max="6913" width="16.109375" style="2" customWidth="1"/>
    <col min="6914" max="6914" width="9.6640625" style="2" bestFit="1" customWidth="1"/>
    <col min="6915" max="7168" width="8.88671875" style="2"/>
    <col min="7169" max="7169" width="16.109375" style="2" customWidth="1"/>
    <col min="7170" max="7170" width="9.6640625" style="2" bestFit="1" customWidth="1"/>
    <col min="7171" max="7424" width="8.88671875" style="2"/>
    <col min="7425" max="7425" width="16.109375" style="2" customWidth="1"/>
    <col min="7426" max="7426" width="9.6640625" style="2" bestFit="1" customWidth="1"/>
    <col min="7427" max="7680" width="8.88671875" style="2"/>
    <col min="7681" max="7681" width="16.109375" style="2" customWidth="1"/>
    <col min="7682" max="7682" width="9.6640625" style="2" bestFit="1" customWidth="1"/>
    <col min="7683" max="7936" width="8.88671875" style="2"/>
    <col min="7937" max="7937" width="16.109375" style="2" customWidth="1"/>
    <col min="7938" max="7938" width="9.6640625" style="2" bestFit="1" customWidth="1"/>
    <col min="7939" max="8192" width="8.88671875" style="2"/>
    <col min="8193" max="8193" width="16.109375" style="2" customWidth="1"/>
    <col min="8194" max="8194" width="9.6640625" style="2" bestFit="1" customWidth="1"/>
    <col min="8195" max="8448" width="8.88671875" style="2"/>
    <col min="8449" max="8449" width="16.109375" style="2" customWidth="1"/>
    <col min="8450" max="8450" width="9.6640625" style="2" bestFit="1" customWidth="1"/>
    <col min="8451" max="8704" width="8.88671875" style="2"/>
    <col min="8705" max="8705" width="16.109375" style="2" customWidth="1"/>
    <col min="8706" max="8706" width="9.6640625" style="2" bestFit="1" customWidth="1"/>
    <col min="8707" max="8960" width="8.88671875" style="2"/>
    <col min="8961" max="8961" width="16.109375" style="2" customWidth="1"/>
    <col min="8962" max="8962" width="9.6640625" style="2" bestFit="1" customWidth="1"/>
    <col min="8963" max="9216" width="8.88671875" style="2"/>
    <col min="9217" max="9217" width="16.109375" style="2" customWidth="1"/>
    <col min="9218" max="9218" width="9.6640625" style="2" bestFit="1" customWidth="1"/>
    <col min="9219" max="9472" width="8.88671875" style="2"/>
    <col min="9473" max="9473" width="16.109375" style="2" customWidth="1"/>
    <col min="9474" max="9474" width="9.6640625" style="2" bestFit="1" customWidth="1"/>
    <col min="9475" max="9728" width="8.88671875" style="2"/>
    <col min="9729" max="9729" width="16.109375" style="2" customWidth="1"/>
    <col min="9730" max="9730" width="9.6640625" style="2" bestFit="1" customWidth="1"/>
    <col min="9731" max="9984" width="8.88671875" style="2"/>
    <col min="9985" max="9985" width="16.109375" style="2" customWidth="1"/>
    <col min="9986" max="9986" width="9.6640625" style="2" bestFit="1" customWidth="1"/>
    <col min="9987" max="10240" width="8.88671875" style="2"/>
    <col min="10241" max="10241" width="16.109375" style="2" customWidth="1"/>
    <col min="10242" max="10242" width="9.6640625" style="2" bestFit="1" customWidth="1"/>
    <col min="10243" max="10496" width="8.88671875" style="2"/>
    <col min="10497" max="10497" width="16.109375" style="2" customWidth="1"/>
    <col min="10498" max="10498" width="9.6640625" style="2" bestFit="1" customWidth="1"/>
    <col min="10499" max="10752" width="8.88671875" style="2"/>
    <col min="10753" max="10753" width="16.109375" style="2" customWidth="1"/>
    <col min="10754" max="10754" width="9.6640625" style="2" bestFit="1" customWidth="1"/>
    <col min="10755" max="11008" width="8.88671875" style="2"/>
    <col min="11009" max="11009" width="16.109375" style="2" customWidth="1"/>
    <col min="11010" max="11010" width="9.6640625" style="2" bestFit="1" customWidth="1"/>
    <col min="11011" max="11264" width="8.88671875" style="2"/>
    <col min="11265" max="11265" width="16.109375" style="2" customWidth="1"/>
    <col min="11266" max="11266" width="9.6640625" style="2" bestFit="1" customWidth="1"/>
    <col min="11267" max="11520" width="8.88671875" style="2"/>
    <col min="11521" max="11521" width="16.109375" style="2" customWidth="1"/>
    <col min="11522" max="11522" width="9.6640625" style="2" bestFit="1" customWidth="1"/>
    <col min="11523" max="11776" width="8.88671875" style="2"/>
    <col min="11777" max="11777" width="16.109375" style="2" customWidth="1"/>
    <col min="11778" max="11778" width="9.6640625" style="2" bestFit="1" customWidth="1"/>
    <col min="11779" max="12032" width="8.88671875" style="2"/>
    <col min="12033" max="12033" width="16.109375" style="2" customWidth="1"/>
    <col min="12034" max="12034" width="9.6640625" style="2" bestFit="1" customWidth="1"/>
    <col min="12035" max="12288" width="8.88671875" style="2"/>
    <col min="12289" max="12289" width="16.109375" style="2" customWidth="1"/>
    <col min="12290" max="12290" width="9.6640625" style="2" bestFit="1" customWidth="1"/>
    <col min="12291" max="12544" width="8.88671875" style="2"/>
    <col min="12545" max="12545" width="16.109375" style="2" customWidth="1"/>
    <col min="12546" max="12546" width="9.6640625" style="2" bestFit="1" customWidth="1"/>
    <col min="12547" max="12800" width="8.88671875" style="2"/>
    <col min="12801" max="12801" width="16.109375" style="2" customWidth="1"/>
    <col min="12802" max="12802" width="9.6640625" style="2" bestFit="1" customWidth="1"/>
    <col min="12803" max="13056" width="8.88671875" style="2"/>
    <col min="13057" max="13057" width="16.109375" style="2" customWidth="1"/>
    <col min="13058" max="13058" width="9.6640625" style="2" bestFit="1" customWidth="1"/>
    <col min="13059" max="13312" width="8.88671875" style="2"/>
    <col min="13313" max="13313" width="16.109375" style="2" customWidth="1"/>
    <col min="13314" max="13314" width="9.6640625" style="2" bestFit="1" customWidth="1"/>
    <col min="13315" max="13568" width="8.88671875" style="2"/>
    <col min="13569" max="13569" width="16.109375" style="2" customWidth="1"/>
    <col min="13570" max="13570" width="9.6640625" style="2" bestFit="1" customWidth="1"/>
    <col min="13571" max="13824" width="8.88671875" style="2"/>
    <col min="13825" max="13825" width="16.109375" style="2" customWidth="1"/>
    <col min="13826" max="13826" width="9.6640625" style="2" bestFit="1" customWidth="1"/>
    <col min="13827" max="14080" width="8.88671875" style="2"/>
    <col min="14081" max="14081" width="16.109375" style="2" customWidth="1"/>
    <col min="14082" max="14082" width="9.6640625" style="2" bestFit="1" customWidth="1"/>
    <col min="14083" max="14336" width="8.88671875" style="2"/>
    <col min="14337" max="14337" width="16.109375" style="2" customWidth="1"/>
    <col min="14338" max="14338" width="9.6640625" style="2" bestFit="1" customWidth="1"/>
    <col min="14339" max="14592" width="8.88671875" style="2"/>
    <col min="14593" max="14593" width="16.109375" style="2" customWidth="1"/>
    <col min="14594" max="14594" width="9.6640625" style="2" bestFit="1" customWidth="1"/>
    <col min="14595" max="14848" width="8.88671875" style="2"/>
    <col min="14849" max="14849" width="16.109375" style="2" customWidth="1"/>
    <col min="14850" max="14850" width="9.6640625" style="2" bestFit="1" customWidth="1"/>
    <col min="14851" max="15104" width="8.88671875" style="2"/>
    <col min="15105" max="15105" width="16.109375" style="2" customWidth="1"/>
    <col min="15106" max="15106" width="9.6640625" style="2" bestFit="1" customWidth="1"/>
    <col min="15107" max="15360" width="8.88671875" style="2"/>
    <col min="15361" max="15361" width="16.109375" style="2" customWidth="1"/>
    <col min="15362" max="15362" width="9.6640625" style="2" bestFit="1" customWidth="1"/>
    <col min="15363" max="15616" width="8.88671875" style="2"/>
    <col min="15617" max="15617" width="16.109375" style="2" customWidth="1"/>
    <col min="15618" max="15618" width="9.6640625" style="2" bestFit="1" customWidth="1"/>
    <col min="15619" max="15872" width="8.88671875" style="2"/>
    <col min="15873" max="15873" width="16.109375" style="2" customWidth="1"/>
    <col min="15874" max="15874" width="9.6640625" style="2" bestFit="1" customWidth="1"/>
    <col min="15875" max="16128" width="8.88671875" style="2"/>
    <col min="16129" max="16129" width="16.109375" style="2" customWidth="1"/>
    <col min="16130" max="16130" width="9.6640625" style="2" bestFit="1" customWidth="1"/>
    <col min="16131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12" t="s">
        <v>1</v>
      </c>
      <c r="B2" s="13">
        <v>0.1</v>
      </c>
    </row>
    <row r="3" spans="1:8" x14ac:dyDescent="0.25">
      <c r="A3" s="12" t="s">
        <v>2</v>
      </c>
      <c r="B3" s="13">
        <v>0.15</v>
      </c>
    </row>
    <row r="4" spans="1:8" x14ac:dyDescent="0.25">
      <c r="A4" s="2" t="s">
        <v>3</v>
      </c>
      <c r="B4" s="2">
        <v>500</v>
      </c>
    </row>
    <row r="5" spans="1:8" x14ac:dyDescent="0.25">
      <c r="A5" s="2" t="s">
        <v>4</v>
      </c>
      <c r="B5" s="2">
        <v>100</v>
      </c>
    </row>
    <row r="7" spans="1:8" x14ac:dyDescent="0.25">
      <c r="A7" s="2" t="s">
        <v>5</v>
      </c>
      <c r="B7" s="4">
        <v>0</v>
      </c>
      <c r="C7" s="4">
        <v>1</v>
      </c>
      <c r="D7" s="4">
        <v>2</v>
      </c>
      <c r="E7" s="4">
        <v>3</v>
      </c>
      <c r="F7" s="4">
        <v>4</v>
      </c>
      <c r="G7" s="4">
        <v>5</v>
      </c>
    </row>
    <row r="8" spans="1:8" x14ac:dyDescent="0.25">
      <c r="A8" s="2" t="s">
        <v>6</v>
      </c>
      <c r="B8" s="5">
        <f>-B4</f>
        <v>-500</v>
      </c>
      <c r="C8" s="5">
        <f>B5</f>
        <v>100</v>
      </c>
      <c r="D8" s="5">
        <f>C8*(1+$B$2)</f>
        <v>110.00000000000001</v>
      </c>
      <c r="E8" s="5">
        <f>D8*(1+$B$2)</f>
        <v>121.00000000000003</v>
      </c>
      <c r="F8" s="5">
        <f>E8*(1+$B$2)</f>
        <v>133.10000000000005</v>
      </c>
      <c r="G8" s="5">
        <f>F8*(1+$B$2)</f>
        <v>146.41000000000008</v>
      </c>
    </row>
    <row r="10" spans="1:8" x14ac:dyDescent="0.25">
      <c r="A10" s="2" t="s">
        <v>7</v>
      </c>
      <c r="B10" s="6">
        <f>NPV(B3,C8:G8)+B8</f>
        <v>-101.41620793049697</v>
      </c>
      <c r="C10" s="2" t="str">
        <f ca="1">[1]!getformula(B10)</f>
        <v>&lt;--  =NPV(B3,C8:G8)+B8</v>
      </c>
    </row>
    <row r="11" spans="1:8" x14ac:dyDescent="0.25">
      <c r="A11" s="2" t="s">
        <v>8</v>
      </c>
      <c r="B11" s="7">
        <f>IRR(B8:G8)</f>
        <v>6.5953339968409797E-2</v>
      </c>
      <c r="C11" s="2" t="str">
        <f ca="1">[1]!getformula(B11)</f>
        <v>&lt;--  =IRR(B8:G8)</v>
      </c>
      <c r="F11" s="8" t="str">
        <f ca="1">"Cell "&amp;CHAR(COLUMN(B15)+64)&amp;ROW(B15)&amp;" contains the data table function "&amp;[1]!ggetformula(B15)</f>
        <v>Cell B15 contains the data table function =B10</v>
      </c>
      <c r="G11" s="8"/>
      <c r="H11" s="8"/>
    </row>
    <row r="12" spans="1:8" x14ac:dyDescent="0.25">
      <c r="B12" s="7"/>
      <c r="F12" s="8"/>
      <c r="G12" s="8"/>
      <c r="H12" s="8"/>
    </row>
    <row r="14" spans="1:8" x14ac:dyDescent="0.25">
      <c r="C14" s="9" t="s">
        <v>9</v>
      </c>
    </row>
    <row r="15" spans="1:8" x14ac:dyDescent="0.25">
      <c r="B15" s="10">
        <f>B10</f>
        <v>-101.41620793049697</v>
      </c>
      <c r="C15" s="3">
        <v>0</v>
      </c>
      <c r="D15" s="3">
        <v>0.03</v>
      </c>
      <c r="E15" s="3">
        <v>0.06</v>
      </c>
      <c r="F15" s="3">
        <v>0.09</v>
      </c>
      <c r="G15" s="3">
        <v>0.12</v>
      </c>
    </row>
    <row r="16" spans="1:8" x14ac:dyDescent="0.25">
      <c r="B16" s="3">
        <v>0</v>
      </c>
      <c r="C16" s="5">
        <f t="dataTable" ref="C16:G24" dt2D="1" dtr="0" r1="B2" r2="B3"/>
        <v>0</v>
      </c>
      <c r="D16" s="5">
        <v>30.913581000000022</v>
      </c>
      <c r="E16" s="5">
        <v>63.709295999999995</v>
      </c>
      <c r="F16" s="5">
        <v>98.471061000000191</v>
      </c>
      <c r="G16" s="5">
        <v>135.28473600000018</v>
      </c>
    </row>
    <row r="17" spans="1:7" x14ac:dyDescent="0.25">
      <c r="A17" s="11" t="s">
        <v>2</v>
      </c>
      <c r="B17" s="3">
        <v>0.03</v>
      </c>
      <c r="C17" s="5">
        <v>-42.029281280546627</v>
      </c>
      <c r="D17" s="5">
        <v>-14.563106796116529</v>
      </c>
      <c r="E17" s="5">
        <v>14.550462417772337</v>
      </c>
      <c r="F17" s="5">
        <v>45.384232267739776</v>
      </c>
      <c r="G17" s="5">
        <v>78.012685571881775</v>
      </c>
    </row>
    <row r="18" spans="1:7" x14ac:dyDescent="0.25">
      <c r="B18" s="3">
        <v>0.06</v>
      </c>
      <c r="C18" s="5">
        <v>-78.763621443428633</v>
      </c>
      <c r="D18" s="5">
        <v>-54.256755374692773</v>
      </c>
      <c r="E18" s="5">
        <v>-28.301886792452876</v>
      </c>
      <c r="F18" s="5">
        <v>-0.83558244493087841</v>
      </c>
      <c r="G18" s="5">
        <v>28.20704358953958</v>
      </c>
    </row>
    <row r="19" spans="1:7" x14ac:dyDescent="0.25">
      <c r="B19" s="3">
        <v>0.09</v>
      </c>
      <c r="C19" s="5">
        <v>-111.03487366482841</v>
      </c>
      <c r="D19" s="5">
        <v>-89.081010349216967</v>
      </c>
      <c r="E19" s="5">
        <v>-65.849349431573785</v>
      </c>
      <c r="F19" s="5">
        <v>-41.284403669724782</v>
      </c>
      <c r="G19" s="5">
        <v>-15.329422354881331</v>
      </c>
    </row>
    <row r="20" spans="1:7" x14ac:dyDescent="0.25">
      <c r="B20" s="3">
        <v>0.12</v>
      </c>
      <c r="C20" s="5">
        <v>-139.52237976549958</v>
      </c>
      <c r="D20" s="5">
        <v>-119.78138099570998</v>
      </c>
      <c r="E20" s="5">
        <v>-98.908552899624283</v>
      </c>
      <c r="F20" s="5">
        <v>-76.855176207410295</v>
      </c>
      <c r="G20" s="5">
        <v>-53.571428571428612</v>
      </c>
    </row>
    <row r="21" spans="1:7" x14ac:dyDescent="0.25">
      <c r="B21" s="3">
        <v>0.15</v>
      </c>
      <c r="C21" s="5">
        <v>-164.78449019885977</v>
      </c>
      <c r="D21" s="5">
        <v>-146.97008298035064</v>
      </c>
      <c r="E21" s="5">
        <v>-128.14958195981785</v>
      </c>
      <c r="F21" s="5">
        <v>-108.28005791487482</v>
      </c>
      <c r="G21" s="5">
        <v>-87.317615111562361</v>
      </c>
    </row>
    <row r="22" spans="1:7" x14ac:dyDescent="0.25">
      <c r="B22" s="3">
        <v>0.18</v>
      </c>
      <c r="C22" s="5">
        <v>-187.28289790581022</v>
      </c>
      <c r="D22" s="5">
        <v>-171.15292134237546</v>
      </c>
      <c r="E22" s="5">
        <v>-154.1256111369072</v>
      </c>
      <c r="F22" s="5">
        <v>-136.16301222194141</v>
      </c>
      <c r="G22" s="5">
        <v>-117.22631978969832</v>
      </c>
    </row>
    <row r="23" spans="1:7" x14ac:dyDescent="0.25">
      <c r="B23" s="3">
        <v>0.21</v>
      </c>
      <c r="C23" s="5">
        <v>-207.4015663950151</v>
      </c>
      <c r="D23" s="5">
        <v>-192.75018886444292</v>
      </c>
      <c r="E23" s="5">
        <v>-177.29592745775943</v>
      </c>
      <c r="F23" s="5">
        <v>-161.00511730601778</v>
      </c>
      <c r="G23" s="5">
        <v>-143.84334404411737</v>
      </c>
    </row>
    <row r="24" spans="1:7" x14ac:dyDescent="0.25">
      <c r="B24" s="3">
        <v>0.24</v>
      </c>
      <c r="C24" s="5">
        <v>-225.46155839549698</v>
      </c>
      <c r="D24" s="5">
        <v>-212.11302842762871</v>
      </c>
      <c r="E24" s="5">
        <v>-198.04394588054674</v>
      </c>
      <c r="F24" s="5">
        <v>-183.22436013023486</v>
      </c>
      <c r="G24" s="5">
        <v>-167.62365743923033</v>
      </c>
    </row>
  </sheetData>
  <mergeCells count="2">
    <mergeCell ref="A1:H1"/>
    <mergeCell ref="F11:H12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L26" sqref="L2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2024-12-23T08:20:28Z</dcterms:modified>
</cp:coreProperties>
</file>