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0\"/>
    </mc:Choice>
  </mc:AlternateContent>
  <xr:revisionPtr revIDLastSave="0" documentId="13_ncr:1_{A2B8FC68-3C74-4CAD-84F6-052D8A86D7E6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Chapter example" sheetId="2" r:id="rId1"/>
    <sheet name="Sheet1" sheetId="1" r:id="rId2"/>
  </sheets>
  <externalReferences>
    <externalReference r:id="rId3"/>
  </externalReferences>
  <definedNames>
    <definedName name="discount">'Chapter example'!$B$3</definedName>
    <definedName name="growth">'Chapter example'!$B$2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2" l="1"/>
  <c r="D6" i="2" s="1"/>
  <c r="E20" i="2"/>
  <c r="J11" i="2"/>
  <c r="G11" i="2"/>
  <c r="E6" i="2" l="1"/>
  <c r="F6" i="2" s="1"/>
  <c r="G6" i="2" s="1"/>
  <c r="H6" i="2" s="1"/>
  <c r="I6" i="2" s="1"/>
  <c r="B9" i="2" s="1"/>
  <c r="I14" i="2" s="1"/>
  <c r="B8" i="2" l="1"/>
  <c r="G22" i="2" s="1"/>
  <c r="H14" i="2" l="1"/>
</calcChain>
</file>

<file path=xl/sharedStrings.xml><?xml version="1.0" encoding="utf-8"?>
<sst xmlns="http://schemas.openxmlformats.org/spreadsheetml/2006/main" count="16" uniqueCount="11">
  <si>
    <r>
      <t>CF</t>
    </r>
    <r>
      <rPr>
        <vertAlign val="subscript"/>
        <sz val="10"/>
        <rFont val="Arial"/>
        <family val="2"/>
      </rPr>
      <t>1</t>
    </r>
  </si>
  <si>
    <t>Growth rate</t>
  </si>
  <si>
    <t>Discount rate</t>
  </si>
  <si>
    <t>Year</t>
  </si>
  <si>
    <t>Cash flow</t>
  </si>
  <si>
    <t>NPV</t>
  </si>
  <si>
    <t xml:space="preserve"> &lt;-- =+B6+NPV(B3,C6:I6)</t>
  </si>
  <si>
    <t>IRR</t>
  </si>
  <si>
    <t xml:space="preserve"> &lt;-- =IRR(B6:I6,0)</t>
  </si>
  <si>
    <t>Growth</t>
  </si>
  <si>
    <t>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</si>
</sst>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;;"/>
  </numFmts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vertAlign val="subscript"/>
      <sz val="10"/>
      <name val="Arial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</cellStyleXfs>
  <cellXfs count="27">
    <xf numFmtId="0" fontId="0" fillId="0" borderId="0" xfId="0">
      <alignment vertical="center"/>
    </xf>
    <xf numFmtId="0" fontId="2" fillId="0" borderId="0" xfId="1"/>
    <xf numFmtId="9" fontId="2" fillId="0" borderId="0" xfId="1" applyNumberFormat="1"/>
    <xf numFmtId="2" fontId="2" fillId="0" borderId="0" xfId="1" applyNumberFormat="1"/>
    <xf numFmtId="2" fontId="2" fillId="0" borderId="0" xfId="1" quotePrefix="1" applyNumberFormat="1"/>
    <xf numFmtId="10" fontId="2" fillId="0" borderId="0" xfId="1" applyNumberFormat="1"/>
    <xf numFmtId="10" fontId="2" fillId="0" borderId="0" xfId="1" quotePrefix="1" applyNumberFormat="1"/>
    <xf numFmtId="2" fontId="2" fillId="0" borderId="0" xfId="1" quotePrefix="1" applyNumberFormat="1" applyAlignment="1">
      <alignment horizontal="center"/>
    </xf>
    <xf numFmtId="0" fontId="2" fillId="0" borderId="0" xfId="1" quotePrefix="1" applyAlignment="1">
      <alignment horizontal="center"/>
    </xf>
    <xf numFmtId="0" fontId="2" fillId="0" borderId="0" xfId="1" applyAlignment="1">
      <alignment horizontal="center"/>
    </xf>
    <xf numFmtId="0" fontId="2" fillId="0" borderId="1" xfId="1" applyBorder="1"/>
    <xf numFmtId="176" fontId="2" fillId="0" borderId="2" xfId="1" applyNumberFormat="1" applyBorder="1"/>
    <xf numFmtId="176" fontId="0" fillId="0" borderId="3" xfId="2" applyNumberFormat="1" applyFont="1" applyBorder="1"/>
    <xf numFmtId="0" fontId="2" fillId="0" borderId="0" xfId="1" applyAlignment="1">
      <alignment horizontal="right"/>
    </xf>
    <xf numFmtId="0" fontId="2" fillId="0" borderId="4" xfId="1" applyBorder="1"/>
    <xf numFmtId="10" fontId="2" fillId="0" borderId="5" xfId="1" applyNumberFormat="1" applyBorder="1"/>
    <xf numFmtId="9" fontId="2" fillId="0" borderId="4" xfId="1" applyNumberFormat="1" applyBorder="1"/>
    <xf numFmtId="9" fontId="2" fillId="0" borderId="6" xfId="1" applyNumberFormat="1" applyBorder="1"/>
    <xf numFmtId="2" fontId="2" fillId="0" borderId="7" xfId="1" applyNumberFormat="1" applyBorder="1"/>
    <xf numFmtId="10" fontId="2" fillId="0" borderId="8" xfId="1" applyNumberFormat="1" applyBorder="1"/>
    <xf numFmtId="2" fontId="2" fillId="0" borderId="1" xfId="1" applyNumberFormat="1" applyBorder="1"/>
    <xf numFmtId="9" fontId="2" fillId="0" borderId="2" xfId="1" applyNumberFormat="1" applyBorder="1"/>
    <xf numFmtId="9" fontId="2" fillId="0" borderId="3" xfId="1" applyNumberFormat="1" applyBorder="1"/>
    <xf numFmtId="2" fontId="2" fillId="0" borderId="5" xfId="1" applyNumberFormat="1" applyBorder="1"/>
    <xf numFmtId="2" fontId="2" fillId="0" borderId="8" xfId="1" applyNumberFormat="1" applyBorder="1"/>
    <xf numFmtId="176" fontId="2" fillId="0" borderId="0" xfId="1" applyNumberFormat="1"/>
    <xf numFmtId="176" fontId="0" fillId="0" borderId="0" xfId="2" applyNumberFormat="1" applyFont="1" applyBorder="1"/>
  </cellXfs>
  <cellStyles count="3">
    <cellStyle name="百分比 2" xfId="2" xr:uid="{B95376B3-8D7D-44EA-9A30-B3CF3E971A59}"/>
    <cellStyle name="常规" xfId="0" builtinId="0"/>
    <cellStyle name="常规 2" xfId="1" xr:uid="{5A71646A-3A2F-4AD0-A1A6-E71F41711E73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</xdr:colOff>
      <xdr:row>9</xdr:row>
      <xdr:rowOff>91440</xdr:rowOff>
    </xdr:from>
    <xdr:to>
      <xdr:col>7</xdr:col>
      <xdr:colOff>0</xdr:colOff>
      <xdr:row>11</xdr:row>
      <xdr:rowOff>38100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A71DA594-BAD8-4EDF-BC6F-167884A043AA}"/>
            </a:ext>
          </a:extLst>
        </xdr:cNvPr>
        <xdr:cNvSpPr>
          <a:spLocks noChangeArrowheads="1"/>
        </xdr:cNvSpPr>
      </xdr:nvSpPr>
      <xdr:spPr bwMode="auto">
        <a:xfrm>
          <a:off x="3867150" y="1666875"/>
          <a:ext cx="590550" cy="285750"/>
        </a:xfrm>
        <a:prstGeom prst="ellips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6</xdr:col>
      <xdr:colOff>304800</xdr:colOff>
      <xdr:row>11</xdr:row>
      <xdr:rowOff>60960</xdr:rowOff>
    </xdr:from>
    <xdr:to>
      <xdr:col>7</xdr:col>
      <xdr:colOff>53340</xdr:colOff>
      <xdr:row>13</xdr:row>
      <xdr:rowOff>45720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78C465A8-5197-499F-9E2A-2AEAE3725A46}"/>
            </a:ext>
          </a:extLst>
        </xdr:cNvPr>
        <xdr:cNvSpPr>
          <a:spLocks noChangeShapeType="1"/>
        </xdr:cNvSpPr>
      </xdr:nvSpPr>
      <xdr:spPr bwMode="auto">
        <a:xfrm>
          <a:off x="4152900" y="1971675"/>
          <a:ext cx="361950" cy="3333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480060</xdr:colOff>
      <xdr:row>9</xdr:row>
      <xdr:rowOff>83820</xdr:rowOff>
    </xdr:from>
    <xdr:to>
      <xdr:col>10</xdr:col>
      <xdr:colOff>0</xdr:colOff>
      <xdr:row>11</xdr:row>
      <xdr:rowOff>38100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A4F82F46-ADC0-49A9-A4F9-CE5AFA4F79B4}"/>
            </a:ext>
          </a:extLst>
        </xdr:cNvPr>
        <xdr:cNvSpPr>
          <a:spLocks noChangeArrowheads="1"/>
        </xdr:cNvSpPr>
      </xdr:nvSpPr>
      <xdr:spPr bwMode="auto">
        <a:xfrm>
          <a:off x="5543550" y="1657350"/>
          <a:ext cx="742950" cy="295275"/>
        </a:xfrm>
        <a:prstGeom prst="ellips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8</xdr:col>
      <xdr:colOff>480060</xdr:colOff>
      <xdr:row>11</xdr:row>
      <xdr:rowOff>45720</xdr:rowOff>
    </xdr:from>
    <xdr:to>
      <xdr:col>9</xdr:col>
      <xdr:colOff>121920</xdr:colOff>
      <xdr:row>12</xdr:row>
      <xdr:rowOff>106680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6E70E470-C3CE-46A8-983E-20C3AFCAD017}"/>
            </a:ext>
          </a:extLst>
        </xdr:cNvPr>
        <xdr:cNvSpPr>
          <a:spLocks noChangeShapeType="1"/>
        </xdr:cNvSpPr>
      </xdr:nvSpPr>
      <xdr:spPr bwMode="auto">
        <a:xfrm flipH="1">
          <a:off x="5543550" y="1962150"/>
          <a:ext cx="257175" cy="2286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22860</xdr:colOff>
      <xdr:row>18</xdr:row>
      <xdr:rowOff>91440</xdr:rowOff>
    </xdr:from>
    <xdr:to>
      <xdr:col>5</xdr:col>
      <xdr:colOff>15240</xdr:colOff>
      <xdr:row>20</xdr:row>
      <xdr:rowOff>30480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CFF4D79E-35DE-4B89-8368-89D93B5AA9F3}"/>
            </a:ext>
          </a:extLst>
        </xdr:cNvPr>
        <xdr:cNvSpPr>
          <a:spLocks noChangeArrowheads="1"/>
        </xdr:cNvSpPr>
      </xdr:nvSpPr>
      <xdr:spPr bwMode="auto">
        <a:xfrm>
          <a:off x="2647950" y="3209925"/>
          <a:ext cx="609600" cy="276225"/>
        </a:xfrm>
        <a:prstGeom prst="ellips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4</xdr:col>
      <xdr:colOff>480060</xdr:colOff>
      <xdr:row>20</xdr:row>
      <xdr:rowOff>0</xdr:rowOff>
    </xdr:from>
    <xdr:to>
      <xdr:col>6</xdr:col>
      <xdr:colOff>83820</xdr:colOff>
      <xdr:row>21</xdr:row>
      <xdr:rowOff>38100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9D1FB987-87F3-4DC8-B828-26F93F8FCF3D}"/>
            </a:ext>
          </a:extLst>
        </xdr:cNvPr>
        <xdr:cNvSpPr>
          <a:spLocks noChangeShapeType="1"/>
        </xdr:cNvSpPr>
      </xdr:nvSpPr>
      <xdr:spPr bwMode="auto">
        <a:xfrm>
          <a:off x="3105150" y="3457575"/>
          <a:ext cx="828675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11</xdr:col>
      <xdr:colOff>243051</xdr:colOff>
      <xdr:row>1</xdr:row>
      <xdr:rowOff>65690</xdr:rowOff>
    </xdr:from>
    <xdr:to>
      <xdr:col>30</xdr:col>
      <xdr:colOff>446433</xdr:colOff>
      <xdr:row>45</xdr:row>
      <xdr:rowOff>162530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6F082E4C-AED0-3F72-43EC-1BB21D1C8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53603" y="262759"/>
          <a:ext cx="11816459" cy="761915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3E3B3-2E50-4B58-B2BF-E9CF2761E9E7}">
  <sheetPr codeName="Sheet1">
    <pageSetUpPr fitToPage="1"/>
  </sheetPr>
  <dimension ref="A1:K36"/>
  <sheetViews>
    <sheetView tabSelected="1" zoomScale="145" zoomScaleNormal="145" workbookViewId="0">
      <selection activeCell="B1" sqref="B1"/>
    </sheetView>
  </sheetViews>
  <sheetFormatPr defaultRowHeight="13.2" x14ac:dyDescent="0.25"/>
  <cols>
    <col min="1" max="1" width="11.6640625" style="1" customWidth="1"/>
    <col min="2" max="256" width="8.88671875" style="1"/>
    <col min="257" max="257" width="11.6640625" style="1" customWidth="1"/>
    <col min="258" max="512" width="8.88671875" style="1"/>
    <col min="513" max="513" width="11.6640625" style="1" customWidth="1"/>
    <col min="514" max="768" width="8.88671875" style="1"/>
    <col min="769" max="769" width="11.6640625" style="1" customWidth="1"/>
    <col min="770" max="1024" width="8.88671875" style="1"/>
    <col min="1025" max="1025" width="11.6640625" style="1" customWidth="1"/>
    <col min="1026" max="1280" width="8.88671875" style="1"/>
    <col min="1281" max="1281" width="11.6640625" style="1" customWidth="1"/>
    <col min="1282" max="1536" width="8.88671875" style="1"/>
    <col min="1537" max="1537" width="11.6640625" style="1" customWidth="1"/>
    <col min="1538" max="1792" width="8.88671875" style="1"/>
    <col min="1793" max="1793" width="11.6640625" style="1" customWidth="1"/>
    <col min="1794" max="2048" width="8.88671875" style="1"/>
    <col min="2049" max="2049" width="11.6640625" style="1" customWidth="1"/>
    <col min="2050" max="2304" width="8.88671875" style="1"/>
    <col min="2305" max="2305" width="11.6640625" style="1" customWidth="1"/>
    <col min="2306" max="2560" width="8.88671875" style="1"/>
    <col min="2561" max="2561" width="11.6640625" style="1" customWidth="1"/>
    <col min="2562" max="2816" width="8.88671875" style="1"/>
    <col min="2817" max="2817" width="11.6640625" style="1" customWidth="1"/>
    <col min="2818" max="3072" width="8.88671875" style="1"/>
    <col min="3073" max="3073" width="11.6640625" style="1" customWidth="1"/>
    <col min="3074" max="3328" width="8.88671875" style="1"/>
    <col min="3329" max="3329" width="11.6640625" style="1" customWidth="1"/>
    <col min="3330" max="3584" width="8.88671875" style="1"/>
    <col min="3585" max="3585" width="11.6640625" style="1" customWidth="1"/>
    <col min="3586" max="3840" width="8.88671875" style="1"/>
    <col min="3841" max="3841" width="11.6640625" style="1" customWidth="1"/>
    <col min="3842" max="4096" width="8.88671875" style="1"/>
    <col min="4097" max="4097" width="11.6640625" style="1" customWidth="1"/>
    <col min="4098" max="4352" width="8.88671875" style="1"/>
    <col min="4353" max="4353" width="11.6640625" style="1" customWidth="1"/>
    <col min="4354" max="4608" width="8.88671875" style="1"/>
    <col min="4609" max="4609" width="11.6640625" style="1" customWidth="1"/>
    <col min="4610" max="4864" width="8.88671875" style="1"/>
    <col min="4865" max="4865" width="11.6640625" style="1" customWidth="1"/>
    <col min="4866" max="5120" width="8.88671875" style="1"/>
    <col min="5121" max="5121" width="11.6640625" style="1" customWidth="1"/>
    <col min="5122" max="5376" width="8.88671875" style="1"/>
    <col min="5377" max="5377" width="11.6640625" style="1" customWidth="1"/>
    <col min="5378" max="5632" width="8.88671875" style="1"/>
    <col min="5633" max="5633" width="11.6640625" style="1" customWidth="1"/>
    <col min="5634" max="5888" width="8.88671875" style="1"/>
    <col min="5889" max="5889" width="11.6640625" style="1" customWidth="1"/>
    <col min="5890" max="6144" width="8.88671875" style="1"/>
    <col min="6145" max="6145" width="11.6640625" style="1" customWidth="1"/>
    <col min="6146" max="6400" width="8.88671875" style="1"/>
    <col min="6401" max="6401" width="11.6640625" style="1" customWidth="1"/>
    <col min="6402" max="6656" width="8.88671875" style="1"/>
    <col min="6657" max="6657" width="11.6640625" style="1" customWidth="1"/>
    <col min="6658" max="6912" width="8.88671875" style="1"/>
    <col min="6913" max="6913" width="11.6640625" style="1" customWidth="1"/>
    <col min="6914" max="7168" width="8.88671875" style="1"/>
    <col min="7169" max="7169" width="11.6640625" style="1" customWidth="1"/>
    <col min="7170" max="7424" width="8.88671875" style="1"/>
    <col min="7425" max="7425" width="11.6640625" style="1" customWidth="1"/>
    <col min="7426" max="7680" width="8.88671875" style="1"/>
    <col min="7681" max="7681" width="11.6640625" style="1" customWidth="1"/>
    <col min="7682" max="7936" width="8.88671875" style="1"/>
    <col min="7937" max="7937" width="11.6640625" style="1" customWidth="1"/>
    <col min="7938" max="8192" width="8.88671875" style="1"/>
    <col min="8193" max="8193" width="11.6640625" style="1" customWidth="1"/>
    <col min="8194" max="8448" width="8.88671875" style="1"/>
    <col min="8449" max="8449" width="11.6640625" style="1" customWidth="1"/>
    <col min="8450" max="8704" width="8.88671875" style="1"/>
    <col min="8705" max="8705" width="11.6640625" style="1" customWidth="1"/>
    <col min="8706" max="8960" width="8.88671875" style="1"/>
    <col min="8961" max="8961" width="11.6640625" style="1" customWidth="1"/>
    <col min="8962" max="9216" width="8.88671875" style="1"/>
    <col min="9217" max="9217" width="11.6640625" style="1" customWidth="1"/>
    <col min="9218" max="9472" width="8.88671875" style="1"/>
    <col min="9473" max="9473" width="11.6640625" style="1" customWidth="1"/>
    <col min="9474" max="9728" width="8.88671875" style="1"/>
    <col min="9729" max="9729" width="11.6640625" style="1" customWidth="1"/>
    <col min="9730" max="9984" width="8.88671875" style="1"/>
    <col min="9985" max="9985" width="11.6640625" style="1" customWidth="1"/>
    <col min="9986" max="10240" width="8.88671875" style="1"/>
    <col min="10241" max="10241" width="11.6640625" style="1" customWidth="1"/>
    <col min="10242" max="10496" width="8.88671875" style="1"/>
    <col min="10497" max="10497" width="11.6640625" style="1" customWidth="1"/>
    <col min="10498" max="10752" width="8.88671875" style="1"/>
    <col min="10753" max="10753" width="11.6640625" style="1" customWidth="1"/>
    <col min="10754" max="11008" width="8.88671875" style="1"/>
    <col min="11009" max="11009" width="11.6640625" style="1" customWidth="1"/>
    <col min="11010" max="11264" width="8.88671875" style="1"/>
    <col min="11265" max="11265" width="11.6640625" style="1" customWidth="1"/>
    <col min="11266" max="11520" width="8.88671875" style="1"/>
    <col min="11521" max="11521" width="11.6640625" style="1" customWidth="1"/>
    <col min="11522" max="11776" width="8.88671875" style="1"/>
    <col min="11777" max="11777" width="11.6640625" style="1" customWidth="1"/>
    <col min="11778" max="12032" width="8.88671875" style="1"/>
    <col min="12033" max="12033" width="11.6640625" style="1" customWidth="1"/>
    <col min="12034" max="12288" width="8.88671875" style="1"/>
    <col min="12289" max="12289" width="11.6640625" style="1" customWidth="1"/>
    <col min="12290" max="12544" width="8.88671875" style="1"/>
    <col min="12545" max="12545" width="11.6640625" style="1" customWidth="1"/>
    <col min="12546" max="12800" width="8.88671875" style="1"/>
    <col min="12801" max="12801" width="11.6640625" style="1" customWidth="1"/>
    <col min="12802" max="13056" width="8.88671875" style="1"/>
    <col min="13057" max="13057" width="11.6640625" style="1" customWidth="1"/>
    <col min="13058" max="13312" width="8.88671875" style="1"/>
    <col min="13313" max="13313" width="11.6640625" style="1" customWidth="1"/>
    <col min="13314" max="13568" width="8.88671875" style="1"/>
    <col min="13569" max="13569" width="11.6640625" style="1" customWidth="1"/>
    <col min="13570" max="13824" width="8.88671875" style="1"/>
    <col min="13825" max="13825" width="11.6640625" style="1" customWidth="1"/>
    <col min="13826" max="14080" width="8.88671875" style="1"/>
    <col min="14081" max="14081" width="11.6640625" style="1" customWidth="1"/>
    <col min="14082" max="14336" width="8.88671875" style="1"/>
    <col min="14337" max="14337" width="11.6640625" style="1" customWidth="1"/>
    <col min="14338" max="14592" width="8.88671875" style="1"/>
    <col min="14593" max="14593" width="11.6640625" style="1" customWidth="1"/>
    <col min="14594" max="14848" width="8.88671875" style="1"/>
    <col min="14849" max="14849" width="11.6640625" style="1" customWidth="1"/>
    <col min="14850" max="15104" width="8.88671875" style="1"/>
    <col min="15105" max="15105" width="11.6640625" style="1" customWidth="1"/>
    <col min="15106" max="15360" width="8.88671875" style="1"/>
    <col min="15361" max="15361" width="11.6640625" style="1" customWidth="1"/>
    <col min="15362" max="15616" width="8.88671875" style="1"/>
    <col min="15617" max="15617" width="11.6640625" style="1" customWidth="1"/>
    <col min="15618" max="15872" width="8.88671875" style="1"/>
    <col min="15873" max="15873" width="11.6640625" style="1" customWidth="1"/>
    <col min="15874" max="16128" width="8.88671875" style="1"/>
    <col min="16129" max="16129" width="11.6640625" style="1" customWidth="1"/>
    <col min="16130" max="16384" width="8.88671875" style="1"/>
  </cols>
  <sheetData>
    <row r="1" spans="1:11" ht="15.6" x14ac:dyDescent="0.35">
      <c r="A1" s="1" t="s">
        <v>0</v>
      </c>
      <c r="B1" s="1">
        <v>234</v>
      </c>
    </row>
    <row r="2" spans="1:11" x14ac:dyDescent="0.25">
      <c r="A2" s="1" t="s">
        <v>1</v>
      </c>
      <c r="B2" s="2">
        <v>0.1</v>
      </c>
    </row>
    <row r="3" spans="1:11" x14ac:dyDescent="0.25">
      <c r="A3" s="1" t="s">
        <v>2</v>
      </c>
      <c r="B3" s="2">
        <v>0.15</v>
      </c>
    </row>
    <row r="5" spans="1:11" x14ac:dyDescent="0.25">
      <c r="A5" s="1" t="s">
        <v>3</v>
      </c>
      <c r="B5" s="1">
        <v>0</v>
      </c>
      <c r="C5" s="1">
        <v>1</v>
      </c>
      <c r="D5" s="1">
        <v>2</v>
      </c>
      <c r="E5" s="1">
        <v>3</v>
      </c>
      <c r="F5" s="1">
        <v>4</v>
      </c>
      <c r="G5" s="1">
        <v>5</v>
      </c>
      <c r="H5" s="1">
        <v>6</v>
      </c>
      <c r="I5" s="1">
        <v>7</v>
      </c>
    </row>
    <row r="6" spans="1:11" s="3" customFormat="1" x14ac:dyDescent="0.25">
      <c r="A6" s="3" t="s">
        <v>4</v>
      </c>
      <c r="B6" s="3">
        <v>-1150</v>
      </c>
      <c r="C6" s="3">
        <f>B1</f>
        <v>234</v>
      </c>
      <c r="D6" s="3">
        <f t="shared" ref="D6:I6" si="0">C6*(1+$B$2)</f>
        <v>257.40000000000003</v>
      </c>
      <c r="E6" s="3">
        <f t="shared" si="0"/>
        <v>283.14000000000004</v>
      </c>
      <c r="F6" s="3">
        <f t="shared" si="0"/>
        <v>311.45400000000006</v>
      </c>
      <c r="G6" s="3">
        <f t="shared" si="0"/>
        <v>342.59940000000012</v>
      </c>
      <c r="H6" s="3">
        <f t="shared" si="0"/>
        <v>376.85934000000015</v>
      </c>
      <c r="I6" s="3">
        <f t="shared" si="0"/>
        <v>414.54527400000018</v>
      </c>
    </row>
    <row r="8" spans="1:11" x14ac:dyDescent="0.25">
      <c r="A8" s="1" t="s">
        <v>5</v>
      </c>
      <c r="B8" s="4">
        <f>+B6+NPV(B3,C6:I6)</f>
        <v>101.45568912332033</v>
      </c>
      <c r="C8" s="3" t="s">
        <v>6</v>
      </c>
    </row>
    <row r="9" spans="1:11" s="5" customFormat="1" x14ac:dyDescent="0.25">
      <c r="A9" s="5" t="s">
        <v>7</v>
      </c>
      <c r="B9" s="6">
        <f>IRR(B6:I6,0)</f>
        <v>0.17602502039988455</v>
      </c>
      <c r="C9" s="5" t="s">
        <v>8</v>
      </c>
    </row>
    <row r="11" spans="1:11" x14ac:dyDescent="0.25">
      <c r="G11" s="7" t="str">
        <f ca="1">[1]!ggetformula(H14)</f>
        <v>=B8</v>
      </c>
      <c r="J11" s="8" t="str">
        <f ca="1">[1]!ggetformula(I14)</f>
        <v>=B9</v>
      </c>
    </row>
    <row r="12" spans="1:11" x14ac:dyDescent="0.25">
      <c r="C12" s="9"/>
      <c r="D12" s="9"/>
      <c r="K12" s="5"/>
    </row>
    <row r="13" spans="1:11" ht="13.8" thickBot="1" x14ac:dyDescent="0.3">
      <c r="C13" s="3"/>
      <c r="D13" s="5"/>
      <c r="H13" s="9" t="s">
        <v>5</v>
      </c>
      <c r="I13" s="9" t="s">
        <v>7</v>
      </c>
    </row>
    <row r="14" spans="1:11" ht="14.4" thickTop="1" x14ac:dyDescent="0.25">
      <c r="G14" s="10"/>
      <c r="H14" s="11">
        <f>B8</f>
        <v>101.45568912332033</v>
      </c>
      <c r="I14" s="12">
        <f>B9</f>
        <v>0.17602502039988455</v>
      </c>
    </row>
    <row r="15" spans="1:11" x14ac:dyDescent="0.25">
      <c r="A15" s="13"/>
      <c r="B15" s="2"/>
      <c r="G15" s="14">
        <v>0</v>
      </c>
      <c r="H15" s="3">
        <f t="dataTable" ref="H15:I18" dt2D="0" dtr="0" r1="B2"/>
        <v>-176.46178228002384</v>
      </c>
      <c r="I15" s="15">
        <v>9.7144476964074356E-2</v>
      </c>
    </row>
    <row r="16" spans="1:11" x14ac:dyDescent="0.25">
      <c r="A16" s="13"/>
      <c r="B16" s="2"/>
      <c r="F16" s="13" t="s">
        <v>9</v>
      </c>
      <c r="G16" s="16">
        <v>0.05</v>
      </c>
      <c r="H16" s="3">
        <v>-47.815932576939076</v>
      </c>
      <c r="I16" s="15">
        <v>0.13673818812638205</v>
      </c>
    </row>
    <row r="17" spans="2:10" x14ac:dyDescent="0.25">
      <c r="B17" s="2"/>
      <c r="F17" s="13" t="s">
        <v>10</v>
      </c>
      <c r="G17" s="16">
        <v>0.1</v>
      </c>
      <c r="H17" s="3">
        <v>101.45568912332033</v>
      </c>
      <c r="I17" s="15">
        <v>0.17602502039988455</v>
      </c>
    </row>
    <row r="18" spans="2:10" ht="13.8" thickBot="1" x14ac:dyDescent="0.3">
      <c r="G18" s="17">
        <v>0.15</v>
      </c>
      <c r="H18" s="18">
        <v>274.34782608695673</v>
      </c>
      <c r="I18" s="19">
        <v>0.21501993701824063</v>
      </c>
    </row>
    <row r="19" spans="2:10" ht="13.8" thickTop="1" x14ac:dyDescent="0.25"/>
    <row r="20" spans="2:10" x14ac:dyDescent="0.25">
      <c r="E20" s="8" t="str">
        <f ca="1">[1]!ggetformula(G22)</f>
        <v>=B8</v>
      </c>
    </row>
    <row r="21" spans="2:10" ht="13.8" thickBot="1" x14ac:dyDescent="0.3">
      <c r="H21" s="1" t="s">
        <v>2</v>
      </c>
    </row>
    <row r="22" spans="2:10" ht="13.8" thickTop="1" x14ac:dyDescent="0.25">
      <c r="G22" s="20">
        <f>B8</f>
        <v>101.45568912332033</v>
      </c>
      <c r="H22" s="21">
        <v>7.0000000000000007E-2</v>
      </c>
      <c r="I22" s="21">
        <v>0.1</v>
      </c>
      <c r="J22" s="22">
        <v>0.12</v>
      </c>
    </row>
    <row r="23" spans="2:10" x14ac:dyDescent="0.25">
      <c r="F23" s="13" t="s">
        <v>9</v>
      </c>
      <c r="G23" s="14">
        <v>0</v>
      </c>
      <c r="H23" s="3">
        <f t="dataTable" ref="H23:J26" dt2D="1" dtr="1" r1="B3" r2="B2" ca="1"/>
        <v>111.09371998579491</v>
      </c>
      <c r="I23" s="3">
        <v>-10.789996659854069</v>
      </c>
      <c r="J23" s="23">
        <v>-82.080969906942983</v>
      </c>
    </row>
    <row r="24" spans="2:10" x14ac:dyDescent="0.25">
      <c r="F24" s="13" t="s">
        <v>10</v>
      </c>
      <c r="G24" s="16">
        <v>0.05</v>
      </c>
      <c r="H24" s="3">
        <v>297.62432732591765</v>
      </c>
      <c r="I24" s="3">
        <v>150.7357763570451</v>
      </c>
      <c r="J24" s="23">
        <v>65.125990446124661</v>
      </c>
    </row>
    <row r="25" spans="2:10" x14ac:dyDescent="0.25">
      <c r="G25" s="16">
        <v>0.1</v>
      </c>
      <c r="H25" s="3">
        <v>515.79195404249458</v>
      </c>
      <c r="I25" s="3">
        <v>339.09090909090901</v>
      </c>
      <c r="J25" s="23">
        <v>236.44238214653296</v>
      </c>
    </row>
    <row r="26" spans="2:10" ht="13.8" thickBot="1" x14ac:dyDescent="0.3">
      <c r="G26" s="17">
        <v>0.15</v>
      </c>
      <c r="H26" s="18">
        <v>770.34057986164953</v>
      </c>
      <c r="I26" s="18">
        <v>558.25052676642918</v>
      </c>
      <c r="J26" s="24">
        <v>435.41166454249719</v>
      </c>
    </row>
    <row r="27" spans="2:10" ht="13.8" thickTop="1" x14ac:dyDescent="0.25"/>
    <row r="31" spans="2:10" x14ac:dyDescent="0.25">
      <c r="I31" s="9"/>
      <c r="J31" s="9"/>
    </row>
    <row r="32" spans="2:10" ht="13.8" x14ac:dyDescent="0.25">
      <c r="I32" s="25"/>
      <c r="J32" s="26"/>
    </row>
    <row r="33" spans="7:10" x14ac:dyDescent="0.25">
      <c r="I33" s="3"/>
      <c r="J33" s="5"/>
    </row>
    <row r="34" spans="7:10" x14ac:dyDescent="0.25">
      <c r="G34" s="13"/>
      <c r="H34" s="2"/>
      <c r="I34" s="3"/>
      <c r="J34" s="5"/>
    </row>
    <row r="35" spans="7:10" x14ac:dyDescent="0.25">
      <c r="G35" s="13"/>
      <c r="H35" s="2"/>
      <c r="I35" s="3"/>
      <c r="J35" s="5"/>
    </row>
    <row r="36" spans="7:10" x14ac:dyDescent="0.25">
      <c r="H36" s="2"/>
      <c r="I36" s="3"/>
      <c r="J36" s="5"/>
    </row>
  </sheetData>
  <phoneticPr fontId="1" type="noConversion"/>
  <printOptions headings="1" gridLines="1" gridLinesSet="0"/>
  <pageMargins left="0.75" right="0.75" top="1" bottom="1" header="0.5" footer="0.5"/>
  <pageSetup scale="99" orientation="landscape" verticalDpi="300" r:id="rId1"/>
  <headerFooter alignWithMargins="0">
    <oddHeader>&amp;CUN-19J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2</vt:i4>
      </vt:variant>
    </vt:vector>
  </HeadingPairs>
  <TitlesOfParts>
    <vt:vector size="4" baseType="lpstr">
      <vt:lpstr>Chapter example</vt:lpstr>
      <vt:lpstr>Sheet1</vt:lpstr>
      <vt:lpstr>discount</vt:lpstr>
      <vt:lpstr>growth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2024-12-23T08:20:36Z</dcterms:modified>
</cp:coreProperties>
</file>