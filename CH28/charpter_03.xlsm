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DC62F903-872E-4D45-A09F-F23AF14228A9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725" sheetId="2" r:id="rId2"/>
  </sheets>
  <functionGroups builtInGroupCount="19"/>
  <externalReferences>
    <externalReference r:id="rId3"/>
    <externalReference r:id="rId4"/>
  </externalReferences>
  <definedNames>
    <definedName name="amrbondterm">'[1]AMR, annual transition matrix'!$B$9</definedName>
    <definedName name="bondterm">'[2]Page 730'!$B$5</definedName>
    <definedName name="example">#REF!</definedName>
    <definedName name="initial">'[2]Page 730'!$C$16:$G$16</definedName>
    <definedName name="payoff1">'[2]Page 730'!$F$3:$F$7</definedName>
    <definedName name="payoff2">'[2]Page 730'!$I$3:$I$7</definedName>
    <definedName name="transition">'[2]Page 730'!$C$10:$G$14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" i="2" l="1"/>
  <c r="E6" i="2"/>
  <c r="D5" i="2"/>
  <c r="E5" i="2" s="1"/>
  <c r="E4" i="2"/>
  <c r="D4" i="2"/>
  <c r="B14" i="2" a="1"/>
  <c r="F18" i="2" l="1"/>
  <c r="D16" i="2"/>
  <c r="C16" i="2"/>
  <c r="F15" i="2"/>
  <c r="B16" i="2"/>
  <c r="E16" i="2"/>
  <c r="F16" i="2"/>
  <c r="B17" i="2"/>
  <c r="B14" i="2"/>
  <c r="C17" i="2"/>
  <c r="C14" i="2"/>
  <c r="D17" i="2"/>
  <c r="D14" i="2"/>
  <c r="E17" i="2"/>
  <c r="E14" i="2"/>
  <c r="F17" i="2"/>
  <c r="F14" i="2"/>
  <c r="B18" i="2"/>
  <c r="B15" i="2"/>
  <c r="C18" i="2"/>
  <c r="C15" i="2"/>
  <c r="D18" i="2"/>
  <c r="D15" i="2"/>
  <c r="E18" i="2"/>
  <c r="E15" i="2"/>
</calcChain>
</file>

<file path=xl/sharedStrings.xml><?xml version="1.0" encoding="utf-8"?>
<sst xmlns="http://schemas.openxmlformats.org/spreadsheetml/2006/main" count="24" uniqueCount="9">
  <si>
    <t>USING THE FUNCTION MATRIXPOWER
To compute multi-period transition matrices</t>
  </si>
  <si>
    <t>One-period transition matrix</t>
  </si>
  <si>
    <t>A</t>
  </si>
  <si>
    <t>B</t>
  </si>
  <si>
    <t>C</t>
  </si>
  <si>
    <t>D</t>
  </si>
  <si>
    <t>E</t>
  </si>
  <si>
    <t>t</t>
  </si>
  <si>
    <t>t-period transition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</si>
</sst>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0" borderId="0" xfId="1" applyFont="1"/>
    <xf numFmtId="0" fontId="4" fillId="0" borderId="0" xfId="1" applyFont="1" applyAlignment="1">
      <alignment horizontal="center"/>
    </xf>
    <xf numFmtId="176" fontId="2" fillId="0" borderId="0" xfId="1" applyNumberFormat="1"/>
    <xf numFmtId="0" fontId="4" fillId="2" borderId="0" xfId="1" applyFont="1" applyFill="1"/>
    <xf numFmtId="176" fontId="4" fillId="0" borderId="0" xfId="1" applyNumberFormat="1" applyFont="1"/>
  </cellXfs>
  <cellStyles count="2">
    <cellStyle name="常规" xfId="0" builtinId="0"/>
    <cellStyle name="常规 2" xfId="1" xr:uid="{78BE3226-B649-42A3-8E2F-CFF326C9464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66675</xdr:colOff>
      <xdr:row>9</xdr:row>
      <xdr:rowOff>123825</xdr:rowOff>
    </xdr:from>
    <xdr:to>
      <xdr:col>22</xdr:col>
      <xdr:colOff>383970</xdr:colOff>
      <xdr:row>42</xdr:row>
      <xdr:rowOff>17920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95D2E42-C30E-3BF8-8046-3042042A9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05575" y="1971675"/>
          <a:ext cx="7632495" cy="555194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22"/>
      <sheetName val="Page 722 (中文)"/>
      <sheetName val="Pages 723-24"/>
      <sheetName val="Pages 723-24 (中文)"/>
      <sheetName val="Page 725"/>
      <sheetName val="Page 725 (中文)"/>
      <sheetName val="Page 727, 729 top"/>
      <sheetName val="Page 727, 729 top (中文)"/>
      <sheetName val="Page 729, bottom"/>
      <sheetName val="Page 729, bottom (中文)"/>
      <sheetName val="Page 730"/>
      <sheetName val="Page 730 (中文)"/>
      <sheetName val="Page 732, 734"/>
      <sheetName val="Page 732, 734 (中文)"/>
      <sheetName val="Page 735"/>
      <sheetName val="Page 735 (中文)"/>
      <sheetName val="Page 736"/>
      <sheetName val="Page 736 (中文)"/>
      <sheetName val="Page 737"/>
      <sheetName val="Page 737 (中文)"/>
      <sheetName val="Page 738, top"/>
      <sheetName val="Page 738, top (中文)"/>
      <sheetName val="Page 738, bottom"/>
      <sheetName val="Page 738, bottom (中文) 1"/>
      <sheetName val="Page 738, bottom (中文)"/>
      <sheetName val="Page 7730"/>
      <sheetName val="Page 7730 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9558-9ABE-4466-9AF8-7EC2FFA847C4}">
  <sheetPr codeName="Sheet3"/>
  <dimension ref="A1:F19"/>
  <sheetViews>
    <sheetView tabSelected="1" workbookViewId="0">
      <selection activeCell="D26" sqref="D26"/>
    </sheetView>
  </sheetViews>
  <sheetFormatPr defaultRowHeight="13.2" x14ac:dyDescent="0.25"/>
  <cols>
    <col min="1" max="6" width="9.6640625" style="2" customWidth="1"/>
    <col min="7" max="256" width="8.88671875" style="2"/>
    <col min="257" max="262" width="9.6640625" style="2" customWidth="1"/>
    <col min="263" max="512" width="8.88671875" style="2"/>
    <col min="513" max="518" width="9.6640625" style="2" customWidth="1"/>
    <col min="519" max="768" width="8.88671875" style="2"/>
    <col min="769" max="774" width="9.6640625" style="2" customWidth="1"/>
    <col min="775" max="1024" width="8.88671875" style="2"/>
    <col min="1025" max="1030" width="9.6640625" style="2" customWidth="1"/>
    <col min="1031" max="1280" width="8.88671875" style="2"/>
    <col min="1281" max="1286" width="9.6640625" style="2" customWidth="1"/>
    <col min="1287" max="1536" width="8.88671875" style="2"/>
    <col min="1537" max="1542" width="9.6640625" style="2" customWidth="1"/>
    <col min="1543" max="1792" width="8.88671875" style="2"/>
    <col min="1793" max="1798" width="9.6640625" style="2" customWidth="1"/>
    <col min="1799" max="2048" width="8.88671875" style="2"/>
    <col min="2049" max="2054" width="9.6640625" style="2" customWidth="1"/>
    <col min="2055" max="2304" width="8.88671875" style="2"/>
    <col min="2305" max="2310" width="9.6640625" style="2" customWidth="1"/>
    <col min="2311" max="2560" width="8.88671875" style="2"/>
    <col min="2561" max="2566" width="9.6640625" style="2" customWidth="1"/>
    <col min="2567" max="2816" width="8.88671875" style="2"/>
    <col min="2817" max="2822" width="9.6640625" style="2" customWidth="1"/>
    <col min="2823" max="3072" width="8.88671875" style="2"/>
    <col min="3073" max="3078" width="9.6640625" style="2" customWidth="1"/>
    <col min="3079" max="3328" width="8.88671875" style="2"/>
    <col min="3329" max="3334" width="9.6640625" style="2" customWidth="1"/>
    <col min="3335" max="3584" width="8.88671875" style="2"/>
    <col min="3585" max="3590" width="9.6640625" style="2" customWidth="1"/>
    <col min="3591" max="3840" width="8.88671875" style="2"/>
    <col min="3841" max="3846" width="9.6640625" style="2" customWidth="1"/>
    <col min="3847" max="4096" width="8.88671875" style="2"/>
    <col min="4097" max="4102" width="9.6640625" style="2" customWidth="1"/>
    <col min="4103" max="4352" width="8.88671875" style="2"/>
    <col min="4353" max="4358" width="9.6640625" style="2" customWidth="1"/>
    <col min="4359" max="4608" width="8.88671875" style="2"/>
    <col min="4609" max="4614" width="9.6640625" style="2" customWidth="1"/>
    <col min="4615" max="4864" width="8.88671875" style="2"/>
    <col min="4865" max="4870" width="9.6640625" style="2" customWidth="1"/>
    <col min="4871" max="5120" width="8.88671875" style="2"/>
    <col min="5121" max="5126" width="9.6640625" style="2" customWidth="1"/>
    <col min="5127" max="5376" width="8.88671875" style="2"/>
    <col min="5377" max="5382" width="9.6640625" style="2" customWidth="1"/>
    <col min="5383" max="5632" width="8.88671875" style="2"/>
    <col min="5633" max="5638" width="9.6640625" style="2" customWidth="1"/>
    <col min="5639" max="5888" width="8.88671875" style="2"/>
    <col min="5889" max="5894" width="9.6640625" style="2" customWidth="1"/>
    <col min="5895" max="6144" width="8.88671875" style="2"/>
    <col min="6145" max="6150" width="9.6640625" style="2" customWidth="1"/>
    <col min="6151" max="6400" width="8.88671875" style="2"/>
    <col min="6401" max="6406" width="9.6640625" style="2" customWidth="1"/>
    <col min="6407" max="6656" width="8.88671875" style="2"/>
    <col min="6657" max="6662" width="9.6640625" style="2" customWidth="1"/>
    <col min="6663" max="6912" width="8.88671875" style="2"/>
    <col min="6913" max="6918" width="9.6640625" style="2" customWidth="1"/>
    <col min="6919" max="7168" width="8.88671875" style="2"/>
    <col min="7169" max="7174" width="9.6640625" style="2" customWidth="1"/>
    <col min="7175" max="7424" width="8.88671875" style="2"/>
    <col min="7425" max="7430" width="9.6640625" style="2" customWidth="1"/>
    <col min="7431" max="7680" width="8.88671875" style="2"/>
    <col min="7681" max="7686" width="9.6640625" style="2" customWidth="1"/>
    <col min="7687" max="7936" width="8.88671875" style="2"/>
    <col min="7937" max="7942" width="9.6640625" style="2" customWidth="1"/>
    <col min="7943" max="8192" width="8.88671875" style="2"/>
    <col min="8193" max="8198" width="9.6640625" style="2" customWidth="1"/>
    <col min="8199" max="8448" width="8.88671875" style="2"/>
    <col min="8449" max="8454" width="9.6640625" style="2" customWidth="1"/>
    <col min="8455" max="8704" width="8.88671875" style="2"/>
    <col min="8705" max="8710" width="9.6640625" style="2" customWidth="1"/>
    <col min="8711" max="8960" width="8.88671875" style="2"/>
    <col min="8961" max="8966" width="9.6640625" style="2" customWidth="1"/>
    <col min="8967" max="9216" width="8.88671875" style="2"/>
    <col min="9217" max="9222" width="9.6640625" style="2" customWidth="1"/>
    <col min="9223" max="9472" width="8.88671875" style="2"/>
    <col min="9473" max="9478" width="9.6640625" style="2" customWidth="1"/>
    <col min="9479" max="9728" width="8.88671875" style="2"/>
    <col min="9729" max="9734" width="9.6640625" style="2" customWidth="1"/>
    <col min="9735" max="9984" width="8.88671875" style="2"/>
    <col min="9985" max="9990" width="9.6640625" style="2" customWidth="1"/>
    <col min="9991" max="10240" width="8.88671875" style="2"/>
    <col min="10241" max="10246" width="9.6640625" style="2" customWidth="1"/>
    <col min="10247" max="10496" width="8.88671875" style="2"/>
    <col min="10497" max="10502" width="9.6640625" style="2" customWidth="1"/>
    <col min="10503" max="10752" width="8.88671875" style="2"/>
    <col min="10753" max="10758" width="9.6640625" style="2" customWidth="1"/>
    <col min="10759" max="11008" width="8.88671875" style="2"/>
    <col min="11009" max="11014" width="9.6640625" style="2" customWidth="1"/>
    <col min="11015" max="11264" width="8.88671875" style="2"/>
    <col min="11265" max="11270" width="9.6640625" style="2" customWidth="1"/>
    <col min="11271" max="11520" width="8.88671875" style="2"/>
    <col min="11521" max="11526" width="9.6640625" style="2" customWidth="1"/>
    <col min="11527" max="11776" width="8.88671875" style="2"/>
    <col min="11777" max="11782" width="9.6640625" style="2" customWidth="1"/>
    <col min="11783" max="12032" width="8.88671875" style="2"/>
    <col min="12033" max="12038" width="9.6640625" style="2" customWidth="1"/>
    <col min="12039" max="12288" width="8.88671875" style="2"/>
    <col min="12289" max="12294" width="9.6640625" style="2" customWidth="1"/>
    <col min="12295" max="12544" width="8.88671875" style="2"/>
    <col min="12545" max="12550" width="9.6640625" style="2" customWidth="1"/>
    <col min="12551" max="12800" width="8.88671875" style="2"/>
    <col min="12801" max="12806" width="9.6640625" style="2" customWidth="1"/>
    <col min="12807" max="13056" width="8.88671875" style="2"/>
    <col min="13057" max="13062" width="9.6640625" style="2" customWidth="1"/>
    <col min="13063" max="13312" width="8.88671875" style="2"/>
    <col min="13313" max="13318" width="9.6640625" style="2" customWidth="1"/>
    <col min="13319" max="13568" width="8.88671875" style="2"/>
    <col min="13569" max="13574" width="9.6640625" style="2" customWidth="1"/>
    <col min="13575" max="13824" width="8.88671875" style="2"/>
    <col min="13825" max="13830" width="9.6640625" style="2" customWidth="1"/>
    <col min="13831" max="14080" width="8.88671875" style="2"/>
    <col min="14081" max="14086" width="9.6640625" style="2" customWidth="1"/>
    <col min="14087" max="14336" width="8.88671875" style="2"/>
    <col min="14337" max="14342" width="9.6640625" style="2" customWidth="1"/>
    <col min="14343" max="14592" width="8.88671875" style="2"/>
    <col min="14593" max="14598" width="9.6640625" style="2" customWidth="1"/>
    <col min="14599" max="14848" width="8.88671875" style="2"/>
    <col min="14849" max="14854" width="9.6640625" style="2" customWidth="1"/>
    <col min="14855" max="15104" width="8.88671875" style="2"/>
    <col min="15105" max="15110" width="9.6640625" style="2" customWidth="1"/>
    <col min="15111" max="15360" width="8.88671875" style="2"/>
    <col min="15361" max="15366" width="9.6640625" style="2" customWidth="1"/>
    <col min="15367" max="15616" width="8.88671875" style="2"/>
    <col min="15617" max="15622" width="9.6640625" style="2" customWidth="1"/>
    <col min="15623" max="15872" width="8.88671875" style="2"/>
    <col min="15873" max="15878" width="9.6640625" style="2" customWidth="1"/>
    <col min="15879" max="16128" width="8.88671875" style="2"/>
    <col min="16129" max="16134" width="9.6640625" style="2" customWidth="1"/>
    <col min="16135" max="16384" width="8.88671875" style="2"/>
  </cols>
  <sheetData>
    <row r="1" spans="1:6" ht="37.200000000000003" customHeight="1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3" t="s">
        <v>1</v>
      </c>
    </row>
    <row r="3" spans="1:6" x14ac:dyDescent="0.25"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</row>
    <row r="4" spans="1:6" x14ac:dyDescent="0.25">
      <c r="A4" s="4" t="s">
        <v>2</v>
      </c>
      <c r="B4" s="5">
        <v>0.97</v>
      </c>
      <c r="C4" s="5">
        <v>0.02</v>
      </c>
      <c r="D4" s="5">
        <f>1-C4-B4</f>
        <v>1.0000000000000009E-2</v>
      </c>
      <c r="E4" s="5">
        <f>1-SUM(B4:D4)</f>
        <v>0</v>
      </c>
      <c r="F4" s="5">
        <v>0</v>
      </c>
    </row>
    <row r="5" spans="1:6" x14ac:dyDescent="0.25">
      <c r="A5" s="4" t="s">
        <v>3</v>
      </c>
      <c r="B5" s="5">
        <v>0.05</v>
      </c>
      <c r="C5" s="5">
        <v>0.8</v>
      </c>
      <c r="D5" s="5">
        <f>1-C5-B5</f>
        <v>0.14999999999999997</v>
      </c>
      <c r="E5" s="5">
        <f>1-SUM(B5:D5)</f>
        <v>0</v>
      </c>
      <c r="F5" s="5">
        <v>0</v>
      </c>
    </row>
    <row r="6" spans="1:6" x14ac:dyDescent="0.25">
      <c r="A6" s="4" t="s">
        <v>4</v>
      </c>
      <c r="B6" s="5">
        <v>0.01</v>
      </c>
      <c r="C6" s="5">
        <v>0.02</v>
      </c>
      <c r="D6" s="5">
        <v>0.75</v>
      </c>
      <c r="E6" s="5">
        <f>1-SUM(B6:D6)</f>
        <v>0.21999999999999997</v>
      </c>
      <c r="F6" s="5">
        <v>0</v>
      </c>
    </row>
    <row r="7" spans="1:6" x14ac:dyDescent="0.25">
      <c r="A7" s="4" t="s">
        <v>5</v>
      </c>
      <c r="B7" s="5">
        <v>0</v>
      </c>
      <c r="C7" s="5">
        <v>0</v>
      </c>
      <c r="D7" s="5">
        <v>0</v>
      </c>
      <c r="E7" s="5">
        <v>0</v>
      </c>
      <c r="F7" s="5">
        <v>1</v>
      </c>
    </row>
    <row r="8" spans="1:6" x14ac:dyDescent="0.25">
      <c r="A8" s="4" t="s">
        <v>6</v>
      </c>
      <c r="B8" s="5">
        <v>0</v>
      </c>
      <c r="C8" s="5">
        <v>0</v>
      </c>
      <c r="D8" s="5">
        <v>0</v>
      </c>
      <c r="E8" s="5">
        <v>0</v>
      </c>
      <c r="F8" s="5">
        <v>1</v>
      </c>
    </row>
    <row r="10" spans="1:6" x14ac:dyDescent="0.25">
      <c r="A10" s="6" t="s">
        <v>7</v>
      </c>
      <c r="B10" s="6">
        <v>10</v>
      </c>
    </row>
    <row r="11" spans="1:6" x14ac:dyDescent="0.25">
      <c r="A11" s="5"/>
      <c r="B11" s="5"/>
      <c r="C11" s="5"/>
      <c r="D11" s="5"/>
    </row>
    <row r="12" spans="1:6" x14ac:dyDescent="0.25">
      <c r="A12" s="7" t="s">
        <v>8</v>
      </c>
      <c r="B12" s="5"/>
      <c r="C12" s="5"/>
      <c r="D12" s="5"/>
    </row>
    <row r="13" spans="1:6" x14ac:dyDescent="0.25">
      <c r="B13" s="4" t="s">
        <v>2</v>
      </c>
      <c r="C13" s="4" t="s">
        <v>3</v>
      </c>
      <c r="D13" s="4" t="s">
        <v>4</v>
      </c>
      <c r="E13" s="4" t="s">
        <v>5</v>
      </c>
      <c r="F13" s="4" t="s">
        <v>6</v>
      </c>
    </row>
    <row r="14" spans="1:6" x14ac:dyDescent="0.25">
      <c r="A14" s="4" t="s">
        <v>2</v>
      </c>
      <c r="B14" s="5">
        <f t="array" ref="B14:F18">matrixpower(B4:F8,B10)</f>
        <v>0.76478718384486732</v>
      </c>
      <c r="C14" s="5">
        <v>7.9925695627315857E-2</v>
      </c>
      <c r="D14" s="5">
        <v>6.9945448439878988E-2</v>
      </c>
      <c r="E14" s="5">
        <v>1.4758435701640385E-2</v>
      </c>
      <c r="F14" s="5">
        <v>7.0583236386297557E-2</v>
      </c>
    </row>
    <row r="15" spans="1:6" x14ac:dyDescent="0.25">
      <c r="A15" s="4" t="s">
        <v>3</v>
      </c>
      <c r="B15" s="5">
        <v>0.21230698932921505</v>
      </c>
      <c r="C15" s="5">
        <v>0.14288542221293962</v>
      </c>
      <c r="D15" s="5">
        <v>0.17468920833340418</v>
      </c>
      <c r="E15" s="5">
        <v>4.3217927311067786E-2</v>
      </c>
      <c r="F15" s="5">
        <v>0.42690045281337335</v>
      </c>
    </row>
    <row r="16" spans="1:6" x14ac:dyDescent="0.25">
      <c r="A16" s="4" t="s">
        <v>4</v>
      </c>
      <c r="B16" s="5">
        <v>4.4959947918028098E-2</v>
      </c>
      <c r="C16" s="5">
        <v>2.495759447924395E-2</v>
      </c>
      <c r="D16" s="5">
        <v>7.5494335910459523E-2</v>
      </c>
      <c r="E16" s="5">
        <v>2.0795747996084447E-2</v>
      </c>
      <c r="F16" s="5">
        <v>0.83379237369618375</v>
      </c>
    </row>
    <row r="17" spans="1:6" x14ac:dyDescent="0.25">
      <c r="A17" s="4" t="s">
        <v>5</v>
      </c>
      <c r="B17" s="5">
        <v>0</v>
      </c>
      <c r="C17" s="5">
        <v>0</v>
      </c>
      <c r="D17" s="5">
        <v>0</v>
      </c>
      <c r="E17" s="5">
        <v>0</v>
      </c>
      <c r="F17" s="5">
        <v>1</v>
      </c>
    </row>
    <row r="18" spans="1:6" x14ac:dyDescent="0.25">
      <c r="A18" s="4" t="s">
        <v>6</v>
      </c>
      <c r="B18" s="5">
        <v>0</v>
      </c>
      <c r="C18" s="5">
        <v>0</v>
      </c>
      <c r="D18" s="5">
        <v>0</v>
      </c>
      <c r="E18" s="5">
        <v>0</v>
      </c>
      <c r="F18" s="5">
        <v>1</v>
      </c>
    </row>
    <row r="19" spans="1:6" x14ac:dyDescent="0.25">
      <c r="A19" s="3" t="e">
        <f ca="1">"Cells "&amp;CHAR(COLUMN(B14)+64)&amp;ROW(B14)&amp;":"&amp;CHAR(COLUMN(F18)+64)&amp;ROW(F18)&amp;" contain the array formula "&amp;ggetformula(B14)</f>
        <v>#NAME?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verticalDpi="300" r:id="rId1"/>
  <headerFooter alignWithMargins="0">
    <oddHeader>&amp;CUN-new chapter 17, C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725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2024-12-18T09:57:13Z</dcterms:modified>
</cp:coreProperties>
</file>