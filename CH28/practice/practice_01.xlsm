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practice\"/>
    </mc:Choice>
  </mc:AlternateContent>
  <xr:revisionPtr revIDLastSave="0" documentId="13_ncr:1_{32D0A410-71B1-42DA-A960-9BEC945B396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1" sheetId="2" r:id="rId1"/>
    <sheet name="Sheet1" sheetId="1" r:id="rId2"/>
  </sheets>
  <externalReferences>
    <externalReference r:id="rId3"/>
    <externalReference r:id="rId4"/>
    <externalReference r:id="rId5"/>
    <externalReference r:id="rId6"/>
  </externalReferences>
  <definedNames>
    <definedName name="amrbondterm">'[1]AMR, annual transition matrix'!$B$9</definedName>
    <definedName name="bbondterm">'[2]Price lt 100'!$B$5</definedName>
    <definedName name="bondterm">'[3]Exercise 2'!$B$5</definedName>
    <definedName name="iinitial">'[2]Price lt 100'!$C$16:$G$16</definedName>
    <definedName name="initial">'[3]Exercise 2'!$B$16:$F$16</definedName>
    <definedName name="marker">#REF!</definedName>
    <definedName name="payoff1">'[3]Exercise 2'!$F$3:$F$7</definedName>
    <definedName name="payoff2">'[3]Exercise 2'!$I$3:$I$7</definedName>
    <definedName name="ppayoff1">'[2]Price lt 100'!$F$3:$F$7</definedName>
    <definedName name="ppayoff2">'[2]Price lt 100'!$I$3:$I$7</definedName>
    <definedName name="transition">'[3]Exercise 2'!$C$10:$G$14</definedName>
    <definedName name="ttransition">'[2]Price lt 100'!$C$10:$G$14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9" i="2" s="1"/>
  <c r="F5" i="2" s="1"/>
  <c r="C9" i="2"/>
  <c r="C8" i="2"/>
</calcChain>
</file>

<file path=xl/sharedStrings.xml><?xml version="1.0" encoding="utf-8"?>
<sst xmlns="http://schemas.openxmlformats.org/spreadsheetml/2006/main" count="11" uniqueCount="11">
  <si>
    <t>EXPECTED RETURN ON A ONE-YEAR BONDWITH AN ADJUSTMENT FOR DEFAULT PROBABILITY</t>
  </si>
  <si>
    <t>Face value, F</t>
  </si>
  <si>
    <t>Data table:  expected return as function of Recovery % and Price</t>
  </si>
  <si>
    <t>Price, P</t>
  </si>
  <si>
    <t>Annual coupon rate, Q</t>
  </si>
  <si>
    <t>Recovery percentage</t>
  </si>
  <si>
    <r>
      <t xml:space="preserve">Non-default probability, </t>
    </r>
    <r>
      <rPr>
        <sz val="10"/>
        <rFont val="Symbol"/>
        <family val="1"/>
        <charset val="2"/>
      </rPr>
      <t>p</t>
    </r>
  </si>
  <si>
    <r>
      <t xml:space="preserve">Recovery percentage, </t>
    </r>
    <r>
      <rPr>
        <sz val="10"/>
        <rFont val="Symbol"/>
        <family val="1"/>
        <charset val="2"/>
      </rPr>
      <t>l</t>
    </r>
  </si>
  <si>
    <t>Price of bond --&gt;</t>
  </si>
  <si>
    <t>Expected cash flow</t>
  </si>
  <si>
    <t>Expected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</si>
</sst>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2" fillId="0" borderId="0" xfId="1" applyAlignment="1">
      <alignment horizontal="centerContinuous"/>
    </xf>
    <xf numFmtId="0" fontId="2" fillId="0" borderId="0" xfId="1"/>
    <xf numFmtId="0" fontId="4" fillId="0" borderId="0" xfId="1" applyFont="1"/>
    <xf numFmtId="9" fontId="2" fillId="0" borderId="0" xfId="1" applyNumberFormat="1"/>
    <xf numFmtId="10" fontId="2" fillId="0" borderId="0" xfId="1" applyNumberFormat="1"/>
    <xf numFmtId="10" fontId="0" fillId="0" borderId="0" xfId="2" applyNumberFormat="1" applyFont="1"/>
    <xf numFmtId="0" fontId="2" fillId="0" borderId="0" xfId="1" applyAlignment="1">
      <alignment horizontal="center"/>
    </xf>
    <xf numFmtId="0" fontId="2" fillId="2" borderId="0" xfId="1" applyFill="1"/>
    <xf numFmtId="10" fontId="0" fillId="2" borderId="0" xfId="2" applyNumberFormat="1" applyFont="1" applyFill="1"/>
    <xf numFmtId="10" fontId="0" fillId="3" borderId="0" xfId="2" applyNumberFormat="1" applyFont="1" applyFill="1"/>
  </cellXfs>
  <cellStyles count="3">
    <cellStyle name="百分比 2" xfId="2" xr:uid="{539672EE-1F50-4B7B-B91D-33C934AEB327}"/>
    <cellStyle name="常规" xfId="0" builtinId="0"/>
    <cellStyle name="常规 2" xfId="1" xr:uid="{9AB1F7EC-5CCF-408C-9EAB-A14B0BEA056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276225</xdr:colOff>
      <xdr:row>16</xdr:row>
      <xdr:rowOff>76200</xdr:rowOff>
    </xdr:from>
    <xdr:to>
      <xdr:col>29</xdr:col>
      <xdr:colOff>554274</xdr:colOff>
      <xdr:row>53</xdr:row>
      <xdr:rowOff>35170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20251A9-E821-AFB3-86FA-173B9B623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24850" y="3457575"/>
          <a:ext cx="13068219" cy="63026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chapter28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8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ne period example"/>
      <sheetName val="MMult"/>
      <sheetName val="Matrixpower"/>
      <sheetName val="Multiperiod"/>
      <sheetName val="Ergodic"/>
      <sheetName val="Price = 100, rating B"/>
      <sheetName val="Price = 100, rating C"/>
      <sheetName val="YTM"/>
      <sheetName val="Price lt 100"/>
      <sheetName val="Actual dates, annual matrix"/>
      <sheetName val="AMR, annual matrix"/>
      <sheetName val="Semiannual matrix computation"/>
      <sheetName val="AMR, semiannual matrix"/>
      <sheetName val="Semi vs annual--comparison (2)"/>
      <sheetName val="Bond beta"/>
      <sheetName val="AMR bond beta"/>
      <sheetName val="AMR beta, Benninga-Sari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1"/>
      <sheetName val="Exercise 2"/>
      <sheetName val="练习2"/>
      <sheetName val="Exercise 3"/>
      <sheetName val="练习3"/>
      <sheetName val="Exercise 4"/>
      <sheetName val="练习4"/>
      <sheetName val="Exercise 5"/>
      <sheetName val="练习5"/>
      <sheetName val="VBA matrixpower function"/>
    </sheetNames>
    <sheetDataSet>
      <sheetData sheetId="0"/>
      <sheetData sheetId="1"/>
      <sheetData sheetId="2">
        <row r="3">
          <cell r="F3">
            <v>9.3636999999999998E-2</v>
          </cell>
          <cell r="I3">
            <v>1.093637</v>
          </cell>
        </row>
        <row r="4">
          <cell r="F4">
            <v>9.3636999999999998E-2</v>
          </cell>
          <cell r="I4">
            <v>1.093637</v>
          </cell>
        </row>
        <row r="5">
          <cell r="B5">
            <v>10</v>
          </cell>
          <cell r="F5">
            <v>9.3636999999999998E-2</v>
          </cell>
          <cell r="I5">
            <v>1.093637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C11">
            <v>0.06</v>
          </cell>
          <cell r="D11">
            <v>0.9</v>
          </cell>
          <cell r="E11">
            <v>0.03</v>
          </cell>
          <cell r="F11">
            <v>0.01</v>
          </cell>
          <cell r="G11">
            <v>0</v>
          </cell>
        </row>
        <row r="12">
          <cell r="C12">
            <v>0.02</v>
          </cell>
          <cell r="D12">
            <v>0.05</v>
          </cell>
          <cell r="E12">
            <v>0.88</v>
          </cell>
          <cell r="F12">
            <v>0.05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B16">
            <v>0</v>
          </cell>
          <cell r="C16">
            <v>0</v>
          </cell>
          <cell r="D16">
            <v>1</v>
          </cell>
          <cell r="E16">
            <v>0</v>
          </cell>
          <cell r="F16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3104C-9257-4499-8901-D2EC65738F41}">
  <sheetPr codeName="Sheet1">
    <pageSetUpPr fitToPage="1"/>
  </sheetPr>
  <dimension ref="A1:M10"/>
  <sheetViews>
    <sheetView tabSelected="1" workbookViewId="0">
      <selection activeCell="E17" sqref="E17"/>
    </sheetView>
  </sheetViews>
  <sheetFormatPr defaultRowHeight="13.2" x14ac:dyDescent="0.25"/>
  <cols>
    <col min="1" max="1" width="22.6640625" style="4" customWidth="1"/>
    <col min="2" max="2" width="8.88671875" style="4"/>
    <col min="3" max="3" width="29.33203125" style="4" customWidth="1"/>
    <col min="4" max="4" width="6.88671875" style="4" customWidth="1"/>
    <col min="5" max="5" width="22.88671875" style="4" customWidth="1"/>
    <col min="6" max="256" width="8.88671875" style="4"/>
    <col min="257" max="257" width="22.6640625" style="4" customWidth="1"/>
    <col min="258" max="258" width="8.88671875" style="4"/>
    <col min="259" max="259" width="29.33203125" style="4" customWidth="1"/>
    <col min="260" max="260" width="6.88671875" style="4" customWidth="1"/>
    <col min="261" max="261" width="22.88671875" style="4" customWidth="1"/>
    <col min="262" max="512" width="8.88671875" style="4"/>
    <col min="513" max="513" width="22.6640625" style="4" customWidth="1"/>
    <col min="514" max="514" width="8.88671875" style="4"/>
    <col min="515" max="515" width="29.33203125" style="4" customWidth="1"/>
    <col min="516" max="516" width="6.88671875" style="4" customWidth="1"/>
    <col min="517" max="517" width="22.88671875" style="4" customWidth="1"/>
    <col min="518" max="768" width="8.88671875" style="4"/>
    <col min="769" max="769" width="22.6640625" style="4" customWidth="1"/>
    <col min="770" max="770" width="8.88671875" style="4"/>
    <col min="771" max="771" width="29.33203125" style="4" customWidth="1"/>
    <col min="772" max="772" width="6.88671875" style="4" customWidth="1"/>
    <col min="773" max="773" width="22.88671875" style="4" customWidth="1"/>
    <col min="774" max="1024" width="8.88671875" style="4"/>
    <col min="1025" max="1025" width="22.6640625" style="4" customWidth="1"/>
    <col min="1026" max="1026" width="8.88671875" style="4"/>
    <col min="1027" max="1027" width="29.33203125" style="4" customWidth="1"/>
    <col min="1028" max="1028" width="6.88671875" style="4" customWidth="1"/>
    <col min="1029" max="1029" width="22.88671875" style="4" customWidth="1"/>
    <col min="1030" max="1280" width="8.88671875" style="4"/>
    <col min="1281" max="1281" width="22.6640625" style="4" customWidth="1"/>
    <col min="1282" max="1282" width="8.88671875" style="4"/>
    <col min="1283" max="1283" width="29.33203125" style="4" customWidth="1"/>
    <col min="1284" max="1284" width="6.88671875" style="4" customWidth="1"/>
    <col min="1285" max="1285" width="22.88671875" style="4" customWidth="1"/>
    <col min="1286" max="1536" width="8.88671875" style="4"/>
    <col min="1537" max="1537" width="22.6640625" style="4" customWidth="1"/>
    <col min="1538" max="1538" width="8.88671875" style="4"/>
    <col min="1539" max="1539" width="29.33203125" style="4" customWidth="1"/>
    <col min="1540" max="1540" width="6.88671875" style="4" customWidth="1"/>
    <col min="1541" max="1541" width="22.88671875" style="4" customWidth="1"/>
    <col min="1542" max="1792" width="8.88671875" style="4"/>
    <col min="1793" max="1793" width="22.6640625" style="4" customWidth="1"/>
    <col min="1794" max="1794" width="8.88671875" style="4"/>
    <col min="1795" max="1795" width="29.33203125" style="4" customWidth="1"/>
    <col min="1796" max="1796" width="6.88671875" style="4" customWidth="1"/>
    <col min="1797" max="1797" width="22.88671875" style="4" customWidth="1"/>
    <col min="1798" max="2048" width="8.88671875" style="4"/>
    <col min="2049" max="2049" width="22.6640625" style="4" customWidth="1"/>
    <col min="2050" max="2050" width="8.88671875" style="4"/>
    <col min="2051" max="2051" width="29.33203125" style="4" customWidth="1"/>
    <col min="2052" max="2052" width="6.88671875" style="4" customWidth="1"/>
    <col min="2053" max="2053" width="22.88671875" style="4" customWidth="1"/>
    <col min="2054" max="2304" width="8.88671875" style="4"/>
    <col min="2305" max="2305" width="22.6640625" style="4" customWidth="1"/>
    <col min="2306" max="2306" width="8.88671875" style="4"/>
    <col min="2307" max="2307" width="29.33203125" style="4" customWidth="1"/>
    <col min="2308" max="2308" width="6.88671875" style="4" customWidth="1"/>
    <col min="2309" max="2309" width="22.88671875" style="4" customWidth="1"/>
    <col min="2310" max="2560" width="8.88671875" style="4"/>
    <col min="2561" max="2561" width="22.6640625" style="4" customWidth="1"/>
    <col min="2562" max="2562" width="8.88671875" style="4"/>
    <col min="2563" max="2563" width="29.33203125" style="4" customWidth="1"/>
    <col min="2564" max="2564" width="6.88671875" style="4" customWidth="1"/>
    <col min="2565" max="2565" width="22.88671875" style="4" customWidth="1"/>
    <col min="2566" max="2816" width="8.88671875" style="4"/>
    <col min="2817" max="2817" width="22.6640625" style="4" customWidth="1"/>
    <col min="2818" max="2818" width="8.88671875" style="4"/>
    <col min="2819" max="2819" width="29.33203125" style="4" customWidth="1"/>
    <col min="2820" max="2820" width="6.88671875" style="4" customWidth="1"/>
    <col min="2821" max="2821" width="22.88671875" style="4" customWidth="1"/>
    <col min="2822" max="3072" width="8.88671875" style="4"/>
    <col min="3073" max="3073" width="22.6640625" style="4" customWidth="1"/>
    <col min="3074" max="3074" width="8.88671875" style="4"/>
    <col min="3075" max="3075" width="29.33203125" style="4" customWidth="1"/>
    <col min="3076" max="3076" width="6.88671875" style="4" customWidth="1"/>
    <col min="3077" max="3077" width="22.88671875" style="4" customWidth="1"/>
    <col min="3078" max="3328" width="8.88671875" style="4"/>
    <col min="3329" max="3329" width="22.6640625" style="4" customWidth="1"/>
    <col min="3330" max="3330" width="8.88671875" style="4"/>
    <col min="3331" max="3331" width="29.33203125" style="4" customWidth="1"/>
    <col min="3332" max="3332" width="6.88671875" style="4" customWidth="1"/>
    <col min="3333" max="3333" width="22.88671875" style="4" customWidth="1"/>
    <col min="3334" max="3584" width="8.88671875" style="4"/>
    <col min="3585" max="3585" width="22.6640625" style="4" customWidth="1"/>
    <col min="3586" max="3586" width="8.88671875" style="4"/>
    <col min="3587" max="3587" width="29.33203125" style="4" customWidth="1"/>
    <col min="3588" max="3588" width="6.88671875" style="4" customWidth="1"/>
    <col min="3589" max="3589" width="22.88671875" style="4" customWidth="1"/>
    <col min="3590" max="3840" width="8.88671875" style="4"/>
    <col min="3841" max="3841" width="22.6640625" style="4" customWidth="1"/>
    <col min="3842" max="3842" width="8.88671875" style="4"/>
    <col min="3843" max="3843" width="29.33203125" style="4" customWidth="1"/>
    <col min="3844" max="3844" width="6.88671875" style="4" customWidth="1"/>
    <col min="3845" max="3845" width="22.88671875" style="4" customWidth="1"/>
    <col min="3846" max="4096" width="8.88671875" style="4"/>
    <col min="4097" max="4097" width="22.6640625" style="4" customWidth="1"/>
    <col min="4098" max="4098" width="8.88671875" style="4"/>
    <col min="4099" max="4099" width="29.33203125" style="4" customWidth="1"/>
    <col min="4100" max="4100" width="6.88671875" style="4" customWidth="1"/>
    <col min="4101" max="4101" width="22.88671875" style="4" customWidth="1"/>
    <col min="4102" max="4352" width="8.88671875" style="4"/>
    <col min="4353" max="4353" width="22.6640625" style="4" customWidth="1"/>
    <col min="4354" max="4354" width="8.88671875" style="4"/>
    <col min="4355" max="4355" width="29.33203125" style="4" customWidth="1"/>
    <col min="4356" max="4356" width="6.88671875" style="4" customWidth="1"/>
    <col min="4357" max="4357" width="22.88671875" style="4" customWidth="1"/>
    <col min="4358" max="4608" width="8.88671875" style="4"/>
    <col min="4609" max="4609" width="22.6640625" style="4" customWidth="1"/>
    <col min="4610" max="4610" width="8.88671875" style="4"/>
    <col min="4611" max="4611" width="29.33203125" style="4" customWidth="1"/>
    <col min="4612" max="4612" width="6.88671875" style="4" customWidth="1"/>
    <col min="4613" max="4613" width="22.88671875" style="4" customWidth="1"/>
    <col min="4614" max="4864" width="8.88671875" style="4"/>
    <col min="4865" max="4865" width="22.6640625" style="4" customWidth="1"/>
    <col min="4866" max="4866" width="8.88671875" style="4"/>
    <col min="4867" max="4867" width="29.33203125" style="4" customWidth="1"/>
    <col min="4868" max="4868" width="6.88671875" style="4" customWidth="1"/>
    <col min="4869" max="4869" width="22.88671875" style="4" customWidth="1"/>
    <col min="4870" max="5120" width="8.88671875" style="4"/>
    <col min="5121" max="5121" width="22.6640625" style="4" customWidth="1"/>
    <col min="5122" max="5122" width="8.88671875" style="4"/>
    <col min="5123" max="5123" width="29.33203125" style="4" customWidth="1"/>
    <col min="5124" max="5124" width="6.88671875" style="4" customWidth="1"/>
    <col min="5125" max="5125" width="22.88671875" style="4" customWidth="1"/>
    <col min="5126" max="5376" width="8.88671875" style="4"/>
    <col min="5377" max="5377" width="22.6640625" style="4" customWidth="1"/>
    <col min="5378" max="5378" width="8.88671875" style="4"/>
    <col min="5379" max="5379" width="29.33203125" style="4" customWidth="1"/>
    <col min="5380" max="5380" width="6.88671875" style="4" customWidth="1"/>
    <col min="5381" max="5381" width="22.88671875" style="4" customWidth="1"/>
    <col min="5382" max="5632" width="8.88671875" style="4"/>
    <col min="5633" max="5633" width="22.6640625" style="4" customWidth="1"/>
    <col min="5634" max="5634" width="8.88671875" style="4"/>
    <col min="5635" max="5635" width="29.33203125" style="4" customWidth="1"/>
    <col min="5636" max="5636" width="6.88671875" style="4" customWidth="1"/>
    <col min="5637" max="5637" width="22.88671875" style="4" customWidth="1"/>
    <col min="5638" max="5888" width="8.88671875" style="4"/>
    <col min="5889" max="5889" width="22.6640625" style="4" customWidth="1"/>
    <col min="5890" max="5890" width="8.88671875" style="4"/>
    <col min="5891" max="5891" width="29.33203125" style="4" customWidth="1"/>
    <col min="5892" max="5892" width="6.88671875" style="4" customWidth="1"/>
    <col min="5893" max="5893" width="22.88671875" style="4" customWidth="1"/>
    <col min="5894" max="6144" width="8.88671875" style="4"/>
    <col min="6145" max="6145" width="22.6640625" style="4" customWidth="1"/>
    <col min="6146" max="6146" width="8.88671875" style="4"/>
    <col min="6147" max="6147" width="29.33203125" style="4" customWidth="1"/>
    <col min="6148" max="6148" width="6.88671875" style="4" customWidth="1"/>
    <col min="6149" max="6149" width="22.88671875" style="4" customWidth="1"/>
    <col min="6150" max="6400" width="8.88671875" style="4"/>
    <col min="6401" max="6401" width="22.6640625" style="4" customWidth="1"/>
    <col min="6402" max="6402" width="8.88671875" style="4"/>
    <col min="6403" max="6403" width="29.33203125" style="4" customWidth="1"/>
    <col min="6404" max="6404" width="6.88671875" style="4" customWidth="1"/>
    <col min="6405" max="6405" width="22.88671875" style="4" customWidth="1"/>
    <col min="6406" max="6656" width="8.88671875" style="4"/>
    <col min="6657" max="6657" width="22.6640625" style="4" customWidth="1"/>
    <col min="6658" max="6658" width="8.88671875" style="4"/>
    <col min="6659" max="6659" width="29.33203125" style="4" customWidth="1"/>
    <col min="6660" max="6660" width="6.88671875" style="4" customWidth="1"/>
    <col min="6661" max="6661" width="22.88671875" style="4" customWidth="1"/>
    <col min="6662" max="6912" width="8.88671875" style="4"/>
    <col min="6913" max="6913" width="22.6640625" style="4" customWidth="1"/>
    <col min="6914" max="6914" width="8.88671875" style="4"/>
    <col min="6915" max="6915" width="29.33203125" style="4" customWidth="1"/>
    <col min="6916" max="6916" width="6.88671875" style="4" customWidth="1"/>
    <col min="6917" max="6917" width="22.88671875" style="4" customWidth="1"/>
    <col min="6918" max="7168" width="8.88671875" style="4"/>
    <col min="7169" max="7169" width="22.6640625" style="4" customWidth="1"/>
    <col min="7170" max="7170" width="8.88671875" style="4"/>
    <col min="7171" max="7171" width="29.33203125" style="4" customWidth="1"/>
    <col min="7172" max="7172" width="6.88671875" style="4" customWidth="1"/>
    <col min="7173" max="7173" width="22.88671875" style="4" customWidth="1"/>
    <col min="7174" max="7424" width="8.88671875" style="4"/>
    <col min="7425" max="7425" width="22.6640625" style="4" customWidth="1"/>
    <col min="7426" max="7426" width="8.88671875" style="4"/>
    <col min="7427" max="7427" width="29.33203125" style="4" customWidth="1"/>
    <col min="7428" max="7428" width="6.88671875" style="4" customWidth="1"/>
    <col min="7429" max="7429" width="22.88671875" style="4" customWidth="1"/>
    <col min="7430" max="7680" width="8.88671875" style="4"/>
    <col min="7681" max="7681" width="22.6640625" style="4" customWidth="1"/>
    <col min="7682" max="7682" width="8.88671875" style="4"/>
    <col min="7683" max="7683" width="29.33203125" style="4" customWidth="1"/>
    <col min="7684" max="7684" width="6.88671875" style="4" customWidth="1"/>
    <col min="7685" max="7685" width="22.88671875" style="4" customWidth="1"/>
    <col min="7686" max="7936" width="8.88671875" style="4"/>
    <col min="7937" max="7937" width="22.6640625" style="4" customWidth="1"/>
    <col min="7938" max="7938" width="8.88671875" style="4"/>
    <col min="7939" max="7939" width="29.33203125" style="4" customWidth="1"/>
    <col min="7940" max="7940" width="6.88671875" style="4" customWidth="1"/>
    <col min="7941" max="7941" width="22.88671875" style="4" customWidth="1"/>
    <col min="7942" max="8192" width="8.88671875" style="4"/>
    <col min="8193" max="8193" width="22.6640625" style="4" customWidth="1"/>
    <col min="8194" max="8194" width="8.88671875" style="4"/>
    <col min="8195" max="8195" width="29.33203125" style="4" customWidth="1"/>
    <col min="8196" max="8196" width="6.88671875" style="4" customWidth="1"/>
    <col min="8197" max="8197" width="22.88671875" style="4" customWidth="1"/>
    <col min="8198" max="8448" width="8.88671875" style="4"/>
    <col min="8449" max="8449" width="22.6640625" style="4" customWidth="1"/>
    <col min="8450" max="8450" width="8.88671875" style="4"/>
    <col min="8451" max="8451" width="29.33203125" style="4" customWidth="1"/>
    <col min="8452" max="8452" width="6.88671875" style="4" customWidth="1"/>
    <col min="8453" max="8453" width="22.88671875" style="4" customWidth="1"/>
    <col min="8454" max="8704" width="8.88671875" style="4"/>
    <col min="8705" max="8705" width="22.6640625" style="4" customWidth="1"/>
    <col min="8706" max="8706" width="8.88671875" style="4"/>
    <col min="8707" max="8707" width="29.33203125" style="4" customWidth="1"/>
    <col min="8708" max="8708" width="6.88671875" style="4" customWidth="1"/>
    <col min="8709" max="8709" width="22.88671875" style="4" customWidth="1"/>
    <col min="8710" max="8960" width="8.88671875" style="4"/>
    <col min="8961" max="8961" width="22.6640625" style="4" customWidth="1"/>
    <col min="8962" max="8962" width="8.88671875" style="4"/>
    <col min="8963" max="8963" width="29.33203125" style="4" customWidth="1"/>
    <col min="8964" max="8964" width="6.88671875" style="4" customWidth="1"/>
    <col min="8965" max="8965" width="22.88671875" style="4" customWidth="1"/>
    <col min="8966" max="9216" width="8.88671875" style="4"/>
    <col min="9217" max="9217" width="22.6640625" style="4" customWidth="1"/>
    <col min="9218" max="9218" width="8.88671875" style="4"/>
    <col min="9219" max="9219" width="29.33203125" style="4" customWidth="1"/>
    <col min="9220" max="9220" width="6.88671875" style="4" customWidth="1"/>
    <col min="9221" max="9221" width="22.88671875" style="4" customWidth="1"/>
    <col min="9222" max="9472" width="8.88671875" style="4"/>
    <col min="9473" max="9473" width="22.6640625" style="4" customWidth="1"/>
    <col min="9474" max="9474" width="8.88671875" style="4"/>
    <col min="9475" max="9475" width="29.33203125" style="4" customWidth="1"/>
    <col min="9476" max="9476" width="6.88671875" style="4" customWidth="1"/>
    <col min="9477" max="9477" width="22.88671875" style="4" customWidth="1"/>
    <col min="9478" max="9728" width="8.88671875" style="4"/>
    <col min="9729" max="9729" width="22.6640625" style="4" customWidth="1"/>
    <col min="9730" max="9730" width="8.88671875" style="4"/>
    <col min="9731" max="9731" width="29.33203125" style="4" customWidth="1"/>
    <col min="9732" max="9732" width="6.88671875" style="4" customWidth="1"/>
    <col min="9733" max="9733" width="22.88671875" style="4" customWidth="1"/>
    <col min="9734" max="9984" width="8.88671875" style="4"/>
    <col min="9985" max="9985" width="22.6640625" style="4" customWidth="1"/>
    <col min="9986" max="9986" width="8.88671875" style="4"/>
    <col min="9987" max="9987" width="29.33203125" style="4" customWidth="1"/>
    <col min="9988" max="9988" width="6.88671875" style="4" customWidth="1"/>
    <col min="9989" max="9989" width="22.88671875" style="4" customWidth="1"/>
    <col min="9990" max="10240" width="8.88671875" style="4"/>
    <col min="10241" max="10241" width="22.6640625" style="4" customWidth="1"/>
    <col min="10242" max="10242" width="8.88671875" style="4"/>
    <col min="10243" max="10243" width="29.33203125" style="4" customWidth="1"/>
    <col min="10244" max="10244" width="6.88671875" style="4" customWidth="1"/>
    <col min="10245" max="10245" width="22.88671875" style="4" customWidth="1"/>
    <col min="10246" max="10496" width="8.88671875" style="4"/>
    <col min="10497" max="10497" width="22.6640625" style="4" customWidth="1"/>
    <col min="10498" max="10498" width="8.88671875" style="4"/>
    <col min="10499" max="10499" width="29.33203125" style="4" customWidth="1"/>
    <col min="10500" max="10500" width="6.88671875" style="4" customWidth="1"/>
    <col min="10501" max="10501" width="22.88671875" style="4" customWidth="1"/>
    <col min="10502" max="10752" width="8.88671875" style="4"/>
    <col min="10753" max="10753" width="22.6640625" style="4" customWidth="1"/>
    <col min="10754" max="10754" width="8.88671875" style="4"/>
    <col min="10755" max="10755" width="29.33203125" style="4" customWidth="1"/>
    <col min="10756" max="10756" width="6.88671875" style="4" customWidth="1"/>
    <col min="10757" max="10757" width="22.88671875" style="4" customWidth="1"/>
    <col min="10758" max="11008" width="8.88671875" style="4"/>
    <col min="11009" max="11009" width="22.6640625" style="4" customWidth="1"/>
    <col min="11010" max="11010" width="8.88671875" style="4"/>
    <col min="11011" max="11011" width="29.33203125" style="4" customWidth="1"/>
    <col min="11012" max="11012" width="6.88671875" style="4" customWidth="1"/>
    <col min="11013" max="11013" width="22.88671875" style="4" customWidth="1"/>
    <col min="11014" max="11264" width="8.88671875" style="4"/>
    <col min="11265" max="11265" width="22.6640625" style="4" customWidth="1"/>
    <col min="11266" max="11266" width="8.88671875" style="4"/>
    <col min="11267" max="11267" width="29.33203125" style="4" customWidth="1"/>
    <col min="11268" max="11268" width="6.88671875" style="4" customWidth="1"/>
    <col min="11269" max="11269" width="22.88671875" style="4" customWidth="1"/>
    <col min="11270" max="11520" width="8.88671875" style="4"/>
    <col min="11521" max="11521" width="22.6640625" style="4" customWidth="1"/>
    <col min="11522" max="11522" width="8.88671875" style="4"/>
    <col min="11523" max="11523" width="29.33203125" style="4" customWidth="1"/>
    <col min="11524" max="11524" width="6.88671875" style="4" customWidth="1"/>
    <col min="11525" max="11525" width="22.88671875" style="4" customWidth="1"/>
    <col min="11526" max="11776" width="8.88671875" style="4"/>
    <col min="11777" max="11777" width="22.6640625" style="4" customWidth="1"/>
    <col min="11778" max="11778" width="8.88671875" style="4"/>
    <col min="11779" max="11779" width="29.33203125" style="4" customWidth="1"/>
    <col min="11780" max="11780" width="6.88671875" style="4" customWidth="1"/>
    <col min="11781" max="11781" width="22.88671875" style="4" customWidth="1"/>
    <col min="11782" max="12032" width="8.88671875" style="4"/>
    <col min="12033" max="12033" width="22.6640625" style="4" customWidth="1"/>
    <col min="12034" max="12034" width="8.88671875" style="4"/>
    <col min="12035" max="12035" width="29.33203125" style="4" customWidth="1"/>
    <col min="12036" max="12036" width="6.88671875" style="4" customWidth="1"/>
    <col min="12037" max="12037" width="22.88671875" style="4" customWidth="1"/>
    <col min="12038" max="12288" width="8.88671875" style="4"/>
    <col min="12289" max="12289" width="22.6640625" style="4" customWidth="1"/>
    <col min="12290" max="12290" width="8.88671875" style="4"/>
    <col min="12291" max="12291" width="29.33203125" style="4" customWidth="1"/>
    <col min="12292" max="12292" width="6.88671875" style="4" customWidth="1"/>
    <col min="12293" max="12293" width="22.88671875" style="4" customWidth="1"/>
    <col min="12294" max="12544" width="8.88671875" style="4"/>
    <col min="12545" max="12545" width="22.6640625" style="4" customWidth="1"/>
    <col min="12546" max="12546" width="8.88671875" style="4"/>
    <col min="12547" max="12547" width="29.33203125" style="4" customWidth="1"/>
    <col min="12548" max="12548" width="6.88671875" style="4" customWidth="1"/>
    <col min="12549" max="12549" width="22.88671875" style="4" customWidth="1"/>
    <col min="12550" max="12800" width="8.88671875" style="4"/>
    <col min="12801" max="12801" width="22.6640625" style="4" customWidth="1"/>
    <col min="12802" max="12802" width="8.88671875" style="4"/>
    <col min="12803" max="12803" width="29.33203125" style="4" customWidth="1"/>
    <col min="12804" max="12804" width="6.88671875" style="4" customWidth="1"/>
    <col min="12805" max="12805" width="22.88671875" style="4" customWidth="1"/>
    <col min="12806" max="13056" width="8.88671875" style="4"/>
    <col min="13057" max="13057" width="22.6640625" style="4" customWidth="1"/>
    <col min="13058" max="13058" width="8.88671875" style="4"/>
    <col min="13059" max="13059" width="29.33203125" style="4" customWidth="1"/>
    <col min="13060" max="13060" width="6.88671875" style="4" customWidth="1"/>
    <col min="13061" max="13061" width="22.88671875" style="4" customWidth="1"/>
    <col min="13062" max="13312" width="8.88671875" style="4"/>
    <col min="13313" max="13313" width="22.6640625" style="4" customWidth="1"/>
    <col min="13314" max="13314" width="8.88671875" style="4"/>
    <col min="13315" max="13315" width="29.33203125" style="4" customWidth="1"/>
    <col min="13316" max="13316" width="6.88671875" style="4" customWidth="1"/>
    <col min="13317" max="13317" width="22.88671875" style="4" customWidth="1"/>
    <col min="13318" max="13568" width="8.88671875" style="4"/>
    <col min="13569" max="13569" width="22.6640625" style="4" customWidth="1"/>
    <col min="13570" max="13570" width="8.88671875" style="4"/>
    <col min="13571" max="13571" width="29.33203125" style="4" customWidth="1"/>
    <col min="13572" max="13572" width="6.88671875" style="4" customWidth="1"/>
    <col min="13573" max="13573" width="22.88671875" style="4" customWidth="1"/>
    <col min="13574" max="13824" width="8.88671875" style="4"/>
    <col min="13825" max="13825" width="22.6640625" style="4" customWidth="1"/>
    <col min="13826" max="13826" width="8.88671875" style="4"/>
    <col min="13827" max="13827" width="29.33203125" style="4" customWidth="1"/>
    <col min="13828" max="13828" width="6.88671875" style="4" customWidth="1"/>
    <col min="13829" max="13829" width="22.88671875" style="4" customWidth="1"/>
    <col min="13830" max="14080" width="8.88671875" style="4"/>
    <col min="14081" max="14081" width="22.6640625" style="4" customWidth="1"/>
    <col min="14082" max="14082" width="8.88671875" style="4"/>
    <col min="14083" max="14083" width="29.33203125" style="4" customWidth="1"/>
    <col min="14084" max="14084" width="6.88671875" style="4" customWidth="1"/>
    <col min="14085" max="14085" width="22.88671875" style="4" customWidth="1"/>
    <col min="14086" max="14336" width="8.88671875" style="4"/>
    <col min="14337" max="14337" width="22.6640625" style="4" customWidth="1"/>
    <col min="14338" max="14338" width="8.88671875" style="4"/>
    <col min="14339" max="14339" width="29.33203125" style="4" customWidth="1"/>
    <col min="14340" max="14340" width="6.88671875" style="4" customWidth="1"/>
    <col min="14341" max="14341" width="22.88671875" style="4" customWidth="1"/>
    <col min="14342" max="14592" width="8.88671875" style="4"/>
    <col min="14593" max="14593" width="22.6640625" style="4" customWidth="1"/>
    <col min="14594" max="14594" width="8.88671875" style="4"/>
    <col min="14595" max="14595" width="29.33203125" style="4" customWidth="1"/>
    <col min="14596" max="14596" width="6.88671875" style="4" customWidth="1"/>
    <col min="14597" max="14597" width="22.88671875" style="4" customWidth="1"/>
    <col min="14598" max="14848" width="8.88671875" style="4"/>
    <col min="14849" max="14849" width="22.6640625" style="4" customWidth="1"/>
    <col min="14850" max="14850" width="8.88671875" style="4"/>
    <col min="14851" max="14851" width="29.33203125" style="4" customWidth="1"/>
    <col min="14852" max="14852" width="6.88671875" style="4" customWidth="1"/>
    <col min="14853" max="14853" width="22.88671875" style="4" customWidth="1"/>
    <col min="14854" max="15104" width="8.88671875" style="4"/>
    <col min="15105" max="15105" width="22.6640625" style="4" customWidth="1"/>
    <col min="15106" max="15106" width="8.88671875" style="4"/>
    <col min="15107" max="15107" width="29.33203125" style="4" customWidth="1"/>
    <col min="15108" max="15108" width="6.88671875" style="4" customWidth="1"/>
    <col min="15109" max="15109" width="22.88671875" style="4" customWidth="1"/>
    <col min="15110" max="15360" width="8.88671875" style="4"/>
    <col min="15361" max="15361" width="22.6640625" style="4" customWidth="1"/>
    <col min="15362" max="15362" width="8.88671875" style="4"/>
    <col min="15363" max="15363" width="29.33203125" style="4" customWidth="1"/>
    <col min="15364" max="15364" width="6.88671875" style="4" customWidth="1"/>
    <col min="15365" max="15365" width="22.88671875" style="4" customWidth="1"/>
    <col min="15366" max="15616" width="8.88671875" style="4"/>
    <col min="15617" max="15617" width="22.6640625" style="4" customWidth="1"/>
    <col min="15618" max="15618" width="8.88671875" style="4"/>
    <col min="15619" max="15619" width="29.33203125" style="4" customWidth="1"/>
    <col min="15620" max="15620" width="6.88671875" style="4" customWidth="1"/>
    <col min="15621" max="15621" width="22.88671875" style="4" customWidth="1"/>
    <col min="15622" max="15872" width="8.88671875" style="4"/>
    <col min="15873" max="15873" width="22.6640625" style="4" customWidth="1"/>
    <col min="15874" max="15874" width="8.88671875" style="4"/>
    <col min="15875" max="15875" width="29.33203125" style="4" customWidth="1"/>
    <col min="15876" max="15876" width="6.88671875" style="4" customWidth="1"/>
    <col min="15877" max="15877" width="22.88671875" style="4" customWidth="1"/>
    <col min="15878" max="16128" width="8.88671875" style="4"/>
    <col min="16129" max="16129" width="22.6640625" style="4" customWidth="1"/>
    <col min="16130" max="16130" width="8.88671875" style="4"/>
    <col min="16131" max="16131" width="29.33203125" style="4" customWidth="1"/>
    <col min="16132" max="16132" width="6.88671875" style="4" customWidth="1"/>
    <col min="16133" max="16133" width="22.88671875" style="4" customWidth="1"/>
    <col min="16134" max="16384" width="8.88671875" style="4"/>
  </cols>
  <sheetData>
    <row r="1" spans="1:13" ht="63.75" customHeight="1" x14ac:dyDescent="0.25">
      <c r="A1" s="1" t="s">
        <v>0</v>
      </c>
      <c r="B1" s="1"/>
      <c r="C1" s="1"/>
      <c r="D1" s="2"/>
      <c r="E1" s="3"/>
      <c r="F1" s="3"/>
      <c r="G1" s="3"/>
    </row>
    <row r="2" spans="1:13" x14ac:dyDescent="0.25">
      <c r="A2" s="4" t="s">
        <v>1</v>
      </c>
      <c r="B2" s="4">
        <v>100</v>
      </c>
      <c r="F2" s="5" t="s">
        <v>2</v>
      </c>
    </row>
    <row r="3" spans="1:13" x14ac:dyDescent="0.25">
      <c r="A3" s="4" t="s">
        <v>3</v>
      </c>
      <c r="B3" s="4">
        <v>100</v>
      </c>
    </row>
    <row r="4" spans="1:13" x14ac:dyDescent="0.25">
      <c r="A4" s="4" t="s">
        <v>4</v>
      </c>
      <c r="B4" s="6">
        <v>0.15</v>
      </c>
      <c r="G4" s="4" t="s">
        <v>5</v>
      </c>
    </row>
    <row r="5" spans="1:13" x14ac:dyDescent="0.25">
      <c r="A5" s="4" t="s">
        <v>6</v>
      </c>
      <c r="B5" s="6">
        <v>0.65</v>
      </c>
      <c r="F5" s="7">
        <f>B9</f>
        <v>-2.5000000000000022E-2</v>
      </c>
      <c r="G5" s="6">
        <v>0.4</v>
      </c>
      <c r="H5" s="6">
        <v>0.5</v>
      </c>
      <c r="I5" s="6">
        <v>0.6</v>
      </c>
      <c r="J5" s="6">
        <v>0.7</v>
      </c>
      <c r="K5" s="6">
        <v>0.8</v>
      </c>
      <c r="L5" s="6">
        <v>0.9</v>
      </c>
      <c r="M5" s="6">
        <v>1</v>
      </c>
    </row>
    <row r="6" spans="1:13" ht="13.8" x14ac:dyDescent="0.25">
      <c r="A6" s="4" t="s">
        <v>7</v>
      </c>
      <c r="B6" s="6">
        <v>0.65</v>
      </c>
      <c r="F6" s="4">
        <v>80</v>
      </c>
      <c r="G6" s="8">
        <f t="dataTable" ref="G6:M10" dt2D="1" dtr="0" r1="B6" r2="B3"/>
        <v>0.109375</v>
      </c>
      <c r="H6" s="8">
        <v>0.15312499999999996</v>
      </c>
      <c r="I6" s="8">
        <v>0.19687499999999991</v>
      </c>
      <c r="J6" s="8">
        <v>0.24062500000000009</v>
      </c>
      <c r="K6" s="8">
        <v>0.28437500000000004</v>
      </c>
      <c r="L6" s="8">
        <v>0.328125</v>
      </c>
      <c r="M6" s="8">
        <v>0.37187499999999996</v>
      </c>
    </row>
    <row r="7" spans="1:13" ht="13.8" x14ac:dyDescent="0.25">
      <c r="E7" s="9" t="s">
        <v>8</v>
      </c>
      <c r="F7" s="4">
        <v>85</v>
      </c>
      <c r="G7" s="8">
        <v>4.4117647058823595E-2</v>
      </c>
      <c r="H7" s="8">
        <v>8.5294117647058743E-2</v>
      </c>
      <c r="I7" s="8">
        <v>0.12647058823529411</v>
      </c>
      <c r="J7" s="8">
        <v>0.16764705882352948</v>
      </c>
      <c r="K7" s="8">
        <v>0.20882352941176463</v>
      </c>
      <c r="L7" s="8">
        <v>0.25</v>
      </c>
      <c r="M7" s="8">
        <v>0.29117647058823537</v>
      </c>
    </row>
    <row r="8" spans="1:13" ht="13.8" x14ac:dyDescent="0.25">
      <c r="A8" s="4" t="s">
        <v>9</v>
      </c>
      <c r="B8" s="4">
        <f>B5*(1+B4)*B2+(1-B5)*B6*B2</f>
        <v>97.5</v>
      </c>
      <c r="C8" s="4" t="str">
        <f ca="1">[4]!getformula(B8)</f>
        <v>&lt;--  =B5*(1+B4)*B2+(1-B5)*B6*B2</v>
      </c>
      <c r="F8" s="4">
        <v>90</v>
      </c>
      <c r="G8" s="8">
        <v>-1.388888888888884E-2</v>
      </c>
      <c r="H8" s="8">
        <v>2.4999999999999911E-2</v>
      </c>
      <c r="I8" s="8">
        <v>6.3888888888888884E-2</v>
      </c>
      <c r="J8" s="8">
        <v>0.10277777777777786</v>
      </c>
      <c r="K8" s="8">
        <v>0.14166666666666661</v>
      </c>
      <c r="L8" s="8">
        <v>0.18055555555555558</v>
      </c>
      <c r="M8" s="8">
        <v>0.21944444444444455</v>
      </c>
    </row>
    <row r="9" spans="1:13" ht="13.8" x14ac:dyDescent="0.25">
      <c r="A9" s="10" t="s">
        <v>10</v>
      </c>
      <c r="B9" s="11">
        <f>B8/B3-1</f>
        <v>-2.5000000000000022E-2</v>
      </c>
      <c r="C9" s="4" t="str">
        <f ca="1">[4]!getformula(B9)</f>
        <v>&lt;--  =B8/B3-1</v>
      </c>
      <c r="F9" s="4">
        <v>100</v>
      </c>
      <c r="G9" s="8">
        <v>-0.11250000000000004</v>
      </c>
      <c r="H9" s="8">
        <v>-7.7500000000000013E-2</v>
      </c>
      <c r="I9" s="12">
        <v>-4.2499999999999982E-2</v>
      </c>
      <c r="J9" s="8">
        <v>-7.4999999999999512E-3</v>
      </c>
      <c r="K9" s="8">
        <v>2.750000000000008E-2</v>
      </c>
      <c r="L9" s="8">
        <v>6.25E-2</v>
      </c>
      <c r="M9" s="8">
        <v>9.749999999999992E-2</v>
      </c>
    </row>
    <row r="10" spans="1:13" ht="13.8" x14ac:dyDescent="0.25">
      <c r="F10" s="4">
        <v>105</v>
      </c>
      <c r="G10" s="8">
        <v>-0.15476190476190477</v>
      </c>
      <c r="H10" s="8">
        <v>-0.12142857142857144</v>
      </c>
      <c r="I10" s="8">
        <v>-8.8095238095238115E-2</v>
      </c>
      <c r="J10" s="8">
        <v>-5.4761904761904789E-2</v>
      </c>
      <c r="K10" s="8">
        <v>-2.1428571428571463E-2</v>
      </c>
      <c r="L10" s="8">
        <v>1.1904761904761862E-2</v>
      </c>
      <c r="M10" s="8">
        <v>4.5238095238095299E-2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landscape" r:id="rId1"/>
  <headerFooter alignWithMargins="0">
    <oddHeader>&amp;CUN-new chapter 17, A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2024-12-19T07:19:44Z</dcterms:modified>
</cp:coreProperties>
</file>