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8FDAC398-C576-4288-BD09-D7CC84CFED96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Page 736" sheetId="4" r:id="rId1"/>
    <sheet name="Page 7730" sheetId="3" r:id="rId2"/>
    <sheet name="Page 738, top" sheetId="2" r:id="rId3"/>
    <sheet name="Page 738, bottom" sheetId="5" r:id="rId4"/>
    <sheet name="Sheet1" sheetId="1" r:id="rId5"/>
  </sheets>
  <functionGroups builtInGroupCount="19"/>
  <externalReferences>
    <externalReference r:id="rId6"/>
    <externalReference r:id="rId7"/>
    <externalReference r:id="rId8"/>
  </externalReferences>
  <definedNames>
    <definedName name="amrbondterm">'[2]AMR, annual transition matrix'!$B$9</definedName>
    <definedName name="bondterm" localSheetId="0">'Page 736'!$B$9</definedName>
    <definedName name="bondterm" localSheetId="1">'Page 7730'!$B$9</definedName>
    <definedName name="bondterm">'[1]Page 730'!$B$5</definedName>
    <definedName name="example">#REF!</definedName>
    <definedName name="initial" localSheetId="0">'Page 736'!$B$27:$J$27</definedName>
    <definedName name="initial" localSheetId="1">'Page 7730'!$B$27:$J$27</definedName>
    <definedName name="initial">'[1]Page 730'!$C$16:$G$16</definedName>
    <definedName name="payoff1" localSheetId="0">'Page 736'!$G$3:$G$11</definedName>
    <definedName name="payoff1" localSheetId="1">'Page 7730'!$G$3:$G$11</definedName>
    <definedName name="payoff1">'[1]Page 730'!$F$3:$F$7</definedName>
    <definedName name="payoff2" localSheetId="0">'Page 736'!$J$3:$J$11</definedName>
    <definedName name="payoff2" localSheetId="1">'Page 7730'!$J$3:$J$11</definedName>
    <definedName name="payoff2">'[1]Page 730'!$I$3:$I$7</definedName>
    <definedName name="transition" localSheetId="0">'Page 736'!$C$15:$K$23</definedName>
    <definedName name="transition" localSheetId="1">'Page 7730'!$C$15:$K$23</definedName>
    <definedName name="transition">'[1]Page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C4" i="2"/>
  <c r="B4" i="2"/>
  <c r="C9" i="5"/>
  <c r="C10" i="5"/>
  <c r="C11" i="5"/>
  <c r="C12" i="5"/>
  <c r="C13" i="5"/>
  <c r="C14" i="5"/>
  <c r="C15" i="5"/>
  <c r="C16" i="5"/>
  <c r="C17" i="5"/>
  <c r="C18" i="5"/>
  <c r="C8" i="5"/>
  <c r="B9" i="5"/>
  <c r="B10" i="5"/>
  <c r="B11" i="5"/>
  <c r="B12" i="5"/>
  <c r="B13" i="5"/>
  <c r="B14" i="5"/>
  <c r="B15" i="5"/>
  <c r="B16" i="5"/>
  <c r="B17" i="5"/>
  <c r="B18" i="5"/>
  <c r="B8" i="5"/>
  <c r="AH65" i="4"/>
  <c r="AE65" i="4"/>
  <c r="AD65" i="4"/>
  <c r="AC65" i="4"/>
  <c r="AB65" i="4"/>
  <c r="Y65" i="4"/>
  <c r="X65" i="4"/>
  <c r="R65" i="4"/>
  <c r="O65" i="4"/>
  <c r="N65" i="4"/>
  <c r="M65" i="4"/>
  <c r="L65" i="4"/>
  <c r="I65" i="4"/>
  <c r="H65" i="4"/>
  <c r="AP64" i="4"/>
  <c r="AP65" i="4" s="1"/>
  <c r="AO64" i="4"/>
  <c r="AO65" i="4" s="1"/>
  <c r="AN64" i="4"/>
  <c r="AN65" i="4" s="1"/>
  <c r="AM64" i="4"/>
  <c r="AM65" i="4" s="1"/>
  <c r="AL64" i="4"/>
  <c r="AL65" i="4" s="1"/>
  <c r="AK64" i="4"/>
  <c r="AK65" i="4" s="1"/>
  <c r="AJ64" i="4"/>
  <c r="AJ65" i="4" s="1"/>
  <c r="AI64" i="4"/>
  <c r="AI65" i="4" s="1"/>
  <c r="AG64" i="4"/>
  <c r="AG65" i="4" s="1"/>
  <c r="AF64" i="4"/>
  <c r="AF65" i="4" s="1"/>
  <c r="AE64" i="4"/>
  <c r="AD64" i="4"/>
  <c r="AC64" i="4"/>
  <c r="AB64" i="4"/>
  <c r="AA64" i="4"/>
  <c r="AA65" i="4" s="1"/>
  <c r="Z64" i="4"/>
  <c r="Z65" i="4" s="1"/>
  <c r="Y64" i="4"/>
  <c r="X64" i="4"/>
  <c r="W64" i="4"/>
  <c r="W65" i="4" s="1"/>
  <c r="V64" i="4"/>
  <c r="V65" i="4" s="1"/>
  <c r="U64" i="4"/>
  <c r="U65" i="4" s="1"/>
  <c r="T64" i="4"/>
  <c r="T65" i="4" s="1"/>
  <c r="S64" i="4"/>
  <c r="S65" i="4" s="1"/>
  <c r="R64" i="4"/>
  <c r="Q64" i="4"/>
  <c r="Q65" i="4" s="1"/>
  <c r="P64" i="4"/>
  <c r="P65" i="4" s="1"/>
  <c r="O64" i="4"/>
  <c r="N64" i="4"/>
  <c r="M64" i="4"/>
  <c r="L64" i="4"/>
  <c r="K64" i="4"/>
  <c r="K65" i="4" s="1"/>
  <c r="J64" i="4"/>
  <c r="J65" i="4" s="1"/>
  <c r="I64" i="4"/>
  <c r="H64" i="4"/>
  <c r="G64" i="4"/>
  <c r="G65" i="4" s="1"/>
  <c r="F64" i="4"/>
  <c r="F65" i="4" s="1"/>
  <c r="E64" i="4"/>
  <c r="E65" i="4" s="1"/>
  <c r="D64" i="4"/>
  <c r="D65" i="4" s="1"/>
  <c r="C64" i="4"/>
  <c r="C65" i="4" s="1"/>
  <c r="AP31" i="4"/>
  <c r="AO31" i="4"/>
  <c r="AN31" i="4"/>
  <c r="AM31" i="4"/>
  <c r="AL31" i="4"/>
  <c r="AK31" i="4"/>
  <c r="AJ31" i="4"/>
  <c r="AI31" i="4"/>
  <c r="AH31" i="4"/>
  <c r="AG31" i="4"/>
  <c r="B30" i="4"/>
  <c r="B64" i="4" s="1"/>
  <c r="J27" i="4"/>
  <c r="I27" i="4"/>
  <c r="H27" i="4"/>
  <c r="G27" i="4"/>
  <c r="F27" i="4"/>
  <c r="E27" i="4"/>
  <c r="D27" i="4"/>
  <c r="C27" i="4"/>
  <c r="B27" i="4"/>
  <c r="J21" i="4"/>
  <c r="J20" i="4"/>
  <c r="J19" i="4"/>
  <c r="J18" i="4"/>
  <c r="J17" i="4"/>
  <c r="J16" i="4"/>
  <c r="J11" i="4"/>
  <c r="G10" i="4"/>
  <c r="J10" i="4" s="1"/>
  <c r="G9" i="4"/>
  <c r="J9" i="4" s="1"/>
  <c r="G8" i="4"/>
  <c r="J8" i="4" s="1"/>
  <c r="B8" i="4"/>
  <c r="G7" i="4"/>
  <c r="J7" i="4" s="1"/>
  <c r="N6" i="4"/>
  <c r="N7" i="4" s="1"/>
  <c r="N8" i="4" s="1"/>
  <c r="B4" i="4" s="1"/>
  <c r="G6" i="4"/>
  <c r="J6" i="4" s="1"/>
  <c r="G5" i="4"/>
  <c r="J5" i="4" s="1"/>
  <c r="J4" i="4"/>
  <c r="G4" i="4"/>
  <c r="G3" i="4"/>
  <c r="J3" i="4" s="1"/>
  <c r="AP65" i="3"/>
  <c r="AH65" i="3"/>
  <c r="AB65" i="3"/>
  <c r="AA65" i="3"/>
  <c r="Z65" i="3"/>
  <c r="X65" i="3"/>
  <c r="W65" i="3"/>
  <c r="V65" i="3"/>
  <c r="U65" i="3"/>
  <c r="Q65" i="3"/>
  <c r="L65" i="3"/>
  <c r="K65" i="3"/>
  <c r="J65" i="3"/>
  <c r="H65" i="3"/>
  <c r="G65" i="3"/>
  <c r="F65" i="3"/>
  <c r="E65" i="3"/>
  <c r="AP64" i="3"/>
  <c r="AO64" i="3"/>
  <c r="AO65" i="3" s="1"/>
  <c r="AN64" i="3"/>
  <c r="AN65" i="3" s="1"/>
  <c r="AM64" i="3"/>
  <c r="AM65" i="3" s="1"/>
  <c r="AL64" i="3"/>
  <c r="AL65" i="3" s="1"/>
  <c r="AK64" i="3"/>
  <c r="AK65" i="3" s="1"/>
  <c r="AJ64" i="3"/>
  <c r="AJ65" i="3" s="1"/>
  <c r="AI64" i="3"/>
  <c r="AI65" i="3" s="1"/>
  <c r="AG64" i="3"/>
  <c r="AG65" i="3" s="1"/>
  <c r="AF64" i="3"/>
  <c r="AF65" i="3" s="1"/>
  <c r="AE64" i="3"/>
  <c r="AE65" i="3" s="1"/>
  <c r="AD64" i="3"/>
  <c r="AD65" i="3" s="1"/>
  <c r="AC64" i="3"/>
  <c r="AC65" i="3" s="1"/>
  <c r="AB64" i="3"/>
  <c r="AA64" i="3"/>
  <c r="Z64" i="3"/>
  <c r="Y64" i="3"/>
  <c r="Y65" i="3" s="1"/>
  <c r="X64" i="3"/>
  <c r="W64" i="3"/>
  <c r="V64" i="3"/>
  <c r="U64" i="3"/>
  <c r="T64" i="3"/>
  <c r="T65" i="3" s="1"/>
  <c r="S64" i="3"/>
  <c r="S65" i="3" s="1"/>
  <c r="R64" i="3"/>
  <c r="R65" i="3" s="1"/>
  <c r="Q64" i="3"/>
  <c r="P64" i="3"/>
  <c r="P65" i="3" s="1"/>
  <c r="O64" i="3"/>
  <c r="O65" i="3" s="1"/>
  <c r="N64" i="3"/>
  <c r="N65" i="3" s="1"/>
  <c r="M64" i="3"/>
  <c r="M65" i="3" s="1"/>
  <c r="L64" i="3"/>
  <c r="K64" i="3"/>
  <c r="J64" i="3"/>
  <c r="I64" i="3"/>
  <c r="I65" i="3" s="1"/>
  <c r="H64" i="3"/>
  <c r="G64" i="3"/>
  <c r="F64" i="3"/>
  <c r="E64" i="3"/>
  <c r="D64" i="3"/>
  <c r="D65" i="3" s="1"/>
  <c r="C64" i="3"/>
  <c r="C65" i="3" s="1"/>
  <c r="AP31" i="3"/>
  <c r="AO31" i="3"/>
  <c r="AN31" i="3"/>
  <c r="AM31" i="3"/>
  <c r="AL31" i="3"/>
  <c r="AK31" i="3"/>
  <c r="AJ31" i="3"/>
  <c r="AI31" i="3"/>
  <c r="AH31" i="3"/>
  <c r="AG31" i="3"/>
  <c r="B30" i="3"/>
  <c r="B64" i="3" s="1"/>
  <c r="J27" i="3"/>
  <c r="I27" i="3"/>
  <c r="H27" i="3"/>
  <c r="G27" i="3"/>
  <c r="F27" i="3"/>
  <c r="E27" i="3"/>
  <c r="D27" i="3"/>
  <c r="C27" i="3"/>
  <c r="B27" i="3"/>
  <c r="J11" i="3"/>
  <c r="G10" i="3"/>
  <c r="J10" i="3" s="1"/>
  <c r="G9" i="3"/>
  <c r="J9" i="3" s="1"/>
  <c r="J8" i="3"/>
  <c r="G8" i="3"/>
  <c r="B8" i="3"/>
  <c r="G7" i="3"/>
  <c r="J7" i="3" s="1"/>
  <c r="N6" i="3"/>
  <c r="N7" i="3" s="1"/>
  <c r="N8" i="3" s="1"/>
  <c r="B4" i="3" s="1"/>
  <c r="G6" i="3"/>
  <c r="J6" i="3" s="1"/>
  <c r="J5" i="3"/>
  <c r="G5" i="3"/>
  <c r="G4" i="3"/>
  <c r="J4" i="3" s="1"/>
  <c r="G3" i="3"/>
  <c r="J3" i="3" s="1"/>
  <c r="C4" i="4"/>
  <c r="C32" i="4"/>
  <c r="X31" i="4"/>
  <c r="H31" i="4"/>
  <c r="M31" i="4"/>
  <c r="AD31" i="4"/>
  <c r="I31" i="4"/>
  <c r="O31" i="4"/>
  <c r="AC31" i="4"/>
  <c r="N31" i="4"/>
  <c r="AE31" i="4"/>
  <c r="Y31" i="4"/>
  <c r="AA31" i="4"/>
  <c r="C4" i="3"/>
  <c r="C32" i="3"/>
  <c r="C31" i="3"/>
  <c r="J31" i="3"/>
  <c r="H31" i="3"/>
  <c r="P31" i="3"/>
  <c r="G31" i="3"/>
  <c r="F31" i="3"/>
  <c r="K31" i="3"/>
  <c r="AE31" i="3"/>
  <c r="E31" i="3"/>
  <c r="AD31" i="3"/>
  <c r="N31" i="3"/>
  <c r="AA31" i="3"/>
  <c r="Z31" i="3"/>
  <c r="X31" i="3"/>
  <c r="AF31" i="3"/>
  <c r="W31" i="3"/>
  <c r="Y31" i="3"/>
  <c r="V31" i="3"/>
  <c r="U31" i="3"/>
  <c r="O31" i="3"/>
  <c r="B65" i="4" l="1"/>
  <c r="B66" i="4" s="1"/>
  <c r="B11" i="4" s="1"/>
  <c r="B31" i="4"/>
  <c r="B65" i="3"/>
  <c r="B31" i="3"/>
  <c r="B66" i="3"/>
  <c r="B11" i="3" s="1"/>
  <c r="W31" i="4"/>
  <c r="T31" i="4"/>
  <c r="G31" i="4"/>
  <c r="L31" i="4"/>
  <c r="J31" i="4"/>
  <c r="AB31" i="4"/>
  <c r="Z31" i="4"/>
  <c r="K31" i="4"/>
  <c r="S31" i="4"/>
  <c r="F31" i="4"/>
  <c r="AF31" i="4"/>
  <c r="P31" i="4"/>
  <c r="C31" i="4" a="1"/>
  <c r="Q31" i="4"/>
  <c r="D31" i="4" a="1"/>
  <c r="E31" i="4"/>
  <c r="V31" i="4"/>
  <c r="R31" i="4"/>
  <c r="U31" i="4"/>
  <c r="AC31" i="3"/>
  <c r="AB31" i="3"/>
  <c r="M31" i="3"/>
  <c r="L31" i="3"/>
  <c r="Q31" i="3"/>
  <c r="R31" i="3"/>
  <c r="S31" i="3"/>
  <c r="D31" i="3" a="1"/>
  <c r="T31" i="3"/>
  <c r="I31" i="3"/>
  <c r="D31" i="4" l="1"/>
  <c r="C31" i="4"/>
  <c r="B32" i="4"/>
  <c r="G57" i="4"/>
  <c r="C51" i="4"/>
  <c r="C50" i="4"/>
  <c r="C49" i="4"/>
  <c r="C48" i="4"/>
  <c r="C41" i="4"/>
  <c r="C47" i="4"/>
  <c r="C42" i="4"/>
  <c r="C46" i="4"/>
  <c r="C45" i="4"/>
  <c r="C44" i="4"/>
  <c r="C43" i="4"/>
  <c r="D31" i="3"/>
  <c r="B32" i="3" s="1"/>
  <c r="G57" i="3"/>
  <c r="C48" i="3"/>
  <c r="C47" i="3"/>
  <c r="C46" i="3"/>
  <c r="C45" i="3"/>
  <c r="C44" i="3"/>
  <c r="C43" i="3"/>
  <c r="C50" i="3"/>
  <c r="C51" i="3"/>
  <c r="C42" i="3"/>
  <c r="C41" i="3"/>
  <c r="C49" i="3"/>
  <c r="B40" i="3" l="1"/>
  <c r="B40" i="4"/>
</calcChain>
</file>

<file path=xl/sharedStrings.xml><?xml version="1.0" encoding="utf-8"?>
<sst xmlns="http://schemas.openxmlformats.org/spreadsheetml/2006/main" count="197" uniqueCount="67">
  <si>
    <t>COMPARING THE EXPECTED RETURNS WITH 
SEMIANNUAL VS. ANNUAL TRANSITION MATRICES
Using actual dates and XIRR</t>
  </si>
  <si>
    <t>Expected bond return</t>
  </si>
  <si>
    <r>
      <t xml:space="preserve">Recovery 
percentage, </t>
    </r>
    <r>
      <rPr>
        <b/>
        <sz val="10"/>
        <rFont val="Symbol"/>
        <family val="1"/>
        <charset val="2"/>
      </rPr>
      <t>l</t>
    </r>
  </si>
  <si>
    <t>Annual
transition matrix</t>
  </si>
  <si>
    <t>Semiannual
transition matrix</t>
  </si>
  <si>
    <t>Just as a check</t>
  </si>
  <si>
    <t>Annual matrix</t>
  </si>
  <si>
    <t>Semiannual</t>
  </si>
  <si>
    <t>Bond price</t>
  </si>
  <si>
    <t>Coupon rate, Q</t>
  </si>
  <si>
    <r>
      <t xml:space="preserve">Recovery rate, </t>
    </r>
    <r>
      <rPr>
        <sz val="10"/>
        <rFont val="Symbol"/>
        <family val="1"/>
        <charset val="2"/>
      </rPr>
      <t>l</t>
    </r>
  </si>
  <si>
    <t>Maturity date</t>
  </si>
  <si>
    <t>Current date</t>
  </si>
  <si>
    <t>Maturity (years)</t>
  </si>
  <si>
    <t>Number of semiannual payments</t>
  </si>
  <si>
    <t>Initial rating</t>
  </si>
  <si>
    <t>CCC</t>
  </si>
  <si>
    <t>Bond YTM</t>
  </si>
  <si>
    <t>CALCULATING THE EXPECTED BOND RETURN
This version computes the expected bond return for AMR taking into account actual dates
Uses annual transition matrix</t>
  </si>
  <si>
    <t>Payoff (t&lt;N)</t>
  </si>
  <si>
    <t>Payoff (N)</t>
  </si>
  <si>
    <t>Vector to</t>
  </si>
  <si>
    <t>AAA</t>
  </si>
  <si>
    <t>Accrued interest calculation</t>
  </si>
  <si>
    <t>Actual price (includes accrued)</t>
  </si>
  <si>
    <t>right</t>
  </si>
  <si>
    <t>AA</t>
  </si>
  <si>
    <t>Last payment date</t>
  </si>
  <si>
    <t>called</t>
  </si>
  <si>
    <t>A</t>
  </si>
  <si>
    <t>Next payment date</t>
  </si>
  <si>
    <t>"payoff1"</t>
  </si>
  <si>
    <t>BBB</t>
  </si>
  <si>
    <t>"payoff2"</t>
  </si>
  <si>
    <t>BB</t>
  </si>
  <si>
    <t>Percentage of period</t>
  </si>
  <si>
    <t>B</t>
  </si>
  <si>
    <t>Accrued interest</t>
  </si>
  <si>
    <t>Default</t>
  </si>
  <si>
    <t>E</t>
  </si>
  <si>
    <t>original rating</t>
  </si>
  <si>
    <t>probability of migrating to rating by year end (%)</t>
  </si>
  <si>
    <t>Transition matrix  →</t>
  </si>
  <si>
    <t>Initial vector</t>
  </si>
  <si>
    <t>Period</t>
  </si>
  <si>
    <t>Date</t>
  </si>
  <si>
    <t>Expected payoffs</t>
  </si>
  <si>
    <t>Expected yield</t>
  </si>
  <si>
    <t>Data table:  Recovery percentage
and expected yield</t>
  </si>
  <si>
    <r>
      <t xml:space="preserve">Recovery percentage, </t>
    </r>
    <r>
      <rPr>
        <sz val="10"/>
        <rFont val="Symbol"/>
        <family val="1"/>
        <charset val="2"/>
      </rPr>
      <t>l</t>
    </r>
  </si>
  <si>
    <t>YTM</t>
  </si>
  <si>
    <t>&lt;-- Table header</t>
  </si>
  <si>
    <t>Note:  The data table has a series with the</t>
  </si>
  <si>
    <t>YTM appended so that in the graph we</t>
  </si>
  <si>
    <t>can see the relation of the bond expected</t>
  </si>
  <si>
    <t>return to the YTM.</t>
  </si>
  <si>
    <r>
      <t xml:space="preserve">Graph title below </t>
    </r>
    <r>
      <rPr>
        <sz val="10"/>
        <rFont val="Arial"/>
        <family val="2"/>
      </rPr>
      <t>(notice use of text functions):</t>
    </r>
  </si>
  <si>
    <t>YTM calculation</t>
  </si>
  <si>
    <t>Year</t>
  </si>
  <si>
    <t>Annualized YTM</t>
  </si>
  <si>
    <r>
      <t xml:space="preserve">CALCULATING THE EXPECTED BOND RETURN
This version computes the expected bond return for AMR taking into account actual dates
Uses </t>
    </r>
    <r>
      <rPr>
        <b/>
        <u/>
        <sz val="14"/>
        <rFont val="Arial"/>
        <family val="2"/>
      </rPr>
      <t>semi-annual</t>
    </r>
    <r>
      <rPr>
        <b/>
        <sz val="14"/>
        <rFont val="Arial"/>
        <family val="2"/>
      </rPr>
      <t xml:space="preserve"> transition matrix</t>
    </r>
  </si>
  <si>
    <r>
      <t xml:space="preserve">Recovery percentage, </t>
    </r>
    <r>
      <rPr>
        <b/>
        <sz val="10"/>
        <rFont val="Symbol"/>
        <family val="1"/>
        <charset val="2"/>
      </rPr>
      <t>l</t>
    </r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</si>
  <si>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</si>
  <si>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r</t>
    </r>
    <r>
      <rPr>
        <vertAlign val="subscript"/>
        <sz val="10"/>
        <rFont val="Arial"/>
        <family val="2"/>
      </rPr>
      <t>f</t>
    </r>
  </si>
  <si>
    <t>COMPARING AMR BOND BETAS
Using the tax-adjusted CAPM (section 2.6)</t>
  </si>
  <si>
    <r>
      <t>Corp. tax rate, T</t>
    </r>
    <r>
      <rPr>
        <vertAlign val="subscript"/>
        <sz val="10"/>
        <rFont val="Arial"/>
        <family val="2"/>
      </rPr>
      <t>C</t>
    </r>
  </si>
  <si>
    <t>BOND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</si>
</sst>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\-mmm\-yy;@"/>
    <numFmt numFmtId="177" formatCode="0.0000"/>
    <numFmt numFmtId="178" formatCode="_(* #,##0.00_);_(* \(#,##0.00\);_(* &quot;-&quot;??_);_(@_)"/>
    <numFmt numFmtId="179" formatCode=";;"/>
    <numFmt numFmtId="185" formatCode="0.00_);[Red]\(0.00\)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Symbol"/>
      <family val="1"/>
      <charset val="2"/>
    </font>
    <font>
      <sz val="10"/>
      <name val="Symbol"/>
      <family val="1"/>
      <charset val="2"/>
    </font>
    <font>
      <b/>
      <u/>
      <sz val="14"/>
      <name val="Arial"/>
      <family val="2"/>
    </font>
    <font>
      <vertAlign val="subscript"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</fills>
  <borders count="5">
    <border>
      <left/>
      <right/>
      <top/>
      <bottom/>
      <diagonal/>
    </border>
    <border>
      <left/>
      <right style="medium">
        <color indexed="29"/>
      </right>
      <top/>
      <bottom/>
      <diagonal/>
    </border>
    <border>
      <left style="medium">
        <color indexed="29"/>
      </left>
      <right/>
      <top/>
      <bottom/>
      <diagonal/>
    </border>
    <border>
      <left/>
      <right style="medium">
        <color indexed="29"/>
      </right>
      <top/>
      <bottom style="medium">
        <color indexed="29"/>
      </bottom>
      <diagonal/>
    </border>
    <border>
      <left/>
      <right/>
      <top/>
      <bottom style="medium">
        <color indexed="29"/>
      </bottom>
      <diagonal/>
    </border>
  </borders>
  <cellStyleXfs count="4">
    <xf numFmtId="0" fontId="0" fillId="0" borderId="0">
      <alignment vertical="center"/>
    </xf>
    <xf numFmtId="0" fontId="2" fillId="0" borderId="0"/>
    <xf numFmtId="178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2" borderId="0" xfId="1" applyFont="1" applyFill="1" applyAlignment="1">
      <alignment horizontal="center"/>
    </xf>
    <xf numFmtId="0" fontId="5" fillId="0" borderId="0" xfId="1" applyFont="1" applyAlignment="1">
      <alignment horizontal="center" wrapText="1"/>
    </xf>
    <xf numFmtId="0" fontId="2" fillId="0" borderId="0" xfId="1" applyAlignment="1">
      <alignment horizontal="center" vertical="center" wrapText="1"/>
    </xf>
    <xf numFmtId="9" fontId="2" fillId="0" borderId="0" xfId="1" applyNumberFormat="1" applyAlignment="1">
      <alignment horizontal="center"/>
    </xf>
    <xf numFmtId="10" fontId="2" fillId="0" borderId="0" xfId="1" applyNumberFormat="1"/>
    <xf numFmtId="176" fontId="2" fillId="0" borderId="0" xfId="1" applyNumberFormat="1"/>
    <xf numFmtId="2" fontId="2" fillId="0" borderId="0" xfId="1" applyNumberFormat="1"/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0" borderId="0" xfId="1" applyAlignment="1">
      <alignment wrapText="1"/>
    </xf>
    <xf numFmtId="0" fontId="5" fillId="0" borderId="0" xfId="1" applyFont="1"/>
    <xf numFmtId="15" fontId="2" fillId="0" borderId="0" xfId="1" applyNumberFormat="1"/>
    <xf numFmtId="0" fontId="2" fillId="0" borderId="0" xfId="1" quotePrefix="1" applyAlignment="1">
      <alignment horizontal="center"/>
    </xf>
    <xf numFmtId="9" fontId="2" fillId="0" borderId="0" xfId="1" applyNumberFormat="1"/>
    <xf numFmtId="177" fontId="2" fillId="0" borderId="0" xfId="1" applyNumberFormat="1"/>
    <xf numFmtId="178" fontId="2" fillId="0" borderId="0" xfId="2"/>
    <xf numFmtId="10" fontId="2" fillId="0" borderId="0" xfId="3" applyNumberFormat="1" applyAlignment="1">
      <alignment horizontal="right"/>
    </xf>
    <xf numFmtId="0" fontId="2" fillId="0" borderId="0" xfId="1" applyAlignment="1">
      <alignment horizontal="left" wrapText="1"/>
    </xf>
    <xf numFmtId="0" fontId="5" fillId="3" borderId="1" xfId="1" applyFont="1" applyFill="1" applyBorder="1" applyAlignment="1">
      <alignment horizontal="center" wrapText="1"/>
    </xf>
    <xf numFmtId="0" fontId="5" fillId="3" borderId="2" xfId="1" applyFont="1" applyFill="1" applyBorder="1" applyAlignment="1">
      <alignment horizontal="center" vertical="top" wrapText="1"/>
    </xf>
    <xf numFmtId="0" fontId="5" fillId="3" borderId="0" xfId="1" applyFont="1" applyFill="1" applyAlignment="1">
      <alignment horizontal="center" vertical="top" wrapText="1"/>
    </xf>
    <xf numFmtId="0" fontId="2" fillId="3" borderId="0" xfId="1" applyFill="1" applyAlignment="1">
      <alignment horizontal="center" wrapText="1"/>
    </xf>
    <xf numFmtId="0" fontId="5" fillId="3" borderId="3" xfId="1" applyFont="1" applyFill="1" applyBorder="1" applyAlignment="1">
      <alignment horizontal="center" wrapText="1"/>
    </xf>
    <xf numFmtId="0" fontId="2" fillId="3" borderId="4" xfId="1" applyFill="1" applyBorder="1" applyAlignment="1">
      <alignment horizontal="center" wrapText="1"/>
    </xf>
    <xf numFmtId="0" fontId="2" fillId="3" borderId="1" xfId="1" applyFill="1" applyBorder="1" applyAlignment="1">
      <alignment wrapText="1"/>
    </xf>
    <xf numFmtId="177" fontId="2" fillId="0" borderId="0" xfId="1" applyNumberFormat="1" applyAlignment="1">
      <alignment horizontal="right" wrapText="1"/>
    </xf>
    <xf numFmtId="177" fontId="2" fillId="0" borderId="2" xfId="1" applyNumberFormat="1" applyBorder="1" applyAlignment="1">
      <alignment vertical="top" wrapText="1"/>
    </xf>
    <xf numFmtId="177" fontId="2" fillId="0" borderId="0" xfId="1" applyNumberFormat="1" applyAlignment="1">
      <alignment vertical="top" wrapText="1"/>
    </xf>
    <xf numFmtId="0" fontId="5" fillId="0" borderId="0" xfId="1" applyFont="1" applyAlignment="1">
      <alignment horizontal="center" vertical="top" wrapText="1"/>
    </xf>
    <xf numFmtId="0" fontId="2" fillId="0" borderId="0" xfId="1" applyAlignment="1">
      <alignment horizontal="center" wrapText="1"/>
    </xf>
    <xf numFmtId="15" fontId="5" fillId="0" borderId="0" xfId="1" applyNumberFormat="1" applyFont="1"/>
    <xf numFmtId="177" fontId="2" fillId="0" borderId="0" xfId="2" applyNumberFormat="1"/>
    <xf numFmtId="0" fontId="2" fillId="4" borderId="0" xfId="1" applyFill="1"/>
    <xf numFmtId="10" fontId="2" fillId="4" borderId="0" xfId="3" applyNumberFormat="1" applyFill="1"/>
    <xf numFmtId="0" fontId="4" fillId="0" borderId="0" xfId="1" applyFont="1" applyAlignment="1">
      <alignment horizontal="center" vertical="center" wrapText="1"/>
    </xf>
    <xf numFmtId="179" fontId="2" fillId="0" borderId="0" xfId="1" applyNumberFormat="1"/>
    <xf numFmtId="10" fontId="2" fillId="0" borderId="0" xfId="3" applyNumberFormat="1"/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 vertical="center"/>
    </xf>
    <xf numFmtId="0" fontId="2" fillId="0" borderId="0" xfId="1" applyAlignment="1">
      <alignment horizontal="center" wrapText="1"/>
    </xf>
    <xf numFmtId="0" fontId="2" fillId="0" borderId="0" xfId="1" applyAlignment="1">
      <alignment horizontal="center"/>
    </xf>
    <xf numFmtId="185" fontId="2" fillId="0" borderId="0" xfId="1" applyNumberFormat="1"/>
    <xf numFmtId="10" fontId="2" fillId="0" borderId="0" xfId="1" applyNumberFormat="1" applyAlignment="1">
      <alignment horizontal="center"/>
    </xf>
    <xf numFmtId="0" fontId="2" fillId="0" borderId="0" xfId="1" applyAlignment="1">
      <alignment horizontal="left" vertical="center" wrapText="1"/>
    </xf>
    <xf numFmtId="9" fontId="2" fillId="0" borderId="0" xfId="1" applyNumberFormat="1" applyAlignment="1">
      <alignment horizontal="right" vertical="center" wrapText="1"/>
    </xf>
    <xf numFmtId="0" fontId="2" fillId="0" borderId="0" xfId="1" applyAlignment="1">
      <alignment horizontal="right" vertical="center" wrapText="1"/>
    </xf>
    <xf numFmtId="0" fontId="2" fillId="0" borderId="0" xfId="1" applyAlignment="1">
      <alignment horizontal="left"/>
    </xf>
    <xf numFmtId="10" fontId="2" fillId="0" borderId="0" xfId="1" applyNumberFormat="1" applyAlignment="1">
      <alignment horizontal="right" vertical="center" wrapText="1"/>
    </xf>
  </cellXfs>
  <cellStyles count="4">
    <cellStyle name="百分比 2" xfId="3" xr:uid="{0BBD832E-B010-43EC-98B8-DF69A14CAC11}"/>
    <cellStyle name="常规" xfId="0" builtinId="0"/>
    <cellStyle name="常规 2" xfId="1" xr:uid="{AD889FA7-0D18-4DDF-92B8-3EF04EA9CAFD}"/>
    <cellStyle name="千位分隔 2" xfId="2" xr:uid="{965CE9F9-89C8-4AD8-97B9-F922F187DCF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736'!$G$57:$J$57</c:f>
          <c:strCache>
            <c:ptCount val="4"/>
            <c:pt idx="0">
              <c:v>AMR Bond Expected Return vs. Recovery Rate
Bond price = 77%, Bond Rating = CCC,
Coupon = 10.55%, YTM = 14.81%</c:v>
            </c:pt>
          </c:strCache>
        </c:strRef>
      </c:tx>
      <c:layout>
        <c:manualLayout>
          <c:xMode val="edge"/>
          <c:yMode val="edge"/>
          <c:x val="0.15853677536883234"/>
          <c:y val="3.67454068241469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7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1890263815600577"/>
          <c:y val="0.13648355183269692"/>
          <c:w val="0.82012332471706539"/>
          <c:h val="0.70079054498711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736'!$A$41:$A$51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736'!$B$41:$B$51</c:f>
              <c:numCache>
                <c:formatCode>0.00%</c:formatCode>
                <c:ptCount val="11"/>
                <c:pt idx="0">
                  <c:v>9.2601865530014052E-3</c:v>
                </c:pt>
                <c:pt idx="1">
                  <c:v>2.1380689740180963E-2</c:v>
                </c:pt>
                <c:pt idx="2">
                  <c:v>3.446191847324373E-2</c:v>
                </c:pt>
                <c:pt idx="3">
                  <c:v>4.8623684048652638E-2</c:v>
                </c:pt>
                <c:pt idx="4">
                  <c:v>6.3999357819557193E-2</c:v>
                </c:pt>
                <c:pt idx="5">
                  <c:v>8.0735215544700631E-2</c:v>
                </c:pt>
                <c:pt idx="6">
                  <c:v>9.8988467454910301E-2</c:v>
                </c:pt>
                <c:pt idx="7">
                  <c:v>0.11892357468605042</c:v>
                </c:pt>
                <c:pt idx="8">
                  <c:v>0.14070674777030942</c:v>
                </c:pt>
                <c:pt idx="9">
                  <c:v>0.1644987761974335</c:v>
                </c:pt>
                <c:pt idx="10">
                  <c:v>0.19044695496559144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24-479A-918B-1397B484542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736'!$A$41:$A$51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'Page 736'!$C$41:$C$51</c:f>
              <c:numCache>
                <c:formatCode>0.00%</c:formatCode>
                <c:ptCount val="11"/>
                <c:pt idx="0">
                  <c:v>0.14807288050651554</c:v>
                </c:pt>
                <c:pt idx="1">
                  <c:v>0.14807288050651554</c:v>
                </c:pt>
                <c:pt idx="2">
                  <c:v>0.14807288050651554</c:v>
                </c:pt>
                <c:pt idx="3">
                  <c:v>0.14807288050651554</c:v>
                </c:pt>
                <c:pt idx="4">
                  <c:v>0.14807288050651554</c:v>
                </c:pt>
                <c:pt idx="5">
                  <c:v>0.14807288050651554</c:v>
                </c:pt>
                <c:pt idx="6">
                  <c:v>0.14807288050651554</c:v>
                </c:pt>
                <c:pt idx="7">
                  <c:v>0.14807288050651554</c:v>
                </c:pt>
                <c:pt idx="8">
                  <c:v>0.14807288050651554</c:v>
                </c:pt>
                <c:pt idx="9">
                  <c:v>0.14807288050651554</c:v>
                </c:pt>
                <c:pt idx="10">
                  <c:v>0.14807288050651554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24-479A-918B-1397B4845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357864"/>
        <c:axId val="1"/>
      </c:scatterChart>
      <c:valAx>
        <c:axId val="83435786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9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Recovery percentage </a:t>
                </a:r>
                <a:r>
                  <a:rPr lang="zh-CN" altLang="en-US" sz="95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l</a:t>
                </a:r>
                <a:endParaRPr lang="zh-CN" altLang="en-US" sz="95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39024456988538531"/>
              <c:y val="0.908140520896426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43578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Expected Bond Returns with Annual and Semiannual Transition Matrices</a:t>
            </a:r>
          </a:p>
        </c:rich>
      </c:tx>
      <c:layout>
        <c:manualLayout>
          <c:xMode val="edge"/>
          <c:yMode val="edge"/>
          <c:x val="0.12248620610379907"/>
          <c:y val="3.83630752186127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14262412846355"/>
          <c:y val="0.20204628812126374"/>
          <c:w val="0.76416836066228633"/>
          <c:h val="0.63938698772551816"/>
        </c:manualLayout>
      </c:layout>
      <c:lineChart>
        <c:grouping val="standard"/>
        <c:varyColors val="0"/>
        <c:ser>
          <c:idx val="0"/>
          <c:order val="0"/>
          <c:tx>
            <c:strRef>
              <c:f>'Page 738, top'!$B$3</c:f>
              <c:strCache>
                <c:ptCount val="1"/>
                <c:pt idx="0">
                  <c:v>Annual
transition matrix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'Page 738, top'!$A$4:$A$14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</c:v>
                </c:pt>
                <c:pt idx="7">
                  <c:v>0.65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'Page 738, top'!$B$4:$B$14</c:f>
              <c:numCache>
                <c:formatCode>0.00_);[Red]\(0.00\)</c:formatCode>
                <c:ptCount val="11"/>
                <c:pt idx="0">
                  <c:v>-1.8381215813298706</c:v>
                </c:pt>
                <c:pt idx="1">
                  <c:v>-1.4944636301388818</c:v>
                </c:pt>
                <c:pt idx="2">
                  <c:v>-1.1122308300916481</c:v>
                </c:pt>
                <c:pt idx="3">
                  <c:v>-0.68334955071646075</c:v>
                </c:pt>
                <c:pt idx="4">
                  <c:v>-0.19757737242986281</c:v>
                </c:pt>
                <c:pt idx="5">
                  <c:v>0.35806248743067393</c:v>
                </c:pt>
                <c:pt idx="6">
                  <c:v>0.99986448805168249</c:v>
                </c:pt>
                <c:pt idx="7">
                  <c:v>1.7478631223951071</c:v>
                </c:pt>
                <c:pt idx="8">
                  <c:v>2.6257575441289833</c:v>
                </c:pt>
                <c:pt idx="9">
                  <c:v>3.659880154978032</c:v>
                </c:pt>
                <c:pt idx="10">
                  <c:v>4.8769272130633166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E-4BA3-8DDD-8E37F0A5ABA6}"/>
            </c:ext>
          </c:extLst>
        </c:ser>
        <c:ser>
          <c:idx val="1"/>
          <c:order val="1"/>
          <c:tx>
            <c:strRef>
              <c:f>'Page 738, top'!$C$3</c:f>
              <c:strCache>
                <c:ptCount val="1"/>
                <c:pt idx="0">
                  <c:v>Semiannual
transition matrix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'Page 738, top'!$A$4:$A$14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</c:v>
                </c:pt>
                <c:pt idx="7">
                  <c:v>0.65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'Page 738, top'!$C$4:$C$14</c:f>
              <c:numCache>
                <c:formatCode>0.00_);[Red]\(0.00\)</c:formatCode>
                <c:ptCount val="11"/>
                <c:pt idx="0">
                  <c:v>-0.78676755150789945</c:v>
                </c:pt>
                <c:pt idx="1">
                  <c:v>-0.46611931904283177</c:v>
                </c:pt>
                <c:pt idx="2">
                  <c:v>-0.12005506684540398</c:v>
                </c:pt>
                <c:pt idx="3">
                  <c:v>0.25459481610192169</c:v>
                </c:pt>
                <c:pt idx="4">
                  <c:v>0.66135867247505808</c:v>
                </c:pt>
                <c:pt idx="5">
                  <c:v>1.1041062313412868</c:v>
                </c:pt>
                <c:pt idx="6">
                  <c:v>1.5869964935161458</c:v>
                </c:pt>
                <c:pt idx="7">
                  <c:v>2.1143802826997464</c:v>
                </c:pt>
                <c:pt idx="8">
                  <c:v>2.690654702918239</c:v>
                </c:pt>
                <c:pt idx="9">
                  <c:v>3.3200734443765478</c:v>
                </c:pt>
                <c:pt idx="10">
                  <c:v>4.0065332001479224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E-4BA3-8DDD-8E37F0A5A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263072"/>
        <c:axId val="1"/>
      </c:lineChart>
      <c:catAx>
        <c:axId val="83626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Recovery percentage </a:t>
                </a:r>
                <a:r>
                  <a:rPr lang="zh-CN" altLang="en-US" sz="10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l</a:t>
                </a:r>
                <a:endParaRPr lang="zh-CN" altLang="en-US" sz="10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56489956319328694"/>
              <c:y val="0.8593360503303920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#,##0_);[Red]\(#,##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62630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669118914880163"/>
          <c:y val="0.2838879436552843"/>
          <c:w val="0.25228533249037299"/>
          <c:h val="0.1918160355583692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AMR BOND BETAS
Tax-adjusted CAPM</a:t>
            </a:r>
          </a:p>
        </c:rich>
      </c:tx>
      <c:layout>
        <c:manualLayout>
          <c:xMode val="edge"/>
          <c:yMode val="edge"/>
          <c:x val="0.35514067750876932"/>
          <c:y val="3.8043669474291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40211097555331"/>
          <c:y val="8.6956608272991939E-2"/>
          <c:w val="0.7682255260611407"/>
          <c:h val="0.85597911268726445"/>
        </c:manualLayout>
      </c:layout>
      <c:lineChart>
        <c:grouping val="standard"/>
        <c:varyColors val="0"/>
        <c:ser>
          <c:idx val="0"/>
          <c:order val="0"/>
          <c:tx>
            <c:strRef>
              <c:f>'Page 738, bottom'!$B$7</c:f>
              <c:strCache>
                <c:ptCount val="1"/>
                <c:pt idx="0">
                  <c:v>Annual
transition matrix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'Page 738, bottom'!$A$8:$A$18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</c:v>
                </c:pt>
                <c:pt idx="7">
                  <c:v>0.65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'Page 738, bottom'!$B$8:$B$18</c:f>
              <c:numCache>
                <c:formatCode>0.00</c:formatCode>
                <c:ptCount val="11"/>
                <c:pt idx="0">
                  <c:v>-1.3011422429638411</c:v>
                </c:pt>
                <c:pt idx="1">
                  <c:v>-1.0578787494241524</c:v>
                </c:pt>
                <c:pt idx="2">
                  <c:v>-0.78730946399745882</c:v>
                </c:pt>
                <c:pt idx="3">
                  <c:v>-0.48371934488918011</c:v>
                </c:pt>
                <c:pt idx="4">
                  <c:v>-0.13985814003462199</c:v>
                </c:pt>
                <c:pt idx="5">
                  <c:v>0.25345996301272428</c:v>
                </c:pt>
                <c:pt idx="6">
                  <c:v>0.70776924435119093</c:v>
                </c:pt>
                <c:pt idx="7">
                  <c:v>1.2372514237178847</c:v>
                </c:pt>
                <c:pt idx="8">
                  <c:v>1.8586823065182694</c:v>
                </c:pt>
                <c:pt idx="9">
                  <c:v>2.5907016827372589</c:v>
                </c:pt>
                <c:pt idx="10">
                  <c:v>3.4522069036290892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3-423E-A5BD-251B4D5FF391}"/>
            </c:ext>
          </c:extLst>
        </c:ser>
        <c:ser>
          <c:idx val="1"/>
          <c:order val="1"/>
          <c:tx>
            <c:strRef>
              <c:f>'Page 738, bottom'!$C$7</c:f>
              <c:strCache>
                <c:ptCount val="1"/>
                <c:pt idx="0">
                  <c:v>Semiannual
transition matrix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'Page 738, bottom'!$A$8:$A$18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</c:v>
                </c:pt>
                <c:pt idx="7">
                  <c:v>0.65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'Page 738, bottom'!$C$8:$C$18</c:f>
              <c:numCache>
                <c:formatCode>0.00</c:formatCode>
                <c:ptCount val="11"/>
                <c:pt idx="0">
                  <c:v>-0.55692534544941197</c:v>
                </c:pt>
                <c:pt idx="1">
                  <c:v>-0.3299496303336899</c:v>
                </c:pt>
                <c:pt idx="2">
                  <c:v>-8.4982800126521929E-2</c:v>
                </c:pt>
                <c:pt idx="3">
                  <c:v>0.18021880240922547</c:v>
                </c:pt>
                <c:pt idx="4">
                  <c:v>0.46815276815650181</c:v>
                </c:pt>
                <c:pt idx="5">
                  <c:v>0.78155834353371989</c:v>
                </c:pt>
                <c:pt idx="6">
                  <c:v>1.1233795403541258</c:v>
                </c:pt>
                <c:pt idx="7">
                  <c:v>1.4966961551694835</c:v>
                </c:pt>
                <c:pt idx="8">
                  <c:v>1.9046207447623489</c:v>
                </c:pt>
                <c:pt idx="9">
                  <c:v>2.3501643482665453</c:v>
                </c:pt>
                <c:pt idx="10">
                  <c:v>2.8360852989811134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3-423E-A5BD-251B4D5FF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268832"/>
        <c:axId val="1"/>
      </c:lineChart>
      <c:catAx>
        <c:axId val="83626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Recovery percentage </a:t>
                </a: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l</a:t>
                </a:r>
                <a:endParaRPr lang="zh-CN" altLang="en-US" sz="8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0.62056172884931438"/>
              <c:y val="0.7798920577287088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3.5"/>
          <c:min val="-1.5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6268832"/>
        <c:crosses val="autoZero"/>
        <c:crossBetween val="between"/>
        <c:majorUnit val="0.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0186940417494539"/>
          <c:y val="0.23641327675863572"/>
          <c:w val="0.25794441582652639"/>
          <c:h val="0.203804718780125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441960</xdr:colOff>
      <xdr:row>7</xdr:row>
      <xdr:rowOff>121920</xdr:rowOff>
    </xdr:from>
    <xdr:to>
      <xdr:col>4</xdr:col>
      <xdr:colOff>167640</xdr:colOff>
      <xdr:row>10</xdr:row>
      <xdr:rowOff>22860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472BF246-E99A-4827-9F3E-A99D5032952E}"/>
            </a:ext>
          </a:extLst>
        </xdr:cNvPr>
        <xdr:cNvSpPr txBox="1">
          <a:spLocks noChangeArrowheads="1"/>
        </xdr:cNvSpPr>
      </xdr:nvSpPr>
      <xdr:spPr bwMode="auto">
        <a:xfrm>
          <a:off x="2971800" y="1895475"/>
          <a:ext cx="1171575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Coupon paid semiannually</a:t>
          </a:r>
        </a:p>
      </xdr:txBody>
    </xdr:sp>
    <xdr:clientData/>
  </xdr:twoCellAnchor>
  <xdr:twoCellAnchor>
    <xdr:from>
      <xdr:col>4</xdr:col>
      <xdr:colOff>213360</xdr:colOff>
      <xdr:row>5</xdr:row>
      <xdr:rowOff>106680</xdr:rowOff>
    </xdr:from>
    <xdr:to>
      <xdr:col>6</xdr:col>
      <xdr:colOff>289560</xdr:colOff>
      <xdr:row>8</xdr:row>
      <xdr:rowOff>22860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9C797DA7-99AC-41FD-AE86-1B63848CEE62}"/>
            </a:ext>
          </a:extLst>
        </xdr:cNvPr>
        <xdr:cNvSpPr>
          <a:spLocks noChangeShapeType="1"/>
        </xdr:cNvSpPr>
      </xdr:nvSpPr>
      <xdr:spPr bwMode="auto">
        <a:xfrm flipV="1">
          <a:off x="4181475" y="1533525"/>
          <a:ext cx="1724025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76200</xdr:colOff>
      <xdr:row>38</xdr:row>
      <xdr:rowOff>289560</xdr:rowOff>
    </xdr:from>
    <xdr:to>
      <xdr:col>9</xdr:col>
      <xdr:colOff>617220</xdr:colOff>
      <xdr:row>55</xdr:row>
      <xdr:rowOff>45720</xdr:rowOff>
    </xdr:to>
    <xdr:graphicFrame macro="">
      <xdr:nvGraphicFramePr>
        <xdr:cNvPr id="4" name="图表 7">
          <a:extLst>
            <a:ext uri="{FF2B5EF4-FFF2-40B4-BE49-F238E27FC236}">
              <a16:creationId xmlns:a16="http://schemas.microsoft.com/office/drawing/2014/main" id="{1660B7D4-D657-4889-B85E-595564EFB9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525780</xdr:colOff>
      <xdr:row>33</xdr:row>
      <xdr:rowOff>76200</xdr:rowOff>
    </xdr:from>
    <xdr:to>
      <xdr:col>10</xdr:col>
      <xdr:colOff>541020</xdr:colOff>
      <xdr:row>36</xdr:row>
      <xdr:rowOff>121920</xdr:rowOff>
    </xdr:to>
    <xdr:sp macro="" textlink="">
      <xdr:nvSpPr>
        <xdr:cNvPr id="2" name="Text 1">
          <a:extLst>
            <a:ext uri="{FF2B5EF4-FFF2-40B4-BE49-F238E27FC236}">
              <a16:creationId xmlns:a16="http://schemas.microsoft.com/office/drawing/2014/main" id="{9C845DE4-2E0D-4030-9C0C-F84E10A1DC36}"/>
            </a:ext>
          </a:extLst>
        </xdr:cNvPr>
        <xdr:cNvSpPr txBox="1">
          <a:spLocks noChangeArrowheads="1"/>
        </xdr:cNvSpPr>
      </xdr:nvSpPr>
      <xdr:spPr bwMode="auto">
        <a:xfrm>
          <a:off x="3838575" y="6305550"/>
          <a:ext cx="5076825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=IF(year&gt;bondterm,0,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IF(year=bondterm,MMULT(initial,MMULT(matrixpower(transition,year),payoff2)),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MMULT(initial,MMULT(matrixpower(transition,year),payoff1))))</a:t>
          </a:r>
        </a:p>
      </xdr:txBody>
    </xdr:sp>
    <xdr:clientData/>
  </xdr:twoCellAnchor>
  <xdr:twoCellAnchor>
    <xdr:from>
      <xdr:col>5</xdr:col>
      <xdr:colOff>22860</xdr:colOff>
      <xdr:row>31</xdr:row>
      <xdr:rowOff>0</xdr:rowOff>
    </xdr:from>
    <xdr:to>
      <xdr:col>5</xdr:col>
      <xdr:colOff>670560</xdr:colOff>
      <xdr:row>33</xdr:row>
      <xdr:rowOff>38100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118F405-09D8-4DBF-A5E0-CCDC080C5C10}"/>
            </a:ext>
          </a:extLst>
        </xdr:cNvPr>
        <xdr:cNvSpPr>
          <a:spLocks noChangeShapeType="1"/>
        </xdr:cNvSpPr>
      </xdr:nvSpPr>
      <xdr:spPr bwMode="auto">
        <a:xfrm flipH="1" flipV="1">
          <a:off x="4819650" y="5886450"/>
          <a:ext cx="64770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312420</xdr:colOff>
      <xdr:row>33</xdr:row>
      <xdr:rowOff>22860</xdr:rowOff>
    </xdr:from>
    <xdr:to>
      <xdr:col>1</xdr:col>
      <xdr:colOff>365760</xdr:colOff>
      <xdr:row>36</xdr:row>
      <xdr:rowOff>60960</xdr:rowOff>
    </xdr:to>
    <xdr:sp macro="" textlink="">
      <xdr:nvSpPr>
        <xdr:cNvPr id="4" name="Text 8">
          <a:extLst>
            <a:ext uri="{FF2B5EF4-FFF2-40B4-BE49-F238E27FC236}">
              <a16:creationId xmlns:a16="http://schemas.microsoft.com/office/drawing/2014/main" id="{806C0A18-D2E8-4F55-97C0-1D1EBE8697D8}"/>
            </a:ext>
          </a:extLst>
        </xdr:cNvPr>
        <xdr:cNvSpPr txBox="1">
          <a:spLocks noChangeArrowheads="1"/>
        </xdr:cNvSpPr>
      </xdr:nvSpPr>
      <xdr:spPr bwMode="auto">
        <a:xfrm>
          <a:off x="314325" y="6248400"/>
          <a:ext cx="1933575" cy="552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Annualized IRR of expected payoffs computed using actual dates with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XIRR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twoCellAnchor>
  <xdr:twoCellAnchor>
    <xdr:from>
      <xdr:col>2</xdr:col>
      <xdr:colOff>441960</xdr:colOff>
      <xdr:row>7</xdr:row>
      <xdr:rowOff>121920</xdr:rowOff>
    </xdr:from>
    <xdr:to>
      <xdr:col>4</xdr:col>
      <xdr:colOff>167640</xdr:colOff>
      <xdr:row>10</xdr:row>
      <xdr:rowOff>22860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521BDA9D-4963-4F10-A087-CBCD4F9A9986}"/>
            </a:ext>
          </a:extLst>
        </xdr:cNvPr>
        <xdr:cNvSpPr txBox="1">
          <a:spLocks noChangeArrowheads="1"/>
        </xdr:cNvSpPr>
      </xdr:nvSpPr>
      <xdr:spPr bwMode="auto">
        <a:xfrm>
          <a:off x="2971800" y="1895475"/>
          <a:ext cx="1171575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Coupon paid semiannually</a:t>
          </a:r>
        </a:p>
      </xdr:txBody>
    </xdr:sp>
    <xdr:clientData/>
  </xdr:twoCellAnchor>
  <xdr:twoCellAnchor>
    <xdr:from>
      <xdr:col>4</xdr:col>
      <xdr:colOff>213360</xdr:colOff>
      <xdr:row>5</xdr:row>
      <xdr:rowOff>106680</xdr:rowOff>
    </xdr:from>
    <xdr:to>
      <xdr:col>6</xdr:col>
      <xdr:colOff>289560</xdr:colOff>
      <xdr:row>8</xdr:row>
      <xdr:rowOff>22860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5B4BF5A4-AAD5-40C8-8F76-A87F2A1BF51B}"/>
            </a:ext>
          </a:extLst>
        </xdr:cNvPr>
        <xdr:cNvSpPr>
          <a:spLocks noChangeShapeType="1"/>
        </xdr:cNvSpPr>
      </xdr:nvSpPr>
      <xdr:spPr bwMode="auto">
        <a:xfrm flipV="1">
          <a:off x="4181475" y="1533525"/>
          <a:ext cx="1685925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1744980</xdr:colOff>
      <xdr:row>32</xdr:row>
      <xdr:rowOff>45720</xdr:rowOff>
    </xdr:from>
    <xdr:to>
      <xdr:col>1</xdr:col>
      <xdr:colOff>213360</xdr:colOff>
      <xdr:row>33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480949C-5816-4F78-8476-86695A14731E}"/>
            </a:ext>
          </a:extLst>
        </xdr:cNvPr>
        <xdr:cNvSpPr>
          <a:spLocks noChangeShapeType="1"/>
        </xdr:cNvSpPr>
      </xdr:nvSpPr>
      <xdr:spPr bwMode="auto">
        <a:xfrm flipV="1">
          <a:off x="1743075" y="6105525"/>
          <a:ext cx="3524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</xdr:colOff>
      <xdr:row>1</xdr:row>
      <xdr:rowOff>30480</xdr:rowOff>
    </xdr:from>
    <xdr:to>
      <xdr:col>9</xdr:col>
      <xdr:colOff>571500</xdr:colOff>
      <xdr:row>16</xdr:row>
      <xdr:rowOff>129540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3157778-DA4F-422C-A019-DFA04DAB2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487680</xdr:colOff>
      <xdr:row>21</xdr:row>
      <xdr:rowOff>9525</xdr:rowOff>
    </xdr:from>
    <xdr:to>
      <xdr:col>27</xdr:col>
      <xdr:colOff>560325</xdr:colOff>
      <xdr:row>58</xdr:row>
      <xdr:rowOff>145685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3720645-14AD-4F4A-9B49-55BC49815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78730" y="4524375"/>
          <a:ext cx="15465045" cy="65083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137160</xdr:colOff>
      <xdr:row>4</xdr:row>
      <xdr:rowOff>15240</xdr:rowOff>
    </xdr:from>
    <xdr:to>
      <xdr:col>9</xdr:col>
      <xdr:colOff>556260</xdr:colOff>
      <xdr:row>18</xdr:row>
      <xdr:rowOff>106680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0773075-CDDA-445C-B58F-F923E0F28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276225</xdr:colOff>
      <xdr:row>17</xdr:row>
      <xdr:rowOff>38100</xdr:rowOff>
    </xdr:from>
    <xdr:to>
      <xdr:col>25</xdr:col>
      <xdr:colOff>475480</xdr:colOff>
      <xdr:row>46</xdr:row>
      <xdr:rowOff>689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674F9CA-5AED-ADEA-0C4F-9CB222BD5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24875" y="3600450"/>
          <a:ext cx="8133580" cy="49308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/>
      <sheetData sheetId="12"/>
      <sheetData sheetId="13"/>
      <sheetData sheetId="14"/>
      <sheetData sheetId="15"/>
      <sheetData sheetId="16">
        <row r="41">
          <cell r="A41">
            <v>0</v>
          </cell>
          <cell r="B41">
            <v>9.2601865530014052E-3</v>
          </cell>
          <cell r="C41">
            <v>0.14807288050651554</v>
          </cell>
        </row>
        <row r="42">
          <cell r="A42">
            <v>0.1</v>
          </cell>
          <cell r="B42">
            <v>2.1380689740180963E-2</v>
          </cell>
          <cell r="C42">
            <v>0.14807288050651554</v>
          </cell>
        </row>
        <row r="43">
          <cell r="A43">
            <v>0.2</v>
          </cell>
          <cell r="B43">
            <v>3.446191847324373E-2</v>
          </cell>
          <cell r="C43">
            <v>0.14807288050651554</v>
          </cell>
        </row>
        <row r="44">
          <cell r="A44">
            <v>0.3</v>
          </cell>
          <cell r="B44">
            <v>4.8623684048652638E-2</v>
          </cell>
          <cell r="C44">
            <v>0.14807288050651554</v>
          </cell>
        </row>
        <row r="45">
          <cell r="A45">
            <v>0.4</v>
          </cell>
          <cell r="B45">
            <v>6.3999357819557193E-2</v>
          </cell>
          <cell r="C45">
            <v>0.14807288050651554</v>
          </cell>
        </row>
        <row r="46">
          <cell r="A46">
            <v>0.5</v>
          </cell>
          <cell r="B46">
            <v>8.0735215544700631E-2</v>
          </cell>
          <cell r="C46">
            <v>0.14807288050651554</v>
          </cell>
        </row>
        <row r="47">
          <cell r="A47">
            <v>0.6</v>
          </cell>
          <cell r="B47">
            <v>9.8988467454910301E-2</v>
          </cell>
          <cell r="C47">
            <v>0.14807288050651554</v>
          </cell>
        </row>
        <row r="48">
          <cell r="A48">
            <v>0.7</v>
          </cell>
          <cell r="B48">
            <v>0.11892357468605042</v>
          </cell>
          <cell r="C48">
            <v>0.14807288050651554</v>
          </cell>
        </row>
        <row r="49">
          <cell r="A49">
            <v>0.8</v>
          </cell>
          <cell r="B49">
            <v>0.14070674777030942</v>
          </cell>
          <cell r="C49">
            <v>0.14807288050651554</v>
          </cell>
        </row>
        <row r="50">
          <cell r="A50">
            <v>0.9</v>
          </cell>
          <cell r="B50">
            <v>0.1644987761974335</v>
          </cell>
          <cell r="C50">
            <v>0.14807288050651554</v>
          </cell>
        </row>
        <row r="51">
          <cell r="A51">
            <v>1</v>
          </cell>
          <cell r="B51">
            <v>0.19044695496559144</v>
          </cell>
          <cell r="C51">
            <v>0.14807288050651554</v>
          </cell>
        </row>
        <row r="57">
          <cell r="G57" t="str">
            <v>AMR Bond Expected Return vs. Recovery Rate
Bond price = 77%, Bond Rating = CCC,
Coupon = 10.55%, YTM = 14.81%</v>
          </cell>
        </row>
      </sheetData>
      <sheetData sheetId="17"/>
      <sheetData sheetId="18"/>
      <sheetData sheetId="19"/>
      <sheetData sheetId="20">
        <row r="3">
          <cell r="B3" t="str">
            <v>Annual
transition matrix</v>
          </cell>
          <cell r="C3" t="str">
            <v>Semiannual
transition matrix</v>
          </cell>
        </row>
        <row r="4">
          <cell r="A4">
            <v>0</v>
          </cell>
          <cell r="B4">
            <v>-3.0480995774269101E-2</v>
          </cell>
          <cell r="C4">
            <v>9.2601865530014052E-3</v>
          </cell>
        </row>
        <row r="5">
          <cell r="A5">
            <v>0.1</v>
          </cell>
          <cell r="B5">
            <v>-1.7490725219249721E-2</v>
          </cell>
          <cell r="C5">
            <v>2.1380689740180963E-2</v>
          </cell>
        </row>
        <row r="6">
          <cell r="A6">
            <v>0.2</v>
          </cell>
          <cell r="B6">
            <v>-3.0423253774642936E-3</v>
          </cell>
          <cell r="C6">
            <v>3.446191847324373E-2</v>
          </cell>
        </row>
        <row r="7">
          <cell r="A7">
            <v>0.3</v>
          </cell>
          <cell r="B7">
            <v>1.3169386982917787E-2</v>
          </cell>
          <cell r="C7">
            <v>4.8623684048652638E-2</v>
          </cell>
        </row>
        <row r="8">
          <cell r="A8">
            <v>0.4</v>
          </cell>
          <cell r="B8">
            <v>3.1531575322151187E-2</v>
          </cell>
          <cell r="C8">
            <v>6.3999357819557193E-2</v>
          </cell>
        </row>
        <row r="9">
          <cell r="A9">
            <v>0.55000000000000004</v>
          </cell>
          <cell r="B9">
            <v>5.2534762024879472E-2</v>
          </cell>
          <cell r="C9">
            <v>8.0735215544700631E-2</v>
          </cell>
        </row>
        <row r="10">
          <cell r="A10">
            <v>0.6</v>
          </cell>
          <cell r="B10">
            <v>7.6794877648353591E-2</v>
          </cell>
          <cell r="C10">
            <v>9.8988467454910301E-2</v>
          </cell>
        </row>
        <row r="11">
          <cell r="A11">
            <v>0.65</v>
          </cell>
          <cell r="B11">
            <v>0.10506922602653504</v>
          </cell>
          <cell r="C11">
            <v>0.11892357468605042</v>
          </cell>
        </row>
        <row r="12">
          <cell r="A12">
            <v>0.8</v>
          </cell>
          <cell r="B12">
            <v>0.13825363516807557</v>
          </cell>
          <cell r="C12">
            <v>0.14070674777030942</v>
          </cell>
        </row>
        <row r="13">
          <cell r="A13">
            <v>0.9</v>
          </cell>
          <cell r="B13">
            <v>0.17734346985816959</v>
          </cell>
          <cell r="C13">
            <v>0.1644987761974335</v>
          </cell>
        </row>
        <row r="14">
          <cell r="A14">
            <v>1</v>
          </cell>
          <cell r="B14">
            <v>0.22334784865379334</v>
          </cell>
          <cell r="C14">
            <v>0.19044695496559144</v>
          </cell>
        </row>
      </sheetData>
      <sheetData sheetId="21"/>
      <sheetData sheetId="22">
        <row r="7">
          <cell r="B7" t="str">
            <v>Annual
transition matrix</v>
          </cell>
          <cell r="C7" t="str">
            <v>Semiannual
transition matrix</v>
          </cell>
        </row>
        <row r="8">
          <cell r="A8">
            <v>0</v>
          </cell>
          <cell r="B8">
            <v>-1.3011422429638411</v>
          </cell>
          <cell r="C8">
            <v>-0.55692534544941197</v>
          </cell>
        </row>
        <row r="9">
          <cell r="A9">
            <v>0.1</v>
          </cell>
          <cell r="B9">
            <v>-1.0578787494241524</v>
          </cell>
          <cell r="C9">
            <v>-0.3299496303336899</v>
          </cell>
        </row>
        <row r="10">
          <cell r="A10">
            <v>0.2</v>
          </cell>
          <cell r="B10">
            <v>-0.78730946399745882</v>
          </cell>
          <cell r="C10">
            <v>-8.4982800126521929E-2</v>
          </cell>
        </row>
        <row r="11">
          <cell r="A11">
            <v>0.3</v>
          </cell>
          <cell r="B11">
            <v>-0.48371934488918011</v>
          </cell>
          <cell r="C11">
            <v>0.18021880240922547</v>
          </cell>
        </row>
        <row r="12">
          <cell r="A12">
            <v>0.4</v>
          </cell>
          <cell r="B12">
            <v>-0.13985814003462199</v>
          </cell>
          <cell r="C12">
            <v>0.46815276815650181</v>
          </cell>
        </row>
        <row r="13">
          <cell r="A13">
            <v>0.55000000000000004</v>
          </cell>
          <cell r="B13">
            <v>0.25345996301272428</v>
          </cell>
          <cell r="C13">
            <v>0.78155834353371989</v>
          </cell>
        </row>
        <row r="14">
          <cell r="A14">
            <v>0.6</v>
          </cell>
          <cell r="B14">
            <v>0.70776924435119093</v>
          </cell>
          <cell r="C14">
            <v>1.1233795403541258</v>
          </cell>
        </row>
        <row r="15">
          <cell r="A15">
            <v>0.65</v>
          </cell>
          <cell r="B15">
            <v>1.2372514237178847</v>
          </cell>
          <cell r="C15">
            <v>1.4966961551694835</v>
          </cell>
        </row>
        <row r="16">
          <cell r="A16">
            <v>0.8</v>
          </cell>
          <cell r="B16">
            <v>1.8586823065182694</v>
          </cell>
          <cell r="C16">
            <v>1.9046207447623489</v>
          </cell>
        </row>
        <row r="17">
          <cell r="A17">
            <v>0.9</v>
          </cell>
          <cell r="B17">
            <v>2.5907016827372589</v>
          </cell>
          <cell r="C17">
            <v>2.3501643482665453</v>
          </cell>
        </row>
        <row r="18">
          <cell r="A18">
            <v>1</v>
          </cell>
          <cell r="B18">
            <v>3.4522069036290892</v>
          </cell>
          <cell r="C18">
            <v>2.8360852989811134</v>
          </cell>
        </row>
      </sheetData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11FD-451A-46C3-9C63-A04999A992A4}">
  <sheetPr codeName="Sheet6"/>
  <dimension ref="A1:ER72"/>
  <sheetViews>
    <sheetView workbookViewId="0">
      <selection activeCell="B51" sqref="B51"/>
    </sheetView>
  </sheetViews>
  <sheetFormatPr defaultRowHeight="13.2" x14ac:dyDescent="0.25"/>
  <cols>
    <col min="1" max="1" width="27.44140625" style="2" customWidth="1"/>
    <col min="2" max="2" width="9.44140625" style="2" bestFit="1" customWidth="1"/>
    <col min="3" max="3" width="11.33203125" style="2" customWidth="1"/>
    <col min="4" max="4" width="9.5546875" style="2" bestFit="1" customWidth="1"/>
    <col min="5" max="5" width="12.6640625" style="2" customWidth="1"/>
    <col min="6" max="6" width="11.33203125" style="2" customWidth="1"/>
    <col min="7" max="7" width="10.6640625" style="2" customWidth="1"/>
    <col min="8" max="8" width="9.44140625" style="2" customWidth="1"/>
    <col min="9" max="9" width="11.33203125" style="2" customWidth="1"/>
    <col min="10" max="12" width="9.44140625" style="2" customWidth="1"/>
    <col min="13" max="13" width="18.6640625" style="2" customWidth="1"/>
    <col min="14" max="84" width="9.44140625" style="2" customWidth="1"/>
    <col min="85" max="256" width="8.88671875" style="2"/>
    <col min="257" max="257" width="27.44140625" style="2" customWidth="1"/>
    <col min="258" max="258" width="9.44140625" style="2" bestFit="1" customWidth="1"/>
    <col min="259" max="259" width="11.33203125" style="2" customWidth="1"/>
    <col min="260" max="260" width="9.5546875" style="2" bestFit="1" customWidth="1"/>
    <col min="261" max="261" width="12.6640625" style="2" customWidth="1"/>
    <col min="262" max="262" width="11.33203125" style="2" customWidth="1"/>
    <col min="263" max="263" width="10.6640625" style="2" customWidth="1"/>
    <col min="264" max="264" width="9.44140625" style="2" customWidth="1"/>
    <col min="265" max="265" width="11.33203125" style="2" customWidth="1"/>
    <col min="266" max="268" width="9.44140625" style="2" customWidth="1"/>
    <col min="269" max="269" width="18.6640625" style="2" customWidth="1"/>
    <col min="270" max="340" width="9.44140625" style="2" customWidth="1"/>
    <col min="341" max="512" width="8.88671875" style="2"/>
    <col min="513" max="513" width="27.44140625" style="2" customWidth="1"/>
    <col min="514" max="514" width="9.44140625" style="2" bestFit="1" customWidth="1"/>
    <col min="515" max="515" width="11.33203125" style="2" customWidth="1"/>
    <col min="516" max="516" width="9.5546875" style="2" bestFit="1" customWidth="1"/>
    <col min="517" max="517" width="12.6640625" style="2" customWidth="1"/>
    <col min="518" max="518" width="11.33203125" style="2" customWidth="1"/>
    <col min="519" max="519" width="10.6640625" style="2" customWidth="1"/>
    <col min="520" max="520" width="9.44140625" style="2" customWidth="1"/>
    <col min="521" max="521" width="11.33203125" style="2" customWidth="1"/>
    <col min="522" max="524" width="9.44140625" style="2" customWidth="1"/>
    <col min="525" max="525" width="18.6640625" style="2" customWidth="1"/>
    <col min="526" max="596" width="9.44140625" style="2" customWidth="1"/>
    <col min="597" max="768" width="8.88671875" style="2"/>
    <col min="769" max="769" width="27.44140625" style="2" customWidth="1"/>
    <col min="770" max="770" width="9.44140625" style="2" bestFit="1" customWidth="1"/>
    <col min="771" max="771" width="11.33203125" style="2" customWidth="1"/>
    <col min="772" max="772" width="9.5546875" style="2" bestFit="1" customWidth="1"/>
    <col min="773" max="773" width="12.6640625" style="2" customWidth="1"/>
    <col min="774" max="774" width="11.33203125" style="2" customWidth="1"/>
    <col min="775" max="775" width="10.6640625" style="2" customWidth="1"/>
    <col min="776" max="776" width="9.44140625" style="2" customWidth="1"/>
    <col min="777" max="777" width="11.33203125" style="2" customWidth="1"/>
    <col min="778" max="780" width="9.44140625" style="2" customWidth="1"/>
    <col min="781" max="781" width="18.6640625" style="2" customWidth="1"/>
    <col min="782" max="852" width="9.44140625" style="2" customWidth="1"/>
    <col min="853" max="1024" width="8.88671875" style="2"/>
    <col min="1025" max="1025" width="27.44140625" style="2" customWidth="1"/>
    <col min="1026" max="1026" width="9.44140625" style="2" bestFit="1" customWidth="1"/>
    <col min="1027" max="1027" width="11.33203125" style="2" customWidth="1"/>
    <col min="1028" max="1028" width="9.5546875" style="2" bestFit="1" customWidth="1"/>
    <col min="1029" max="1029" width="12.6640625" style="2" customWidth="1"/>
    <col min="1030" max="1030" width="11.33203125" style="2" customWidth="1"/>
    <col min="1031" max="1031" width="10.6640625" style="2" customWidth="1"/>
    <col min="1032" max="1032" width="9.44140625" style="2" customWidth="1"/>
    <col min="1033" max="1033" width="11.33203125" style="2" customWidth="1"/>
    <col min="1034" max="1036" width="9.44140625" style="2" customWidth="1"/>
    <col min="1037" max="1037" width="18.6640625" style="2" customWidth="1"/>
    <col min="1038" max="1108" width="9.44140625" style="2" customWidth="1"/>
    <col min="1109" max="1280" width="8.88671875" style="2"/>
    <col min="1281" max="1281" width="27.44140625" style="2" customWidth="1"/>
    <col min="1282" max="1282" width="9.44140625" style="2" bestFit="1" customWidth="1"/>
    <col min="1283" max="1283" width="11.33203125" style="2" customWidth="1"/>
    <col min="1284" max="1284" width="9.5546875" style="2" bestFit="1" customWidth="1"/>
    <col min="1285" max="1285" width="12.6640625" style="2" customWidth="1"/>
    <col min="1286" max="1286" width="11.33203125" style="2" customWidth="1"/>
    <col min="1287" max="1287" width="10.6640625" style="2" customWidth="1"/>
    <col min="1288" max="1288" width="9.44140625" style="2" customWidth="1"/>
    <col min="1289" max="1289" width="11.33203125" style="2" customWidth="1"/>
    <col min="1290" max="1292" width="9.44140625" style="2" customWidth="1"/>
    <col min="1293" max="1293" width="18.6640625" style="2" customWidth="1"/>
    <col min="1294" max="1364" width="9.44140625" style="2" customWidth="1"/>
    <col min="1365" max="1536" width="8.88671875" style="2"/>
    <col min="1537" max="1537" width="27.44140625" style="2" customWidth="1"/>
    <col min="1538" max="1538" width="9.44140625" style="2" bestFit="1" customWidth="1"/>
    <col min="1539" max="1539" width="11.33203125" style="2" customWidth="1"/>
    <col min="1540" max="1540" width="9.5546875" style="2" bestFit="1" customWidth="1"/>
    <col min="1541" max="1541" width="12.6640625" style="2" customWidth="1"/>
    <col min="1542" max="1542" width="11.33203125" style="2" customWidth="1"/>
    <col min="1543" max="1543" width="10.6640625" style="2" customWidth="1"/>
    <col min="1544" max="1544" width="9.44140625" style="2" customWidth="1"/>
    <col min="1545" max="1545" width="11.33203125" style="2" customWidth="1"/>
    <col min="1546" max="1548" width="9.44140625" style="2" customWidth="1"/>
    <col min="1549" max="1549" width="18.6640625" style="2" customWidth="1"/>
    <col min="1550" max="1620" width="9.44140625" style="2" customWidth="1"/>
    <col min="1621" max="1792" width="8.88671875" style="2"/>
    <col min="1793" max="1793" width="27.44140625" style="2" customWidth="1"/>
    <col min="1794" max="1794" width="9.44140625" style="2" bestFit="1" customWidth="1"/>
    <col min="1795" max="1795" width="11.33203125" style="2" customWidth="1"/>
    <col min="1796" max="1796" width="9.5546875" style="2" bestFit="1" customWidth="1"/>
    <col min="1797" max="1797" width="12.6640625" style="2" customWidth="1"/>
    <col min="1798" max="1798" width="11.33203125" style="2" customWidth="1"/>
    <col min="1799" max="1799" width="10.6640625" style="2" customWidth="1"/>
    <col min="1800" max="1800" width="9.44140625" style="2" customWidth="1"/>
    <col min="1801" max="1801" width="11.33203125" style="2" customWidth="1"/>
    <col min="1802" max="1804" width="9.44140625" style="2" customWidth="1"/>
    <col min="1805" max="1805" width="18.6640625" style="2" customWidth="1"/>
    <col min="1806" max="1876" width="9.44140625" style="2" customWidth="1"/>
    <col min="1877" max="2048" width="8.88671875" style="2"/>
    <col min="2049" max="2049" width="27.44140625" style="2" customWidth="1"/>
    <col min="2050" max="2050" width="9.44140625" style="2" bestFit="1" customWidth="1"/>
    <col min="2051" max="2051" width="11.33203125" style="2" customWidth="1"/>
    <col min="2052" max="2052" width="9.5546875" style="2" bestFit="1" customWidth="1"/>
    <col min="2053" max="2053" width="12.6640625" style="2" customWidth="1"/>
    <col min="2054" max="2054" width="11.33203125" style="2" customWidth="1"/>
    <col min="2055" max="2055" width="10.6640625" style="2" customWidth="1"/>
    <col min="2056" max="2056" width="9.44140625" style="2" customWidth="1"/>
    <col min="2057" max="2057" width="11.33203125" style="2" customWidth="1"/>
    <col min="2058" max="2060" width="9.44140625" style="2" customWidth="1"/>
    <col min="2061" max="2061" width="18.6640625" style="2" customWidth="1"/>
    <col min="2062" max="2132" width="9.44140625" style="2" customWidth="1"/>
    <col min="2133" max="2304" width="8.88671875" style="2"/>
    <col min="2305" max="2305" width="27.44140625" style="2" customWidth="1"/>
    <col min="2306" max="2306" width="9.44140625" style="2" bestFit="1" customWidth="1"/>
    <col min="2307" max="2307" width="11.33203125" style="2" customWidth="1"/>
    <col min="2308" max="2308" width="9.5546875" style="2" bestFit="1" customWidth="1"/>
    <col min="2309" max="2309" width="12.6640625" style="2" customWidth="1"/>
    <col min="2310" max="2310" width="11.33203125" style="2" customWidth="1"/>
    <col min="2311" max="2311" width="10.6640625" style="2" customWidth="1"/>
    <col min="2312" max="2312" width="9.44140625" style="2" customWidth="1"/>
    <col min="2313" max="2313" width="11.33203125" style="2" customWidth="1"/>
    <col min="2314" max="2316" width="9.44140625" style="2" customWidth="1"/>
    <col min="2317" max="2317" width="18.6640625" style="2" customWidth="1"/>
    <col min="2318" max="2388" width="9.44140625" style="2" customWidth="1"/>
    <col min="2389" max="2560" width="8.88671875" style="2"/>
    <col min="2561" max="2561" width="27.44140625" style="2" customWidth="1"/>
    <col min="2562" max="2562" width="9.44140625" style="2" bestFit="1" customWidth="1"/>
    <col min="2563" max="2563" width="11.33203125" style="2" customWidth="1"/>
    <col min="2564" max="2564" width="9.5546875" style="2" bestFit="1" customWidth="1"/>
    <col min="2565" max="2565" width="12.6640625" style="2" customWidth="1"/>
    <col min="2566" max="2566" width="11.33203125" style="2" customWidth="1"/>
    <col min="2567" max="2567" width="10.6640625" style="2" customWidth="1"/>
    <col min="2568" max="2568" width="9.44140625" style="2" customWidth="1"/>
    <col min="2569" max="2569" width="11.33203125" style="2" customWidth="1"/>
    <col min="2570" max="2572" width="9.44140625" style="2" customWidth="1"/>
    <col min="2573" max="2573" width="18.6640625" style="2" customWidth="1"/>
    <col min="2574" max="2644" width="9.44140625" style="2" customWidth="1"/>
    <col min="2645" max="2816" width="8.88671875" style="2"/>
    <col min="2817" max="2817" width="27.44140625" style="2" customWidth="1"/>
    <col min="2818" max="2818" width="9.44140625" style="2" bestFit="1" customWidth="1"/>
    <col min="2819" max="2819" width="11.33203125" style="2" customWidth="1"/>
    <col min="2820" max="2820" width="9.5546875" style="2" bestFit="1" customWidth="1"/>
    <col min="2821" max="2821" width="12.6640625" style="2" customWidth="1"/>
    <col min="2822" max="2822" width="11.33203125" style="2" customWidth="1"/>
    <col min="2823" max="2823" width="10.6640625" style="2" customWidth="1"/>
    <col min="2824" max="2824" width="9.44140625" style="2" customWidth="1"/>
    <col min="2825" max="2825" width="11.33203125" style="2" customWidth="1"/>
    <col min="2826" max="2828" width="9.44140625" style="2" customWidth="1"/>
    <col min="2829" max="2829" width="18.6640625" style="2" customWidth="1"/>
    <col min="2830" max="2900" width="9.44140625" style="2" customWidth="1"/>
    <col min="2901" max="3072" width="8.88671875" style="2"/>
    <col min="3073" max="3073" width="27.44140625" style="2" customWidth="1"/>
    <col min="3074" max="3074" width="9.44140625" style="2" bestFit="1" customWidth="1"/>
    <col min="3075" max="3075" width="11.33203125" style="2" customWidth="1"/>
    <col min="3076" max="3076" width="9.5546875" style="2" bestFit="1" customWidth="1"/>
    <col min="3077" max="3077" width="12.6640625" style="2" customWidth="1"/>
    <col min="3078" max="3078" width="11.33203125" style="2" customWidth="1"/>
    <col min="3079" max="3079" width="10.6640625" style="2" customWidth="1"/>
    <col min="3080" max="3080" width="9.44140625" style="2" customWidth="1"/>
    <col min="3081" max="3081" width="11.33203125" style="2" customWidth="1"/>
    <col min="3082" max="3084" width="9.44140625" style="2" customWidth="1"/>
    <col min="3085" max="3085" width="18.6640625" style="2" customWidth="1"/>
    <col min="3086" max="3156" width="9.44140625" style="2" customWidth="1"/>
    <col min="3157" max="3328" width="8.88671875" style="2"/>
    <col min="3329" max="3329" width="27.44140625" style="2" customWidth="1"/>
    <col min="3330" max="3330" width="9.44140625" style="2" bestFit="1" customWidth="1"/>
    <col min="3331" max="3331" width="11.33203125" style="2" customWidth="1"/>
    <col min="3332" max="3332" width="9.5546875" style="2" bestFit="1" customWidth="1"/>
    <col min="3333" max="3333" width="12.6640625" style="2" customWidth="1"/>
    <col min="3334" max="3334" width="11.33203125" style="2" customWidth="1"/>
    <col min="3335" max="3335" width="10.6640625" style="2" customWidth="1"/>
    <col min="3336" max="3336" width="9.44140625" style="2" customWidth="1"/>
    <col min="3337" max="3337" width="11.33203125" style="2" customWidth="1"/>
    <col min="3338" max="3340" width="9.44140625" style="2" customWidth="1"/>
    <col min="3341" max="3341" width="18.6640625" style="2" customWidth="1"/>
    <col min="3342" max="3412" width="9.44140625" style="2" customWidth="1"/>
    <col min="3413" max="3584" width="8.88671875" style="2"/>
    <col min="3585" max="3585" width="27.44140625" style="2" customWidth="1"/>
    <col min="3586" max="3586" width="9.44140625" style="2" bestFit="1" customWidth="1"/>
    <col min="3587" max="3587" width="11.33203125" style="2" customWidth="1"/>
    <col min="3588" max="3588" width="9.5546875" style="2" bestFit="1" customWidth="1"/>
    <col min="3589" max="3589" width="12.6640625" style="2" customWidth="1"/>
    <col min="3590" max="3590" width="11.33203125" style="2" customWidth="1"/>
    <col min="3591" max="3591" width="10.6640625" style="2" customWidth="1"/>
    <col min="3592" max="3592" width="9.44140625" style="2" customWidth="1"/>
    <col min="3593" max="3593" width="11.33203125" style="2" customWidth="1"/>
    <col min="3594" max="3596" width="9.44140625" style="2" customWidth="1"/>
    <col min="3597" max="3597" width="18.6640625" style="2" customWidth="1"/>
    <col min="3598" max="3668" width="9.44140625" style="2" customWidth="1"/>
    <col min="3669" max="3840" width="8.88671875" style="2"/>
    <col min="3841" max="3841" width="27.44140625" style="2" customWidth="1"/>
    <col min="3842" max="3842" width="9.44140625" style="2" bestFit="1" customWidth="1"/>
    <col min="3843" max="3843" width="11.33203125" style="2" customWidth="1"/>
    <col min="3844" max="3844" width="9.5546875" style="2" bestFit="1" customWidth="1"/>
    <col min="3845" max="3845" width="12.6640625" style="2" customWidth="1"/>
    <col min="3846" max="3846" width="11.33203125" style="2" customWidth="1"/>
    <col min="3847" max="3847" width="10.6640625" style="2" customWidth="1"/>
    <col min="3848" max="3848" width="9.44140625" style="2" customWidth="1"/>
    <col min="3849" max="3849" width="11.33203125" style="2" customWidth="1"/>
    <col min="3850" max="3852" width="9.44140625" style="2" customWidth="1"/>
    <col min="3853" max="3853" width="18.6640625" style="2" customWidth="1"/>
    <col min="3854" max="3924" width="9.44140625" style="2" customWidth="1"/>
    <col min="3925" max="4096" width="8.88671875" style="2"/>
    <col min="4097" max="4097" width="27.44140625" style="2" customWidth="1"/>
    <col min="4098" max="4098" width="9.44140625" style="2" bestFit="1" customWidth="1"/>
    <col min="4099" max="4099" width="11.33203125" style="2" customWidth="1"/>
    <col min="4100" max="4100" width="9.5546875" style="2" bestFit="1" customWidth="1"/>
    <col min="4101" max="4101" width="12.6640625" style="2" customWidth="1"/>
    <col min="4102" max="4102" width="11.33203125" style="2" customWidth="1"/>
    <col min="4103" max="4103" width="10.6640625" style="2" customWidth="1"/>
    <col min="4104" max="4104" width="9.44140625" style="2" customWidth="1"/>
    <col min="4105" max="4105" width="11.33203125" style="2" customWidth="1"/>
    <col min="4106" max="4108" width="9.44140625" style="2" customWidth="1"/>
    <col min="4109" max="4109" width="18.6640625" style="2" customWidth="1"/>
    <col min="4110" max="4180" width="9.44140625" style="2" customWidth="1"/>
    <col min="4181" max="4352" width="8.88671875" style="2"/>
    <col min="4353" max="4353" width="27.44140625" style="2" customWidth="1"/>
    <col min="4354" max="4354" width="9.44140625" style="2" bestFit="1" customWidth="1"/>
    <col min="4355" max="4355" width="11.33203125" style="2" customWidth="1"/>
    <col min="4356" max="4356" width="9.5546875" style="2" bestFit="1" customWidth="1"/>
    <col min="4357" max="4357" width="12.6640625" style="2" customWidth="1"/>
    <col min="4358" max="4358" width="11.33203125" style="2" customWidth="1"/>
    <col min="4359" max="4359" width="10.6640625" style="2" customWidth="1"/>
    <col min="4360" max="4360" width="9.44140625" style="2" customWidth="1"/>
    <col min="4361" max="4361" width="11.33203125" style="2" customWidth="1"/>
    <col min="4362" max="4364" width="9.44140625" style="2" customWidth="1"/>
    <col min="4365" max="4365" width="18.6640625" style="2" customWidth="1"/>
    <col min="4366" max="4436" width="9.44140625" style="2" customWidth="1"/>
    <col min="4437" max="4608" width="8.88671875" style="2"/>
    <col min="4609" max="4609" width="27.44140625" style="2" customWidth="1"/>
    <col min="4610" max="4610" width="9.44140625" style="2" bestFit="1" customWidth="1"/>
    <col min="4611" max="4611" width="11.33203125" style="2" customWidth="1"/>
    <col min="4612" max="4612" width="9.5546875" style="2" bestFit="1" customWidth="1"/>
    <col min="4613" max="4613" width="12.6640625" style="2" customWidth="1"/>
    <col min="4614" max="4614" width="11.33203125" style="2" customWidth="1"/>
    <col min="4615" max="4615" width="10.6640625" style="2" customWidth="1"/>
    <col min="4616" max="4616" width="9.44140625" style="2" customWidth="1"/>
    <col min="4617" max="4617" width="11.33203125" style="2" customWidth="1"/>
    <col min="4618" max="4620" width="9.44140625" style="2" customWidth="1"/>
    <col min="4621" max="4621" width="18.6640625" style="2" customWidth="1"/>
    <col min="4622" max="4692" width="9.44140625" style="2" customWidth="1"/>
    <col min="4693" max="4864" width="8.88671875" style="2"/>
    <col min="4865" max="4865" width="27.44140625" style="2" customWidth="1"/>
    <col min="4866" max="4866" width="9.44140625" style="2" bestFit="1" customWidth="1"/>
    <col min="4867" max="4867" width="11.33203125" style="2" customWidth="1"/>
    <col min="4868" max="4868" width="9.5546875" style="2" bestFit="1" customWidth="1"/>
    <col min="4869" max="4869" width="12.6640625" style="2" customWidth="1"/>
    <col min="4870" max="4870" width="11.33203125" style="2" customWidth="1"/>
    <col min="4871" max="4871" width="10.6640625" style="2" customWidth="1"/>
    <col min="4872" max="4872" width="9.44140625" style="2" customWidth="1"/>
    <col min="4873" max="4873" width="11.33203125" style="2" customWidth="1"/>
    <col min="4874" max="4876" width="9.44140625" style="2" customWidth="1"/>
    <col min="4877" max="4877" width="18.6640625" style="2" customWidth="1"/>
    <col min="4878" max="4948" width="9.44140625" style="2" customWidth="1"/>
    <col min="4949" max="5120" width="8.88671875" style="2"/>
    <col min="5121" max="5121" width="27.44140625" style="2" customWidth="1"/>
    <col min="5122" max="5122" width="9.44140625" style="2" bestFit="1" customWidth="1"/>
    <col min="5123" max="5123" width="11.33203125" style="2" customWidth="1"/>
    <col min="5124" max="5124" width="9.5546875" style="2" bestFit="1" customWidth="1"/>
    <col min="5125" max="5125" width="12.6640625" style="2" customWidth="1"/>
    <col min="5126" max="5126" width="11.33203125" style="2" customWidth="1"/>
    <col min="5127" max="5127" width="10.6640625" style="2" customWidth="1"/>
    <col min="5128" max="5128" width="9.44140625" style="2" customWidth="1"/>
    <col min="5129" max="5129" width="11.33203125" style="2" customWidth="1"/>
    <col min="5130" max="5132" width="9.44140625" style="2" customWidth="1"/>
    <col min="5133" max="5133" width="18.6640625" style="2" customWidth="1"/>
    <col min="5134" max="5204" width="9.44140625" style="2" customWidth="1"/>
    <col min="5205" max="5376" width="8.88671875" style="2"/>
    <col min="5377" max="5377" width="27.44140625" style="2" customWidth="1"/>
    <col min="5378" max="5378" width="9.44140625" style="2" bestFit="1" customWidth="1"/>
    <col min="5379" max="5379" width="11.33203125" style="2" customWidth="1"/>
    <col min="5380" max="5380" width="9.5546875" style="2" bestFit="1" customWidth="1"/>
    <col min="5381" max="5381" width="12.6640625" style="2" customWidth="1"/>
    <col min="5382" max="5382" width="11.33203125" style="2" customWidth="1"/>
    <col min="5383" max="5383" width="10.6640625" style="2" customWidth="1"/>
    <col min="5384" max="5384" width="9.44140625" style="2" customWidth="1"/>
    <col min="5385" max="5385" width="11.33203125" style="2" customWidth="1"/>
    <col min="5386" max="5388" width="9.44140625" style="2" customWidth="1"/>
    <col min="5389" max="5389" width="18.6640625" style="2" customWidth="1"/>
    <col min="5390" max="5460" width="9.44140625" style="2" customWidth="1"/>
    <col min="5461" max="5632" width="8.88671875" style="2"/>
    <col min="5633" max="5633" width="27.44140625" style="2" customWidth="1"/>
    <col min="5634" max="5634" width="9.44140625" style="2" bestFit="1" customWidth="1"/>
    <col min="5635" max="5635" width="11.33203125" style="2" customWidth="1"/>
    <col min="5636" max="5636" width="9.5546875" style="2" bestFit="1" customWidth="1"/>
    <col min="5637" max="5637" width="12.6640625" style="2" customWidth="1"/>
    <col min="5638" max="5638" width="11.33203125" style="2" customWidth="1"/>
    <col min="5639" max="5639" width="10.6640625" style="2" customWidth="1"/>
    <col min="5640" max="5640" width="9.44140625" style="2" customWidth="1"/>
    <col min="5641" max="5641" width="11.33203125" style="2" customWidth="1"/>
    <col min="5642" max="5644" width="9.44140625" style="2" customWidth="1"/>
    <col min="5645" max="5645" width="18.6640625" style="2" customWidth="1"/>
    <col min="5646" max="5716" width="9.44140625" style="2" customWidth="1"/>
    <col min="5717" max="5888" width="8.88671875" style="2"/>
    <col min="5889" max="5889" width="27.44140625" style="2" customWidth="1"/>
    <col min="5890" max="5890" width="9.44140625" style="2" bestFit="1" customWidth="1"/>
    <col min="5891" max="5891" width="11.33203125" style="2" customWidth="1"/>
    <col min="5892" max="5892" width="9.5546875" style="2" bestFit="1" customWidth="1"/>
    <col min="5893" max="5893" width="12.6640625" style="2" customWidth="1"/>
    <col min="5894" max="5894" width="11.33203125" style="2" customWidth="1"/>
    <col min="5895" max="5895" width="10.6640625" style="2" customWidth="1"/>
    <col min="5896" max="5896" width="9.44140625" style="2" customWidth="1"/>
    <col min="5897" max="5897" width="11.33203125" style="2" customWidth="1"/>
    <col min="5898" max="5900" width="9.44140625" style="2" customWidth="1"/>
    <col min="5901" max="5901" width="18.6640625" style="2" customWidth="1"/>
    <col min="5902" max="5972" width="9.44140625" style="2" customWidth="1"/>
    <col min="5973" max="6144" width="8.88671875" style="2"/>
    <col min="6145" max="6145" width="27.44140625" style="2" customWidth="1"/>
    <col min="6146" max="6146" width="9.44140625" style="2" bestFit="1" customWidth="1"/>
    <col min="6147" max="6147" width="11.33203125" style="2" customWidth="1"/>
    <col min="6148" max="6148" width="9.5546875" style="2" bestFit="1" customWidth="1"/>
    <col min="6149" max="6149" width="12.6640625" style="2" customWidth="1"/>
    <col min="6150" max="6150" width="11.33203125" style="2" customWidth="1"/>
    <col min="6151" max="6151" width="10.6640625" style="2" customWidth="1"/>
    <col min="6152" max="6152" width="9.44140625" style="2" customWidth="1"/>
    <col min="6153" max="6153" width="11.33203125" style="2" customWidth="1"/>
    <col min="6154" max="6156" width="9.44140625" style="2" customWidth="1"/>
    <col min="6157" max="6157" width="18.6640625" style="2" customWidth="1"/>
    <col min="6158" max="6228" width="9.44140625" style="2" customWidth="1"/>
    <col min="6229" max="6400" width="8.88671875" style="2"/>
    <col min="6401" max="6401" width="27.44140625" style="2" customWidth="1"/>
    <col min="6402" max="6402" width="9.44140625" style="2" bestFit="1" customWidth="1"/>
    <col min="6403" max="6403" width="11.33203125" style="2" customWidth="1"/>
    <col min="6404" max="6404" width="9.5546875" style="2" bestFit="1" customWidth="1"/>
    <col min="6405" max="6405" width="12.6640625" style="2" customWidth="1"/>
    <col min="6406" max="6406" width="11.33203125" style="2" customWidth="1"/>
    <col min="6407" max="6407" width="10.6640625" style="2" customWidth="1"/>
    <col min="6408" max="6408" width="9.44140625" style="2" customWidth="1"/>
    <col min="6409" max="6409" width="11.33203125" style="2" customWidth="1"/>
    <col min="6410" max="6412" width="9.44140625" style="2" customWidth="1"/>
    <col min="6413" max="6413" width="18.6640625" style="2" customWidth="1"/>
    <col min="6414" max="6484" width="9.44140625" style="2" customWidth="1"/>
    <col min="6485" max="6656" width="8.88671875" style="2"/>
    <col min="6657" max="6657" width="27.44140625" style="2" customWidth="1"/>
    <col min="6658" max="6658" width="9.44140625" style="2" bestFit="1" customWidth="1"/>
    <col min="6659" max="6659" width="11.33203125" style="2" customWidth="1"/>
    <col min="6660" max="6660" width="9.5546875" style="2" bestFit="1" customWidth="1"/>
    <col min="6661" max="6661" width="12.6640625" style="2" customWidth="1"/>
    <col min="6662" max="6662" width="11.33203125" style="2" customWidth="1"/>
    <col min="6663" max="6663" width="10.6640625" style="2" customWidth="1"/>
    <col min="6664" max="6664" width="9.44140625" style="2" customWidth="1"/>
    <col min="6665" max="6665" width="11.33203125" style="2" customWidth="1"/>
    <col min="6666" max="6668" width="9.44140625" style="2" customWidth="1"/>
    <col min="6669" max="6669" width="18.6640625" style="2" customWidth="1"/>
    <col min="6670" max="6740" width="9.44140625" style="2" customWidth="1"/>
    <col min="6741" max="6912" width="8.88671875" style="2"/>
    <col min="6913" max="6913" width="27.44140625" style="2" customWidth="1"/>
    <col min="6914" max="6914" width="9.44140625" style="2" bestFit="1" customWidth="1"/>
    <col min="6915" max="6915" width="11.33203125" style="2" customWidth="1"/>
    <col min="6916" max="6916" width="9.5546875" style="2" bestFit="1" customWidth="1"/>
    <col min="6917" max="6917" width="12.6640625" style="2" customWidth="1"/>
    <col min="6918" max="6918" width="11.33203125" style="2" customWidth="1"/>
    <col min="6919" max="6919" width="10.6640625" style="2" customWidth="1"/>
    <col min="6920" max="6920" width="9.44140625" style="2" customWidth="1"/>
    <col min="6921" max="6921" width="11.33203125" style="2" customWidth="1"/>
    <col min="6922" max="6924" width="9.44140625" style="2" customWidth="1"/>
    <col min="6925" max="6925" width="18.6640625" style="2" customWidth="1"/>
    <col min="6926" max="6996" width="9.44140625" style="2" customWidth="1"/>
    <col min="6997" max="7168" width="8.88671875" style="2"/>
    <col min="7169" max="7169" width="27.44140625" style="2" customWidth="1"/>
    <col min="7170" max="7170" width="9.44140625" style="2" bestFit="1" customWidth="1"/>
    <col min="7171" max="7171" width="11.33203125" style="2" customWidth="1"/>
    <col min="7172" max="7172" width="9.5546875" style="2" bestFit="1" customWidth="1"/>
    <col min="7173" max="7173" width="12.6640625" style="2" customWidth="1"/>
    <col min="7174" max="7174" width="11.33203125" style="2" customWidth="1"/>
    <col min="7175" max="7175" width="10.6640625" style="2" customWidth="1"/>
    <col min="7176" max="7176" width="9.44140625" style="2" customWidth="1"/>
    <col min="7177" max="7177" width="11.33203125" style="2" customWidth="1"/>
    <col min="7178" max="7180" width="9.44140625" style="2" customWidth="1"/>
    <col min="7181" max="7181" width="18.6640625" style="2" customWidth="1"/>
    <col min="7182" max="7252" width="9.44140625" style="2" customWidth="1"/>
    <col min="7253" max="7424" width="8.88671875" style="2"/>
    <col min="7425" max="7425" width="27.44140625" style="2" customWidth="1"/>
    <col min="7426" max="7426" width="9.44140625" style="2" bestFit="1" customWidth="1"/>
    <col min="7427" max="7427" width="11.33203125" style="2" customWidth="1"/>
    <col min="7428" max="7428" width="9.5546875" style="2" bestFit="1" customWidth="1"/>
    <col min="7429" max="7429" width="12.6640625" style="2" customWidth="1"/>
    <col min="7430" max="7430" width="11.33203125" style="2" customWidth="1"/>
    <col min="7431" max="7431" width="10.6640625" style="2" customWidth="1"/>
    <col min="7432" max="7432" width="9.44140625" style="2" customWidth="1"/>
    <col min="7433" max="7433" width="11.33203125" style="2" customWidth="1"/>
    <col min="7434" max="7436" width="9.44140625" style="2" customWidth="1"/>
    <col min="7437" max="7437" width="18.6640625" style="2" customWidth="1"/>
    <col min="7438" max="7508" width="9.44140625" style="2" customWidth="1"/>
    <col min="7509" max="7680" width="8.88671875" style="2"/>
    <col min="7681" max="7681" width="27.44140625" style="2" customWidth="1"/>
    <col min="7682" max="7682" width="9.44140625" style="2" bestFit="1" customWidth="1"/>
    <col min="7683" max="7683" width="11.33203125" style="2" customWidth="1"/>
    <col min="7684" max="7684" width="9.5546875" style="2" bestFit="1" customWidth="1"/>
    <col min="7685" max="7685" width="12.6640625" style="2" customWidth="1"/>
    <col min="7686" max="7686" width="11.33203125" style="2" customWidth="1"/>
    <col min="7687" max="7687" width="10.6640625" style="2" customWidth="1"/>
    <col min="7688" max="7688" width="9.44140625" style="2" customWidth="1"/>
    <col min="7689" max="7689" width="11.33203125" style="2" customWidth="1"/>
    <col min="7690" max="7692" width="9.44140625" style="2" customWidth="1"/>
    <col min="7693" max="7693" width="18.6640625" style="2" customWidth="1"/>
    <col min="7694" max="7764" width="9.44140625" style="2" customWidth="1"/>
    <col min="7765" max="7936" width="8.88671875" style="2"/>
    <col min="7937" max="7937" width="27.44140625" style="2" customWidth="1"/>
    <col min="7938" max="7938" width="9.44140625" style="2" bestFit="1" customWidth="1"/>
    <col min="7939" max="7939" width="11.33203125" style="2" customWidth="1"/>
    <col min="7940" max="7940" width="9.5546875" style="2" bestFit="1" customWidth="1"/>
    <col min="7941" max="7941" width="12.6640625" style="2" customWidth="1"/>
    <col min="7942" max="7942" width="11.33203125" style="2" customWidth="1"/>
    <col min="7943" max="7943" width="10.6640625" style="2" customWidth="1"/>
    <col min="7944" max="7944" width="9.44140625" style="2" customWidth="1"/>
    <col min="7945" max="7945" width="11.33203125" style="2" customWidth="1"/>
    <col min="7946" max="7948" width="9.44140625" style="2" customWidth="1"/>
    <col min="7949" max="7949" width="18.6640625" style="2" customWidth="1"/>
    <col min="7950" max="8020" width="9.44140625" style="2" customWidth="1"/>
    <col min="8021" max="8192" width="8.88671875" style="2"/>
    <col min="8193" max="8193" width="27.44140625" style="2" customWidth="1"/>
    <col min="8194" max="8194" width="9.44140625" style="2" bestFit="1" customWidth="1"/>
    <col min="8195" max="8195" width="11.33203125" style="2" customWidth="1"/>
    <col min="8196" max="8196" width="9.5546875" style="2" bestFit="1" customWidth="1"/>
    <col min="8197" max="8197" width="12.6640625" style="2" customWidth="1"/>
    <col min="8198" max="8198" width="11.33203125" style="2" customWidth="1"/>
    <col min="8199" max="8199" width="10.6640625" style="2" customWidth="1"/>
    <col min="8200" max="8200" width="9.44140625" style="2" customWidth="1"/>
    <col min="8201" max="8201" width="11.33203125" style="2" customWidth="1"/>
    <col min="8202" max="8204" width="9.44140625" style="2" customWidth="1"/>
    <col min="8205" max="8205" width="18.6640625" style="2" customWidth="1"/>
    <col min="8206" max="8276" width="9.44140625" style="2" customWidth="1"/>
    <col min="8277" max="8448" width="8.88671875" style="2"/>
    <col min="8449" max="8449" width="27.44140625" style="2" customWidth="1"/>
    <col min="8450" max="8450" width="9.44140625" style="2" bestFit="1" customWidth="1"/>
    <col min="8451" max="8451" width="11.33203125" style="2" customWidth="1"/>
    <col min="8452" max="8452" width="9.5546875" style="2" bestFit="1" customWidth="1"/>
    <col min="8453" max="8453" width="12.6640625" style="2" customWidth="1"/>
    <col min="8454" max="8454" width="11.33203125" style="2" customWidth="1"/>
    <col min="8455" max="8455" width="10.6640625" style="2" customWidth="1"/>
    <col min="8456" max="8456" width="9.44140625" style="2" customWidth="1"/>
    <col min="8457" max="8457" width="11.33203125" style="2" customWidth="1"/>
    <col min="8458" max="8460" width="9.44140625" style="2" customWidth="1"/>
    <col min="8461" max="8461" width="18.6640625" style="2" customWidth="1"/>
    <col min="8462" max="8532" width="9.44140625" style="2" customWidth="1"/>
    <col min="8533" max="8704" width="8.88671875" style="2"/>
    <col min="8705" max="8705" width="27.44140625" style="2" customWidth="1"/>
    <col min="8706" max="8706" width="9.44140625" style="2" bestFit="1" customWidth="1"/>
    <col min="8707" max="8707" width="11.33203125" style="2" customWidth="1"/>
    <col min="8708" max="8708" width="9.5546875" style="2" bestFit="1" customWidth="1"/>
    <col min="8709" max="8709" width="12.6640625" style="2" customWidth="1"/>
    <col min="8710" max="8710" width="11.33203125" style="2" customWidth="1"/>
    <col min="8711" max="8711" width="10.6640625" style="2" customWidth="1"/>
    <col min="8712" max="8712" width="9.44140625" style="2" customWidth="1"/>
    <col min="8713" max="8713" width="11.33203125" style="2" customWidth="1"/>
    <col min="8714" max="8716" width="9.44140625" style="2" customWidth="1"/>
    <col min="8717" max="8717" width="18.6640625" style="2" customWidth="1"/>
    <col min="8718" max="8788" width="9.44140625" style="2" customWidth="1"/>
    <col min="8789" max="8960" width="8.88671875" style="2"/>
    <col min="8961" max="8961" width="27.44140625" style="2" customWidth="1"/>
    <col min="8962" max="8962" width="9.44140625" style="2" bestFit="1" customWidth="1"/>
    <col min="8963" max="8963" width="11.33203125" style="2" customWidth="1"/>
    <col min="8964" max="8964" width="9.5546875" style="2" bestFit="1" customWidth="1"/>
    <col min="8965" max="8965" width="12.6640625" style="2" customWidth="1"/>
    <col min="8966" max="8966" width="11.33203125" style="2" customWidth="1"/>
    <col min="8967" max="8967" width="10.6640625" style="2" customWidth="1"/>
    <col min="8968" max="8968" width="9.44140625" style="2" customWidth="1"/>
    <col min="8969" max="8969" width="11.33203125" style="2" customWidth="1"/>
    <col min="8970" max="8972" width="9.44140625" style="2" customWidth="1"/>
    <col min="8973" max="8973" width="18.6640625" style="2" customWidth="1"/>
    <col min="8974" max="9044" width="9.44140625" style="2" customWidth="1"/>
    <col min="9045" max="9216" width="8.88671875" style="2"/>
    <col min="9217" max="9217" width="27.44140625" style="2" customWidth="1"/>
    <col min="9218" max="9218" width="9.44140625" style="2" bestFit="1" customWidth="1"/>
    <col min="9219" max="9219" width="11.33203125" style="2" customWidth="1"/>
    <col min="9220" max="9220" width="9.5546875" style="2" bestFit="1" customWidth="1"/>
    <col min="9221" max="9221" width="12.6640625" style="2" customWidth="1"/>
    <col min="9222" max="9222" width="11.33203125" style="2" customWidth="1"/>
    <col min="9223" max="9223" width="10.6640625" style="2" customWidth="1"/>
    <col min="9224" max="9224" width="9.44140625" style="2" customWidth="1"/>
    <col min="9225" max="9225" width="11.33203125" style="2" customWidth="1"/>
    <col min="9226" max="9228" width="9.44140625" style="2" customWidth="1"/>
    <col min="9229" max="9229" width="18.6640625" style="2" customWidth="1"/>
    <col min="9230" max="9300" width="9.44140625" style="2" customWidth="1"/>
    <col min="9301" max="9472" width="8.88671875" style="2"/>
    <col min="9473" max="9473" width="27.44140625" style="2" customWidth="1"/>
    <col min="9474" max="9474" width="9.44140625" style="2" bestFit="1" customWidth="1"/>
    <col min="9475" max="9475" width="11.33203125" style="2" customWidth="1"/>
    <col min="9476" max="9476" width="9.5546875" style="2" bestFit="1" customWidth="1"/>
    <col min="9477" max="9477" width="12.6640625" style="2" customWidth="1"/>
    <col min="9478" max="9478" width="11.33203125" style="2" customWidth="1"/>
    <col min="9479" max="9479" width="10.6640625" style="2" customWidth="1"/>
    <col min="9480" max="9480" width="9.44140625" style="2" customWidth="1"/>
    <col min="9481" max="9481" width="11.33203125" style="2" customWidth="1"/>
    <col min="9482" max="9484" width="9.44140625" style="2" customWidth="1"/>
    <col min="9485" max="9485" width="18.6640625" style="2" customWidth="1"/>
    <col min="9486" max="9556" width="9.44140625" style="2" customWidth="1"/>
    <col min="9557" max="9728" width="8.88671875" style="2"/>
    <col min="9729" max="9729" width="27.44140625" style="2" customWidth="1"/>
    <col min="9730" max="9730" width="9.44140625" style="2" bestFit="1" customWidth="1"/>
    <col min="9731" max="9731" width="11.33203125" style="2" customWidth="1"/>
    <col min="9732" max="9732" width="9.5546875" style="2" bestFit="1" customWidth="1"/>
    <col min="9733" max="9733" width="12.6640625" style="2" customWidth="1"/>
    <col min="9734" max="9734" width="11.33203125" style="2" customWidth="1"/>
    <col min="9735" max="9735" width="10.6640625" style="2" customWidth="1"/>
    <col min="9736" max="9736" width="9.44140625" style="2" customWidth="1"/>
    <col min="9737" max="9737" width="11.33203125" style="2" customWidth="1"/>
    <col min="9738" max="9740" width="9.44140625" style="2" customWidth="1"/>
    <col min="9741" max="9741" width="18.6640625" style="2" customWidth="1"/>
    <col min="9742" max="9812" width="9.44140625" style="2" customWidth="1"/>
    <col min="9813" max="9984" width="8.88671875" style="2"/>
    <col min="9985" max="9985" width="27.44140625" style="2" customWidth="1"/>
    <col min="9986" max="9986" width="9.44140625" style="2" bestFit="1" customWidth="1"/>
    <col min="9987" max="9987" width="11.33203125" style="2" customWidth="1"/>
    <col min="9988" max="9988" width="9.5546875" style="2" bestFit="1" customWidth="1"/>
    <col min="9989" max="9989" width="12.6640625" style="2" customWidth="1"/>
    <col min="9990" max="9990" width="11.33203125" style="2" customWidth="1"/>
    <col min="9991" max="9991" width="10.6640625" style="2" customWidth="1"/>
    <col min="9992" max="9992" width="9.44140625" style="2" customWidth="1"/>
    <col min="9993" max="9993" width="11.33203125" style="2" customWidth="1"/>
    <col min="9994" max="9996" width="9.44140625" style="2" customWidth="1"/>
    <col min="9997" max="9997" width="18.6640625" style="2" customWidth="1"/>
    <col min="9998" max="10068" width="9.44140625" style="2" customWidth="1"/>
    <col min="10069" max="10240" width="8.88671875" style="2"/>
    <col min="10241" max="10241" width="27.44140625" style="2" customWidth="1"/>
    <col min="10242" max="10242" width="9.44140625" style="2" bestFit="1" customWidth="1"/>
    <col min="10243" max="10243" width="11.33203125" style="2" customWidth="1"/>
    <col min="10244" max="10244" width="9.5546875" style="2" bestFit="1" customWidth="1"/>
    <col min="10245" max="10245" width="12.6640625" style="2" customWidth="1"/>
    <col min="10246" max="10246" width="11.33203125" style="2" customWidth="1"/>
    <col min="10247" max="10247" width="10.6640625" style="2" customWidth="1"/>
    <col min="10248" max="10248" width="9.44140625" style="2" customWidth="1"/>
    <col min="10249" max="10249" width="11.33203125" style="2" customWidth="1"/>
    <col min="10250" max="10252" width="9.44140625" style="2" customWidth="1"/>
    <col min="10253" max="10253" width="18.6640625" style="2" customWidth="1"/>
    <col min="10254" max="10324" width="9.44140625" style="2" customWidth="1"/>
    <col min="10325" max="10496" width="8.88671875" style="2"/>
    <col min="10497" max="10497" width="27.44140625" style="2" customWidth="1"/>
    <col min="10498" max="10498" width="9.44140625" style="2" bestFit="1" customWidth="1"/>
    <col min="10499" max="10499" width="11.33203125" style="2" customWidth="1"/>
    <col min="10500" max="10500" width="9.5546875" style="2" bestFit="1" customWidth="1"/>
    <col min="10501" max="10501" width="12.6640625" style="2" customWidth="1"/>
    <col min="10502" max="10502" width="11.33203125" style="2" customWidth="1"/>
    <col min="10503" max="10503" width="10.6640625" style="2" customWidth="1"/>
    <col min="10504" max="10504" width="9.44140625" style="2" customWidth="1"/>
    <col min="10505" max="10505" width="11.33203125" style="2" customWidth="1"/>
    <col min="10506" max="10508" width="9.44140625" style="2" customWidth="1"/>
    <col min="10509" max="10509" width="18.6640625" style="2" customWidth="1"/>
    <col min="10510" max="10580" width="9.44140625" style="2" customWidth="1"/>
    <col min="10581" max="10752" width="8.88671875" style="2"/>
    <col min="10753" max="10753" width="27.44140625" style="2" customWidth="1"/>
    <col min="10754" max="10754" width="9.44140625" style="2" bestFit="1" customWidth="1"/>
    <col min="10755" max="10755" width="11.33203125" style="2" customWidth="1"/>
    <col min="10756" max="10756" width="9.5546875" style="2" bestFit="1" customWidth="1"/>
    <col min="10757" max="10757" width="12.6640625" style="2" customWidth="1"/>
    <col min="10758" max="10758" width="11.33203125" style="2" customWidth="1"/>
    <col min="10759" max="10759" width="10.6640625" style="2" customWidth="1"/>
    <col min="10760" max="10760" width="9.44140625" style="2" customWidth="1"/>
    <col min="10761" max="10761" width="11.33203125" style="2" customWidth="1"/>
    <col min="10762" max="10764" width="9.44140625" style="2" customWidth="1"/>
    <col min="10765" max="10765" width="18.6640625" style="2" customWidth="1"/>
    <col min="10766" max="10836" width="9.44140625" style="2" customWidth="1"/>
    <col min="10837" max="11008" width="8.88671875" style="2"/>
    <col min="11009" max="11009" width="27.44140625" style="2" customWidth="1"/>
    <col min="11010" max="11010" width="9.44140625" style="2" bestFit="1" customWidth="1"/>
    <col min="11011" max="11011" width="11.33203125" style="2" customWidth="1"/>
    <col min="11012" max="11012" width="9.5546875" style="2" bestFit="1" customWidth="1"/>
    <col min="11013" max="11013" width="12.6640625" style="2" customWidth="1"/>
    <col min="11014" max="11014" width="11.33203125" style="2" customWidth="1"/>
    <col min="11015" max="11015" width="10.6640625" style="2" customWidth="1"/>
    <col min="11016" max="11016" width="9.44140625" style="2" customWidth="1"/>
    <col min="11017" max="11017" width="11.33203125" style="2" customWidth="1"/>
    <col min="11018" max="11020" width="9.44140625" style="2" customWidth="1"/>
    <col min="11021" max="11021" width="18.6640625" style="2" customWidth="1"/>
    <col min="11022" max="11092" width="9.44140625" style="2" customWidth="1"/>
    <col min="11093" max="11264" width="8.88671875" style="2"/>
    <col min="11265" max="11265" width="27.44140625" style="2" customWidth="1"/>
    <col min="11266" max="11266" width="9.44140625" style="2" bestFit="1" customWidth="1"/>
    <col min="11267" max="11267" width="11.33203125" style="2" customWidth="1"/>
    <col min="11268" max="11268" width="9.5546875" style="2" bestFit="1" customWidth="1"/>
    <col min="11269" max="11269" width="12.6640625" style="2" customWidth="1"/>
    <col min="11270" max="11270" width="11.33203125" style="2" customWidth="1"/>
    <col min="11271" max="11271" width="10.6640625" style="2" customWidth="1"/>
    <col min="11272" max="11272" width="9.44140625" style="2" customWidth="1"/>
    <col min="11273" max="11273" width="11.33203125" style="2" customWidth="1"/>
    <col min="11274" max="11276" width="9.44140625" style="2" customWidth="1"/>
    <col min="11277" max="11277" width="18.6640625" style="2" customWidth="1"/>
    <col min="11278" max="11348" width="9.44140625" style="2" customWidth="1"/>
    <col min="11349" max="11520" width="8.88671875" style="2"/>
    <col min="11521" max="11521" width="27.44140625" style="2" customWidth="1"/>
    <col min="11522" max="11522" width="9.44140625" style="2" bestFit="1" customWidth="1"/>
    <col min="11523" max="11523" width="11.33203125" style="2" customWidth="1"/>
    <col min="11524" max="11524" width="9.5546875" style="2" bestFit="1" customWidth="1"/>
    <col min="11525" max="11525" width="12.6640625" style="2" customWidth="1"/>
    <col min="11526" max="11526" width="11.33203125" style="2" customWidth="1"/>
    <col min="11527" max="11527" width="10.6640625" style="2" customWidth="1"/>
    <col min="11528" max="11528" width="9.44140625" style="2" customWidth="1"/>
    <col min="11529" max="11529" width="11.33203125" style="2" customWidth="1"/>
    <col min="11530" max="11532" width="9.44140625" style="2" customWidth="1"/>
    <col min="11533" max="11533" width="18.6640625" style="2" customWidth="1"/>
    <col min="11534" max="11604" width="9.44140625" style="2" customWidth="1"/>
    <col min="11605" max="11776" width="8.88671875" style="2"/>
    <col min="11777" max="11777" width="27.44140625" style="2" customWidth="1"/>
    <col min="11778" max="11778" width="9.44140625" style="2" bestFit="1" customWidth="1"/>
    <col min="11779" max="11779" width="11.33203125" style="2" customWidth="1"/>
    <col min="11780" max="11780" width="9.5546875" style="2" bestFit="1" customWidth="1"/>
    <col min="11781" max="11781" width="12.6640625" style="2" customWidth="1"/>
    <col min="11782" max="11782" width="11.33203125" style="2" customWidth="1"/>
    <col min="11783" max="11783" width="10.6640625" style="2" customWidth="1"/>
    <col min="11784" max="11784" width="9.44140625" style="2" customWidth="1"/>
    <col min="11785" max="11785" width="11.33203125" style="2" customWidth="1"/>
    <col min="11786" max="11788" width="9.44140625" style="2" customWidth="1"/>
    <col min="11789" max="11789" width="18.6640625" style="2" customWidth="1"/>
    <col min="11790" max="11860" width="9.44140625" style="2" customWidth="1"/>
    <col min="11861" max="12032" width="8.88671875" style="2"/>
    <col min="12033" max="12033" width="27.44140625" style="2" customWidth="1"/>
    <col min="12034" max="12034" width="9.44140625" style="2" bestFit="1" customWidth="1"/>
    <col min="12035" max="12035" width="11.33203125" style="2" customWidth="1"/>
    <col min="12036" max="12036" width="9.5546875" style="2" bestFit="1" customWidth="1"/>
    <col min="12037" max="12037" width="12.6640625" style="2" customWidth="1"/>
    <col min="12038" max="12038" width="11.33203125" style="2" customWidth="1"/>
    <col min="12039" max="12039" width="10.6640625" style="2" customWidth="1"/>
    <col min="12040" max="12040" width="9.44140625" style="2" customWidth="1"/>
    <col min="12041" max="12041" width="11.33203125" style="2" customWidth="1"/>
    <col min="12042" max="12044" width="9.44140625" style="2" customWidth="1"/>
    <col min="12045" max="12045" width="18.6640625" style="2" customWidth="1"/>
    <col min="12046" max="12116" width="9.44140625" style="2" customWidth="1"/>
    <col min="12117" max="12288" width="8.88671875" style="2"/>
    <col min="12289" max="12289" width="27.44140625" style="2" customWidth="1"/>
    <col min="12290" max="12290" width="9.44140625" style="2" bestFit="1" customWidth="1"/>
    <col min="12291" max="12291" width="11.33203125" style="2" customWidth="1"/>
    <col min="12292" max="12292" width="9.5546875" style="2" bestFit="1" customWidth="1"/>
    <col min="12293" max="12293" width="12.6640625" style="2" customWidth="1"/>
    <col min="12294" max="12294" width="11.33203125" style="2" customWidth="1"/>
    <col min="12295" max="12295" width="10.6640625" style="2" customWidth="1"/>
    <col min="12296" max="12296" width="9.44140625" style="2" customWidth="1"/>
    <col min="12297" max="12297" width="11.33203125" style="2" customWidth="1"/>
    <col min="12298" max="12300" width="9.44140625" style="2" customWidth="1"/>
    <col min="12301" max="12301" width="18.6640625" style="2" customWidth="1"/>
    <col min="12302" max="12372" width="9.44140625" style="2" customWidth="1"/>
    <col min="12373" max="12544" width="8.88671875" style="2"/>
    <col min="12545" max="12545" width="27.44140625" style="2" customWidth="1"/>
    <col min="12546" max="12546" width="9.44140625" style="2" bestFit="1" customWidth="1"/>
    <col min="12547" max="12547" width="11.33203125" style="2" customWidth="1"/>
    <col min="12548" max="12548" width="9.5546875" style="2" bestFit="1" customWidth="1"/>
    <col min="12549" max="12549" width="12.6640625" style="2" customWidth="1"/>
    <col min="12550" max="12550" width="11.33203125" style="2" customWidth="1"/>
    <col min="12551" max="12551" width="10.6640625" style="2" customWidth="1"/>
    <col min="12552" max="12552" width="9.44140625" style="2" customWidth="1"/>
    <col min="12553" max="12553" width="11.33203125" style="2" customWidth="1"/>
    <col min="12554" max="12556" width="9.44140625" style="2" customWidth="1"/>
    <col min="12557" max="12557" width="18.6640625" style="2" customWidth="1"/>
    <col min="12558" max="12628" width="9.44140625" style="2" customWidth="1"/>
    <col min="12629" max="12800" width="8.88671875" style="2"/>
    <col min="12801" max="12801" width="27.44140625" style="2" customWidth="1"/>
    <col min="12802" max="12802" width="9.44140625" style="2" bestFit="1" customWidth="1"/>
    <col min="12803" max="12803" width="11.33203125" style="2" customWidth="1"/>
    <col min="12804" max="12804" width="9.5546875" style="2" bestFit="1" customWidth="1"/>
    <col min="12805" max="12805" width="12.6640625" style="2" customWidth="1"/>
    <col min="12806" max="12806" width="11.33203125" style="2" customWidth="1"/>
    <col min="12807" max="12807" width="10.6640625" style="2" customWidth="1"/>
    <col min="12808" max="12808" width="9.44140625" style="2" customWidth="1"/>
    <col min="12809" max="12809" width="11.33203125" style="2" customWidth="1"/>
    <col min="12810" max="12812" width="9.44140625" style="2" customWidth="1"/>
    <col min="12813" max="12813" width="18.6640625" style="2" customWidth="1"/>
    <col min="12814" max="12884" width="9.44140625" style="2" customWidth="1"/>
    <col min="12885" max="13056" width="8.88671875" style="2"/>
    <col min="13057" max="13057" width="27.44140625" style="2" customWidth="1"/>
    <col min="13058" max="13058" width="9.44140625" style="2" bestFit="1" customWidth="1"/>
    <col min="13059" max="13059" width="11.33203125" style="2" customWidth="1"/>
    <col min="13060" max="13060" width="9.5546875" style="2" bestFit="1" customWidth="1"/>
    <col min="13061" max="13061" width="12.6640625" style="2" customWidth="1"/>
    <col min="13062" max="13062" width="11.33203125" style="2" customWidth="1"/>
    <col min="13063" max="13063" width="10.6640625" style="2" customWidth="1"/>
    <col min="13064" max="13064" width="9.44140625" style="2" customWidth="1"/>
    <col min="13065" max="13065" width="11.33203125" style="2" customWidth="1"/>
    <col min="13066" max="13068" width="9.44140625" style="2" customWidth="1"/>
    <col min="13069" max="13069" width="18.6640625" style="2" customWidth="1"/>
    <col min="13070" max="13140" width="9.44140625" style="2" customWidth="1"/>
    <col min="13141" max="13312" width="8.88671875" style="2"/>
    <col min="13313" max="13313" width="27.44140625" style="2" customWidth="1"/>
    <col min="13314" max="13314" width="9.44140625" style="2" bestFit="1" customWidth="1"/>
    <col min="13315" max="13315" width="11.33203125" style="2" customWidth="1"/>
    <col min="13316" max="13316" width="9.5546875" style="2" bestFit="1" customWidth="1"/>
    <col min="13317" max="13317" width="12.6640625" style="2" customWidth="1"/>
    <col min="13318" max="13318" width="11.33203125" style="2" customWidth="1"/>
    <col min="13319" max="13319" width="10.6640625" style="2" customWidth="1"/>
    <col min="13320" max="13320" width="9.44140625" style="2" customWidth="1"/>
    <col min="13321" max="13321" width="11.33203125" style="2" customWidth="1"/>
    <col min="13322" max="13324" width="9.44140625" style="2" customWidth="1"/>
    <col min="13325" max="13325" width="18.6640625" style="2" customWidth="1"/>
    <col min="13326" max="13396" width="9.44140625" style="2" customWidth="1"/>
    <col min="13397" max="13568" width="8.88671875" style="2"/>
    <col min="13569" max="13569" width="27.44140625" style="2" customWidth="1"/>
    <col min="13570" max="13570" width="9.44140625" style="2" bestFit="1" customWidth="1"/>
    <col min="13571" max="13571" width="11.33203125" style="2" customWidth="1"/>
    <col min="13572" max="13572" width="9.5546875" style="2" bestFit="1" customWidth="1"/>
    <col min="13573" max="13573" width="12.6640625" style="2" customWidth="1"/>
    <col min="13574" max="13574" width="11.33203125" style="2" customWidth="1"/>
    <col min="13575" max="13575" width="10.6640625" style="2" customWidth="1"/>
    <col min="13576" max="13576" width="9.44140625" style="2" customWidth="1"/>
    <col min="13577" max="13577" width="11.33203125" style="2" customWidth="1"/>
    <col min="13578" max="13580" width="9.44140625" style="2" customWidth="1"/>
    <col min="13581" max="13581" width="18.6640625" style="2" customWidth="1"/>
    <col min="13582" max="13652" width="9.44140625" style="2" customWidth="1"/>
    <col min="13653" max="13824" width="8.88671875" style="2"/>
    <col min="13825" max="13825" width="27.44140625" style="2" customWidth="1"/>
    <col min="13826" max="13826" width="9.44140625" style="2" bestFit="1" customWidth="1"/>
    <col min="13827" max="13827" width="11.33203125" style="2" customWidth="1"/>
    <col min="13828" max="13828" width="9.5546875" style="2" bestFit="1" customWidth="1"/>
    <col min="13829" max="13829" width="12.6640625" style="2" customWidth="1"/>
    <col min="13830" max="13830" width="11.33203125" style="2" customWidth="1"/>
    <col min="13831" max="13831" width="10.6640625" style="2" customWidth="1"/>
    <col min="13832" max="13832" width="9.44140625" style="2" customWidth="1"/>
    <col min="13833" max="13833" width="11.33203125" style="2" customWidth="1"/>
    <col min="13834" max="13836" width="9.44140625" style="2" customWidth="1"/>
    <col min="13837" max="13837" width="18.6640625" style="2" customWidth="1"/>
    <col min="13838" max="13908" width="9.44140625" style="2" customWidth="1"/>
    <col min="13909" max="14080" width="8.88671875" style="2"/>
    <col min="14081" max="14081" width="27.44140625" style="2" customWidth="1"/>
    <col min="14082" max="14082" width="9.44140625" style="2" bestFit="1" customWidth="1"/>
    <col min="14083" max="14083" width="11.33203125" style="2" customWidth="1"/>
    <col min="14084" max="14084" width="9.5546875" style="2" bestFit="1" customWidth="1"/>
    <col min="14085" max="14085" width="12.6640625" style="2" customWidth="1"/>
    <col min="14086" max="14086" width="11.33203125" style="2" customWidth="1"/>
    <col min="14087" max="14087" width="10.6640625" style="2" customWidth="1"/>
    <col min="14088" max="14088" width="9.44140625" style="2" customWidth="1"/>
    <col min="14089" max="14089" width="11.33203125" style="2" customWidth="1"/>
    <col min="14090" max="14092" width="9.44140625" style="2" customWidth="1"/>
    <col min="14093" max="14093" width="18.6640625" style="2" customWidth="1"/>
    <col min="14094" max="14164" width="9.44140625" style="2" customWidth="1"/>
    <col min="14165" max="14336" width="8.88671875" style="2"/>
    <col min="14337" max="14337" width="27.44140625" style="2" customWidth="1"/>
    <col min="14338" max="14338" width="9.44140625" style="2" bestFit="1" customWidth="1"/>
    <col min="14339" max="14339" width="11.33203125" style="2" customWidth="1"/>
    <col min="14340" max="14340" width="9.5546875" style="2" bestFit="1" customWidth="1"/>
    <col min="14341" max="14341" width="12.6640625" style="2" customWidth="1"/>
    <col min="14342" max="14342" width="11.33203125" style="2" customWidth="1"/>
    <col min="14343" max="14343" width="10.6640625" style="2" customWidth="1"/>
    <col min="14344" max="14344" width="9.44140625" style="2" customWidth="1"/>
    <col min="14345" max="14345" width="11.33203125" style="2" customWidth="1"/>
    <col min="14346" max="14348" width="9.44140625" style="2" customWidth="1"/>
    <col min="14349" max="14349" width="18.6640625" style="2" customWidth="1"/>
    <col min="14350" max="14420" width="9.44140625" style="2" customWidth="1"/>
    <col min="14421" max="14592" width="8.88671875" style="2"/>
    <col min="14593" max="14593" width="27.44140625" style="2" customWidth="1"/>
    <col min="14594" max="14594" width="9.44140625" style="2" bestFit="1" customWidth="1"/>
    <col min="14595" max="14595" width="11.33203125" style="2" customWidth="1"/>
    <col min="14596" max="14596" width="9.5546875" style="2" bestFit="1" customWidth="1"/>
    <col min="14597" max="14597" width="12.6640625" style="2" customWidth="1"/>
    <col min="14598" max="14598" width="11.33203125" style="2" customWidth="1"/>
    <col min="14599" max="14599" width="10.6640625" style="2" customWidth="1"/>
    <col min="14600" max="14600" width="9.44140625" style="2" customWidth="1"/>
    <col min="14601" max="14601" width="11.33203125" style="2" customWidth="1"/>
    <col min="14602" max="14604" width="9.44140625" style="2" customWidth="1"/>
    <col min="14605" max="14605" width="18.6640625" style="2" customWidth="1"/>
    <col min="14606" max="14676" width="9.44140625" style="2" customWidth="1"/>
    <col min="14677" max="14848" width="8.88671875" style="2"/>
    <col min="14849" max="14849" width="27.44140625" style="2" customWidth="1"/>
    <col min="14850" max="14850" width="9.44140625" style="2" bestFit="1" customWidth="1"/>
    <col min="14851" max="14851" width="11.33203125" style="2" customWidth="1"/>
    <col min="14852" max="14852" width="9.5546875" style="2" bestFit="1" customWidth="1"/>
    <col min="14853" max="14853" width="12.6640625" style="2" customWidth="1"/>
    <col min="14854" max="14854" width="11.33203125" style="2" customWidth="1"/>
    <col min="14855" max="14855" width="10.6640625" style="2" customWidth="1"/>
    <col min="14856" max="14856" width="9.44140625" style="2" customWidth="1"/>
    <col min="14857" max="14857" width="11.33203125" style="2" customWidth="1"/>
    <col min="14858" max="14860" width="9.44140625" style="2" customWidth="1"/>
    <col min="14861" max="14861" width="18.6640625" style="2" customWidth="1"/>
    <col min="14862" max="14932" width="9.44140625" style="2" customWidth="1"/>
    <col min="14933" max="15104" width="8.88671875" style="2"/>
    <col min="15105" max="15105" width="27.44140625" style="2" customWidth="1"/>
    <col min="15106" max="15106" width="9.44140625" style="2" bestFit="1" customWidth="1"/>
    <col min="15107" max="15107" width="11.33203125" style="2" customWidth="1"/>
    <col min="15108" max="15108" width="9.5546875" style="2" bestFit="1" customWidth="1"/>
    <col min="15109" max="15109" width="12.6640625" style="2" customWidth="1"/>
    <col min="15110" max="15110" width="11.33203125" style="2" customWidth="1"/>
    <col min="15111" max="15111" width="10.6640625" style="2" customWidth="1"/>
    <col min="15112" max="15112" width="9.44140625" style="2" customWidth="1"/>
    <col min="15113" max="15113" width="11.33203125" style="2" customWidth="1"/>
    <col min="15114" max="15116" width="9.44140625" style="2" customWidth="1"/>
    <col min="15117" max="15117" width="18.6640625" style="2" customWidth="1"/>
    <col min="15118" max="15188" width="9.44140625" style="2" customWidth="1"/>
    <col min="15189" max="15360" width="8.88671875" style="2"/>
    <col min="15361" max="15361" width="27.44140625" style="2" customWidth="1"/>
    <col min="15362" max="15362" width="9.44140625" style="2" bestFit="1" customWidth="1"/>
    <col min="15363" max="15363" width="11.33203125" style="2" customWidth="1"/>
    <col min="15364" max="15364" width="9.5546875" style="2" bestFit="1" customWidth="1"/>
    <col min="15365" max="15365" width="12.6640625" style="2" customWidth="1"/>
    <col min="15366" max="15366" width="11.33203125" style="2" customWidth="1"/>
    <col min="15367" max="15367" width="10.6640625" style="2" customWidth="1"/>
    <col min="15368" max="15368" width="9.44140625" style="2" customWidth="1"/>
    <col min="15369" max="15369" width="11.33203125" style="2" customWidth="1"/>
    <col min="15370" max="15372" width="9.44140625" style="2" customWidth="1"/>
    <col min="15373" max="15373" width="18.6640625" style="2" customWidth="1"/>
    <col min="15374" max="15444" width="9.44140625" style="2" customWidth="1"/>
    <col min="15445" max="15616" width="8.88671875" style="2"/>
    <col min="15617" max="15617" width="27.44140625" style="2" customWidth="1"/>
    <col min="15618" max="15618" width="9.44140625" style="2" bestFit="1" customWidth="1"/>
    <col min="15619" max="15619" width="11.33203125" style="2" customWidth="1"/>
    <col min="15620" max="15620" width="9.5546875" style="2" bestFit="1" customWidth="1"/>
    <col min="15621" max="15621" width="12.6640625" style="2" customWidth="1"/>
    <col min="15622" max="15622" width="11.33203125" style="2" customWidth="1"/>
    <col min="15623" max="15623" width="10.6640625" style="2" customWidth="1"/>
    <col min="15624" max="15624" width="9.44140625" style="2" customWidth="1"/>
    <col min="15625" max="15625" width="11.33203125" style="2" customWidth="1"/>
    <col min="15626" max="15628" width="9.44140625" style="2" customWidth="1"/>
    <col min="15629" max="15629" width="18.6640625" style="2" customWidth="1"/>
    <col min="15630" max="15700" width="9.44140625" style="2" customWidth="1"/>
    <col min="15701" max="15872" width="8.88671875" style="2"/>
    <col min="15873" max="15873" width="27.44140625" style="2" customWidth="1"/>
    <col min="15874" max="15874" width="9.44140625" style="2" bestFit="1" customWidth="1"/>
    <col min="15875" max="15875" width="11.33203125" style="2" customWidth="1"/>
    <col min="15876" max="15876" width="9.5546875" style="2" bestFit="1" customWidth="1"/>
    <col min="15877" max="15877" width="12.6640625" style="2" customWidth="1"/>
    <col min="15878" max="15878" width="11.33203125" style="2" customWidth="1"/>
    <col min="15879" max="15879" width="10.6640625" style="2" customWidth="1"/>
    <col min="15880" max="15880" width="9.44140625" style="2" customWidth="1"/>
    <col min="15881" max="15881" width="11.33203125" style="2" customWidth="1"/>
    <col min="15882" max="15884" width="9.44140625" style="2" customWidth="1"/>
    <col min="15885" max="15885" width="18.6640625" style="2" customWidth="1"/>
    <col min="15886" max="15956" width="9.44140625" style="2" customWidth="1"/>
    <col min="15957" max="16128" width="8.88671875" style="2"/>
    <col min="16129" max="16129" width="27.44140625" style="2" customWidth="1"/>
    <col min="16130" max="16130" width="9.44140625" style="2" bestFit="1" customWidth="1"/>
    <col min="16131" max="16131" width="11.33203125" style="2" customWidth="1"/>
    <col min="16132" max="16132" width="9.5546875" style="2" bestFit="1" customWidth="1"/>
    <col min="16133" max="16133" width="12.6640625" style="2" customWidth="1"/>
    <col min="16134" max="16134" width="11.33203125" style="2" customWidth="1"/>
    <col min="16135" max="16135" width="10.6640625" style="2" customWidth="1"/>
    <col min="16136" max="16136" width="9.44140625" style="2" customWidth="1"/>
    <col min="16137" max="16137" width="11.33203125" style="2" customWidth="1"/>
    <col min="16138" max="16140" width="9.44140625" style="2" customWidth="1"/>
    <col min="16141" max="16141" width="18.6640625" style="2" customWidth="1"/>
    <col min="16142" max="16212" width="9.44140625" style="2" customWidth="1"/>
    <col min="16213" max="16384" width="8.88671875" style="2"/>
  </cols>
  <sheetData>
    <row r="1" spans="1:14" ht="58.95" customHeight="1" x14ac:dyDescent="0.25">
      <c r="A1" s="1" t="s">
        <v>60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4" x14ac:dyDescent="0.25">
      <c r="A2" s="2" t="s">
        <v>8</v>
      </c>
      <c r="B2" s="7">
        <v>0.76749999999999996</v>
      </c>
      <c r="G2" s="10" t="s">
        <v>19</v>
      </c>
      <c r="H2" s="10"/>
      <c r="I2" s="10"/>
      <c r="J2" s="10" t="s">
        <v>20</v>
      </c>
    </row>
    <row r="3" spans="1:14" x14ac:dyDescent="0.25">
      <c r="A3" s="2" t="s">
        <v>9</v>
      </c>
      <c r="B3" s="7">
        <v>0.1055</v>
      </c>
      <c r="E3" s="11" t="s">
        <v>21</v>
      </c>
      <c r="F3" s="12" t="s">
        <v>22</v>
      </c>
      <c r="G3" s="7">
        <f t="shared" ref="G3:G9" si="0">$B$3/2</f>
        <v>5.2749999999999998E-2</v>
      </c>
      <c r="I3" s="11" t="s">
        <v>21</v>
      </c>
      <c r="J3" s="7">
        <f t="shared" ref="J3:J9" si="1">1+G3</f>
        <v>1.0527500000000001</v>
      </c>
      <c r="M3" s="13" t="s">
        <v>23</v>
      </c>
    </row>
    <row r="4" spans="1:14" x14ac:dyDescent="0.25">
      <c r="A4" s="2" t="s">
        <v>24</v>
      </c>
      <c r="B4" s="7">
        <f>B2+N8</f>
        <v>0.80390896739130435</v>
      </c>
      <c r="C4" s="2" t="str">
        <f ca="1">[3]!getformula(B4)</f>
        <v>&lt;--  =B2+N8</v>
      </c>
      <c r="E4" s="11" t="s">
        <v>25</v>
      </c>
      <c r="F4" s="12" t="s">
        <v>26</v>
      </c>
      <c r="G4" s="7">
        <f t="shared" si="0"/>
        <v>5.2749999999999998E-2</v>
      </c>
      <c r="I4" s="11" t="s">
        <v>25</v>
      </c>
      <c r="J4" s="7">
        <f t="shared" si="1"/>
        <v>1.0527500000000001</v>
      </c>
      <c r="M4" s="2" t="s">
        <v>27</v>
      </c>
      <c r="N4" s="14">
        <v>38426</v>
      </c>
    </row>
    <row r="5" spans="1:14" x14ac:dyDescent="0.25">
      <c r="A5" s="2" t="s">
        <v>10</v>
      </c>
      <c r="B5" s="7">
        <v>0.5</v>
      </c>
      <c r="E5" s="11" t="s">
        <v>28</v>
      </c>
      <c r="F5" s="12" t="s">
        <v>29</v>
      </c>
      <c r="G5" s="7">
        <f t="shared" si="0"/>
        <v>5.2749999999999998E-2</v>
      </c>
      <c r="I5" s="11" t="s">
        <v>28</v>
      </c>
      <c r="J5" s="7">
        <f t="shared" si="1"/>
        <v>1.0527500000000001</v>
      </c>
      <c r="M5" s="2" t="s">
        <v>30</v>
      </c>
      <c r="N5" s="14">
        <v>38610</v>
      </c>
    </row>
    <row r="6" spans="1:14" x14ac:dyDescent="0.25">
      <c r="A6" s="2" t="s">
        <v>11</v>
      </c>
      <c r="B6" s="14">
        <v>44267</v>
      </c>
      <c r="E6" s="15" t="s">
        <v>31</v>
      </c>
      <c r="F6" s="12" t="s">
        <v>32</v>
      </c>
      <c r="G6" s="7">
        <f t="shared" si="0"/>
        <v>5.2749999999999998E-2</v>
      </c>
      <c r="I6" s="15" t="s">
        <v>33</v>
      </c>
      <c r="J6" s="7">
        <f t="shared" si="1"/>
        <v>1.0527500000000001</v>
      </c>
      <c r="M6" s="2" t="s">
        <v>12</v>
      </c>
      <c r="N6" s="14">
        <f>B7</f>
        <v>38553</v>
      </c>
    </row>
    <row r="7" spans="1:14" x14ac:dyDescent="0.25">
      <c r="A7" s="2" t="s">
        <v>12</v>
      </c>
      <c r="B7" s="14">
        <v>38553</v>
      </c>
      <c r="E7" s="11"/>
      <c r="F7" s="12" t="s">
        <v>34</v>
      </c>
      <c r="G7" s="7">
        <f t="shared" si="0"/>
        <v>5.2749999999999998E-2</v>
      </c>
      <c r="I7" s="11"/>
      <c r="J7" s="7">
        <f t="shared" si="1"/>
        <v>1.0527500000000001</v>
      </c>
      <c r="M7" s="2" t="s">
        <v>35</v>
      </c>
      <c r="N7" s="9">
        <f>(N6-N4)/(N5-N4)</f>
        <v>0.69021739130434778</v>
      </c>
    </row>
    <row r="8" spans="1:14" x14ac:dyDescent="0.25">
      <c r="A8" s="2" t="s">
        <v>13</v>
      </c>
      <c r="B8" s="9">
        <f>(B6-B7)/365</f>
        <v>15.654794520547945</v>
      </c>
      <c r="E8" s="11"/>
      <c r="F8" s="12" t="s">
        <v>36</v>
      </c>
      <c r="G8" s="7">
        <f t="shared" si="0"/>
        <v>5.2749999999999998E-2</v>
      </c>
      <c r="I8" s="16"/>
      <c r="J8" s="7">
        <f t="shared" si="1"/>
        <v>1.0527500000000001</v>
      </c>
      <c r="M8" s="2" t="s">
        <v>37</v>
      </c>
      <c r="N8" s="17">
        <f>B3*N7/2</f>
        <v>3.6408967391304344E-2</v>
      </c>
    </row>
    <row r="9" spans="1:14" x14ac:dyDescent="0.25">
      <c r="A9" s="2" t="s">
        <v>14</v>
      </c>
      <c r="B9" s="18">
        <v>30</v>
      </c>
      <c r="E9" s="11"/>
      <c r="F9" s="12" t="s">
        <v>16</v>
      </c>
      <c r="G9" s="7">
        <f t="shared" si="0"/>
        <v>5.2749999999999998E-2</v>
      </c>
      <c r="H9" s="11"/>
      <c r="I9" s="16"/>
      <c r="J9" s="7">
        <f t="shared" si="1"/>
        <v>1.0527500000000001</v>
      </c>
    </row>
    <row r="10" spans="1:14" x14ac:dyDescent="0.25">
      <c r="A10" s="2" t="s">
        <v>15</v>
      </c>
      <c r="B10" s="11" t="s">
        <v>16</v>
      </c>
      <c r="E10" s="11"/>
      <c r="F10" s="12" t="s">
        <v>38</v>
      </c>
      <c r="G10" s="7">
        <f>B5</f>
        <v>0.5</v>
      </c>
      <c r="H10" s="11"/>
      <c r="I10" s="16"/>
      <c r="J10" s="7">
        <f>G10</f>
        <v>0.5</v>
      </c>
    </row>
    <row r="11" spans="1:14" x14ac:dyDescent="0.25">
      <c r="A11" s="2" t="s">
        <v>17</v>
      </c>
      <c r="B11" s="19">
        <f>B66</f>
        <v>0.14807288050651554</v>
      </c>
      <c r="E11" s="11"/>
      <c r="F11" s="20" t="s">
        <v>39</v>
      </c>
      <c r="G11" s="16">
        <v>0</v>
      </c>
      <c r="H11" s="11"/>
      <c r="I11" s="16"/>
      <c r="J11" s="16">
        <f>G11</f>
        <v>0</v>
      </c>
    </row>
    <row r="12" spans="1:14" x14ac:dyDescent="0.25">
      <c r="B12" s="19"/>
      <c r="E12" s="11"/>
      <c r="H12" s="11"/>
    </row>
    <row r="13" spans="1:14" x14ac:dyDescent="0.25">
      <c r="B13" s="21" t="s">
        <v>40</v>
      </c>
      <c r="C13" s="22" t="s">
        <v>41</v>
      </c>
      <c r="D13" s="23"/>
      <c r="E13" s="23"/>
      <c r="F13" s="23"/>
      <c r="G13" s="23"/>
      <c r="H13" s="23"/>
      <c r="I13" s="23"/>
      <c r="J13" s="23"/>
      <c r="K13" s="24"/>
      <c r="L13" s="10"/>
      <c r="M13" s="10"/>
      <c r="N13" s="10"/>
    </row>
    <row r="14" spans="1:14" ht="13.8" thickBot="1" x14ac:dyDescent="0.3">
      <c r="A14" s="13" t="s">
        <v>42</v>
      </c>
      <c r="B14" s="25"/>
      <c r="C14" s="26" t="s">
        <v>22</v>
      </c>
      <c r="D14" s="26" t="s">
        <v>26</v>
      </c>
      <c r="E14" s="26" t="s">
        <v>29</v>
      </c>
      <c r="F14" s="26" t="s">
        <v>32</v>
      </c>
      <c r="G14" s="26" t="s">
        <v>34</v>
      </c>
      <c r="H14" s="26" t="s">
        <v>36</v>
      </c>
      <c r="I14" s="26" t="s">
        <v>16</v>
      </c>
      <c r="J14" s="26" t="s">
        <v>38</v>
      </c>
      <c r="K14" s="26" t="s">
        <v>39</v>
      </c>
      <c r="L14" s="17"/>
      <c r="M14" s="17"/>
      <c r="N14" s="17"/>
    </row>
    <row r="15" spans="1:14" x14ac:dyDescent="0.25">
      <c r="B15" s="27" t="s">
        <v>22</v>
      </c>
      <c r="C15" s="17">
        <v>0.96772714460202003</v>
      </c>
      <c r="D15" s="17">
        <v>3.0273870477066901E-2</v>
      </c>
      <c r="E15" s="17">
        <v>1.5034545084170101E-3</v>
      </c>
      <c r="F15" s="17">
        <v>3.6176725730863998E-4</v>
      </c>
      <c r="G15" s="17">
        <v>1.4954493484671701E-4</v>
      </c>
      <c r="H15" s="17">
        <v>-1.18555648438884E-5</v>
      </c>
      <c r="I15" s="17">
        <v>-2.32094376084528E-6</v>
      </c>
      <c r="J15" s="17">
        <v>-1.9364308109461201E-6</v>
      </c>
      <c r="K15" s="17">
        <v>1.08680674799644E-6</v>
      </c>
      <c r="L15" s="17"/>
      <c r="M15" s="17"/>
      <c r="N15" s="17"/>
    </row>
    <row r="16" spans="1:14" x14ac:dyDescent="0.25">
      <c r="B16" s="27" t="s">
        <v>26</v>
      </c>
      <c r="C16" s="17">
        <v>3.4216658004754602E-3</v>
      </c>
      <c r="D16" s="17">
        <v>0.957428330516226</v>
      </c>
      <c r="E16" s="17">
        <v>3.62142301105867E-2</v>
      </c>
      <c r="F16" s="17">
        <v>2.0523040500814499E-3</v>
      </c>
      <c r="G16" s="17">
        <v>2.4272437520434799E-4</v>
      </c>
      <c r="H16" s="17">
        <v>4.4890453022803099E-4</v>
      </c>
      <c r="I16" s="17">
        <v>1.0593782051368E-4</v>
      </c>
      <c r="J16" s="17">
        <f t="shared" ref="J16:J21" si="2">1-SUM(C16:I16)</f>
        <v>8.5902796684300675E-5</v>
      </c>
      <c r="K16" s="17">
        <v>-2.5114907974354301E-7</v>
      </c>
      <c r="L16" s="17"/>
      <c r="M16" s="17"/>
      <c r="N16" s="17"/>
    </row>
    <row r="17" spans="1:148" x14ac:dyDescent="0.25">
      <c r="B17" s="27" t="s">
        <v>29</v>
      </c>
      <c r="C17" s="17">
        <v>3.4049946406047198E-4</v>
      </c>
      <c r="D17" s="17">
        <v>1.1728435027046701E-2</v>
      </c>
      <c r="E17" s="17">
        <v>0.95732872774475297</v>
      </c>
      <c r="F17" s="17">
        <v>2.7241158306121002E-2</v>
      </c>
      <c r="G17" s="17">
        <v>2.25674044333943E-3</v>
      </c>
      <c r="H17" s="17">
        <v>9.5985349499800004E-4</v>
      </c>
      <c r="I17" s="17">
        <v>2.4485291589601901E-5</v>
      </c>
      <c r="J17" s="17">
        <f t="shared" si="2"/>
        <v>1.2010022809183507E-4</v>
      </c>
      <c r="K17" s="17">
        <v>0</v>
      </c>
      <c r="L17" s="17"/>
      <c r="M17" s="17"/>
      <c r="N17" s="17"/>
    </row>
    <row r="18" spans="1:148" x14ac:dyDescent="0.25">
      <c r="B18" s="27" t="s">
        <v>32</v>
      </c>
      <c r="C18" s="17">
        <v>1.4809479609247399E-4</v>
      </c>
      <c r="D18" s="17">
        <v>1.1509620493948801E-3</v>
      </c>
      <c r="E18" s="17">
        <v>2.5355082010188001E-2</v>
      </c>
      <c r="F18" s="17">
        <v>0.94394993178414099</v>
      </c>
      <c r="G18" s="17">
        <v>2.3829254639361201E-2</v>
      </c>
      <c r="H18" s="17">
        <v>3.7946096636459399E-3</v>
      </c>
      <c r="I18" s="17">
        <v>7.9231566084926304E-4</v>
      </c>
      <c r="J18" s="17">
        <f t="shared" si="2"/>
        <v>9.7974939632716751E-4</v>
      </c>
      <c r="K18" s="17">
        <v>0</v>
      </c>
      <c r="L18" s="17"/>
      <c r="M18" s="17"/>
      <c r="N18" s="17"/>
    </row>
    <row r="19" spans="1:148" x14ac:dyDescent="0.25">
      <c r="B19" s="27" t="s">
        <v>34</v>
      </c>
      <c r="C19" s="17">
        <v>1.5351197113323901E-4</v>
      </c>
      <c r="D19" s="17">
        <v>3.27448903889447E-4</v>
      </c>
      <c r="E19" s="17">
        <v>1.81999924634845E-3</v>
      </c>
      <c r="F19" s="17">
        <v>3.5866108973260299E-2</v>
      </c>
      <c r="G19" s="17">
        <v>0.91154092233334305</v>
      </c>
      <c r="H19" s="17">
        <v>4.0606435570161602E-2</v>
      </c>
      <c r="I19" s="17">
        <v>5.5890342678696098E-3</v>
      </c>
      <c r="J19" s="17">
        <f t="shared" si="2"/>
        <v>4.0965387339942927E-3</v>
      </c>
      <c r="K19" s="17">
        <v>0</v>
      </c>
      <c r="L19" s="17"/>
      <c r="M19" s="17"/>
      <c r="N19" s="17"/>
    </row>
    <row r="20" spans="1:148" x14ac:dyDescent="0.25">
      <c r="B20" s="27" t="s">
        <v>36</v>
      </c>
      <c r="C20" s="17">
        <v>-1.47312227298413E-5</v>
      </c>
      <c r="D20" s="17">
        <v>5.1750815989723095E-4</v>
      </c>
      <c r="E20" s="17">
        <v>1.6774127606200601E-3</v>
      </c>
      <c r="F20" s="17">
        <v>1.78137579879251E-3</v>
      </c>
      <c r="G20" s="17">
        <v>3.1416865237117203E-2</v>
      </c>
      <c r="H20" s="17">
        <v>0.91608662482956904</v>
      </c>
      <c r="I20" s="17">
        <v>2.2463367820138799E-2</v>
      </c>
      <c r="J20" s="17">
        <f t="shared" si="2"/>
        <v>2.6071576616594982E-2</v>
      </c>
      <c r="K20" s="17">
        <v>0</v>
      </c>
      <c r="L20" s="17"/>
      <c r="M20" s="17"/>
      <c r="N20" s="17"/>
    </row>
    <row r="21" spans="1:148" x14ac:dyDescent="0.25">
      <c r="B21" s="27" t="s">
        <v>16</v>
      </c>
      <c r="C21" s="17">
        <v>9.0468645968851298E-4</v>
      </c>
      <c r="D21" s="17">
        <v>-5.0056899884287803E-5</v>
      </c>
      <c r="E21" s="17">
        <v>1.6224000584093201E-3</v>
      </c>
      <c r="F21" s="17">
        <v>5.0314699254479902E-3</v>
      </c>
      <c r="G21" s="17">
        <v>1.04754504054683E-2</v>
      </c>
      <c r="H21" s="17">
        <v>6.23667262536464E-2</v>
      </c>
      <c r="I21" s="17">
        <v>0.79883444267409098</v>
      </c>
      <c r="J21" s="17">
        <f t="shared" si="2"/>
        <v>0.12081488112313277</v>
      </c>
      <c r="K21" s="17">
        <v>0</v>
      </c>
      <c r="L21" s="17"/>
      <c r="M21" s="17"/>
      <c r="N21" s="17"/>
    </row>
    <row r="22" spans="1:148" x14ac:dyDescent="0.25">
      <c r="B22" s="27" t="s">
        <v>38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1</v>
      </c>
      <c r="L22" s="17"/>
      <c r="M22" s="17"/>
      <c r="N22" s="17"/>
    </row>
    <row r="23" spans="1:148" x14ac:dyDescent="0.25">
      <c r="B23" s="27" t="s">
        <v>39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1</v>
      </c>
      <c r="L23" s="17"/>
      <c r="M23" s="17"/>
      <c r="N23" s="17"/>
    </row>
    <row r="24" spans="1:148" x14ac:dyDescent="0.25">
      <c r="B24" s="4"/>
      <c r="C24" s="31"/>
      <c r="D24" s="31"/>
      <c r="E24" s="31"/>
      <c r="F24" s="31"/>
      <c r="G24" s="31"/>
      <c r="H24" s="31"/>
      <c r="I24" s="31"/>
      <c r="J24" s="31"/>
      <c r="K24" s="17"/>
      <c r="L24" s="17"/>
      <c r="M24" s="17"/>
      <c r="N24" s="17"/>
    </row>
    <row r="25" spans="1:148" x14ac:dyDescent="0.25">
      <c r="B25" s="4"/>
      <c r="C25" s="31"/>
      <c r="D25" s="31"/>
      <c r="E25" s="31"/>
      <c r="F25" s="31"/>
      <c r="G25" s="31"/>
      <c r="H25" s="31"/>
      <c r="I25" s="31"/>
      <c r="J25" s="31"/>
      <c r="K25" s="17"/>
      <c r="L25" s="17"/>
      <c r="M25" s="17"/>
      <c r="N25" s="17"/>
    </row>
    <row r="26" spans="1:148" ht="13.8" thickBot="1" x14ac:dyDescent="0.3">
      <c r="B26" s="26" t="s">
        <v>22</v>
      </c>
      <c r="C26" s="26" t="s">
        <v>26</v>
      </c>
      <c r="D26" s="26" t="s">
        <v>29</v>
      </c>
      <c r="E26" s="26" t="s">
        <v>32</v>
      </c>
      <c r="F26" s="26" t="s">
        <v>34</v>
      </c>
      <c r="G26" s="26" t="s">
        <v>36</v>
      </c>
      <c r="H26" s="26" t="s">
        <v>16</v>
      </c>
      <c r="I26" s="26" t="s">
        <v>38</v>
      </c>
      <c r="J26" s="26" t="s">
        <v>39</v>
      </c>
      <c r="K26" s="17"/>
      <c r="L26" s="17"/>
      <c r="M26" s="17"/>
      <c r="N26" s="17"/>
    </row>
    <row r="27" spans="1:148" x14ac:dyDescent="0.25">
      <c r="A27" s="2" t="s">
        <v>43</v>
      </c>
      <c r="B27" s="32">
        <f t="shared" ref="B27:J27" si="3">IF(UPPER($B$10)=B26,1,0)</f>
        <v>0</v>
      </c>
      <c r="C27" s="32">
        <f t="shared" si="3"/>
        <v>0</v>
      </c>
      <c r="D27" s="32">
        <f t="shared" si="3"/>
        <v>0</v>
      </c>
      <c r="E27" s="32">
        <f t="shared" si="3"/>
        <v>0</v>
      </c>
      <c r="F27" s="32">
        <f t="shared" si="3"/>
        <v>0</v>
      </c>
      <c r="G27" s="32">
        <f t="shared" si="3"/>
        <v>0</v>
      </c>
      <c r="H27" s="32">
        <f t="shared" si="3"/>
        <v>1</v>
      </c>
      <c r="I27" s="32">
        <f t="shared" si="3"/>
        <v>0</v>
      </c>
      <c r="J27" s="32">
        <f t="shared" si="3"/>
        <v>0</v>
      </c>
      <c r="K27" s="17"/>
      <c r="L27" s="17"/>
      <c r="M27" s="17"/>
      <c r="N27" s="17"/>
    </row>
    <row r="28" spans="1:148" x14ac:dyDescent="0.25">
      <c r="B28" s="4"/>
      <c r="C28" s="31"/>
      <c r="D28" s="31"/>
      <c r="E28" s="31"/>
      <c r="F28" s="31"/>
      <c r="G28" s="31"/>
      <c r="H28" s="31"/>
      <c r="I28" s="31"/>
      <c r="J28" s="31"/>
      <c r="K28" s="17"/>
      <c r="L28" s="17"/>
      <c r="M28" s="17"/>
      <c r="N28" s="17"/>
    </row>
    <row r="29" spans="1:148" x14ac:dyDescent="0.25">
      <c r="A29" s="13" t="s">
        <v>44</v>
      </c>
      <c r="B29" s="10">
        <v>0</v>
      </c>
      <c r="C29" s="10">
        <v>1</v>
      </c>
      <c r="D29" s="10">
        <v>2</v>
      </c>
      <c r="E29" s="10">
        <v>3</v>
      </c>
      <c r="F29" s="10">
        <v>4</v>
      </c>
      <c r="G29" s="10">
        <v>5</v>
      </c>
      <c r="H29" s="10">
        <v>6</v>
      </c>
      <c r="I29" s="10">
        <v>7</v>
      </c>
      <c r="J29" s="10">
        <v>8</v>
      </c>
      <c r="K29" s="10">
        <v>9</v>
      </c>
      <c r="L29" s="10">
        <v>10</v>
      </c>
      <c r="M29" s="10">
        <v>11</v>
      </c>
      <c r="N29" s="10">
        <v>12</v>
      </c>
      <c r="O29" s="10">
        <v>13</v>
      </c>
      <c r="P29" s="10">
        <v>14</v>
      </c>
      <c r="Q29" s="10">
        <v>15</v>
      </c>
      <c r="R29" s="10">
        <v>16</v>
      </c>
      <c r="S29" s="10">
        <v>17</v>
      </c>
      <c r="T29" s="10">
        <v>18</v>
      </c>
      <c r="U29" s="10">
        <v>19</v>
      </c>
      <c r="V29" s="10">
        <v>20</v>
      </c>
      <c r="W29" s="10">
        <v>21</v>
      </c>
      <c r="X29" s="10">
        <v>22</v>
      </c>
      <c r="Y29" s="10">
        <v>23</v>
      </c>
      <c r="Z29" s="10">
        <v>24</v>
      </c>
      <c r="AA29" s="10">
        <v>25</v>
      </c>
      <c r="AB29" s="10">
        <v>26</v>
      </c>
      <c r="AC29" s="10">
        <v>27</v>
      </c>
      <c r="AD29" s="10">
        <v>28</v>
      </c>
      <c r="AE29" s="10">
        <v>29</v>
      </c>
      <c r="AF29" s="10">
        <v>30</v>
      </c>
      <c r="AG29" s="10">
        <v>31</v>
      </c>
      <c r="AH29" s="10">
        <v>32</v>
      </c>
      <c r="AI29" s="10">
        <v>33</v>
      </c>
      <c r="AJ29" s="10">
        <v>34</v>
      </c>
      <c r="AK29" s="10">
        <v>35</v>
      </c>
      <c r="AL29" s="10">
        <v>36</v>
      </c>
      <c r="AM29" s="10">
        <v>37</v>
      </c>
      <c r="AN29" s="10">
        <v>38</v>
      </c>
      <c r="AO29" s="10">
        <v>39</v>
      </c>
      <c r="AP29" s="10">
        <v>40</v>
      </c>
    </row>
    <row r="30" spans="1:148" x14ac:dyDescent="0.25">
      <c r="A30" s="13" t="s">
        <v>45</v>
      </c>
      <c r="B30" s="33">
        <f>B7</f>
        <v>38553</v>
      </c>
      <c r="C30" s="33">
        <v>38610</v>
      </c>
      <c r="D30" s="33">
        <v>38791</v>
      </c>
      <c r="E30" s="33">
        <v>38975</v>
      </c>
      <c r="F30" s="33">
        <v>39156</v>
      </c>
      <c r="G30" s="33">
        <v>39340</v>
      </c>
      <c r="H30" s="33">
        <v>39522</v>
      </c>
      <c r="I30" s="33">
        <v>39706</v>
      </c>
      <c r="J30" s="33">
        <v>39887</v>
      </c>
      <c r="K30" s="33">
        <v>40071</v>
      </c>
      <c r="L30" s="33">
        <v>40252</v>
      </c>
      <c r="M30" s="33">
        <v>40436</v>
      </c>
      <c r="N30" s="33">
        <v>40617</v>
      </c>
      <c r="O30" s="33">
        <v>40801</v>
      </c>
      <c r="P30" s="33">
        <v>40983</v>
      </c>
      <c r="Q30" s="33">
        <v>41167</v>
      </c>
      <c r="R30" s="33">
        <v>41348</v>
      </c>
      <c r="S30" s="33">
        <v>41532</v>
      </c>
      <c r="T30" s="33">
        <v>41713</v>
      </c>
      <c r="U30" s="33">
        <v>41897</v>
      </c>
      <c r="V30" s="33">
        <v>42078</v>
      </c>
      <c r="W30" s="33">
        <v>42262</v>
      </c>
      <c r="X30" s="33">
        <v>42444</v>
      </c>
      <c r="Y30" s="33">
        <v>42628</v>
      </c>
      <c r="Z30" s="33">
        <v>42809</v>
      </c>
      <c r="AA30" s="33">
        <v>42993</v>
      </c>
      <c r="AB30" s="33">
        <v>43174</v>
      </c>
      <c r="AC30" s="33">
        <v>43358</v>
      </c>
      <c r="AD30" s="33">
        <v>43539</v>
      </c>
      <c r="AE30" s="33">
        <v>43723</v>
      </c>
      <c r="AF30" s="33">
        <v>43905</v>
      </c>
      <c r="AG30" s="33">
        <v>44089</v>
      </c>
      <c r="AH30" s="33">
        <v>44270</v>
      </c>
      <c r="AI30" s="33">
        <v>44454</v>
      </c>
      <c r="AJ30" s="33">
        <v>44635</v>
      </c>
      <c r="AK30" s="33">
        <v>44819</v>
      </c>
      <c r="AL30" s="33">
        <v>45000</v>
      </c>
      <c r="AM30" s="33">
        <v>45184</v>
      </c>
      <c r="AN30" s="33">
        <v>45366</v>
      </c>
      <c r="AO30" s="33">
        <v>45550</v>
      </c>
      <c r="AP30" s="33">
        <v>45731</v>
      </c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</row>
    <row r="31" spans="1:148" x14ac:dyDescent="0.25">
      <c r="A31" s="2" t="s">
        <v>46</v>
      </c>
      <c r="B31" s="34">
        <f>-B4</f>
        <v>-0.80390896739130435</v>
      </c>
      <c r="C31" s="17">
        <f t="array" ref="C31">IF(C29&gt;bondterm,0,IF(C29=bondterm,MMULT(initial,MMULT(matrixpower(transition,C29),payoff2)),MMULT(initial,MMULT(matrixpower(transition,C29),payoff1))))</f>
        <v>0.10678445558232114</v>
      </c>
      <c r="D31" s="17">
        <f t="array" ref="D31">IF(D29&gt;bondterm,0,IF(D29=bondterm,MMULT(initial,MMULT(matrixpower(transition,D29),payoff2)),MMULT(initial,MMULT(matrixpower(transition,D29),payoff1))))</f>
        <v>9.0290309288636517E-2</v>
      </c>
      <c r="E31" s="17">
        <f t="shared" ref="E31:AP31" si="4">IF(E29&gt;bondterm,0,IF(E29=bondterm,MMULT(initial,MMULT(matrixpower(transition,E29),payoff2)),MMULT(initial,MMULT(matrixpower(transition,E29),payoff1))))</f>
        <v>7.7051410683591129E-2</v>
      </c>
      <c r="F31" s="17">
        <f t="shared" si="4"/>
        <v>6.6394450004004096E-2</v>
      </c>
      <c r="G31" s="17">
        <f t="shared" si="4"/>
        <v>5.7787405042465607E-2</v>
      </c>
      <c r="H31" s="17">
        <f t="shared" si="4"/>
        <v>5.0809727044109292E-2</v>
      </c>
      <c r="I31" s="17">
        <f t="shared" si="4"/>
        <v>4.5128833919534719E-2</v>
      </c>
      <c r="J31" s="17">
        <f t="shared" si="4"/>
        <v>4.0481574713127813E-2</v>
      </c>
      <c r="K31" s="17">
        <f t="shared" si="4"/>
        <v>3.6659612476342286E-2</v>
      </c>
      <c r="L31" s="17">
        <f t="shared" si="4"/>
        <v>3.3497895849249011E-2</v>
      </c>
      <c r="M31" s="17">
        <f t="shared" si="4"/>
        <v>3.0865565489044136E-2</v>
      </c>
      <c r="N31" s="17">
        <f t="shared" si="4"/>
        <v>2.8658780037273329E-2</v>
      </c>
      <c r="O31" s="17">
        <f t="shared" si="4"/>
        <v>2.6795055495412386E-2</v>
      </c>
      <c r="P31" s="17">
        <f t="shared" si="4"/>
        <v>2.5208797911001196E-2</v>
      </c>
      <c r="Q31" s="2">
        <f t="shared" si="4"/>
        <v>2.3847777072161017E-2</v>
      </c>
      <c r="R31" s="2">
        <f t="shared" si="4"/>
        <v>2.2670342334312407E-2</v>
      </c>
      <c r="S31" s="2">
        <f t="shared" si="4"/>
        <v>2.1643223806266251E-2</v>
      </c>
      <c r="T31" s="2">
        <f t="shared" si="4"/>
        <v>2.0739795304334209E-2</v>
      </c>
      <c r="U31" s="2">
        <f t="shared" si="4"/>
        <v>1.9938701634277044E-2</v>
      </c>
      <c r="V31" s="2">
        <f t="shared" si="4"/>
        <v>1.9222773372193074E-2</v>
      </c>
      <c r="W31" s="2">
        <f t="shared" si="4"/>
        <v>1.8578168561186686E-2</v>
      </c>
      <c r="X31" s="2">
        <f t="shared" si="4"/>
        <v>1.7993693546161014E-2</v>
      </c>
      <c r="Y31" s="2">
        <f t="shared" si="4"/>
        <v>1.7460265263453362E-2</v>
      </c>
      <c r="Z31" s="2">
        <f t="shared" si="4"/>
        <v>1.6970485259786627E-2</v>
      </c>
      <c r="AA31" s="2">
        <f t="shared" si="4"/>
        <v>1.651830198884844E-2</v>
      </c>
      <c r="AB31" s="2">
        <f t="shared" si="4"/>
        <v>1.6098742880463427E-2</v>
      </c>
      <c r="AC31" s="2">
        <f t="shared" si="4"/>
        <v>1.5707701577902189E-2</v>
      </c>
      <c r="AD31" s="2">
        <f t="shared" si="4"/>
        <v>1.5341768814900259E-2</v>
      </c>
      <c r="AE31" s="2">
        <f t="shared" si="4"/>
        <v>1.4998097830017463E-2</v>
      </c>
      <c r="AF31" s="2">
        <f t="shared" si="4"/>
        <v>0.25287669776717542</v>
      </c>
      <c r="AG31" s="2">
        <f t="shared" si="4"/>
        <v>0</v>
      </c>
      <c r="AH31" s="2">
        <f t="shared" si="4"/>
        <v>0</v>
      </c>
      <c r="AI31" s="2">
        <f t="shared" si="4"/>
        <v>0</v>
      </c>
      <c r="AJ31" s="2">
        <f t="shared" si="4"/>
        <v>0</v>
      </c>
      <c r="AK31" s="2">
        <f t="shared" si="4"/>
        <v>0</v>
      </c>
      <c r="AL31" s="2">
        <f t="shared" si="4"/>
        <v>0</v>
      </c>
      <c r="AM31" s="2">
        <f t="shared" si="4"/>
        <v>0</v>
      </c>
      <c r="AN31" s="2">
        <f t="shared" si="4"/>
        <v>0</v>
      </c>
      <c r="AO31" s="2">
        <f t="shared" si="4"/>
        <v>0</v>
      </c>
      <c r="AP31" s="2">
        <f t="shared" si="4"/>
        <v>0</v>
      </c>
    </row>
    <row r="32" spans="1:148" x14ac:dyDescent="0.25">
      <c r="A32" s="35" t="s">
        <v>47</v>
      </c>
      <c r="B32" s="36">
        <f>XIRR(B31:AP31,B30:AP30)</f>
        <v>8.0735215544700631E-2</v>
      </c>
      <c r="C32" s="2" t="str">
        <f ca="1">[3]!getformula(B32)</f>
        <v>&lt;--  =XIRR(B31:AP31,B30:AP30)</v>
      </c>
    </row>
    <row r="38" spans="1:12" x14ac:dyDescent="0.25">
      <c r="L38" s="13"/>
    </row>
    <row r="39" spans="1:12" ht="36.6" customHeight="1" x14ac:dyDescent="0.25">
      <c r="A39" s="37" t="s">
        <v>48</v>
      </c>
      <c r="B39" s="37"/>
      <c r="C39" s="37"/>
    </row>
    <row r="40" spans="1:12" x14ac:dyDescent="0.25">
      <c r="A40" s="10" t="s">
        <v>61</v>
      </c>
      <c r="B40" s="38">
        <f>B32</f>
        <v>8.0735215544700631E-2</v>
      </c>
      <c r="C40" s="11" t="s">
        <v>50</v>
      </c>
      <c r="E40" s="2" t="s">
        <v>51</v>
      </c>
    </row>
    <row r="41" spans="1:12" x14ac:dyDescent="0.25">
      <c r="A41" s="6">
        <v>0</v>
      </c>
      <c r="B41" s="39">
        <f t="dataTable" ref="B41:B51" dt2D="0" dtr="0" r1="B5"/>
        <v>9.2601865530014052E-3</v>
      </c>
      <c r="C41" s="7">
        <f t="shared" ref="C41:C51" si="5">$B$11</f>
        <v>0.14807288050651554</v>
      </c>
    </row>
    <row r="42" spans="1:12" x14ac:dyDescent="0.25">
      <c r="A42" s="6">
        <v>0.1</v>
      </c>
      <c r="B42" s="39">
        <v>2.1380689740180963E-2</v>
      </c>
      <c r="C42" s="7">
        <f t="shared" si="5"/>
        <v>0.14807288050651554</v>
      </c>
    </row>
    <row r="43" spans="1:12" x14ac:dyDescent="0.25">
      <c r="A43" s="6">
        <v>0.2</v>
      </c>
      <c r="B43" s="39">
        <v>3.446191847324373E-2</v>
      </c>
      <c r="C43" s="7">
        <f t="shared" si="5"/>
        <v>0.14807288050651554</v>
      </c>
    </row>
    <row r="44" spans="1:12" x14ac:dyDescent="0.25">
      <c r="A44" s="6">
        <v>0.3</v>
      </c>
      <c r="B44" s="39">
        <v>4.8623684048652638E-2</v>
      </c>
      <c r="C44" s="7">
        <f t="shared" si="5"/>
        <v>0.14807288050651554</v>
      </c>
    </row>
    <row r="45" spans="1:12" x14ac:dyDescent="0.25">
      <c r="A45" s="6">
        <v>0.4</v>
      </c>
      <c r="B45" s="39">
        <v>6.3999357819557193E-2</v>
      </c>
      <c r="C45" s="7">
        <f t="shared" si="5"/>
        <v>0.14807288050651554</v>
      </c>
    </row>
    <row r="46" spans="1:12" x14ac:dyDescent="0.25">
      <c r="A46" s="6">
        <v>0.5</v>
      </c>
      <c r="B46" s="39">
        <v>8.0735215544700631E-2</v>
      </c>
      <c r="C46" s="7">
        <f t="shared" si="5"/>
        <v>0.14807288050651554</v>
      </c>
    </row>
    <row r="47" spans="1:12" x14ac:dyDescent="0.25">
      <c r="A47" s="6">
        <v>0.6</v>
      </c>
      <c r="B47" s="39">
        <v>9.8988467454910301E-2</v>
      </c>
      <c r="C47" s="7">
        <f t="shared" si="5"/>
        <v>0.14807288050651554</v>
      </c>
    </row>
    <row r="48" spans="1:12" x14ac:dyDescent="0.25">
      <c r="A48" s="6">
        <v>0.7</v>
      </c>
      <c r="B48" s="39">
        <v>0.11892357468605042</v>
      </c>
      <c r="C48" s="7">
        <f t="shared" si="5"/>
        <v>0.14807288050651554</v>
      </c>
    </row>
    <row r="49" spans="1:42" x14ac:dyDescent="0.25">
      <c r="A49" s="6">
        <v>0.8</v>
      </c>
      <c r="B49" s="39">
        <v>0.14070674777030942</v>
      </c>
      <c r="C49" s="7">
        <f t="shared" si="5"/>
        <v>0.14807288050651554</v>
      </c>
    </row>
    <row r="50" spans="1:42" x14ac:dyDescent="0.25">
      <c r="A50" s="6">
        <v>0.9</v>
      </c>
      <c r="B50" s="39">
        <v>0.1644987761974335</v>
      </c>
      <c r="C50" s="7">
        <f t="shared" si="5"/>
        <v>0.14807288050651554</v>
      </c>
    </row>
    <row r="51" spans="1:42" x14ac:dyDescent="0.25">
      <c r="A51" s="6">
        <v>1</v>
      </c>
      <c r="B51" s="39">
        <v>0.19044695496559144</v>
      </c>
      <c r="C51" s="7">
        <f t="shared" si="5"/>
        <v>0.14807288050651554</v>
      </c>
    </row>
    <row r="52" spans="1:42" x14ac:dyDescent="0.25">
      <c r="C52" s="16"/>
    </row>
    <row r="53" spans="1:42" x14ac:dyDescent="0.25">
      <c r="A53" s="2" t="s">
        <v>52</v>
      </c>
    </row>
    <row r="54" spans="1:42" x14ac:dyDescent="0.25">
      <c r="A54" s="2" t="s">
        <v>53</v>
      </c>
    </row>
    <row r="55" spans="1:42" x14ac:dyDescent="0.25">
      <c r="A55" s="2" t="s">
        <v>54</v>
      </c>
    </row>
    <row r="56" spans="1:42" x14ac:dyDescent="0.25">
      <c r="A56" s="2" t="s">
        <v>55</v>
      </c>
    </row>
    <row r="57" spans="1:42" ht="52.2" customHeight="1" x14ac:dyDescent="0.25">
      <c r="G57" s="42" t="str">
        <f>"AMR Bond Expected Return vs. Recovery Rate"&amp;CHAR(10)&amp;"Bond price = "&amp;TEXT(B2,"0%")&amp;
", Bond Rating = "&amp;UPPER(B10)&amp;","&amp;CHAR(10)&amp;"Coupon = "&amp;TEXT(B3,"0.00%")&amp;", YTM = "&amp;TEXT(B11,"0.00%")</f>
        <v>AMR Bond Expected Return vs. Recovery Rate
Bond price = 77%, Bond Rating = CCC,
Coupon = 10.55%, YTM = 14.81%</v>
      </c>
      <c r="H57" s="43"/>
      <c r="I57" s="43"/>
      <c r="J57" s="43"/>
    </row>
    <row r="63" spans="1:42" x14ac:dyDescent="0.25">
      <c r="A63" s="13" t="s">
        <v>57</v>
      </c>
    </row>
    <row r="64" spans="1:42" x14ac:dyDescent="0.25">
      <c r="A64" s="13" t="s">
        <v>58</v>
      </c>
      <c r="B64" s="33">
        <f t="shared" ref="B64:AG64" si="6">B30</f>
        <v>38553</v>
      </c>
      <c r="C64" s="33">
        <f t="shared" si="6"/>
        <v>38610</v>
      </c>
      <c r="D64" s="33">
        <f t="shared" si="6"/>
        <v>38791</v>
      </c>
      <c r="E64" s="33">
        <f t="shared" si="6"/>
        <v>38975</v>
      </c>
      <c r="F64" s="33">
        <f t="shared" si="6"/>
        <v>39156</v>
      </c>
      <c r="G64" s="33">
        <f t="shared" si="6"/>
        <v>39340</v>
      </c>
      <c r="H64" s="33">
        <f t="shared" si="6"/>
        <v>39522</v>
      </c>
      <c r="I64" s="33">
        <f t="shared" si="6"/>
        <v>39706</v>
      </c>
      <c r="J64" s="33">
        <f t="shared" si="6"/>
        <v>39887</v>
      </c>
      <c r="K64" s="33">
        <f t="shared" si="6"/>
        <v>40071</v>
      </c>
      <c r="L64" s="33">
        <f t="shared" si="6"/>
        <v>40252</v>
      </c>
      <c r="M64" s="33">
        <f t="shared" si="6"/>
        <v>40436</v>
      </c>
      <c r="N64" s="33">
        <f t="shared" si="6"/>
        <v>40617</v>
      </c>
      <c r="O64" s="33">
        <f t="shared" si="6"/>
        <v>40801</v>
      </c>
      <c r="P64" s="33">
        <f t="shared" si="6"/>
        <v>40983</v>
      </c>
      <c r="Q64" s="33">
        <f t="shared" si="6"/>
        <v>41167</v>
      </c>
      <c r="R64" s="33">
        <f t="shared" si="6"/>
        <v>41348</v>
      </c>
      <c r="S64" s="33">
        <f t="shared" si="6"/>
        <v>41532</v>
      </c>
      <c r="T64" s="33">
        <f t="shared" si="6"/>
        <v>41713</v>
      </c>
      <c r="U64" s="33">
        <f t="shared" si="6"/>
        <v>41897</v>
      </c>
      <c r="V64" s="33">
        <f t="shared" si="6"/>
        <v>42078</v>
      </c>
      <c r="W64" s="33">
        <f t="shared" si="6"/>
        <v>42262</v>
      </c>
      <c r="X64" s="33">
        <f t="shared" si="6"/>
        <v>42444</v>
      </c>
      <c r="Y64" s="33">
        <f t="shared" si="6"/>
        <v>42628</v>
      </c>
      <c r="Z64" s="33">
        <f t="shared" si="6"/>
        <v>42809</v>
      </c>
      <c r="AA64" s="33">
        <f t="shared" si="6"/>
        <v>42993</v>
      </c>
      <c r="AB64" s="33">
        <f t="shared" si="6"/>
        <v>43174</v>
      </c>
      <c r="AC64" s="33">
        <f t="shared" si="6"/>
        <v>43358</v>
      </c>
      <c r="AD64" s="33">
        <f t="shared" si="6"/>
        <v>43539</v>
      </c>
      <c r="AE64" s="33">
        <f t="shared" si="6"/>
        <v>43723</v>
      </c>
      <c r="AF64" s="33">
        <f t="shared" si="6"/>
        <v>43905</v>
      </c>
      <c r="AG64" s="33">
        <f t="shared" si="6"/>
        <v>44089</v>
      </c>
      <c r="AH64" s="33">
        <v>44267</v>
      </c>
      <c r="AI64" s="33">
        <f t="shared" ref="AI64:AP64" si="7">AI30</f>
        <v>44454</v>
      </c>
      <c r="AJ64" s="33">
        <f t="shared" si="7"/>
        <v>44635</v>
      </c>
      <c r="AK64" s="33">
        <f t="shared" si="7"/>
        <v>44819</v>
      </c>
      <c r="AL64" s="33">
        <f t="shared" si="7"/>
        <v>45000</v>
      </c>
      <c r="AM64" s="33">
        <f t="shared" si="7"/>
        <v>45184</v>
      </c>
      <c r="AN64" s="33">
        <f t="shared" si="7"/>
        <v>45366</v>
      </c>
      <c r="AO64" s="33">
        <f t="shared" si="7"/>
        <v>45550</v>
      </c>
      <c r="AP64" s="33">
        <f t="shared" si="7"/>
        <v>45731</v>
      </c>
    </row>
    <row r="65" spans="1:42" x14ac:dyDescent="0.25">
      <c r="A65" s="2" t="s">
        <v>46</v>
      </c>
      <c r="B65" s="34">
        <f>-B4</f>
        <v>-0.80390896739130435</v>
      </c>
      <c r="C65" s="17">
        <f t="shared" ref="C65:AP65" si="8">IF(C64&gt;$B$6,0,IF(C64=$B$6,1+$B$3/2,$B$3/2))</f>
        <v>5.2749999999999998E-2</v>
      </c>
      <c r="D65" s="17">
        <f t="shared" si="8"/>
        <v>5.2749999999999998E-2</v>
      </c>
      <c r="E65" s="17">
        <f t="shared" si="8"/>
        <v>5.2749999999999998E-2</v>
      </c>
      <c r="F65" s="17">
        <f t="shared" si="8"/>
        <v>5.2749999999999998E-2</v>
      </c>
      <c r="G65" s="17">
        <f t="shared" si="8"/>
        <v>5.2749999999999998E-2</v>
      </c>
      <c r="H65" s="17">
        <f t="shared" si="8"/>
        <v>5.2749999999999998E-2</v>
      </c>
      <c r="I65" s="17">
        <f t="shared" si="8"/>
        <v>5.2749999999999998E-2</v>
      </c>
      <c r="J65" s="17">
        <f t="shared" si="8"/>
        <v>5.2749999999999998E-2</v>
      </c>
      <c r="K65" s="17">
        <f t="shared" si="8"/>
        <v>5.2749999999999998E-2</v>
      </c>
      <c r="L65" s="17">
        <f t="shared" si="8"/>
        <v>5.2749999999999998E-2</v>
      </c>
      <c r="M65" s="17">
        <f t="shared" si="8"/>
        <v>5.2749999999999998E-2</v>
      </c>
      <c r="N65" s="17">
        <f t="shared" si="8"/>
        <v>5.2749999999999998E-2</v>
      </c>
      <c r="O65" s="17">
        <f t="shared" si="8"/>
        <v>5.2749999999999998E-2</v>
      </c>
      <c r="P65" s="17">
        <f t="shared" si="8"/>
        <v>5.2749999999999998E-2</v>
      </c>
      <c r="Q65" s="17">
        <f t="shared" si="8"/>
        <v>5.2749999999999998E-2</v>
      </c>
      <c r="R65" s="17">
        <f t="shared" si="8"/>
        <v>5.2749999999999998E-2</v>
      </c>
      <c r="S65" s="17">
        <f t="shared" si="8"/>
        <v>5.2749999999999998E-2</v>
      </c>
      <c r="T65" s="17">
        <f t="shared" si="8"/>
        <v>5.2749999999999998E-2</v>
      </c>
      <c r="U65" s="17">
        <f t="shared" si="8"/>
        <v>5.2749999999999998E-2</v>
      </c>
      <c r="V65" s="17">
        <f t="shared" si="8"/>
        <v>5.2749999999999998E-2</v>
      </c>
      <c r="W65" s="17">
        <f t="shared" si="8"/>
        <v>5.2749999999999998E-2</v>
      </c>
      <c r="X65" s="17">
        <f t="shared" si="8"/>
        <v>5.2749999999999998E-2</v>
      </c>
      <c r="Y65" s="17">
        <f t="shared" si="8"/>
        <v>5.2749999999999998E-2</v>
      </c>
      <c r="Z65" s="17">
        <f t="shared" si="8"/>
        <v>5.2749999999999998E-2</v>
      </c>
      <c r="AA65" s="17">
        <f t="shared" si="8"/>
        <v>5.2749999999999998E-2</v>
      </c>
      <c r="AB65" s="17">
        <f t="shared" si="8"/>
        <v>5.2749999999999998E-2</v>
      </c>
      <c r="AC65" s="17">
        <f t="shared" si="8"/>
        <v>5.2749999999999998E-2</v>
      </c>
      <c r="AD65" s="17">
        <f t="shared" si="8"/>
        <v>5.2749999999999998E-2</v>
      </c>
      <c r="AE65" s="17">
        <f t="shared" si="8"/>
        <v>5.2749999999999998E-2</v>
      </c>
      <c r="AF65" s="17">
        <f t="shared" si="8"/>
        <v>5.2749999999999998E-2</v>
      </c>
      <c r="AG65" s="17">
        <f t="shared" si="8"/>
        <v>5.2749999999999998E-2</v>
      </c>
      <c r="AH65" s="17">
        <f t="shared" si="8"/>
        <v>1.0527500000000001</v>
      </c>
      <c r="AI65" s="17">
        <f t="shared" si="8"/>
        <v>0</v>
      </c>
      <c r="AJ65" s="17">
        <f t="shared" si="8"/>
        <v>0</v>
      </c>
      <c r="AK65" s="17">
        <f t="shared" si="8"/>
        <v>0</v>
      </c>
      <c r="AL65" s="17">
        <f t="shared" si="8"/>
        <v>0</v>
      </c>
      <c r="AM65" s="17">
        <f t="shared" si="8"/>
        <v>0</v>
      </c>
      <c r="AN65" s="17">
        <f t="shared" si="8"/>
        <v>0</v>
      </c>
      <c r="AO65" s="17">
        <f t="shared" si="8"/>
        <v>0</v>
      </c>
      <c r="AP65" s="17">
        <f t="shared" si="8"/>
        <v>0</v>
      </c>
    </row>
    <row r="66" spans="1:42" x14ac:dyDescent="0.25">
      <c r="A66" s="2" t="s">
        <v>59</v>
      </c>
      <c r="B66" s="39">
        <f>XIRR(B65:AP65,B64:AP64)</f>
        <v>0.14807288050651554</v>
      </c>
    </row>
    <row r="67" spans="1:42" x14ac:dyDescent="0.25">
      <c r="B67" s="16"/>
    </row>
    <row r="68" spans="1:42" x14ac:dyDescent="0.25">
      <c r="B68" s="16"/>
      <c r="C68" s="16"/>
    </row>
    <row r="69" spans="1:42" x14ac:dyDescent="0.25">
      <c r="B69" s="16"/>
    </row>
    <row r="70" spans="1:42" x14ac:dyDescent="0.25">
      <c r="B70" s="16"/>
    </row>
    <row r="71" spans="1:42" x14ac:dyDescent="0.25">
      <c r="B71" s="16"/>
    </row>
    <row r="72" spans="1:42" x14ac:dyDescent="0.25">
      <c r="B72" s="16"/>
    </row>
  </sheetData>
  <mergeCells count="5">
    <mergeCell ref="A1:K1"/>
    <mergeCell ref="B13:B14"/>
    <mergeCell ref="C13:J13"/>
    <mergeCell ref="A39:C39"/>
    <mergeCell ref="G57:J5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5FD2-46D3-4668-A3A4-A73998DA1DFD}">
  <sheetPr codeName="Sheet7"/>
  <dimension ref="A1:ER72"/>
  <sheetViews>
    <sheetView workbookViewId="0">
      <selection activeCell="B11" sqref="B11"/>
    </sheetView>
  </sheetViews>
  <sheetFormatPr defaultRowHeight="13.2" x14ac:dyDescent="0.25"/>
  <cols>
    <col min="1" max="1" width="27.44140625" style="2" customWidth="1"/>
    <col min="2" max="2" width="9.44140625" style="2" bestFit="1" customWidth="1"/>
    <col min="3" max="3" width="11.33203125" style="2" customWidth="1"/>
    <col min="4" max="4" width="9.5546875" style="2" bestFit="1" customWidth="1"/>
    <col min="5" max="5" width="12.109375" style="2" customWidth="1"/>
    <col min="6" max="6" width="11.33203125" style="2" customWidth="1"/>
    <col min="7" max="7" width="10.6640625" style="2" customWidth="1"/>
    <col min="8" max="8" width="9.44140625" style="2" customWidth="1"/>
    <col min="9" max="9" width="11.109375" style="2" customWidth="1"/>
    <col min="10" max="12" width="9.44140625" style="2" customWidth="1"/>
    <col min="13" max="13" width="18.6640625" style="2" customWidth="1"/>
    <col min="14" max="84" width="9.44140625" style="2" customWidth="1"/>
    <col min="85" max="256" width="8.88671875" style="2"/>
    <col min="257" max="257" width="27.44140625" style="2" customWidth="1"/>
    <col min="258" max="258" width="9.44140625" style="2" bestFit="1" customWidth="1"/>
    <col min="259" max="259" width="11.33203125" style="2" customWidth="1"/>
    <col min="260" max="260" width="9.5546875" style="2" bestFit="1" customWidth="1"/>
    <col min="261" max="261" width="12.109375" style="2" customWidth="1"/>
    <col min="262" max="262" width="11.33203125" style="2" customWidth="1"/>
    <col min="263" max="263" width="10.6640625" style="2" customWidth="1"/>
    <col min="264" max="264" width="9.44140625" style="2" customWidth="1"/>
    <col min="265" max="265" width="11.109375" style="2" customWidth="1"/>
    <col min="266" max="268" width="9.44140625" style="2" customWidth="1"/>
    <col min="269" max="269" width="18.6640625" style="2" customWidth="1"/>
    <col min="270" max="340" width="9.44140625" style="2" customWidth="1"/>
    <col min="341" max="512" width="8.88671875" style="2"/>
    <col min="513" max="513" width="27.44140625" style="2" customWidth="1"/>
    <col min="514" max="514" width="9.44140625" style="2" bestFit="1" customWidth="1"/>
    <col min="515" max="515" width="11.33203125" style="2" customWidth="1"/>
    <col min="516" max="516" width="9.5546875" style="2" bestFit="1" customWidth="1"/>
    <col min="517" max="517" width="12.109375" style="2" customWidth="1"/>
    <col min="518" max="518" width="11.33203125" style="2" customWidth="1"/>
    <col min="519" max="519" width="10.6640625" style="2" customWidth="1"/>
    <col min="520" max="520" width="9.44140625" style="2" customWidth="1"/>
    <col min="521" max="521" width="11.109375" style="2" customWidth="1"/>
    <col min="522" max="524" width="9.44140625" style="2" customWidth="1"/>
    <col min="525" max="525" width="18.6640625" style="2" customWidth="1"/>
    <col min="526" max="596" width="9.44140625" style="2" customWidth="1"/>
    <col min="597" max="768" width="8.88671875" style="2"/>
    <col min="769" max="769" width="27.44140625" style="2" customWidth="1"/>
    <col min="770" max="770" width="9.44140625" style="2" bestFit="1" customWidth="1"/>
    <col min="771" max="771" width="11.33203125" style="2" customWidth="1"/>
    <col min="772" max="772" width="9.5546875" style="2" bestFit="1" customWidth="1"/>
    <col min="773" max="773" width="12.109375" style="2" customWidth="1"/>
    <col min="774" max="774" width="11.33203125" style="2" customWidth="1"/>
    <col min="775" max="775" width="10.6640625" style="2" customWidth="1"/>
    <col min="776" max="776" width="9.44140625" style="2" customWidth="1"/>
    <col min="777" max="777" width="11.109375" style="2" customWidth="1"/>
    <col min="778" max="780" width="9.44140625" style="2" customWidth="1"/>
    <col min="781" max="781" width="18.6640625" style="2" customWidth="1"/>
    <col min="782" max="852" width="9.44140625" style="2" customWidth="1"/>
    <col min="853" max="1024" width="8.88671875" style="2"/>
    <col min="1025" max="1025" width="27.44140625" style="2" customWidth="1"/>
    <col min="1026" max="1026" width="9.44140625" style="2" bestFit="1" customWidth="1"/>
    <col min="1027" max="1027" width="11.33203125" style="2" customWidth="1"/>
    <col min="1028" max="1028" width="9.5546875" style="2" bestFit="1" customWidth="1"/>
    <col min="1029" max="1029" width="12.109375" style="2" customWidth="1"/>
    <col min="1030" max="1030" width="11.33203125" style="2" customWidth="1"/>
    <col min="1031" max="1031" width="10.6640625" style="2" customWidth="1"/>
    <col min="1032" max="1032" width="9.44140625" style="2" customWidth="1"/>
    <col min="1033" max="1033" width="11.109375" style="2" customWidth="1"/>
    <col min="1034" max="1036" width="9.44140625" style="2" customWidth="1"/>
    <col min="1037" max="1037" width="18.6640625" style="2" customWidth="1"/>
    <col min="1038" max="1108" width="9.44140625" style="2" customWidth="1"/>
    <col min="1109" max="1280" width="8.88671875" style="2"/>
    <col min="1281" max="1281" width="27.44140625" style="2" customWidth="1"/>
    <col min="1282" max="1282" width="9.44140625" style="2" bestFit="1" customWidth="1"/>
    <col min="1283" max="1283" width="11.33203125" style="2" customWidth="1"/>
    <col min="1284" max="1284" width="9.5546875" style="2" bestFit="1" customWidth="1"/>
    <col min="1285" max="1285" width="12.109375" style="2" customWidth="1"/>
    <col min="1286" max="1286" width="11.33203125" style="2" customWidth="1"/>
    <col min="1287" max="1287" width="10.6640625" style="2" customWidth="1"/>
    <col min="1288" max="1288" width="9.44140625" style="2" customWidth="1"/>
    <col min="1289" max="1289" width="11.109375" style="2" customWidth="1"/>
    <col min="1290" max="1292" width="9.44140625" style="2" customWidth="1"/>
    <col min="1293" max="1293" width="18.6640625" style="2" customWidth="1"/>
    <col min="1294" max="1364" width="9.44140625" style="2" customWidth="1"/>
    <col min="1365" max="1536" width="8.88671875" style="2"/>
    <col min="1537" max="1537" width="27.44140625" style="2" customWidth="1"/>
    <col min="1538" max="1538" width="9.44140625" style="2" bestFit="1" customWidth="1"/>
    <col min="1539" max="1539" width="11.33203125" style="2" customWidth="1"/>
    <col min="1540" max="1540" width="9.5546875" style="2" bestFit="1" customWidth="1"/>
    <col min="1541" max="1541" width="12.109375" style="2" customWidth="1"/>
    <col min="1542" max="1542" width="11.33203125" style="2" customWidth="1"/>
    <col min="1543" max="1543" width="10.6640625" style="2" customWidth="1"/>
    <col min="1544" max="1544" width="9.44140625" style="2" customWidth="1"/>
    <col min="1545" max="1545" width="11.109375" style="2" customWidth="1"/>
    <col min="1546" max="1548" width="9.44140625" style="2" customWidth="1"/>
    <col min="1549" max="1549" width="18.6640625" style="2" customWidth="1"/>
    <col min="1550" max="1620" width="9.44140625" style="2" customWidth="1"/>
    <col min="1621" max="1792" width="8.88671875" style="2"/>
    <col min="1793" max="1793" width="27.44140625" style="2" customWidth="1"/>
    <col min="1794" max="1794" width="9.44140625" style="2" bestFit="1" customWidth="1"/>
    <col min="1795" max="1795" width="11.33203125" style="2" customWidth="1"/>
    <col min="1796" max="1796" width="9.5546875" style="2" bestFit="1" customWidth="1"/>
    <col min="1797" max="1797" width="12.109375" style="2" customWidth="1"/>
    <col min="1798" max="1798" width="11.33203125" style="2" customWidth="1"/>
    <col min="1799" max="1799" width="10.6640625" style="2" customWidth="1"/>
    <col min="1800" max="1800" width="9.44140625" style="2" customWidth="1"/>
    <col min="1801" max="1801" width="11.109375" style="2" customWidth="1"/>
    <col min="1802" max="1804" width="9.44140625" style="2" customWidth="1"/>
    <col min="1805" max="1805" width="18.6640625" style="2" customWidth="1"/>
    <col min="1806" max="1876" width="9.44140625" style="2" customWidth="1"/>
    <col min="1877" max="2048" width="8.88671875" style="2"/>
    <col min="2049" max="2049" width="27.44140625" style="2" customWidth="1"/>
    <col min="2050" max="2050" width="9.44140625" style="2" bestFit="1" customWidth="1"/>
    <col min="2051" max="2051" width="11.33203125" style="2" customWidth="1"/>
    <col min="2052" max="2052" width="9.5546875" style="2" bestFit="1" customWidth="1"/>
    <col min="2053" max="2053" width="12.109375" style="2" customWidth="1"/>
    <col min="2054" max="2054" width="11.33203125" style="2" customWidth="1"/>
    <col min="2055" max="2055" width="10.6640625" style="2" customWidth="1"/>
    <col min="2056" max="2056" width="9.44140625" style="2" customWidth="1"/>
    <col min="2057" max="2057" width="11.109375" style="2" customWidth="1"/>
    <col min="2058" max="2060" width="9.44140625" style="2" customWidth="1"/>
    <col min="2061" max="2061" width="18.6640625" style="2" customWidth="1"/>
    <col min="2062" max="2132" width="9.44140625" style="2" customWidth="1"/>
    <col min="2133" max="2304" width="8.88671875" style="2"/>
    <col min="2305" max="2305" width="27.44140625" style="2" customWidth="1"/>
    <col min="2306" max="2306" width="9.44140625" style="2" bestFit="1" customWidth="1"/>
    <col min="2307" max="2307" width="11.33203125" style="2" customWidth="1"/>
    <col min="2308" max="2308" width="9.5546875" style="2" bestFit="1" customWidth="1"/>
    <col min="2309" max="2309" width="12.109375" style="2" customWidth="1"/>
    <col min="2310" max="2310" width="11.33203125" style="2" customWidth="1"/>
    <col min="2311" max="2311" width="10.6640625" style="2" customWidth="1"/>
    <col min="2312" max="2312" width="9.44140625" style="2" customWidth="1"/>
    <col min="2313" max="2313" width="11.109375" style="2" customWidth="1"/>
    <col min="2314" max="2316" width="9.44140625" style="2" customWidth="1"/>
    <col min="2317" max="2317" width="18.6640625" style="2" customWidth="1"/>
    <col min="2318" max="2388" width="9.44140625" style="2" customWidth="1"/>
    <col min="2389" max="2560" width="8.88671875" style="2"/>
    <col min="2561" max="2561" width="27.44140625" style="2" customWidth="1"/>
    <col min="2562" max="2562" width="9.44140625" style="2" bestFit="1" customWidth="1"/>
    <col min="2563" max="2563" width="11.33203125" style="2" customWidth="1"/>
    <col min="2564" max="2564" width="9.5546875" style="2" bestFit="1" customWidth="1"/>
    <col min="2565" max="2565" width="12.109375" style="2" customWidth="1"/>
    <col min="2566" max="2566" width="11.33203125" style="2" customWidth="1"/>
    <col min="2567" max="2567" width="10.6640625" style="2" customWidth="1"/>
    <col min="2568" max="2568" width="9.44140625" style="2" customWidth="1"/>
    <col min="2569" max="2569" width="11.109375" style="2" customWidth="1"/>
    <col min="2570" max="2572" width="9.44140625" style="2" customWidth="1"/>
    <col min="2573" max="2573" width="18.6640625" style="2" customWidth="1"/>
    <col min="2574" max="2644" width="9.44140625" style="2" customWidth="1"/>
    <col min="2645" max="2816" width="8.88671875" style="2"/>
    <col min="2817" max="2817" width="27.44140625" style="2" customWidth="1"/>
    <col min="2818" max="2818" width="9.44140625" style="2" bestFit="1" customWidth="1"/>
    <col min="2819" max="2819" width="11.33203125" style="2" customWidth="1"/>
    <col min="2820" max="2820" width="9.5546875" style="2" bestFit="1" customWidth="1"/>
    <col min="2821" max="2821" width="12.109375" style="2" customWidth="1"/>
    <col min="2822" max="2822" width="11.33203125" style="2" customWidth="1"/>
    <col min="2823" max="2823" width="10.6640625" style="2" customWidth="1"/>
    <col min="2824" max="2824" width="9.44140625" style="2" customWidth="1"/>
    <col min="2825" max="2825" width="11.109375" style="2" customWidth="1"/>
    <col min="2826" max="2828" width="9.44140625" style="2" customWidth="1"/>
    <col min="2829" max="2829" width="18.6640625" style="2" customWidth="1"/>
    <col min="2830" max="2900" width="9.44140625" style="2" customWidth="1"/>
    <col min="2901" max="3072" width="8.88671875" style="2"/>
    <col min="3073" max="3073" width="27.44140625" style="2" customWidth="1"/>
    <col min="3074" max="3074" width="9.44140625" style="2" bestFit="1" customWidth="1"/>
    <col min="3075" max="3075" width="11.33203125" style="2" customWidth="1"/>
    <col min="3076" max="3076" width="9.5546875" style="2" bestFit="1" customWidth="1"/>
    <col min="3077" max="3077" width="12.109375" style="2" customWidth="1"/>
    <col min="3078" max="3078" width="11.33203125" style="2" customWidth="1"/>
    <col min="3079" max="3079" width="10.6640625" style="2" customWidth="1"/>
    <col min="3080" max="3080" width="9.44140625" style="2" customWidth="1"/>
    <col min="3081" max="3081" width="11.109375" style="2" customWidth="1"/>
    <col min="3082" max="3084" width="9.44140625" style="2" customWidth="1"/>
    <col min="3085" max="3085" width="18.6640625" style="2" customWidth="1"/>
    <col min="3086" max="3156" width="9.44140625" style="2" customWidth="1"/>
    <col min="3157" max="3328" width="8.88671875" style="2"/>
    <col min="3329" max="3329" width="27.44140625" style="2" customWidth="1"/>
    <col min="3330" max="3330" width="9.44140625" style="2" bestFit="1" customWidth="1"/>
    <col min="3331" max="3331" width="11.33203125" style="2" customWidth="1"/>
    <col min="3332" max="3332" width="9.5546875" style="2" bestFit="1" customWidth="1"/>
    <col min="3333" max="3333" width="12.109375" style="2" customWidth="1"/>
    <col min="3334" max="3334" width="11.33203125" style="2" customWidth="1"/>
    <col min="3335" max="3335" width="10.6640625" style="2" customWidth="1"/>
    <col min="3336" max="3336" width="9.44140625" style="2" customWidth="1"/>
    <col min="3337" max="3337" width="11.109375" style="2" customWidth="1"/>
    <col min="3338" max="3340" width="9.44140625" style="2" customWidth="1"/>
    <col min="3341" max="3341" width="18.6640625" style="2" customWidth="1"/>
    <col min="3342" max="3412" width="9.44140625" style="2" customWidth="1"/>
    <col min="3413" max="3584" width="8.88671875" style="2"/>
    <col min="3585" max="3585" width="27.44140625" style="2" customWidth="1"/>
    <col min="3586" max="3586" width="9.44140625" style="2" bestFit="1" customWidth="1"/>
    <col min="3587" max="3587" width="11.33203125" style="2" customWidth="1"/>
    <col min="3588" max="3588" width="9.5546875" style="2" bestFit="1" customWidth="1"/>
    <col min="3589" max="3589" width="12.109375" style="2" customWidth="1"/>
    <col min="3590" max="3590" width="11.33203125" style="2" customWidth="1"/>
    <col min="3591" max="3591" width="10.6640625" style="2" customWidth="1"/>
    <col min="3592" max="3592" width="9.44140625" style="2" customWidth="1"/>
    <col min="3593" max="3593" width="11.109375" style="2" customWidth="1"/>
    <col min="3594" max="3596" width="9.44140625" style="2" customWidth="1"/>
    <col min="3597" max="3597" width="18.6640625" style="2" customWidth="1"/>
    <col min="3598" max="3668" width="9.44140625" style="2" customWidth="1"/>
    <col min="3669" max="3840" width="8.88671875" style="2"/>
    <col min="3841" max="3841" width="27.44140625" style="2" customWidth="1"/>
    <col min="3842" max="3842" width="9.44140625" style="2" bestFit="1" customWidth="1"/>
    <col min="3843" max="3843" width="11.33203125" style="2" customWidth="1"/>
    <col min="3844" max="3844" width="9.5546875" style="2" bestFit="1" customWidth="1"/>
    <col min="3845" max="3845" width="12.109375" style="2" customWidth="1"/>
    <col min="3846" max="3846" width="11.33203125" style="2" customWidth="1"/>
    <col min="3847" max="3847" width="10.6640625" style="2" customWidth="1"/>
    <col min="3848" max="3848" width="9.44140625" style="2" customWidth="1"/>
    <col min="3849" max="3849" width="11.109375" style="2" customWidth="1"/>
    <col min="3850" max="3852" width="9.44140625" style="2" customWidth="1"/>
    <col min="3853" max="3853" width="18.6640625" style="2" customWidth="1"/>
    <col min="3854" max="3924" width="9.44140625" style="2" customWidth="1"/>
    <col min="3925" max="4096" width="8.88671875" style="2"/>
    <col min="4097" max="4097" width="27.44140625" style="2" customWidth="1"/>
    <col min="4098" max="4098" width="9.44140625" style="2" bestFit="1" customWidth="1"/>
    <col min="4099" max="4099" width="11.33203125" style="2" customWidth="1"/>
    <col min="4100" max="4100" width="9.5546875" style="2" bestFit="1" customWidth="1"/>
    <col min="4101" max="4101" width="12.109375" style="2" customWidth="1"/>
    <col min="4102" max="4102" width="11.33203125" style="2" customWidth="1"/>
    <col min="4103" max="4103" width="10.6640625" style="2" customWidth="1"/>
    <col min="4104" max="4104" width="9.44140625" style="2" customWidth="1"/>
    <col min="4105" max="4105" width="11.109375" style="2" customWidth="1"/>
    <col min="4106" max="4108" width="9.44140625" style="2" customWidth="1"/>
    <col min="4109" max="4109" width="18.6640625" style="2" customWidth="1"/>
    <col min="4110" max="4180" width="9.44140625" style="2" customWidth="1"/>
    <col min="4181" max="4352" width="8.88671875" style="2"/>
    <col min="4353" max="4353" width="27.44140625" style="2" customWidth="1"/>
    <col min="4354" max="4354" width="9.44140625" style="2" bestFit="1" customWidth="1"/>
    <col min="4355" max="4355" width="11.33203125" style="2" customWidth="1"/>
    <col min="4356" max="4356" width="9.5546875" style="2" bestFit="1" customWidth="1"/>
    <col min="4357" max="4357" width="12.109375" style="2" customWidth="1"/>
    <col min="4358" max="4358" width="11.33203125" style="2" customWidth="1"/>
    <col min="4359" max="4359" width="10.6640625" style="2" customWidth="1"/>
    <col min="4360" max="4360" width="9.44140625" style="2" customWidth="1"/>
    <col min="4361" max="4361" width="11.109375" style="2" customWidth="1"/>
    <col min="4362" max="4364" width="9.44140625" style="2" customWidth="1"/>
    <col min="4365" max="4365" width="18.6640625" style="2" customWidth="1"/>
    <col min="4366" max="4436" width="9.44140625" style="2" customWidth="1"/>
    <col min="4437" max="4608" width="8.88671875" style="2"/>
    <col min="4609" max="4609" width="27.44140625" style="2" customWidth="1"/>
    <col min="4610" max="4610" width="9.44140625" style="2" bestFit="1" customWidth="1"/>
    <col min="4611" max="4611" width="11.33203125" style="2" customWidth="1"/>
    <col min="4612" max="4612" width="9.5546875" style="2" bestFit="1" customWidth="1"/>
    <col min="4613" max="4613" width="12.109375" style="2" customWidth="1"/>
    <col min="4614" max="4614" width="11.33203125" style="2" customWidth="1"/>
    <col min="4615" max="4615" width="10.6640625" style="2" customWidth="1"/>
    <col min="4616" max="4616" width="9.44140625" style="2" customWidth="1"/>
    <col min="4617" max="4617" width="11.109375" style="2" customWidth="1"/>
    <col min="4618" max="4620" width="9.44140625" style="2" customWidth="1"/>
    <col min="4621" max="4621" width="18.6640625" style="2" customWidth="1"/>
    <col min="4622" max="4692" width="9.44140625" style="2" customWidth="1"/>
    <col min="4693" max="4864" width="8.88671875" style="2"/>
    <col min="4865" max="4865" width="27.44140625" style="2" customWidth="1"/>
    <col min="4866" max="4866" width="9.44140625" style="2" bestFit="1" customWidth="1"/>
    <col min="4867" max="4867" width="11.33203125" style="2" customWidth="1"/>
    <col min="4868" max="4868" width="9.5546875" style="2" bestFit="1" customWidth="1"/>
    <col min="4869" max="4869" width="12.109375" style="2" customWidth="1"/>
    <col min="4870" max="4870" width="11.33203125" style="2" customWidth="1"/>
    <col min="4871" max="4871" width="10.6640625" style="2" customWidth="1"/>
    <col min="4872" max="4872" width="9.44140625" style="2" customWidth="1"/>
    <col min="4873" max="4873" width="11.109375" style="2" customWidth="1"/>
    <col min="4874" max="4876" width="9.44140625" style="2" customWidth="1"/>
    <col min="4877" max="4877" width="18.6640625" style="2" customWidth="1"/>
    <col min="4878" max="4948" width="9.44140625" style="2" customWidth="1"/>
    <col min="4949" max="5120" width="8.88671875" style="2"/>
    <col min="5121" max="5121" width="27.44140625" style="2" customWidth="1"/>
    <col min="5122" max="5122" width="9.44140625" style="2" bestFit="1" customWidth="1"/>
    <col min="5123" max="5123" width="11.33203125" style="2" customWidth="1"/>
    <col min="5124" max="5124" width="9.5546875" style="2" bestFit="1" customWidth="1"/>
    <col min="5125" max="5125" width="12.109375" style="2" customWidth="1"/>
    <col min="5126" max="5126" width="11.33203125" style="2" customWidth="1"/>
    <col min="5127" max="5127" width="10.6640625" style="2" customWidth="1"/>
    <col min="5128" max="5128" width="9.44140625" style="2" customWidth="1"/>
    <col min="5129" max="5129" width="11.109375" style="2" customWidth="1"/>
    <col min="5130" max="5132" width="9.44140625" style="2" customWidth="1"/>
    <col min="5133" max="5133" width="18.6640625" style="2" customWidth="1"/>
    <col min="5134" max="5204" width="9.44140625" style="2" customWidth="1"/>
    <col min="5205" max="5376" width="8.88671875" style="2"/>
    <col min="5377" max="5377" width="27.44140625" style="2" customWidth="1"/>
    <col min="5378" max="5378" width="9.44140625" style="2" bestFit="1" customWidth="1"/>
    <col min="5379" max="5379" width="11.33203125" style="2" customWidth="1"/>
    <col min="5380" max="5380" width="9.5546875" style="2" bestFit="1" customWidth="1"/>
    <col min="5381" max="5381" width="12.109375" style="2" customWidth="1"/>
    <col min="5382" max="5382" width="11.33203125" style="2" customWidth="1"/>
    <col min="5383" max="5383" width="10.6640625" style="2" customWidth="1"/>
    <col min="5384" max="5384" width="9.44140625" style="2" customWidth="1"/>
    <col min="5385" max="5385" width="11.109375" style="2" customWidth="1"/>
    <col min="5386" max="5388" width="9.44140625" style="2" customWidth="1"/>
    <col min="5389" max="5389" width="18.6640625" style="2" customWidth="1"/>
    <col min="5390" max="5460" width="9.44140625" style="2" customWidth="1"/>
    <col min="5461" max="5632" width="8.88671875" style="2"/>
    <col min="5633" max="5633" width="27.44140625" style="2" customWidth="1"/>
    <col min="5634" max="5634" width="9.44140625" style="2" bestFit="1" customWidth="1"/>
    <col min="5635" max="5635" width="11.33203125" style="2" customWidth="1"/>
    <col min="5636" max="5636" width="9.5546875" style="2" bestFit="1" customWidth="1"/>
    <col min="5637" max="5637" width="12.109375" style="2" customWidth="1"/>
    <col min="5638" max="5638" width="11.33203125" style="2" customWidth="1"/>
    <col min="5639" max="5639" width="10.6640625" style="2" customWidth="1"/>
    <col min="5640" max="5640" width="9.44140625" style="2" customWidth="1"/>
    <col min="5641" max="5641" width="11.109375" style="2" customWidth="1"/>
    <col min="5642" max="5644" width="9.44140625" style="2" customWidth="1"/>
    <col min="5645" max="5645" width="18.6640625" style="2" customWidth="1"/>
    <col min="5646" max="5716" width="9.44140625" style="2" customWidth="1"/>
    <col min="5717" max="5888" width="8.88671875" style="2"/>
    <col min="5889" max="5889" width="27.44140625" style="2" customWidth="1"/>
    <col min="5890" max="5890" width="9.44140625" style="2" bestFit="1" customWidth="1"/>
    <col min="5891" max="5891" width="11.33203125" style="2" customWidth="1"/>
    <col min="5892" max="5892" width="9.5546875" style="2" bestFit="1" customWidth="1"/>
    <col min="5893" max="5893" width="12.109375" style="2" customWidth="1"/>
    <col min="5894" max="5894" width="11.33203125" style="2" customWidth="1"/>
    <col min="5895" max="5895" width="10.6640625" style="2" customWidth="1"/>
    <col min="5896" max="5896" width="9.44140625" style="2" customWidth="1"/>
    <col min="5897" max="5897" width="11.109375" style="2" customWidth="1"/>
    <col min="5898" max="5900" width="9.44140625" style="2" customWidth="1"/>
    <col min="5901" max="5901" width="18.6640625" style="2" customWidth="1"/>
    <col min="5902" max="5972" width="9.44140625" style="2" customWidth="1"/>
    <col min="5973" max="6144" width="8.88671875" style="2"/>
    <col min="6145" max="6145" width="27.44140625" style="2" customWidth="1"/>
    <col min="6146" max="6146" width="9.44140625" style="2" bestFit="1" customWidth="1"/>
    <col min="6147" max="6147" width="11.33203125" style="2" customWidth="1"/>
    <col min="6148" max="6148" width="9.5546875" style="2" bestFit="1" customWidth="1"/>
    <col min="6149" max="6149" width="12.109375" style="2" customWidth="1"/>
    <col min="6150" max="6150" width="11.33203125" style="2" customWidth="1"/>
    <col min="6151" max="6151" width="10.6640625" style="2" customWidth="1"/>
    <col min="6152" max="6152" width="9.44140625" style="2" customWidth="1"/>
    <col min="6153" max="6153" width="11.109375" style="2" customWidth="1"/>
    <col min="6154" max="6156" width="9.44140625" style="2" customWidth="1"/>
    <col min="6157" max="6157" width="18.6640625" style="2" customWidth="1"/>
    <col min="6158" max="6228" width="9.44140625" style="2" customWidth="1"/>
    <col min="6229" max="6400" width="8.88671875" style="2"/>
    <col min="6401" max="6401" width="27.44140625" style="2" customWidth="1"/>
    <col min="6402" max="6402" width="9.44140625" style="2" bestFit="1" customWidth="1"/>
    <col min="6403" max="6403" width="11.33203125" style="2" customWidth="1"/>
    <col min="6404" max="6404" width="9.5546875" style="2" bestFit="1" customWidth="1"/>
    <col min="6405" max="6405" width="12.109375" style="2" customWidth="1"/>
    <col min="6406" max="6406" width="11.33203125" style="2" customWidth="1"/>
    <col min="6407" max="6407" width="10.6640625" style="2" customWidth="1"/>
    <col min="6408" max="6408" width="9.44140625" style="2" customWidth="1"/>
    <col min="6409" max="6409" width="11.109375" style="2" customWidth="1"/>
    <col min="6410" max="6412" width="9.44140625" style="2" customWidth="1"/>
    <col min="6413" max="6413" width="18.6640625" style="2" customWidth="1"/>
    <col min="6414" max="6484" width="9.44140625" style="2" customWidth="1"/>
    <col min="6485" max="6656" width="8.88671875" style="2"/>
    <col min="6657" max="6657" width="27.44140625" style="2" customWidth="1"/>
    <col min="6658" max="6658" width="9.44140625" style="2" bestFit="1" customWidth="1"/>
    <col min="6659" max="6659" width="11.33203125" style="2" customWidth="1"/>
    <col min="6660" max="6660" width="9.5546875" style="2" bestFit="1" customWidth="1"/>
    <col min="6661" max="6661" width="12.109375" style="2" customWidth="1"/>
    <col min="6662" max="6662" width="11.33203125" style="2" customWidth="1"/>
    <col min="6663" max="6663" width="10.6640625" style="2" customWidth="1"/>
    <col min="6664" max="6664" width="9.44140625" style="2" customWidth="1"/>
    <col min="6665" max="6665" width="11.109375" style="2" customWidth="1"/>
    <col min="6666" max="6668" width="9.44140625" style="2" customWidth="1"/>
    <col min="6669" max="6669" width="18.6640625" style="2" customWidth="1"/>
    <col min="6670" max="6740" width="9.44140625" style="2" customWidth="1"/>
    <col min="6741" max="6912" width="8.88671875" style="2"/>
    <col min="6913" max="6913" width="27.44140625" style="2" customWidth="1"/>
    <col min="6914" max="6914" width="9.44140625" style="2" bestFit="1" customWidth="1"/>
    <col min="6915" max="6915" width="11.33203125" style="2" customWidth="1"/>
    <col min="6916" max="6916" width="9.5546875" style="2" bestFit="1" customWidth="1"/>
    <col min="6917" max="6917" width="12.109375" style="2" customWidth="1"/>
    <col min="6918" max="6918" width="11.33203125" style="2" customWidth="1"/>
    <col min="6919" max="6919" width="10.6640625" style="2" customWidth="1"/>
    <col min="6920" max="6920" width="9.44140625" style="2" customWidth="1"/>
    <col min="6921" max="6921" width="11.109375" style="2" customWidth="1"/>
    <col min="6922" max="6924" width="9.44140625" style="2" customWidth="1"/>
    <col min="6925" max="6925" width="18.6640625" style="2" customWidth="1"/>
    <col min="6926" max="6996" width="9.44140625" style="2" customWidth="1"/>
    <col min="6997" max="7168" width="8.88671875" style="2"/>
    <col min="7169" max="7169" width="27.44140625" style="2" customWidth="1"/>
    <col min="7170" max="7170" width="9.44140625" style="2" bestFit="1" customWidth="1"/>
    <col min="7171" max="7171" width="11.33203125" style="2" customWidth="1"/>
    <col min="7172" max="7172" width="9.5546875" style="2" bestFit="1" customWidth="1"/>
    <col min="7173" max="7173" width="12.109375" style="2" customWidth="1"/>
    <col min="7174" max="7174" width="11.33203125" style="2" customWidth="1"/>
    <col min="7175" max="7175" width="10.6640625" style="2" customWidth="1"/>
    <col min="7176" max="7176" width="9.44140625" style="2" customWidth="1"/>
    <col min="7177" max="7177" width="11.109375" style="2" customWidth="1"/>
    <col min="7178" max="7180" width="9.44140625" style="2" customWidth="1"/>
    <col min="7181" max="7181" width="18.6640625" style="2" customWidth="1"/>
    <col min="7182" max="7252" width="9.44140625" style="2" customWidth="1"/>
    <col min="7253" max="7424" width="8.88671875" style="2"/>
    <col min="7425" max="7425" width="27.44140625" style="2" customWidth="1"/>
    <col min="7426" max="7426" width="9.44140625" style="2" bestFit="1" customWidth="1"/>
    <col min="7427" max="7427" width="11.33203125" style="2" customWidth="1"/>
    <col min="7428" max="7428" width="9.5546875" style="2" bestFit="1" customWidth="1"/>
    <col min="7429" max="7429" width="12.109375" style="2" customWidth="1"/>
    <col min="7430" max="7430" width="11.33203125" style="2" customWidth="1"/>
    <col min="7431" max="7431" width="10.6640625" style="2" customWidth="1"/>
    <col min="7432" max="7432" width="9.44140625" style="2" customWidth="1"/>
    <col min="7433" max="7433" width="11.109375" style="2" customWidth="1"/>
    <col min="7434" max="7436" width="9.44140625" style="2" customWidth="1"/>
    <col min="7437" max="7437" width="18.6640625" style="2" customWidth="1"/>
    <col min="7438" max="7508" width="9.44140625" style="2" customWidth="1"/>
    <col min="7509" max="7680" width="8.88671875" style="2"/>
    <col min="7681" max="7681" width="27.44140625" style="2" customWidth="1"/>
    <col min="7682" max="7682" width="9.44140625" style="2" bestFit="1" customWidth="1"/>
    <col min="7683" max="7683" width="11.33203125" style="2" customWidth="1"/>
    <col min="7684" max="7684" width="9.5546875" style="2" bestFit="1" customWidth="1"/>
    <col min="7685" max="7685" width="12.109375" style="2" customWidth="1"/>
    <col min="7686" max="7686" width="11.33203125" style="2" customWidth="1"/>
    <col min="7687" max="7687" width="10.6640625" style="2" customWidth="1"/>
    <col min="7688" max="7688" width="9.44140625" style="2" customWidth="1"/>
    <col min="7689" max="7689" width="11.109375" style="2" customWidth="1"/>
    <col min="7690" max="7692" width="9.44140625" style="2" customWidth="1"/>
    <col min="7693" max="7693" width="18.6640625" style="2" customWidth="1"/>
    <col min="7694" max="7764" width="9.44140625" style="2" customWidth="1"/>
    <col min="7765" max="7936" width="8.88671875" style="2"/>
    <col min="7937" max="7937" width="27.44140625" style="2" customWidth="1"/>
    <col min="7938" max="7938" width="9.44140625" style="2" bestFit="1" customWidth="1"/>
    <col min="7939" max="7939" width="11.33203125" style="2" customWidth="1"/>
    <col min="7940" max="7940" width="9.5546875" style="2" bestFit="1" customWidth="1"/>
    <col min="7941" max="7941" width="12.109375" style="2" customWidth="1"/>
    <col min="7942" max="7942" width="11.33203125" style="2" customWidth="1"/>
    <col min="7943" max="7943" width="10.6640625" style="2" customWidth="1"/>
    <col min="7944" max="7944" width="9.44140625" style="2" customWidth="1"/>
    <col min="7945" max="7945" width="11.109375" style="2" customWidth="1"/>
    <col min="7946" max="7948" width="9.44140625" style="2" customWidth="1"/>
    <col min="7949" max="7949" width="18.6640625" style="2" customWidth="1"/>
    <col min="7950" max="8020" width="9.44140625" style="2" customWidth="1"/>
    <col min="8021" max="8192" width="8.88671875" style="2"/>
    <col min="8193" max="8193" width="27.44140625" style="2" customWidth="1"/>
    <col min="8194" max="8194" width="9.44140625" style="2" bestFit="1" customWidth="1"/>
    <col min="8195" max="8195" width="11.33203125" style="2" customWidth="1"/>
    <col min="8196" max="8196" width="9.5546875" style="2" bestFit="1" customWidth="1"/>
    <col min="8197" max="8197" width="12.109375" style="2" customWidth="1"/>
    <col min="8198" max="8198" width="11.33203125" style="2" customWidth="1"/>
    <col min="8199" max="8199" width="10.6640625" style="2" customWidth="1"/>
    <col min="8200" max="8200" width="9.44140625" style="2" customWidth="1"/>
    <col min="8201" max="8201" width="11.109375" style="2" customWidth="1"/>
    <col min="8202" max="8204" width="9.44140625" style="2" customWidth="1"/>
    <col min="8205" max="8205" width="18.6640625" style="2" customWidth="1"/>
    <col min="8206" max="8276" width="9.44140625" style="2" customWidth="1"/>
    <col min="8277" max="8448" width="8.88671875" style="2"/>
    <col min="8449" max="8449" width="27.44140625" style="2" customWidth="1"/>
    <col min="8450" max="8450" width="9.44140625" style="2" bestFit="1" customWidth="1"/>
    <col min="8451" max="8451" width="11.33203125" style="2" customWidth="1"/>
    <col min="8452" max="8452" width="9.5546875" style="2" bestFit="1" customWidth="1"/>
    <col min="8453" max="8453" width="12.109375" style="2" customWidth="1"/>
    <col min="8454" max="8454" width="11.33203125" style="2" customWidth="1"/>
    <col min="8455" max="8455" width="10.6640625" style="2" customWidth="1"/>
    <col min="8456" max="8456" width="9.44140625" style="2" customWidth="1"/>
    <col min="8457" max="8457" width="11.109375" style="2" customWidth="1"/>
    <col min="8458" max="8460" width="9.44140625" style="2" customWidth="1"/>
    <col min="8461" max="8461" width="18.6640625" style="2" customWidth="1"/>
    <col min="8462" max="8532" width="9.44140625" style="2" customWidth="1"/>
    <col min="8533" max="8704" width="8.88671875" style="2"/>
    <col min="8705" max="8705" width="27.44140625" style="2" customWidth="1"/>
    <col min="8706" max="8706" width="9.44140625" style="2" bestFit="1" customWidth="1"/>
    <col min="8707" max="8707" width="11.33203125" style="2" customWidth="1"/>
    <col min="8708" max="8708" width="9.5546875" style="2" bestFit="1" customWidth="1"/>
    <col min="8709" max="8709" width="12.109375" style="2" customWidth="1"/>
    <col min="8710" max="8710" width="11.33203125" style="2" customWidth="1"/>
    <col min="8711" max="8711" width="10.6640625" style="2" customWidth="1"/>
    <col min="8712" max="8712" width="9.44140625" style="2" customWidth="1"/>
    <col min="8713" max="8713" width="11.109375" style="2" customWidth="1"/>
    <col min="8714" max="8716" width="9.44140625" style="2" customWidth="1"/>
    <col min="8717" max="8717" width="18.6640625" style="2" customWidth="1"/>
    <col min="8718" max="8788" width="9.44140625" style="2" customWidth="1"/>
    <col min="8789" max="8960" width="8.88671875" style="2"/>
    <col min="8961" max="8961" width="27.44140625" style="2" customWidth="1"/>
    <col min="8962" max="8962" width="9.44140625" style="2" bestFit="1" customWidth="1"/>
    <col min="8963" max="8963" width="11.33203125" style="2" customWidth="1"/>
    <col min="8964" max="8964" width="9.5546875" style="2" bestFit="1" customWidth="1"/>
    <col min="8965" max="8965" width="12.109375" style="2" customWidth="1"/>
    <col min="8966" max="8966" width="11.33203125" style="2" customWidth="1"/>
    <col min="8967" max="8967" width="10.6640625" style="2" customWidth="1"/>
    <col min="8968" max="8968" width="9.44140625" style="2" customWidth="1"/>
    <col min="8969" max="8969" width="11.109375" style="2" customWidth="1"/>
    <col min="8970" max="8972" width="9.44140625" style="2" customWidth="1"/>
    <col min="8973" max="8973" width="18.6640625" style="2" customWidth="1"/>
    <col min="8974" max="9044" width="9.44140625" style="2" customWidth="1"/>
    <col min="9045" max="9216" width="8.88671875" style="2"/>
    <col min="9217" max="9217" width="27.44140625" style="2" customWidth="1"/>
    <col min="9218" max="9218" width="9.44140625" style="2" bestFit="1" customWidth="1"/>
    <col min="9219" max="9219" width="11.33203125" style="2" customWidth="1"/>
    <col min="9220" max="9220" width="9.5546875" style="2" bestFit="1" customWidth="1"/>
    <col min="9221" max="9221" width="12.109375" style="2" customWidth="1"/>
    <col min="9222" max="9222" width="11.33203125" style="2" customWidth="1"/>
    <col min="9223" max="9223" width="10.6640625" style="2" customWidth="1"/>
    <col min="9224" max="9224" width="9.44140625" style="2" customWidth="1"/>
    <col min="9225" max="9225" width="11.109375" style="2" customWidth="1"/>
    <col min="9226" max="9228" width="9.44140625" style="2" customWidth="1"/>
    <col min="9229" max="9229" width="18.6640625" style="2" customWidth="1"/>
    <col min="9230" max="9300" width="9.44140625" style="2" customWidth="1"/>
    <col min="9301" max="9472" width="8.88671875" style="2"/>
    <col min="9473" max="9473" width="27.44140625" style="2" customWidth="1"/>
    <col min="9474" max="9474" width="9.44140625" style="2" bestFit="1" customWidth="1"/>
    <col min="9475" max="9475" width="11.33203125" style="2" customWidth="1"/>
    <col min="9476" max="9476" width="9.5546875" style="2" bestFit="1" customWidth="1"/>
    <col min="9477" max="9477" width="12.109375" style="2" customWidth="1"/>
    <col min="9478" max="9478" width="11.33203125" style="2" customWidth="1"/>
    <col min="9479" max="9479" width="10.6640625" style="2" customWidth="1"/>
    <col min="9480" max="9480" width="9.44140625" style="2" customWidth="1"/>
    <col min="9481" max="9481" width="11.109375" style="2" customWidth="1"/>
    <col min="9482" max="9484" width="9.44140625" style="2" customWidth="1"/>
    <col min="9485" max="9485" width="18.6640625" style="2" customWidth="1"/>
    <col min="9486" max="9556" width="9.44140625" style="2" customWidth="1"/>
    <col min="9557" max="9728" width="8.88671875" style="2"/>
    <col min="9729" max="9729" width="27.44140625" style="2" customWidth="1"/>
    <col min="9730" max="9730" width="9.44140625" style="2" bestFit="1" customWidth="1"/>
    <col min="9731" max="9731" width="11.33203125" style="2" customWidth="1"/>
    <col min="9732" max="9732" width="9.5546875" style="2" bestFit="1" customWidth="1"/>
    <col min="9733" max="9733" width="12.109375" style="2" customWidth="1"/>
    <col min="9734" max="9734" width="11.33203125" style="2" customWidth="1"/>
    <col min="9735" max="9735" width="10.6640625" style="2" customWidth="1"/>
    <col min="9736" max="9736" width="9.44140625" style="2" customWidth="1"/>
    <col min="9737" max="9737" width="11.109375" style="2" customWidth="1"/>
    <col min="9738" max="9740" width="9.44140625" style="2" customWidth="1"/>
    <col min="9741" max="9741" width="18.6640625" style="2" customWidth="1"/>
    <col min="9742" max="9812" width="9.44140625" style="2" customWidth="1"/>
    <col min="9813" max="9984" width="8.88671875" style="2"/>
    <col min="9985" max="9985" width="27.44140625" style="2" customWidth="1"/>
    <col min="9986" max="9986" width="9.44140625" style="2" bestFit="1" customWidth="1"/>
    <col min="9987" max="9987" width="11.33203125" style="2" customWidth="1"/>
    <col min="9988" max="9988" width="9.5546875" style="2" bestFit="1" customWidth="1"/>
    <col min="9989" max="9989" width="12.109375" style="2" customWidth="1"/>
    <col min="9990" max="9990" width="11.33203125" style="2" customWidth="1"/>
    <col min="9991" max="9991" width="10.6640625" style="2" customWidth="1"/>
    <col min="9992" max="9992" width="9.44140625" style="2" customWidth="1"/>
    <col min="9993" max="9993" width="11.109375" style="2" customWidth="1"/>
    <col min="9994" max="9996" width="9.44140625" style="2" customWidth="1"/>
    <col min="9997" max="9997" width="18.6640625" style="2" customWidth="1"/>
    <col min="9998" max="10068" width="9.44140625" style="2" customWidth="1"/>
    <col min="10069" max="10240" width="8.88671875" style="2"/>
    <col min="10241" max="10241" width="27.44140625" style="2" customWidth="1"/>
    <col min="10242" max="10242" width="9.44140625" style="2" bestFit="1" customWidth="1"/>
    <col min="10243" max="10243" width="11.33203125" style="2" customWidth="1"/>
    <col min="10244" max="10244" width="9.5546875" style="2" bestFit="1" customWidth="1"/>
    <col min="10245" max="10245" width="12.109375" style="2" customWidth="1"/>
    <col min="10246" max="10246" width="11.33203125" style="2" customWidth="1"/>
    <col min="10247" max="10247" width="10.6640625" style="2" customWidth="1"/>
    <col min="10248" max="10248" width="9.44140625" style="2" customWidth="1"/>
    <col min="10249" max="10249" width="11.109375" style="2" customWidth="1"/>
    <col min="10250" max="10252" width="9.44140625" style="2" customWidth="1"/>
    <col min="10253" max="10253" width="18.6640625" style="2" customWidth="1"/>
    <col min="10254" max="10324" width="9.44140625" style="2" customWidth="1"/>
    <col min="10325" max="10496" width="8.88671875" style="2"/>
    <col min="10497" max="10497" width="27.44140625" style="2" customWidth="1"/>
    <col min="10498" max="10498" width="9.44140625" style="2" bestFit="1" customWidth="1"/>
    <col min="10499" max="10499" width="11.33203125" style="2" customWidth="1"/>
    <col min="10500" max="10500" width="9.5546875" style="2" bestFit="1" customWidth="1"/>
    <col min="10501" max="10501" width="12.109375" style="2" customWidth="1"/>
    <col min="10502" max="10502" width="11.33203125" style="2" customWidth="1"/>
    <col min="10503" max="10503" width="10.6640625" style="2" customWidth="1"/>
    <col min="10504" max="10504" width="9.44140625" style="2" customWidth="1"/>
    <col min="10505" max="10505" width="11.109375" style="2" customWidth="1"/>
    <col min="10506" max="10508" width="9.44140625" style="2" customWidth="1"/>
    <col min="10509" max="10509" width="18.6640625" style="2" customWidth="1"/>
    <col min="10510" max="10580" width="9.44140625" style="2" customWidth="1"/>
    <col min="10581" max="10752" width="8.88671875" style="2"/>
    <col min="10753" max="10753" width="27.44140625" style="2" customWidth="1"/>
    <col min="10754" max="10754" width="9.44140625" style="2" bestFit="1" customWidth="1"/>
    <col min="10755" max="10755" width="11.33203125" style="2" customWidth="1"/>
    <col min="10756" max="10756" width="9.5546875" style="2" bestFit="1" customWidth="1"/>
    <col min="10757" max="10757" width="12.109375" style="2" customWidth="1"/>
    <col min="10758" max="10758" width="11.33203125" style="2" customWidth="1"/>
    <col min="10759" max="10759" width="10.6640625" style="2" customWidth="1"/>
    <col min="10760" max="10760" width="9.44140625" style="2" customWidth="1"/>
    <col min="10761" max="10761" width="11.109375" style="2" customWidth="1"/>
    <col min="10762" max="10764" width="9.44140625" style="2" customWidth="1"/>
    <col min="10765" max="10765" width="18.6640625" style="2" customWidth="1"/>
    <col min="10766" max="10836" width="9.44140625" style="2" customWidth="1"/>
    <col min="10837" max="11008" width="8.88671875" style="2"/>
    <col min="11009" max="11009" width="27.44140625" style="2" customWidth="1"/>
    <col min="11010" max="11010" width="9.44140625" style="2" bestFit="1" customWidth="1"/>
    <col min="11011" max="11011" width="11.33203125" style="2" customWidth="1"/>
    <col min="11012" max="11012" width="9.5546875" style="2" bestFit="1" customWidth="1"/>
    <col min="11013" max="11013" width="12.109375" style="2" customWidth="1"/>
    <col min="11014" max="11014" width="11.33203125" style="2" customWidth="1"/>
    <col min="11015" max="11015" width="10.6640625" style="2" customWidth="1"/>
    <col min="11016" max="11016" width="9.44140625" style="2" customWidth="1"/>
    <col min="11017" max="11017" width="11.109375" style="2" customWidth="1"/>
    <col min="11018" max="11020" width="9.44140625" style="2" customWidth="1"/>
    <col min="11021" max="11021" width="18.6640625" style="2" customWidth="1"/>
    <col min="11022" max="11092" width="9.44140625" style="2" customWidth="1"/>
    <col min="11093" max="11264" width="8.88671875" style="2"/>
    <col min="11265" max="11265" width="27.44140625" style="2" customWidth="1"/>
    <col min="11266" max="11266" width="9.44140625" style="2" bestFit="1" customWidth="1"/>
    <col min="11267" max="11267" width="11.33203125" style="2" customWidth="1"/>
    <col min="11268" max="11268" width="9.5546875" style="2" bestFit="1" customWidth="1"/>
    <col min="11269" max="11269" width="12.109375" style="2" customWidth="1"/>
    <col min="11270" max="11270" width="11.33203125" style="2" customWidth="1"/>
    <col min="11271" max="11271" width="10.6640625" style="2" customWidth="1"/>
    <col min="11272" max="11272" width="9.44140625" style="2" customWidth="1"/>
    <col min="11273" max="11273" width="11.109375" style="2" customWidth="1"/>
    <col min="11274" max="11276" width="9.44140625" style="2" customWidth="1"/>
    <col min="11277" max="11277" width="18.6640625" style="2" customWidth="1"/>
    <col min="11278" max="11348" width="9.44140625" style="2" customWidth="1"/>
    <col min="11349" max="11520" width="8.88671875" style="2"/>
    <col min="11521" max="11521" width="27.44140625" style="2" customWidth="1"/>
    <col min="11522" max="11522" width="9.44140625" style="2" bestFit="1" customWidth="1"/>
    <col min="11523" max="11523" width="11.33203125" style="2" customWidth="1"/>
    <col min="11524" max="11524" width="9.5546875" style="2" bestFit="1" customWidth="1"/>
    <col min="11525" max="11525" width="12.109375" style="2" customWidth="1"/>
    <col min="11526" max="11526" width="11.33203125" style="2" customWidth="1"/>
    <col min="11527" max="11527" width="10.6640625" style="2" customWidth="1"/>
    <col min="11528" max="11528" width="9.44140625" style="2" customWidth="1"/>
    <col min="11529" max="11529" width="11.109375" style="2" customWidth="1"/>
    <col min="11530" max="11532" width="9.44140625" style="2" customWidth="1"/>
    <col min="11533" max="11533" width="18.6640625" style="2" customWidth="1"/>
    <col min="11534" max="11604" width="9.44140625" style="2" customWidth="1"/>
    <col min="11605" max="11776" width="8.88671875" style="2"/>
    <col min="11777" max="11777" width="27.44140625" style="2" customWidth="1"/>
    <col min="11778" max="11778" width="9.44140625" style="2" bestFit="1" customWidth="1"/>
    <col min="11779" max="11779" width="11.33203125" style="2" customWidth="1"/>
    <col min="11780" max="11780" width="9.5546875" style="2" bestFit="1" customWidth="1"/>
    <col min="11781" max="11781" width="12.109375" style="2" customWidth="1"/>
    <col min="11782" max="11782" width="11.33203125" style="2" customWidth="1"/>
    <col min="11783" max="11783" width="10.6640625" style="2" customWidth="1"/>
    <col min="11784" max="11784" width="9.44140625" style="2" customWidth="1"/>
    <col min="11785" max="11785" width="11.109375" style="2" customWidth="1"/>
    <col min="11786" max="11788" width="9.44140625" style="2" customWidth="1"/>
    <col min="11789" max="11789" width="18.6640625" style="2" customWidth="1"/>
    <col min="11790" max="11860" width="9.44140625" style="2" customWidth="1"/>
    <col min="11861" max="12032" width="8.88671875" style="2"/>
    <col min="12033" max="12033" width="27.44140625" style="2" customWidth="1"/>
    <col min="12034" max="12034" width="9.44140625" style="2" bestFit="1" customWidth="1"/>
    <col min="12035" max="12035" width="11.33203125" style="2" customWidth="1"/>
    <col min="12036" max="12036" width="9.5546875" style="2" bestFit="1" customWidth="1"/>
    <col min="12037" max="12037" width="12.109375" style="2" customWidth="1"/>
    <col min="12038" max="12038" width="11.33203125" style="2" customWidth="1"/>
    <col min="12039" max="12039" width="10.6640625" style="2" customWidth="1"/>
    <col min="12040" max="12040" width="9.44140625" style="2" customWidth="1"/>
    <col min="12041" max="12041" width="11.109375" style="2" customWidth="1"/>
    <col min="12042" max="12044" width="9.44140625" style="2" customWidth="1"/>
    <col min="12045" max="12045" width="18.6640625" style="2" customWidth="1"/>
    <col min="12046" max="12116" width="9.44140625" style="2" customWidth="1"/>
    <col min="12117" max="12288" width="8.88671875" style="2"/>
    <col min="12289" max="12289" width="27.44140625" style="2" customWidth="1"/>
    <col min="12290" max="12290" width="9.44140625" style="2" bestFit="1" customWidth="1"/>
    <col min="12291" max="12291" width="11.33203125" style="2" customWidth="1"/>
    <col min="12292" max="12292" width="9.5546875" style="2" bestFit="1" customWidth="1"/>
    <col min="12293" max="12293" width="12.109375" style="2" customWidth="1"/>
    <col min="12294" max="12294" width="11.33203125" style="2" customWidth="1"/>
    <col min="12295" max="12295" width="10.6640625" style="2" customWidth="1"/>
    <col min="12296" max="12296" width="9.44140625" style="2" customWidth="1"/>
    <col min="12297" max="12297" width="11.109375" style="2" customWidth="1"/>
    <col min="12298" max="12300" width="9.44140625" style="2" customWidth="1"/>
    <col min="12301" max="12301" width="18.6640625" style="2" customWidth="1"/>
    <col min="12302" max="12372" width="9.44140625" style="2" customWidth="1"/>
    <col min="12373" max="12544" width="8.88671875" style="2"/>
    <col min="12545" max="12545" width="27.44140625" style="2" customWidth="1"/>
    <col min="12546" max="12546" width="9.44140625" style="2" bestFit="1" customWidth="1"/>
    <col min="12547" max="12547" width="11.33203125" style="2" customWidth="1"/>
    <col min="12548" max="12548" width="9.5546875" style="2" bestFit="1" customWidth="1"/>
    <col min="12549" max="12549" width="12.109375" style="2" customWidth="1"/>
    <col min="12550" max="12550" width="11.33203125" style="2" customWidth="1"/>
    <col min="12551" max="12551" width="10.6640625" style="2" customWidth="1"/>
    <col min="12552" max="12552" width="9.44140625" style="2" customWidth="1"/>
    <col min="12553" max="12553" width="11.109375" style="2" customWidth="1"/>
    <col min="12554" max="12556" width="9.44140625" style="2" customWidth="1"/>
    <col min="12557" max="12557" width="18.6640625" style="2" customWidth="1"/>
    <col min="12558" max="12628" width="9.44140625" style="2" customWidth="1"/>
    <col min="12629" max="12800" width="8.88671875" style="2"/>
    <col min="12801" max="12801" width="27.44140625" style="2" customWidth="1"/>
    <col min="12802" max="12802" width="9.44140625" style="2" bestFit="1" customWidth="1"/>
    <col min="12803" max="12803" width="11.33203125" style="2" customWidth="1"/>
    <col min="12804" max="12804" width="9.5546875" style="2" bestFit="1" customWidth="1"/>
    <col min="12805" max="12805" width="12.109375" style="2" customWidth="1"/>
    <col min="12806" max="12806" width="11.33203125" style="2" customWidth="1"/>
    <col min="12807" max="12807" width="10.6640625" style="2" customWidth="1"/>
    <col min="12808" max="12808" width="9.44140625" style="2" customWidth="1"/>
    <col min="12809" max="12809" width="11.109375" style="2" customWidth="1"/>
    <col min="12810" max="12812" width="9.44140625" style="2" customWidth="1"/>
    <col min="12813" max="12813" width="18.6640625" style="2" customWidth="1"/>
    <col min="12814" max="12884" width="9.44140625" style="2" customWidth="1"/>
    <col min="12885" max="13056" width="8.88671875" style="2"/>
    <col min="13057" max="13057" width="27.44140625" style="2" customWidth="1"/>
    <col min="13058" max="13058" width="9.44140625" style="2" bestFit="1" customWidth="1"/>
    <col min="13059" max="13059" width="11.33203125" style="2" customWidth="1"/>
    <col min="13060" max="13060" width="9.5546875" style="2" bestFit="1" customWidth="1"/>
    <col min="13061" max="13061" width="12.109375" style="2" customWidth="1"/>
    <col min="13062" max="13062" width="11.33203125" style="2" customWidth="1"/>
    <col min="13063" max="13063" width="10.6640625" style="2" customWidth="1"/>
    <col min="13064" max="13064" width="9.44140625" style="2" customWidth="1"/>
    <col min="13065" max="13065" width="11.109375" style="2" customWidth="1"/>
    <col min="13066" max="13068" width="9.44140625" style="2" customWidth="1"/>
    <col min="13069" max="13069" width="18.6640625" style="2" customWidth="1"/>
    <col min="13070" max="13140" width="9.44140625" style="2" customWidth="1"/>
    <col min="13141" max="13312" width="8.88671875" style="2"/>
    <col min="13313" max="13313" width="27.44140625" style="2" customWidth="1"/>
    <col min="13314" max="13314" width="9.44140625" style="2" bestFit="1" customWidth="1"/>
    <col min="13315" max="13315" width="11.33203125" style="2" customWidth="1"/>
    <col min="13316" max="13316" width="9.5546875" style="2" bestFit="1" customWidth="1"/>
    <col min="13317" max="13317" width="12.109375" style="2" customWidth="1"/>
    <col min="13318" max="13318" width="11.33203125" style="2" customWidth="1"/>
    <col min="13319" max="13319" width="10.6640625" style="2" customWidth="1"/>
    <col min="13320" max="13320" width="9.44140625" style="2" customWidth="1"/>
    <col min="13321" max="13321" width="11.109375" style="2" customWidth="1"/>
    <col min="13322" max="13324" width="9.44140625" style="2" customWidth="1"/>
    <col min="13325" max="13325" width="18.6640625" style="2" customWidth="1"/>
    <col min="13326" max="13396" width="9.44140625" style="2" customWidth="1"/>
    <col min="13397" max="13568" width="8.88671875" style="2"/>
    <col min="13569" max="13569" width="27.44140625" style="2" customWidth="1"/>
    <col min="13570" max="13570" width="9.44140625" style="2" bestFit="1" customWidth="1"/>
    <col min="13571" max="13571" width="11.33203125" style="2" customWidth="1"/>
    <col min="13572" max="13572" width="9.5546875" style="2" bestFit="1" customWidth="1"/>
    <col min="13573" max="13573" width="12.109375" style="2" customWidth="1"/>
    <col min="13574" max="13574" width="11.33203125" style="2" customWidth="1"/>
    <col min="13575" max="13575" width="10.6640625" style="2" customWidth="1"/>
    <col min="13576" max="13576" width="9.44140625" style="2" customWidth="1"/>
    <col min="13577" max="13577" width="11.109375" style="2" customWidth="1"/>
    <col min="13578" max="13580" width="9.44140625" style="2" customWidth="1"/>
    <col min="13581" max="13581" width="18.6640625" style="2" customWidth="1"/>
    <col min="13582" max="13652" width="9.44140625" style="2" customWidth="1"/>
    <col min="13653" max="13824" width="8.88671875" style="2"/>
    <col min="13825" max="13825" width="27.44140625" style="2" customWidth="1"/>
    <col min="13826" max="13826" width="9.44140625" style="2" bestFit="1" customWidth="1"/>
    <col min="13827" max="13827" width="11.33203125" style="2" customWidth="1"/>
    <col min="13828" max="13828" width="9.5546875" style="2" bestFit="1" customWidth="1"/>
    <col min="13829" max="13829" width="12.109375" style="2" customWidth="1"/>
    <col min="13830" max="13830" width="11.33203125" style="2" customWidth="1"/>
    <col min="13831" max="13831" width="10.6640625" style="2" customWidth="1"/>
    <col min="13832" max="13832" width="9.44140625" style="2" customWidth="1"/>
    <col min="13833" max="13833" width="11.109375" style="2" customWidth="1"/>
    <col min="13834" max="13836" width="9.44140625" style="2" customWidth="1"/>
    <col min="13837" max="13837" width="18.6640625" style="2" customWidth="1"/>
    <col min="13838" max="13908" width="9.44140625" style="2" customWidth="1"/>
    <col min="13909" max="14080" width="8.88671875" style="2"/>
    <col min="14081" max="14081" width="27.44140625" style="2" customWidth="1"/>
    <col min="14082" max="14082" width="9.44140625" style="2" bestFit="1" customWidth="1"/>
    <col min="14083" max="14083" width="11.33203125" style="2" customWidth="1"/>
    <col min="14084" max="14084" width="9.5546875" style="2" bestFit="1" customWidth="1"/>
    <col min="14085" max="14085" width="12.109375" style="2" customWidth="1"/>
    <col min="14086" max="14086" width="11.33203125" style="2" customWidth="1"/>
    <col min="14087" max="14087" width="10.6640625" style="2" customWidth="1"/>
    <col min="14088" max="14088" width="9.44140625" style="2" customWidth="1"/>
    <col min="14089" max="14089" width="11.109375" style="2" customWidth="1"/>
    <col min="14090" max="14092" width="9.44140625" style="2" customWidth="1"/>
    <col min="14093" max="14093" width="18.6640625" style="2" customWidth="1"/>
    <col min="14094" max="14164" width="9.44140625" style="2" customWidth="1"/>
    <col min="14165" max="14336" width="8.88671875" style="2"/>
    <col min="14337" max="14337" width="27.44140625" style="2" customWidth="1"/>
    <col min="14338" max="14338" width="9.44140625" style="2" bestFit="1" customWidth="1"/>
    <col min="14339" max="14339" width="11.33203125" style="2" customWidth="1"/>
    <col min="14340" max="14340" width="9.5546875" style="2" bestFit="1" customWidth="1"/>
    <col min="14341" max="14341" width="12.109375" style="2" customWidth="1"/>
    <col min="14342" max="14342" width="11.33203125" style="2" customWidth="1"/>
    <col min="14343" max="14343" width="10.6640625" style="2" customWidth="1"/>
    <col min="14344" max="14344" width="9.44140625" style="2" customWidth="1"/>
    <col min="14345" max="14345" width="11.109375" style="2" customWidth="1"/>
    <col min="14346" max="14348" width="9.44140625" style="2" customWidth="1"/>
    <col min="14349" max="14349" width="18.6640625" style="2" customWidth="1"/>
    <col min="14350" max="14420" width="9.44140625" style="2" customWidth="1"/>
    <col min="14421" max="14592" width="8.88671875" style="2"/>
    <col min="14593" max="14593" width="27.44140625" style="2" customWidth="1"/>
    <col min="14594" max="14594" width="9.44140625" style="2" bestFit="1" customWidth="1"/>
    <col min="14595" max="14595" width="11.33203125" style="2" customWidth="1"/>
    <col min="14596" max="14596" width="9.5546875" style="2" bestFit="1" customWidth="1"/>
    <col min="14597" max="14597" width="12.109375" style="2" customWidth="1"/>
    <col min="14598" max="14598" width="11.33203125" style="2" customWidth="1"/>
    <col min="14599" max="14599" width="10.6640625" style="2" customWidth="1"/>
    <col min="14600" max="14600" width="9.44140625" style="2" customWidth="1"/>
    <col min="14601" max="14601" width="11.109375" style="2" customWidth="1"/>
    <col min="14602" max="14604" width="9.44140625" style="2" customWidth="1"/>
    <col min="14605" max="14605" width="18.6640625" style="2" customWidth="1"/>
    <col min="14606" max="14676" width="9.44140625" style="2" customWidth="1"/>
    <col min="14677" max="14848" width="8.88671875" style="2"/>
    <col min="14849" max="14849" width="27.44140625" style="2" customWidth="1"/>
    <col min="14850" max="14850" width="9.44140625" style="2" bestFit="1" customWidth="1"/>
    <col min="14851" max="14851" width="11.33203125" style="2" customWidth="1"/>
    <col min="14852" max="14852" width="9.5546875" style="2" bestFit="1" customWidth="1"/>
    <col min="14853" max="14853" width="12.109375" style="2" customWidth="1"/>
    <col min="14854" max="14854" width="11.33203125" style="2" customWidth="1"/>
    <col min="14855" max="14855" width="10.6640625" style="2" customWidth="1"/>
    <col min="14856" max="14856" width="9.44140625" style="2" customWidth="1"/>
    <col min="14857" max="14857" width="11.109375" style="2" customWidth="1"/>
    <col min="14858" max="14860" width="9.44140625" style="2" customWidth="1"/>
    <col min="14861" max="14861" width="18.6640625" style="2" customWidth="1"/>
    <col min="14862" max="14932" width="9.44140625" style="2" customWidth="1"/>
    <col min="14933" max="15104" width="8.88671875" style="2"/>
    <col min="15105" max="15105" width="27.44140625" style="2" customWidth="1"/>
    <col min="15106" max="15106" width="9.44140625" style="2" bestFit="1" customWidth="1"/>
    <col min="15107" max="15107" width="11.33203125" style="2" customWidth="1"/>
    <col min="15108" max="15108" width="9.5546875" style="2" bestFit="1" customWidth="1"/>
    <col min="15109" max="15109" width="12.109375" style="2" customWidth="1"/>
    <col min="15110" max="15110" width="11.33203125" style="2" customWidth="1"/>
    <col min="15111" max="15111" width="10.6640625" style="2" customWidth="1"/>
    <col min="15112" max="15112" width="9.44140625" style="2" customWidth="1"/>
    <col min="15113" max="15113" width="11.109375" style="2" customWidth="1"/>
    <col min="15114" max="15116" width="9.44140625" style="2" customWidth="1"/>
    <col min="15117" max="15117" width="18.6640625" style="2" customWidth="1"/>
    <col min="15118" max="15188" width="9.44140625" style="2" customWidth="1"/>
    <col min="15189" max="15360" width="8.88671875" style="2"/>
    <col min="15361" max="15361" width="27.44140625" style="2" customWidth="1"/>
    <col min="15362" max="15362" width="9.44140625" style="2" bestFit="1" customWidth="1"/>
    <col min="15363" max="15363" width="11.33203125" style="2" customWidth="1"/>
    <col min="15364" max="15364" width="9.5546875" style="2" bestFit="1" customWidth="1"/>
    <col min="15365" max="15365" width="12.109375" style="2" customWidth="1"/>
    <col min="15366" max="15366" width="11.33203125" style="2" customWidth="1"/>
    <col min="15367" max="15367" width="10.6640625" style="2" customWidth="1"/>
    <col min="15368" max="15368" width="9.44140625" style="2" customWidth="1"/>
    <col min="15369" max="15369" width="11.109375" style="2" customWidth="1"/>
    <col min="15370" max="15372" width="9.44140625" style="2" customWidth="1"/>
    <col min="15373" max="15373" width="18.6640625" style="2" customWidth="1"/>
    <col min="15374" max="15444" width="9.44140625" style="2" customWidth="1"/>
    <col min="15445" max="15616" width="8.88671875" style="2"/>
    <col min="15617" max="15617" width="27.44140625" style="2" customWidth="1"/>
    <col min="15618" max="15618" width="9.44140625" style="2" bestFit="1" customWidth="1"/>
    <col min="15619" max="15619" width="11.33203125" style="2" customWidth="1"/>
    <col min="15620" max="15620" width="9.5546875" style="2" bestFit="1" customWidth="1"/>
    <col min="15621" max="15621" width="12.109375" style="2" customWidth="1"/>
    <col min="15622" max="15622" width="11.33203125" style="2" customWidth="1"/>
    <col min="15623" max="15623" width="10.6640625" style="2" customWidth="1"/>
    <col min="15624" max="15624" width="9.44140625" style="2" customWidth="1"/>
    <col min="15625" max="15625" width="11.109375" style="2" customWidth="1"/>
    <col min="15626" max="15628" width="9.44140625" style="2" customWidth="1"/>
    <col min="15629" max="15629" width="18.6640625" style="2" customWidth="1"/>
    <col min="15630" max="15700" width="9.44140625" style="2" customWidth="1"/>
    <col min="15701" max="15872" width="8.88671875" style="2"/>
    <col min="15873" max="15873" width="27.44140625" style="2" customWidth="1"/>
    <col min="15874" max="15874" width="9.44140625" style="2" bestFit="1" customWidth="1"/>
    <col min="15875" max="15875" width="11.33203125" style="2" customWidth="1"/>
    <col min="15876" max="15876" width="9.5546875" style="2" bestFit="1" customWidth="1"/>
    <col min="15877" max="15877" width="12.109375" style="2" customWidth="1"/>
    <col min="15878" max="15878" width="11.33203125" style="2" customWidth="1"/>
    <col min="15879" max="15879" width="10.6640625" style="2" customWidth="1"/>
    <col min="15880" max="15880" width="9.44140625" style="2" customWidth="1"/>
    <col min="15881" max="15881" width="11.109375" style="2" customWidth="1"/>
    <col min="15882" max="15884" width="9.44140625" style="2" customWidth="1"/>
    <col min="15885" max="15885" width="18.6640625" style="2" customWidth="1"/>
    <col min="15886" max="15956" width="9.44140625" style="2" customWidth="1"/>
    <col min="15957" max="16128" width="8.88671875" style="2"/>
    <col min="16129" max="16129" width="27.44140625" style="2" customWidth="1"/>
    <col min="16130" max="16130" width="9.44140625" style="2" bestFit="1" customWidth="1"/>
    <col min="16131" max="16131" width="11.33203125" style="2" customWidth="1"/>
    <col min="16132" max="16132" width="9.5546875" style="2" bestFit="1" customWidth="1"/>
    <col min="16133" max="16133" width="12.109375" style="2" customWidth="1"/>
    <col min="16134" max="16134" width="11.33203125" style="2" customWidth="1"/>
    <col min="16135" max="16135" width="10.6640625" style="2" customWidth="1"/>
    <col min="16136" max="16136" width="9.44140625" style="2" customWidth="1"/>
    <col min="16137" max="16137" width="11.109375" style="2" customWidth="1"/>
    <col min="16138" max="16140" width="9.44140625" style="2" customWidth="1"/>
    <col min="16141" max="16141" width="18.6640625" style="2" customWidth="1"/>
    <col min="16142" max="16212" width="9.44140625" style="2" customWidth="1"/>
    <col min="16213" max="16384" width="8.88671875" style="2"/>
  </cols>
  <sheetData>
    <row r="1" spans="1:14" ht="58.95" customHeight="1" x14ac:dyDescent="0.25">
      <c r="A1" s="1" t="s">
        <v>18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4" x14ac:dyDescent="0.25">
      <c r="A2" s="2" t="s">
        <v>8</v>
      </c>
      <c r="B2" s="7">
        <v>0.76749999999999996</v>
      </c>
      <c r="G2" s="10" t="s">
        <v>19</v>
      </c>
      <c r="H2" s="10"/>
      <c r="I2" s="10"/>
      <c r="J2" s="10" t="s">
        <v>20</v>
      </c>
    </row>
    <row r="3" spans="1:14" x14ac:dyDescent="0.25">
      <c r="A3" s="2" t="s">
        <v>9</v>
      </c>
      <c r="B3" s="7">
        <v>0.1055</v>
      </c>
      <c r="E3" s="11" t="s">
        <v>21</v>
      </c>
      <c r="F3" s="12" t="s">
        <v>22</v>
      </c>
      <c r="G3" s="7">
        <f t="shared" ref="G3:G9" si="0">$B$3/2</f>
        <v>5.2749999999999998E-2</v>
      </c>
      <c r="I3" s="11" t="s">
        <v>21</v>
      </c>
      <c r="J3" s="7">
        <f t="shared" ref="J3:J9" si="1">1+G3</f>
        <v>1.0527500000000001</v>
      </c>
      <c r="M3" s="13" t="s">
        <v>23</v>
      </c>
    </row>
    <row r="4" spans="1:14" x14ac:dyDescent="0.25">
      <c r="A4" s="2" t="s">
        <v>24</v>
      </c>
      <c r="B4" s="7">
        <f>B2+N8</f>
        <v>0.80390896739130435</v>
      </c>
      <c r="C4" s="2" t="str">
        <f ca="1">[3]!getformula(B4)</f>
        <v>&lt;--  =B2+N8</v>
      </c>
      <c r="E4" s="11" t="s">
        <v>25</v>
      </c>
      <c r="F4" s="12" t="s">
        <v>26</v>
      </c>
      <c r="G4" s="7">
        <f t="shared" si="0"/>
        <v>5.2749999999999998E-2</v>
      </c>
      <c r="I4" s="11" t="s">
        <v>25</v>
      </c>
      <c r="J4" s="7">
        <f t="shared" si="1"/>
        <v>1.0527500000000001</v>
      </c>
      <c r="M4" s="2" t="s">
        <v>27</v>
      </c>
      <c r="N4" s="14">
        <v>38426</v>
      </c>
    </row>
    <row r="5" spans="1:14" x14ac:dyDescent="0.25">
      <c r="A5" s="2" t="s">
        <v>10</v>
      </c>
      <c r="B5" s="7">
        <v>0.5</v>
      </c>
      <c r="E5" s="11" t="s">
        <v>28</v>
      </c>
      <c r="F5" s="12" t="s">
        <v>29</v>
      </c>
      <c r="G5" s="7">
        <f t="shared" si="0"/>
        <v>5.2749999999999998E-2</v>
      </c>
      <c r="I5" s="11" t="s">
        <v>28</v>
      </c>
      <c r="J5" s="7">
        <f t="shared" si="1"/>
        <v>1.0527500000000001</v>
      </c>
      <c r="M5" s="2" t="s">
        <v>30</v>
      </c>
      <c r="N5" s="14">
        <v>38610</v>
      </c>
    </row>
    <row r="6" spans="1:14" x14ac:dyDescent="0.25">
      <c r="A6" s="2" t="s">
        <v>11</v>
      </c>
      <c r="B6" s="14">
        <v>44267</v>
      </c>
      <c r="E6" s="15" t="s">
        <v>31</v>
      </c>
      <c r="F6" s="12" t="s">
        <v>32</v>
      </c>
      <c r="G6" s="7">
        <f t="shared" si="0"/>
        <v>5.2749999999999998E-2</v>
      </c>
      <c r="I6" s="15" t="s">
        <v>33</v>
      </c>
      <c r="J6" s="7">
        <f t="shared" si="1"/>
        <v>1.0527500000000001</v>
      </c>
      <c r="M6" s="2" t="s">
        <v>12</v>
      </c>
      <c r="N6" s="14">
        <f>B7</f>
        <v>38553</v>
      </c>
    </row>
    <row r="7" spans="1:14" x14ac:dyDescent="0.25">
      <c r="A7" s="2" t="s">
        <v>12</v>
      </c>
      <c r="B7" s="14">
        <v>38553</v>
      </c>
      <c r="E7" s="11"/>
      <c r="F7" s="12" t="s">
        <v>34</v>
      </c>
      <c r="G7" s="7">
        <f t="shared" si="0"/>
        <v>5.2749999999999998E-2</v>
      </c>
      <c r="I7" s="11"/>
      <c r="J7" s="7">
        <f t="shared" si="1"/>
        <v>1.0527500000000001</v>
      </c>
      <c r="M7" s="2" t="s">
        <v>35</v>
      </c>
      <c r="N7" s="9">
        <f>(N6-N4)/(N5-N4)</f>
        <v>0.69021739130434778</v>
      </c>
    </row>
    <row r="8" spans="1:14" x14ac:dyDescent="0.25">
      <c r="A8" s="2" t="s">
        <v>13</v>
      </c>
      <c r="B8" s="9">
        <f>(B6-B7)/365</f>
        <v>15.654794520547945</v>
      </c>
      <c r="E8" s="11"/>
      <c r="F8" s="12" t="s">
        <v>36</v>
      </c>
      <c r="G8" s="7">
        <f t="shared" si="0"/>
        <v>5.2749999999999998E-2</v>
      </c>
      <c r="I8" s="16"/>
      <c r="J8" s="7">
        <f t="shared" si="1"/>
        <v>1.0527500000000001</v>
      </c>
      <c r="M8" s="2" t="s">
        <v>37</v>
      </c>
      <c r="N8" s="17">
        <f>B3*N7/2</f>
        <v>3.6408967391304344E-2</v>
      </c>
    </row>
    <row r="9" spans="1:14" x14ac:dyDescent="0.25">
      <c r="A9" s="2" t="s">
        <v>14</v>
      </c>
      <c r="B9" s="18">
        <v>30</v>
      </c>
      <c r="E9" s="11"/>
      <c r="F9" s="12" t="s">
        <v>16</v>
      </c>
      <c r="G9" s="7">
        <f t="shared" si="0"/>
        <v>5.2749999999999998E-2</v>
      </c>
      <c r="H9" s="11"/>
      <c r="I9" s="16"/>
      <c r="J9" s="7">
        <f t="shared" si="1"/>
        <v>1.0527500000000001</v>
      </c>
    </row>
    <row r="10" spans="1:14" x14ac:dyDescent="0.25">
      <c r="A10" s="2" t="s">
        <v>15</v>
      </c>
      <c r="B10" s="11" t="s">
        <v>16</v>
      </c>
      <c r="E10" s="11"/>
      <c r="F10" s="12" t="s">
        <v>38</v>
      </c>
      <c r="G10" s="7">
        <f>B5</f>
        <v>0.5</v>
      </c>
      <c r="H10" s="11"/>
      <c r="I10" s="16"/>
      <c r="J10" s="7">
        <f>G10</f>
        <v>0.5</v>
      </c>
    </row>
    <row r="11" spans="1:14" x14ac:dyDescent="0.25">
      <c r="A11" s="2" t="s">
        <v>17</v>
      </c>
      <c r="B11" s="19">
        <f>B66</f>
        <v>0.14807288050651554</v>
      </c>
      <c r="E11" s="11"/>
      <c r="F11" s="20" t="s">
        <v>39</v>
      </c>
      <c r="G11" s="16">
        <v>0</v>
      </c>
      <c r="H11" s="11"/>
      <c r="I11" s="16"/>
      <c r="J11" s="16">
        <f>G11</f>
        <v>0</v>
      </c>
    </row>
    <row r="12" spans="1:14" x14ac:dyDescent="0.25">
      <c r="B12" s="19"/>
      <c r="E12" s="11"/>
      <c r="H12" s="11"/>
    </row>
    <row r="13" spans="1:14" x14ac:dyDescent="0.25">
      <c r="B13" s="21" t="s">
        <v>40</v>
      </c>
      <c r="C13" s="22" t="s">
        <v>41</v>
      </c>
      <c r="D13" s="23"/>
      <c r="E13" s="23"/>
      <c r="F13" s="23"/>
      <c r="G13" s="23"/>
      <c r="H13" s="23"/>
      <c r="I13" s="23"/>
      <c r="J13" s="23"/>
      <c r="K13" s="24"/>
      <c r="L13" s="10"/>
      <c r="M13" s="10"/>
      <c r="N13" s="10"/>
    </row>
    <row r="14" spans="1:14" ht="13.8" thickBot="1" x14ac:dyDescent="0.3">
      <c r="A14" s="13" t="s">
        <v>42</v>
      </c>
      <c r="B14" s="25"/>
      <c r="C14" s="26" t="s">
        <v>22</v>
      </c>
      <c r="D14" s="26" t="s">
        <v>26</v>
      </c>
      <c r="E14" s="26" t="s">
        <v>29</v>
      </c>
      <c r="F14" s="26" t="s">
        <v>32</v>
      </c>
      <c r="G14" s="26" t="s">
        <v>34</v>
      </c>
      <c r="H14" s="26" t="s">
        <v>36</v>
      </c>
      <c r="I14" s="26" t="s">
        <v>16</v>
      </c>
      <c r="J14" s="26" t="s">
        <v>38</v>
      </c>
      <c r="K14" s="26" t="s">
        <v>39</v>
      </c>
      <c r="L14" s="17"/>
      <c r="M14" s="17"/>
      <c r="N14" s="17"/>
    </row>
    <row r="15" spans="1:14" x14ac:dyDescent="0.25">
      <c r="B15" s="27" t="s">
        <v>22</v>
      </c>
      <c r="C15" s="28">
        <v>0.93659999999999999</v>
      </c>
      <c r="D15" s="28">
        <v>5.8299999999999998E-2</v>
      </c>
      <c r="E15" s="28">
        <v>4.0000000000000001E-3</v>
      </c>
      <c r="F15" s="28">
        <v>8.0000000000000004E-4</v>
      </c>
      <c r="G15" s="28">
        <v>2.9999999999999997E-4</v>
      </c>
      <c r="H15" s="28">
        <v>0</v>
      </c>
      <c r="I15" s="28">
        <v>0</v>
      </c>
      <c r="J15" s="28">
        <v>0</v>
      </c>
      <c r="K15" s="17">
        <v>0</v>
      </c>
      <c r="L15" s="17"/>
      <c r="M15" s="17"/>
      <c r="N15" s="17"/>
    </row>
    <row r="16" spans="1:14" x14ac:dyDescent="0.25">
      <c r="B16" s="27" t="s">
        <v>26</v>
      </c>
      <c r="C16" s="28">
        <v>6.6E-3</v>
      </c>
      <c r="D16" s="28">
        <v>0.91720000000000002</v>
      </c>
      <c r="E16" s="28">
        <v>6.9400000000000003E-2</v>
      </c>
      <c r="F16" s="28">
        <v>4.8999999999999998E-3</v>
      </c>
      <c r="G16" s="28">
        <v>5.9999999999999995E-4</v>
      </c>
      <c r="H16" s="28">
        <v>8.9999999999999998E-4</v>
      </c>
      <c r="I16" s="28">
        <v>2.0000000000000001E-4</v>
      </c>
      <c r="J16" s="28">
        <v>1E-4</v>
      </c>
      <c r="K16" s="17">
        <v>0</v>
      </c>
      <c r="L16" s="17"/>
      <c r="M16" s="17"/>
      <c r="N16" s="17"/>
    </row>
    <row r="17" spans="1:148" x14ac:dyDescent="0.25">
      <c r="B17" s="27" t="s">
        <v>29</v>
      </c>
      <c r="C17" s="28">
        <v>7.000000000000001E-4</v>
      </c>
      <c r="D17" s="28">
        <v>2.2499999999999999E-2</v>
      </c>
      <c r="E17" s="28">
        <v>0.91760000000000008</v>
      </c>
      <c r="F17" s="28">
        <v>5.1900000000000002E-2</v>
      </c>
      <c r="G17" s="28">
        <v>4.8999999999999998E-3</v>
      </c>
      <c r="H17" s="28">
        <v>2E-3</v>
      </c>
      <c r="I17" s="28">
        <v>1E-4</v>
      </c>
      <c r="J17" s="28">
        <v>4.0000000000000002E-4</v>
      </c>
      <c r="K17" s="17">
        <v>0</v>
      </c>
      <c r="L17" s="17"/>
      <c r="M17" s="17"/>
      <c r="N17" s="17"/>
    </row>
    <row r="18" spans="1:148" x14ac:dyDescent="0.25">
      <c r="B18" s="27" t="s">
        <v>32</v>
      </c>
      <c r="C18" s="28">
        <v>2.9999999999999997E-4</v>
      </c>
      <c r="D18" s="28">
        <v>2.5000000000000001E-3</v>
      </c>
      <c r="E18" s="28">
        <v>4.8300000000000003E-2</v>
      </c>
      <c r="F18" s="28">
        <v>0.89260000000000006</v>
      </c>
      <c r="G18" s="28">
        <v>4.4400000000000002E-2</v>
      </c>
      <c r="H18" s="28">
        <v>8.1000000000000013E-3</v>
      </c>
      <c r="I18" s="28">
        <v>1.6000000000000001E-3</v>
      </c>
      <c r="J18" s="28">
        <v>2.2000000000000001E-3</v>
      </c>
      <c r="K18" s="17">
        <v>0</v>
      </c>
      <c r="L18" s="17"/>
      <c r="M18" s="17"/>
      <c r="N18" s="17"/>
    </row>
    <row r="19" spans="1:148" x14ac:dyDescent="0.25">
      <c r="B19" s="27" t="s">
        <v>34</v>
      </c>
      <c r="C19" s="28">
        <v>2.9999999999999997E-4</v>
      </c>
      <c r="D19" s="28">
        <v>7.000000000000001E-4</v>
      </c>
      <c r="E19" s="28">
        <v>4.4000000000000003E-3</v>
      </c>
      <c r="F19" s="28">
        <v>6.6699999999999995E-2</v>
      </c>
      <c r="G19" s="28">
        <v>0.83310000000000006</v>
      </c>
      <c r="H19" s="28">
        <v>7.4700000000000003E-2</v>
      </c>
      <c r="I19" s="28">
        <v>1.0500000000000001E-2</v>
      </c>
      <c r="J19" s="28">
        <v>9.7999999999999997E-3</v>
      </c>
      <c r="K19" s="17">
        <v>0</v>
      </c>
      <c r="L19" s="17"/>
      <c r="M19" s="17"/>
      <c r="N19" s="17"/>
    </row>
    <row r="20" spans="1:148" x14ac:dyDescent="0.25">
      <c r="B20" s="27" t="s">
        <v>36</v>
      </c>
      <c r="C20" s="28">
        <v>0</v>
      </c>
      <c r="D20" s="28">
        <v>1E-3</v>
      </c>
      <c r="E20" s="28">
        <v>3.3E-3</v>
      </c>
      <c r="F20" s="28">
        <v>4.5999999999999999E-3</v>
      </c>
      <c r="G20" s="28">
        <v>5.7699999999999994E-2</v>
      </c>
      <c r="H20" s="28">
        <v>0.84189999999999998</v>
      </c>
      <c r="I20" s="28">
        <v>3.8699999999999998E-2</v>
      </c>
      <c r="J20" s="28">
        <v>5.2999999999999999E-2</v>
      </c>
      <c r="K20" s="17">
        <v>0</v>
      </c>
      <c r="L20" s="17"/>
      <c r="M20" s="17"/>
      <c r="N20" s="17"/>
    </row>
    <row r="21" spans="1:148" x14ac:dyDescent="0.25">
      <c r="B21" s="27" t="s">
        <v>16</v>
      </c>
      <c r="C21" s="28">
        <v>1.6000000000000001E-3</v>
      </c>
      <c r="D21" s="28">
        <v>0</v>
      </c>
      <c r="E21" s="28">
        <v>3.0999999999999999E-3</v>
      </c>
      <c r="F21" s="28">
        <v>9.300000000000001E-3</v>
      </c>
      <c r="G21" s="28">
        <v>0.02</v>
      </c>
      <c r="H21" s="28">
        <v>0.1074</v>
      </c>
      <c r="I21" s="28">
        <v>0.63960000000000006</v>
      </c>
      <c r="J21" s="28">
        <v>0.21940000000000001</v>
      </c>
      <c r="K21" s="17">
        <v>0</v>
      </c>
      <c r="L21" s="17"/>
      <c r="M21" s="17"/>
      <c r="N21" s="17"/>
    </row>
    <row r="22" spans="1:148" x14ac:dyDescent="0.25">
      <c r="B22" s="27" t="s">
        <v>38</v>
      </c>
      <c r="C22" s="28">
        <v>0</v>
      </c>
      <c r="D22" s="28">
        <v>0</v>
      </c>
      <c r="E22" s="28">
        <v>0</v>
      </c>
      <c r="F22" s="28">
        <v>0</v>
      </c>
      <c r="G22" s="28">
        <v>0</v>
      </c>
      <c r="H22" s="28">
        <v>0</v>
      </c>
      <c r="I22" s="28">
        <v>0</v>
      </c>
      <c r="J22" s="28">
        <v>0</v>
      </c>
      <c r="K22" s="17">
        <v>1</v>
      </c>
      <c r="L22" s="17"/>
      <c r="M22" s="17"/>
      <c r="N22" s="17"/>
    </row>
    <row r="23" spans="1:148" x14ac:dyDescent="0.25">
      <c r="B23" s="27" t="s">
        <v>39</v>
      </c>
      <c r="C23" s="29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17">
        <v>1</v>
      </c>
      <c r="L23" s="17"/>
      <c r="M23" s="17"/>
      <c r="N23" s="17"/>
    </row>
    <row r="24" spans="1:148" x14ac:dyDescent="0.25">
      <c r="B24" s="4"/>
      <c r="C24" s="31"/>
      <c r="D24" s="31"/>
      <c r="E24" s="31"/>
      <c r="F24" s="31"/>
      <c r="G24" s="31"/>
      <c r="H24" s="31"/>
      <c r="I24" s="31"/>
      <c r="J24" s="31"/>
      <c r="K24" s="17"/>
      <c r="L24" s="17"/>
      <c r="M24" s="17"/>
      <c r="N24" s="17"/>
    </row>
    <row r="25" spans="1:148" x14ac:dyDescent="0.25">
      <c r="B25" s="4"/>
      <c r="C25" s="31"/>
      <c r="D25" s="31"/>
      <c r="E25" s="31"/>
      <c r="F25" s="31"/>
      <c r="G25" s="31"/>
      <c r="H25" s="31"/>
      <c r="I25" s="31"/>
      <c r="J25" s="31"/>
      <c r="K25" s="17"/>
      <c r="L25" s="17"/>
      <c r="M25" s="17"/>
      <c r="N25" s="17"/>
    </row>
    <row r="26" spans="1:148" ht="13.8" thickBot="1" x14ac:dyDescent="0.3">
      <c r="B26" s="26" t="s">
        <v>22</v>
      </c>
      <c r="C26" s="26" t="s">
        <v>26</v>
      </c>
      <c r="D26" s="26" t="s">
        <v>29</v>
      </c>
      <c r="E26" s="26" t="s">
        <v>32</v>
      </c>
      <c r="F26" s="26" t="s">
        <v>34</v>
      </c>
      <c r="G26" s="26" t="s">
        <v>36</v>
      </c>
      <c r="H26" s="26" t="s">
        <v>16</v>
      </c>
      <c r="I26" s="26" t="s">
        <v>38</v>
      </c>
      <c r="J26" s="26" t="s">
        <v>39</v>
      </c>
      <c r="K26" s="17"/>
      <c r="L26" s="17"/>
      <c r="M26" s="17"/>
      <c r="N26" s="17"/>
    </row>
    <row r="27" spans="1:148" x14ac:dyDescent="0.25">
      <c r="A27" s="2" t="s">
        <v>43</v>
      </c>
      <c r="B27" s="32">
        <f t="shared" ref="B27:J27" si="2">IF(UPPER($B$10)=B26,1,0)</f>
        <v>0</v>
      </c>
      <c r="C27" s="32">
        <f t="shared" si="2"/>
        <v>0</v>
      </c>
      <c r="D27" s="32">
        <f t="shared" si="2"/>
        <v>0</v>
      </c>
      <c r="E27" s="32">
        <f t="shared" si="2"/>
        <v>0</v>
      </c>
      <c r="F27" s="32">
        <f t="shared" si="2"/>
        <v>0</v>
      </c>
      <c r="G27" s="32">
        <f t="shared" si="2"/>
        <v>0</v>
      </c>
      <c r="H27" s="32">
        <f t="shared" si="2"/>
        <v>1</v>
      </c>
      <c r="I27" s="32">
        <f t="shared" si="2"/>
        <v>0</v>
      </c>
      <c r="J27" s="32">
        <f t="shared" si="2"/>
        <v>0</v>
      </c>
      <c r="K27" s="17"/>
      <c r="L27" s="17"/>
      <c r="M27" s="17"/>
      <c r="N27" s="17"/>
    </row>
    <row r="28" spans="1:148" x14ac:dyDescent="0.25">
      <c r="B28" s="4"/>
      <c r="C28" s="31"/>
      <c r="D28" s="31"/>
      <c r="E28" s="31"/>
      <c r="F28" s="31"/>
      <c r="G28" s="31"/>
      <c r="H28" s="31"/>
      <c r="I28" s="31"/>
      <c r="J28" s="31"/>
      <c r="K28" s="17"/>
      <c r="L28" s="17"/>
      <c r="M28" s="17"/>
      <c r="N28" s="17"/>
    </row>
    <row r="29" spans="1:148" x14ac:dyDescent="0.25">
      <c r="A29" s="13" t="s">
        <v>44</v>
      </c>
      <c r="B29" s="13">
        <v>0</v>
      </c>
      <c r="C29" s="13">
        <v>1</v>
      </c>
      <c r="D29" s="13">
        <v>2</v>
      </c>
      <c r="E29" s="13">
        <v>3</v>
      </c>
      <c r="F29" s="13">
        <v>4</v>
      </c>
      <c r="G29" s="13">
        <v>5</v>
      </c>
      <c r="H29" s="13">
        <v>6</v>
      </c>
      <c r="I29" s="13">
        <v>7</v>
      </c>
      <c r="J29" s="13">
        <v>8</v>
      </c>
      <c r="K29" s="13">
        <v>9</v>
      </c>
      <c r="L29" s="13">
        <v>10</v>
      </c>
      <c r="M29" s="13">
        <v>11</v>
      </c>
      <c r="N29" s="13">
        <v>12</v>
      </c>
      <c r="O29" s="13">
        <v>13</v>
      </c>
      <c r="P29" s="13">
        <v>14</v>
      </c>
      <c r="Q29" s="13">
        <v>15</v>
      </c>
      <c r="R29" s="13">
        <v>16</v>
      </c>
      <c r="S29" s="13">
        <v>17</v>
      </c>
      <c r="T29" s="13">
        <v>18</v>
      </c>
      <c r="U29" s="13">
        <v>19</v>
      </c>
      <c r="V29" s="13">
        <v>20</v>
      </c>
      <c r="W29" s="13">
        <v>21</v>
      </c>
      <c r="X29" s="13">
        <v>22</v>
      </c>
      <c r="Y29" s="13">
        <v>23</v>
      </c>
      <c r="Z29" s="13">
        <v>24</v>
      </c>
      <c r="AA29" s="13">
        <v>25</v>
      </c>
      <c r="AB29" s="13">
        <v>26</v>
      </c>
      <c r="AC29" s="13">
        <v>27</v>
      </c>
      <c r="AD29" s="13">
        <v>28</v>
      </c>
      <c r="AE29" s="13">
        <v>29</v>
      </c>
      <c r="AF29" s="13">
        <v>30</v>
      </c>
      <c r="AG29" s="13">
        <v>31</v>
      </c>
      <c r="AH29" s="13">
        <v>32</v>
      </c>
      <c r="AI29" s="13">
        <v>33</v>
      </c>
      <c r="AJ29" s="13">
        <v>34</v>
      </c>
      <c r="AK29" s="13">
        <v>35</v>
      </c>
      <c r="AL29" s="13">
        <v>36</v>
      </c>
      <c r="AM29" s="13">
        <v>37</v>
      </c>
      <c r="AN29" s="13">
        <v>38</v>
      </c>
      <c r="AO29" s="13">
        <v>39</v>
      </c>
      <c r="AP29" s="13">
        <v>40</v>
      </c>
    </row>
    <row r="30" spans="1:148" x14ac:dyDescent="0.25">
      <c r="A30" s="13" t="s">
        <v>45</v>
      </c>
      <c r="B30" s="33">
        <f>B7</f>
        <v>38553</v>
      </c>
      <c r="C30" s="33">
        <v>38610</v>
      </c>
      <c r="D30" s="33">
        <v>38791</v>
      </c>
      <c r="E30" s="33">
        <v>38975</v>
      </c>
      <c r="F30" s="33">
        <v>39156</v>
      </c>
      <c r="G30" s="33">
        <v>39340</v>
      </c>
      <c r="H30" s="33">
        <v>39522</v>
      </c>
      <c r="I30" s="33">
        <v>39706</v>
      </c>
      <c r="J30" s="33">
        <v>39887</v>
      </c>
      <c r="K30" s="33">
        <v>40071</v>
      </c>
      <c r="L30" s="33">
        <v>40252</v>
      </c>
      <c r="M30" s="33">
        <v>40436</v>
      </c>
      <c r="N30" s="33">
        <v>40617</v>
      </c>
      <c r="O30" s="33">
        <v>40801</v>
      </c>
      <c r="P30" s="33">
        <v>40983</v>
      </c>
      <c r="Q30" s="33">
        <v>41167</v>
      </c>
      <c r="R30" s="33">
        <v>41348</v>
      </c>
      <c r="S30" s="33">
        <v>41532</v>
      </c>
      <c r="T30" s="33">
        <v>41713</v>
      </c>
      <c r="U30" s="33">
        <v>41897</v>
      </c>
      <c r="V30" s="33">
        <v>42078</v>
      </c>
      <c r="W30" s="33">
        <v>42262</v>
      </c>
      <c r="X30" s="33">
        <v>42444</v>
      </c>
      <c r="Y30" s="33">
        <v>42628</v>
      </c>
      <c r="Z30" s="33">
        <v>42809</v>
      </c>
      <c r="AA30" s="33">
        <v>42993</v>
      </c>
      <c r="AB30" s="33">
        <v>43174</v>
      </c>
      <c r="AC30" s="33">
        <v>43358</v>
      </c>
      <c r="AD30" s="33">
        <v>43539</v>
      </c>
      <c r="AE30" s="33">
        <v>43723</v>
      </c>
      <c r="AF30" s="33">
        <v>43905</v>
      </c>
      <c r="AG30" s="33">
        <v>44089</v>
      </c>
      <c r="AH30" s="33">
        <v>44270</v>
      </c>
      <c r="AI30" s="33">
        <v>44454</v>
      </c>
      <c r="AJ30" s="33">
        <v>44635</v>
      </c>
      <c r="AK30" s="33">
        <v>44819</v>
      </c>
      <c r="AL30" s="33">
        <v>45000</v>
      </c>
      <c r="AM30" s="33">
        <v>45184</v>
      </c>
      <c r="AN30" s="33">
        <v>45366</v>
      </c>
      <c r="AO30" s="33">
        <v>45550</v>
      </c>
      <c r="AP30" s="33">
        <v>45731</v>
      </c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  <c r="CQ30" s="33"/>
      <c r="CR30" s="33"/>
      <c r="CS30" s="33"/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</row>
    <row r="31" spans="1:148" x14ac:dyDescent="0.25">
      <c r="A31" s="2" t="s">
        <v>46</v>
      </c>
      <c r="B31" s="34">
        <f>-B4</f>
        <v>-0.80390896739130435</v>
      </c>
      <c r="C31" s="17">
        <f>IF(C29&gt;bondterm,0,IF(C29=bondterm,MMULT(initial,MMULT(matrixpower(transition,C29),payoff2)),MMULT(initial,MMULT(matrixpower(transition,C29),payoff1))))</f>
        <v>0.15089775</v>
      </c>
      <c r="D31" s="17">
        <f t="array" ref="D31">IF(D29&gt;bondterm,0,IF(D29=bondterm,MMULT(initial,MMULT(matrixpower(transition,D29),payoff2)),MMULT(initial,MMULT(matrixpower(transition,D29),payoff1))))</f>
        <v>0.10661761409750001</v>
      </c>
      <c r="E31" s="17">
        <f t="shared" ref="E31:AP31" si="3">IF(E29&gt;bondterm,0,IF(E29=bondterm,MMULT(initial,MMULT(matrixpower(transition,E29),payoff2)),MMULT(initial,MMULT(matrixpower(transition,E29),payoff1))))</f>
        <v>7.8065931335508765E-2</v>
      </c>
      <c r="F31" s="17">
        <f t="shared" si="3"/>
        <v>5.9424076916771602E-2</v>
      </c>
      <c r="G31" s="17">
        <f t="shared" si="3"/>
        <v>4.7055258795354021E-2</v>
      </c>
      <c r="H31" s="17">
        <f t="shared" si="3"/>
        <v>3.8681831328114466E-2</v>
      </c>
      <c r="I31" s="17">
        <f t="shared" si="3"/>
        <v>3.2873634285957638E-2</v>
      </c>
      <c r="J31" s="17">
        <f t="shared" si="3"/>
        <v>2.872960677013698E-2</v>
      </c>
      <c r="K31" s="17">
        <f t="shared" si="3"/>
        <v>2.5679539386958754E-2</v>
      </c>
      <c r="L31" s="17">
        <f t="shared" si="3"/>
        <v>2.3360530645034933E-2</v>
      </c>
      <c r="M31" s="17">
        <f t="shared" si="3"/>
        <v>2.1539917016960786E-2</v>
      </c>
      <c r="N31" s="17">
        <f t="shared" si="3"/>
        <v>2.0067130910862499E-2</v>
      </c>
      <c r="O31" s="17">
        <f t="shared" si="3"/>
        <v>1.8843577995068396E-2</v>
      </c>
      <c r="P31" s="17">
        <f t="shared" si="3"/>
        <v>1.7803749021487847E-2</v>
      </c>
      <c r="Q31" s="2">
        <f t="shared" si="3"/>
        <v>1.6903343974623015E-2</v>
      </c>
      <c r="R31" s="2">
        <f t="shared" si="3"/>
        <v>1.6111779433018211E-2</v>
      </c>
      <c r="S31" s="2">
        <f t="shared" si="3"/>
        <v>1.5407440705636499E-2</v>
      </c>
      <c r="T31" s="2">
        <f t="shared" si="3"/>
        <v>1.4774656662696988E-2</v>
      </c>
      <c r="U31" s="2">
        <f t="shared" si="3"/>
        <v>1.4201758873622433E-2</v>
      </c>
      <c r="V31" s="2">
        <f t="shared" si="3"/>
        <v>1.3679825692295859E-2</v>
      </c>
      <c r="W31" s="2">
        <f t="shared" si="3"/>
        <v>1.3201860969168991E-2</v>
      </c>
      <c r="X31" s="2">
        <f t="shared" si="3"/>
        <v>1.2762250103082878E-2</v>
      </c>
      <c r="Y31" s="2">
        <f t="shared" si="3"/>
        <v>1.2356394299664794E-2</v>
      </c>
      <c r="Z31" s="2">
        <f t="shared" si="3"/>
        <v>1.1980460317463918E-2</v>
      </c>
      <c r="AA31" s="2">
        <f t="shared" si="3"/>
        <v>1.1631205833623218E-2</v>
      </c>
      <c r="AB31" s="2">
        <f t="shared" si="3"/>
        <v>1.1305854938401612E-2</v>
      </c>
      <c r="AC31" s="2">
        <f t="shared" si="3"/>
        <v>1.1002007344072981E-2</v>
      </c>
      <c r="AD31" s="2">
        <f t="shared" si="3"/>
        <v>1.0717570646747842E-2</v>
      </c>
      <c r="AE31" s="2">
        <f t="shared" si="3"/>
        <v>1.0450708644546641E-2</v>
      </c>
      <c r="AF31" s="2">
        <f t="shared" si="3"/>
        <v>0.17303843185310536</v>
      </c>
      <c r="AG31" s="2">
        <f t="shared" si="3"/>
        <v>0</v>
      </c>
      <c r="AH31" s="2">
        <f t="shared" si="3"/>
        <v>0</v>
      </c>
      <c r="AI31" s="2">
        <f t="shared" si="3"/>
        <v>0</v>
      </c>
      <c r="AJ31" s="2">
        <f t="shared" si="3"/>
        <v>0</v>
      </c>
      <c r="AK31" s="2">
        <f t="shared" si="3"/>
        <v>0</v>
      </c>
      <c r="AL31" s="2">
        <f t="shared" si="3"/>
        <v>0</v>
      </c>
      <c r="AM31" s="2">
        <f t="shared" si="3"/>
        <v>0</v>
      </c>
      <c r="AN31" s="2">
        <f t="shared" si="3"/>
        <v>0</v>
      </c>
      <c r="AO31" s="2">
        <f t="shared" si="3"/>
        <v>0</v>
      </c>
      <c r="AP31" s="2">
        <f t="shared" si="3"/>
        <v>0</v>
      </c>
    </row>
    <row r="32" spans="1:148" x14ac:dyDescent="0.25">
      <c r="A32" s="35" t="s">
        <v>47</v>
      </c>
      <c r="B32" s="36">
        <f>XIRR(B31:AP31,B30:AP30)</f>
        <v>5.2534762024879472E-2</v>
      </c>
      <c r="C32" s="2" t="str">
        <f ca="1">[3]!getformula(B32)</f>
        <v>&lt;--  =XIRR(B31:AP31,B30:AP30)</v>
      </c>
    </row>
    <row r="38" spans="1:12" x14ac:dyDescent="0.25">
      <c r="L38" s="13"/>
    </row>
    <row r="39" spans="1:12" ht="36.6" customHeight="1" x14ac:dyDescent="0.25">
      <c r="A39" s="37" t="s">
        <v>48</v>
      </c>
      <c r="B39" s="37"/>
      <c r="C39" s="37"/>
    </row>
    <row r="40" spans="1:12" x14ac:dyDescent="0.25">
      <c r="A40" s="2" t="s">
        <v>49</v>
      </c>
      <c r="B40" s="38">
        <f>B32</f>
        <v>5.2534762024879472E-2</v>
      </c>
      <c r="C40" s="11" t="s">
        <v>50</v>
      </c>
      <c r="E40" s="2" t="s">
        <v>51</v>
      </c>
    </row>
    <row r="41" spans="1:12" x14ac:dyDescent="0.25">
      <c r="A41" s="6">
        <v>0</v>
      </c>
      <c r="B41" s="39">
        <f t="dataTable" ref="B41:B51" dt2D="0" dtr="0" r1="B5"/>
        <v>-3.0480995774269101E-2</v>
      </c>
      <c r="C41" s="7">
        <f t="shared" ref="C41:C51" si="4">$B$11</f>
        <v>0.14807288050651554</v>
      </c>
    </row>
    <row r="42" spans="1:12" x14ac:dyDescent="0.25">
      <c r="A42" s="6">
        <v>0.1</v>
      </c>
      <c r="B42" s="39">
        <v>-1.7490725219249721E-2</v>
      </c>
      <c r="C42" s="7">
        <f t="shared" si="4"/>
        <v>0.14807288050651554</v>
      </c>
    </row>
    <row r="43" spans="1:12" x14ac:dyDescent="0.25">
      <c r="A43" s="6">
        <v>0.2</v>
      </c>
      <c r="B43" s="39">
        <v>-3.0423253774642936E-3</v>
      </c>
      <c r="C43" s="7">
        <f t="shared" si="4"/>
        <v>0.14807288050651554</v>
      </c>
    </row>
    <row r="44" spans="1:12" x14ac:dyDescent="0.25">
      <c r="A44" s="6">
        <v>0.3</v>
      </c>
      <c r="B44" s="39">
        <v>1.3169386982917787E-2</v>
      </c>
      <c r="C44" s="7">
        <f t="shared" si="4"/>
        <v>0.14807288050651554</v>
      </c>
    </row>
    <row r="45" spans="1:12" x14ac:dyDescent="0.25">
      <c r="A45" s="6">
        <v>0.4</v>
      </c>
      <c r="B45" s="39">
        <v>3.1531575322151187E-2</v>
      </c>
      <c r="C45" s="7">
        <f t="shared" si="4"/>
        <v>0.14807288050651554</v>
      </c>
    </row>
    <row r="46" spans="1:12" x14ac:dyDescent="0.25">
      <c r="A46" s="6">
        <v>0.5</v>
      </c>
      <c r="B46" s="39">
        <v>5.2534762024879472E-2</v>
      </c>
      <c r="C46" s="7">
        <f t="shared" si="4"/>
        <v>0.14807288050651554</v>
      </c>
    </row>
    <row r="47" spans="1:12" x14ac:dyDescent="0.25">
      <c r="A47" s="6">
        <v>0.6</v>
      </c>
      <c r="B47" s="39">
        <v>7.6794877648353591E-2</v>
      </c>
      <c r="C47" s="7">
        <f t="shared" si="4"/>
        <v>0.14807288050651554</v>
      </c>
    </row>
    <row r="48" spans="1:12" x14ac:dyDescent="0.25">
      <c r="A48" s="6">
        <v>0.7</v>
      </c>
      <c r="B48" s="39">
        <v>0.10506922602653504</v>
      </c>
      <c r="C48" s="7">
        <f t="shared" si="4"/>
        <v>0.14807288050651554</v>
      </c>
    </row>
    <row r="49" spans="1:42" x14ac:dyDescent="0.25">
      <c r="A49" s="6">
        <v>0.8</v>
      </c>
      <c r="B49" s="39">
        <v>0.13825363516807557</v>
      </c>
      <c r="C49" s="7">
        <f t="shared" si="4"/>
        <v>0.14807288050651554</v>
      </c>
    </row>
    <row r="50" spans="1:42" x14ac:dyDescent="0.25">
      <c r="A50" s="6">
        <v>0.9</v>
      </c>
      <c r="B50" s="39">
        <v>0.17734346985816959</v>
      </c>
      <c r="C50" s="7">
        <f t="shared" si="4"/>
        <v>0.14807288050651554</v>
      </c>
    </row>
    <row r="51" spans="1:42" x14ac:dyDescent="0.25">
      <c r="A51" s="6">
        <v>1</v>
      </c>
      <c r="B51" s="39">
        <v>0.22334784865379334</v>
      </c>
      <c r="C51" s="7">
        <f t="shared" si="4"/>
        <v>0.14807288050651554</v>
      </c>
    </row>
    <row r="52" spans="1:42" x14ac:dyDescent="0.25">
      <c r="C52" s="16"/>
    </row>
    <row r="53" spans="1:42" x14ac:dyDescent="0.25">
      <c r="A53" s="2" t="s">
        <v>52</v>
      </c>
    </row>
    <row r="54" spans="1:42" x14ac:dyDescent="0.25">
      <c r="A54" s="2" t="s">
        <v>53</v>
      </c>
    </row>
    <row r="55" spans="1:42" x14ac:dyDescent="0.25">
      <c r="A55" s="2" t="s">
        <v>54</v>
      </c>
    </row>
    <row r="56" spans="1:42" x14ac:dyDescent="0.25">
      <c r="A56" s="2" t="s">
        <v>55</v>
      </c>
      <c r="G56" s="13" t="s">
        <v>56</v>
      </c>
    </row>
    <row r="57" spans="1:42" ht="52.2" customHeight="1" x14ac:dyDescent="0.25">
      <c r="G57" s="40" t="str">
        <f>"AMR Bond Expected Return vs. Recovery Rate"&amp;CHAR(10)&amp;"Bond price = "&amp;TEXT(B2,"0%")&amp;
", Bond Rating = "&amp;UPPER(B10)&amp;","&amp;CHAR(10)&amp;"Coupon = "&amp;TEXT(B3,"0.00%")&amp;", YTM = "&amp;TEXT(B11,"0.00%")</f>
        <v>AMR Bond Expected Return vs. Recovery Rate
Bond price = 77%, Bond Rating = CCC,
Coupon = 10.55%, YTM = 14.81%</v>
      </c>
      <c r="H57" s="41"/>
      <c r="I57" s="41"/>
      <c r="J57" s="41"/>
    </row>
    <row r="63" spans="1:42" x14ac:dyDescent="0.25">
      <c r="A63" s="13" t="s">
        <v>57</v>
      </c>
    </row>
    <row r="64" spans="1:42" x14ac:dyDescent="0.25">
      <c r="A64" s="13" t="s">
        <v>58</v>
      </c>
      <c r="B64" s="33">
        <f t="shared" ref="B64:AG64" si="5">B30</f>
        <v>38553</v>
      </c>
      <c r="C64" s="33">
        <f t="shared" si="5"/>
        <v>38610</v>
      </c>
      <c r="D64" s="33">
        <f t="shared" si="5"/>
        <v>38791</v>
      </c>
      <c r="E64" s="33">
        <f t="shared" si="5"/>
        <v>38975</v>
      </c>
      <c r="F64" s="33">
        <f t="shared" si="5"/>
        <v>39156</v>
      </c>
      <c r="G64" s="33">
        <f t="shared" si="5"/>
        <v>39340</v>
      </c>
      <c r="H64" s="33">
        <f t="shared" si="5"/>
        <v>39522</v>
      </c>
      <c r="I64" s="33">
        <f t="shared" si="5"/>
        <v>39706</v>
      </c>
      <c r="J64" s="33">
        <f t="shared" si="5"/>
        <v>39887</v>
      </c>
      <c r="K64" s="33">
        <f t="shared" si="5"/>
        <v>40071</v>
      </c>
      <c r="L64" s="33">
        <f t="shared" si="5"/>
        <v>40252</v>
      </c>
      <c r="M64" s="33">
        <f t="shared" si="5"/>
        <v>40436</v>
      </c>
      <c r="N64" s="33">
        <f t="shared" si="5"/>
        <v>40617</v>
      </c>
      <c r="O64" s="33">
        <f t="shared" si="5"/>
        <v>40801</v>
      </c>
      <c r="P64" s="33">
        <f t="shared" si="5"/>
        <v>40983</v>
      </c>
      <c r="Q64" s="33">
        <f t="shared" si="5"/>
        <v>41167</v>
      </c>
      <c r="R64" s="33">
        <f t="shared" si="5"/>
        <v>41348</v>
      </c>
      <c r="S64" s="33">
        <f t="shared" si="5"/>
        <v>41532</v>
      </c>
      <c r="T64" s="33">
        <f t="shared" si="5"/>
        <v>41713</v>
      </c>
      <c r="U64" s="33">
        <f t="shared" si="5"/>
        <v>41897</v>
      </c>
      <c r="V64" s="33">
        <f t="shared" si="5"/>
        <v>42078</v>
      </c>
      <c r="W64" s="33">
        <f t="shared" si="5"/>
        <v>42262</v>
      </c>
      <c r="X64" s="33">
        <f t="shared" si="5"/>
        <v>42444</v>
      </c>
      <c r="Y64" s="33">
        <f t="shared" si="5"/>
        <v>42628</v>
      </c>
      <c r="Z64" s="33">
        <f t="shared" si="5"/>
        <v>42809</v>
      </c>
      <c r="AA64" s="33">
        <f t="shared" si="5"/>
        <v>42993</v>
      </c>
      <c r="AB64" s="33">
        <f t="shared" si="5"/>
        <v>43174</v>
      </c>
      <c r="AC64" s="33">
        <f t="shared" si="5"/>
        <v>43358</v>
      </c>
      <c r="AD64" s="33">
        <f t="shared" si="5"/>
        <v>43539</v>
      </c>
      <c r="AE64" s="33">
        <f t="shared" si="5"/>
        <v>43723</v>
      </c>
      <c r="AF64" s="33">
        <f t="shared" si="5"/>
        <v>43905</v>
      </c>
      <c r="AG64" s="33">
        <f t="shared" si="5"/>
        <v>44089</v>
      </c>
      <c r="AH64" s="33">
        <v>44267</v>
      </c>
      <c r="AI64" s="33">
        <f t="shared" ref="AI64:AP64" si="6">AI30</f>
        <v>44454</v>
      </c>
      <c r="AJ64" s="33">
        <f t="shared" si="6"/>
        <v>44635</v>
      </c>
      <c r="AK64" s="33">
        <f t="shared" si="6"/>
        <v>44819</v>
      </c>
      <c r="AL64" s="33">
        <f t="shared" si="6"/>
        <v>45000</v>
      </c>
      <c r="AM64" s="33">
        <f t="shared" si="6"/>
        <v>45184</v>
      </c>
      <c r="AN64" s="33">
        <f t="shared" si="6"/>
        <v>45366</v>
      </c>
      <c r="AO64" s="33">
        <f t="shared" si="6"/>
        <v>45550</v>
      </c>
      <c r="AP64" s="33">
        <f t="shared" si="6"/>
        <v>45731</v>
      </c>
    </row>
    <row r="65" spans="1:42" x14ac:dyDescent="0.25">
      <c r="A65" s="2" t="s">
        <v>46</v>
      </c>
      <c r="B65" s="34">
        <f>-B4</f>
        <v>-0.80390896739130435</v>
      </c>
      <c r="C65" s="17">
        <f t="shared" ref="C65:AP65" si="7">IF(C64&gt;$B$6,0,IF(C64=$B$6,1+$B$3/2,$B$3/2))</f>
        <v>5.2749999999999998E-2</v>
      </c>
      <c r="D65" s="17">
        <f t="shared" si="7"/>
        <v>5.2749999999999998E-2</v>
      </c>
      <c r="E65" s="17">
        <f t="shared" si="7"/>
        <v>5.2749999999999998E-2</v>
      </c>
      <c r="F65" s="17">
        <f t="shared" si="7"/>
        <v>5.2749999999999998E-2</v>
      </c>
      <c r="G65" s="17">
        <f t="shared" si="7"/>
        <v>5.2749999999999998E-2</v>
      </c>
      <c r="H65" s="17">
        <f t="shared" si="7"/>
        <v>5.2749999999999998E-2</v>
      </c>
      <c r="I65" s="17">
        <f t="shared" si="7"/>
        <v>5.2749999999999998E-2</v>
      </c>
      <c r="J65" s="17">
        <f t="shared" si="7"/>
        <v>5.2749999999999998E-2</v>
      </c>
      <c r="K65" s="17">
        <f t="shared" si="7"/>
        <v>5.2749999999999998E-2</v>
      </c>
      <c r="L65" s="17">
        <f t="shared" si="7"/>
        <v>5.2749999999999998E-2</v>
      </c>
      <c r="M65" s="17">
        <f t="shared" si="7"/>
        <v>5.2749999999999998E-2</v>
      </c>
      <c r="N65" s="17">
        <f t="shared" si="7"/>
        <v>5.2749999999999998E-2</v>
      </c>
      <c r="O65" s="17">
        <f t="shared" si="7"/>
        <v>5.2749999999999998E-2</v>
      </c>
      <c r="P65" s="17">
        <f t="shared" si="7"/>
        <v>5.2749999999999998E-2</v>
      </c>
      <c r="Q65" s="17">
        <f t="shared" si="7"/>
        <v>5.2749999999999998E-2</v>
      </c>
      <c r="R65" s="17">
        <f t="shared" si="7"/>
        <v>5.2749999999999998E-2</v>
      </c>
      <c r="S65" s="17">
        <f t="shared" si="7"/>
        <v>5.2749999999999998E-2</v>
      </c>
      <c r="T65" s="17">
        <f t="shared" si="7"/>
        <v>5.2749999999999998E-2</v>
      </c>
      <c r="U65" s="17">
        <f t="shared" si="7"/>
        <v>5.2749999999999998E-2</v>
      </c>
      <c r="V65" s="17">
        <f t="shared" si="7"/>
        <v>5.2749999999999998E-2</v>
      </c>
      <c r="W65" s="17">
        <f t="shared" si="7"/>
        <v>5.2749999999999998E-2</v>
      </c>
      <c r="X65" s="17">
        <f t="shared" si="7"/>
        <v>5.2749999999999998E-2</v>
      </c>
      <c r="Y65" s="17">
        <f t="shared" si="7"/>
        <v>5.2749999999999998E-2</v>
      </c>
      <c r="Z65" s="17">
        <f t="shared" si="7"/>
        <v>5.2749999999999998E-2</v>
      </c>
      <c r="AA65" s="17">
        <f t="shared" si="7"/>
        <v>5.2749999999999998E-2</v>
      </c>
      <c r="AB65" s="17">
        <f t="shared" si="7"/>
        <v>5.2749999999999998E-2</v>
      </c>
      <c r="AC65" s="17">
        <f t="shared" si="7"/>
        <v>5.2749999999999998E-2</v>
      </c>
      <c r="AD65" s="17">
        <f t="shared" si="7"/>
        <v>5.2749999999999998E-2</v>
      </c>
      <c r="AE65" s="17">
        <f t="shared" si="7"/>
        <v>5.2749999999999998E-2</v>
      </c>
      <c r="AF65" s="17">
        <f t="shared" si="7"/>
        <v>5.2749999999999998E-2</v>
      </c>
      <c r="AG65" s="17">
        <f t="shared" si="7"/>
        <v>5.2749999999999998E-2</v>
      </c>
      <c r="AH65" s="17">
        <f t="shared" si="7"/>
        <v>1.0527500000000001</v>
      </c>
      <c r="AI65" s="17">
        <f t="shared" si="7"/>
        <v>0</v>
      </c>
      <c r="AJ65" s="17">
        <f t="shared" si="7"/>
        <v>0</v>
      </c>
      <c r="AK65" s="17">
        <f t="shared" si="7"/>
        <v>0</v>
      </c>
      <c r="AL65" s="17">
        <f t="shared" si="7"/>
        <v>0</v>
      </c>
      <c r="AM65" s="17">
        <f t="shared" si="7"/>
        <v>0</v>
      </c>
      <c r="AN65" s="17">
        <f t="shared" si="7"/>
        <v>0</v>
      </c>
      <c r="AO65" s="17">
        <f t="shared" si="7"/>
        <v>0</v>
      </c>
      <c r="AP65" s="17">
        <f t="shared" si="7"/>
        <v>0</v>
      </c>
    </row>
    <row r="66" spans="1:42" x14ac:dyDescent="0.25">
      <c r="A66" s="2" t="s">
        <v>59</v>
      </c>
      <c r="B66" s="39">
        <f>XIRR(B65:AP65,B64:AP64)</f>
        <v>0.14807288050651554</v>
      </c>
    </row>
    <row r="67" spans="1:42" x14ac:dyDescent="0.25">
      <c r="B67" s="16"/>
    </row>
    <row r="68" spans="1:42" x14ac:dyDescent="0.25">
      <c r="B68" s="16"/>
      <c r="C68" s="16"/>
    </row>
    <row r="69" spans="1:42" x14ac:dyDescent="0.25">
      <c r="B69" s="16"/>
    </row>
    <row r="70" spans="1:42" x14ac:dyDescent="0.25">
      <c r="B70" s="16"/>
    </row>
    <row r="71" spans="1:42" x14ac:dyDescent="0.25">
      <c r="B71" s="16"/>
    </row>
    <row r="72" spans="1:42" x14ac:dyDescent="0.25">
      <c r="B72" s="16"/>
    </row>
  </sheetData>
  <mergeCells count="5">
    <mergeCell ref="A1:K1"/>
    <mergeCell ref="B13:B14"/>
    <mergeCell ref="C13:J13"/>
    <mergeCell ref="A39:C39"/>
    <mergeCell ref="G57:J5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A227A-FB0F-467B-ABC8-1A0EAE5CE0B6}">
  <sheetPr codeName="Sheet23"/>
  <dimension ref="A1:P22"/>
  <sheetViews>
    <sheetView tabSelected="1" workbookViewId="0">
      <selection activeCell="C39" sqref="C39"/>
    </sheetView>
  </sheetViews>
  <sheetFormatPr defaultRowHeight="13.2" x14ac:dyDescent="0.25"/>
  <cols>
    <col min="1" max="1" width="34.33203125" style="2" bestFit="1" customWidth="1"/>
    <col min="2" max="2" width="11.33203125" style="2" customWidth="1"/>
    <col min="3" max="3" width="12.33203125" style="2" customWidth="1"/>
    <col min="4" max="13" width="8.88671875" style="2"/>
    <col min="14" max="14" width="27.6640625" style="2" customWidth="1"/>
    <col min="15" max="15" width="9.44140625" style="2" bestFit="1" customWidth="1"/>
    <col min="16" max="16" width="9.5546875" style="2" customWidth="1"/>
    <col min="17" max="256" width="8.88671875" style="2"/>
    <col min="257" max="257" width="12" style="2" customWidth="1"/>
    <col min="258" max="258" width="11.33203125" style="2" customWidth="1"/>
    <col min="259" max="259" width="12.33203125" style="2" customWidth="1"/>
    <col min="260" max="269" width="8.88671875" style="2"/>
    <col min="270" max="270" width="27.6640625" style="2" customWidth="1"/>
    <col min="271" max="271" width="9.44140625" style="2" bestFit="1" customWidth="1"/>
    <col min="272" max="272" width="9.5546875" style="2" customWidth="1"/>
    <col min="273" max="512" width="8.88671875" style="2"/>
    <col min="513" max="513" width="12" style="2" customWidth="1"/>
    <col min="514" max="514" width="11.33203125" style="2" customWidth="1"/>
    <col min="515" max="515" width="12.33203125" style="2" customWidth="1"/>
    <col min="516" max="525" width="8.88671875" style="2"/>
    <col min="526" max="526" width="27.6640625" style="2" customWidth="1"/>
    <col min="527" max="527" width="9.44140625" style="2" bestFit="1" customWidth="1"/>
    <col min="528" max="528" width="9.5546875" style="2" customWidth="1"/>
    <col min="529" max="768" width="8.88671875" style="2"/>
    <col min="769" max="769" width="12" style="2" customWidth="1"/>
    <col min="770" max="770" width="11.33203125" style="2" customWidth="1"/>
    <col min="771" max="771" width="12.33203125" style="2" customWidth="1"/>
    <col min="772" max="781" width="8.88671875" style="2"/>
    <col min="782" max="782" width="27.6640625" style="2" customWidth="1"/>
    <col min="783" max="783" width="9.44140625" style="2" bestFit="1" customWidth="1"/>
    <col min="784" max="784" width="9.5546875" style="2" customWidth="1"/>
    <col min="785" max="1024" width="8.88671875" style="2"/>
    <col min="1025" max="1025" width="12" style="2" customWidth="1"/>
    <col min="1026" max="1026" width="11.33203125" style="2" customWidth="1"/>
    <col min="1027" max="1027" width="12.33203125" style="2" customWidth="1"/>
    <col min="1028" max="1037" width="8.88671875" style="2"/>
    <col min="1038" max="1038" width="27.6640625" style="2" customWidth="1"/>
    <col min="1039" max="1039" width="9.44140625" style="2" bestFit="1" customWidth="1"/>
    <col min="1040" max="1040" width="9.5546875" style="2" customWidth="1"/>
    <col min="1041" max="1280" width="8.88671875" style="2"/>
    <col min="1281" max="1281" width="12" style="2" customWidth="1"/>
    <col min="1282" max="1282" width="11.33203125" style="2" customWidth="1"/>
    <col min="1283" max="1283" width="12.33203125" style="2" customWidth="1"/>
    <col min="1284" max="1293" width="8.88671875" style="2"/>
    <col min="1294" max="1294" width="27.6640625" style="2" customWidth="1"/>
    <col min="1295" max="1295" width="9.44140625" style="2" bestFit="1" customWidth="1"/>
    <col min="1296" max="1296" width="9.5546875" style="2" customWidth="1"/>
    <col min="1297" max="1536" width="8.88671875" style="2"/>
    <col min="1537" max="1537" width="12" style="2" customWidth="1"/>
    <col min="1538" max="1538" width="11.33203125" style="2" customWidth="1"/>
    <col min="1539" max="1539" width="12.33203125" style="2" customWidth="1"/>
    <col min="1540" max="1549" width="8.88671875" style="2"/>
    <col min="1550" max="1550" width="27.6640625" style="2" customWidth="1"/>
    <col min="1551" max="1551" width="9.44140625" style="2" bestFit="1" customWidth="1"/>
    <col min="1552" max="1552" width="9.5546875" style="2" customWidth="1"/>
    <col min="1553" max="1792" width="8.88671875" style="2"/>
    <col min="1793" max="1793" width="12" style="2" customWidth="1"/>
    <col min="1794" max="1794" width="11.33203125" style="2" customWidth="1"/>
    <col min="1795" max="1795" width="12.33203125" style="2" customWidth="1"/>
    <col min="1796" max="1805" width="8.88671875" style="2"/>
    <col min="1806" max="1806" width="27.6640625" style="2" customWidth="1"/>
    <col min="1807" max="1807" width="9.44140625" style="2" bestFit="1" customWidth="1"/>
    <col min="1808" max="1808" width="9.5546875" style="2" customWidth="1"/>
    <col min="1809" max="2048" width="8.88671875" style="2"/>
    <col min="2049" max="2049" width="12" style="2" customWidth="1"/>
    <col min="2050" max="2050" width="11.33203125" style="2" customWidth="1"/>
    <col min="2051" max="2051" width="12.33203125" style="2" customWidth="1"/>
    <col min="2052" max="2061" width="8.88671875" style="2"/>
    <col min="2062" max="2062" width="27.6640625" style="2" customWidth="1"/>
    <col min="2063" max="2063" width="9.44140625" style="2" bestFit="1" customWidth="1"/>
    <col min="2064" max="2064" width="9.5546875" style="2" customWidth="1"/>
    <col min="2065" max="2304" width="8.88671875" style="2"/>
    <col min="2305" max="2305" width="12" style="2" customWidth="1"/>
    <col min="2306" max="2306" width="11.33203125" style="2" customWidth="1"/>
    <col min="2307" max="2307" width="12.33203125" style="2" customWidth="1"/>
    <col min="2308" max="2317" width="8.88671875" style="2"/>
    <col min="2318" max="2318" width="27.6640625" style="2" customWidth="1"/>
    <col min="2319" max="2319" width="9.44140625" style="2" bestFit="1" customWidth="1"/>
    <col min="2320" max="2320" width="9.5546875" style="2" customWidth="1"/>
    <col min="2321" max="2560" width="8.88671875" style="2"/>
    <col min="2561" max="2561" width="12" style="2" customWidth="1"/>
    <col min="2562" max="2562" width="11.33203125" style="2" customWidth="1"/>
    <col min="2563" max="2563" width="12.33203125" style="2" customWidth="1"/>
    <col min="2564" max="2573" width="8.88671875" style="2"/>
    <col min="2574" max="2574" width="27.6640625" style="2" customWidth="1"/>
    <col min="2575" max="2575" width="9.44140625" style="2" bestFit="1" customWidth="1"/>
    <col min="2576" max="2576" width="9.5546875" style="2" customWidth="1"/>
    <col min="2577" max="2816" width="8.88671875" style="2"/>
    <col min="2817" max="2817" width="12" style="2" customWidth="1"/>
    <col min="2818" max="2818" width="11.33203125" style="2" customWidth="1"/>
    <col min="2819" max="2819" width="12.33203125" style="2" customWidth="1"/>
    <col min="2820" max="2829" width="8.88671875" style="2"/>
    <col min="2830" max="2830" width="27.6640625" style="2" customWidth="1"/>
    <col min="2831" max="2831" width="9.44140625" style="2" bestFit="1" customWidth="1"/>
    <col min="2832" max="2832" width="9.5546875" style="2" customWidth="1"/>
    <col min="2833" max="3072" width="8.88671875" style="2"/>
    <col min="3073" max="3073" width="12" style="2" customWidth="1"/>
    <col min="3074" max="3074" width="11.33203125" style="2" customWidth="1"/>
    <col min="3075" max="3075" width="12.33203125" style="2" customWidth="1"/>
    <col min="3076" max="3085" width="8.88671875" style="2"/>
    <col min="3086" max="3086" width="27.6640625" style="2" customWidth="1"/>
    <col min="3087" max="3087" width="9.44140625" style="2" bestFit="1" customWidth="1"/>
    <col min="3088" max="3088" width="9.5546875" style="2" customWidth="1"/>
    <col min="3089" max="3328" width="8.88671875" style="2"/>
    <col min="3329" max="3329" width="12" style="2" customWidth="1"/>
    <col min="3330" max="3330" width="11.33203125" style="2" customWidth="1"/>
    <col min="3331" max="3331" width="12.33203125" style="2" customWidth="1"/>
    <col min="3332" max="3341" width="8.88671875" style="2"/>
    <col min="3342" max="3342" width="27.6640625" style="2" customWidth="1"/>
    <col min="3343" max="3343" width="9.44140625" style="2" bestFit="1" customWidth="1"/>
    <col min="3344" max="3344" width="9.5546875" style="2" customWidth="1"/>
    <col min="3345" max="3584" width="8.88671875" style="2"/>
    <col min="3585" max="3585" width="12" style="2" customWidth="1"/>
    <col min="3586" max="3586" width="11.33203125" style="2" customWidth="1"/>
    <col min="3587" max="3587" width="12.33203125" style="2" customWidth="1"/>
    <col min="3588" max="3597" width="8.88671875" style="2"/>
    <col min="3598" max="3598" width="27.6640625" style="2" customWidth="1"/>
    <col min="3599" max="3599" width="9.44140625" style="2" bestFit="1" customWidth="1"/>
    <col min="3600" max="3600" width="9.5546875" style="2" customWidth="1"/>
    <col min="3601" max="3840" width="8.88671875" style="2"/>
    <col min="3841" max="3841" width="12" style="2" customWidth="1"/>
    <col min="3842" max="3842" width="11.33203125" style="2" customWidth="1"/>
    <col min="3843" max="3843" width="12.33203125" style="2" customWidth="1"/>
    <col min="3844" max="3853" width="8.88671875" style="2"/>
    <col min="3854" max="3854" width="27.6640625" style="2" customWidth="1"/>
    <col min="3855" max="3855" width="9.44140625" style="2" bestFit="1" customWidth="1"/>
    <col min="3856" max="3856" width="9.5546875" style="2" customWidth="1"/>
    <col min="3857" max="4096" width="8.88671875" style="2"/>
    <col min="4097" max="4097" width="12" style="2" customWidth="1"/>
    <col min="4098" max="4098" width="11.33203125" style="2" customWidth="1"/>
    <col min="4099" max="4099" width="12.33203125" style="2" customWidth="1"/>
    <col min="4100" max="4109" width="8.88671875" style="2"/>
    <col min="4110" max="4110" width="27.6640625" style="2" customWidth="1"/>
    <col min="4111" max="4111" width="9.44140625" style="2" bestFit="1" customWidth="1"/>
    <col min="4112" max="4112" width="9.5546875" style="2" customWidth="1"/>
    <col min="4113" max="4352" width="8.88671875" style="2"/>
    <col min="4353" max="4353" width="12" style="2" customWidth="1"/>
    <col min="4354" max="4354" width="11.33203125" style="2" customWidth="1"/>
    <col min="4355" max="4355" width="12.33203125" style="2" customWidth="1"/>
    <col min="4356" max="4365" width="8.88671875" style="2"/>
    <col min="4366" max="4366" width="27.6640625" style="2" customWidth="1"/>
    <col min="4367" max="4367" width="9.44140625" style="2" bestFit="1" customWidth="1"/>
    <col min="4368" max="4368" width="9.5546875" style="2" customWidth="1"/>
    <col min="4369" max="4608" width="8.88671875" style="2"/>
    <col min="4609" max="4609" width="12" style="2" customWidth="1"/>
    <col min="4610" max="4610" width="11.33203125" style="2" customWidth="1"/>
    <col min="4611" max="4611" width="12.33203125" style="2" customWidth="1"/>
    <col min="4612" max="4621" width="8.88671875" style="2"/>
    <col min="4622" max="4622" width="27.6640625" style="2" customWidth="1"/>
    <col min="4623" max="4623" width="9.44140625" style="2" bestFit="1" customWidth="1"/>
    <col min="4624" max="4624" width="9.5546875" style="2" customWidth="1"/>
    <col min="4625" max="4864" width="8.88671875" style="2"/>
    <col min="4865" max="4865" width="12" style="2" customWidth="1"/>
    <col min="4866" max="4866" width="11.33203125" style="2" customWidth="1"/>
    <col min="4867" max="4867" width="12.33203125" style="2" customWidth="1"/>
    <col min="4868" max="4877" width="8.88671875" style="2"/>
    <col min="4878" max="4878" width="27.6640625" style="2" customWidth="1"/>
    <col min="4879" max="4879" width="9.44140625" style="2" bestFit="1" customWidth="1"/>
    <col min="4880" max="4880" width="9.5546875" style="2" customWidth="1"/>
    <col min="4881" max="5120" width="8.88671875" style="2"/>
    <col min="5121" max="5121" width="12" style="2" customWidth="1"/>
    <col min="5122" max="5122" width="11.33203125" style="2" customWidth="1"/>
    <col min="5123" max="5123" width="12.33203125" style="2" customWidth="1"/>
    <col min="5124" max="5133" width="8.88671875" style="2"/>
    <col min="5134" max="5134" width="27.6640625" style="2" customWidth="1"/>
    <col min="5135" max="5135" width="9.44140625" style="2" bestFit="1" customWidth="1"/>
    <col min="5136" max="5136" width="9.5546875" style="2" customWidth="1"/>
    <col min="5137" max="5376" width="8.88671875" style="2"/>
    <col min="5377" max="5377" width="12" style="2" customWidth="1"/>
    <col min="5378" max="5378" width="11.33203125" style="2" customWidth="1"/>
    <col min="5379" max="5379" width="12.33203125" style="2" customWidth="1"/>
    <col min="5380" max="5389" width="8.88671875" style="2"/>
    <col min="5390" max="5390" width="27.6640625" style="2" customWidth="1"/>
    <col min="5391" max="5391" width="9.44140625" style="2" bestFit="1" customWidth="1"/>
    <col min="5392" max="5392" width="9.5546875" style="2" customWidth="1"/>
    <col min="5393" max="5632" width="8.88671875" style="2"/>
    <col min="5633" max="5633" width="12" style="2" customWidth="1"/>
    <col min="5634" max="5634" width="11.33203125" style="2" customWidth="1"/>
    <col min="5635" max="5635" width="12.33203125" style="2" customWidth="1"/>
    <col min="5636" max="5645" width="8.88671875" style="2"/>
    <col min="5646" max="5646" width="27.6640625" style="2" customWidth="1"/>
    <col min="5647" max="5647" width="9.44140625" style="2" bestFit="1" customWidth="1"/>
    <col min="5648" max="5648" width="9.5546875" style="2" customWidth="1"/>
    <col min="5649" max="5888" width="8.88671875" style="2"/>
    <col min="5889" max="5889" width="12" style="2" customWidth="1"/>
    <col min="5890" max="5890" width="11.33203125" style="2" customWidth="1"/>
    <col min="5891" max="5891" width="12.33203125" style="2" customWidth="1"/>
    <col min="5892" max="5901" width="8.88671875" style="2"/>
    <col min="5902" max="5902" width="27.6640625" style="2" customWidth="1"/>
    <col min="5903" max="5903" width="9.44140625" style="2" bestFit="1" customWidth="1"/>
    <col min="5904" max="5904" width="9.5546875" style="2" customWidth="1"/>
    <col min="5905" max="6144" width="8.88671875" style="2"/>
    <col min="6145" max="6145" width="12" style="2" customWidth="1"/>
    <col min="6146" max="6146" width="11.33203125" style="2" customWidth="1"/>
    <col min="6147" max="6147" width="12.33203125" style="2" customWidth="1"/>
    <col min="6148" max="6157" width="8.88671875" style="2"/>
    <col min="6158" max="6158" width="27.6640625" style="2" customWidth="1"/>
    <col min="6159" max="6159" width="9.44140625" style="2" bestFit="1" customWidth="1"/>
    <col min="6160" max="6160" width="9.5546875" style="2" customWidth="1"/>
    <col min="6161" max="6400" width="8.88671875" style="2"/>
    <col min="6401" max="6401" width="12" style="2" customWidth="1"/>
    <col min="6402" max="6402" width="11.33203125" style="2" customWidth="1"/>
    <col min="6403" max="6403" width="12.33203125" style="2" customWidth="1"/>
    <col min="6404" max="6413" width="8.88671875" style="2"/>
    <col min="6414" max="6414" width="27.6640625" style="2" customWidth="1"/>
    <col min="6415" max="6415" width="9.44140625" style="2" bestFit="1" customWidth="1"/>
    <col min="6416" max="6416" width="9.5546875" style="2" customWidth="1"/>
    <col min="6417" max="6656" width="8.88671875" style="2"/>
    <col min="6657" max="6657" width="12" style="2" customWidth="1"/>
    <col min="6658" max="6658" width="11.33203125" style="2" customWidth="1"/>
    <col min="6659" max="6659" width="12.33203125" style="2" customWidth="1"/>
    <col min="6660" max="6669" width="8.88671875" style="2"/>
    <col min="6670" max="6670" width="27.6640625" style="2" customWidth="1"/>
    <col min="6671" max="6671" width="9.44140625" style="2" bestFit="1" customWidth="1"/>
    <col min="6672" max="6672" width="9.5546875" style="2" customWidth="1"/>
    <col min="6673" max="6912" width="8.88671875" style="2"/>
    <col min="6913" max="6913" width="12" style="2" customWidth="1"/>
    <col min="6914" max="6914" width="11.33203125" style="2" customWidth="1"/>
    <col min="6915" max="6915" width="12.33203125" style="2" customWidth="1"/>
    <col min="6916" max="6925" width="8.88671875" style="2"/>
    <col min="6926" max="6926" width="27.6640625" style="2" customWidth="1"/>
    <col min="6927" max="6927" width="9.44140625" style="2" bestFit="1" customWidth="1"/>
    <col min="6928" max="6928" width="9.5546875" style="2" customWidth="1"/>
    <col min="6929" max="7168" width="8.88671875" style="2"/>
    <col min="7169" max="7169" width="12" style="2" customWidth="1"/>
    <col min="7170" max="7170" width="11.33203125" style="2" customWidth="1"/>
    <col min="7171" max="7171" width="12.33203125" style="2" customWidth="1"/>
    <col min="7172" max="7181" width="8.88671875" style="2"/>
    <col min="7182" max="7182" width="27.6640625" style="2" customWidth="1"/>
    <col min="7183" max="7183" width="9.44140625" style="2" bestFit="1" customWidth="1"/>
    <col min="7184" max="7184" width="9.5546875" style="2" customWidth="1"/>
    <col min="7185" max="7424" width="8.88671875" style="2"/>
    <col min="7425" max="7425" width="12" style="2" customWidth="1"/>
    <col min="7426" max="7426" width="11.33203125" style="2" customWidth="1"/>
    <col min="7427" max="7427" width="12.33203125" style="2" customWidth="1"/>
    <col min="7428" max="7437" width="8.88671875" style="2"/>
    <col min="7438" max="7438" width="27.6640625" style="2" customWidth="1"/>
    <col min="7439" max="7439" width="9.44140625" style="2" bestFit="1" customWidth="1"/>
    <col min="7440" max="7440" width="9.5546875" style="2" customWidth="1"/>
    <col min="7441" max="7680" width="8.88671875" style="2"/>
    <col min="7681" max="7681" width="12" style="2" customWidth="1"/>
    <col min="7682" max="7682" width="11.33203125" style="2" customWidth="1"/>
    <col min="7683" max="7683" width="12.33203125" style="2" customWidth="1"/>
    <col min="7684" max="7693" width="8.88671875" style="2"/>
    <col min="7694" max="7694" width="27.6640625" style="2" customWidth="1"/>
    <col min="7695" max="7695" width="9.44140625" style="2" bestFit="1" customWidth="1"/>
    <col min="7696" max="7696" width="9.5546875" style="2" customWidth="1"/>
    <col min="7697" max="7936" width="8.88671875" style="2"/>
    <col min="7937" max="7937" width="12" style="2" customWidth="1"/>
    <col min="7938" max="7938" width="11.33203125" style="2" customWidth="1"/>
    <col min="7939" max="7939" width="12.33203125" style="2" customWidth="1"/>
    <col min="7940" max="7949" width="8.88671875" style="2"/>
    <col min="7950" max="7950" width="27.6640625" style="2" customWidth="1"/>
    <col min="7951" max="7951" width="9.44140625" style="2" bestFit="1" customWidth="1"/>
    <col min="7952" max="7952" width="9.5546875" style="2" customWidth="1"/>
    <col min="7953" max="8192" width="8.88671875" style="2"/>
    <col min="8193" max="8193" width="12" style="2" customWidth="1"/>
    <col min="8194" max="8194" width="11.33203125" style="2" customWidth="1"/>
    <col min="8195" max="8195" width="12.33203125" style="2" customWidth="1"/>
    <col min="8196" max="8205" width="8.88671875" style="2"/>
    <col min="8206" max="8206" width="27.6640625" style="2" customWidth="1"/>
    <col min="8207" max="8207" width="9.44140625" style="2" bestFit="1" customWidth="1"/>
    <col min="8208" max="8208" width="9.5546875" style="2" customWidth="1"/>
    <col min="8209" max="8448" width="8.88671875" style="2"/>
    <col min="8449" max="8449" width="12" style="2" customWidth="1"/>
    <col min="8450" max="8450" width="11.33203125" style="2" customWidth="1"/>
    <col min="8451" max="8451" width="12.33203125" style="2" customWidth="1"/>
    <col min="8452" max="8461" width="8.88671875" style="2"/>
    <col min="8462" max="8462" width="27.6640625" style="2" customWidth="1"/>
    <col min="8463" max="8463" width="9.44140625" style="2" bestFit="1" customWidth="1"/>
    <col min="8464" max="8464" width="9.5546875" style="2" customWidth="1"/>
    <col min="8465" max="8704" width="8.88671875" style="2"/>
    <col min="8705" max="8705" width="12" style="2" customWidth="1"/>
    <col min="8706" max="8706" width="11.33203125" style="2" customWidth="1"/>
    <col min="8707" max="8707" width="12.33203125" style="2" customWidth="1"/>
    <col min="8708" max="8717" width="8.88671875" style="2"/>
    <col min="8718" max="8718" width="27.6640625" style="2" customWidth="1"/>
    <col min="8719" max="8719" width="9.44140625" style="2" bestFit="1" customWidth="1"/>
    <col min="8720" max="8720" width="9.5546875" style="2" customWidth="1"/>
    <col min="8721" max="8960" width="8.88671875" style="2"/>
    <col min="8961" max="8961" width="12" style="2" customWidth="1"/>
    <col min="8962" max="8962" width="11.33203125" style="2" customWidth="1"/>
    <col min="8963" max="8963" width="12.33203125" style="2" customWidth="1"/>
    <col min="8964" max="8973" width="8.88671875" style="2"/>
    <col min="8974" max="8974" width="27.6640625" style="2" customWidth="1"/>
    <col min="8975" max="8975" width="9.44140625" style="2" bestFit="1" customWidth="1"/>
    <col min="8976" max="8976" width="9.5546875" style="2" customWidth="1"/>
    <col min="8977" max="9216" width="8.88671875" style="2"/>
    <col min="9217" max="9217" width="12" style="2" customWidth="1"/>
    <col min="9218" max="9218" width="11.33203125" style="2" customWidth="1"/>
    <col min="9219" max="9219" width="12.33203125" style="2" customWidth="1"/>
    <col min="9220" max="9229" width="8.88671875" style="2"/>
    <col min="9230" max="9230" width="27.6640625" style="2" customWidth="1"/>
    <col min="9231" max="9231" width="9.44140625" style="2" bestFit="1" customWidth="1"/>
    <col min="9232" max="9232" width="9.5546875" style="2" customWidth="1"/>
    <col min="9233" max="9472" width="8.88671875" style="2"/>
    <col min="9473" max="9473" width="12" style="2" customWidth="1"/>
    <col min="9474" max="9474" width="11.33203125" style="2" customWidth="1"/>
    <col min="9475" max="9475" width="12.33203125" style="2" customWidth="1"/>
    <col min="9476" max="9485" width="8.88671875" style="2"/>
    <col min="9486" max="9486" width="27.6640625" style="2" customWidth="1"/>
    <col min="9487" max="9487" width="9.44140625" style="2" bestFit="1" customWidth="1"/>
    <col min="9488" max="9488" width="9.5546875" style="2" customWidth="1"/>
    <col min="9489" max="9728" width="8.88671875" style="2"/>
    <col min="9729" max="9729" width="12" style="2" customWidth="1"/>
    <col min="9730" max="9730" width="11.33203125" style="2" customWidth="1"/>
    <col min="9731" max="9731" width="12.33203125" style="2" customWidth="1"/>
    <col min="9732" max="9741" width="8.88671875" style="2"/>
    <col min="9742" max="9742" width="27.6640625" style="2" customWidth="1"/>
    <col min="9743" max="9743" width="9.44140625" style="2" bestFit="1" customWidth="1"/>
    <col min="9744" max="9744" width="9.5546875" style="2" customWidth="1"/>
    <col min="9745" max="9984" width="8.88671875" style="2"/>
    <col min="9985" max="9985" width="12" style="2" customWidth="1"/>
    <col min="9986" max="9986" width="11.33203125" style="2" customWidth="1"/>
    <col min="9987" max="9987" width="12.33203125" style="2" customWidth="1"/>
    <col min="9988" max="9997" width="8.88671875" style="2"/>
    <col min="9998" max="9998" width="27.6640625" style="2" customWidth="1"/>
    <col min="9999" max="9999" width="9.44140625" style="2" bestFit="1" customWidth="1"/>
    <col min="10000" max="10000" width="9.5546875" style="2" customWidth="1"/>
    <col min="10001" max="10240" width="8.88671875" style="2"/>
    <col min="10241" max="10241" width="12" style="2" customWidth="1"/>
    <col min="10242" max="10242" width="11.33203125" style="2" customWidth="1"/>
    <col min="10243" max="10243" width="12.33203125" style="2" customWidth="1"/>
    <col min="10244" max="10253" width="8.88671875" style="2"/>
    <col min="10254" max="10254" width="27.6640625" style="2" customWidth="1"/>
    <col min="10255" max="10255" width="9.44140625" style="2" bestFit="1" customWidth="1"/>
    <col min="10256" max="10256" width="9.5546875" style="2" customWidth="1"/>
    <col min="10257" max="10496" width="8.88671875" style="2"/>
    <col min="10497" max="10497" width="12" style="2" customWidth="1"/>
    <col min="10498" max="10498" width="11.33203125" style="2" customWidth="1"/>
    <col min="10499" max="10499" width="12.33203125" style="2" customWidth="1"/>
    <col min="10500" max="10509" width="8.88671875" style="2"/>
    <col min="10510" max="10510" width="27.6640625" style="2" customWidth="1"/>
    <col min="10511" max="10511" width="9.44140625" style="2" bestFit="1" customWidth="1"/>
    <col min="10512" max="10512" width="9.5546875" style="2" customWidth="1"/>
    <col min="10513" max="10752" width="8.88671875" style="2"/>
    <col min="10753" max="10753" width="12" style="2" customWidth="1"/>
    <col min="10754" max="10754" width="11.33203125" style="2" customWidth="1"/>
    <col min="10755" max="10755" width="12.33203125" style="2" customWidth="1"/>
    <col min="10756" max="10765" width="8.88671875" style="2"/>
    <col min="10766" max="10766" width="27.6640625" style="2" customWidth="1"/>
    <col min="10767" max="10767" width="9.44140625" style="2" bestFit="1" customWidth="1"/>
    <col min="10768" max="10768" width="9.5546875" style="2" customWidth="1"/>
    <col min="10769" max="11008" width="8.88671875" style="2"/>
    <col min="11009" max="11009" width="12" style="2" customWidth="1"/>
    <col min="11010" max="11010" width="11.33203125" style="2" customWidth="1"/>
    <col min="11011" max="11011" width="12.33203125" style="2" customWidth="1"/>
    <col min="11012" max="11021" width="8.88671875" style="2"/>
    <col min="11022" max="11022" width="27.6640625" style="2" customWidth="1"/>
    <col min="11023" max="11023" width="9.44140625" style="2" bestFit="1" customWidth="1"/>
    <col min="11024" max="11024" width="9.5546875" style="2" customWidth="1"/>
    <col min="11025" max="11264" width="8.88671875" style="2"/>
    <col min="11265" max="11265" width="12" style="2" customWidth="1"/>
    <col min="11266" max="11266" width="11.33203125" style="2" customWidth="1"/>
    <col min="11267" max="11267" width="12.33203125" style="2" customWidth="1"/>
    <col min="11268" max="11277" width="8.88671875" style="2"/>
    <col min="11278" max="11278" width="27.6640625" style="2" customWidth="1"/>
    <col min="11279" max="11279" width="9.44140625" style="2" bestFit="1" customWidth="1"/>
    <col min="11280" max="11280" width="9.5546875" style="2" customWidth="1"/>
    <col min="11281" max="11520" width="8.88671875" style="2"/>
    <col min="11521" max="11521" width="12" style="2" customWidth="1"/>
    <col min="11522" max="11522" width="11.33203125" style="2" customWidth="1"/>
    <col min="11523" max="11523" width="12.33203125" style="2" customWidth="1"/>
    <col min="11524" max="11533" width="8.88671875" style="2"/>
    <col min="11534" max="11534" width="27.6640625" style="2" customWidth="1"/>
    <col min="11535" max="11535" width="9.44140625" style="2" bestFit="1" customWidth="1"/>
    <col min="11536" max="11536" width="9.5546875" style="2" customWidth="1"/>
    <col min="11537" max="11776" width="8.88671875" style="2"/>
    <col min="11777" max="11777" width="12" style="2" customWidth="1"/>
    <col min="11778" max="11778" width="11.33203125" style="2" customWidth="1"/>
    <col min="11779" max="11779" width="12.33203125" style="2" customWidth="1"/>
    <col min="11780" max="11789" width="8.88671875" style="2"/>
    <col min="11790" max="11790" width="27.6640625" style="2" customWidth="1"/>
    <col min="11791" max="11791" width="9.44140625" style="2" bestFit="1" customWidth="1"/>
    <col min="11792" max="11792" width="9.5546875" style="2" customWidth="1"/>
    <col min="11793" max="12032" width="8.88671875" style="2"/>
    <col min="12033" max="12033" width="12" style="2" customWidth="1"/>
    <col min="12034" max="12034" width="11.33203125" style="2" customWidth="1"/>
    <col min="12035" max="12035" width="12.33203125" style="2" customWidth="1"/>
    <col min="12036" max="12045" width="8.88671875" style="2"/>
    <col min="12046" max="12046" width="27.6640625" style="2" customWidth="1"/>
    <col min="12047" max="12047" width="9.44140625" style="2" bestFit="1" customWidth="1"/>
    <col min="12048" max="12048" width="9.5546875" style="2" customWidth="1"/>
    <col min="12049" max="12288" width="8.88671875" style="2"/>
    <col min="12289" max="12289" width="12" style="2" customWidth="1"/>
    <col min="12290" max="12290" width="11.33203125" style="2" customWidth="1"/>
    <col min="12291" max="12291" width="12.33203125" style="2" customWidth="1"/>
    <col min="12292" max="12301" width="8.88671875" style="2"/>
    <col min="12302" max="12302" width="27.6640625" style="2" customWidth="1"/>
    <col min="12303" max="12303" width="9.44140625" style="2" bestFit="1" customWidth="1"/>
    <col min="12304" max="12304" width="9.5546875" style="2" customWidth="1"/>
    <col min="12305" max="12544" width="8.88671875" style="2"/>
    <col min="12545" max="12545" width="12" style="2" customWidth="1"/>
    <col min="12546" max="12546" width="11.33203125" style="2" customWidth="1"/>
    <col min="12547" max="12547" width="12.33203125" style="2" customWidth="1"/>
    <col min="12548" max="12557" width="8.88671875" style="2"/>
    <col min="12558" max="12558" width="27.6640625" style="2" customWidth="1"/>
    <col min="12559" max="12559" width="9.44140625" style="2" bestFit="1" customWidth="1"/>
    <col min="12560" max="12560" width="9.5546875" style="2" customWidth="1"/>
    <col min="12561" max="12800" width="8.88671875" style="2"/>
    <col min="12801" max="12801" width="12" style="2" customWidth="1"/>
    <col min="12802" max="12802" width="11.33203125" style="2" customWidth="1"/>
    <col min="12803" max="12803" width="12.33203125" style="2" customWidth="1"/>
    <col min="12804" max="12813" width="8.88671875" style="2"/>
    <col min="12814" max="12814" width="27.6640625" style="2" customWidth="1"/>
    <col min="12815" max="12815" width="9.44140625" style="2" bestFit="1" customWidth="1"/>
    <col min="12816" max="12816" width="9.5546875" style="2" customWidth="1"/>
    <col min="12817" max="13056" width="8.88671875" style="2"/>
    <col min="13057" max="13057" width="12" style="2" customWidth="1"/>
    <col min="13058" max="13058" width="11.33203125" style="2" customWidth="1"/>
    <col min="13059" max="13059" width="12.33203125" style="2" customWidth="1"/>
    <col min="13060" max="13069" width="8.88671875" style="2"/>
    <col min="13070" max="13070" width="27.6640625" style="2" customWidth="1"/>
    <col min="13071" max="13071" width="9.44140625" style="2" bestFit="1" customWidth="1"/>
    <col min="13072" max="13072" width="9.5546875" style="2" customWidth="1"/>
    <col min="13073" max="13312" width="8.88671875" style="2"/>
    <col min="13313" max="13313" width="12" style="2" customWidth="1"/>
    <col min="13314" max="13314" width="11.33203125" style="2" customWidth="1"/>
    <col min="13315" max="13315" width="12.33203125" style="2" customWidth="1"/>
    <col min="13316" max="13325" width="8.88671875" style="2"/>
    <col min="13326" max="13326" width="27.6640625" style="2" customWidth="1"/>
    <col min="13327" max="13327" width="9.44140625" style="2" bestFit="1" customWidth="1"/>
    <col min="13328" max="13328" width="9.5546875" style="2" customWidth="1"/>
    <col min="13329" max="13568" width="8.88671875" style="2"/>
    <col min="13569" max="13569" width="12" style="2" customWidth="1"/>
    <col min="13570" max="13570" width="11.33203125" style="2" customWidth="1"/>
    <col min="13571" max="13571" width="12.33203125" style="2" customWidth="1"/>
    <col min="13572" max="13581" width="8.88671875" style="2"/>
    <col min="13582" max="13582" width="27.6640625" style="2" customWidth="1"/>
    <col min="13583" max="13583" width="9.44140625" style="2" bestFit="1" customWidth="1"/>
    <col min="13584" max="13584" width="9.5546875" style="2" customWidth="1"/>
    <col min="13585" max="13824" width="8.88671875" style="2"/>
    <col min="13825" max="13825" width="12" style="2" customWidth="1"/>
    <col min="13826" max="13826" width="11.33203125" style="2" customWidth="1"/>
    <col min="13827" max="13827" width="12.33203125" style="2" customWidth="1"/>
    <col min="13828" max="13837" width="8.88671875" style="2"/>
    <col min="13838" max="13838" width="27.6640625" style="2" customWidth="1"/>
    <col min="13839" max="13839" width="9.44140625" style="2" bestFit="1" customWidth="1"/>
    <col min="13840" max="13840" width="9.5546875" style="2" customWidth="1"/>
    <col min="13841" max="14080" width="8.88671875" style="2"/>
    <col min="14081" max="14081" width="12" style="2" customWidth="1"/>
    <col min="14082" max="14082" width="11.33203125" style="2" customWidth="1"/>
    <col min="14083" max="14083" width="12.33203125" style="2" customWidth="1"/>
    <col min="14084" max="14093" width="8.88671875" style="2"/>
    <col min="14094" max="14094" width="27.6640625" style="2" customWidth="1"/>
    <col min="14095" max="14095" width="9.44140625" style="2" bestFit="1" customWidth="1"/>
    <col min="14096" max="14096" width="9.5546875" style="2" customWidth="1"/>
    <col min="14097" max="14336" width="8.88671875" style="2"/>
    <col min="14337" max="14337" width="12" style="2" customWidth="1"/>
    <col min="14338" max="14338" width="11.33203125" style="2" customWidth="1"/>
    <col min="14339" max="14339" width="12.33203125" style="2" customWidth="1"/>
    <col min="14340" max="14349" width="8.88671875" style="2"/>
    <col min="14350" max="14350" width="27.6640625" style="2" customWidth="1"/>
    <col min="14351" max="14351" width="9.44140625" style="2" bestFit="1" customWidth="1"/>
    <col min="14352" max="14352" width="9.5546875" style="2" customWidth="1"/>
    <col min="14353" max="14592" width="8.88671875" style="2"/>
    <col min="14593" max="14593" width="12" style="2" customWidth="1"/>
    <col min="14594" max="14594" width="11.33203125" style="2" customWidth="1"/>
    <col min="14595" max="14595" width="12.33203125" style="2" customWidth="1"/>
    <col min="14596" max="14605" width="8.88671875" style="2"/>
    <col min="14606" max="14606" width="27.6640625" style="2" customWidth="1"/>
    <col min="14607" max="14607" width="9.44140625" style="2" bestFit="1" customWidth="1"/>
    <col min="14608" max="14608" width="9.5546875" style="2" customWidth="1"/>
    <col min="14609" max="14848" width="8.88671875" style="2"/>
    <col min="14849" max="14849" width="12" style="2" customWidth="1"/>
    <col min="14850" max="14850" width="11.33203125" style="2" customWidth="1"/>
    <col min="14851" max="14851" width="12.33203125" style="2" customWidth="1"/>
    <col min="14852" max="14861" width="8.88671875" style="2"/>
    <col min="14862" max="14862" width="27.6640625" style="2" customWidth="1"/>
    <col min="14863" max="14863" width="9.44140625" style="2" bestFit="1" customWidth="1"/>
    <col min="14864" max="14864" width="9.5546875" style="2" customWidth="1"/>
    <col min="14865" max="15104" width="8.88671875" style="2"/>
    <col min="15105" max="15105" width="12" style="2" customWidth="1"/>
    <col min="15106" max="15106" width="11.33203125" style="2" customWidth="1"/>
    <col min="15107" max="15107" width="12.33203125" style="2" customWidth="1"/>
    <col min="15108" max="15117" width="8.88671875" style="2"/>
    <col min="15118" max="15118" width="27.6640625" style="2" customWidth="1"/>
    <col min="15119" max="15119" width="9.44140625" style="2" bestFit="1" customWidth="1"/>
    <col min="15120" max="15120" width="9.5546875" style="2" customWidth="1"/>
    <col min="15121" max="15360" width="8.88671875" style="2"/>
    <col min="15361" max="15361" width="12" style="2" customWidth="1"/>
    <col min="15362" max="15362" width="11.33203125" style="2" customWidth="1"/>
    <col min="15363" max="15363" width="12.33203125" style="2" customWidth="1"/>
    <col min="15364" max="15373" width="8.88671875" style="2"/>
    <col min="15374" max="15374" width="27.6640625" style="2" customWidth="1"/>
    <col min="15375" max="15375" width="9.44140625" style="2" bestFit="1" customWidth="1"/>
    <col min="15376" max="15376" width="9.5546875" style="2" customWidth="1"/>
    <col min="15377" max="15616" width="8.88671875" style="2"/>
    <col min="15617" max="15617" width="12" style="2" customWidth="1"/>
    <col min="15618" max="15618" width="11.33203125" style="2" customWidth="1"/>
    <col min="15619" max="15619" width="12.33203125" style="2" customWidth="1"/>
    <col min="15620" max="15629" width="8.88671875" style="2"/>
    <col min="15630" max="15630" width="27.6640625" style="2" customWidth="1"/>
    <col min="15631" max="15631" width="9.44140625" style="2" bestFit="1" customWidth="1"/>
    <col min="15632" max="15632" width="9.5546875" style="2" customWidth="1"/>
    <col min="15633" max="15872" width="8.88671875" style="2"/>
    <col min="15873" max="15873" width="12" style="2" customWidth="1"/>
    <col min="15874" max="15874" width="11.33203125" style="2" customWidth="1"/>
    <col min="15875" max="15875" width="12.33203125" style="2" customWidth="1"/>
    <col min="15876" max="15885" width="8.88671875" style="2"/>
    <col min="15886" max="15886" width="27.6640625" style="2" customWidth="1"/>
    <col min="15887" max="15887" width="9.44140625" style="2" bestFit="1" customWidth="1"/>
    <col min="15888" max="15888" width="9.5546875" style="2" customWidth="1"/>
    <col min="15889" max="16128" width="8.88671875" style="2"/>
    <col min="16129" max="16129" width="12" style="2" customWidth="1"/>
    <col min="16130" max="16130" width="11.33203125" style="2" customWidth="1"/>
    <col min="16131" max="16131" width="12.33203125" style="2" customWidth="1"/>
    <col min="16132" max="16141" width="8.88671875" style="2"/>
    <col min="16142" max="16142" width="27.6640625" style="2" customWidth="1"/>
    <col min="16143" max="16143" width="9.44140625" style="2" bestFit="1" customWidth="1"/>
    <col min="16144" max="16144" width="9.5546875" style="2" customWidth="1"/>
    <col min="16145" max="16384" width="8.88671875" style="2"/>
  </cols>
  <sheetData>
    <row r="1" spans="1:16" ht="54.6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6" ht="15.6" x14ac:dyDescent="0.3">
      <c r="B2" s="3" t="s">
        <v>1</v>
      </c>
      <c r="C2" s="3"/>
    </row>
    <row r="3" spans="1:16" ht="39.6" x14ac:dyDescent="0.25">
      <c r="A3" s="4" t="s">
        <v>2</v>
      </c>
      <c r="B3" s="4" t="s">
        <v>3</v>
      </c>
      <c r="C3" s="4" t="s">
        <v>4</v>
      </c>
      <c r="N3" s="5" t="s">
        <v>5</v>
      </c>
      <c r="O3" s="5" t="s">
        <v>6</v>
      </c>
      <c r="P3" s="2" t="s">
        <v>7</v>
      </c>
    </row>
    <row r="4" spans="1:16" x14ac:dyDescent="0.25">
      <c r="A4" s="6">
        <v>0</v>
      </c>
      <c r="B4" s="44">
        <f>('Page 7730'!B41-'Page 738, top'!$B$22)/('Page 738, top'!$B$21-'Page 738, top'!$B$22)</f>
        <v>-1.8381215813298706</v>
      </c>
      <c r="C4" s="44">
        <f>('Page 736'!B41-'Page 738, top'!$B$22)/('Page 738, top'!$B$21-'Page 738, top'!$B$22)</f>
        <v>-0.78676755150789945</v>
      </c>
      <c r="N4" s="2" t="s">
        <v>8</v>
      </c>
      <c r="O4" s="7">
        <v>0.76749999999999996</v>
      </c>
      <c r="P4" s="7"/>
    </row>
    <row r="5" spans="1:16" x14ac:dyDescent="0.25">
      <c r="A5" s="6">
        <v>0.1</v>
      </c>
      <c r="B5" s="44">
        <f>('Page 7730'!B42-'Page 738, top'!$B$22)/('Page 738, top'!$B$21-'Page 738, top'!$B$22)</f>
        <v>-1.4944636301388818</v>
      </c>
      <c r="C5" s="44">
        <f>('Page 736'!B42-'Page 738, top'!$B$22)/('Page 738, top'!$B$21-'Page 738, top'!$B$22)</f>
        <v>-0.46611931904283177</v>
      </c>
      <c r="N5" s="2" t="s">
        <v>9</v>
      </c>
      <c r="O5" s="7">
        <v>0.1055</v>
      </c>
      <c r="P5" s="7"/>
    </row>
    <row r="6" spans="1:16" x14ac:dyDescent="0.25">
      <c r="A6" s="6">
        <v>0.2</v>
      </c>
      <c r="B6" s="44">
        <f>('Page 7730'!B43-'Page 738, top'!$B$22)/('Page 738, top'!$B$21-'Page 738, top'!$B$22)</f>
        <v>-1.1122308300916481</v>
      </c>
      <c r="C6" s="44">
        <f>('Page 736'!B43-'Page 738, top'!$B$22)/('Page 738, top'!$B$21-'Page 738, top'!$B$22)</f>
        <v>-0.12005506684540398</v>
      </c>
      <c r="N6" s="2" t="s">
        <v>10</v>
      </c>
      <c r="O6" s="7">
        <v>0.5</v>
      </c>
      <c r="P6" s="7"/>
    </row>
    <row r="7" spans="1:16" x14ac:dyDescent="0.25">
      <c r="A7" s="6">
        <v>0.3</v>
      </c>
      <c r="B7" s="44">
        <f>('Page 7730'!B44-'Page 738, top'!$B$22)/('Page 738, top'!$B$21-'Page 738, top'!$B$22)</f>
        <v>-0.68334955071646075</v>
      </c>
      <c r="C7" s="44">
        <f>('Page 736'!B44-'Page 738, top'!$B$22)/('Page 738, top'!$B$21-'Page 738, top'!$B$22)</f>
        <v>0.25459481610192169</v>
      </c>
      <c r="N7" s="2" t="s">
        <v>11</v>
      </c>
      <c r="O7" s="8">
        <v>44267</v>
      </c>
      <c r="P7" s="8"/>
    </row>
    <row r="8" spans="1:16" x14ac:dyDescent="0.25">
      <c r="A8" s="6">
        <v>0.4</v>
      </c>
      <c r="B8" s="44">
        <f>('Page 7730'!B45-'Page 738, top'!$B$22)/('Page 738, top'!$B$21-'Page 738, top'!$B$22)</f>
        <v>-0.19757737242986281</v>
      </c>
      <c r="C8" s="44">
        <f>('Page 736'!B45-'Page 738, top'!$B$22)/('Page 738, top'!$B$21-'Page 738, top'!$B$22)</f>
        <v>0.66135867247505808</v>
      </c>
      <c r="N8" s="2" t="s">
        <v>12</v>
      </c>
      <c r="O8" s="8">
        <v>38553</v>
      </c>
      <c r="P8" s="8"/>
    </row>
    <row r="9" spans="1:16" x14ac:dyDescent="0.25">
      <c r="A9" s="6">
        <v>0.55000000000000004</v>
      </c>
      <c r="B9" s="44">
        <f>('Page 7730'!B46-'Page 738, top'!$B$22)/('Page 738, top'!$B$21-'Page 738, top'!$B$22)</f>
        <v>0.35806248743067393</v>
      </c>
      <c r="C9" s="44">
        <f>('Page 736'!B46-'Page 738, top'!$B$22)/('Page 738, top'!$B$21-'Page 738, top'!$B$22)</f>
        <v>1.1041062313412868</v>
      </c>
      <c r="N9" s="2" t="s">
        <v>13</v>
      </c>
      <c r="O9" s="9">
        <v>15.654794520547945</v>
      </c>
      <c r="P9" s="9"/>
    </row>
    <row r="10" spans="1:16" x14ac:dyDescent="0.25">
      <c r="A10" s="6">
        <v>0.6</v>
      </c>
      <c r="B10" s="44">
        <f>('Page 7730'!B47-'Page 738, top'!$B$22)/('Page 738, top'!$B$21-'Page 738, top'!$B$22)</f>
        <v>0.99986448805168249</v>
      </c>
      <c r="C10" s="44">
        <f>('Page 736'!B47-'Page 738, top'!$B$22)/('Page 738, top'!$B$21-'Page 738, top'!$B$22)</f>
        <v>1.5869964935161458</v>
      </c>
      <c r="N10" s="2" t="s">
        <v>14</v>
      </c>
      <c r="O10" s="9">
        <v>31</v>
      </c>
      <c r="P10" s="9"/>
    </row>
    <row r="11" spans="1:16" x14ac:dyDescent="0.25">
      <c r="A11" s="6">
        <v>0.65</v>
      </c>
      <c r="B11" s="44">
        <f>('Page 7730'!B48-'Page 738, top'!$B$22)/('Page 738, top'!$B$21-'Page 738, top'!$B$22)</f>
        <v>1.7478631223951071</v>
      </c>
      <c r="C11" s="44">
        <f>('Page 736'!B48-'Page 738, top'!$B$22)/('Page 738, top'!$B$21-'Page 738, top'!$B$22)</f>
        <v>2.1143802826997464</v>
      </c>
      <c r="N11" s="2" t="s">
        <v>15</v>
      </c>
      <c r="O11" s="45" t="s">
        <v>16</v>
      </c>
      <c r="P11" s="7"/>
    </row>
    <row r="12" spans="1:16" x14ac:dyDescent="0.25">
      <c r="A12" s="6">
        <v>0.8</v>
      </c>
      <c r="B12" s="44">
        <f>('Page 7730'!B49-'Page 738, top'!$B$22)/('Page 738, top'!$B$21-'Page 738, top'!$B$22)</f>
        <v>2.6257575441289833</v>
      </c>
      <c r="C12" s="44">
        <f>('Page 736'!B49-'Page 738, top'!$B$22)/('Page 738, top'!$B$21-'Page 738, top'!$B$22)</f>
        <v>2.690654702918239</v>
      </c>
      <c r="N12" s="2" t="s">
        <v>17</v>
      </c>
      <c r="O12" s="7">
        <v>0.14082333856096008</v>
      </c>
      <c r="P12" s="7"/>
    </row>
    <row r="13" spans="1:16" x14ac:dyDescent="0.25">
      <c r="A13" s="6">
        <v>0.9</v>
      </c>
      <c r="B13" s="44">
        <f>('Page 7730'!B50-'Page 738, top'!$B$22)/('Page 738, top'!$B$21-'Page 738, top'!$B$22)</f>
        <v>3.659880154978032</v>
      </c>
      <c r="C13" s="44">
        <f>('Page 736'!B50-'Page 738, top'!$B$22)/('Page 738, top'!$B$21-'Page 738, top'!$B$22)</f>
        <v>3.3200734443765478</v>
      </c>
    </row>
    <row r="14" spans="1:16" x14ac:dyDescent="0.25">
      <c r="A14" s="6">
        <v>1</v>
      </c>
      <c r="B14" s="44">
        <f>('Page 7730'!B51-'Page 738, top'!$B$22)/('Page 738, top'!$B$21-'Page 738, top'!$B$22)</f>
        <v>4.8769272130633166</v>
      </c>
      <c r="C14" s="44">
        <f>('Page 736'!B51-'Page 738, top'!$B$22)/('Page 738, top'!$B$21-'Page 738, top'!$B$22)</f>
        <v>4.0065332001479224</v>
      </c>
    </row>
    <row r="15" spans="1:16" x14ac:dyDescent="0.25">
      <c r="C15" s="7"/>
    </row>
    <row r="16" spans="1:16" x14ac:dyDescent="0.25">
      <c r="C16" s="7"/>
    </row>
    <row r="17" spans="1:3" x14ac:dyDescent="0.25">
      <c r="C17" s="7"/>
    </row>
    <row r="18" spans="1:3" x14ac:dyDescent="0.25">
      <c r="C18" s="7"/>
    </row>
    <row r="19" spans="1:3" x14ac:dyDescent="0.25">
      <c r="C19" s="7"/>
    </row>
    <row r="20" spans="1:3" x14ac:dyDescent="0.25">
      <c r="C20" s="7"/>
    </row>
    <row r="21" spans="1:3" s="5" customFormat="1" ht="15.6" x14ac:dyDescent="0.25">
      <c r="A21" s="5" t="s">
        <v>62</v>
      </c>
      <c r="B21" s="47">
        <v>7.6799999999999993E-2</v>
      </c>
      <c r="C21" s="7"/>
    </row>
    <row r="22" spans="1:3" ht="15.6" x14ac:dyDescent="0.25">
      <c r="A22" s="5" t="s">
        <v>63</v>
      </c>
      <c r="B22" s="50">
        <v>3.9E-2</v>
      </c>
    </row>
  </sheetData>
  <mergeCells count="2">
    <mergeCell ref="A1:J1"/>
    <mergeCell ref="B2:C2"/>
  </mergeCells>
  <phoneticPr fontId="1" type="noConversion"/>
  <printOptions gridLines="1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C4A0A-9795-44F0-A09A-015DAF9806E9}">
  <sheetPr codeName="Sheet25"/>
  <dimension ref="A1:J25"/>
  <sheetViews>
    <sheetView workbookViewId="0">
      <selection activeCell="A2" sqref="A2:B3"/>
    </sheetView>
  </sheetViews>
  <sheetFormatPr defaultRowHeight="13.2" x14ac:dyDescent="0.25"/>
  <cols>
    <col min="1" max="1" width="16.5546875" style="2" customWidth="1"/>
    <col min="2" max="2" width="11.33203125" style="2" customWidth="1"/>
    <col min="3" max="3" width="12.33203125" style="2" customWidth="1"/>
    <col min="4" max="256" width="8.88671875" style="2"/>
    <col min="257" max="257" width="16.5546875" style="2" customWidth="1"/>
    <col min="258" max="258" width="11.33203125" style="2" customWidth="1"/>
    <col min="259" max="259" width="12.33203125" style="2" customWidth="1"/>
    <col min="260" max="512" width="8.88671875" style="2"/>
    <col min="513" max="513" width="16.5546875" style="2" customWidth="1"/>
    <col min="514" max="514" width="11.33203125" style="2" customWidth="1"/>
    <col min="515" max="515" width="12.33203125" style="2" customWidth="1"/>
    <col min="516" max="768" width="8.88671875" style="2"/>
    <col min="769" max="769" width="16.5546875" style="2" customWidth="1"/>
    <col min="770" max="770" width="11.33203125" style="2" customWidth="1"/>
    <col min="771" max="771" width="12.33203125" style="2" customWidth="1"/>
    <col min="772" max="1024" width="8.88671875" style="2"/>
    <col min="1025" max="1025" width="16.5546875" style="2" customWidth="1"/>
    <col min="1026" max="1026" width="11.33203125" style="2" customWidth="1"/>
    <col min="1027" max="1027" width="12.33203125" style="2" customWidth="1"/>
    <col min="1028" max="1280" width="8.88671875" style="2"/>
    <col min="1281" max="1281" width="16.5546875" style="2" customWidth="1"/>
    <col min="1282" max="1282" width="11.33203125" style="2" customWidth="1"/>
    <col min="1283" max="1283" width="12.33203125" style="2" customWidth="1"/>
    <col min="1284" max="1536" width="8.88671875" style="2"/>
    <col min="1537" max="1537" width="16.5546875" style="2" customWidth="1"/>
    <col min="1538" max="1538" width="11.33203125" style="2" customWidth="1"/>
    <col min="1539" max="1539" width="12.33203125" style="2" customWidth="1"/>
    <col min="1540" max="1792" width="8.88671875" style="2"/>
    <col min="1793" max="1793" width="16.5546875" style="2" customWidth="1"/>
    <col min="1794" max="1794" width="11.33203125" style="2" customWidth="1"/>
    <col min="1795" max="1795" width="12.33203125" style="2" customWidth="1"/>
    <col min="1796" max="2048" width="8.88671875" style="2"/>
    <col min="2049" max="2049" width="16.5546875" style="2" customWidth="1"/>
    <col min="2050" max="2050" width="11.33203125" style="2" customWidth="1"/>
    <col min="2051" max="2051" width="12.33203125" style="2" customWidth="1"/>
    <col min="2052" max="2304" width="8.88671875" style="2"/>
    <col min="2305" max="2305" width="16.5546875" style="2" customWidth="1"/>
    <col min="2306" max="2306" width="11.33203125" style="2" customWidth="1"/>
    <col min="2307" max="2307" width="12.33203125" style="2" customWidth="1"/>
    <col min="2308" max="2560" width="8.88671875" style="2"/>
    <col min="2561" max="2561" width="16.5546875" style="2" customWidth="1"/>
    <col min="2562" max="2562" width="11.33203125" style="2" customWidth="1"/>
    <col min="2563" max="2563" width="12.33203125" style="2" customWidth="1"/>
    <col min="2564" max="2816" width="8.88671875" style="2"/>
    <col min="2817" max="2817" width="16.5546875" style="2" customWidth="1"/>
    <col min="2818" max="2818" width="11.33203125" style="2" customWidth="1"/>
    <col min="2819" max="2819" width="12.33203125" style="2" customWidth="1"/>
    <col min="2820" max="3072" width="8.88671875" style="2"/>
    <col min="3073" max="3073" width="16.5546875" style="2" customWidth="1"/>
    <col min="3074" max="3074" width="11.33203125" style="2" customWidth="1"/>
    <col min="3075" max="3075" width="12.33203125" style="2" customWidth="1"/>
    <col min="3076" max="3328" width="8.88671875" style="2"/>
    <col min="3329" max="3329" width="16.5546875" style="2" customWidth="1"/>
    <col min="3330" max="3330" width="11.33203125" style="2" customWidth="1"/>
    <col min="3331" max="3331" width="12.33203125" style="2" customWidth="1"/>
    <col min="3332" max="3584" width="8.88671875" style="2"/>
    <col min="3585" max="3585" width="16.5546875" style="2" customWidth="1"/>
    <col min="3586" max="3586" width="11.33203125" style="2" customWidth="1"/>
    <col min="3587" max="3587" width="12.33203125" style="2" customWidth="1"/>
    <col min="3588" max="3840" width="8.88671875" style="2"/>
    <col min="3841" max="3841" width="16.5546875" style="2" customWidth="1"/>
    <col min="3842" max="3842" width="11.33203125" style="2" customWidth="1"/>
    <col min="3843" max="3843" width="12.33203125" style="2" customWidth="1"/>
    <col min="3844" max="4096" width="8.88671875" style="2"/>
    <col min="4097" max="4097" width="16.5546875" style="2" customWidth="1"/>
    <col min="4098" max="4098" width="11.33203125" style="2" customWidth="1"/>
    <col min="4099" max="4099" width="12.33203125" style="2" customWidth="1"/>
    <col min="4100" max="4352" width="8.88671875" style="2"/>
    <col min="4353" max="4353" width="16.5546875" style="2" customWidth="1"/>
    <col min="4354" max="4354" width="11.33203125" style="2" customWidth="1"/>
    <col min="4355" max="4355" width="12.33203125" style="2" customWidth="1"/>
    <col min="4356" max="4608" width="8.88671875" style="2"/>
    <col min="4609" max="4609" width="16.5546875" style="2" customWidth="1"/>
    <col min="4610" max="4610" width="11.33203125" style="2" customWidth="1"/>
    <col min="4611" max="4611" width="12.33203125" style="2" customWidth="1"/>
    <col min="4612" max="4864" width="8.88671875" style="2"/>
    <col min="4865" max="4865" width="16.5546875" style="2" customWidth="1"/>
    <col min="4866" max="4866" width="11.33203125" style="2" customWidth="1"/>
    <col min="4867" max="4867" width="12.33203125" style="2" customWidth="1"/>
    <col min="4868" max="5120" width="8.88671875" style="2"/>
    <col min="5121" max="5121" width="16.5546875" style="2" customWidth="1"/>
    <col min="5122" max="5122" width="11.33203125" style="2" customWidth="1"/>
    <col min="5123" max="5123" width="12.33203125" style="2" customWidth="1"/>
    <col min="5124" max="5376" width="8.88671875" style="2"/>
    <col min="5377" max="5377" width="16.5546875" style="2" customWidth="1"/>
    <col min="5378" max="5378" width="11.33203125" style="2" customWidth="1"/>
    <col min="5379" max="5379" width="12.33203125" style="2" customWidth="1"/>
    <col min="5380" max="5632" width="8.88671875" style="2"/>
    <col min="5633" max="5633" width="16.5546875" style="2" customWidth="1"/>
    <col min="5634" max="5634" width="11.33203125" style="2" customWidth="1"/>
    <col min="5635" max="5635" width="12.33203125" style="2" customWidth="1"/>
    <col min="5636" max="5888" width="8.88671875" style="2"/>
    <col min="5889" max="5889" width="16.5546875" style="2" customWidth="1"/>
    <col min="5890" max="5890" width="11.33203125" style="2" customWidth="1"/>
    <col min="5891" max="5891" width="12.33203125" style="2" customWidth="1"/>
    <col min="5892" max="6144" width="8.88671875" style="2"/>
    <col min="6145" max="6145" width="16.5546875" style="2" customWidth="1"/>
    <col min="6146" max="6146" width="11.33203125" style="2" customWidth="1"/>
    <col min="6147" max="6147" width="12.33203125" style="2" customWidth="1"/>
    <col min="6148" max="6400" width="8.88671875" style="2"/>
    <col min="6401" max="6401" width="16.5546875" style="2" customWidth="1"/>
    <col min="6402" max="6402" width="11.33203125" style="2" customWidth="1"/>
    <col min="6403" max="6403" width="12.33203125" style="2" customWidth="1"/>
    <col min="6404" max="6656" width="8.88671875" style="2"/>
    <col min="6657" max="6657" width="16.5546875" style="2" customWidth="1"/>
    <col min="6658" max="6658" width="11.33203125" style="2" customWidth="1"/>
    <col min="6659" max="6659" width="12.33203125" style="2" customWidth="1"/>
    <col min="6660" max="6912" width="8.88671875" style="2"/>
    <col min="6913" max="6913" width="16.5546875" style="2" customWidth="1"/>
    <col min="6914" max="6914" width="11.33203125" style="2" customWidth="1"/>
    <col min="6915" max="6915" width="12.33203125" style="2" customWidth="1"/>
    <col min="6916" max="7168" width="8.88671875" style="2"/>
    <col min="7169" max="7169" width="16.5546875" style="2" customWidth="1"/>
    <col min="7170" max="7170" width="11.33203125" style="2" customWidth="1"/>
    <col min="7171" max="7171" width="12.33203125" style="2" customWidth="1"/>
    <col min="7172" max="7424" width="8.88671875" style="2"/>
    <col min="7425" max="7425" width="16.5546875" style="2" customWidth="1"/>
    <col min="7426" max="7426" width="11.33203125" style="2" customWidth="1"/>
    <col min="7427" max="7427" width="12.33203125" style="2" customWidth="1"/>
    <col min="7428" max="7680" width="8.88671875" style="2"/>
    <col min="7681" max="7681" width="16.5546875" style="2" customWidth="1"/>
    <col min="7682" max="7682" width="11.33203125" style="2" customWidth="1"/>
    <col min="7683" max="7683" width="12.33203125" style="2" customWidth="1"/>
    <col min="7684" max="7936" width="8.88671875" style="2"/>
    <col min="7937" max="7937" width="16.5546875" style="2" customWidth="1"/>
    <col min="7938" max="7938" width="11.33203125" style="2" customWidth="1"/>
    <col min="7939" max="7939" width="12.33203125" style="2" customWidth="1"/>
    <col min="7940" max="8192" width="8.88671875" style="2"/>
    <col min="8193" max="8193" width="16.5546875" style="2" customWidth="1"/>
    <col min="8194" max="8194" width="11.33203125" style="2" customWidth="1"/>
    <col min="8195" max="8195" width="12.33203125" style="2" customWidth="1"/>
    <col min="8196" max="8448" width="8.88671875" style="2"/>
    <col min="8449" max="8449" width="16.5546875" style="2" customWidth="1"/>
    <col min="8450" max="8450" width="11.33203125" style="2" customWidth="1"/>
    <col min="8451" max="8451" width="12.33203125" style="2" customWidth="1"/>
    <col min="8452" max="8704" width="8.88671875" style="2"/>
    <col min="8705" max="8705" width="16.5546875" style="2" customWidth="1"/>
    <col min="8706" max="8706" width="11.33203125" style="2" customWidth="1"/>
    <col min="8707" max="8707" width="12.33203125" style="2" customWidth="1"/>
    <col min="8708" max="8960" width="8.88671875" style="2"/>
    <col min="8961" max="8961" width="16.5546875" style="2" customWidth="1"/>
    <col min="8962" max="8962" width="11.33203125" style="2" customWidth="1"/>
    <col min="8963" max="8963" width="12.33203125" style="2" customWidth="1"/>
    <col min="8964" max="9216" width="8.88671875" style="2"/>
    <col min="9217" max="9217" width="16.5546875" style="2" customWidth="1"/>
    <col min="9218" max="9218" width="11.33203125" style="2" customWidth="1"/>
    <col min="9219" max="9219" width="12.33203125" style="2" customWidth="1"/>
    <col min="9220" max="9472" width="8.88671875" style="2"/>
    <col min="9473" max="9473" width="16.5546875" style="2" customWidth="1"/>
    <col min="9474" max="9474" width="11.33203125" style="2" customWidth="1"/>
    <col min="9475" max="9475" width="12.33203125" style="2" customWidth="1"/>
    <col min="9476" max="9728" width="8.88671875" style="2"/>
    <col min="9729" max="9729" width="16.5546875" style="2" customWidth="1"/>
    <col min="9730" max="9730" width="11.33203125" style="2" customWidth="1"/>
    <col min="9731" max="9731" width="12.33203125" style="2" customWidth="1"/>
    <col min="9732" max="9984" width="8.88671875" style="2"/>
    <col min="9985" max="9985" width="16.5546875" style="2" customWidth="1"/>
    <col min="9986" max="9986" width="11.33203125" style="2" customWidth="1"/>
    <col min="9987" max="9987" width="12.33203125" style="2" customWidth="1"/>
    <col min="9988" max="10240" width="8.88671875" style="2"/>
    <col min="10241" max="10241" width="16.5546875" style="2" customWidth="1"/>
    <col min="10242" max="10242" width="11.33203125" style="2" customWidth="1"/>
    <col min="10243" max="10243" width="12.33203125" style="2" customWidth="1"/>
    <col min="10244" max="10496" width="8.88671875" style="2"/>
    <col min="10497" max="10497" width="16.5546875" style="2" customWidth="1"/>
    <col min="10498" max="10498" width="11.33203125" style="2" customWidth="1"/>
    <col min="10499" max="10499" width="12.33203125" style="2" customWidth="1"/>
    <col min="10500" max="10752" width="8.88671875" style="2"/>
    <col min="10753" max="10753" width="16.5546875" style="2" customWidth="1"/>
    <col min="10754" max="10754" width="11.33203125" style="2" customWidth="1"/>
    <col min="10755" max="10755" width="12.33203125" style="2" customWidth="1"/>
    <col min="10756" max="11008" width="8.88671875" style="2"/>
    <col min="11009" max="11009" width="16.5546875" style="2" customWidth="1"/>
    <col min="11010" max="11010" width="11.33203125" style="2" customWidth="1"/>
    <col min="11011" max="11011" width="12.33203125" style="2" customWidth="1"/>
    <col min="11012" max="11264" width="8.88671875" style="2"/>
    <col min="11265" max="11265" width="16.5546875" style="2" customWidth="1"/>
    <col min="11266" max="11266" width="11.33203125" style="2" customWidth="1"/>
    <col min="11267" max="11267" width="12.33203125" style="2" customWidth="1"/>
    <col min="11268" max="11520" width="8.88671875" style="2"/>
    <col min="11521" max="11521" width="16.5546875" style="2" customWidth="1"/>
    <col min="11522" max="11522" width="11.33203125" style="2" customWidth="1"/>
    <col min="11523" max="11523" width="12.33203125" style="2" customWidth="1"/>
    <col min="11524" max="11776" width="8.88671875" style="2"/>
    <col min="11777" max="11777" width="16.5546875" style="2" customWidth="1"/>
    <col min="11778" max="11778" width="11.33203125" style="2" customWidth="1"/>
    <col min="11779" max="11779" width="12.33203125" style="2" customWidth="1"/>
    <col min="11780" max="12032" width="8.88671875" style="2"/>
    <col min="12033" max="12033" width="16.5546875" style="2" customWidth="1"/>
    <col min="12034" max="12034" width="11.33203125" style="2" customWidth="1"/>
    <col min="12035" max="12035" width="12.33203125" style="2" customWidth="1"/>
    <col min="12036" max="12288" width="8.88671875" style="2"/>
    <col min="12289" max="12289" width="16.5546875" style="2" customWidth="1"/>
    <col min="12290" max="12290" width="11.33203125" style="2" customWidth="1"/>
    <col min="12291" max="12291" width="12.33203125" style="2" customWidth="1"/>
    <col min="12292" max="12544" width="8.88671875" style="2"/>
    <col min="12545" max="12545" width="16.5546875" style="2" customWidth="1"/>
    <col min="12546" max="12546" width="11.33203125" style="2" customWidth="1"/>
    <col min="12547" max="12547" width="12.33203125" style="2" customWidth="1"/>
    <col min="12548" max="12800" width="8.88671875" style="2"/>
    <col min="12801" max="12801" width="16.5546875" style="2" customWidth="1"/>
    <col min="12802" max="12802" width="11.33203125" style="2" customWidth="1"/>
    <col min="12803" max="12803" width="12.33203125" style="2" customWidth="1"/>
    <col min="12804" max="13056" width="8.88671875" style="2"/>
    <col min="13057" max="13057" width="16.5546875" style="2" customWidth="1"/>
    <col min="13058" max="13058" width="11.33203125" style="2" customWidth="1"/>
    <col min="13059" max="13059" width="12.33203125" style="2" customWidth="1"/>
    <col min="13060" max="13312" width="8.88671875" style="2"/>
    <col min="13313" max="13313" width="16.5546875" style="2" customWidth="1"/>
    <col min="13314" max="13314" width="11.33203125" style="2" customWidth="1"/>
    <col min="13315" max="13315" width="12.33203125" style="2" customWidth="1"/>
    <col min="13316" max="13568" width="8.88671875" style="2"/>
    <col min="13569" max="13569" width="16.5546875" style="2" customWidth="1"/>
    <col min="13570" max="13570" width="11.33203125" style="2" customWidth="1"/>
    <col min="13571" max="13571" width="12.33203125" style="2" customWidth="1"/>
    <col min="13572" max="13824" width="8.88671875" style="2"/>
    <col min="13825" max="13825" width="16.5546875" style="2" customWidth="1"/>
    <col min="13826" max="13826" width="11.33203125" style="2" customWidth="1"/>
    <col min="13827" max="13827" width="12.33203125" style="2" customWidth="1"/>
    <col min="13828" max="14080" width="8.88671875" style="2"/>
    <col min="14081" max="14081" width="16.5546875" style="2" customWidth="1"/>
    <col min="14082" max="14082" width="11.33203125" style="2" customWidth="1"/>
    <col min="14083" max="14083" width="12.33203125" style="2" customWidth="1"/>
    <col min="14084" max="14336" width="8.88671875" style="2"/>
    <col min="14337" max="14337" width="16.5546875" style="2" customWidth="1"/>
    <col min="14338" max="14338" width="11.33203125" style="2" customWidth="1"/>
    <col min="14339" max="14339" width="12.33203125" style="2" customWidth="1"/>
    <col min="14340" max="14592" width="8.88671875" style="2"/>
    <col min="14593" max="14593" width="16.5546875" style="2" customWidth="1"/>
    <col min="14594" max="14594" width="11.33203125" style="2" customWidth="1"/>
    <col min="14595" max="14595" width="12.33203125" style="2" customWidth="1"/>
    <col min="14596" max="14848" width="8.88671875" style="2"/>
    <col min="14849" max="14849" width="16.5546875" style="2" customWidth="1"/>
    <col min="14850" max="14850" width="11.33203125" style="2" customWidth="1"/>
    <col min="14851" max="14851" width="12.33203125" style="2" customWidth="1"/>
    <col min="14852" max="15104" width="8.88671875" style="2"/>
    <col min="15105" max="15105" width="16.5546875" style="2" customWidth="1"/>
    <col min="15106" max="15106" width="11.33203125" style="2" customWidth="1"/>
    <col min="15107" max="15107" width="12.33203125" style="2" customWidth="1"/>
    <col min="15108" max="15360" width="8.88671875" style="2"/>
    <col min="15361" max="15361" width="16.5546875" style="2" customWidth="1"/>
    <col min="15362" max="15362" width="11.33203125" style="2" customWidth="1"/>
    <col min="15363" max="15363" width="12.33203125" style="2" customWidth="1"/>
    <col min="15364" max="15616" width="8.88671875" style="2"/>
    <col min="15617" max="15617" width="16.5546875" style="2" customWidth="1"/>
    <col min="15618" max="15618" width="11.33203125" style="2" customWidth="1"/>
    <col min="15619" max="15619" width="12.33203125" style="2" customWidth="1"/>
    <col min="15620" max="15872" width="8.88671875" style="2"/>
    <col min="15873" max="15873" width="16.5546875" style="2" customWidth="1"/>
    <col min="15874" max="15874" width="11.33203125" style="2" customWidth="1"/>
    <col min="15875" max="15875" width="12.33203125" style="2" customWidth="1"/>
    <col min="15876" max="16128" width="8.88671875" style="2"/>
    <col min="16129" max="16129" width="16.5546875" style="2" customWidth="1"/>
    <col min="16130" max="16130" width="11.33203125" style="2" customWidth="1"/>
    <col min="16131" max="16131" width="12.33203125" style="2" customWidth="1"/>
    <col min="16132" max="16384" width="8.88671875" style="2"/>
  </cols>
  <sheetData>
    <row r="1" spans="1:10" ht="36" customHeight="1" x14ac:dyDescent="0.25">
      <c r="A1" s="1" t="s">
        <v>64</v>
      </c>
      <c r="B1" s="1"/>
      <c r="C1" s="1"/>
      <c r="D1" s="1"/>
      <c r="E1" s="1"/>
      <c r="F1" s="1"/>
      <c r="G1" s="1"/>
      <c r="H1" s="1"/>
      <c r="I1" s="1"/>
      <c r="J1" s="1"/>
    </row>
    <row r="2" spans="1:10" s="49" customFormat="1" ht="13.2" customHeight="1" x14ac:dyDescent="0.25">
      <c r="A2" s="46" t="s">
        <v>62</v>
      </c>
      <c r="B2" s="47">
        <v>7.6799999999999993E-2</v>
      </c>
      <c r="C2" s="48"/>
      <c r="D2" s="48"/>
      <c r="E2" s="48"/>
      <c r="F2" s="48"/>
      <c r="G2" s="48"/>
      <c r="H2" s="46"/>
      <c r="I2" s="46"/>
      <c r="J2" s="46"/>
    </row>
    <row r="3" spans="1:10" s="49" customFormat="1" ht="13.2" customHeight="1" x14ac:dyDescent="0.25">
      <c r="A3" s="46" t="s">
        <v>63</v>
      </c>
      <c r="B3" s="50">
        <v>3.9E-2</v>
      </c>
      <c r="C3" s="48"/>
      <c r="D3" s="48"/>
      <c r="E3" s="48"/>
      <c r="F3" s="48"/>
      <c r="G3" s="48"/>
      <c r="H3" s="46"/>
      <c r="I3" s="46"/>
      <c r="J3" s="46"/>
    </row>
    <row r="4" spans="1:10" s="49" customFormat="1" ht="13.2" customHeight="1" x14ac:dyDescent="0.25">
      <c r="A4" s="46" t="s">
        <v>65</v>
      </c>
      <c r="B4" s="50">
        <v>0.4</v>
      </c>
      <c r="C4" s="48"/>
      <c r="D4" s="48"/>
      <c r="E4" s="48"/>
      <c r="F4" s="48"/>
      <c r="G4" s="48"/>
      <c r="H4" s="46"/>
      <c r="I4" s="46"/>
      <c r="J4" s="46"/>
    </row>
    <row r="5" spans="1:10" s="49" customFormat="1" ht="13.2" customHeight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</row>
    <row r="6" spans="1:10" ht="15.6" x14ac:dyDescent="0.3">
      <c r="B6" s="3" t="s">
        <v>66</v>
      </c>
      <c r="C6" s="3"/>
    </row>
    <row r="7" spans="1:10" ht="39.6" x14ac:dyDescent="0.25">
      <c r="A7" s="4" t="s">
        <v>2</v>
      </c>
      <c r="B7" s="4" t="s">
        <v>3</v>
      </c>
      <c r="C7" s="4" t="s">
        <v>4</v>
      </c>
    </row>
    <row r="8" spans="1:10" x14ac:dyDescent="0.25">
      <c r="A8" s="6">
        <v>0</v>
      </c>
      <c r="B8" s="9">
        <f>('Page 7730'!B41-'Page 738, bottom'!$B$3)/('Page 738, bottom'!$B$2-'Page 738, bottom'!$B$3*(1-'Page 738, bottom'!$B$4))</f>
        <v>-1.3011422429638411</v>
      </c>
      <c r="C8" s="9">
        <f>('Page 736'!B41-'Page 738, bottom'!$B$3)/('Page 738, bottom'!$B$2-'Page 738, bottom'!$B$3*(1-'Page 738, bottom'!$B$4))</f>
        <v>-0.55692534544941197</v>
      </c>
    </row>
    <row r="9" spans="1:10" x14ac:dyDescent="0.25">
      <c r="A9" s="6">
        <v>0.1</v>
      </c>
      <c r="B9" s="9">
        <f>('Page 7730'!B42-'Page 738, bottom'!$B$3)/('Page 738, bottom'!$B$2-'Page 738, bottom'!$B$3*(1-'Page 738, bottom'!$B$4))</f>
        <v>-1.0578787494241524</v>
      </c>
      <c r="C9" s="9">
        <f>('Page 736'!B42-'Page 738, bottom'!$B$3)/('Page 738, bottom'!$B$2-'Page 738, bottom'!$B$3*(1-'Page 738, bottom'!$B$4))</f>
        <v>-0.3299496303336899</v>
      </c>
    </row>
    <row r="10" spans="1:10" x14ac:dyDescent="0.25">
      <c r="A10" s="6">
        <v>0.2</v>
      </c>
      <c r="B10" s="9">
        <f>('Page 7730'!B43-'Page 738, bottom'!$B$3)/('Page 738, bottom'!$B$2-'Page 738, bottom'!$B$3*(1-'Page 738, bottom'!$B$4))</f>
        <v>-0.78730946399745882</v>
      </c>
      <c r="C10" s="9">
        <f>('Page 736'!B43-'Page 738, bottom'!$B$3)/('Page 738, bottom'!$B$2-'Page 738, bottom'!$B$3*(1-'Page 738, bottom'!$B$4))</f>
        <v>-8.4982800126521929E-2</v>
      </c>
    </row>
    <row r="11" spans="1:10" x14ac:dyDescent="0.25">
      <c r="A11" s="6">
        <v>0.3</v>
      </c>
      <c r="B11" s="9">
        <f>('Page 7730'!B44-'Page 738, bottom'!$B$3)/('Page 738, bottom'!$B$2-'Page 738, bottom'!$B$3*(1-'Page 738, bottom'!$B$4))</f>
        <v>-0.48371934488918011</v>
      </c>
      <c r="C11" s="9">
        <f>('Page 736'!B44-'Page 738, bottom'!$B$3)/('Page 738, bottom'!$B$2-'Page 738, bottom'!$B$3*(1-'Page 738, bottom'!$B$4))</f>
        <v>0.18021880240922547</v>
      </c>
    </row>
    <row r="12" spans="1:10" x14ac:dyDescent="0.25">
      <c r="A12" s="6">
        <v>0.4</v>
      </c>
      <c r="B12" s="9">
        <f>('Page 7730'!B45-'Page 738, bottom'!$B$3)/('Page 738, bottom'!$B$2-'Page 738, bottom'!$B$3*(1-'Page 738, bottom'!$B$4))</f>
        <v>-0.13985814003462199</v>
      </c>
      <c r="C12" s="9">
        <f>('Page 736'!B45-'Page 738, bottom'!$B$3)/('Page 738, bottom'!$B$2-'Page 738, bottom'!$B$3*(1-'Page 738, bottom'!$B$4))</f>
        <v>0.46815276815650181</v>
      </c>
    </row>
    <row r="13" spans="1:10" x14ac:dyDescent="0.25">
      <c r="A13" s="6">
        <v>0.55000000000000004</v>
      </c>
      <c r="B13" s="9">
        <f>('Page 7730'!B46-'Page 738, bottom'!$B$3)/('Page 738, bottom'!$B$2-'Page 738, bottom'!$B$3*(1-'Page 738, bottom'!$B$4))</f>
        <v>0.25345996301272428</v>
      </c>
      <c r="C13" s="9">
        <f>('Page 736'!B46-'Page 738, bottom'!$B$3)/('Page 738, bottom'!$B$2-'Page 738, bottom'!$B$3*(1-'Page 738, bottom'!$B$4))</f>
        <v>0.78155834353371989</v>
      </c>
    </row>
    <row r="14" spans="1:10" x14ac:dyDescent="0.25">
      <c r="A14" s="6">
        <v>0.6</v>
      </c>
      <c r="B14" s="9">
        <f>('Page 7730'!B47-'Page 738, bottom'!$B$3)/('Page 738, bottom'!$B$2-'Page 738, bottom'!$B$3*(1-'Page 738, bottom'!$B$4))</f>
        <v>0.70776924435119093</v>
      </c>
      <c r="C14" s="9">
        <f>('Page 736'!B47-'Page 738, bottom'!$B$3)/('Page 738, bottom'!$B$2-'Page 738, bottom'!$B$3*(1-'Page 738, bottom'!$B$4))</f>
        <v>1.1233795403541258</v>
      </c>
    </row>
    <row r="15" spans="1:10" x14ac:dyDescent="0.25">
      <c r="A15" s="6">
        <v>0.65</v>
      </c>
      <c r="B15" s="9">
        <f>('Page 7730'!B48-'Page 738, bottom'!$B$3)/('Page 738, bottom'!$B$2-'Page 738, bottom'!$B$3*(1-'Page 738, bottom'!$B$4))</f>
        <v>1.2372514237178847</v>
      </c>
      <c r="C15" s="9">
        <f>('Page 736'!B48-'Page 738, bottom'!$B$3)/('Page 738, bottom'!$B$2-'Page 738, bottom'!$B$3*(1-'Page 738, bottom'!$B$4))</f>
        <v>1.4966961551694835</v>
      </c>
    </row>
    <row r="16" spans="1:10" x14ac:dyDescent="0.25">
      <c r="A16" s="6">
        <v>0.8</v>
      </c>
      <c r="B16" s="9">
        <f>('Page 7730'!B49-'Page 738, bottom'!$B$3)/('Page 738, bottom'!$B$2-'Page 738, bottom'!$B$3*(1-'Page 738, bottom'!$B$4))</f>
        <v>1.8586823065182694</v>
      </c>
      <c r="C16" s="9">
        <f>('Page 736'!B49-'Page 738, bottom'!$B$3)/('Page 738, bottom'!$B$2-'Page 738, bottom'!$B$3*(1-'Page 738, bottom'!$B$4))</f>
        <v>1.9046207447623489</v>
      </c>
    </row>
    <row r="17" spans="1:3" x14ac:dyDescent="0.25">
      <c r="A17" s="6">
        <v>0.9</v>
      </c>
      <c r="B17" s="9">
        <f>('Page 7730'!B50-'Page 738, bottom'!$B$3)/('Page 738, bottom'!$B$2-'Page 738, bottom'!$B$3*(1-'Page 738, bottom'!$B$4))</f>
        <v>2.5907016827372589</v>
      </c>
      <c r="C17" s="9">
        <f>('Page 736'!B50-'Page 738, bottom'!$B$3)/('Page 738, bottom'!$B$2-'Page 738, bottom'!$B$3*(1-'Page 738, bottom'!$B$4))</f>
        <v>2.3501643482665453</v>
      </c>
    </row>
    <row r="18" spans="1:3" x14ac:dyDescent="0.25">
      <c r="A18" s="6">
        <v>1</v>
      </c>
      <c r="B18" s="9">
        <f>('Page 7730'!B51-'Page 738, bottom'!$B$3)/('Page 738, bottom'!$B$2-'Page 738, bottom'!$B$3*(1-'Page 738, bottom'!$B$4))</f>
        <v>3.4522069036290892</v>
      </c>
      <c r="C18" s="9">
        <f>('Page 736'!B51-'Page 738, bottom'!$B$3)/('Page 738, bottom'!$B$2-'Page 738, bottom'!$B$3*(1-'Page 738, bottom'!$B$4))</f>
        <v>2.8360852989811134</v>
      </c>
    </row>
    <row r="19" spans="1:3" x14ac:dyDescent="0.25">
      <c r="C19" s="7"/>
    </row>
    <row r="20" spans="1:3" x14ac:dyDescent="0.25">
      <c r="C20" s="7"/>
    </row>
    <row r="21" spans="1:3" x14ac:dyDescent="0.25">
      <c r="C21" s="7"/>
    </row>
    <row r="22" spans="1:3" ht="13.2" customHeight="1" x14ac:dyDescent="0.25">
      <c r="C22" s="7"/>
    </row>
    <row r="23" spans="1:3" x14ac:dyDescent="0.25">
      <c r="C23" s="7"/>
    </row>
    <row r="24" spans="1:3" x14ac:dyDescent="0.25">
      <c r="C24" s="7"/>
    </row>
    <row r="25" spans="1:3" s="5" customFormat="1" x14ac:dyDescent="0.25">
      <c r="C25" s="7"/>
    </row>
  </sheetData>
  <mergeCells count="2">
    <mergeCell ref="A1:J1"/>
    <mergeCell ref="B6:C6"/>
  </mergeCells>
  <phoneticPr fontId="1" type="noConversion"/>
  <printOptions gridLines="1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10</vt:i4>
      </vt:variant>
    </vt:vector>
  </HeadingPairs>
  <TitlesOfParts>
    <vt:vector size="15" baseType="lpstr">
      <vt:lpstr>Page 736</vt:lpstr>
      <vt:lpstr>Page 7730</vt:lpstr>
      <vt:lpstr>Page 738, top</vt:lpstr>
      <vt:lpstr>Page 738, bottom</vt:lpstr>
      <vt:lpstr>Sheet1</vt:lpstr>
      <vt:lpstr>'Page 736'!bondterm</vt:lpstr>
      <vt:lpstr>'Page 7730'!bondterm</vt:lpstr>
      <vt:lpstr>'Page 736'!initial</vt:lpstr>
      <vt:lpstr>'Page 7730'!initial</vt:lpstr>
      <vt:lpstr>'Page 736'!payoff1</vt:lpstr>
      <vt:lpstr>'Page 7730'!payoff1</vt:lpstr>
      <vt:lpstr>'Page 736'!payoff2</vt:lpstr>
      <vt:lpstr>'Page 7730'!payoff2</vt:lpstr>
      <vt:lpstr>'Page 736'!transition</vt:lpstr>
      <vt:lpstr>'Page 7730'!transition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2024-12-19T06:27:01Z</dcterms:modified>
</cp:coreProperties>
</file>