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7CE7CA65-BE30-4AFE-B5BD-4DE577E5F36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35" sheetId="2" r:id="rId1"/>
    <sheet name="Sheet1" sheetId="1" r:id="rId2"/>
  </sheets>
  <externalReferences>
    <externalReference r:id="rId3"/>
    <externalReference r:id="rId4"/>
  </externalReferences>
  <definedNames>
    <definedName name="amrbondterm">'[1]AMR, annual transition matrix'!$B$9</definedName>
    <definedName name="bondterm">'[2]Page 730'!$B$5</definedName>
    <definedName name="example">#REF!</definedName>
    <definedName name="initial">'[2]Page 730'!$C$16:$G$16</definedName>
    <definedName name="payoff1">'[2]Page 730'!$F$3:$F$7</definedName>
    <definedName name="payoff2">'[2]Page 730'!$I$3:$I$7</definedName>
    <definedName name="transition">'[2]Page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9" i="2" l="1" a="1"/>
  <c r="L19" i="2" s="1"/>
  <c r="I38" i="2"/>
  <c r="I37" i="2"/>
  <c r="I36" i="2"/>
  <c r="I35" i="2"/>
  <c r="I34" i="2"/>
  <c r="I33" i="2"/>
  <c r="I32" i="2"/>
  <c r="L18" i="2"/>
  <c r="S27" i="2" l="1"/>
  <c r="L26" i="2"/>
  <c r="N24" i="2"/>
  <c r="P22" i="2"/>
  <c r="R20" i="2"/>
  <c r="R27" i="2"/>
  <c r="T25" i="2"/>
  <c r="M24" i="2"/>
  <c r="O22" i="2"/>
  <c r="Q20" i="2"/>
  <c r="S25" i="2"/>
  <c r="P20" i="2"/>
  <c r="P27" i="2"/>
  <c r="T23" i="2"/>
  <c r="O20" i="2"/>
  <c r="Q25" i="2"/>
  <c r="L22" i="2"/>
  <c r="N27" i="2"/>
  <c r="P25" i="2"/>
  <c r="M20" i="2"/>
  <c r="M27" i="2"/>
  <c r="O25" i="2"/>
  <c r="Q23" i="2"/>
  <c r="S21" i="2"/>
  <c r="L20" i="2"/>
  <c r="M23" i="2"/>
  <c r="O21" i="2"/>
  <c r="Q26" i="2"/>
  <c r="S24" i="2"/>
  <c r="P19" i="2"/>
  <c r="P26" i="2"/>
  <c r="Q27" i="2"/>
  <c r="N22" i="2"/>
  <c r="R25" i="2"/>
  <c r="M22" i="2"/>
  <c r="S23" i="2"/>
  <c r="N20" i="2"/>
  <c r="R23" i="2"/>
  <c r="L27" i="2"/>
  <c r="N25" i="2"/>
  <c r="P23" i="2"/>
  <c r="R21" i="2"/>
  <c r="T19" i="2"/>
  <c r="T26" i="2"/>
  <c r="O23" i="2"/>
  <c r="S19" i="2"/>
  <c r="R26" i="2"/>
  <c r="N21" i="2"/>
  <c r="L24" i="2"/>
  <c r="O27" i="2"/>
  <c r="T21" i="2"/>
  <c r="M25" i="2"/>
  <c r="Q21" i="2"/>
  <c r="S26" i="2"/>
  <c r="L25" i="2"/>
  <c r="N23" i="2"/>
  <c r="P21" i="2"/>
  <c r="R19" i="2"/>
  <c r="Q19" i="2"/>
  <c r="T24" i="2"/>
  <c r="L23" i="2"/>
  <c r="R24" i="2"/>
  <c r="T22" i="2"/>
  <c r="M21" i="2"/>
  <c r="O19" i="2"/>
  <c r="O26" i="2"/>
  <c r="Q24" i="2"/>
  <c r="S22" i="2"/>
  <c r="L21" i="2"/>
  <c r="N19" i="2"/>
  <c r="N26" i="2"/>
  <c r="P24" i="2"/>
  <c r="R22" i="2"/>
  <c r="T20" i="2"/>
  <c r="M19" i="2"/>
  <c r="T27" i="2"/>
  <c r="M26" i="2"/>
  <c r="O24" i="2"/>
  <c r="Q22" i="2"/>
  <c r="S20" i="2"/>
</calcChain>
</file>

<file path=xl/sharedStrings.xml><?xml version="1.0" encoding="utf-8"?>
<sst xmlns="http://schemas.openxmlformats.org/spreadsheetml/2006/main" count="64" uniqueCount="15">
  <si>
    <t>COMPUTING THE SQUARE ROOT OF THE TRANSITION MATRIX</t>
  </si>
  <si>
    <t>The one-year transition matrix</t>
  </si>
  <si>
    <t>original rating</t>
  </si>
  <si>
    <t>probability of migrating to rating by year end (%)</t>
  </si>
  <si>
    <t>AAA</t>
  </si>
  <si>
    <t>AA</t>
  </si>
  <si>
    <t>A</t>
  </si>
  <si>
    <t>BBB</t>
  </si>
  <si>
    <t>BB</t>
  </si>
  <si>
    <t>B</t>
  </si>
  <si>
    <t>CCC</t>
  </si>
  <si>
    <t>Default</t>
  </si>
  <si>
    <t>E</t>
  </si>
  <si>
    <r>
      <t xml:space="preserve">The square root of the one-year transition matrix as computed by </t>
    </r>
    <r>
      <rPr>
        <b/>
        <i/>
        <sz val="12"/>
        <rFont val="Arial"/>
        <family val="2"/>
      </rPr>
      <t xml:space="preserve">Mathematica
</t>
    </r>
    <r>
      <rPr>
        <b/>
        <sz val="12"/>
        <rFont val="Arial"/>
        <family val="2"/>
      </rPr>
      <t>Note the negative entries</t>
    </r>
  </si>
  <si>
    <r>
      <t xml:space="preserve">The semi-annual transition matrix.  To eliminate the negative entries in the </t>
    </r>
    <r>
      <rPr>
        <b/>
        <i/>
        <sz val="12"/>
        <rFont val="Arial"/>
        <family val="2"/>
      </rPr>
      <t>Mathematica</t>
    </r>
    <r>
      <rPr>
        <b/>
        <sz val="12"/>
        <rFont val="Arial"/>
        <family val="2"/>
      </rPr>
      <t xml:space="preserve"> matrix above:
a.  We assume that a transition from AAA, ... , CCC --&gt; E is impossible (i.e.:  last column is zero except for last two entries).
b.  We set all other negative entries to zero.
c.  We set default probability so that each row sums to 1.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</si>
</sst>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5">
    <border>
      <left/>
      <right/>
      <top/>
      <bottom/>
      <diagonal/>
    </border>
    <border>
      <left/>
      <right style="medium">
        <color indexed="29"/>
      </right>
      <top/>
      <bottom/>
      <diagonal/>
    </border>
    <border>
      <left style="medium">
        <color indexed="29"/>
      </left>
      <right/>
      <top/>
      <bottom/>
      <diagonal/>
    </border>
    <border>
      <left/>
      <right style="medium">
        <color indexed="29"/>
      </right>
      <top/>
      <bottom style="medium">
        <color indexed="29"/>
      </bottom>
      <diagonal/>
    </border>
    <border>
      <left/>
      <right/>
      <top/>
      <bottom style="medium">
        <color indexed="29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5" fillId="2" borderId="1" xfId="1" applyFont="1" applyFill="1" applyBorder="1" applyAlignment="1">
      <alignment horizontal="center" wrapText="1"/>
    </xf>
    <xf numFmtId="0" fontId="5" fillId="2" borderId="2" xfId="1" applyFont="1" applyFill="1" applyBorder="1" applyAlignment="1">
      <alignment horizontal="center" vertical="top" wrapText="1"/>
    </xf>
    <xf numFmtId="0" fontId="5" fillId="2" borderId="0" xfId="1" applyFont="1" applyFill="1" applyAlignment="1">
      <alignment horizontal="center" vertical="top" wrapText="1"/>
    </xf>
    <xf numFmtId="0" fontId="2" fillId="2" borderId="0" xfId="1" applyFill="1" applyAlignment="1">
      <alignment horizontal="center" wrapText="1"/>
    </xf>
    <xf numFmtId="0" fontId="5" fillId="2" borderId="3" xfId="1" applyFont="1" applyFill="1" applyBorder="1" applyAlignment="1">
      <alignment horizontal="center" wrapText="1"/>
    </xf>
    <xf numFmtId="0" fontId="2" fillId="2" borderId="4" xfId="1" applyFill="1" applyBorder="1" applyAlignment="1">
      <alignment horizontal="center" wrapText="1"/>
    </xf>
    <xf numFmtId="0" fontId="2" fillId="2" borderId="1" xfId="1" applyFill="1" applyBorder="1" applyAlignment="1">
      <alignment wrapText="1"/>
    </xf>
    <xf numFmtId="176" fontId="2" fillId="0" borderId="0" xfId="1" applyNumberFormat="1" applyAlignment="1">
      <alignment horizontal="right" wrapText="1"/>
    </xf>
    <xf numFmtId="176" fontId="2" fillId="0" borderId="0" xfId="1" applyNumberFormat="1"/>
    <xf numFmtId="176" fontId="2" fillId="0" borderId="2" xfId="1" applyNumberFormat="1" applyBorder="1" applyAlignment="1">
      <alignment vertical="top" wrapText="1"/>
    </xf>
    <xf numFmtId="176" fontId="2" fillId="0" borderId="0" xfId="1" applyNumberFormat="1" applyAlignment="1">
      <alignment vertical="top" wrapText="1"/>
    </xf>
    <xf numFmtId="0" fontId="4" fillId="0" borderId="0" xfId="1" applyFont="1" applyAlignment="1">
      <alignment horizontal="center" vertical="center" wrapText="1"/>
    </xf>
    <xf numFmtId="0" fontId="4" fillId="0" borderId="0" xfId="1" applyFont="1" applyAlignment="1">
      <alignment horizontal="left" vertical="center" wrapText="1"/>
    </xf>
  </cellXfs>
  <cellStyles count="2">
    <cellStyle name="常规" xfId="0" builtinId="0"/>
    <cellStyle name="常规 2" xfId="1" xr:uid="{6E26C3A8-6D32-4D76-B87F-152F325C3E2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226862</xdr:colOff>
      <xdr:row>3</xdr:row>
      <xdr:rowOff>3645</xdr:rowOff>
    </xdr:from>
    <xdr:to>
      <xdr:col>37</xdr:col>
      <xdr:colOff>327212</xdr:colOff>
      <xdr:row>47</xdr:row>
      <xdr:rowOff>140767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4A4EA50-DBC4-7C07-41D5-528A8E120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0949" y="591710"/>
          <a:ext cx="9299761" cy="93263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972D-BB78-4629-B4D1-047CB56CC26B}">
  <sheetPr codeName="Sheet21"/>
  <dimension ref="A1:T40"/>
  <sheetViews>
    <sheetView tabSelected="1" zoomScale="115" zoomScaleNormal="115" workbookViewId="0">
      <selection activeCell="R31" sqref="R31"/>
    </sheetView>
  </sheetViews>
  <sheetFormatPr defaultRowHeight="13.2" x14ac:dyDescent="0.25"/>
  <cols>
    <col min="1" max="16384" width="8.88671875" style="2"/>
  </cols>
  <sheetData>
    <row r="1" spans="1:10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3" spans="1:10" ht="15.6" x14ac:dyDescent="0.3">
      <c r="A3" s="3" t="s">
        <v>1</v>
      </c>
      <c r="B3" s="3"/>
      <c r="C3" s="3"/>
      <c r="D3" s="3"/>
      <c r="E3" s="3"/>
      <c r="F3" s="3"/>
      <c r="G3" s="3"/>
      <c r="H3" s="3"/>
      <c r="I3" s="3"/>
      <c r="J3" s="3"/>
    </row>
    <row r="4" spans="1:10" x14ac:dyDescent="0.25">
      <c r="A4" s="4" t="s">
        <v>2</v>
      </c>
      <c r="B4" s="5" t="s">
        <v>3</v>
      </c>
      <c r="C4" s="6"/>
      <c r="D4" s="6"/>
      <c r="E4" s="6"/>
      <c r="F4" s="6"/>
      <c r="G4" s="6"/>
      <c r="H4" s="6"/>
      <c r="I4" s="6"/>
      <c r="J4" s="7"/>
    </row>
    <row r="5" spans="1:10" ht="13.8" thickBot="1" x14ac:dyDescent="0.3">
      <c r="A5" s="8"/>
      <c r="B5" s="9" t="s">
        <v>4</v>
      </c>
      <c r="C5" s="9" t="s">
        <v>5</v>
      </c>
      <c r="D5" s="9" t="s">
        <v>6</v>
      </c>
      <c r="E5" s="9" t="s">
        <v>7</v>
      </c>
      <c r="F5" s="9" t="s">
        <v>8</v>
      </c>
      <c r="G5" s="9" t="s">
        <v>9</v>
      </c>
      <c r="H5" s="9" t="s">
        <v>10</v>
      </c>
      <c r="I5" s="9" t="s">
        <v>11</v>
      </c>
      <c r="J5" s="9" t="s">
        <v>12</v>
      </c>
    </row>
    <row r="6" spans="1:10" x14ac:dyDescent="0.25">
      <c r="A6" s="10" t="s">
        <v>4</v>
      </c>
      <c r="B6" s="11">
        <v>0.93659999999999999</v>
      </c>
      <c r="C6" s="11">
        <v>5.8299999999999998E-2</v>
      </c>
      <c r="D6" s="11">
        <v>4.0000000000000001E-3</v>
      </c>
      <c r="E6" s="11">
        <v>8.0000000000000004E-4</v>
      </c>
      <c r="F6" s="11">
        <v>2.9999999999999997E-4</v>
      </c>
      <c r="G6" s="11">
        <v>0</v>
      </c>
      <c r="H6" s="11">
        <v>0</v>
      </c>
      <c r="I6" s="11">
        <v>0</v>
      </c>
      <c r="J6" s="12">
        <v>0</v>
      </c>
    </row>
    <row r="7" spans="1:10" x14ac:dyDescent="0.25">
      <c r="A7" s="10" t="s">
        <v>5</v>
      </c>
      <c r="B7" s="11">
        <v>6.6E-3</v>
      </c>
      <c r="C7" s="11">
        <v>0.91720000000000002</v>
      </c>
      <c r="D7" s="11">
        <v>6.9400000000000003E-2</v>
      </c>
      <c r="E7" s="11">
        <v>4.8999999999999998E-3</v>
      </c>
      <c r="F7" s="11">
        <v>5.9999999999999995E-4</v>
      </c>
      <c r="G7" s="11">
        <v>8.9999999999999998E-4</v>
      </c>
      <c r="H7" s="11">
        <v>2.0000000000000001E-4</v>
      </c>
      <c r="I7" s="11">
        <v>1E-4</v>
      </c>
      <c r="J7" s="12">
        <v>0</v>
      </c>
    </row>
    <row r="8" spans="1:10" x14ac:dyDescent="0.25">
      <c r="A8" s="10" t="s">
        <v>6</v>
      </c>
      <c r="B8" s="11">
        <v>7.000000000000001E-4</v>
      </c>
      <c r="C8" s="11">
        <v>2.2499999999999999E-2</v>
      </c>
      <c r="D8" s="11">
        <v>0.91760000000000008</v>
      </c>
      <c r="E8" s="11">
        <v>5.1900000000000002E-2</v>
      </c>
      <c r="F8" s="11">
        <v>4.8999999999999998E-3</v>
      </c>
      <c r="G8" s="11">
        <v>2E-3</v>
      </c>
      <c r="H8" s="11">
        <v>1E-4</v>
      </c>
      <c r="I8" s="11">
        <v>4.0000000000000002E-4</v>
      </c>
      <c r="J8" s="12">
        <v>0</v>
      </c>
    </row>
    <row r="9" spans="1:10" x14ac:dyDescent="0.25">
      <c r="A9" s="10" t="s">
        <v>7</v>
      </c>
      <c r="B9" s="11">
        <v>2.9999999999999997E-4</v>
      </c>
      <c r="C9" s="11">
        <v>2.5000000000000001E-3</v>
      </c>
      <c r="D9" s="11">
        <v>4.8300000000000003E-2</v>
      </c>
      <c r="E9" s="11">
        <v>0.89260000000000006</v>
      </c>
      <c r="F9" s="11">
        <v>4.4400000000000002E-2</v>
      </c>
      <c r="G9" s="11">
        <v>8.1000000000000013E-3</v>
      </c>
      <c r="H9" s="11">
        <v>1.6000000000000001E-3</v>
      </c>
      <c r="I9" s="11">
        <v>2.2000000000000001E-3</v>
      </c>
      <c r="J9" s="12">
        <v>0</v>
      </c>
    </row>
    <row r="10" spans="1:10" x14ac:dyDescent="0.25">
      <c r="A10" s="10" t="s">
        <v>8</v>
      </c>
      <c r="B10" s="11">
        <v>2.9999999999999997E-4</v>
      </c>
      <c r="C10" s="11">
        <v>7.000000000000001E-4</v>
      </c>
      <c r="D10" s="11">
        <v>4.4000000000000003E-3</v>
      </c>
      <c r="E10" s="11">
        <v>6.6699999999999995E-2</v>
      </c>
      <c r="F10" s="11">
        <v>0.83310000000000006</v>
      </c>
      <c r="G10" s="11">
        <v>7.4700000000000003E-2</v>
      </c>
      <c r="H10" s="11">
        <v>1.0500000000000001E-2</v>
      </c>
      <c r="I10" s="11">
        <v>9.7999999999999997E-3</v>
      </c>
      <c r="J10" s="12">
        <v>0</v>
      </c>
    </row>
    <row r="11" spans="1:10" x14ac:dyDescent="0.25">
      <c r="A11" s="10" t="s">
        <v>9</v>
      </c>
      <c r="B11" s="11">
        <v>0</v>
      </c>
      <c r="C11" s="11">
        <v>1E-3</v>
      </c>
      <c r="D11" s="11">
        <v>3.3E-3</v>
      </c>
      <c r="E11" s="11">
        <v>4.5999999999999999E-3</v>
      </c>
      <c r="F11" s="11">
        <v>5.7699999999999994E-2</v>
      </c>
      <c r="G11" s="11">
        <v>0.84189999999999998</v>
      </c>
      <c r="H11" s="11">
        <v>3.8699999999999998E-2</v>
      </c>
      <c r="I11" s="11">
        <v>5.2999999999999999E-2</v>
      </c>
      <c r="J11" s="12">
        <v>0</v>
      </c>
    </row>
    <row r="12" spans="1:10" x14ac:dyDescent="0.25">
      <c r="A12" s="10" t="s">
        <v>10</v>
      </c>
      <c r="B12" s="11">
        <v>1.6000000000000001E-3</v>
      </c>
      <c r="C12" s="11">
        <v>0</v>
      </c>
      <c r="D12" s="11">
        <v>3.0999999999999999E-3</v>
      </c>
      <c r="E12" s="11">
        <v>9.300000000000001E-3</v>
      </c>
      <c r="F12" s="11">
        <v>0.02</v>
      </c>
      <c r="G12" s="11">
        <v>0.1074</v>
      </c>
      <c r="H12" s="11">
        <v>0.63960000000000006</v>
      </c>
      <c r="I12" s="11">
        <v>0.21940000000000001</v>
      </c>
      <c r="J12" s="12">
        <v>0</v>
      </c>
    </row>
    <row r="13" spans="1:10" x14ac:dyDescent="0.25">
      <c r="A13" s="10" t="s">
        <v>11</v>
      </c>
      <c r="B13" s="11">
        <v>0</v>
      </c>
      <c r="C13" s="11">
        <v>0</v>
      </c>
      <c r="D13" s="11">
        <v>0</v>
      </c>
      <c r="E13" s="11">
        <v>0</v>
      </c>
      <c r="F13" s="11">
        <v>0</v>
      </c>
      <c r="G13" s="11">
        <v>0</v>
      </c>
      <c r="H13" s="11">
        <v>0</v>
      </c>
      <c r="I13" s="11">
        <v>0</v>
      </c>
      <c r="J13" s="12">
        <v>1</v>
      </c>
    </row>
    <row r="14" spans="1:10" x14ac:dyDescent="0.25">
      <c r="A14" s="10" t="s">
        <v>12</v>
      </c>
      <c r="B14" s="13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2">
        <v>1</v>
      </c>
    </row>
    <row r="16" spans="1:10" ht="39.75" customHeight="1" x14ac:dyDescent="0.25">
      <c r="A16" s="15" t="s">
        <v>13</v>
      </c>
      <c r="B16" s="15"/>
      <c r="C16" s="15"/>
      <c r="D16" s="15"/>
      <c r="E16" s="15"/>
      <c r="F16" s="15"/>
      <c r="G16" s="15"/>
      <c r="H16" s="15"/>
      <c r="I16" s="15"/>
      <c r="J16" s="15"/>
    </row>
    <row r="17" spans="1:20" x14ac:dyDescent="0.25">
      <c r="A17" s="4" t="s">
        <v>2</v>
      </c>
      <c r="B17" s="5" t="s">
        <v>3</v>
      </c>
      <c r="C17" s="6"/>
      <c r="D17" s="6"/>
      <c r="E17" s="6"/>
      <c r="F17" s="6"/>
      <c r="G17" s="6"/>
      <c r="H17" s="6"/>
      <c r="I17" s="6"/>
      <c r="J17" s="7"/>
    </row>
    <row r="18" spans="1:20" ht="13.8" thickBot="1" x14ac:dyDescent="0.3">
      <c r="A18" s="8"/>
      <c r="B18" s="9" t="s">
        <v>4</v>
      </c>
      <c r="C18" s="9" t="s">
        <v>5</v>
      </c>
      <c r="D18" s="9" t="s">
        <v>6</v>
      </c>
      <c r="E18" s="9" t="s">
        <v>7</v>
      </c>
      <c r="F18" s="9" t="s">
        <v>8</v>
      </c>
      <c r="G18" s="9" t="s">
        <v>9</v>
      </c>
      <c r="H18" s="9" t="s">
        <v>10</v>
      </c>
      <c r="I18" s="9" t="s">
        <v>11</v>
      </c>
      <c r="J18" s="9" t="s">
        <v>12</v>
      </c>
      <c r="L18" s="2" t="str">
        <f ca="1">_xlfn.FORMULATEXT(L19)</f>
        <v>{=MMULT(B19:J27,B19:J27)}</v>
      </c>
    </row>
    <row r="19" spans="1:20" x14ac:dyDescent="0.25">
      <c r="A19" s="10" t="s">
        <v>4</v>
      </c>
      <c r="B19" s="12">
        <v>0.96772714460202003</v>
      </c>
      <c r="C19" s="12">
        <v>3.0273870477066801E-2</v>
      </c>
      <c r="D19" s="12">
        <v>1.50345450841697E-3</v>
      </c>
      <c r="E19" s="12">
        <v>3.6176725730834199E-4</v>
      </c>
      <c r="F19" s="12">
        <v>1.49544934846554E-4</v>
      </c>
      <c r="G19" s="12">
        <v>-1.18555648439734E-5</v>
      </c>
      <c r="H19" s="12">
        <v>-2.3209437608311901E-6</v>
      </c>
      <c r="I19" s="12">
        <v>-1.9364308109556001E-6</v>
      </c>
      <c r="J19" s="12">
        <v>1.08680674840808E-6</v>
      </c>
      <c r="L19" s="12">
        <f t="array" ref="L19:T27">MMULT(B19:J27,B19:J27)</f>
        <v>0.93659999999999921</v>
      </c>
      <c r="M19" s="12">
        <v>5.8300000000000442E-2</v>
      </c>
      <c r="N19" s="12">
        <v>4.0000000000002351E-3</v>
      </c>
      <c r="O19" s="12">
        <v>7.9999999999959444E-4</v>
      </c>
      <c r="P19" s="12">
        <v>2.9999999999979164E-4</v>
      </c>
      <c r="Q19" s="12">
        <v>-2.2598148171497129E-16</v>
      </c>
      <c r="R19" s="12">
        <v>-4.7263803182079518E-17</v>
      </c>
      <c r="S19" s="12">
        <v>-3.1497237781006378E-17</v>
      </c>
      <c r="T19" s="12">
        <v>3.7277877657014395E-16</v>
      </c>
    </row>
    <row r="20" spans="1:20" x14ac:dyDescent="0.25">
      <c r="A20" s="10" t="s">
        <v>5</v>
      </c>
      <c r="B20" s="12">
        <v>3.42166580047536E-3</v>
      </c>
      <c r="C20" s="12">
        <v>0.957428330516226</v>
      </c>
      <c r="D20" s="12">
        <v>3.62142301105867E-2</v>
      </c>
      <c r="E20" s="12">
        <v>2.0523040500814399E-3</v>
      </c>
      <c r="F20" s="12">
        <v>2.4272437520415501E-4</v>
      </c>
      <c r="G20" s="12">
        <v>4.4890453022777398E-4</v>
      </c>
      <c r="H20" s="12">
        <v>1.05937820513524E-4</v>
      </c>
      <c r="I20" s="12">
        <v>3.4071645836425598E-5</v>
      </c>
      <c r="J20" s="12">
        <v>-2.5114907963230498E-7</v>
      </c>
      <c r="L20" s="12">
        <v>6.6000000000002741E-3</v>
      </c>
      <c r="M20" s="12">
        <v>0.91719999999999824</v>
      </c>
      <c r="N20" s="12">
        <v>6.9400000000000267E-2</v>
      </c>
      <c r="O20" s="12">
        <v>4.9000000000002349E-3</v>
      </c>
      <c r="P20" s="12">
        <v>5.999999999999775E-4</v>
      </c>
      <c r="Q20" s="12">
        <v>8.9999999999983474E-4</v>
      </c>
      <c r="R20" s="12">
        <v>1.9999999999987663E-4</v>
      </c>
      <c r="S20" s="12">
        <v>9.9999999999965487E-5</v>
      </c>
      <c r="T20" s="12">
        <v>1.1103829020939508E-16</v>
      </c>
    </row>
    <row r="21" spans="1:20" x14ac:dyDescent="0.25">
      <c r="A21" s="10" t="s">
        <v>6</v>
      </c>
      <c r="B21" s="12">
        <v>3.4049946406039002E-4</v>
      </c>
      <c r="C21" s="12">
        <v>1.17284350270466E-2</v>
      </c>
      <c r="D21" s="12">
        <v>0.95732872774475297</v>
      </c>
      <c r="E21" s="12">
        <v>2.7241158306120901E-2</v>
      </c>
      <c r="F21" s="12">
        <v>2.2567404433393198E-3</v>
      </c>
      <c r="G21" s="12">
        <v>9.5985349499789704E-4</v>
      </c>
      <c r="H21" s="12">
        <v>2.4485291589527101E-5</v>
      </c>
      <c r="I21" s="12">
        <v>2.9450744225589201E-4</v>
      </c>
      <c r="J21" s="12">
        <v>-1.2314428754893399E-4</v>
      </c>
      <c r="L21" s="12">
        <v>7.0000000000012478E-4</v>
      </c>
      <c r="M21" s="12">
        <v>2.249999999999986E-2</v>
      </c>
      <c r="N21" s="12">
        <v>0.91759999999999786</v>
      </c>
      <c r="O21" s="12">
        <v>5.1900000000000092E-2</v>
      </c>
      <c r="P21" s="12">
        <v>4.9000000000000111E-3</v>
      </c>
      <c r="Q21" s="12">
        <v>1.9999999999999836E-3</v>
      </c>
      <c r="R21" s="12">
        <v>9.9999999999894336E-5</v>
      </c>
      <c r="S21" s="12">
        <v>4.0000000000004024E-4</v>
      </c>
      <c r="T21" s="12">
        <v>1.3070057189312756E-16</v>
      </c>
    </row>
    <row r="22" spans="1:20" x14ac:dyDescent="0.25">
      <c r="A22" s="10" t="s">
        <v>7</v>
      </c>
      <c r="B22" s="12">
        <v>1.4809479609243E-4</v>
      </c>
      <c r="C22" s="12">
        <v>1.15096204939481E-3</v>
      </c>
      <c r="D22" s="12">
        <v>2.53550820101879E-2</v>
      </c>
      <c r="E22" s="12">
        <v>0.94394993178414099</v>
      </c>
      <c r="F22" s="12">
        <v>2.3829254639361201E-2</v>
      </c>
      <c r="G22" s="12">
        <v>3.7946096636459199E-3</v>
      </c>
      <c r="H22" s="12">
        <v>7.9231566084925198E-4</v>
      </c>
      <c r="I22" s="12">
        <v>1.7201568835598E-3</v>
      </c>
      <c r="J22" s="12">
        <v>-7.4257838932071101E-4</v>
      </c>
      <c r="L22" s="12">
        <v>3.0000000000008156E-4</v>
      </c>
      <c r="M22" s="12">
        <v>2.5000000000001393E-3</v>
      </c>
      <c r="N22" s="12">
        <v>4.8299999999999912E-2</v>
      </c>
      <c r="O22" s="12">
        <v>0.89259999999999884</v>
      </c>
      <c r="P22" s="12">
        <v>4.4399999999999794E-2</v>
      </c>
      <c r="Q22" s="12">
        <v>8.0999999999999961E-3</v>
      </c>
      <c r="R22" s="12">
        <v>1.5999999999997453E-3</v>
      </c>
      <c r="S22" s="12">
        <v>2.1999999999999719E-3</v>
      </c>
      <c r="T22" s="12">
        <v>-2.9674613460928256E-16</v>
      </c>
    </row>
    <row r="23" spans="1:20" x14ac:dyDescent="0.25">
      <c r="A23" s="10" t="s">
        <v>8</v>
      </c>
      <c r="B23" s="12">
        <v>1.5351197113321199E-4</v>
      </c>
      <c r="C23" s="12">
        <v>3.2744890388936899E-4</v>
      </c>
      <c r="D23" s="12">
        <v>1.81999924634835E-3</v>
      </c>
      <c r="E23" s="12">
        <v>3.5866108973260202E-2</v>
      </c>
      <c r="F23" s="12">
        <v>0.91154092233334305</v>
      </c>
      <c r="G23" s="12">
        <v>4.0606435570161602E-2</v>
      </c>
      <c r="H23" s="12">
        <v>5.5890342678695899E-3</v>
      </c>
      <c r="I23" s="12">
        <v>6.7525535006398097E-3</v>
      </c>
      <c r="J23" s="12">
        <v>-2.5541513670074702E-3</v>
      </c>
      <c r="L23" s="12">
        <v>3.0000000000001185E-4</v>
      </c>
      <c r="M23" s="12">
        <v>7.0000000000014582E-4</v>
      </c>
      <c r="N23" s="12">
        <v>4.4000000000001156E-3</v>
      </c>
      <c r="O23" s="12">
        <v>6.6699999999999524E-2</v>
      </c>
      <c r="P23" s="12">
        <v>0.83309999999999806</v>
      </c>
      <c r="Q23" s="12">
        <v>7.4699999999999808E-2</v>
      </c>
      <c r="R23" s="12">
        <v>1.049999999999985E-2</v>
      </c>
      <c r="S23" s="12">
        <v>9.7999999999999719E-3</v>
      </c>
      <c r="T23" s="12">
        <v>-1.6783449630075609E-16</v>
      </c>
    </row>
    <row r="24" spans="1:20" x14ac:dyDescent="0.25">
      <c r="A24" s="10" t="s">
        <v>9</v>
      </c>
      <c r="B24" s="12">
        <v>-1.47312227298736E-5</v>
      </c>
      <c r="C24" s="12">
        <v>5.1750815989725404E-4</v>
      </c>
      <c r="D24" s="12">
        <v>1.6774127606198901E-3</v>
      </c>
      <c r="E24" s="12">
        <v>1.7813757987925299E-3</v>
      </c>
      <c r="F24" s="12">
        <v>3.1416865237117099E-2</v>
      </c>
      <c r="G24" s="12">
        <v>0.91608662482956904</v>
      </c>
      <c r="H24" s="12">
        <v>2.2463367820138799E-2</v>
      </c>
      <c r="I24" s="12">
        <v>5.0984669220681497E-2</v>
      </c>
      <c r="J24" s="12">
        <v>-2.4812970948709E-2</v>
      </c>
      <c r="L24" s="12">
        <v>3.0872656861524739E-17</v>
      </c>
      <c r="M24" s="12">
        <v>1.0000000000001817E-3</v>
      </c>
      <c r="N24" s="12">
        <v>3.2999999999997693E-3</v>
      </c>
      <c r="O24" s="12">
        <v>4.6000000000002471E-3</v>
      </c>
      <c r="P24" s="12">
        <v>5.7699999999999661E-2</v>
      </c>
      <c r="Q24" s="12">
        <v>0.84189999999999843</v>
      </c>
      <c r="R24" s="12">
        <v>3.8699999999999776E-2</v>
      </c>
      <c r="S24" s="12">
        <v>5.2999999999999867E-2</v>
      </c>
      <c r="T24" s="12">
        <v>-3.9551695252271202E-16</v>
      </c>
    </row>
    <row r="25" spans="1:20" x14ac:dyDescent="0.25">
      <c r="A25" s="10" t="s">
        <v>10</v>
      </c>
      <c r="B25" s="12">
        <v>9.0468645968847395E-4</v>
      </c>
      <c r="C25" s="12">
        <v>-5.0056899884333597E-5</v>
      </c>
      <c r="D25" s="12">
        <v>1.62240005840935E-3</v>
      </c>
      <c r="E25" s="12">
        <v>5.0314699254479503E-3</v>
      </c>
      <c r="F25" s="12">
        <v>1.04754504054682E-2</v>
      </c>
      <c r="G25" s="12">
        <v>6.23667262536464E-2</v>
      </c>
      <c r="H25" s="12">
        <v>0.79883444267409098</v>
      </c>
      <c r="I25" s="12">
        <v>0.27056969033484801</v>
      </c>
      <c r="J25" s="12">
        <v>-0.149536549471424</v>
      </c>
      <c r="L25" s="12">
        <v>1.5999999999999743E-3</v>
      </c>
      <c r="M25" s="12">
        <v>-5.3891624236107605E-17</v>
      </c>
      <c r="N25" s="12">
        <v>3.0999999999999626E-3</v>
      </c>
      <c r="O25" s="12">
        <v>9.2999999999997494E-3</v>
      </c>
      <c r="P25" s="12">
        <v>1.9999999999999723E-2</v>
      </c>
      <c r="Q25" s="12">
        <v>0.10739999999999958</v>
      </c>
      <c r="R25" s="12">
        <v>0.63959999999999884</v>
      </c>
      <c r="S25" s="12">
        <v>0.21939999999999937</v>
      </c>
      <c r="T25" s="12">
        <v>5.5511151231257827E-17</v>
      </c>
    </row>
    <row r="26" spans="1:20" x14ac:dyDescent="0.25">
      <c r="A26" s="10" t="s">
        <v>11</v>
      </c>
      <c r="B26" s="12">
        <v>0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1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1</v>
      </c>
    </row>
    <row r="27" spans="1:20" x14ac:dyDescent="0.25">
      <c r="A27" s="10" t="s">
        <v>12</v>
      </c>
      <c r="B27" s="12">
        <v>0</v>
      </c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1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1</v>
      </c>
    </row>
    <row r="29" spans="1:20" ht="108" customHeight="1" x14ac:dyDescent="0.25">
      <c r="A29" s="16" t="s">
        <v>14</v>
      </c>
      <c r="B29" s="16"/>
      <c r="C29" s="16"/>
      <c r="D29" s="16"/>
      <c r="E29" s="16"/>
      <c r="F29" s="16"/>
      <c r="G29" s="16"/>
      <c r="H29" s="16"/>
      <c r="I29" s="16"/>
      <c r="J29" s="16"/>
    </row>
    <row r="30" spans="1:20" x14ac:dyDescent="0.25">
      <c r="A30" s="4" t="s">
        <v>2</v>
      </c>
      <c r="B30" s="5" t="s">
        <v>3</v>
      </c>
      <c r="C30" s="6"/>
      <c r="D30" s="6"/>
      <c r="E30" s="6"/>
      <c r="F30" s="6"/>
      <c r="G30" s="6"/>
      <c r="H30" s="6"/>
      <c r="I30" s="6"/>
      <c r="J30" s="7"/>
    </row>
    <row r="31" spans="1:20" ht="13.8" thickBot="1" x14ac:dyDescent="0.3">
      <c r="A31" s="8"/>
      <c r="B31" s="9" t="s">
        <v>4</v>
      </c>
      <c r="C31" s="9" t="s">
        <v>5</v>
      </c>
      <c r="D31" s="9" t="s">
        <v>6</v>
      </c>
      <c r="E31" s="9" t="s">
        <v>7</v>
      </c>
      <c r="F31" s="9" t="s">
        <v>8</v>
      </c>
      <c r="G31" s="9" t="s">
        <v>9</v>
      </c>
      <c r="H31" s="9" t="s">
        <v>10</v>
      </c>
      <c r="I31" s="9" t="s">
        <v>11</v>
      </c>
      <c r="J31" s="9" t="s">
        <v>12</v>
      </c>
    </row>
    <row r="32" spans="1:20" x14ac:dyDescent="0.25">
      <c r="A32" s="10" t="s">
        <v>4</v>
      </c>
      <c r="B32" s="12">
        <v>0.96772714460202003</v>
      </c>
      <c r="C32" s="12">
        <v>3.0273870477066801E-2</v>
      </c>
      <c r="D32" s="12">
        <v>1.50345450841697E-3</v>
      </c>
      <c r="E32" s="12">
        <v>3.6176725730834199E-4</v>
      </c>
      <c r="F32" s="12">
        <v>1.49544934846554E-4</v>
      </c>
      <c r="G32" s="12">
        <v>-1.18555648439734E-5</v>
      </c>
      <c r="H32" s="12">
        <v>-2.3209437608311901E-6</v>
      </c>
      <c r="I32" s="12">
        <f t="shared" ref="I32:I38" si="0">1-SUM(B32:H32)</f>
        <v>-1.6052710538616566E-6</v>
      </c>
      <c r="J32" s="12">
        <v>0</v>
      </c>
    </row>
    <row r="33" spans="1:10" x14ac:dyDescent="0.25">
      <c r="A33" s="10" t="s">
        <v>5</v>
      </c>
      <c r="B33" s="12">
        <v>3.42166580047536E-3</v>
      </c>
      <c r="C33" s="12">
        <v>0.957428330516226</v>
      </c>
      <c r="D33" s="12">
        <v>3.62142301105867E-2</v>
      </c>
      <c r="E33" s="12">
        <v>2.0523040500814399E-3</v>
      </c>
      <c r="F33" s="12">
        <v>2.4272437520415501E-4</v>
      </c>
      <c r="G33" s="12">
        <v>4.4890453022777398E-4</v>
      </c>
      <c r="H33" s="12">
        <v>1.05937820513524E-4</v>
      </c>
      <c r="I33" s="12">
        <f t="shared" si="0"/>
        <v>8.5902796685299876E-5</v>
      </c>
      <c r="J33" s="12">
        <v>0</v>
      </c>
    </row>
    <row r="34" spans="1:10" x14ac:dyDescent="0.25">
      <c r="A34" s="10" t="s">
        <v>6</v>
      </c>
      <c r="B34" s="12">
        <v>3.4049946406039002E-4</v>
      </c>
      <c r="C34" s="12">
        <v>1.17284350270466E-2</v>
      </c>
      <c r="D34" s="12">
        <v>0.95732872774475297</v>
      </c>
      <c r="E34" s="12">
        <v>2.7241158306120901E-2</v>
      </c>
      <c r="F34" s="12">
        <v>2.2567404433393198E-3</v>
      </c>
      <c r="G34" s="12">
        <v>9.5985349499789704E-4</v>
      </c>
      <c r="H34" s="12">
        <v>2.4485291589527101E-5</v>
      </c>
      <c r="I34" s="12">
        <f t="shared" si="0"/>
        <v>1.2010022809227916E-4</v>
      </c>
      <c r="J34" s="12">
        <v>0</v>
      </c>
    </row>
    <row r="35" spans="1:10" x14ac:dyDescent="0.25">
      <c r="A35" s="10" t="s">
        <v>7</v>
      </c>
      <c r="B35" s="12">
        <v>1.4809479609243E-4</v>
      </c>
      <c r="C35" s="12">
        <v>1.15096204939481E-3</v>
      </c>
      <c r="D35" s="12">
        <v>2.53550820101879E-2</v>
      </c>
      <c r="E35" s="12">
        <v>0.94394993178414099</v>
      </c>
      <c r="F35" s="12">
        <v>2.3829254639361201E-2</v>
      </c>
      <c r="G35" s="12">
        <v>3.7946096636459199E-3</v>
      </c>
      <c r="H35" s="12">
        <v>7.9231566084925198E-4</v>
      </c>
      <c r="I35" s="12">
        <f t="shared" si="0"/>
        <v>9.7974939632750058E-4</v>
      </c>
      <c r="J35" s="12">
        <v>0</v>
      </c>
    </row>
    <row r="36" spans="1:10" x14ac:dyDescent="0.25">
      <c r="A36" s="10" t="s">
        <v>8</v>
      </c>
      <c r="B36" s="12">
        <v>1.5351197113321199E-4</v>
      </c>
      <c r="C36" s="12">
        <v>3.2744890388936899E-4</v>
      </c>
      <c r="D36" s="12">
        <v>1.81999924634835E-3</v>
      </c>
      <c r="E36" s="12">
        <v>3.5866108973260202E-2</v>
      </c>
      <c r="F36" s="12">
        <v>0.91154092233334305</v>
      </c>
      <c r="G36" s="12">
        <v>4.0606435570161602E-2</v>
      </c>
      <c r="H36" s="12">
        <v>5.5890342678695899E-3</v>
      </c>
      <c r="I36" s="12">
        <f t="shared" si="0"/>
        <v>4.0965387339945147E-3</v>
      </c>
      <c r="J36" s="12">
        <v>0</v>
      </c>
    </row>
    <row r="37" spans="1:10" x14ac:dyDescent="0.25">
      <c r="A37" s="10" t="s">
        <v>9</v>
      </c>
      <c r="B37" s="12">
        <v>-1.47312227298736E-5</v>
      </c>
      <c r="C37" s="12">
        <v>5.1750815989725404E-4</v>
      </c>
      <c r="D37" s="12">
        <v>1.6774127606198901E-3</v>
      </c>
      <c r="E37" s="12">
        <v>1.7813757987925299E-3</v>
      </c>
      <c r="F37" s="12">
        <v>3.1416865237117099E-2</v>
      </c>
      <c r="G37" s="12">
        <v>0.91608662482956904</v>
      </c>
      <c r="H37" s="12">
        <v>2.2463367820138799E-2</v>
      </c>
      <c r="I37" s="12">
        <f t="shared" si="0"/>
        <v>2.6071576616595205E-2</v>
      </c>
      <c r="J37" s="12">
        <v>0</v>
      </c>
    </row>
    <row r="38" spans="1:10" x14ac:dyDescent="0.25">
      <c r="A38" s="10" t="s">
        <v>10</v>
      </c>
      <c r="B38" s="12">
        <v>9.0468645968847395E-4</v>
      </c>
      <c r="C38" s="12">
        <v>0</v>
      </c>
      <c r="D38" s="12">
        <v>1.62240005840935E-3</v>
      </c>
      <c r="E38" s="12">
        <v>5.0314699254479503E-3</v>
      </c>
      <c r="F38" s="12">
        <v>1.04754504054682E-2</v>
      </c>
      <c r="G38" s="12">
        <v>6.23667262536464E-2</v>
      </c>
      <c r="H38" s="12">
        <v>0.79883444267409098</v>
      </c>
      <c r="I38" s="12">
        <f t="shared" si="0"/>
        <v>0.12076482422324863</v>
      </c>
      <c r="J38" s="12">
        <v>0</v>
      </c>
    </row>
    <row r="39" spans="1:10" x14ac:dyDescent="0.25">
      <c r="A39" s="10" t="s">
        <v>11</v>
      </c>
      <c r="B39" s="12">
        <v>0</v>
      </c>
      <c r="C39" s="12">
        <v>0</v>
      </c>
      <c r="D39" s="12">
        <v>0</v>
      </c>
      <c r="E39" s="12">
        <v>0</v>
      </c>
      <c r="F39" s="12">
        <v>0</v>
      </c>
      <c r="G39" s="12">
        <v>0</v>
      </c>
      <c r="H39" s="12">
        <v>0</v>
      </c>
      <c r="I39" s="12">
        <v>0</v>
      </c>
      <c r="J39" s="12">
        <v>1</v>
      </c>
    </row>
    <row r="40" spans="1:10" x14ac:dyDescent="0.25">
      <c r="A40" s="10" t="s">
        <v>12</v>
      </c>
      <c r="B40" s="12">
        <v>0</v>
      </c>
      <c r="C40" s="12">
        <v>0</v>
      </c>
      <c r="D40" s="12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1</v>
      </c>
    </row>
  </sheetData>
  <mergeCells count="10">
    <mergeCell ref="A29:J29"/>
    <mergeCell ref="A30:A31"/>
    <mergeCell ref="B30:I30"/>
    <mergeCell ref="A1:J1"/>
    <mergeCell ref="A3:J3"/>
    <mergeCell ref="A4:A5"/>
    <mergeCell ref="B4:I4"/>
    <mergeCell ref="A16:J16"/>
    <mergeCell ref="A17:A18"/>
    <mergeCell ref="B17:I17"/>
  </mergeCells>
  <phoneticPr fontId="1" type="noConversion"/>
  <printOptions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735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2024-12-19T03:37:35Z</dcterms:modified>
</cp:coreProperties>
</file>