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8\"/>
    </mc:Choice>
  </mc:AlternateContent>
  <xr:revisionPtr revIDLastSave="0" documentId="13_ncr:1_{CBC1FCF0-90F6-429C-85B3-9537E8DDB98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27, 729 top" sheetId="2" r:id="rId1"/>
    <sheet name="Sheet1" sheetId="1" r:id="rId2"/>
  </sheets>
  <functionGroups builtInGroupCount="19"/>
  <externalReferences>
    <externalReference r:id="rId3"/>
  </externalReferences>
  <definedNames>
    <definedName name="bondterm" localSheetId="0">'Page 727, 729 top'!$B$5</definedName>
    <definedName name="initial" localSheetId="0">'Page 727, 729 top'!$C$16:$G$16</definedName>
    <definedName name="payoff1" localSheetId="0">'Page 727, 729 top'!$F$3:$F$7</definedName>
    <definedName name="payoff2" localSheetId="0">'Page 727, 729 top'!$I$3:$I$7</definedName>
    <definedName name="transition" localSheetId="0">'Page 727, 729 top'!$C$10:$G$14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7" i="2" l="1"/>
  <c r="C40" i="2"/>
  <c r="C39" i="2"/>
  <c r="C38" i="2"/>
  <c r="C37" i="2"/>
  <c r="C36" i="2"/>
  <c r="C35" i="2"/>
  <c r="C34" i="2"/>
  <c r="C33" i="2"/>
  <c r="C32" i="2"/>
  <c r="C31" i="2"/>
  <c r="C3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B20" i="2"/>
  <c r="F16" i="2"/>
  <c r="E16" i="2"/>
  <c r="D16" i="2"/>
  <c r="C16" i="2"/>
  <c r="F12" i="2"/>
  <c r="F11" i="2"/>
  <c r="E11" i="2"/>
  <c r="F10" i="2"/>
  <c r="E10" i="2"/>
  <c r="I6" i="2"/>
  <c r="H6" i="2"/>
  <c r="F6" i="2"/>
  <c r="E6" i="2"/>
  <c r="I5" i="2"/>
  <c r="F5" i="2"/>
  <c r="F4" i="2"/>
  <c r="I4" i="2" s="1"/>
  <c r="F3" i="2"/>
  <c r="I3" i="2" s="1"/>
  <c r="G20" i="2"/>
  <c r="C20" i="2"/>
  <c r="E20" i="2"/>
  <c r="D20" i="2" a="1"/>
  <c r="F20" i="2"/>
  <c r="C29" i="2"/>
  <c r="A17" i="2"/>
  <c r="C21" i="2"/>
  <c r="D20" i="2" l="1"/>
  <c r="B21" i="2"/>
  <c r="B29" i="2" s="1"/>
</calcChain>
</file>

<file path=xl/sharedStrings.xml><?xml version="1.0" encoding="utf-8"?>
<sst xmlns="http://schemas.openxmlformats.org/spreadsheetml/2006/main" count="37" uniqueCount="29">
  <si>
    <t>CALCULATING THE EXPECTED BOND RETURN</t>
  </si>
  <si>
    <t>Bond price</t>
  </si>
  <si>
    <t>Payoff (t&lt;N)</t>
  </si>
  <si>
    <t>Payoff (N)</t>
  </si>
  <si>
    <t>Coupon rate, Q</t>
  </si>
  <si>
    <t>Cells to right</t>
  </si>
  <si>
    <r>
      <t xml:space="preserve">Recovery rate, </t>
    </r>
    <r>
      <rPr>
        <sz val="10"/>
        <rFont val="Symbol"/>
        <family val="1"/>
        <charset val="2"/>
      </rPr>
      <t>l</t>
    </r>
  </si>
  <si>
    <t>are called</t>
  </si>
  <si>
    <t>Bond term, N</t>
  </si>
  <si>
    <t>"payoff1"</t>
  </si>
  <si>
    <t>"payoff2"</t>
  </si>
  <si>
    <t>Initial rating</t>
  </si>
  <si>
    <t>B</t>
  </si>
  <si>
    <t>A</t>
  </si>
  <si>
    <t>C</t>
  </si>
  <si>
    <t>D</t>
  </si>
  <si>
    <t>E</t>
  </si>
  <si>
    <t>Transition matrix  →</t>
  </si>
  <si>
    <t>Initial vector</t>
  </si>
  <si>
    <t>Year</t>
  </si>
  <si>
    <t>Expected payoffs</t>
  </si>
  <si>
    <t>Expected yield</t>
  </si>
  <si>
    <t>Data table:  Recovery percentage and expected yield</t>
  </si>
  <si>
    <r>
      <t xml:space="preserve">Recovery percentage, </t>
    </r>
    <r>
      <rPr>
        <b/>
        <sz val="10"/>
        <rFont val="Symbol"/>
        <family val="1"/>
        <charset val="2"/>
      </rPr>
      <t>l</t>
    </r>
  </si>
  <si>
    <t>Note:  The data table has a series with the</t>
  </si>
  <si>
    <t>coupon rate appended so that in the graph we</t>
  </si>
  <si>
    <t>can see the convergence of the bond expected</t>
  </si>
  <si>
    <t>return to the coupon rate (cells C30:C40)</t>
  </si>
  <si>
    <r>
      <t xml:space="preserve">Graph title below </t>
    </r>
    <r>
      <rPr>
        <sz val="10"/>
        <rFont val="Arial"/>
        <family val="2"/>
      </rPr>
      <t>(notice use of text functions):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</si>
</sst>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.00_);_(* \(#,##0.00\);_(* &quot;-&quot;??_);_(@_)"/>
    <numFmt numFmtId="177" formatCode="_(* #,##0_);_(* \(#,##0\);_(* &quot;-&quot;??_);_(@_)"/>
    <numFmt numFmtId="178" formatCode="0.0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sz val="10"/>
      <name val="Wingdings"/>
      <charset val="2"/>
    </font>
    <font>
      <b/>
      <sz val="12"/>
      <name val="Arial"/>
      <family val="2"/>
    </font>
    <font>
      <b/>
      <sz val="10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176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0">
    <xf numFmtId="0" fontId="0" fillId="0" borderId="0" xfId="0">
      <alignment vertical="center"/>
    </xf>
    <xf numFmtId="0" fontId="2" fillId="0" borderId="0" xfId="1"/>
    <xf numFmtId="10" fontId="2" fillId="0" borderId="0" xfId="1" applyNumberFormat="1"/>
    <xf numFmtId="0" fontId="4" fillId="0" borderId="0" xfId="1" applyFont="1" applyAlignment="1">
      <alignment horizontal="center"/>
    </xf>
    <xf numFmtId="9" fontId="2" fillId="0" borderId="0" xfId="1" applyNumberFormat="1"/>
    <xf numFmtId="0" fontId="2" fillId="0" borderId="0" xfId="1" applyAlignment="1">
      <alignment horizontal="center"/>
    </xf>
    <xf numFmtId="177" fontId="2" fillId="0" borderId="0" xfId="2" applyNumberFormat="1"/>
    <xf numFmtId="9" fontId="2" fillId="0" borderId="0" xfId="3"/>
    <xf numFmtId="0" fontId="4" fillId="0" borderId="0" xfId="1" applyFont="1"/>
    <xf numFmtId="178" fontId="2" fillId="0" borderId="0" xfId="1" applyNumberFormat="1"/>
    <xf numFmtId="0" fontId="6" fillId="0" borderId="0" xfId="1" applyFont="1"/>
    <xf numFmtId="178" fontId="2" fillId="0" borderId="0" xfId="2" applyNumberFormat="1"/>
    <xf numFmtId="0" fontId="2" fillId="2" borderId="0" xfId="1" applyFill="1"/>
    <xf numFmtId="10" fontId="2" fillId="2" borderId="0" xfId="3" applyNumberFormat="1" applyFill="1"/>
    <xf numFmtId="9" fontId="2" fillId="0" borderId="0" xfId="1" applyNumberFormat="1" applyAlignment="1">
      <alignment horizontal="center"/>
    </xf>
    <xf numFmtId="10" fontId="2" fillId="0" borderId="0" xfId="3" applyNumberFormat="1"/>
    <xf numFmtId="0" fontId="3" fillId="0" borderId="0" xfId="1" applyFont="1" applyAlignment="1">
      <alignment horizontal="center"/>
    </xf>
    <xf numFmtId="0" fontId="7" fillId="0" borderId="0" xfId="1" applyFont="1" applyAlignment="1">
      <alignment horizontal="center" vertical="center" wrapText="1"/>
    </xf>
    <xf numFmtId="0" fontId="2" fillId="0" borderId="0" xfId="1" applyAlignment="1">
      <alignment horizontal="center" wrapText="1"/>
    </xf>
    <xf numFmtId="0" fontId="2" fillId="0" borderId="0" xfId="1" applyAlignment="1">
      <alignment horizontal="center"/>
    </xf>
  </cellXfs>
  <cellStyles count="4">
    <cellStyle name="百分比 2" xfId="3" xr:uid="{2FC603D5-7382-4711-92FF-8F6CD4F01B16}"/>
    <cellStyle name="常规" xfId="0" builtinId="0"/>
    <cellStyle name="常规 2" xfId="1" xr:uid="{A194877D-A49C-4A85-9C52-B3BD2E9960B5}"/>
    <cellStyle name="千位分隔 2" xfId="2" xr:uid="{347876A0-46AD-4681-8CC6-A3BB375469C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727, 729 top'!$G$47</c:f>
          <c:strCache>
            <c:ptCount val="1"/>
            <c:pt idx="0">
              <c:v>Bond Expected Return and Recovery Rate
Bond price = 100%, Bond Rating = B, Coupon = 7.00%</c:v>
            </c:pt>
          </c:strCache>
        </c:strRef>
      </c:tx>
      <c:layout>
        <c:manualLayout>
          <c:xMode val="edge"/>
          <c:yMode val="edge"/>
          <c:x val="0.12720156555772993"/>
          <c:y val="4.049852810951822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9.3933553553802257E-2"/>
          <c:y val="0.19314744575067558"/>
          <c:w val="0.83757418585473675"/>
          <c:h val="0.6573243718289120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727, 729 top'!$A$30:$A$40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'Page 727, 729 top'!$B$30:$B$40</c:f>
              <c:numCache>
                <c:formatCode>0.00%</c:formatCode>
                <c:ptCount val="11"/>
                <c:pt idx="0">
                  <c:v>2.4269394871250682E-2</c:v>
                </c:pt>
                <c:pt idx="1">
                  <c:v>2.8692161259549209E-2</c:v>
                </c:pt>
                <c:pt idx="2">
                  <c:v>3.3082781671436523E-2</c:v>
                </c:pt>
                <c:pt idx="3">
                  <c:v>3.7441776963177631E-2</c:v>
                </c:pt>
                <c:pt idx="4">
                  <c:v>4.1769656720286541E-2</c:v>
                </c:pt>
                <c:pt idx="5">
                  <c:v>4.606691952028763E-2</c:v>
                </c:pt>
                <c:pt idx="6">
                  <c:v>5.0334053182941929E-2</c:v>
                </c:pt>
                <c:pt idx="7">
                  <c:v>5.4571535017304162E-2</c:v>
                </c:pt>
                <c:pt idx="8">
                  <c:v>5.8779832065309456E-2</c:v>
                </c:pt>
                <c:pt idx="9">
                  <c:v>6.295940134165301E-2</c:v>
                </c:pt>
                <c:pt idx="10">
                  <c:v>6.7110690069751566E-2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74-4500-A50C-AF810174A4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'Page 727, 729 top'!$A$30:$A$40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'Page 727, 729 top'!$C$30:$C$40</c:f>
              <c:numCache>
                <c:formatCode>0%</c:formatCode>
                <c:ptCount val="11"/>
                <c:pt idx="0">
                  <c:v>7.0000000000000007E-2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7.0000000000000007E-2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7.0000000000000007E-2</c:v>
                </c:pt>
                <c:pt idx="9">
                  <c:v>7.0000000000000007E-2</c:v>
                </c:pt>
                <c:pt idx="10">
                  <c:v>7.0000000000000007E-2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74-4500-A50C-AF810174A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899944"/>
        <c:axId val="1"/>
      </c:scatterChart>
      <c:valAx>
        <c:axId val="598899944"/>
        <c:scaling>
          <c:orientation val="minMax"/>
          <c:max val="1"/>
        </c:scaling>
        <c:delete val="0"/>
        <c:axPos val="b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9889994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22</xdr:row>
      <xdr:rowOff>68580</xdr:rowOff>
    </xdr:from>
    <xdr:to>
      <xdr:col>8</xdr:col>
      <xdr:colOff>464820</xdr:colOff>
      <xdr:row>25</xdr:row>
      <xdr:rowOff>121920</xdr:rowOff>
    </xdr:to>
    <xdr:sp macro="" textlink="">
      <xdr:nvSpPr>
        <xdr:cNvPr id="2" name="Text 1">
          <a:extLst>
            <a:ext uri="{FF2B5EF4-FFF2-40B4-BE49-F238E27FC236}">
              <a16:creationId xmlns:a16="http://schemas.microsoft.com/office/drawing/2014/main" id="{A0B49FF6-F47C-4337-B6DB-28765FB8AFC3}"/>
            </a:ext>
          </a:extLst>
        </xdr:cNvPr>
        <xdr:cNvSpPr txBox="1">
          <a:spLocks noChangeArrowheads="1"/>
        </xdr:cNvSpPr>
      </xdr:nvSpPr>
      <xdr:spPr bwMode="auto">
        <a:xfrm>
          <a:off x="2038350" y="3886200"/>
          <a:ext cx="4733925" cy="571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=IF(year&gt;bondterm,0,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IF(year=bondterm,MMULT(initial,MMULT(matrixpower(transition,year),payoff2)),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MMULT(initial,MMULT(matrixpower(transition,year),payoff1))))</a:t>
          </a:r>
        </a:p>
      </xdr:txBody>
    </xdr:sp>
    <xdr:clientData/>
  </xdr:twoCellAnchor>
  <xdr:twoCellAnchor>
    <xdr:from>
      <xdr:col>4</xdr:col>
      <xdr:colOff>609600</xdr:colOff>
      <xdr:row>20</xdr:row>
      <xdr:rowOff>22860</xdr:rowOff>
    </xdr:from>
    <xdr:to>
      <xdr:col>5</xdr:col>
      <xdr:colOff>541020</xdr:colOff>
      <xdr:row>22</xdr:row>
      <xdr:rowOff>60960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92E10F59-C129-48C2-A612-DB0687561D77}"/>
            </a:ext>
          </a:extLst>
        </xdr:cNvPr>
        <xdr:cNvSpPr>
          <a:spLocks noChangeShapeType="1"/>
        </xdr:cNvSpPr>
      </xdr:nvSpPr>
      <xdr:spPr bwMode="auto">
        <a:xfrm flipH="1" flipV="1">
          <a:off x="4019550" y="3495675"/>
          <a:ext cx="657225" cy="381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213360</xdr:colOff>
      <xdr:row>23</xdr:row>
      <xdr:rowOff>22860</xdr:rowOff>
    </xdr:from>
    <xdr:to>
      <xdr:col>0</xdr:col>
      <xdr:colOff>1211580</xdr:colOff>
      <xdr:row>25</xdr:row>
      <xdr:rowOff>60960</xdr:rowOff>
    </xdr:to>
    <xdr:sp macro="" textlink="">
      <xdr:nvSpPr>
        <xdr:cNvPr id="4" name="Text 8">
          <a:extLst>
            <a:ext uri="{FF2B5EF4-FFF2-40B4-BE49-F238E27FC236}">
              <a16:creationId xmlns:a16="http://schemas.microsoft.com/office/drawing/2014/main" id="{E806EA34-63C8-48F8-AB1D-5493669468DC}"/>
            </a:ext>
          </a:extLst>
        </xdr:cNvPr>
        <xdr:cNvSpPr txBox="1">
          <a:spLocks noChangeArrowheads="1"/>
        </xdr:cNvSpPr>
      </xdr:nvSpPr>
      <xdr:spPr bwMode="auto">
        <a:xfrm>
          <a:off x="209550" y="4010025"/>
          <a:ext cx="1000125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IRR of expected payoffs</a:t>
          </a:r>
        </a:p>
      </xdr:txBody>
    </xdr:sp>
    <xdr:clientData/>
  </xdr:twoCellAnchor>
  <xdr:twoCellAnchor>
    <xdr:from>
      <xdr:col>0</xdr:col>
      <xdr:colOff>1074420</xdr:colOff>
      <xdr:row>21</xdr:row>
      <xdr:rowOff>30480</xdr:rowOff>
    </xdr:from>
    <xdr:to>
      <xdr:col>1</xdr:col>
      <xdr:colOff>213360</xdr:colOff>
      <xdr:row>23</xdr:row>
      <xdr:rowOff>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8E8BA036-4309-421A-AF55-76982A0DF3B3}"/>
            </a:ext>
          </a:extLst>
        </xdr:cNvPr>
        <xdr:cNvSpPr>
          <a:spLocks noChangeShapeType="1"/>
        </xdr:cNvSpPr>
      </xdr:nvSpPr>
      <xdr:spPr bwMode="auto">
        <a:xfrm flipV="1">
          <a:off x="1076325" y="3676650"/>
          <a:ext cx="714375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60960</xdr:colOff>
      <xdr:row>29</xdr:row>
      <xdr:rowOff>160020</xdr:rowOff>
    </xdr:from>
    <xdr:to>
      <xdr:col>8</xdr:col>
      <xdr:colOff>449580</xdr:colOff>
      <xdr:row>44</xdr:row>
      <xdr:rowOff>91440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13D172CA-F078-4175-AFD7-198FF7247B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590550</xdr:colOff>
      <xdr:row>22</xdr:row>
      <xdr:rowOff>123825</xdr:rowOff>
    </xdr:from>
    <xdr:to>
      <xdr:col>34</xdr:col>
      <xdr:colOff>308452</xdr:colOff>
      <xdr:row>69</xdr:row>
      <xdr:rowOff>134548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EB2C728A-1426-3653-6660-B9E1F7273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72675" y="3943350"/>
          <a:ext cx="12519502" cy="85794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AC89A-0DD4-4C02-A984-12405F58ED85}">
  <sheetPr codeName="Sheet11"/>
  <dimension ref="A1:AV62"/>
  <sheetViews>
    <sheetView tabSelected="1" workbookViewId="0">
      <selection activeCell="X12" sqref="X12"/>
    </sheetView>
  </sheetViews>
  <sheetFormatPr defaultRowHeight="13.2" x14ac:dyDescent="0.25"/>
  <cols>
    <col min="1" max="1" width="23.109375" style="1" customWidth="1"/>
    <col min="2" max="4" width="8.88671875" style="1"/>
    <col min="5" max="5" width="10.5546875" style="1" customWidth="1"/>
    <col min="6" max="6" width="11.33203125" style="1" customWidth="1"/>
    <col min="7" max="7" width="8.88671875" style="1"/>
    <col min="8" max="8" width="11.44140625" style="1" customWidth="1"/>
    <col min="9" max="9" width="9.33203125" style="1" customWidth="1"/>
    <col min="10" max="256" width="8.88671875" style="1"/>
    <col min="257" max="257" width="23.109375" style="1" customWidth="1"/>
    <col min="258" max="260" width="8.88671875" style="1"/>
    <col min="261" max="261" width="10.5546875" style="1" customWidth="1"/>
    <col min="262" max="262" width="11.33203125" style="1" customWidth="1"/>
    <col min="263" max="263" width="8.88671875" style="1"/>
    <col min="264" max="264" width="11.44140625" style="1" customWidth="1"/>
    <col min="265" max="265" width="9.33203125" style="1" customWidth="1"/>
    <col min="266" max="512" width="8.88671875" style="1"/>
    <col min="513" max="513" width="23.109375" style="1" customWidth="1"/>
    <col min="514" max="516" width="8.88671875" style="1"/>
    <col min="517" max="517" width="10.5546875" style="1" customWidth="1"/>
    <col min="518" max="518" width="11.33203125" style="1" customWidth="1"/>
    <col min="519" max="519" width="8.88671875" style="1"/>
    <col min="520" max="520" width="11.44140625" style="1" customWidth="1"/>
    <col min="521" max="521" width="9.33203125" style="1" customWidth="1"/>
    <col min="522" max="768" width="8.88671875" style="1"/>
    <col min="769" max="769" width="23.109375" style="1" customWidth="1"/>
    <col min="770" max="772" width="8.88671875" style="1"/>
    <col min="773" max="773" width="10.5546875" style="1" customWidth="1"/>
    <col min="774" max="774" width="11.33203125" style="1" customWidth="1"/>
    <col min="775" max="775" width="8.88671875" style="1"/>
    <col min="776" max="776" width="11.44140625" style="1" customWidth="1"/>
    <col min="777" max="777" width="9.33203125" style="1" customWidth="1"/>
    <col min="778" max="1024" width="8.88671875" style="1"/>
    <col min="1025" max="1025" width="23.109375" style="1" customWidth="1"/>
    <col min="1026" max="1028" width="8.88671875" style="1"/>
    <col min="1029" max="1029" width="10.5546875" style="1" customWidth="1"/>
    <col min="1030" max="1030" width="11.33203125" style="1" customWidth="1"/>
    <col min="1031" max="1031" width="8.88671875" style="1"/>
    <col min="1032" max="1032" width="11.44140625" style="1" customWidth="1"/>
    <col min="1033" max="1033" width="9.33203125" style="1" customWidth="1"/>
    <col min="1034" max="1280" width="8.88671875" style="1"/>
    <col min="1281" max="1281" width="23.109375" style="1" customWidth="1"/>
    <col min="1282" max="1284" width="8.88671875" style="1"/>
    <col min="1285" max="1285" width="10.5546875" style="1" customWidth="1"/>
    <col min="1286" max="1286" width="11.33203125" style="1" customWidth="1"/>
    <col min="1287" max="1287" width="8.88671875" style="1"/>
    <col min="1288" max="1288" width="11.44140625" style="1" customWidth="1"/>
    <col min="1289" max="1289" width="9.33203125" style="1" customWidth="1"/>
    <col min="1290" max="1536" width="8.88671875" style="1"/>
    <col min="1537" max="1537" width="23.109375" style="1" customWidth="1"/>
    <col min="1538" max="1540" width="8.88671875" style="1"/>
    <col min="1541" max="1541" width="10.5546875" style="1" customWidth="1"/>
    <col min="1542" max="1542" width="11.33203125" style="1" customWidth="1"/>
    <col min="1543" max="1543" width="8.88671875" style="1"/>
    <col min="1544" max="1544" width="11.44140625" style="1" customWidth="1"/>
    <col min="1545" max="1545" width="9.33203125" style="1" customWidth="1"/>
    <col min="1546" max="1792" width="8.88671875" style="1"/>
    <col min="1793" max="1793" width="23.109375" style="1" customWidth="1"/>
    <col min="1794" max="1796" width="8.88671875" style="1"/>
    <col min="1797" max="1797" width="10.5546875" style="1" customWidth="1"/>
    <col min="1798" max="1798" width="11.33203125" style="1" customWidth="1"/>
    <col min="1799" max="1799" width="8.88671875" style="1"/>
    <col min="1800" max="1800" width="11.44140625" style="1" customWidth="1"/>
    <col min="1801" max="1801" width="9.33203125" style="1" customWidth="1"/>
    <col min="1802" max="2048" width="8.88671875" style="1"/>
    <col min="2049" max="2049" width="23.109375" style="1" customWidth="1"/>
    <col min="2050" max="2052" width="8.88671875" style="1"/>
    <col min="2053" max="2053" width="10.5546875" style="1" customWidth="1"/>
    <col min="2054" max="2054" width="11.33203125" style="1" customWidth="1"/>
    <col min="2055" max="2055" width="8.88671875" style="1"/>
    <col min="2056" max="2056" width="11.44140625" style="1" customWidth="1"/>
    <col min="2057" max="2057" width="9.33203125" style="1" customWidth="1"/>
    <col min="2058" max="2304" width="8.88671875" style="1"/>
    <col min="2305" max="2305" width="23.109375" style="1" customWidth="1"/>
    <col min="2306" max="2308" width="8.88671875" style="1"/>
    <col min="2309" max="2309" width="10.5546875" style="1" customWidth="1"/>
    <col min="2310" max="2310" width="11.33203125" style="1" customWidth="1"/>
    <col min="2311" max="2311" width="8.88671875" style="1"/>
    <col min="2312" max="2312" width="11.44140625" style="1" customWidth="1"/>
    <col min="2313" max="2313" width="9.33203125" style="1" customWidth="1"/>
    <col min="2314" max="2560" width="8.88671875" style="1"/>
    <col min="2561" max="2561" width="23.109375" style="1" customWidth="1"/>
    <col min="2562" max="2564" width="8.88671875" style="1"/>
    <col min="2565" max="2565" width="10.5546875" style="1" customWidth="1"/>
    <col min="2566" max="2566" width="11.33203125" style="1" customWidth="1"/>
    <col min="2567" max="2567" width="8.88671875" style="1"/>
    <col min="2568" max="2568" width="11.44140625" style="1" customWidth="1"/>
    <col min="2569" max="2569" width="9.33203125" style="1" customWidth="1"/>
    <col min="2570" max="2816" width="8.88671875" style="1"/>
    <col min="2817" max="2817" width="23.109375" style="1" customWidth="1"/>
    <col min="2818" max="2820" width="8.88671875" style="1"/>
    <col min="2821" max="2821" width="10.5546875" style="1" customWidth="1"/>
    <col min="2822" max="2822" width="11.33203125" style="1" customWidth="1"/>
    <col min="2823" max="2823" width="8.88671875" style="1"/>
    <col min="2824" max="2824" width="11.44140625" style="1" customWidth="1"/>
    <col min="2825" max="2825" width="9.33203125" style="1" customWidth="1"/>
    <col min="2826" max="3072" width="8.88671875" style="1"/>
    <col min="3073" max="3073" width="23.109375" style="1" customWidth="1"/>
    <col min="3074" max="3076" width="8.88671875" style="1"/>
    <col min="3077" max="3077" width="10.5546875" style="1" customWidth="1"/>
    <col min="3078" max="3078" width="11.33203125" style="1" customWidth="1"/>
    <col min="3079" max="3079" width="8.88671875" style="1"/>
    <col min="3080" max="3080" width="11.44140625" style="1" customWidth="1"/>
    <col min="3081" max="3081" width="9.33203125" style="1" customWidth="1"/>
    <col min="3082" max="3328" width="8.88671875" style="1"/>
    <col min="3329" max="3329" width="23.109375" style="1" customWidth="1"/>
    <col min="3330" max="3332" width="8.88671875" style="1"/>
    <col min="3333" max="3333" width="10.5546875" style="1" customWidth="1"/>
    <col min="3334" max="3334" width="11.33203125" style="1" customWidth="1"/>
    <col min="3335" max="3335" width="8.88671875" style="1"/>
    <col min="3336" max="3336" width="11.44140625" style="1" customWidth="1"/>
    <col min="3337" max="3337" width="9.33203125" style="1" customWidth="1"/>
    <col min="3338" max="3584" width="8.88671875" style="1"/>
    <col min="3585" max="3585" width="23.109375" style="1" customWidth="1"/>
    <col min="3586" max="3588" width="8.88671875" style="1"/>
    <col min="3589" max="3589" width="10.5546875" style="1" customWidth="1"/>
    <col min="3590" max="3590" width="11.33203125" style="1" customWidth="1"/>
    <col min="3591" max="3591" width="8.88671875" style="1"/>
    <col min="3592" max="3592" width="11.44140625" style="1" customWidth="1"/>
    <col min="3593" max="3593" width="9.33203125" style="1" customWidth="1"/>
    <col min="3594" max="3840" width="8.88671875" style="1"/>
    <col min="3841" max="3841" width="23.109375" style="1" customWidth="1"/>
    <col min="3842" max="3844" width="8.88671875" style="1"/>
    <col min="3845" max="3845" width="10.5546875" style="1" customWidth="1"/>
    <col min="3846" max="3846" width="11.33203125" style="1" customWidth="1"/>
    <col min="3847" max="3847" width="8.88671875" style="1"/>
    <col min="3848" max="3848" width="11.44140625" style="1" customWidth="1"/>
    <col min="3849" max="3849" width="9.33203125" style="1" customWidth="1"/>
    <col min="3850" max="4096" width="8.88671875" style="1"/>
    <col min="4097" max="4097" width="23.109375" style="1" customWidth="1"/>
    <col min="4098" max="4100" width="8.88671875" style="1"/>
    <col min="4101" max="4101" width="10.5546875" style="1" customWidth="1"/>
    <col min="4102" max="4102" width="11.33203125" style="1" customWidth="1"/>
    <col min="4103" max="4103" width="8.88671875" style="1"/>
    <col min="4104" max="4104" width="11.44140625" style="1" customWidth="1"/>
    <col min="4105" max="4105" width="9.33203125" style="1" customWidth="1"/>
    <col min="4106" max="4352" width="8.88671875" style="1"/>
    <col min="4353" max="4353" width="23.109375" style="1" customWidth="1"/>
    <col min="4354" max="4356" width="8.88671875" style="1"/>
    <col min="4357" max="4357" width="10.5546875" style="1" customWidth="1"/>
    <col min="4358" max="4358" width="11.33203125" style="1" customWidth="1"/>
    <col min="4359" max="4359" width="8.88671875" style="1"/>
    <col min="4360" max="4360" width="11.44140625" style="1" customWidth="1"/>
    <col min="4361" max="4361" width="9.33203125" style="1" customWidth="1"/>
    <col min="4362" max="4608" width="8.88671875" style="1"/>
    <col min="4609" max="4609" width="23.109375" style="1" customWidth="1"/>
    <col min="4610" max="4612" width="8.88671875" style="1"/>
    <col min="4613" max="4613" width="10.5546875" style="1" customWidth="1"/>
    <col min="4614" max="4614" width="11.33203125" style="1" customWidth="1"/>
    <col min="4615" max="4615" width="8.88671875" style="1"/>
    <col min="4616" max="4616" width="11.44140625" style="1" customWidth="1"/>
    <col min="4617" max="4617" width="9.33203125" style="1" customWidth="1"/>
    <col min="4618" max="4864" width="8.88671875" style="1"/>
    <col min="4865" max="4865" width="23.109375" style="1" customWidth="1"/>
    <col min="4866" max="4868" width="8.88671875" style="1"/>
    <col min="4869" max="4869" width="10.5546875" style="1" customWidth="1"/>
    <col min="4870" max="4870" width="11.33203125" style="1" customWidth="1"/>
    <col min="4871" max="4871" width="8.88671875" style="1"/>
    <col min="4872" max="4872" width="11.44140625" style="1" customWidth="1"/>
    <col min="4873" max="4873" width="9.33203125" style="1" customWidth="1"/>
    <col min="4874" max="5120" width="8.88671875" style="1"/>
    <col min="5121" max="5121" width="23.109375" style="1" customWidth="1"/>
    <col min="5122" max="5124" width="8.88671875" style="1"/>
    <col min="5125" max="5125" width="10.5546875" style="1" customWidth="1"/>
    <col min="5126" max="5126" width="11.33203125" style="1" customWidth="1"/>
    <col min="5127" max="5127" width="8.88671875" style="1"/>
    <col min="5128" max="5128" width="11.44140625" style="1" customWidth="1"/>
    <col min="5129" max="5129" width="9.33203125" style="1" customWidth="1"/>
    <col min="5130" max="5376" width="8.88671875" style="1"/>
    <col min="5377" max="5377" width="23.109375" style="1" customWidth="1"/>
    <col min="5378" max="5380" width="8.88671875" style="1"/>
    <col min="5381" max="5381" width="10.5546875" style="1" customWidth="1"/>
    <col min="5382" max="5382" width="11.33203125" style="1" customWidth="1"/>
    <col min="5383" max="5383" width="8.88671875" style="1"/>
    <col min="5384" max="5384" width="11.44140625" style="1" customWidth="1"/>
    <col min="5385" max="5385" width="9.33203125" style="1" customWidth="1"/>
    <col min="5386" max="5632" width="8.88671875" style="1"/>
    <col min="5633" max="5633" width="23.109375" style="1" customWidth="1"/>
    <col min="5634" max="5636" width="8.88671875" style="1"/>
    <col min="5637" max="5637" width="10.5546875" style="1" customWidth="1"/>
    <col min="5638" max="5638" width="11.33203125" style="1" customWidth="1"/>
    <col min="5639" max="5639" width="8.88671875" style="1"/>
    <col min="5640" max="5640" width="11.44140625" style="1" customWidth="1"/>
    <col min="5641" max="5641" width="9.33203125" style="1" customWidth="1"/>
    <col min="5642" max="5888" width="8.88671875" style="1"/>
    <col min="5889" max="5889" width="23.109375" style="1" customWidth="1"/>
    <col min="5890" max="5892" width="8.88671875" style="1"/>
    <col min="5893" max="5893" width="10.5546875" style="1" customWidth="1"/>
    <col min="5894" max="5894" width="11.33203125" style="1" customWidth="1"/>
    <col min="5895" max="5895" width="8.88671875" style="1"/>
    <col min="5896" max="5896" width="11.44140625" style="1" customWidth="1"/>
    <col min="5897" max="5897" width="9.33203125" style="1" customWidth="1"/>
    <col min="5898" max="6144" width="8.88671875" style="1"/>
    <col min="6145" max="6145" width="23.109375" style="1" customWidth="1"/>
    <col min="6146" max="6148" width="8.88671875" style="1"/>
    <col min="6149" max="6149" width="10.5546875" style="1" customWidth="1"/>
    <col min="6150" max="6150" width="11.33203125" style="1" customWidth="1"/>
    <col min="6151" max="6151" width="8.88671875" style="1"/>
    <col min="6152" max="6152" width="11.44140625" style="1" customWidth="1"/>
    <col min="6153" max="6153" width="9.33203125" style="1" customWidth="1"/>
    <col min="6154" max="6400" width="8.88671875" style="1"/>
    <col min="6401" max="6401" width="23.109375" style="1" customWidth="1"/>
    <col min="6402" max="6404" width="8.88671875" style="1"/>
    <col min="6405" max="6405" width="10.5546875" style="1" customWidth="1"/>
    <col min="6406" max="6406" width="11.33203125" style="1" customWidth="1"/>
    <col min="6407" max="6407" width="8.88671875" style="1"/>
    <col min="6408" max="6408" width="11.44140625" style="1" customWidth="1"/>
    <col min="6409" max="6409" width="9.33203125" style="1" customWidth="1"/>
    <col min="6410" max="6656" width="8.88671875" style="1"/>
    <col min="6657" max="6657" width="23.109375" style="1" customWidth="1"/>
    <col min="6658" max="6660" width="8.88671875" style="1"/>
    <col min="6661" max="6661" width="10.5546875" style="1" customWidth="1"/>
    <col min="6662" max="6662" width="11.33203125" style="1" customWidth="1"/>
    <col min="6663" max="6663" width="8.88671875" style="1"/>
    <col min="6664" max="6664" width="11.44140625" style="1" customWidth="1"/>
    <col min="6665" max="6665" width="9.33203125" style="1" customWidth="1"/>
    <col min="6666" max="6912" width="8.88671875" style="1"/>
    <col min="6913" max="6913" width="23.109375" style="1" customWidth="1"/>
    <col min="6914" max="6916" width="8.88671875" style="1"/>
    <col min="6917" max="6917" width="10.5546875" style="1" customWidth="1"/>
    <col min="6918" max="6918" width="11.33203125" style="1" customWidth="1"/>
    <col min="6919" max="6919" width="8.88671875" style="1"/>
    <col min="6920" max="6920" width="11.44140625" style="1" customWidth="1"/>
    <col min="6921" max="6921" width="9.33203125" style="1" customWidth="1"/>
    <col min="6922" max="7168" width="8.88671875" style="1"/>
    <col min="7169" max="7169" width="23.109375" style="1" customWidth="1"/>
    <col min="7170" max="7172" width="8.88671875" style="1"/>
    <col min="7173" max="7173" width="10.5546875" style="1" customWidth="1"/>
    <col min="7174" max="7174" width="11.33203125" style="1" customWidth="1"/>
    <col min="7175" max="7175" width="8.88671875" style="1"/>
    <col min="7176" max="7176" width="11.44140625" style="1" customWidth="1"/>
    <col min="7177" max="7177" width="9.33203125" style="1" customWidth="1"/>
    <col min="7178" max="7424" width="8.88671875" style="1"/>
    <col min="7425" max="7425" width="23.109375" style="1" customWidth="1"/>
    <col min="7426" max="7428" width="8.88671875" style="1"/>
    <col min="7429" max="7429" width="10.5546875" style="1" customWidth="1"/>
    <col min="7430" max="7430" width="11.33203125" style="1" customWidth="1"/>
    <col min="7431" max="7431" width="8.88671875" style="1"/>
    <col min="7432" max="7432" width="11.44140625" style="1" customWidth="1"/>
    <col min="7433" max="7433" width="9.33203125" style="1" customWidth="1"/>
    <col min="7434" max="7680" width="8.88671875" style="1"/>
    <col min="7681" max="7681" width="23.109375" style="1" customWidth="1"/>
    <col min="7682" max="7684" width="8.88671875" style="1"/>
    <col min="7685" max="7685" width="10.5546875" style="1" customWidth="1"/>
    <col min="7686" max="7686" width="11.33203125" style="1" customWidth="1"/>
    <col min="7687" max="7687" width="8.88671875" style="1"/>
    <col min="7688" max="7688" width="11.44140625" style="1" customWidth="1"/>
    <col min="7689" max="7689" width="9.33203125" style="1" customWidth="1"/>
    <col min="7690" max="7936" width="8.88671875" style="1"/>
    <col min="7937" max="7937" width="23.109375" style="1" customWidth="1"/>
    <col min="7938" max="7940" width="8.88671875" style="1"/>
    <col min="7941" max="7941" width="10.5546875" style="1" customWidth="1"/>
    <col min="7942" max="7942" width="11.33203125" style="1" customWidth="1"/>
    <col min="7943" max="7943" width="8.88671875" style="1"/>
    <col min="7944" max="7944" width="11.44140625" style="1" customWidth="1"/>
    <col min="7945" max="7945" width="9.33203125" style="1" customWidth="1"/>
    <col min="7946" max="8192" width="8.88671875" style="1"/>
    <col min="8193" max="8193" width="23.109375" style="1" customWidth="1"/>
    <col min="8194" max="8196" width="8.88671875" style="1"/>
    <col min="8197" max="8197" width="10.5546875" style="1" customWidth="1"/>
    <col min="8198" max="8198" width="11.33203125" style="1" customWidth="1"/>
    <col min="8199" max="8199" width="8.88671875" style="1"/>
    <col min="8200" max="8200" width="11.44140625" style="1" customWidth="1"/>
    <col min="8201" max="8201" width="9.33203125" style="1" customWidth="1"/>
    <col min="8202" max="8448" width="8.88671875" style="1"/>
    <col min="8449" max="8449" width="23.109375" style="1" customWidth="1"/>
    <col min="8450" max="8452" width="8.88671875" style="1"/>
    <col min="8453" max="8453" width="10.5546875" style="1" customWidth="1"/>
    <col min="8454" max="8454" width="11.33203125" style="1" customWidth="1"/>
    <col min="8455" max="8455" width="8.88671875" style="1"/>
    <col min="8456" max="8456" width="11.44140625" style="1" customWidth="1"/>
    <col min="8457" max="8457" width="9.33203125" style="1" customWidth="1"/>
    <col min="8458" max="8704" width="8.88671875" style="1"/>
    <col min="8705" max="8705" width="23.109375" style="1" customWidth="1"/>
    <col min="8706" max="8708" width="8.88671875" style="1"/>
    <col min="8709" max="8709" width="10.5546875" style="1" customWidth="1"/>
    <col min="8710" max="8710" width="11.33203125" style="1" customWidth="1"/>
    <col min="8711" max="8711" width="8.88671875" style="1"/>
    <col min="8712" max="8712" width="11.44140625" style="1" customWidth="1"/>
    <col min="8713" max="8713" width="9.33203125" style="1" customWidth="1"/>
    <col min="8714" max="8960" width="8.88671875" style="1"/>
    <col min="8961" max="8961" width="23.109375" style="1" customWidth="1"/>
    <col min="8962" max="8964" width="8.88671875" style="1"/>
    <col min="8965" max="8965" width="10.5546875" style="1" customWidth="1"/>
    <col min="8966" max="8966" width="11.33203125" style="1" customWidth="1"/>
    <col min="8967" max="8967" width="8.88671875" style="1"/>
    <col min="8968" max="8968" width="11.44140625" style="1" customWidth="1"/>
    <col min="8969" max="8969" width="9.33203125" style="1" customWidth="1"/>
    <col min="8970" max="9216" width="8.88671875" style="1"/>
    <col min="9217" max="9217" width="23.109375" style="1" customWidth="1"/>
    <col min="9218" max="9220" width="8.88671875" style="1"/>
    <col min="9221" max="9221" width="10.5546875" style="1" customWidth="1"/>
    <col min="9222" max="9222" width="11.33203125" style="1" customWidth="1"/>
    <col min="9223" max="9223" width="8.88671875" style="1"/>
    <col min="9224" max="9224" width="11.44140625" style="1" customWidth="1"/>
    <col min="9225" max="9225" width="9.33203125" style="1" customWidth="1"/>
    <col min="9226" max="9472" width="8.88671875" style="1"/>
    <col min="9473" max="9473" width="23.109375" style="1" customWidth="1"/>
    <col min="9474" max="9476" width="8.88671875" style="1"/>
    <col min="9477" max="9477" width="10.5546875" style="1" customWidth="1"/>
    <col min="9478" max="9478" width="11.33203125" style="1" customWidth="1"/>
    <col min="9479" max="9479" width="8.88671875" style="1"/>
    <col min="9480" max="9480" width="11.44140625" style="1" customWidth="1"/>
    <col min="9481" max="9481" width="9.33203125" style="1" customWidth="1"/>
    <col min="9482" max="9728" width="8.88671875" style="1"/>
    <col min="9729" max="9729" width="23.109375" style="1" customWidth="1"/>
    <col min="9730" max="9732" width="8.88671875" style="1"/>
    <col min="9733" max="9733" width="10.5546875" style="1" customWidth="1"/>
    <col min="9734" max="9734" width="11.33203125" style="1" customWidth="1"/>
    <col min="9735" max="9735" width="8.88671875" style="1"/>
    <col min="9736" max="9736" width="11.44140625" style="1" customWidth="1"/>
    <col min="9737" max="9737" width="9.33203125" style="1" customWidth="1"/>
    <col min="9738" max="9984" width="8.88671875" style="1"/>
    <col min="9985" max="9985" width="23.109375" style="1" customWidth="1"/>
    <col min="9986" max="9988" width="8.88671875" style="1"/>
    <col min="9989" max="9989" width="10.5546875" style="1" customWidth="1"/>
    <col min="9990" max="9990" width="11.33203125" style="1" customWidth="1"/>
    <col min="9991" max="9991" width="8.88671875" style="1"/>
    <col min="9992" max="9992" width="11.44140625" style="1" customWidth="1"/>
    <col min="9993" max="9993" width="9.33203125" style="1" customWidth="1"/>
    <col min="9994" max="10240" width="8.88671875" style="1"/>
    <col min="10241" max="10241" width="23.109375" style="1" customWidth="1"/>
    <col min="10242" max="10244" width="8.88671875" style="1"/>
    <col min="10245" max="10245" width="10.5546875" style="1" customWidth="1"/>
    <col min="10246" max="10246" width="11.33203125" style="1" customWidth="1"/>
    <col min="10247" max="10247" width="8.88671875" style="1"/>
    <col min="10248" max="10248" width="11.44140625" style="1" customWidth="1"/>
    <col min="10249" max="10249" width="9.33203125" style="1" customWidth="1"/>
    <col min="10250" max="10496" width="8.88671875" style="1"/>
    <col min="10497" max="10497" width="23.109375" style="1" customWidth="1"/>
    <col min="10498" max="10500" width="8.88671875" style="1"/>
    <col min="10501" max="10501" width="10.5546875" style="1" customWidth="1"/>
    <col min="10502" max="10502" width="11.33203125" style="1" customWidth="1"/>
    <col min="10503" max="10503" width="8.88671875" style="1"/>
    <col min="10504" max="10504" width="11.44140625" style="1" customWidth="1"/>
    <col min="10505" max="10505" width="9.33203125" style="1" customWidth="1"/>
    <col min="10506" max="10752" width="8.88671875" style="1"/>
    <col min="10753" max="10753" width="23.109375" style="1" customWidth="1"/>
    <col min="10754" max="10756" width="8.88671875" style="1"/>
    <col min="10757" max="10757" width="10.5546875" style="1" customWidth="1"/>
    <col min="10758" max="10758" width="11.33203125" style="1" customWidth="1"/>
    <col min="10759" max="10759" width="8.88671875" style="1"/>
    <col min="10760" max="10760" width="11.44140625" style="1" customWidth="1"/>
    <col min="10761" max="10761" width="9.33203125" style="1" customWidth="1"/>
    <col min="10762" max="11008" width="8.88671875" style="1"/>
    <col min="11009" max="11009" width="23.109375" style="1" customWidth="1"/>
    <col min="11010" max="11012" width="8.88671875" style="1"/>
    <col min="11013" max="11013" width="10.5546875" style="1" customWidth="1"/>
    <col min="11014" max="11014" width="11.33203125" style="1" customWidth="1"/>
    <col min="11015" max="11015" width="8.88671875" style="1"/>
    <col min="11016" max="11016" width="11.44140625" style="1" customWidth="1"/>
    <col min="11017" max="11017" width="9.33203125" style="1" customWidth="1"/>
    <col min="11018" max="11264" width="8.88671875" style="1"/>
    <col min="11265" max="11265" width="23.109375" style="1" customWidth="1"/>
    <col min="11266" max="11268" width="8.88671875" style="1"/>
    <col min="11269" max="11269" width="10.5546875" style="1" customWidth="1"/>
    <col min="11270" max="11270" width="11.33203125" style="1" customWidth="1"/>
    <col min="11271" max="11271" width="8.88671875" style="1"/>
    <col min="11272" max="11272" width="11.44140625" style="1" customWidth="1"/>
    <col min="11273" max="11273" width="9.33203125" style="1" customWidth="1"/>
    <col min="11274" max="11520" width="8.88671875" style="1"/>
    <col min="11521" max="11521" width="23.109375" style="1" customWidth="1"/>
    <col min="11522" max="11524" width="8.88671875" style="1"/>
    <col min="11525" max="11525" width="10.5546875" style="1" customWidth="1"/>
    <col min="11526" max="11526" width="11.33203125" style="1" customWidth="1"/>
    <col min="11527" max="11527" width="8.88671875" style="1"/>
    <col min="11528" max="11528" width="11.44140625" style="1" customWidth="1"/>
    <col min="11529" max="11529" width="9.33203125" style="1" customWidth="1"/>
    <col min="11530" max="11776" width="8.88671875" style="1"/>
    <col min="11777" max="11777" width="23.109375" style="1" customWidth="1"/>
    <col min="11778" max="11780" width="8.88671875" style="1"/>
    <col min="11781" max="11781" width="10.5546875" style="1" customWidth="1"/>
    <col min="11782" max="11782" width="11.33203125" style="1" customWidth="1"/>
    <col min="11783" max="11783" width="8.88671875" style="1"/>
    <col min="11784" max="11784" width="11.44140625" style="1" customWidth="1"/>
    <col min="11785" max="11785" width="9.33203125" style="1" customWidth="1"/>
    <col min="11786" max="12032" width="8.88671875" style="1"/>
    <col min="12033" max="12033" width="23.109375" style="1" customWidth="1"/>
    <col min="12034" max="12036" width="8.88671875" style="1"/>
    <col min="12037" max="12037" width="10.5546875" style="1" customWidth="1"/>
    <col min="12038" max="12038" width="11.33203125" style="1" customWidth="1"/>
    <col min="12039" max="12039" width="8.88671875" style="1"/>
    <col min="12040" max="12040" width="11.44140625" style="1" customWidth="1"/>
    <col min="12041" max="12041" width="9.33203125" style="1" customWidth="1"/>
    <col min="12042" max="12288" width="8.88671875" style="1"/>
    <col min="12289" max="12289" width="23.109375" style="1" customWidth="1"/>
    <col min="12290" max="12292" width="8.88671875" style="1"/>
    <col min="12293" max="12293" width="10.5546875" style="1" customWidth="1"/>
    <col min="12294" max="12294" width="11.33203125" style="1" customWidth="1"/>
    <col min="12295" max="12295" width="8.88671875" style="1"/>
    <col min="12296" max="12296" width="11.44140625" style="1" customWidth="1"/>
    <col min="12297" max="12297" width="9.33203125" style="1" customWidth="1"/>
    <col min="12298" max="12544" width="8.88671875" style="1"/>
    <col min="12545" max="12545" width="23.109375" style="1" customWidth="1"/>
    <col min="12546" max="12548" width="8.88671875" style="1"/>
    <col min="12549" max="12549" width="10.5546875" style="1" customWidth="1"/>
    <col min="12550" max="12550" width="11.33203125" style="1" customWidth="1"/>
    <col min="12551" max="12551" width="8.88671875" style="1"/>
    <col min="12552" max="12552" width="11.44140625" style="1" customWidth="1"/>
    <col min="12553" max="12553" width="9.33203125" style="1" customWidth="1"/>
    <col min="12554" max="12800" width="8.88671875" style="1"/>
    <col min="12801" max="12801" width="23.109375" style="1" customWidth="1"/>
    <col min="12802" max="12804" width="8.88671875" style="1"/>
    <col min="12805" max="12805" width="10.5546875" style="1" customWidth="1"/>
    <col min="12806" max="12806" width="11.33203125" style="1" customWidth="1"/>
    <col min="12807" max="12807" width="8.88671875" style="1"/>
    <col min="12808" max="12808" width="11.44140625" style="1" customWidth="1"/>
    <col min="12809" max="12809" width="9.33203125" style="1" customWidth="1"/>
    <col min="12810" max="13056" width="8.88671875" style="1"/>
    <col min="13057" max="13057" width="23.109375" style="1" customWidth="1"/>
    <col min="13058" max="13060" width="8.88671875" style="1"/>
    <col min="13061" max="13061" width="10.5546875" style="1" customWidth="1"/>
    <col min="13062" max="13062" width="11.33203125" style="1" customWidth="1"/>
    <col min="13063" max="13063" width="8.88671875" style="1"/>
    <col min="13064" max="13064" width="11.44140625" style="1" customWidth="1"/>
    <col min="13065" max="13065" width="9.33203125" style="1" customWidth="1"/>
    <col min="13066" max="13312" width="8.88671875" style="1"/>
    <col min="13313" max="13313" width="23.109375" style="1" customWidth="1"/>
    <col min="13314" max="13316" width="8.88671875" style="1"/>
    <col min="13317" max="13317" width="10.5546875" style="1" customWidth="1"/>
    <col min="13318" max="13318" width="11.33203125" style="1" customWidth="1"/>
    <col min="13319" max="13319" width="8.88671875" style="1"/>
    <col min="13320" max="13320" width="11.44140625" style="1" customWidth="1"/>
    <col min="13321" max="13321" width="9.33203125" style="1" customWidth="1"/>
    <col min="13322" max="13568" width="8.88671875" style="1"/>
    <col min="13569" max="13569" width="23.109375" style="1" customWidth="1"/>
    <col min="13570" max="13572" width="8.88671875" style="1"/>
    <col min="13573" max="13573" width="10.5546875" style="1" customWidth="1"/>
    <col min="13574" max="13574" width="11.33203125" style="1" customWidth="1"/>
    <col min="13575" max="13575" width="8.88671875" style="1"/>
    <col min="13576" max="13576" width="11.44140625" style="1" customWidth="1"/>
    <col min="13577" max="13577" width="9.33203125" style="1" customWidth="1"/>
    <col min="13578" max="13824" width="8.88671875" style="1"/>
    <col min="13825" max="13825" width="23.109375" style="1" customWidth="1"/>
    <col min="13826" max="13828" width="8.88671875" style="1"/>
    <col min="13829" max="13829" width="10.5546875" style="1" customWidth="1"/>
    <col min="13830" max="13830" width="11.33203125" style="1" customWidth="1"/>
    <col min="13831" max="13831" width="8.88671875" style="1"/>
    <col min="13832" max="13832" width="11.44140625" style="1" customWidth="1"/>
    <col min="13833" max="13833" width="9.33203125" style="1" customWidth="1"/>
    <col min="13834" max="14080" width="8.88671875" style="1"/>
    <col min="14081" max="14081" width="23.109375" style="1" customWidth="1"/>
    <col min="14082" max="14084" width="8.88671875" style="1"/>
    <col min="14085" max="14085" width="10.5546875" style="1" customWidth="1"/>
    <col min="14086" max="14086" width="11.33203125" style="1" customWidth="1"/>
    <col min="14087" max="14087" width="8.88671875" style="1"/>
    <col min="14088" max="14088" width="11.44140625" style="1" customWidth="1"/>
    <col min="14089" max="14089" width="9.33203125" style="1" customWidth="1"/>
    <col min="14090" max="14336" width="8.88671875" style="1"/>
    <col min="14337" max="14337" width="23.109375" style="1" customWidth="1"/>
    <col min="14338" max="14340" width="8.88671875" style="1"/>
    <col min="14341" max="14341" width="10.5546875" style="1" customWidth="1"/>
    <col min="14342" max="14342" width="11.33203125" style="1" customWidth="1"/>
    <col min="14343" max="14343" width="8.88671875" style="1"/>
    <col min="14344" max="14344" width="11.44140625" style="1" customWidth="1"/>
    <col min="14345" max="14345" width="9.33203125" style="1" customWidth="1"/>
    <col min="14346" max="14592" width="8.88671875" style="1"/>
    <col min="14593" max="14593" width="23.109375" style="1" customWidth="1"/>
    <col min="14594" max="14596" width="8.88671875" style="1"/>
    <col min="14597" max="14597" width="10.5546875" style="1" customWidth="1"/>
    <col min="14598" max="14598" width="11.33203125" style="1" customWidth="1"/>
    <col min="14599" max="14599" width="8.88671875" style="1"/>
    <col min="14600" max="14600" width="11.44140625" style="1" customWidth="1"/>
    <col min="14601" max="14601" width="9.33203125" style="1" customWidth="1"/>
    <col min="14602" max="14848" width="8.88671875" style="1"/>
    <col min="14849" max="14849" width="23.109375" style="1" customWidth="1"/>
    <col min="14850" max="14852" width="8.88671875" style="1"/>
    <col min="14853" max="14853" width="10.5546875" style="1" customWidth="1"/>
    <col min="14854" max="14854" width="11.33203125" style="1" customWidth="1"/>
    <col min="14855" max="14855" width="8.88671875" style="1"/>
    <col min="14856" max="14856" width="11.44140625" style="1" customWidth="1"/>
    <col min="14857" max="14857" width="9.33203125" style="1" customWidth="1"/>
    <col min="14858" max="15104" width="8.88671875" style="1"/>
    <col min="15105" max="15105" width="23.109375" style="1" customWidth="1"/>
    <col min="15106" max="15108" width="8.88671875" style="1"/>
    <col min="15109" max="15109" width="10.5546875" style="1" customWidth="1"/>
    <col min="15110" max="15110" width="11.33203125" style="1" customWidth="1"/>
    <col min="15111" max="15111" width="8.88671875" style="1"/>
    <col min="15112" max="15112" width="11.44140625" style="1" customWidth="1"/>
    <col min="15113" max="15113" width="9.33203125" style="1" customWidth="1"/>
    <col min="15114" max="15360" width="8.88671875" style="1"/>
    <col min="15361" max="15361" width="23.109375" style="1" customWidth="1"/>
    <col min="15362" max="15364" width="8.88671875" style="1"/>
    <col min="15365" max="15365" width="10.5546875" style="1" customWidth="1"/>
    <col min="15366" max="15366" width="11.33203125" style="1" customWidth="1"/>
    <col min="15367" max="15367" width="8.88671875" style="1"/>
    <col min="15368" max="15368" width="11.44140625" style="1" customWidth="1"/>
    <col min="15369" max="15369" width="9.33203125" style="1" customWidth="1"/>
    <col min="15370" max="15616" width="8.88671875" style="1"/>
    <col min="15617" max="15617" width="23.109375" style="1" customWidth="1"/>
    <col min="15618" max="15620" width="8.88671875" style="1"/>
    <col min="15621" max="15621" width="10.5546875" style="1" customWidth="1"/>
    <col min="15622" max="15622" width="11.33203125" style="1" customWidth="1"/>
    <col min="15623" max="15623" width="8.88671875" style="1"/>
    <col min="15624" max="15624" width="11.44140625" style="1" customWidth="1"/>
    <col min="15625" max="15625" width="9.33203125" style="1" customWidth="1"/>
    <col min="15626" max="15872" width="8.88671875" style="1"/>
    <col min="15873" max="15873" width="23.109375" style="1" customWidth="1"/>
    <col min="15874" max="15876" width="8.88671875" style="1"/>
    <col min="15877" max="15877" width="10.5546875" style="1" customWidth="1"/>
    <col min="15878" max="15878" width="11.33203125" style="1" customWidth="1"/>
    <col min="15879" max="15879" width="8.88671875" style="1"/>
    <col min="15880" max="15880" width="11.44140625" style="1" customWidth="1"/>
    <col min="15881" max="15881" width="9.33203125" style="1" customWidth="1"/>
    <col min="15882" max="16128" width="8.88671875" style="1"/>
    <col min="16129" max="16129" width="23.109375" style="1" customWidth="1"/>
    <col min="16130" max="16132" width="8.88671875" style="1"/>
    <col min="16133" max="16133" width="10.5546875" style="1" customWidth="1"/>
    <col min="16134" max="16134" width="11.33203125" style="1" customWidth="1"/>
    <col min="16135" max="16135" width="8.88671875" style="1"/>
    <col min="16136" max="16136" width="11.44140625" style="1" customWidth="1"/>
    <col min="16137" max="16137" width="9.33203125" style="1" customWidth="1"/>
    <col min="16138" max="16384" width="8.88671875" style="1"/>
  </cols>
  <sheetData>
    <row r="1" spans="1:14" ht="17.399999999999999" x14ac:dyDescent="0.3">
      <c r="A1" s="16" t="s">
        <v>0</v>
      </c>
      <c r="B1" s="16"/>
      <c r="C1" s="16"/>
      <c r="D1" s="16"/>
      <c r="E1" s="16"/>
      <c r="F1" s="16"/>
      <c r="G1" s="16"/>
      <c r="H1" s="16"/>
      <c r="I1" s="16"/>
    </row>
    <row r="2" spans="1:14" x14ac:dyDescent="0.25">
      <c r="A2" s="1" t="s">
        <v>1</v>
      </c>
      <c r="B2" s="2">
        <v>1</v>
      </c>
      <c r="F2" s="3" t="s">
        <v>2</v>
      </c>
      <c r="G2" s="3"/>
      <c r="H2" s="3"/>
      <c r="I2" s="3" t="s">
        <v>3</v>
      </c>
    </row>
    <row r="3" spans="1:14" x14ac:dyDescent="0.25">
      <c r="A3" s="1" t="s">
        <v>4</v>
      </c>
      <c r="B3" s="4">
        <v>7.0000000000000007E-2</v>
      </c>
      <c r="E3" s="1" t="s">
        <v>5</v>
      </c>
      <c r="F3" s="4">
        <f>B3</f>
        <v>7.0000000000000007E-2</v>
      </c>
      <c r="H3" s="1" t="s">
        <v>5</v>
      </c>
      <c r="I3" s="4">
        <f>1+payoff1</f>
        <v>1.07</v>
      </c>
    </row>
    <row r="4" spans="1:14" x14ac:dyDescent="0.25">
      <c r="A4" s="1" t="s">
        <v>6</v>
      </c>
      <c r="B4" s="4">
        <v>0.5</v>
      </c>
      <c r="E4" s="5" t="s">
        <v>7</v>
      </c>
      <c r="F4" s="4">
        <f>B3</f>
        <v>7.0000000000000007E-2</v>
      </c>
      <c r="H4" s="5" t="s">
        <v>7</v>
      </c>
      <c r="I4" s="4">
        <f>1+payoff1</f>
        <v>1.07</v>
      </c>
    </row>
    <row r="5" spans="1:14" x14ac:dyDescent="0.25">
      <c r="A5" s="1" t="s">
        <v>8</v>
      </c>
      <c r="B5" s="6">
        <v>5</v>
      </c>
      <c r="E5" s="5" t="s">
        <v>9</v>
      </c>
      <c r="F5" s="7">
        <f>B3</f>
        <v>7.0000000000000007E-2</v>
      </c>
      <c r="H5" s="5" t="s">
        <v>10</v>
      </c>
      <c r="I5" s="4">
        <f>1+payoff1</f>
        <v>1.07</v>
      </c>
    </row>
    <row r="6" spans="1:14" x14ac:dyDescent="0.25">
      <c r="A6" s="1" t="s">
        <v>11</v>
      </c>
      <c r="B6" s="5" t="s">
        <v>12</v>
      </c>
      <c r="E6" s="5" t="str">
        <f>"in row "&amp;ROW(B20)</f>
        <v>in row 20</v>
      </c>
      <c r="F6" s="4">
        <f>B4</f>
        <v>0.5</v>
      </c>
      <c r="H6" s="5" t="str">
        <f>"in row "&amp;ROW(E20)</f>
        <v>in row 20</v>
      </c>
      <c r="I6" s="4">
        <f>B4</f>
        <v>0.5</v>
      </c>
    </row>
    <row r="7" spans="1:14" x14ac:dyDescent="0.25">
      <c r="B7" s="5"/>
      <c r="E7" s="5"/>
      <c r="F7" s="4">
        <v>0</v>
      </c>
      <c r="H7" s="5"/>
      <c r="I7" s="4">
        <v>0</v>
      </c>
    </row>
    <row r="8" spans="1:14" x14ac:dyDescent="0.25">
      <c r="B8" s="4"/>
    </row>
    <row r="9" spans="1:14" x14ac:dyDescent="0.25">
      <c r="C9" s="3" t="s">
        <v>13</v>
      </c>
      <c r="D9" s="3" t="s">
        <v>12</v>
      </c>
      <c r="E9" s="3" t="s">
        <v>14</v>
      </c>
      <c r="F9" s="3" t="s">
        <v>15</v>
      </c>
      <c r="G9" s="3" t="s">
        <v>16</v>
      </c>
      <c r="J9" s="3"/>
      <c r="K9" s="3"/>
      <c r="L9" s="3"/>
      <c r="M9" s="3"/>
      <c r="N9" s="3"/>
    </row>
    <row r="10" spans="1:14" x14ac:dyDescent="0.25">
      <c r="A10" s="8" t="s">
        <v>17</v>
      </c>
      <c r="B10" s="3" t="s">
        <v>13</v>
      </c>
      <c r="C10" s="9">
        <v>0.97</v>
      </c>
      <c r="D10" s="9">
        <v>0.02</v>
      </c>
      <c r="E10" s="9">
        <f>1-D10-C10</f>
        <v>1.0000000000000009E-2</v>
      </c>
      <c r="F10" s="9">
        <f>1-SUM(C10:E10)</f>
        <v>0</v>
      </c>
      <c r="G10" s="9">
        <v>0</v>
      </c>
      <c r="I10" s="3"/>
      <c r="J10" s="9"/>
      <c r="K10" s="9"/>
      <c r="L10" s="9"/>
      <c r="M10" s="9"/>
      <c r="N10" s="9"/>
    </row>
    <row r="11" spans="1:14" x14ac:dyDescent="0.25">
      <c r="B11" s="3" t="s">
        <v>12</v>
      </c>
      <c r="C11" s="9">
        <v>0.05</v>
      </c>
      <c r="D11" s="9">
        <v>0.8</v>
      </c>
      <c r="E11" s="9">
        <f>1-D11-C11</f>
        <v>0.14999999999999997</v>
      </c>
      <c r="F11" s="9">
        <f>1-SUM(C11:E11)</f>
        <v>0</v>
      </c>
      <c r="G11" s="9">
        <v>0</v>
      </c>
      <c r="I11" s="3"/>
      <c r="J11" s="9"/>
      <c r="K11" s="9"/>
      <c r="L11" s="9"/>
      <c r="M11" s="9"/>
      <c r="N11" s="9"/>
    </row>
    <row r="12" spans="1:14" x14ac:dyDescent="0.25">
      <c r="B12" s="3" t="s">
        <v>14</v>
      </c>
      <c r="C12" s="9">
        <v>0.01</v>
      </c>
      <c r="D12" s="9">
        <v>0.02</v>
      </c>
      <c r="E12" s="9">
        <v>0.75</v>
      </c>
      <c r="F12" s="9">
        <f>1-SUM(C12:E12)</f>
        <v>0.21999999999999997</v>
      </c>
      <c r="G12" s="9">
        <v>0</v>
      </c>
      <c r="I12" s="3"/>
      <c r="J12" s="9"/>
      <c r="K12" s="9"/>
      <c r="L12" s="9"/>
      <c r="M12" s="9"/>
      <c r="N12" s="9"/>
    </row>
    <row r="13" spans="1:14" x14ac:dyDescent="0.25">
      <c r="B13" s="3" t="s">
        <v>15</v>
      </c>
      <c r="C13" s="9">
        <v>0</v>
      </c>
      <c r="D13" s="9">
        <v>0</v>
      </c>
      <c r="E13" s="9">
        <v>0</v>
      </c>
      <c r="F13" s="9">
        <v>0</v>
      </c>
      <c r="G13" s="9">
        <v>1</v>
      </c>
      <c r="I13" s="3"/>
      <c r="J13" s="9"/>
      <c r="K13" s="9"/>
      <c r="L13" s="9"/>
      <c r="M13" s="9"/>
      <c r="N13" s="9"/>
    </row>
    <row r="14" spans="1:14" x14ac:dyDescent="0.25">
      <c r="B14" s="3" t="s">
        <v>16</v>
      </c>
      <c r="C14" s="9">
        <v>0</v>
      </c>
      <c r="D14" s="9">
        <v>0</v>
      </c>
      <c r="E14" s="9">
        <v>0</v>
      </c>
      <c r="F14" s="9">
        <v>0</v>
      </c>
      <c r="G14" s="9">
        <v>1</v>
      </c>
      <c r="I14" s="3"/>
      <c r="J14" s="9"/>
      <c r="K14" s="9"/>
      <c r="L14" s="9"/>
      <c r="M14" s="9"/>
      <c r="N14" s="9"/>
    </row>
    <row r="16" spans="1:14" x14ac:dyDescent="0.25">
      <c r="A16" s="8" t="s">
        <v>18</v>
      </c>
      <c r="C16" s="1">
        <f>IF(UPPER(B6)="A",1,0)</f>
        <v>0</v>
      </c>
      <c r="D16" s="1">
        <f>IF(UPPER(B6)="B",1,0)</f>
        <v>1</v>
      </c>
      <c r="E16" s="1">
        <f>IF(UPPER(B6)="C",1,0)</f>
        <v>0</v>
      </c>
      <c r="F16" s="1">
        <f>IF(UPPER(B6)="D",1,0)</f>
        <v>0</v>
      </c>
      <c r="G16" s="1">
        <v>0</v>
      </c>
    </row>
    <row r="17" spans="1:48" x14ac:dyDescent="0.25">
      <c r="A17" s="1" t="str">
        <f ca="1">"Formula in cell "&amp;CHAR(COLUMN(C16)+64)&amp;ROW(C16)&amp;":   "&amp;[1]!ggetformula(C16)</f>
        <v>Formula in cell C16:   =IF(UPPER(B6)="A",1,0)</v>
      </c>
      <c r="D17" s="10"/>
    </row>
    <row r="19" spans="1:48" x14ac:dyDescent="0.25">
      <c r="A19" s="8" t="s">
        <v>19</v>
      </c>
      <c r="B19" s="3">
        <v>0</v>
      </c>
      <c r="C19" s="3">
        <v>1</v>
      </c>
      <c r="D19" s="3">
        <v>2</v>
      </c>
      <c r="E19" s="3">
        <v>3</v>
      </c>
      <c r="F19" s="3">
        <v>4</v>
      </c>
      <c r="G19" s="3">
        <v>5</v>
      </c>
      <c r="H19" s="3">
        <v>6</v>
      </c>
      <c r="I19" s="3">
        <v>7</v>
      </c>
      <c r="J19" s="3">
        <v>8</v>
      </c>
      <c r="K19" s="3">
        <v>9</v>
      </c>
      <c r="L19" s="3">
        <v>10</v>
      </c>
      <c r="M19" s="3">
        <v>11</v>
      </c>
      <c r="N19" s="3">
        <v>12</v>
      </c>
      <c r="O19" s="3">
        <v>13</v>
      </c>
      <c r="P19" s="3">
        <v>14</v>
      </c>
      <c r="Q19" s="3">
        <v>15</v>
      </c>
      <c r="R19" s="3">
        <v>16</v>
      </c>
      <c r="S19" s="3">
        <v>17</v>
      </c>
      <c r="T19" s="3">
        <v>18</v>
      </c>
      <c r="U19" s="3">
        <v>19</v>
      </c>
      <c r="V19" s="3">
        <v>20</v>
      </c>
      <c r="W19" s="3">
        <v>21</v>
      </c>
      <c r="X19" s="3">
        <v>22</v>
      </c>
      <c r="Y19" s="3">
        <v>23</v>
      </c>
      <c r="Z19" s="3">
        <v>24</v>
      </c>
      <c r="AA19" s="3">
        <v>25</v>
      </c>
      <c r="AB19" s="3">
        <v>26</v>
      </c>
      <c r="AC19" s="3">
        <v>27</v>
      </c>
      <c r="AD19" s="3">
        <v>28</v>
      </c>
      <c r="AE19" s="3">
        <v>29</v>
      </c>
      <c r="AF19" s="3">
        <v>30</v>
      </c>
      <c r="AG19" s="3">
        <v>31</v>
      </c>
      <c r="AH19" s="3">
        <v>32</v>
      </c>
      <c r="AI19" s="3">
        <v>33</v>
      </c>
      <c r="AJ19" s="3">
        <v>34</v>
      </c>
      <c r="AK19" s="3">
        <v>35</v>
      </c>
      <c r="AL19" s="3">
        <v>36</v>
      </c>
      <c r="AM19" s="3">
        <v>37</v>
      </c>
      <c r="AN19" s="3">
        <v>38</v>
      </c>
      <c r="AO19" s="3">
        <v>39</v>
      </c>
      <c r="AP19" s="3">
        <v>40</v>
      </c>
      <c r="AQ19" s="5"/>
      <c r="AR19" s="5"/>
      <c r="AS19" s="5"/>
      <c r="AT19" s="5"/>
      <c r="AU19" s="5"/>
      <c r="AV19" s="5"/>
    </row>
    <row r="20" spans="1:48" x14ac:dyDescent="0.25">
      <c r="A20" s="1" t="s">
        <v>20</v>
      </c>
      <c r="B20" s="11">
        <f>-B2</f>
        <v>-1</v>
      </c>
      <c r="C20" s="9">
        <f>IF(C19&gt;bondterm,0,IF(C19=bondterm,MMULT(initial,MMULT(matrixpower(transition,C19),payoff2)),MMULT(initial,MMULT(matrixpower(transition,C19),payoff1))))</f>
        <v>7.0000000000000007E-2</v>
      </c>
      <c r="D20" s="9">
        <f t="array" ref="D20">IF(D19&gt;bondterm,0,IF(D19=bondterm,MMULT(initial,MMULT(matrixpower(transition,D19),payoff2)),MMULT(initial,MMULT(matrixpower(transition,D19),payoff1))))</f>
        <v>8.4190000000000015E-2</v>
      </c>
      <c r="E20" s="9">
        <f t="shared" ref="E20:AP20" si="0">IF(E19&gt;bondterm,0,IF(E19=bondterm,MMULT(initial,MMULT(matrixpower(transition,E19),payoff2)),MMULT(initial,MMULT(matrixpower(transition,E19),payoff1))))</f>
        <v>8.97318E-2</v>
      </c>
      <c r="F20" s="9">
        <f t="shared" si="0"/>
        <v>8.985665000000001E-2</v>
      </c>
      <c r="G20" s="9">
        <f t="shared" si="0"/>
        <v>0.88018383808000022</v>
      </c>
      <c r="H20" s="9">
        <f t="shared" si="0"/>
        <v>0</v>
      </c>
      <c r="I20" s="9">
        <f t="shared" si="0"/>
        <v>0</v>
      </c>
      <c r="J20" s="9">
        <f t="shared" si="0"/>
        <v>0</v>
      </c>
      <c r="K20" s="9">
        <f t="shared" si="0"/>
        <v>0</v>
      </c>
      <c r="L20" s="9">
        <f t="shared" si="0"/>
        <v>0</v>
      </c>
      <c r="M20" s="9">
        <f t="shared" si="0"/>
        <v>0</v>
      </c>
      <c r="N20" s="9">
        <f t="shared" si="0"/>
        <v>0</v>
      </c>
      <c r="O20" s="9">
        <f t="shared" si="0"/>
        <v>0</v>
      </c>
      <c r="P20" s="9">
        <f t="shared" si="0"/>
        <v>0</v>
      </c>
      <c r="Q20" s="1">
        <f t="shared" si="0"/>
        <v>0</v>
      </c>
      <c r="R20" s="1">
        <f t="shared" si="0"/>
        <v>0</v>
      </c>
      <c r="S20" s="1">
        <f t="shared" si="0"/>
        <v>0</v>
      </c>
      <c r="T20" s="1">
        <f t="shared" si="0"/>
        <v>0</v>
      </c>
      <c r="U20" s="1">
        <f t="shared" si="0"/>
        <v>0</v>
      </c>
      <c r="V20" s="1">
        <f t="shared" si="0"/>
        <v>0</v>
      </c>
      <c r="W20" s="1">
        <f t="shared" si="0"/>
        <v>0</v>
      </c>
      <c r="X20" s="1">
        <f t="shared" si="0"/>
        <v>0</v>
      </c>
      <c r="Y20" s="1">
        <f t="shared" si="0"/>
        <v>0</v>
      </c>
      <c r="Z20" s="1">
        <f t="shared" si="0"/>
        <v>0</v>
      </c>
      <c r="AA20" s="1">
        <f t="shared" si="0"/>
        <v>0</v>
      </c>
      <c r="AB20" s="1">
        <f t="shared" si="0"/>
        <v>0</v>
      </c>
      <c r="AC20" s="1">
        <f t="shared" si="0"/>
        <v>0</v>
      </c>
      <c r="AD20" s="1">
        <f t="shared" si="0"/>
        <v>0</v>
      </c>
      <c r="AE20" s="1">
        <f t="shared" si="0"/>
        <v>0</v>
      </c>
      <c r="AF20" s="1">
        <f t="shared" si="0"/>
        <v>0</v>
      </c>
      <c r="AG20" s="1">
        <f t="shared" si="0"/>
        <v>0</v>
      </c>
      <c r="AH20" s="1">
        <f t="shared" si="0"/>
        <v>0</v>
      </c>
      <c r="AI20" s="1">
        <f t="shared" si="0"/>
        <v>0</v>
      </c>
      <c r="AJ20" s="1">
        <f t="shared" si="0"/>
        <v>0</v>
      </c>
      <c r="AK20" s="1">
        <f t="shared" si="0"/>
        <v>0</v>
      </c>
      <c r="AL20" s="1">
        <f t="shared" si="0"/>
        <v>0</v>
      </c>
      <c r="AM20" s="1">
        <f t="shared" si="0"/>
        <v>0</v>
      </c>
      <c r="AN20" s="1">
        <f t="shared" si="0"/>
        <v>0</v>
      </c>
      <c r="AO20" s="1">
        <f t="shared" si="0"/>
        <v>0</v>
      </c>
      <c r="AP20" s="1">
        <f t="shared" si="0"/>
        <v>0</v>
      </c>
    </row>
    <row r="21" spans="1:48" x14ac:dyDescent="0.25">
      <c r="A21" s="12" t="s">
        <v>21</v>
      </c>
      <c r="B21" s="13">
        <f>IRR(B20:AN20,0)</f>
        <v>4.606691952028763E-2</v>
      </c>
      <c r="C21" s="1" t="str">
        <f ca="1">[1]!getformula(B21)</f>
        <v>&lt;--  =IRR(B20:AN20,0)</v>
      </c>
    </row>
    <row r="27" spans="1:48" x14ac:dyDescent="0.25">
      <c r="L27" s="8"/>
    </row>
    <row r="28" spans="1:48" ht="24" customHeight="1" x14ac:dyDescent="0.25">
      <c r="A28" s="17" t="s">
        <v>22</v>
      </c>
      <c r="B28" s="17"/>
      <c r="C28" s="17"/>
      <c r="D28" s="17"/>
      <c r="E28" s="17"/>
      <c r="F28" s="17"/>
      <c r="G28" s="17"/>
      <c r="H28" s="17"/>
    </row>
    <row r="29" spans="1:48" x14ac:dyDescent="0.25">
      <c r="A29" s="8" t="s">
        <v>23</v>
      </c>
      <c r="B29" s="2">
        <f>B21</f>
        <v>4.606691952028763E-2</v>
      </c>
      <c r="C29" s="1" t="str">
        <f ca="1">[1]!getformula(B29)&amp;" , Tableheader"</f>
        <v>&lt;--  =B21 , Tableheader</v>
      </c>
    </row>
    <row r="30" spans="1:48" x14ac:dyDescent="0.25">
      <c r="A30" s="14">
        <v>0</v>
      </c>
      <c r="B30" s="15">
        <f t="dataTable" ref="B30:B40" dt2D="0" dtr="0" r1="B4"/>
        <v>2.4269394871250682E-2</v>
      </c>
      <c r="C30" s="4">
        <f t="shared" ref="C30:C40" si="1">$B$3</f>
        <v>7.0000000000000007E-2</v>
      </c>
    </row>
    <row r="31" spans="1:48" x14ac:dyDescent="0.25">
      <c r="A31" s="14">
        <v>0.1</v>
      </c>
      <c r="B31" s="15">
        <v>2.8692161259549209E-2</v>
      </c>
      <c r="C31" s="4">
        <f t="shared" si="1"/>
        <v>7.0000000000000007E-2</v>
      </c>
    </row>
    <row r="32" spans="1:48" x14ac:dyDescent="0.25">
      <c r="A32" s="14">
        <v>0.2</v>
      </c>
      <c r="B32" s="15">
        <v>3.3082781671436523E-2</v>
      </c>
      <c r="C32" s="4">
        <f t="shared" si="1"/>
        <v>7.0000000000000007E-2</v>
      </c>
    </row>
    <row r="33" spans="1:10" x14ac:dyDescent="0.25">
      <c r="A33" s="14">
        <v>0.3</v>
      </c>
      <c r="B33" s="15">
        <v>3.7441776963177631E-2</v>
      </c>
      <c r="C33" s="4">
        <f t="shared" si="1"/>
        <v>7.0000000000000007E-2</v>
      </c>
    </row>
    <row r="34" spans="1:10" x14ac:dyDescent="0.25">
      <c r="A34" s="14">
        <v>0.4</v>
      </c>
      <c r="B34" s="15">
        <v>4.1769656720286541E-2</v>
      </c>
      <c r="C34" s="4">
        <f t="shared" si="1"/>
        <v>7.0000000000000007E-2</v>
      </c>
    </row>
    <row r="35" spans="1:10" x14ac:dyDescent="0.25">
      <c r="A35" s="14">
        <v>0.5</v>
      </c>
      <c r="B35" s="15">
        <v>4.606691952028763E-2</v>
      </c>
      <c r="C35" s="4">
        <f t="shared" si="1"/>
        <v>7.0000000000000007E-2</v>
      </c>
    </row>
    <row r="36" spans="1:10" x14ac:dyDescent="0.25">
      <c r="A36" s="14">
        <v>0.6</v>
      </c>
      <c r="B36" s="15">
        <v>5.0334053182941929E-2</v>
      </c>
      <c r="C36" s="4">
        <f t="shared" si="1"/>
        <v>7.0000000000000007E-2</v>
      </c>
    </row>
    <row r="37" spans="1:10" x14ac:dyDescent="0.25">
      <c r="A37" s="14">
        <v>0.7</v>
      </c>
      <c r="B37" s="15">
        <v>5.4571535017304162E-2</v>
      </c>
      <c r="C37" s="4">
        <f t="shared" si="1"/>
        <v>7.0000000000000007E-2</v>
      </c>
    </row>
    <row r="38" spans="1:10" x14ac:dyDescent="0.25">
      <c r="A38" s="14">
        <v>0.8</v>
      </c>
      <c r="B38" s="15">
        <v>5.8779832065309456E-2</v>
      </c>
      <c r="C38" s="4">
        <f t="shared" si="1"/>
        <v>7.0000000000000007E-2</v>
      </c>
    </row>
    <row r="39" spans="1:10" x14ac:dyDescent="0.25">
      <c r="A39" s="14">
        <v>0.9</v>
      </c>
      <c r="B39" s="15">
        <v>6.295940134165301E-2</v>
      </c>
      <c r="C39" s="4">
        <f t="shared" si="1"/>
        <v>7.0000000000000007E-2</v>
      </c>
    </row>
    <row r="40" spans="1:10" x14ac:dyDescent="0.25">
      <c r="A40" s="14">
        <v>1</v>
      </c>
      <c r="B40" s="15">
        <v>6.7110690069751566E-2</v>
      </c>
      <c r="C40" s="4">
        <f t="shared" si="1"/>
        <v>7.0000000000000007E-2</v>
      </c>
    </row>
    <row r="42" spans="1:10" x14ac:dyDescent="0.25">
      <c r="A42" s="1" t="s">
        <v>24</v>
      </c>
    </row>
    <row r="43" spans="1:10" x14ac:dyDescent="0.25">
      <c r="A43" s="1" t="s">
        <v>25</v>
      </c>
    </row>
    <row r="44" spans="1:10" x14ac:dyDescent="0.25">
      <c r="A44" s="1" t="s">
        <v>26</v>
      </c>
    </row>
    <row r="45" spans="1:10" x14ac:dyDescent="0.25">
      <c r="A45" s="1" t="s">
        <v>27</v>
      </c>
    </row>
    <row r="46" spans="1:10" x14ac:dyDescent="0.25">
      <c r="G46" s="8" t="s">
        <v>28</v>
      </c>
    </row>
    <row r="47" spans="1:10" ht="44.4" customHeight="1" x14ac:dyDescent="0.25">
      <c r="G47" s="18" t="str">
        <f>"Bond Expected Return and Recovery Rate"&amp;CHAR(10)&amp;"Bond price = "&amp;TEXT(B2,"0%")&amp;
", Bond Rating = "&amp;UPPER(B6)&amp;", Coupon = "&amp;TEXT(B3,"0.00%")</f>
        <v>Bond Expected Return and Recovery Rate
Bond price = 100%, Bond Rating = B, Coupon = 7.00%</v>
      </c>
      <c r="H47" s="19"/>
      <c r="I47" s="19"/>
      <c r="J47" s="19"/>
    </row>
    <row r="56" spans="2:2" x14ac:dyDescent="0.25">
      <c r="B56" s="4"/>
    </row>
    <row r="57" spans="2:2" x14ac:dyDescent="0.25">
      <c r="B57" s="4"/>
    </row>
    <row r="58" spans="2:2" x14ac:dyDescent="0.25">
      <c r="B58" s="4"/>
    </row>
    <row r="59" spans="2:2" x14ac:dyDescent="0.25">
      <c r="B59" s="4"/>
    </row>
    <row r="60" spans="2:2" x14ac:dyDescent="0.25">
      <c r="B60" s="4"/>
    </row>
    <row r="61" spans="2:2" x14ac:dyDescent="0.25">
      <c r="B61" s="4"/>
    </row>
    <row r="62" spans="2:2" x14ac:dyDescent="0.25">
      <c r="B62" s="4"/>
    </row>
  </sheetData>
  <mergeCells count="3">
    <mergeCell ref="A1:I1"/>
    <mergeCell ref="A28:H28"/>
    <mergeCell ref="G47:J47"/>
  </mergeCells>
  <phoneticPr fontId="1" type="noConversion"/>
  <printOptions headings="1" gridLines="1"/>
  <pageMargins left="0.75" right="0.75" top="1" bottom="1" header="0.5" footer="0.5"/>
  <pageSetup orientation="landscape" r:id="rId1"/>
  <headerFooter alignWithMargins="0">
    <oddHeader>&amp;CUN - new chapter 17, D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5</vt:i4>
      </vt:variant>
    </vt:vector>
  </HeadingPairs>
  <TitlesOfParts>
    <vt:vector size="7" baseType="lpstr">
      <vt:lpstr>Page 727, 729 top</vt:lpstr>
      <vt:lpstr>Sheet1</vt:lpstr>
      <vt:lpstr>'Page 727, 729 top'!bondterm</vt:lpstr>
      <vt:lpstr>'Page 727, 729 top'!initial</vt:lpstr>
      <vt:lpstr>'Page 727, 729 top'!payoff1</vt:lpstr>
      <vt:lpstr>'Page 727, 729 top'!payoff2</vt:lpstr>
      <vt:lpstr>'Page 727, 729 top'!transition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2024-12-19T07:43:46Z</dcterms:modified>
</cp:coreProperties>
</file>