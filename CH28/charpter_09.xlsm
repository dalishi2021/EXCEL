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8\"/>
    </mc:Choice>
  </mc:AlternateContent>
  <xr:revisionPtr revIDLastSave="0" documentId="13_ncr:1_{A64449B0-C12F-42D7-9472-7BFAF6EF304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36" sheetId="2" r:id="rId1"/>
    <sheet name="Sheet1" sheetId="1" r:id="rId2"/>
  </sheets>
  <functionGroups builtInGroupCount="19"/>
  <externalReferences>
    <externalReference r:id="rId3"/>
    <externalReference r:id="rId4"/>
    <externalReference r:id="rId5"/>
  </externalReferences>
  <definedNames>
    <definedName name="amrbondterm">'[2]AMR, annual transition matrix'!$B$9</definedName>
    <definedName name="bondterm" localSheetId="0">'Page 736'!$B$9</definedName>
    <definedName name="bondterm">'[1]Page 730'!$B$5</definedName>
    <definedName name="example">#REF!</definedName>
    <definedName name="initial" localSheetId="0">'Page 736'!$B$27:$J$27</definedName>
    <definedName name="initial">'[1]Page 730'!$C$16:$G$16</definedName>
    <definedName name="payoff1" localSheetId="0">'Page 736'!$G$3:$G$11</definedName>
    <definedName name="payoff1">'[1]Page 730'!$F$3:$F$7</definedName>
    <definedName name="payoff2" localSheetId="0">'Page 736'!$J$3:$J$11</definedName>
    <definedName name="payoff2">'[1]Page 730'!$I$3:$I$7</definedName>
    <definedName name="transition" localSheetId="0">'Page 736'!$C$15:$K$23</definedName>
    <definedName name="transition">'[1]Page 730'!$C$10:$G$14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65" i="2" l="1"/>
  <c r="AE65" i="2"/>
  <c r="AD65" i="2"/>
  <c r="AC65" i="2"/>
  <c r="AB65" i="2"/>
  <c r="AA65" i="2"/>
  <c r="Y65" i="2"/>
  <c r="P65" i="2"/>
  <c r="O65" i="2"/>
  <c r="N65" i="2"/>
  <c r="M65" i="2"/>
  <c r="L65" i="2"/>
  <c r="K65" i="2"/>
  <c r="I65" i="2"/>
  <c r="AP64" i="2"/>
  <c r="AP65" i="2" s="1"/>
  <c r="AO64" i="2"/>
  <c r="AO65" i="2" s="1"/>
  <c r="AN64" i="2"/>
  <c r="AN65" i="2" s="1"/>
  <c r="AM64" i="2"/>
  <c r="AM65" i="2" s="1"/>
  <c r="AL64" i="2"/>
  <c r="AL65" i="2" s="1"/>
  <c r="AK64" i="2"/>
  <c r="AK65" i="2" s="1"/>
  <c r="AJ64" i="2"/>
  <c r="AJ65" i="2" s="1"/>
  <c r="AI64" i="2"/>
  <c r="AI65" i="2" s="1"/>
  <c r="AG64" i="2"/>
  <c r="AG65" i="2" s="1"/>
  <c r="AF64" i="2"/>
  <c r="AF65" i="2" s="1"/>
  <c r="AE64" i="2"/>
  <c r="AD64" i="2"/>
  <c r="AC64" i="2"/>
  <c r="AB64" i="2"/>
  <c r="AA64" i="2"/>
  <c r="Z64" i="2"/>
  <c r="Z65" i="2" s="1"/>
  <c r="Y64" i="2"/>
  <c r="X64" i="2"/>
  <c r="X65" i="2" s="1"/>
  <c r="W64" i="2"/>
  <c r="W65" i="2" s="1"/>
  <c r="V64" i="2"/>
  <c r="V65" i="2" s="1"/>
  <c r="U64" i="2"/>
  <c r="U65" i="2" s="1"/>
  <c r="T64" i="2"/>
  <c r="T65" i="2" s="1"/>
  <c r="S64" i="2"/>
  <c r="S65" i="2" s="1"/>
  <c r="R64" i="2"/>
  <c r="R65" i="2" s="1"/>
  <c r="Q64" i="2"/>
  <c r="Q65" i="2" s="1"/>
  <c r="P64" i="2"/>
  <c r="O64" i="2"/>
  <c r="N64" i="2"/>
  <c r="M64" i="2"/>
  <c r="L64" i="2"/>
  <c r="K64" i="2"/>
  <c r="J64" i="2"/>
  <c r="J65" i="2" s="1"/>
  <c r="I64" i="2"/>
  <c r="H64" i="2"/>
  <c r="H65" i="2" s="1"/>
  <c r="G64" i="2"/>
  <c r="G65" i="2" s="1"/>
  <c r="F64" i="2"/>
  <c r="F65" i="2" s="1"/>
  <c r="E64" i="2"/>
  <c r="E65" i="2" s="1"/>
  <c r="D64" i="2"/>
  <c r="D65" i="2" s="1"/>
  <c r="C64" i="2"/>
  <c r="C65" i="2" s="1"/>
  <c r="AP31" i="2"/>
  <c r="AO31" i="2"/>
  <c r="AN31" i="2"/>
  <c r="AM31" i="2"/>
  <c r="AL31" i="2"/>
  <c r="AK31" i="2"/>
  <c r="AJ31" i="2"/>
  <c r="AI31" i="2"/>
  <c r="AH31" i="2"/>
  <c r="AG31" i="2"/>
  <c r="B30" i="2"/>
  <c r="B64" i="2" s="1"/>
  <c r="J27" i="2"/>
  <c r="I27" i="2"/>
  <c r="H27" i="2"/>
  <c r="G27" i="2"/>
  <c r="F27" i="2"/>
  <c r="E27" i="2"/>
  <c r="D27" i="2"/>
  <c r="C27" i="2"/>
  <c r="B27" i="2"/>
  <c r="J21" i="2"/>
  <c r="J20" i="2"/>
  <c r="J19" i="2"/>
  <c r="J18" i="2"/>
  <c r="J17" i="2"/>
  <c r="J16" i="2"/>
  <c r="J11" i="2"/>
  <c r="G10" i="2"/>
  <c r="J10" i="2" s="1"/>
  <c r="J9" i="2"/>
  <c r="G9" i="2"/>
  <c r="N8" i="2"/>
  <c r="B4" i="2" s="1"/>
  <c r="G8" i="2"/>
  <c r="J8" i="2" s="1"/>
  <c r="B8" i="2"/>
  <c r="N7" i="2"/>
  <c r="J7" i="2"/>
  <c r="G7" i="2"/>
  <c r="N6" i="2"/>
  <c r="G6" i="2"/>
  <c r="J6" i="2" s="1"/>
  <c r="G5" i="2"/>
  <c r="J5" i="2" s="1"/>
  <c r="J4" i="2"/>
  <c r="G4" i="2"/>
  <c r="J3" i="2"/>
  <c r="G3" i="2"/>
  <c r="C4" i="2"/>
  <c r="C32" i="2"/>
  <c r="C31" i="2"/>
  <c r="AD31" i="2"/>
  <c r="AC31" i="2"/>
  <c r="AA31" i="2"/>
  <c r="N31" i="2"/>
  <c r="M31" i="2"/>
  <c r="K31" i="2"/>
  <c r="Z31" i="2"/>
  <c r="B65" i="2" l="1"/>
  <c r="B31" i="2"/>
  <c r="B66" i="2"/>
  <c r="B11" i="2" s="1"/>
  <c r="F31" i="2"/>
  <c r="V31" i="2"/>
  <c r="G31" i="2"/>
  <c r="L31" i="2"/>
  <c r="W31" i="2"/>
  <c r="X31" i="2"/>
  <c r="AB31" i="2"/>
  <c r="H31" i="2"/>
  <c r="P31" i="2"/>
  <c r="AF31" i="2"/>
  <c r="I31" i="2"/>
  <c r="Q31" i="2"/>
  <c r="Y31" i="2"/>
  <c r="AE31" i="2"/>
  <c r="O31" i="2"/>
  <c r="J31" i="2"/>
  <c r="R31" i="2"/>
  <c r="T31" i="2"/>
  <c r="D31" i="2" a="1"/>
  <c r="S31" i="2"/>
  <c r="U31" i="2"/>
  <c r="E31" i="2"/>
  <c r="D31" i="2" l="1"/>
  <c r="G57" i="2"/>
  <c r="C51" i="2"/>
  <c r="C50" i="2"/>
  <c r="C49" i="2"/>
  <c r="C48" i="2"/>
  <c r="C47" i="2"/>
  <c r="C46" i="2"/>
  <c r="C42" i="2"/>
  <c r="C41" i="2"/>
  <c r="C45" i="2"/>
  <c r="C44" i="2"/>
  <c r="C43" i="2"/>
  <c r="B32" i="2"/>
  <c r="B40" i="2" s="1"/>
</calcChain>
</file>

<file path=xl/sharedStrings.xml><?xml version="1.0" encoding="utf-8"?>
<sst xmlns="http://schemas.openxmlformats.org/spreadsheetml/2006/main" count="84" uniqueCount="51">
  <si>
    <r>
      <t xml:space="preserve">CALCULATING THE EXPECTED BOND RETURN
This version computes the expected bond return for AMR taking into account actual dates
Uses </t>
    </r>
    <r>
      <rPr>
        <b/>
        <u/>
        <sz val="14"/>
        <rFont val="Arial"/>
        <family val="2"/>
      </rPr>
      <t>semi-annual</t>
    </r>
    <r>
      <rPr>
        <b/>
        <sz val="14"/>
        <rFont val="Arial"/>
        <family val="2"/>
      </rPr>
      <t xml:space="preserve"> transition matrix</t>
    </r>
  </si>
  <si>
    <t>Bond price</t>
  </si>
  <si>
    <t>Payoff (t&lt;N)</t>
  </si>
  <si>
    <t>Payoff (N)</t>
  </si>
  <si>
    <t>Coupon rate, Q</t>
  </si>
  <si>
    <t>Vector to</t>
  </si>
  <si>
    <t>AAA</t>
  </si>
  <si>
    <t>Accrued interest calculation</t>
  </si>
  <si>
    <t>Actual price (includes accrued)</t>
  </si>
  <si>
    <t>right</t>
  </si>
  <si>
    <t>AA</t>
  </si>
  <si>
    <t>Last payment date</t>
  </si>
  <si>
    <r>
      <t xml:space="preserve">Recovery rate, </t>
    </r>
    <r>
      <rPr>
        <sz val="10"/>
        <rFont val="Symbol"/>
        <family val="1"/>
        <charset val="2"/>
      </rPr>
      <t>l</t>
    </r>
  </si>
  <si>
    <t>called</t>
  </si>
  <si>
    <t>A</t>
  </si>
  <si>
    <t>Next payment date</t>
  </si>
  <si>
    <t>Maturity date</t>
  </si>
  <si>
    <t>"payoff1"</t>
  </si>
  <si>
    <t>BBB</t>
  </si>
  <si>
    <t>"payoff2"</t>
  </si>
  <si>
    <t>Current date</t>
  </si>
  <si>
    <t>BB</t>
  </si>
  <si>
    <t>Percentage of period</t>
  </si>
  <si>
    <t>Maturity (years)</t>
  </si>
  <si>
    <t>B</t>
  </si>
  <si>
    <t>Accrued interest</t>
  </si>
  <si>
    <t>Number of semiannual payments</t>
  </si>
  <si>
    <t>CCC</t>
  </si>
  <si>
    <t>Initial rating</t>
  </si>
  <si>
    <t>Default</t>
  </si>
  <si>
    <t>Bond YTM</t>
  </si>
  <si>
    <t>E</t>
  </si>
  <si>
    <t>original rating</t>
  </si>
  <si>
    <t>probability of migrating to rating by year end (%)</t>
  </si>
  <si>
    <t>Transition matrix  →</t>
  </si>
  <si>
    <t>Initial vector</t>
  </si>
  <si>
    <t>Period</t>
  </si>
  <si>
    <t>Date</t>
  </si>
  <si>
    <t>Expected payoffs</t>
  </si>
  <si>
    <t>Expected yield</t>
  </si>
  <si>
    <t>Data table:  Recovery percentage
and expected yield</t>
  </si>
  <si>
    <r>
      <t xml:space="preserve">Recovery percentage, </t>
    </r>
    <r>
      <rPr>
        <b/>
        <sz val="10"/>
        <rFont val="Symbol"/>
        <family val="1"/>
        <charset val="2"/>
      </rPr>
      <t>l</t>
    </r>
  </si>
  <si>
    <t>YTM</t>
  </si>
  <si>
    <t>&lt;-- Table header</t>
  </si>
  <si>
    <t>Note:  The data table has a series with the</t>
  </si>
  <si>
    <t>YTM appended so that in the graph we</t>
  </si>
  <si>
    <t>can see the relation of the bond expected</t>
  </si>
  <si>
    <t>return to the YTM.</t>
  </si>
  <si>
    <t>YTM calculation</t>
  </si>
  <si>
    <t>Year</t>
  </si>
  <si>
    <t>Annualized YTM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</si>
</sst>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_(* #,##0.00_);_(* \(#,##0.00\);_(* &quot;-&quot;??_);_(@_)"/>
    <numFmt numFmtId="178" formatCode=";;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12"/>
      <name val="Arial"/>
      <family val="2"/>
    </font>
    <font>
      <b/>
      <sz val="10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 style="medium">
        <color indexed="29"/>
      </right>
      <top/>
      <bottom/>
      <diagonal/>
    </border>
    <border>
      <left style="medium">
        <color indexed="29"/>
      </left>
      <right/>
      <top/>
      <bottom/>
      <diagonal/>
    </border>
    <border>
      <left/>
      <right style="medium">
        <color indexed="29"/>
      </right>
      <top/>
      <bottom style="medium">
        <color indexed="29"/>
      </bottom>
      <diagonal/>
    </border>
    <border>
      <left/>
      <right/>
      <top/>
      <bottom style="medium">
        <color indexed="29"/>
      </bottom>
      <diagonal/>
    </border>
  </borders>
  <cellStyleXfs count="4">
    <xf numFmtId="0" fontId="0" fillId="0" borderId="0">
      <alignment vertical="center"/>
    </xf>
    <xf numFmtId="0" fontId="2" fillId="0" borderId="0"/>
    <xf numFmtId="177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8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10" fontId="2" fillId="0" borderId="0" xfId="1" applyNumberFormat="1"/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0" borderId="0" xfId="1" applyAlignment="1">
      <alignment wrapText="1"/>
    </xf>
    <xf numFmtId="0" fontId="5" fillId="0" borderId="0" xfId="1" applyFont="1"/>
    <xf numFmtId="15" fontId="2" fillId="0" borderId="0" xfId="1" applyNumberFormat="1"/>
    <xf numFmtId="0" fontId="2" fillId="0" borderId="0" xfId="1" quotePrefix="1" applyAlignment="1">
      <alignment horizontal="center"/>
    </xf>
    <xf numFmtId="2" fontId="2" fillId="0" borderId="0" xfId="1" applyNumberFormat="1"/>
    <xf numFmtId="9" fontId="2" fillId="0" borderId="0" xfId="1" applyNumberFormat="1"/>
    <xf numFmtId="176" fontId="2" fillId="0" borderId="0" xfId="1" applyNumberFormat="1"/>
    <xf numFmtId="177" fontId="2" fillId="0" borderId="0" xfId="2"/>
    <xf numFmtId="10" fontId="2" fillId="0" borderId="0" xfId="3" applyNumberFormat="1" applyAlignment="1">
      <alignment horizontal="right"/>
    </xf>
    <xf numFmtId="0" fontId="2" fillId="0" borderId="0" xfId="1" applyAlignment="1">
      <alignment horizontal="left" wrapText="1"/>
    </xf>
    <xf numFmtId="0" fontId="5" fillId="2" borderId="1" xfId="1" applyFont="1" applyFill="1" applyBorder="1" applyAlignment="1">
      <alignment horizontal="center" wrapText="1"/>
    </xf>
    <xf numFmtId="0" fontId="5" fillId="2" borderId="2" xfId="1" applyFont="1" applyFill="1" applyBorder="1" applyAlignment="1">
      <alignment horizontal="center" vertical="top" wrapText="1"/>
    </xf>
    <xf numFmtId="0" fontId="5" fillId="2" borderId="0" xfId="1" applyFont="1" applyFill="1" applyAlignment="1">
      <alignment horizontal="center" vertical="top" wrapText="1"/>
    </xf>
    <xf numFmtId="0" fontId="2" fillId="2" borderId="0" xfId="1" applyFill="1" applyAlignment="1">
      <alignment horizontal="center" wrapText="1"/>
    </xf>
    <xf numFmtId="0" fontId="5" fillId="2" borderId="3" xfId="1" applyFont="1" applyFill="1" applyBorder="1" applyAlignment="1">
      <alignment horizontal="center" wrapText="1"/>
    </xf>
    <xf numFmtId="0" fontId="2" fillId="2" borderId="4" xfId="1" applyFill="1" applyBorder="1" applyAlignment="1">
      <alignment horizontal="center" wrapText="1"/>
    </xf>
    <xf numFmtId="0" fontId="2" fillId="2" borderId="1" xfId="1" applyFill="1" applyBorder="1" applyAlignment="1">
      <alignment wrapText="1"/>
    </xf>
    <xf numFmtId="0" fontId="5" fillId="0" borderId="0" xfId="1" applyFont="1" applyAlignment="1">
      <alignment horizontal="center" wrapText="1"/>
    </xf>
    <xf numFmtId="0" fontId="5" fillId="0" borderId="0" xfId="1" applyFont="1" applyAlignment="1">
      <alignment horizontal="center" vertical="top" wrapText="1"/>
    </xf>
    <xf numFmtId="0" fontId="2" fillId="0" borderId="0" xfId="1" applyAlignment="1">
      <alignment horizontal="center" wrapText="1"/>
    </xf>
    <xf numFmtId="15" fontId="5" fillId="0" borderId="0" xfId="1" applyNumberFormat="1" applyFont="1"/>
    <xf numFmtId="176" fontId="2" fillId="0" borderId="0" xfId="2" applyNumberFormat="1"/>
    <xf numFmtId="0" fontId="2" fillId="3" borderId="0" xfId="1" applyFill="1"/>
    <xf numFmtId="10" fontId="2" fillId="3" borderId="0" xfId="3" applyNumberFormat="1" applyFill="1"/>
    <xf numFmtId="0" fontId="7" fillId="0" borderId="0" xfId="1" applyFont="1" applyAlignment="1">
      <alignment horizontal="center" vertical="center" wrapText="1"/>
    </xf>
    <xf numFmtId="178" fontId="2" fillId="0" borderId="0" xfId="1" applyNumberFormat="1"/>
    <xf numFmtId="9" fontId="2" fillId="0" borderId="0" xfId="1" applyNumberFormat="1" applyAlignment="1">
      <alignment horizontal="center"/>
    </xf>
    <xf numFmtId="10" fontId="2" fillId="0" borderId="0" xfId="3" applyNumberFormat="1"/>
    <xf numFmtId="0" fontId="2" fillId="0" borderId="0" xfId="1" applyAlignment="1">
      <alignment horizontal="center" wrapText="1"/>
    </xf>
    <xf numFmtId="0" fontId="2" fillId="0" borderId="0" xfId="1" applyAlignment="1">
      <alignment horizontal="center"/>
    </xf>
    <xf numFmtId="0" fontId="2" fillId="4" borderId="0" xfId="1" applyFill="1"/>
    <xf numFmtId="10" fontId="2" fillId="4" borderId="0" xfId="3" applyNumberFormat="1" applyFill="1"/>
  </cellXfs>
  <cellStyles count="4">
    <cellStyle name="百分比 2" xfId="3" xr:uid="{F522CCDC-FD11-40C4-84A5-9224D2A88C18}"/>
    <cellStyle name="常规" xfId="0" builtinId="0"/>
    <cellStyle name="常规 2" xfId="1" xr:uid="{5B2EC24E-935D-4E9A-B6D9-11FB9F2B61E0}"/>
    <cellStyle name="千位分隔 2" xfId="2" xr:uid="{E3975B5E-F82A-476B-B131-D78D25F34867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736'!$G$57:$J$57</c:f>
          <c:strCache>
            <c:ptCount val="4"/>
            <c:pt idx="0">
              <c:v>AMR Bond Expected Return vs. Recovery Rate
Bond price = 77%, Bond Rating = CCC,
Coupon = 10.55%, YTM = 14.81%</c:v>
            </c:pt>
          </c:strCache>
        </c:strRef>
      </c:tx>
      <c:layout>
        <c:manualLayout>
          <c:xMode val="edge"/>
          <c:yMode val="edge"/>
          <c:x val="0.15853677536883234"/>
          <c:y val="3.674540682414698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7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1890263815600577"/>
          <c:y val="0.13648355183269692"/>
          <c:w val="0.82012332471706539"/>
          <c:h val="0.70079054498711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736'!$A$41:$A$51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'Page 736'!$B$41:$B$51</c:f>
              <c:numCache>
                <c:formatCode>0.00%</c:formatCode>
                <c:ptCount val="11"/>
                <c:pt idx="0">
                  <c:v>9.2601865530014052E-3</c:v>
                </c:pt>
                <c:pt idx="1">
                  <c:v>2.1380689740180963E-2</c:v>
                </c:pt>
                <c:pt idx="2">
                  <c:v>3.446191847324373E-2</c:v>
                </c:pt>
                <c:pt idx="3">
                  <c:v>4.8623684048652638E-2</c:v>
                </c:pt>
                <c:pt idx="4">
                  <c:v>6.3999357819557193E-2</c:v>
                </c:pt>
                <c:pt idx="5">
                  <c:v>8.0735215544700631E-2</c:v>
                </c:pt>
                <c:pt idx="6">
                  <c:v>9.8988467454910301E-2</c:v>
                </c:pt>
                <c:pt idx="7">
                  <c:v>0.11892357468605042</c:v>
                </c:pt>
                <c:pt idx="8">
                  <c:v>0.14070674777030942</c:v>
                </c:pt>
                <c:pt idx="9">
                  <c:v>0.1644987761974335</c:v>
                </c:pt>
                <c:pt idx="10">
                  <c:v>0.19044695496559144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05-4733-BC47-BB11467D67D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'Page 736'!$A$41:$A$51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'Page 736'!$C$41:$C$51</c:f>
              <c:numCache>
                <c:formatCode>0.00%</c:formatCode>
                <c:ptCount val="11"/>
                <c:pt idx="0">
                  <c:v>0.14807288050651554</c:v>
                </c:pt>
                <c:pt idx="1">
                  <c:v>0.14807288050651554</c:v>
                </c:pt>
                <c:pt idx="2">
                  <c:v>0.14807288050651554</c:v>
                </c:pt>
                <c:pt idx="3">
                  <c:v>0.14807288050651554</c:v>
                </c:pt>
                <c:pt idx="4">
                  <c:v>0.14807288050651554</c:v>
                </c:pt>
                <c:pt idx="5">
                  <c:v>0.14807288050651554</c:v>
                </c:pt>
                <c:pt idx="6">
                  <c:v>0.14807288050651554</c:v>
                </c:pt>
                <c:pt idx="7">
                  <c:v>0.14807288050651554</c:v>
                </c:pt>
                <c:pt idx="8">
                  <c:v>0.14807288050651554</c:v>
                </c:pt>
                <c:pt idx="9">
                  <c:v>0.14807288050651554</c:v>
                </c:pt>
                <c:pt idx="10">
                  <c:v>0.14807288050651554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05-4733-BC47-BB11467D6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357864"/>
        <c:axId val="1"/>
      </c:scatterChart>
      <c:valAx>
        <c:axId val="834357864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9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Recovery percentage </a:t>
                </a:r>
                <a:r>
                  <a:rPr lang="zh-CN" altLang="en-US" sz="95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l</a:t>
                </a:r>
                <a:endParaRPr lang="zh-CN" altLang="en-US" sz="950" b="1" i="0" u="none" strike="noStrike" baseline="0">
                  <a:solidFill>
                    <a:srgbClr val="000000"/>
                  </a:solidFill>
                  <a:latin typeface="Symbol"/>
                </a:endParaRPr>
              </a:p>
            </c:rich>
          </c:tx>
          <c:layout>
            <c:manualLayout>
              <c:xMode val="edge"/>
              <c:yMode val="edge"/>
              <c:x val="0.39024456988538531"/>
              <c:y val="0.9081405208964263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343578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441960</xdr:colOff>
      <xdr:row>7</xdr:row>
      <xdr:rowOff>121920</xdr:rowOff>
    </xdr:from>
    <xdr:to>
      <xdr:col>4</xdr:col>
      <xdr:colOff>167640</xdr:colOff>
      <xdr:row>10</xdr:row>
      <xdr:rowOff>22860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E099794C-5853-48DC-B794-2E63EE2E752F}"/>
            </a:ext>
          </a:extLst>
        </xdr:cNvPr>
        <xdr:cNvSpPr txBox="1">
          <a:spLocks noChangeArrowheads="1"/>
        </xdr:cNvSpPr>
      </xdr:nvSpPr>
      <xdr:spPr bwMode="auto">
        <a:xfrm>
          <a:off x="2971800" y="1895475"/>
          <a:ext cx="1171575" cy="409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Coupon paid semiannually</a:t>
          </a:r>
        </a:p>
      </xdr:txBody>
    </xdr:sp>
    <xdr:clientData/>
  </xdr:twoCellAnchor>
  <xdr:twoCellAnchor>
    <xdr:from>
      <xdr:col>4</xdr:col>
      <xdr:colOff>213360</xdr:colOff>
      <xdr:row>5</xdr:row>
      <xdr:rowOff>106680</xdr:rowOff>
    </xdr:from>
    <xdr:to>
      <xdr:col>6</xdr:col>
      <xdr:colOff>289560</xdr:colOff>
      <xdr:row>8</xdr:row>
      <xdr:rowOff>22860</xdr:rowOff>
    </xdr:to>
    <xdr:sp macro="" textlink="">
      <xdr:nvSpPr>
        <xdr:cNvPr id="3" name="Line 5">
          <a:extLst>
            <a:ext uri="{FF2B5EF4-FFF2-40B4-BE49-F238E27FC236}">
              <a16:creationId xmlns:a16="http://schemas.microsoft.com/office/drawing/2014/main" id="{D55A712B-3E78-464A-B063-95C5BC6A2273}"/>
            </a:ext>
          </a:extLst>
        </xdr:cNvPr>
        <xdr:cNvSpPr>
          <a:spLocks noChangeShapeType="1"/>
        </xdr:cNvSpPr>
      </xdr:nvSpPr>
      <xdr:spPr bwMode="auto">
        <a:xfrm flipV="1">
          <a:off x="4181475" y="1533525"/>
          <a:ext cx="1724025" cy="4286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76200</xdr:colOff>
      <xdr:row>38</xdr:row>
      <xdr:rowOff>289560</xdr:rowOff>
    </xdr:from>
    <xdr:to>
      <xdr:col>9</xdr:col>
      <xdr:colOff>617220</xdr:colOff>
      <xdr:row>55</xdr:row>
      <xdr:rowOff>45720</xdr:rowOff>
    </xdr:to>
    <xdr:graphicFrame macro="">
      <xdr:nvGraphicFramePr>
        <xdr:cNvPr id="4" name="图表 7">
          <a:extLst>
            <a:ext uri="{FF2B5EF4-FFF2-40B4-BE49-F238E27FC236}">
              <a16:creationId xmlns:a16="http://schemas.microsoft.com/office/drawing/2014/main" id="{556245C8-3922-4261-9259-2FF22886F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8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Wharton/728--summer%202005/homework4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22"/>
      <sheetName val="Page 722 (中文)"/>
      <sheetName val="Pages 723-24"/>
      <sheetName val="Pages 723-24 (中文)"/>
      <sheetName val="Page 725"/>
      <sheetName val="Page 725 (中文)"/>
      <sheetName val="Page 727, 729 top"/>
      <sheetName val="Page 727, 729 top (中文)"/>
      <sheetName val="Page 729, bottom"/>
      <sheetName val="Page 729, bottom (中文)"/>
      <sheetName val="Page 730"/>
      <sheetName val="Page 730 (中文)"/>
      <sheetName val="Page 732, 734"/>
      <sheetName val="Page 732, 734 (中文)"/>
      <sheetName val="Page 735"/>
      <sheetName val="Page 735 (中文)"/>
      <sheetName val="Page 736"/>
      <sheetName val="Page 736 (中文)"/>
      <sheetName val="Page 737"/>
      <sheetName val="Page 737 (中文)"/>
      <sheetName val="Page 738, top"/>
      <sheetName val="Page 738, top (中文)"/>
      <sheetName val="Page 738, bottom"/>
      <sheetName val="Page 738, bottom (中文) 1"/>
      <sheetName val="Page 738, bottom (中文)"/>
      <sheetName val="Page 7730"/>
      <sheetName val="Page 7730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F3">
            <v>7.0000000000000007E-2</v>
          </cell>
          <cell r="I3">
            <v>1.07</v>
          </cell>
        </row>
        <row r="4">
          <cell r="F4">
            <v>7.0000000000000007E-2</v>
          </cell>
          <cell r="I4">
            <v>1.07</v>
          </cell>
        </row>
        <row r="5">
          <cell r="B5">
            <v>8</v>
          </cell>
          <cell r="F5">
            <v>7.0000000000000007E-2</v>
          </cell>
          <cell r="I5">
            <v>1.07</v>
          </cell>
        </row>
        <row r="6">
          <cell r="F6">
            <v>0.5</v>
          </cell>
          <cell r="I6">
            <v>0.5</v>
          </cell>
        </row>
        <row r="7">
          <cell r="F7">
            <v>0</v>
          </cell>
          <cell r="I7">
            <v>0</v>
          </cell>
        </row>
        <row r="10">
          <cell r="C10">
            <v>0.97</v>
          </cell>
          <cell r="D10">
            <v>0.02</v>
          </cell>
          <cell r="E10">
            <v>1.0000000000000009E-2</v>
          </cell>
          <cell r="F10">
            <v>0</v>
          </cell>
          <cell r="G10">
            <v>0</v>
          </cell>
        </row>
        <row r="11">
          <cell r="C11">
            <v>0.05</v>
          </cell>
          <cell r="D11">
            <v>0.8</v>
          </cell>
          <cell r="E11">
            <v>0.14999999999999997</v>
          </cell>
          <cell r="F11">
            <v>0</v>
          </cell>
          <cell r="G11">
            <v>0</v>
          </cell>
        </row>
        <row r="12">
          <cell r="C12">
            <v>0.01</v>
          </cell>
          <cell r="D12">
            <v>0.02</v>
          </cell>
          <cell r="E12">
            <v>0.75</v>
          </cell>
          <cell r="F12">
            <v>0.21999999999999997</v>
          </cell>
          <cell r="G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0</v>
          </cell>
          <cell r="G16">
            <v>0</v>
          </cell>
        </row>
      </sheetData>
      <sheetData sheetId="11"/>
      <sheetData sheetId="12"/>
      <sheetData sheetId="13"/>
      <sheetData sheetId="14"/>
      <sheetData sheetId="15"/>
      <sheetData sheetId="16">
        <row r="41">
          <cell r="A41">
            <v>0</v>
          </cell>
          <cell r="B41">
            <v>9.2601865530014052E-3</v>
          </cell>
          <cell r="C41">
            <v>0.14807288050651554</v>
          </cell>
        </row>
        <row r="42">
          <cell r="A42">
            <v>0.1</v>
          </cell>
          <cell r="B42">
            <v>2.1380689740180963E-2</v>
          </cell>
          <cell r="C42">
            <v>0.14807288050651554</v>
          </cell>
        </row>
        <row r="43">
          <cell r="A43">
            <v>0.2</v>
          </cell>
          <cell r="B43">
            <v>3.446191847324373E-2</v>
          </cell>
          <cell r="C43">
            <v>0.14807288050651554</v>
          </cell>
        </row>
        <row r="44">
          <cell r="A44">
            <v>0.3</v>
          </cell>
          <cell r="B44">
            <v>4.8623684048652638E-2</v>
          </cell>
          <cell r="C44">
            <v>0.14807288050651554</v>
          </cell>
        </row>
        <row r="45">
          <cell r="A45">
            <v>0.4</v>
          </cell>
          <cell r="B45">
            <v>6.3999357819557193E-2</v>
          </cell>
          <cell r="C45">
            <v>0.14807288050651554</v>
          </cell>
        </row>
        <row r="46">
          <cell r="A46">
            <v>0.5</v>
          </cell>
          <cell r="B46">
            <v>8.0735215544700631E-2</v>
          </cell>
          <cell r="C46">
            <v>0.14807288050651554</v>
          </cell>
        </row>
        <row r="47">
          <cell r="A47">
            <v>0.6</v>
          </cell>
          <cell r="B47">
            <v>9.8988467454910301E-2</v>
          </cell>
          <cell r="C47">
            <v>0.14807288050651554</v>
          </cell>
        </row>
        <row r="48">
          <cell r="A48">
            <v>0.7</v>
          </cell>
          <cell r="B48">
            <v>0.11892357468605042</v>
          </cell>
          <cell r="C48">
            <v>0.14807288050651554</v>
          </cell>
        </row>
        <row r="49">
          <cell r="A49">
            <v>0.8</v>
          </cell>
          <cell r="B49">
            <v>0.14070674777030942</v>
          </cell>
          <cell r="C49">
            <v>0.14807288050651554</v>
          </cell>
        </row>
        <row r="50">
          <cell r="A50">
            <v>0.9</v>
          </cell>
          <cell r="B50">
            <v>0.1644987761974335</v>
          </cell>
          <cell r="C50">
            <v>0.14807288050651554</v>
          </cell>
        </row>
        <row r="51">
          <cell r="A51">
            <v>1</v>
          </cell>
          <cell r="B51">
            <v>0.19044695496559144</v>
          </cell>
          <cell r="C51">
            <v>0.14807288050651554</v>
          </cell>
        </row>
        <row r="57">
          <cell r="G57" t="str">
            <v>AMR Bond Expected Return vs. Recovery Rate
Bond price = 77%, Bond Rating = CCC,
Coupon = 10.55%, YTM = 14.81%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nsition matrix"/>
      <sheetName val="AMR, annual transition matrix"/>
      <sheetName val="Semiannual transition matrix"/>
      <sheetName val="AMR, semiannual transition"/>
      <sheetName val="Semi vs annual--comparison"/>
      <sheetName val="Actual dates, annual matrix"/>
      <sheetName val="Actual dates, annual matrix (2)"/>
      <sheetName val="Actual dates, semiannual mtrx"/>
      <sheetName val="Bond beta"/>
      <sheetName val="Semi vs annual--comparison (2)"/>
      <sheetName val="Semi vs annual--comparison (3)"/>
    </sheetNames>
    <sheetDataSet>
      <sheetData sheetId="0"/>
      <sheetData sheetId="1">
        <row r="9">
          <cell r="B9">
            <v>31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3D06C-4120-4EF4-985E-DB3AF54AE4C8}">
  <sheetPr codeName="Sheet6"/>
  <dimension ref="A1:ER72"/>
  <sheetViews>
    <sheetView tabSelected="1" topLeftCell="A13" workbookViewId="0">
      <selection activeCell="O42" sqref="O42"/>
    </sheetView>
  </sheetViews>
  <sheetFormatPr defaultRowHeight="13.2" x14ac:dyDescent="0.25"/>
  <cols>
    <col min="1" max="1" width="27.44140625" style="2" customWidth="1"/>
    <col min="2" max="2" width="9.44140625" style="2" bestFit="1" customWidth="1"/>
    <col min="3" max="3" width="11.33203125" style="2" customWidth="1"/>
    <col min="4" max="4" width="9.5546875" style="2" bestFit="1" customWidth="1"/>
    <col min="5" max="5" width="12.6640625" style="2" customWidth="1"/>
    <col min="6" max="6" width="11.33203125" style="2" customWidth="1"/>
    <col min="7" max="7" width="10.6640625" style="2" customWidth="1"/>
    <col min="8" max="8" width="9.44140625" style="2" customWidth="1"/>
    <col min="9" max="9" width="11.33203125" style="2" customWidth="1"/>
    <col min="10" max="12" width="9.44140625" style="2" customWidth="1"/>
    <col min="13" max="13" width="18.6640625" style="2" customWidth="1"/>
    <col min="14" max="84" width="9.44140625" style="2" customWidth="1"/>
    <col min="85" max="256" width="8.88671875" style="2"/>
    <col min="257" max="257" width="27.44140625" style="2" customWidth="1"/>
    <col min="258" max="258" width="9.44140625" style="2" bestFit="1" customWidth="1"/>
    <col min="259" max="259" width="11.33203125" style="2" customWidth="1"/>
    <col min="260" max="260" width="9.5546875" style="2" bestFit="1" customWidth="1"/>
    <col min="261" max="261" width="12.6640625" style="2" customWidth="1"/>
    <col min="262" max="262" width="11.33203125" style="2" customWidth="1"/>
    <col min="263" max="263" width="10.6640625" style="2" customWidth="1"/>
    <col min="264" max="264" width="9.44140625" style="2" customWidth="1"/>
    <col min="265" max="265" width="11.33203125" style="2" customWidth="1"/>
    <col min="266" max="268" width="9.44140625" style="2" customWidth="1"/>
    <col min="269" max="269" width="18.6640625" style="2" customWidth="1"/>
    <col min="270" max="340" width="9.44140625" style="2" customWidth="1"/>
    <col min="341" max="512" width="8.88671875" style="2"/>
    <col min="513" max="513" width="27.44140625" style="2" customWidth="1"/>
    <col min="514" max="514" width="9.44140625" style="2" bestFit="1" customWidth="1"/>
    <col min="515" max="515" width="11.33203125" style="2" customWidth="1"/>
    <col min="516" max="516" width="9.5546875" style="2" bestFit="1" customWidth="1"/>
    <col min="517" max="517" width="12.6640625" style="2" customWidth="1"/>
    <col min="518" max="518" width="11.33203125" style="2" customWidth="1"/>
    <col min="519" max="519" width="10.6640625" style="2" customWidth="1"/>
    <col min="520" max="520" width="9.44140625" style="2" customWidth="1"/>
    <col min="521" max="521" width="11.33203125" style="2" customWidth="1"/>
    <col min="522" max="524" width="9.44140625" style="2" customWidth="1"/>
    <col min="525" max="525" width="18.6640625" style="2" customWidth="1"/>
    <col min="526" max="596" width="9.44140625" style="2" customWidth="1"/>
    <col min="597" max="768" width="8.88671875" style="2"/>
    <col min="769" max="769" width="27.44140625" style="2" customWidth="1"/>
    <col min="770" max="770" width="9.44140625" style="2" bestFit="1" customWidth="1"/>
    <col min="771" max="771" width="11.33203125" style="2" customWidth="1"/>
    <col min="772" max="772" width="9.5546875" style="2" bestFit="1" customWidth="1"/>
    <col min="773" max="773" width="12.6640625" style="2" customWidth="1"/>
    <col min="774" max="774" width="11.33203125" style="2" customWidth="1"/>
    <col min="775" max="775" width="10.6640625" style="2" customWidth="1"/>
    <col min="776" max="776" width="9.44140625" style="2" customWidth="1"/>
    <col min="777" max="777" width="11.33203125" style="2" customWidth="1"/>
    <col min="778" max="780" width="9.44140625" style="2" customWidth="1"/>
    <col min="781" max="781" width="18.6640625" style="2" customWidth="1"/>
    <col min="782" max="852" width="9.44140625" style="2" customWidth="1"/>
    <col min="853" max="1024" width="8.88671875" style="2"/>
    <col min="1025" max="1025" width="27.44140625" style="2" customWidth="1"/>
    <col min="1026" max="1026" width="9.44140625" style="2" bestFit="1" customWidth="1"/>
    <col min="1027" max="1027" width="11.33203125" style="2" customWidth="1"/>
    <col min="1028" max="1028" width="9.5546875" style="2" bestFit="1" customWidth="1"/>
    <col min="1029" max="1029" width="12.6640625" style="2" customWidth="1"/>
    <col min="1030" max="1030" width="11.33203125" style="2" customWidth="1"/>
    <col min="1031" max="1031" width="10.6640625" style="2" customWidth="1"/>
    <col min="1032" max="1032" width="9.44140625" style="2" customWidth="1"/>
    <col min="1033" max="1033" width="11.33203125" style="2" customWidth="1"/>
    <col min="1034" max="1036" width="9.44140625" style="2" customWidth="1"/>
    <col min="1037" max="1037" width="18.6640625" style="2" customWidth="1"/>
    <col min="1038" max="1108" width="9.44140625" style="2" customWidth="1"/>
    <col min="1109" max="1280" width="8.88671875" style="2"/>
    <col min="1281" max="1281" width="27.44140625" style="2" customWidth="1"/>
    <col min="1282" max="1282" width="9.44140625" style="2" bestFit="1" customWidth="1"/>
    <col min="1283" max="1283" width="11.33203125" style="2" customWidth="1"/>
    <col min="1284" max="1284" width="9.5546875" style="2" bestFit="1" customWidth="1"/>
    <col min="1285" max="1285" width="12.6640625" style="2" customWidth="1"/>
    <col min="1286" max="1286" width="11.33203125" style="2" customWidth="1"/>
    <col min="1287" max="1287" width="10.6640625" style="2" customWidth="1"/>
    <col min="1288" max="1288" width="9.44140625" style="2" customWidth="1"/>
    <col min="1289" max="1289" width="11.33203125" style="2" customWidth="1"/>
    <col min="1290" max="1292" width="9.44140625" style="2" customWidth="1"/>
    <col min="1293" max="1293" width="18.6640625" style="2" customWidth="1"/>
    <col min="1294" max="1364" width="9.44140625" style="2" customWidth="1"/>
    <col min="1365" max="1536" width="8.88671875" style="2"/>
    <col min="1537" max="1537" width="27.44140625" style="2" customWidth="1"/>
    <col min="1538" max="1538" width="9.44140625" style="2" bestFit="1" customWidth="1"/>
    <col min="1539" max="1539" width="11.33203125" style="2" customWidth="1"/>
    <col min="1540" max="1540" width="9.5546875" style="2" bestFit="1" customWidth="1"/>
    <col min="1541" max="1541" width="12.6640625" style="2" customWidth="1"/>
    <col min="1542" max="1542" width="11.33203125" style="2" customWidth="1"/>
    <col min="1543" max="1543" width="10.6640625" style="2" customWidth="1"/>
    <col min="1544" max="1544" width="9.44140625" style="2" customWidth="1"/>
    <col min="1545" max="1545" width="11.33203125" style="2" customWidth="1"/>
    <col min="1546" max="1548" width="9.44140625" style="2" customWidth="1"/>
    <col min="1549" max="1549" width="18.6640625" style="2" customWidth="1"/>
    <col min="1550" max="1620" width="9.44140625" style="2" customWidth="1"/>
    <col min="1621" max="1792" width="8.88671875" style="2"/>
    <col min="1793" max="1793" width="27.44140625" style="2" customWidth="1"/>
    <col min="1794" max="1794" width="9.44140625" style="2" bestFit="1" customWidth="1"/>
    <col min="1795" max="1795" width="11.33203125" style="2" customWidth="1"/>
    <col min="1796" max="1796" width="9.5546875" style="2" bestFit="1" customWidth="1"/>
    <col min="1797" max="1797" width="12.6640625" style="2" customWidth="1"/>
    <col min="1798" max="1798" width="11.33203125" style="2" customWidth="1"/>
    <col min="1799" max="1799" width="10.6640625" style="2" customWidth="1"/>
    <col min="1800" max="1800" width="9.44140625" style="2" customWidth="1"/>
    <col min="1801" max="1801" width="11.33203125" style="2" customWidth="1"/>
    <col min="1802" max="1804" width="9.44140625" style="2" customWidth="1"/>
    <col min="1805" max="1805" width="18.6640625" style="2" customWidth="1"/>
    <col min="1806" max="1876" width="9.44140625" style="2" customWidth="1"/>
    <col min="1877" max="2048" width="8.88671875" style="2"/>
    <col min="2049" max="2049" width="27.44140625" style="2" customWidth="1"/>
    <col min="2050" max="2050" width="9.44140625" style="2" bestFit="1" customWidth="1"/>
    <col min="2051" max="2051" width="11.33203125" style="2" customWidth="1"/>
    <col min="2052" max="2052" width="9.5546875" style="2" bestFit="1" customWidth="1"/>
    <col min="2053" max="2053" width="12.6640625" style="2" customWidth="1"/>
    <col min="2054" max="2054" width="11.33203125" style="2" customWidth="1"/>
    <col min="2055" max="2055" width="10.6640625" style="2" customWidth="1"/>
    <col min="2056" max="2056" width="9.44140625" style="2" customWidth="1"/>
    <col min="2057" max="2057" width="11.33203125" style="2" customWidth="1"/>
    <col min="2058" max="2060" width="9.44140625" style="2" customWidth="1"/>
    <col min="2061" max="2061" width="18.6640625" style="2" customWidth="1"/>
    <col min="2062" max="2132" width="9.44140625" style="2" customWidth="1"/>
    <col min="2133" max="2304" width="8.88671875" style="2"/>
    <col min="2305" max="2305" width="27.44140625" style="2" customWidth="1"/>
    <col min="2306" max="2306" width="9.44140625" style="2" bestFit="1" customWidth="1"/>
    <col min="2307" max="2307" width="11.33203125" style="2" customWidth="1"/>
    <col min="2308" max="2308" width="9.5546875" style="2" bestFit="1" customWidth="1"/>
    <col min="2309" max="2309" width="12.6640625" style="2" customWidth="1"/>
    <col min="2310" max="2310" width="11.33203125" style="2" customWidth="1"/>
    <col min="2311" max="2311" width="10.6640625" style="2" customWidth="1"/>
    <col min="2312" max="2312" width="9.44140625" style="2" customWidth="1"/>
    <col min="2313" max="2313" width="11.33203125" style="2" customWidth="1"/>
    <col min="2314" max="2316" width="9.44140625" style="2" customWidth="1"/>
    <col min="2317" max="2317" width="18.6640625" style="2" customWidth="1"/>
    <col min="2318" max="2388" width="9.44140625" style="2" customWidth="1"/>
    <col min="2389" max="2560" width="8.88671875" style="2"/>
    <col min="2561" max="2561" width="27.44140625" style="2" customWidth="1"/>
    <col min="2562" max="2562" width="9.44140625" style="2" bestFit="1" customWidth="1"/>
    <col min="2563" max="2563" width="11.33203125" style="2" customWidth="1"/>
    <col min="2564" max="2564" width="9.5546875" style="2" bestFit="1" customWidth="1"/>
    <col min="2565" max="2565" width="12.6640625" style="2" customWidth="1"/>
    <col min="2566" max="2566" width="11.33203125" style="2" customWidth="1"/>
    <col min="2567" max="2567" width="10.6640625" style="2" customWidth="1"/>
    <col min="2568" max="2568" width="9.44140625" style="2" customWidth="1"/>
    <col min="2569" max="2569" width="11.33203125" style="2" customWidth="1"/>
    <col min="2570" max="2572" width="9.44140625" style="2" customWidth="1"/>
    <col min="2573" max="2573" width="18.6640625" style="2" customWidth="1"/>
    <col min="2574" max="2644" width="9.44140625" style="2" customWidth="1"/>
    <col min="2645" max="2816" width="8.88671875" style="2"/>
    <col min="2817" max="2817" width="27.44140625" style="2" customWidth="1"/>
    <col min="2818" max="2818" width="9.44140625" style="2" bestFit="1" customWidth="1"/>
    <col min="2819" max="2819" width="11.33203125" style="2" customWidth="1"/>
    <col min="2820" max="2820" width="9.5546875" style="2" bestFit="1" customWidth="1"/>
    <col min="2821" max="2821" width="12.6640625" style="2" customWidth="1"/>
    <col min="2822" max="2822" width="11.33203125" style="2" customWidth="1"/>
    <col min="2823" max="2823" width="10.6640625" style="2" customWidth="1"/>
    <col min="2824" max="2824" width="9.44140625" style="2" customWidth="1"/>
    <col min="2825" max="2825" width="11.33203125" style="2" customWidth="1"/>
    <col min="2826" max="2828" width="9.44140625" style="2" customWidth="1"/>
    <col min="2829" max="2829" width="18.6640625" style="2" customWidth="1"/>
    <col min="2830" max="2900" width="9.44140625" style="2" customWidth="1"/>
    <col min="2901" max="3072" width="8.88671875" style="2"/>
    <col min="3073" max="3073" width="27.44140625" style="2" customWidth="1"/>
    <col min="3074" max="3074" width="9.44140625" style="2" bestFit="1" customWidth="1"/>
    <col min="3075" max="3075" width="11.33203125" style="2" customWidth="1"/>
    <col min="3076" max="3076" width="9.5546875" style="2" bestFit="1" customWidth="1"/>
    <col min="3077" max="3077" width="12.6640625" style="2" customWidth="1"/>
    <col min="3078" max="3078" width="11.33203125" style="2" customWidth="1"/>
    <col min="3079" max="3079" width="10.6640625" style="2" customWidth="1"/>
    <col min="3080" max="3080" width="9.44140625" style="2" customWidth="1"/>
    <col min="3081" max="3081" width="11.33203125" style="2" customWidth="1"/>
    <col min="3082" max="3084" width="9.44140625" style="2" customWidth="1"/>
    <col min="3085" max="3085" width="18.6640625" style="2" customWidth="1"/>
    <col min="3086" max="3156" width="9.44140625" style="2" customWidth="1"/>
    <col min="3157" max="3328" width="8.88671875" style="2"/>
    <col min="3329" max="3329" width="27.44140625" style="2" customWidth="1"/>
    <col min="3330" max="3330" width="9.44140625" style="2" bestFit="1" customWidth="1"/>
    <col min="3331" max="3331" width="11.33203125" style="2" customWidth="1"/>
    <col min="3332" max="3332" width="9.5546875" style="2" bestFit="1" customWidth="1"/>
    <col min="3333" max="3333" width="12.6640625" style="2" customWidth="1"/>
    <col min="3334" max="3334" width="11.33203125" style="2" customWidth="1"/>
    <col min="3335" max="3335" width="10.6640625" style="2" customWidth="1"/>
    <col min="3336" max="3336" width="9.44140625" style="2" customWidth="1"/>
    <col min="3337" max="3337" width="11.33203125" style="2" customWidth="1"/>
    <col min="3338" max="3340" width="9.44140625" style="2" customWidth="1"/>
    <col min="3341" max="3341" width="18.6640625" style="2" customWidth="1"/>
    <col min="3342" max="3412" width="9.44140625" style="2" customWidth="1"/>
    <col min="3413" max="3584" width="8.88671875" style="2"/>
    <col min="3585" max="3585" width="27.44140625" style="2" customWidth="1"/>
    <col min="3586" max="3586" width="9.44140625" style="2" bestFit="1" customWidth="1"/>
    <col min="3587" max="3587" width="11.33203125" style="2" customWidth="1"/>
    <col min="3588" max="3588" width="9.5546875" style="2" bestFit="1" customWidth="1"/>
    <col min="3589" max="3589" width="12.6640625" style="2" customWidth="1"/>
    <col min="3590" max="3590" width="11.33203125" style="2" customWidth="1"/>
    <col min="3591" max="3591" width="10.6640625" style="2" customWidth="1"/>
    <col min="3592" max="3592" width="9.44140625" style="2" customWidth="1"/>
    <col min="3593" max="3593" width="11.33203125" style="2" customWidth="1"/>
    <col min="3594" max="3596" width="9.44140625" style="2" customWidth="1"/>
    <col min="3597" max="3597" width="18.6640625" style="2" customWidth="1"/>
    <col min="3598" max="3668" width="9.44140625" style="2" customWidth="1"/>
    <col min="3669" max="3840" width="8.88671875" style="2"/>
    <col min="3841" max="3841" width="27.44140625" style="2" customWidth="1"/>
    <col min="3842" max="3842" width="9.44140625" style="2" bestFit="1" customWidth="1"/>
    <col min="3843" max="3843" width="11.33203125" style="2" customWidth="1"/>
    <col min="3844" max="3844" width="9.5546875" style="2" bestFit="1" customWidth="1"/>
    <col min="3845" max="3845" width="12.6640625" style="2" customWidth="1"/>
    <col min="3846" max="3846" width="11.33203125" style="2" customWidth="1"/>
    <col min="3847" max="3847" width="10.6640625" style="2" customWidth="1"/>
    <col min="3848" max="3848" width="9.44140625" style="2" customWidth="1"/>
    <col min="3849" max="3849" width="11.33203125" style="2" customWidth="1"/>
    <col min="3850" max="3852" width="9.44140625" style="2" customWidth="1"/>
    <col min="3853" max="3853" width="18.6640625" style="2" customWidth="1"/>
    <col min="3854" max="3924" width="9.44140625" style="2" customWidth="1"/>
    <col min="3925" max="4096" width="8.88671875" style="2"/>
    <col min="4097" max="4097" width="27.44140625" style="2" customWidth="1"/>
    <col min="4098" max="4098" width="9.44140625" style="2" bestFit="1" customWidth="1"/>
    <col min="4099" max="4099" width="11.33203125" style="2" customWidth="1"/>
    <col min="4100" max="4100" width="9.5546875" style="2" bestFit="1" customWidth="1"/>
    <col min="4101" max="4101" width="12.6640625" style="2" customWidth="1"/>
    <col min="4102" max="4102" width="11.33203125" style="2" customWidth="1"/>
    <col min="4103" max="4103" width="10.6640625" style="2" customWidth="1"/>
    <col min="4104" max="4104" width="9.44140625" style="2" customWidth="1"/>
    <col min="4105" max="4105" width="11.33203125" style="2" customWidth="1"/>
    <col min="4106" max="4108" width="9.44140625" style="2" customWidth="1"/>
    <col min="4109" max="4109" width="18.6640625" style="2" customWidth="1"/>
    <col min="4110" max="4180" width="9.44140625" style="2" customWidth="1"/>
    <col min="4181" max="4352" width="8.88671875" style="2"/>
    <col min="4353" max="4353" width="27.44140625" style="2" customWidth="1"/>
    <col min="4354" max="4354" width="9.44140625" style="2" bestFit="1" customWidth="1"/>
    <col min="4355" max="4355" width="11.33203125" style="2" customWidth="1"/>
    <col min="4356" max="4356" width="9.5546875" style="2" bestFit="1" customWidth="1"/>
    <col min="4357" max="4357" width="12.6640625" style="2" customWidth="1"/>
    <col min="4358" max="4358" width="11.33203125" style="2" customWidth="1"/>
    <col min="4359" max="4359" width="10.6640625" style="2" customWidth="1"/>
    <col min="4360" max="4360" width="9.44140625" style="2" customWidth="1"/>
    <col min="4361" max="4361" width="11.33203125" style="2" customWidth="1"/>
    <col min="4362" max="4364" width="9.44140625" style="2" customWidth="1"/>
    <col min="4365" max="4365" width="18.6640625" style="2" customWidth="1"/>
    <col min="4366" max="4436" width="9.44140625" style="2" customWidth="1"/>
    <col min="4437" max="4608" width="8.88671875" style="2"/>
    <col min="4609" max="4609" width="27.44140625" style="2" customWidth="1"/>
    <col min="4610" max="4610" width="9.44140625" style="2" bestFit="1" customWidth="1"/>
    <col min="4611" max="4611" width="11.33203125" style="2" customWidth="1"/>
    <col min="4612" max="4612" width="9.5546875" style="2" bestFit="1" customWidth="1"/>
    <col min="4613" max="4613" width="12.6640625" style="2" customWidth="1"/>
    <col min="4614" max="4614" width="11.33203125" style="2" customWidth="1"/>
    <col min="4615" max="4615" width="10.6640625" style="2" customWidth="1"/>
    <col min="4616" max="4616" width="9.44140625" style="2" customWidth="1"/>
    <col min="4617" max="4617" width="11.33203125" style="2" customWidth="1"/>
    <col min="4618" max="4620" width="9.44140625" style="2" customWidth="1"/>
    <col min="4621" max="4621" width="18.6640625" style="2" customWidth="1"/>
    <col min="4622" max="4692" width="9.44140625" style="2" customWidth="1"/>
    <col min="4693" max="4864" width="8.88671875" style="2"/>
    <col min="4865" max="4865" width="27.44140625" style="2" customWidth="1"/>
    <col min="4866" max="4866" width="9.44140625" style="2" bestFit="1" customWidth="1"/>
    <col min="4867" max="4867" width="11.33203125" style="2" customWidth="1"/>
    <col min="4868" max="4868" width="9.5546875" style="2" bestFit="1" customWidth="1"/>
    <col min="4869" max="4869" width="12.6640625" style="2" customWidth="1"/>
    <col min="4870" max="4870" width="11.33203125" style="2" customWidth="1"/>
    <col min="4871" max="4871" width="10.6640625" style="2" customWidth="1"/>
    <col min="4872" max="4872" width="9.44140625" style="2" customWidth="1"/>
    <col min="4873" max="4873" width="11.33203125" style="2" customWidth="1"/>
    <col min="4874" max="4876" width="9.44140625" style="2" customWidth="1"/>
    <col min="4877" max="4877" width="18.6640625" style="2" customWidth="1"/>
    <col min="4878" max="4948" width="9.44140625" style="2" customWidth="1"/>
    <col min="4949" max="5120" width="8.88671875" style="2"/>
    <col min="5121" max="5121" width="27.44140625" style="2" customWidth="1"/>
    <col min="5122" max="5122" width="9.44140625" style="2" bestFit="1" customWidth="1"/>
    <col min="5123" max="5123" width="11.33203125" style="2" customWidth="1"/>
    <col min="5124" max="5124" width="9.5546875" style="2" bestFit="1" customWidth="1"/>
    <col min="5125" max="5125" width="12.6640625" style="2" customWidth="1"/>
    <col min="5126" max="5126" width="11.33203125" style="2" customWidth="1"/>
    <col min="5127" max="5127" width="10.6640625" style="2" customWidth="1"/>
    <col min="5128" max="5128" width="9.44140625" style="2" customWidth="1"/>
    <col min="5129" max="5129" width="11.33203125" style="2" customWidth="1"/>
    <col min="5130" max="5132" width="9.44140625" style="2" customWidth="1"/>
    <col min="5133" max="5133" width="18.6640625" style="2" customWidth="1"/>
    <col min="5134" max="5204" width="9.44140625" style="2" customWidth="1"/>
    <col min="5205" max="5376" width="8.88671875" style="2"/>
    <col min="5377" max="5377" width="27.44140625" style="2" customWidth="1"/>
    <col min="5378" max="5378" width="9.44140625" style="2" bestFit="1" customWidth="1"/>
    <col min="5379" max="5379" width="11.33203125" style="2" customWidth="1"/>
    <col min="5380" max="5380" width="9.5546875" style="2" bestFit="1" customWidth="1"/>
    <col min="5381" max="5381" width="12.6640625" style="2" customWidth="1"/>
    <col min="5382" max="5382" width="11.33203125" style="2" customWidth="1"/>
    <col min="5383" max="5383" width="10.6640625" style="2" customWidth="1"/>
    <col min="5384" max="5384" width="9.44140625" style="2" customWidth="1"/>
    <col min="5385" max="5385" width="11.33203125" style="2" customWidth="1"/>
    <col min="5386" max="5388" width="9.44140625" style="2" customWidth="1"/>
    <col min="5389" max="5389" width="18.6640625" style="2" customWidth="1"/>
    <col min="5390" max="5460" width="9.44140625" style="2" customWidth="1"/>
    <col min="5461" max="5632" width="8.88671875" style="2"/>
    <col min="5633" max="5633" width="27.44140625" style="2" customWidth="1"/>
    <col min="5634" max="5634" width="9.44140625" style="2" bestFit="1" customWidth="1"/>
    <col min="5635" max="5635" width="11.33203125" style="2" customWidth="1"/>
    <col min="5636" max="5636" width="9.5546875" style="2" bestFit="1" customWidth="1"/>
    <col min="5637" max="5637" width="12.6640625" style="2" customWidth="1"/>
    <col min="5638" max="5638" width="11.33203125" style="2" customWidth="1"/>
    <col min="5639" max="5639" width="10.6640625" style="2" customWidth="1"/>
    <col min="5640" max="5640" width="9.44140625" style="2" customWidth="1"/>
    <col min="5641" max="5641" width="11.33203125" style="2" customWidth="1"/>
    <col min="5642" max="5644" width="9.44140625" style="2" customWidth="1"/>
    <col min="5645" max="5645" width="18.6640625" style="2" customWidth="1"/>
    <col min="5646" max="5716" width="9.44140625" style="2" customWidth="1"/>
    <col min="5717" max="5888" width="8.88671875" style="2"/>
    <col min="5889" max="5889" width="27.44140625" style="2" customWidth="1"/>
    <col min="5890" max="5890" width="9.44140625" style="2" bestFit="1" customWidth="1"/>
    <col min="5891" max="5891" width="11.33203125" style="2" customWidth="1"/>
    <col min="5892" max="5892" width="9.5546875" style="2" bestFit="1" customWidth="1"/>
    <col min="5893" max="5893" width="12.6640625" style="2" customWidth="1"/>
    <col min="5894" max="5894" width="11.33203125" style="2" customWidth="1"/>
    <col min="5895" max="5895" width="10.6640625" style="2" customWidth="1"/>
    <col min="5896" max="5896" width="9.44140625" style="2" customWidth="1"/>
    <col min="5897" max="5897" width="11.33203125" style="2" customWidth="1"/>
    <col min="5898" max="5900" width="9.44140625" style="2" customWidth="1"/>
    <col min="5901" max="5901" width="18.6640625" style="2" customWidth="1"/>
    <col min="5902" max="5972" width="9.44140625" style="2" customWidth="1"/>
    <col min="5973" max="6144" width="8.88671875" style="2"/>
    <col min="6145" max="6145" width="27.44140625" style="2" customWidth="1"/>
    <col min="6146" max="6146" width="9.44140625" style="2" bestFit="1" customWidth="1"/>
    <col min="6147" max="6147" width="11.33203125" style="2" customWidth="1"/>
    <col min="6148" max="6148" width="9.5546875" style="2" bestFit="1" customWidth="1"/>
    <col min="6149" max="6149" width="12.6640625" style="2" customWidth="1"/>
    <col min="6150" max="6150" width="11.33203125" style="2" customWidth="1"/>
    <col min="6151" max="6151" width="10.6640625" style="2" customWidth="1"/>
    <col min="6152" max="6152" width="9.44140625" style="2" customWidth="1"/>
    <col min="6153" max="6153" width="11.33203125" style="2" customWidth="1"/>
    <col min="6154" max="6156" width="9.44140625" style="2" customWidth="1"/>
    <col min="6157" max="6157" width="18.6640625" style="2" customWidth="1"/>
    <col min="6158" max="6228" width="9.44140625" style="2" customWidth="1"/>
    <col min="6229" max="6400" width="8.88671875" style="2"/>
    <col min="6401" max="6401" width="27.44140625" style="2" customWidth="1"/>
    <col min="6402" max="6402" width="9.44140625" style="2" bestFit="1" customWidth="1"/>
    <col min="6403" max="6403" width="11.33203125" style="2" customWidth="1"/>
    <col min="6404" max="6404" width="9.5546875" style="2" bestFit="1" customWidth="1"/>
    <col min="6405" max="6405" width="12.6640625" style="2" customWidth="1"/>
    <col min="6406" max="6406" width="11.33203125" style="2" customWidth="1"/>
    <col min="6407" max="6407" width="10.6640625" style="2" customWidth="1"/>
    <col min="6408" max="6408" width="9.44140625" style="2" customWidth="1"/>
    <col min="6409" max="6409" width="11.33203125" style="2" customWidth="1"/>
    <col min="6410" max="6412" width="9.44140625" style="2" customWidth="1"/>
    <col min="6413" max="6413" width="18.6640625" style="2" customWidth="1"/>
    <col min="6414" max="6484" width="9.44140625" style="2" customWidth="1"/>
    <col min="6485" max="6656" width="8.88671875" style="2"/>
    <col min="6657" max="6657" width="27.44140625" style="2" customWidth="1"/>
    <col min="6658" max="6658" width="9.44140625" style="2" bestFit="1" customWidth="1"/>
    <col min="6659" max="6659" width="11.33203125" style="2" customWidth="1"/>
    <col min="6660" max="6660" width="9.5546875" style="2" bestFit="1" customWidth="1"/>
    <col min="6661" max="6661" width="12.6640625" style="2" customWidth="1"/>
    <col min="6662" max="6662" width="11.33203125" style="2" customWidth="1"/>
    <col min="6663" max="6663" width="10.6640625" style="2" customWidth="1"/>
    <col min="6664" max="6664" width="9.44140625" style="2" customWidth="1"/>
    <col min="6665" max="6665" width="11.33203125" style="2" customWidth="1"/>
    <col min="6666" max="6668" width="9.44140625" style="2" customWidth="1"/>
    <col min="6669" max="6669" width="18.6640625" style="2" customWidth="1"/>
    <col min="6670" max="6740" width="9.44140625" style="2" customWidth="1"/>
    <col min="6741" max="6912" width="8.88671875" style="2"/>
    <col min="6913" max="6913" width="27.44140625" style="2" customWidth="1"/>
    <col min="6914" max="6914" width="9.44140625" style="2" bestFit="1" customWidth="1"/>
    <col min="6915" max="6915" width="11.33203125" style="2" customWidth="1"/>
    <col min="6916" max="6916" width="9.5546875" style="2" bestFit="1" customWidth="1"/>
    <col min="6917" max="6917" width="12.6640625" style="2" customWidth="1"/>
    <col min="6918" max="6918" width="11.33203125" style="2" customWidth="1"/>
    <col min="6919" max="6919" width="10.6640625" style="2" customWidth="1"/>
    <col min="6920" max="6920" width="9.44140625" style="2" customWidth="1"/>
    <col min="6921" max="6921" width="11.33203125" style="2" customWidth="1"/>
    <col min="6922" max="6924" width="9.44140625" style="2" customWidth="1"/>
    <col min="6925" max="6925" width="18.6640625" style="2" customWidth="1"/>
    <col min="6926" max="6996" width="9.44140625" style="2" customWidth="1"/>
    <col min="6997" max="7168" width="8.88671875" style="2"/>
    <col min="7169" max="7169" width="27.44140625" style="2" customWidth="1"/>
    <col min="7170" max="7170" width="9.44140625" style="2" bestFit="1" customWidth="1"/>
    <col min="7171" max="7171" width="11.33203125" style="2" customWidth="1"/>
    <col min="7172" max="7172" width="9.5546875" style="2" bestFit="1" customWidth="1"/>
    <col min="7173" max="7173" width="12.6640625" style="2" customWidth="1"/>
    <col min="7174" max="7174" width="11.33203125" style="2" customWidth="1"/>
    <col min="7175" max="7175" width="10.6640625" style="2" customWidth="1"/>
    <col min="7176" max="7176" width="9.44140625" style="2" customWidth="1"/>
    <col min="7177" max="7177" width="11.33203125" style="2" customWidth="1"/>
    <col min="7178" max="7180" width="9.44140625" style="2" customWidth="1"/>
    <col min="7181" max="7181" width="18.6640625" style="2" customWidth="1"/>
    <col min="7182" max="7252" width="9.44140625" style="2" customWidth="1"/>
    <col min="7253" max="7424" width="8.88671875" style="2"/>
    <col min="7425" max="7425" width="27.44140625" style="2" customWidth="1"/>
    <col min="7426" max="7426" width="9.44140625" style="2" bestFit="1" customWidth="1"/>
    <col min="7427" max="7427" width="11.33203125" style="2" customWidth="1"/>
    <col min="7428" max="7428" width="9.5546875" style="2" bestFit="1" customWidth="1"/>
    <col min="7429" max="7429" width="12.6640625" style="2" customWidth="1"/>
    <col min="7430" max="7430" width="11.33203125" style="2" customWidth="1"/>
    <col min="7431" max="7431" width="10.6640625" style="2" customWidth="1"/>
    <col min="7432" max="7432" width="9.44140625" style="2" customWidth="1"/>
    <col min="7433" max="7433" width="11.33203125" style="2" customWidth="1"/>
    <col min="7434" max="7436" width="9.44140625" style="2" customWidth="1"/>
    <col min="7437" max="7437" width="18.6640625" style="2" customWidth="1"/>
    <col min="7438" max="7508" width="9.44140625" style="2" customWidth="1"/>
    <col min="7509" max="7680" width="8.88671875" style="2"/>
    <col min="7681" max="7681" width="27.44140625" style="2" customWidth="1"/>
    <col min="7682" max="7682" width="9.44140625" style="2" bestFit="1" customWidth="1"/>
    <col min="7683" max="7683" width="11.33203125" style="2" customWidth="1"/>
    <col min="7684" max="7684" width="9.5546875" style="2" bestFit="1" customWidth="1"/>
    <col min="7685" max="7685" width="12.6640625" style="2" customWidth="1"/>
    <col min="7686" max="7686" width="11.33203125" style="2" customWidth="1"/>
    <col min="7687" max="7687" width="10.6640625" style="2" customWidth="1"/>
    <col min="7688" max="7688" width="9.44140625" style="2" customWidth="1"/>
    <col min="7689" max="7689" width="11.33203125" style="2" customWidth="1"/>
    <col min="7690" max="7692" width="9.44140625" style="2" customWidth="1"/>
    <col min="7693" max="7693" width="18.6640625" style="2" customWidth="1"/>
    <col min="7694" max="7764" width="9.44140625" style="2" customWidth="1"/>
    <col min="7765" max="7936" width="8.88671875" style="2"/>
    <col min="7937" max="7937" width="27.44140625" style="2" customWidth="1"/>
    <col min="7938" max="7938" width="9.44140625" style="2" bestFit="1" customWidth="1"/>
    <col min="7939" max="7939" width="11.33203125" style="2" customWidth="1"/>
    <col min="7940" max="7940" width="9.5546875" style="2" bestFit="1" customWidth="1"/>
    <col min="7941" max="7941" width="12.6640625" style="2" customWidth="1"/>
    <col min="7942" max="7942" width="11.33203125" style="2" customWidth="1"/>
    <col min="7943" max="7943" width="10.6640625" style="2" customWidth="1"/>
    <col min="7944" max="7944" width="9.44140625" style="2" customWidth="1"/>
    <col min="7945" max="7945" width="11.33203125" style="2" customWidth="1"/>
    <col min="7946" max="7948" width="9.44140625" style="2" customWidth="1"/>
    <col min="7949" max="7949" width="18.6640625" style="2" customWidth="1"/>
    <col min="7950" max="8020" width="9.44140625" style="2" customWidth="1"/>
    <col min="8021" max="8192" width="8.88671875" style="2"/>
    <col min="8193" max="8193" width="27.44140625" style="2" customWidth="1"/>
    <col min="8194" max="8194" width="9.44140625" style="2" bestFit="1" customWidth="1"/>
    <col min="8195" max="8195" width="11.33203125" style="2" customWidth="1"/>
    <col min="8196" max="8196" width="9.5546875" style="2" bestFit="1" customWidth="1"/>
    <col min="8197" max="8197" width="12.6640625" style="2" customWidth="1"/>
    <col min="8198" max="8198" width="11.33203125" style="2" customWidth="1"/>
    <col min="8199" max="8199" width="10.6640625" style="2" customWidth="1"/>
    <col min="8200" max="8200" width="9.44140625" style="2" customWidth="1"/>
    <col min="8201" max="8201" width="11.33203125" style="2" customWidth="1"/>
    <col min="8202" max="8204" width="9.44140625" style="2" customWidth="1"/>
    <col min="8205" max="8205" width="18.6640625" style="2" customWidth="1"/>
    <col min="8206" max="8276" width="9.44140625" style="2" customWidth="1"/>
    <col min="8277" max="8448" width="8.88671875" style="2"/>
    <col min="8449" max="8449" width="27.44140625" style="2" customWidth="1"/>
    <col min="8450" max="8450" width="9.44140625" style="2" bestFit="1" customWidth="1"/>
    <col min="8451" max="8451" width="11.33203125" style="2" customWidth="1"/>
    <col min="8452" max="8452" width="9.5546875" style="2" bestFit="1" customWidth="1"/>
    <col min="8453" max="8453" width="12.6640625" style="2" customWidth="1"/>
    <col min="8454" max="8454" width="11.33203125" style="2" customWidth="1"/>
    <col min="8455" max="8455" width="10.6640625" style="2" customWidth="1"/>
    <col min="8456" max="8456" width="9.44140625" style="2" customWidth="1"/>
    <col min="8457" max="8457" width="11.33203125" style="2" customWidth="1"/>
    <col min="8458" max="8460" width="9.44140625" style="2" customWidth="1"/>
    <col min="8461" max="8461" width="18.6640625" style="2" customWidth="1"/>
    <col min="8462" max="8532" width="9.44140625" style="2" customWidth="1"/>
    <col min="8533" max="8704" width="8.88671875" style="2"/>
    <col min="8705" max="8705" width="27.44140625" style="2" customWidth="1"/>
    <col min="8706" max="8706" width="9.44140625" style="2" bestFit="1" customWidth="1"/>
    <col min="8707" max="8707" width="11.33203125" style="2" customWidth="1"/>
    <col min="8708" max="8708" width="9.5546875" style="2" bestFit="1" customWidth="1"/>
    <col min="8709" max="8709" width="12.6640625" style="2" customWidth="1"/>
    <col min="8710" max="8710" width="11.33203125" style="2" customWidth="1"/>
    <col min="8711" max="8711" width="10.6640625" style="2" customWidth="1"/>
    <col min="8712" max="8712" width="9.44140625" style="2" customWidth="1"/>
    <col min="8713" max="8713" width="11.33203125" style="2" customWidth="1"/>
    <col min="8714" max="8716" width="9.44140625" style="2" customWidth="1"/>
    <col min="8717" max="8717" width="18.6640625" style="2" customWidth="1"/>
    <col min="8718" max="8788" width="9.44140625" style="2" customWidth="1"/>
    <col min="8789" max="8960" width="8.88671875" style="2"/>
    <col min="8961" max="8961" width="27.44140625" style="2" customWidth="1"/>
    <col min="8962" max="8962" width="9.44140625" style="2" bestFit="1" customWidth="1"/>
    <col min="8963" max="8963" width="11.33203125" style="2" customWidth="1"/>
    <col min="8964" max="8964" width="9.5546875" style="2" bestFit="1" customWidth="1"/>
    <col min="8965" max="8965" width="12.6640625" style="2" customWidth="1"/>
    <col min="8966" max="8966" width="11.33203125" style="2" customWidth="1"/>
    <col min="8967" max="8967" width="10.6640625" style="2" customWidth="1"/>
    <col min="8968" max="8968" width="9.44140625" style="2" customWidth="1"/>
    <col min="8969" max="8969" width="11.33203125" style="2" customWidth="1"/>
    <col min="8970" max="8972" width="9.44140625" style="2" customWidth="1"/>
    <col min="8973" max="8973" width="18.6640625" style="2" customWidth="1"/>
    <col min="8974" max="9044" width="9.44140625" style="2" customWidth="1"/>
    <col min="9045" max="9216" width="8.88671875" style="2"/>
    <col min="9217" max="9217" width="27.44140625" style="2" customWidth="1"/>
    <col min="9218" max="9218" width="9.44140625" style="2" bestFit="1" customWidth="1"/>
    <col min="9219" max="9219" width="11.33203125" style="2" customWidth="1"/>
    <col min="9220" max="9220" width="9.5546875" style="2" bestFit="1" customWidth="1"/>
    <col min="9221" max="9221" width="12.6640625" style="2" customWidth="1"/>
    <col min="9222" max="9222" width="11.33203125" style="2" customWidth="1"/>
    <col min="9223" max="9223" width="10.6640625" style="2" customWidth="1"/>
    <col min="9224" max="9224" width="9.44140625" style="2" customWidth="1"/>
    <col min="9225" max="9225" width="11.33203125" style="2" customWidth="1"/>
    <col min="9226" max="9228" width="9.44140625" style="2" customWidth="1"/>
    <col min="9229" max="9229" width="18.6640625" style="2" customWidth="1"/>
    <col min="9230" max="9300" width="9.44140625" style="2" customWidth="1"/>
    <col min="9301" max="9472" width="8.88671875" style="2"/>
    <col min="9473" max="9473" width="27.44140625" style="2" customWidth="1"/>
    <col min="9474" max="9474" width="9.44140625" style="2" bestFit="1" customWidth="1"/>
    <col min="9475" max="9475" width="11.33203125" style="2" customWidth="1"/>
    <col min="9476" max="9476" width="9.5546875" style="2" bestFit="1" customWidth="1"/>
    <col min="9477" max="9477" width="12.6640625" style="2" customWidth="1"/>
    <col min="9478" max="9478" width="11.33203125" style="2" customWidth="1"/>
    <col min="9479" max="9479" width="10.6640625" style="2" customWidth="1"/>
    <col min="9480" max="9480" width="9.44140625" style="2" customWidth="1"/>
    <col min="9481" max="9481" width="11.33203125" style="2" customWidth="1"/>
    <col min="9482" max="9484" width="9.44140625" style="2" customWidth="1"/>
    <col min="9485" max="9485" width="18.6640625" style="2" customWidth="1"/>
    <col min="9486" max="9556" width="9.44140625" style="2" customWidth="1"/>
    <col min="9557" max="9728" width="8.88671875" style="2"/>
    <col min="9729" max="9729" width="27.44140625" style="2" customWidth="1"/>
    <col min="9730" max="9730" width="9.44140625" style="2" bestFit="1" customWidth="1"/>
    <col min="9731" max="9731" width="11.33203125" style="2" customWidth="1"/>
    <col min="9732" max="9732" width="9.5546875" style="2" bestFit="1" customWidth="1"/>
    <col min="9733" max="9733" width="12.6640625" style="2" customWidth="1"/>
    <col min="9734" max="9734" width="11.33203125" style="2" customWidth="1"/>
    <col min="9735" max="9735" width="10.6640625" style="2" customWidth="1"/>
    <col min="9736" max="9736" width="9.44140625" style="2" customWidth="1"/>
    <col min="9737" max="9737" width="11.33203125" style="2" customWidth="1"/>
    <col min="9738" max="9740" width="9.44140625" style="2" customWidth="1"/>
    <col min="9741" max="9741" width="18.6640625" style="2" customWidth="1"/>
    <col min="9742" max="9812" width="9.44140625" style="2" customWidth="1"/>
    <col min="9813" max="9984" width="8.88671875" style="2"/>
    <col min="9985" max="9985" width="27.44140625" style="2" customWidth="1"/>
    <col min="9986" max="9986" width="9.44140625" style="2" bestFit="1" customWidth="1"/>
    <col min="9987" max="9987" width="11.33203125" style="2" customWidth="1"/>
    <col min="9988" max="9988" width="9.5546875" style="2" bestFit="1" customWidth="1"/>
    <col min="9989" max="9989" width="12.6640625" style="2" customWidth="1"/>
    <col min="9990" max="9990" width="11.33203125" style="2" customWidth="1"/>
    <col min="9991" max="9991" width="10.6640625" style="2" customWidth="1"/>
    <col min="9992" max="9992" width="9.44140625" style="2" customWidth="1"/>
    <col min="9993" max="9993" width="11.33203125" style="2" customWidth="1"/>
    <col min="9994" max="9996" width="9.44140625" style="2" customWidth="1"/>
    <col min="9997" max="9997" width="18.6640625" style="2" customWidth="1"/>
    <col min="9998" max="10068" width="9.44140625" style="2" customWidth="1"/>
    <col min="10069" max="10240" width="8.88671875" style="2"/>
    <col min="10241" max="10241" width="27.44140625" style="2" customWidth="1"/>
    <col min="10242" max="10242" width="9.44140625" style="2" bestFit="1" customWidth="1"/>
    <col min="10243" max="10243" width="11.33203125" style="2" customWidth="1"/>
    <col min="10244" max="10244" width="9.5546875" style="2" bestFit="1" customWidth="1"/>
    <col min="10245" max="10245" width="12.6640625" style="2" customWidth="1"/>
    <col min="10246" max="10246" width="11.33203125" style="2" customWidth="1"/>
    <col min="10247" max="10247" width="10.6640625" style="2" customWidth="1"/>
    <col min="10248" max="10248" width="9.44140625" style="2" customWidth="1"/>
    <col min="10249" max="10249" width="11.33203125" style="2" customWidth="1"/>
    <col min="10250" max="10252" width="9.44140625" style="2" customWidth="1"/>
    <col min="10253" max="10253" width="18.6640625" style="2" customWidth="1"/>
    <col min="10254" max="10324" width="9.44140625" style="2" customWidth="1"/>
    <col min="10325" max="10496" width="8.88671875" style="2"/>
    <col min="10497" max="10497" width="27.44140625" style="2" customWidth="1"/>
    <col min="10498" max="10498" width="9.44140625" style="2" bestFit="1" customWidth="1"/>
    <col min="10499" max="10499" width="11.33203125" style="2" customWidth="1"/>
    <col min="10500" max="10500" width="9.5546875" style="2" bestFit="1" customWidth="1"/>
    <col min="10501" max="10501" width="12.6640625" style="2" customWidth="1"/>
    <col min="10502" max="10502" width="11.33203125" style="2" customWidth="1"/>
    <col min="10503" max="10503" width="10.6640625" style="2" customWidth="1"/>
    <col min="10504" max="10504" width="9.44140625" style="2" customWidth="1"/>
    <col min="10505" max="10505" width="11.33203125" style="2" customWidth="1"/>
    <col min="10506" max="10508" width="9.44140625" style="2" customWidth="1"/>
    <col min="10509" max="10509" width="18.6640625" style="2" customWidth="1"/>
    <col min="10510" max="10580" width="9.44140625" style="2" customWidth="1"/>
    <col min="10581" max="10752" width="8.88671875" style="2"/>
    <col min="10753" max="10753" width="27.44140625" style="2" customWidth="1"/>
    <col min="10754" max="10754" width="9.44140625" style="2" bestFit="1" customWidth="1"/>
    <col min="10755" max="10755" width="11.33203125" style="2" customWidth="1"/>
    <col min="10756" max="10756" width="9.5546875" style="2" bestFit="1" customWidth="1"/>
    <col min="10757" max="10757" width="12.6640625" style="2" customWidth="1"/>
    <col min="10758" max="10758" width="11.33203125" style="2" customWidth="1"/>
    <col min="10759" max="10759" width="10.6640625" style="2" customWidth="1"/>
    <col min="10760" max="10760" width="9.44140625" style="2" customWidth="1"/>
    <col min="10761" max="10761" width="11.33203125" style="2" customWidth="1"/>
    <col min="10762" max="10764" width="9.44140625" style="2" customWidth="1"/>
    <col min="10765" max="10765" width="18.6640625" style="2" customWidth="1"/>
    <col min="10766" max="10836" width="9.44140625" style="2" customWidth="1"/>
    <col min="10837" max="11008" width="8.88671875" style="2"/>
    <col min="11009" max="11009" width="27.44140625" style="2" customWidth="1"/>
    <col min="11010" max="11010" width="9.44140625" style="2" bestFit="1" customWidth="1"/>
    <col min="11011" max="11011" width="11.33203125" style="2" customWidth="1"/>
    <col min="11012" max="11012" width="9.5546875" style="2" bestFit="1" customWidth="1"/>
    <col min="11013" max="11013" width="12.6640625" style="2" customWidth="1"/>
    <col min="11014" max="11014" width="11.33203125" style="2" customWidth="1"/>
    <col min="11015" max="11015" width="10.6640625" style="2" customWidth="1"/>
    <col min="11016" max="11016" width="9.44140625" style="2" customWidth="1"/>
    <col min="11017" max="11017" width="11.33203125" style="2" customWidth="1"/>
    <col min="11018" max="11020" width="9.44140625" style="2" customWidth="1"/>
    <col min="11021" max="11021" width="18.6640625" style="2" customWidth="1"/>
    <col min="11022" max="11092" width="9.44140625" style="2" customWidth="1"/>
    <col min="11093" max="11264" width="8.88671875" style="2"/>
    <col min="11265" max="11265" width="27.44140625" style="2" customWidth="1"/>
    <col min="11266" max="11266" width="9.44140625" style="2" bestFit="1" customWidth="1"/>
    <col min="11267" max="11267" width="11.33203125" style="2" customWidth="1"/>
    <col min="11268" max="11268" width="9.5546875" style="2" bestFit="1" customWidth="1"/>
    <col min="11269" max="11269" width="12.6640625" style="2" customWidth="1"/>
    <col min="11270" max="11270" width="11.33203125" style="2" customWidth="1"/>
    <col min="11271" max="11271" width="10.6640625" style="2" customWidth="1"/>
    <col min="11272" max="11272" width="9.44140625" style="2" customWidth="1"/>
    <col min="11273" max="11273" width="11.33203125" style="2" customWidth="1"/>
    <col min="11274" max="11276" width="9.44140625" style="2" customWidth="1"/>
    <col min="11277" max="11277" width="18.6640625" style="2" customWidth="1"/>
    <col min="11278" max="11348" width="9.44140625" style="2" customWidth="1"/>
    <col min="11349" max="11520" width="8.88671875" style="2"/>
    <col min="11521" max="11521" width="27.44140625" style="2" customWidth="1"/>
    <col min="11522" max="11522" width="9.44140625" style="2" bestFit="1" customWidth="1"/>
    <col min="11523" max="11523" width="11.33203125" style="2" customWidth="1"/>
    <col min="11524" max="11524" width="9.5546875" style="2" bestFit="1" customWidth="1"/>
    <col min="11525" max="11525" width="12.6640625" style="2" customWidth="1"/>
    <col min="11526" max="11526" width="11.33203125" style="2" customWidth="1"/>
    <col min="11527" max="11527" width="10.6640625" style="2" customWidth="1"/>
    <col min="11528" max="11528" width="9.44140625" style="2" customWidth="1"/>
    <col min="11529" max="11529" width="11.33203125" style="2" customWidth="1"/>
    <col min="11530" max="11532" width="9.44140625" style="2" customWidth="1"/>
    <col min="11533" max="11533" width="18.6640625" style="2" customWidth="1"/>
    <col min="11534" max="11604" width="9.44140625" style="2" customWidth="1"/>
    <col min="11605" max="11776" width="8.88671875" style="2"/>
    <col min="11777" max="11777" width="27.44140625" style="2" customWidth="1"/>
    <col min="11778" max="11778" width="9.44140625" style="2" bestFit="1" customWidth="1"/>
    <col min="11779" max="11779" width="11.33203125" style="2" customWidth="1"/>
    <col min="11780" max="11780" width="9.5546875" style="2" bestFit="1" customWidth="1"/>
    <col min="11781" max="11781" width="12.6640625" style="2" customWidth="1"/>
    <col min="11782" max="11782" width="11.33203125" style="2" customWidth="1"/>
    <col min="11783" max="11783" width="10.6640625" style="2" customWidth="1"/>
    <col min="11784" max="11784" width="9.44140625" style="2" customWidth="1"/>
    <col min="11785" max="11785" width="11.33203125" style="2" customWidth="1"/>
    <col min="11786" max="11788" width="9.44140625" style="2" customWidth="1"/>
    <col min="11789" max="11789" width="18.6640625" style="2" customWidth="1"/>
    <col min="11790" max="11860" width="9.44140625" style="2" customWidth="1"/>
    <col min="11861" max="12032" width="8.88671875" style="2"/>
    <col min="12033" max="12033" width="27.44140625" style="2" customWidth="1"/>
    <col min="12034" max="12034" width="9.44140625" style="2" bestFit="1" customWidth="1"/>
    <col min="12035" max="12035" width="11.33203125" style="2" customWidth="1"/>
    <col min="12036" max="12036" width="9.5546875" style="2" bestFit="1" customWidth="1"/>
    <col min="12037" max="12037" width="12.6640625" style="2" customWidth="1"/>
    <col min="12038" max="12038" width="11.33203125" style="2" customWidth="1"/>
    <col min="12039" max="12039" width="10.6640625" style="2" customWidth="1"/>
    <col min="12040" max="12040" width="9.44140625" style="2" customWidth="1"/>
    <col min="12041" max="12041" width="11.33203125" style="2" customWidth="1"/>
    <col min="12042" max="12044" width="9.44140625" style="2" customWidth="1"/>
    <col min="12045" max="12045" width="18.6640625" style="2" customWidth="1"/>
    <col min="12046" max="12116" width="9.44140625" style="2" customWidth="1"/>
    <col min="12117" max="12288" width="8.88671875" style="2"/>
    <col min="12289" max="12289" width="27.44140625" style="2" customWidth="1"/>
    <col min="12290" max="12290" width="9.44140625" style="2" bestFit="1" customWidth="1"/>
    <col min="12291" max="12291" width="11.33203125" style="2" customWidth="1"/>
    <col min="12292" max="12292" width="9.5546875" style="2" bestFit="1" customWidth="1"/>
    <col min="12293" max="12293" width="12.6640625" style="2" customWidth="1"/>
    <col min="12294" max="12294" width="11.33203125" style="2" customWidth="1"/>
    <col min="12295" max="12295" width="10.6640625" style="2" customWidth="1"/>
    <col min="12296" max="12296" width="9.44140625" style="2" customWidth="1"/>
    <col min="12297" max="12297" width="11.33203125" style="2" customWidth="1"/>
    <col min="12298" max="12300" width="9.44140625" style="2" customWidth="1"/>
    <col min="12301" max="12301" width="18.6640625" style="2" customWidth="1"/>
    <col min="12302" max="12372" width="9.44140625" style="2" customWidth="1"/>
    <col min="12373" max="12544" width="8.88671875" style="2"/>
    <col min="12545" max="12545" width="27.44140625" style="2" customWidth="1"/>
    <col min="12546" max="12546" width="9.44140625" style="2" bestFit="1" customWidth="1"/>
    <col min="12547" max="12547" width="11.33203125" style="2" customWidth="1"/>
    <col min="12548" max="12548" width="9.5546875" style="2" bestFit="1" customWidth="1"/>
    <col min="12549" max="12549" width="12.6640625" style="2" customWidth="1"/>
    <col min="12550" max="12550" width="11.33203125" style="2" customWidth="1"/>
    <col min="12551" max="12551" width="10.6640625" style="2" customWidth="1"/>
    <col min="12552" max="12552" width="9.44140625" style="2" customWidth="1"/>
    <col min="12553" max="12553" width="11.33203125" style="2" customWidth="1"/>
    <col min="12554" max="12556" width="9.44140625" style="2" customWidth="1"/>
    <col min="12557" max="12557" width="18.6640625" style="2" customWidth="1"/>
    <col min="12558" max="12628" width="9.44140625" style="2" customWidth="1"/>
    <col min="12629" max="12800" width="8.88671875" style="2"/>
    <col min="12801" max="12801" width="27.44140625" style="2" customWidth="1"/>
    <col min="12802" max="12802" width="9.44140625" style="2" bestFit="1" customWidth="1"/>
    <col min="12803" max="12803" width="11.33203125" style="2" customWidth="1"/>
    <col min="12804" max="12804" width="9.5546875" style="2" bestFit="1" customWidth="1"/>
    <col min="12805" max="12805" width="12.6640625" style="2" customWidth="1"/>
    <col min="12806" max="12806" width="11.33203125" style="2" customWidth="1"/>
    <col min="12807" max="12807" width="10.6640625" style="2" customWidth="1"/>
    <col min="12808" max="12808" width="9.44140625" style="2" customWidth="1"/>
    <col min="12809" max="12809" width="11.33203125" style="2" customWidth="1"/>
    <col min="12810" max="12812" width="9.44140625" style="2" customWidth="1"/>
    <col min="12813" max="12813" width="18.6640625" style="2" customWidth="1"/>
    <col min="12814" max="12884" width="9.44140625" style="2" customWidth="1"/>
    <col min="12885" max="13056" width="8.88671875" style="2"/>
    <col min="13057" max="13057" width="27.44140625" style="2" customWidth="1"/>
    <col min="13058" max="13058" width="9.44140625" style="2" bestFit="1" customWidth="1"/>
    <col min="13059" max="13059" width="11.33203125" style="2" customWidth="1"/>
    <col min="13060" max="13060" width="9.5546875" style="2" bestFit="1" customWidth="1"/>
    <col min="13061" max="13061" width="12.6640625" style="2" customWidth="1"/>
    <col min="13062" max="13062" width="11.33203125" style="2" customWidth="1"/>
    <col min="13063" max="13063" width="10.6640625" style="2" customWidth="1"/>
    <col min="13064" max="13064" width="9.44140625" style="2" customWidth="1"/>
    <col min="13065" max="13065" width="11.33203125" style="2" customWidth="1"/>
    <col min="13066" max="13068" width="9.44140625" style="2" customWidth="1"/>
    <col min="13069" max="13069" width="18.6640625" style="2" customWidth="1"/>
    <col min="13070" max="13140" width="9.44140625" style="2" customWidth="1"/>
    <col min="13141" max="13312" width="8.88671875" style="2"/>
    <col min="13313" max="13313" width="27.44140625" style="2" customWidth="1"/>
    <col min="13314" max="13314" width="9.44140625" style="2" bestFit="1" customWidth="1"/>
    <col min="13315" max="13315" width="11.33203125" style="2" customWidth="1"/>
    <col min="13316" max="13316" width="9.5546875" style="2" bestFit="1" customWidth="1"/>
    <col min="13317" max="13317" width="12.6640625" style="2" customWidth="1"/>
    <col min="13318" max="13318" width="11.33203125" style="2" customWidth="1"/>
    <col min="13319" max="13319" width="10.6640625" style="2" customWidth="1"/>
    <col min="13320" max="13320" width="9.44140625" style="2" customWidth="1"/>
    <col min="13321" max="13321" width="11.33203125" style="2" customWidth="1"/>
    <col min="13322" max="13324" width="9.44140625" style="2" customWidth="1"/>
    <col min="13325" max="13325" width="18.6640625" style="2" customWidth="1"/>
    <col min="13326" max="13396" width="9.44140625" style="2" customWidth="1"/>
    <col min="13397" max="13568" width="8.88671875" style="2"/>
    <col min="13569" max="13569" width="27.44140625" style="2" customWidth="1"/>
    <col min="13570" max="13570" width="9.44140625" style="2" bestFit="1" customWidth="1"/>
    <col min="13571" max="13571" width="11.33203125" style="2" customWidth="1"/>
    <col min="13572" max="13572" width="9.5546875" style="2" bestFit="1" customWidth="1"/>
    <col min="13573" max="13573" width="12.6640625" style="2" customWidth="1"/>
    <col min="13574" max="13574" width="11.33203125" style="2" customWidth="1"/>
    <col min="13575" max="13575" width="10.6640625" style="2" customWidth="1"/>
    <col min="13576" max="13576" width="9.44140625" style="2" customWidth="1"/>
    <col min="13577" max="13577" width="11.33203125" style="2" customWidth="1"/>
    <col min="13578" max="13580" width="9.44140625" style="2" customWidth="1"/>
    <col min="13581" max="13581" width="18.6640625" style="2" customWidth="1"/>
    <col min="13582" max="13652" width="9.44140625" style="2" customWidth="1"/>
    <col min="13653" max="13824" width="8.88671875" style="2"/>
    <col min="13825" max="13825" width="27.44140625" style="2" customWidth="1"/>
    <col min="13826" max="13826" width="9.44140625" style="2" bestFit="1" customWidth="1"/>
    <col min="13827" max="13827" width="11.33203125" style="2" customWidth="1"/>
    <col min="13828" max="13828" width="9.5546875" style="2" bestFit="1" customWidth="1"/>
    <col min="13829" max="13829" width="12.6640625" style="2" customWidth="1"/>
    <col min="13830" max="13830" width="11.33203125" style="2" customWidth="1"/>
    <col min="13831" max="13831" width="10.6640625" style="2" customWidth="1"/>
    <col min="13832" max="13832" width="9.44140625" style="2" customWidth="1"/>
    <col min="13833" max="13833" width="11.33203125" style="2" customWidth="1"/>
    <col min="13834" max="13836" width="9.44140625" style="2" customWidth="1"/>
    <col min="13837" max="13837" width="18.6640625" style="2" customWidth="1"/>
    <col min="13838" max="13908" width="9.44140625" style="2" customWidth="1"/>
    <col min="13909" max="14080" width="8.88671875" style="2"/>
    <col min="14081" max="14081" width="27.44140625" style="2" customWidth="1"/>
    <col min="14082" max="14082" width="9.44140625" style="2" bestFit="1" customWidth="1"/>
    <col min="14083" max="14083" width="11.33203125" style="2" customWidth="1"/>
    <col min="14084" max="14084" width="9.5546875" style="2" bestFit="1" customWidth="1"/>
    <col min="14085" max="14085" width="12.6640625" style="2" customWidth="1"/>
    <col min="14086" max="14086" width="11.33203125" style="2" customWidth="1"/>
    <col min="14087" max="14087" width="10.6640625" style="2" customWidth="1"/>
    <col min="14088" max="14088" width="9.44140625" style="2" customWidth="1"/>
    <col min="14089" max="14089" width="11.33203125" style="2" customWidth="1"/>
    <col min="14090" max="14092" width="9.44140625" style="2" customWidth="1"/>
    <col min="14093" max="14093" width="18.6640625" style="2" customWidth="1"/>
    <col min="14094" max="14164" width="9.44140625" style="2" customWidth="1"/>
    <col min="14165" max="14336" width="8.88671875" style="2"/>
    <col min="14337" max="14337" width="27.44140625" style="2" customWidth="1"/>
    <col min="14338" max="14338" width="9.44140625" style="2" bestFit="1" customWidth="1"/>
    <col min="14339" max="14339" width="11.33203125" style="2" customWidth="1"/>
    <col min="14340" max="14340" width="9.5546875" style="2" bestFit="1" customWidth="1"/>
    <col min="14341" max="14341" width="12.6640625" style="2" customWidth="1"/>
    <col min="14342" max="14342" width="11.33203125" style="2" customWidth="1"/>
    <col min="14343" max="14343" width="10.6640625" style="2" customWidth="1"/>
    <col min="14344" max="14344" width="9.44140625" style="2" customWidth="1"/>
    <col min="14345" max="14345" width="11.33203125" style="2" customWidth="1"/>
    <col min="14346" max="14348" width="9.44140625" style="2" customWidth="1"/>
    <col min="14349" max="14349" width="18.6640625" style="2" customWidth="1"/>
    <col min="14350" max="14420" width="9.44140625" style="2" customWidth="1"/>
    <col min="14421" max="14592" width="8.88671875" style="2"/>
    <col min="14593" max="14593" width="27.44140625" style="2" customWidth="1"/>
    <col min="14594" max="14594" width="9.44140625" style="2" bestFit="1" customWidth="1"/>
    <col min="14595" max="14595" width="11.33203125" style="2" customWidth="1"/>
    <col min="14596" max="14596" width="9.5546875" style="2" bestFit="1" customWidth="1"/>
    <col min="14597" max="14597" width="12.6640625" style="2" customWidth="1"/>
    <col min="14598" max="14598" width="11.33203125" style="2" customWidth="1"/>
    <col min="14599" max="14599" width="10.6640625" style="2" customWidth="1"/>
    <col min="14600" max="14600" width="9.44140625" style="2" customWidth="1"/>
    <col min="14601" max="14601" width="11.33203125" style="2" customWidth="1"/>
    <col min="14602" max="14604" width="9.44140625" style="2" customWidth="1"/>
    <col min="14605" max="14605" width="18.6640625" style="2" customWidth="1"/>
    <col min="14606" max="14676" width="9.44140625" style="2" customWidth="1"/>
    <col min="14677" max="14848" width="8.88671875" style="2"/>
    <col min="14849" max="14849" width="27.44140625" style="2" customWidth="1"/>
    <col min="14850" max="14850" width="9.44140625" style="2" bestFit="1" customWidth="1"/>
    <col min="14851" max="14851" width="11.33203125" style="2" customWidth="1"/>
    <col min="14852" max="14852" width="9.5546875" style="2" bestFit="1" customWidth="1"/>
    <col min="14853" max="14853" width="12.6640625" style="2" customWidth="1"/>
    <col min="14854" max="14854" width="11.33203125" style="2" customWidth="1"/>
    <col min="14855" max="14855" width="10.6640625" style="2" customWidth="1"/>
    <col min="14856" max="14856" width="9.44140625" style="2" customWidth="1"/>
    <col min="14857" max="14857" width="11.33203125" style="2" customWidth="1"/>
    <col min="14858" max="14860" width="9.44140625" style="2" customWidth="1"/>
    <col min="14861" max="14861" width="18.6640625" style="2" customWidth="1"/>
    <col min="14862" max="14932" width="9.44140625" style="2" customWidth="1"/>
    <col min="14933" max="15104" width="8.88671875" style="2"/>
    <col min="15105" max="15105" width="27.44140625" style="2" customWidth="1"/>
    <col min="15106" max="15106" width="9.44140625" style="2" bestFit="1" customWidth="1"/>
    <col min="15107" max="15107" width="11.33203125" style="2" customWidth="1"/>
    <col min="15108" max="15108" width="9.5546875" style="2" bestFit="1" customWidth="1"/>
    <col min="15109" max="15109" width="12.6640625" style="2" customWidth="1"/>
    <col min="15110" max="15110" width="11.33203125" style="2" customWidth="1"/>
    <col min="15111" max="15111" width="10.6640625" style="2" customWidth="1"/>
    <col min="15112" max="15112" width="9.44140625" style="2" customWidth="1"/>
    <col min="15113" max="15113" width="11.33203125" style="2" customWidth="1"/>
    <col min="15114" max="15116" width="9.44140625" style="2" customWidth="1"/>
    <col min="15117" max="15117" width="18.6640625" style="2" customWidth="1"/>
    <col min="15118" max="15188" width="9.44140625" style="2" customWidth="1"/>
    <col min="15189" max="15360" width="8.88671875" style="2"/>
    <col min="15361" max="15361" width="27.44140625" style="2" customWidth="1"/>
    <col min="15362" max="15362" width="9.44140625" style="2" bestFit="1" customWidth="1"/>
    <col min="15363" max="15363" width="11.33203125" style="2" customWidth="1"/>
    <col min="15364" max="15364" width="9.5546875" style="2" bestFit="1" customWidth="1"/>
    <col min="15365" max="15365" width="12.6640625" style="2" customWidth="1"/>
    <col min="15366" max="15366" width="11.33203125" style="2" customWidth="1"/>
    <col min="15367" max="15367" width="10.6640625" style="2" customWidth="1"/>
    <col min="15368" max="15368" width="9.44140625" style="2" customWidth="1"/>
    <col min="15369" max="15369" width="11.33203125" style="2" customWidth="1"/>
    <col min="15370" max="15372" width="9.44140625" style="2" customWidth="1"/>
    <col min="15373" max="15373" width="18.6640625" style="2" customWidth="1"/>
    <col min="15374" max="15444" width="9.44140625" style="2" customWidth="1"/>
    <col min="15445" max="15616" width="8.88671875" style="2"/>
    <col min="15617" max="15617" width="27.44140625" style="2" customWidth="1"/>
    <col min="15618" max="15618" width="9.44140625" style="2" bestFit="1" customWidth="1"/>
    <col min="15619" max="15619" width="11.33203125" style="2" customWidth="1"/>
    <col min="15620" max="15620" width="9.5546875" style="2" bestFit="1" customWidth="1"/>
    <col min="15621" max="15621" width="12.6640625" style="2" customWidth="1"/>
    <col min="15622" max="15622" width="11.33203125" style="2" customWidth="1"/>
    <col min="15623" max="15623" width="10.6640625" style="2" customWidth="1"/>
    <col min="15624" max="15624" width="9.44140625" style="2" customWidth="1"/>
    <col min="15625" max="15625" width="11.33203125" style="2" customWidth="1"/>
    <col min="15626" max="15628" width="9.44140625" style="2" customWidth="1"/>
    <col min="15629" max="15629" width="18.6640625" style="2" customWidth="1"/>
    <col min="15630" max="15700" width="9.44140625" style="2" customWidth="1"/>
    <col min="15701" max="15872" width="8.88671875" style="2"/>
    <col min="15873" max="15873" width="27.44140625" style="2" customWidth="1"/>
    <col min="15874" max="15874" width="9.44140625" style="2" bestFit="1" customWidth="1"/>
    <col min="15875" max="15875" width="11.33203125" style="2" customWidth="1"/>
    <col min="15876" max="15876" width="9.5546875" style="2" bestFit="1" customWidth="1"/>
    <col min="15877" max="15877" width="12.6640625" style="2" customWidth="1"/>
    <col min="15878" max="15878" width="11.33203125" style="2" customWidth="1"/>
    <col min="15879" max="15879" width="10.6640625" style="2" customWidth="1"/>
    <col min="15880" max="15880" width="9.44140625" style="2" customWidth="1"/>
    <col min="15881" max="15881" width="11.33203125" style="2" customWidth="1"/>
    <col min="15882" max="15884" width="9.44140625" style="2" customWidth="1"/>
    <col min="15885" max="15885" width="18.6640625" style="2" customWidth="1"/>
    <col min="15886" max="15956" width="9.44140625" style="2" customWidth="1"/>
    <col min="15957" max="16128" width="8.88671875" style="2"/>
    <col min="16129" max="16129" width="27.44140625" style="2" customWidth="1"/>
    <col min="16130" max="16130" width="9.44140625" style="2" bestFit="1" customWidth="1"/>
    <col min="16131" max="16131" width="11.33203125" style="2" customWidth="1"/>
    <col min="16132" max="16132" width="9.5546875" style="2" bestFit="1" customWidth="1"/>
    <col min="16133" max="16133" width="12.6640625" style="2" customWidth="1"/>
    <col min="16134" max="16134" width="11.33203125" style="2" customWidth="1"/>
    <col min="16135" max="16135" width="10.6640625" style="2" customWidth="1"/>
    <col min="16136" max="16136" width="9.44140625" style="2" customWidth="1"/>
    <col min="16137" max="16137" width="11.33203125" style="2" customWidth="1"/>
    <col min="16138" max="16140" width="9.44140625" style="2" customWidth="1"/>
    <col min="16141" max="16141" width="18.6640625" style="2" customWidth="1"/>
    <col min="16142" max="16212" width="9.44140625" style="2" customWidth="1"/>
    <col min="16213" max="16384" width="8.88671875" style="2"/>
  </cols>
  <sheetData>
    <row r="1" spans="1:14" ht="58.95" customHeight="1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4" x14ac:dyDescent="0.25">
      <c r="A2" s="2" t="s">
        <v>1</v>
      </c>
      <c r="B2" s="3">
        <v>0.76749999999999996</v>
      </c>
      <c r="G2" s="4" t="s">
        <v>2</v>
      </c>
      <c r="H2" s="4"/>
      <c r="I2" s="4"/>
      <c r="J2" s="4" t="s">
        <v>3</v>
      </c>
    </row>
    <row r="3" spans="1:14" x14ac:dyDescent="0.25">
      <c r="A3" s="2" t="s">
        <v>4</v>
      </c>
      <c r="B3" s="3">
        <v>0.1055</v>
      </c>
      <c r="E3" s="5" t="s">
        <v>5</v>
      </c>
      <c r="F3" s="6" t="s">
        <v>6</v>
      </c>
      <c r="G3" s="3">
        <f t="shared" ref="G3:G9" si="0">$B$3/2</f>
        <v>5.2749999999999998E-2</v>
      </c>
      <c r="I3" s="5" t="s">
        <v>5</v>
      </c>
      <c r="J3" s="3">
        <f t="shared" ref="J3:J9" si="1">1+G3</f>
        <v>1.0527500000000001</v>
      </c>
      <c r="M3" s="7" t="s">
        <v>7</v>
      </c>
    </row>
    <row r="4" spans="1:14" x14ac:dyDescent="0.25">
      <c r="A4" s="2" t="s">
        <v>8</v>
      </c>
      <c r="B4" s="3">
        <f>B2+N8</f>
        <v>0.80390896739130435</v>
      </c>
      <c r="C4" s="2" t="str">
        <f ca="1">[3]!getformula(B4)</f>
        <v>&lt;--  =B2+N8</v>
      </c>
      <c r="E4" s="5" t="s">
        <v>9</v>
      </c>
      <c r="F4" s="6" t="s">
        <v>10</v>
      </c>
      <c r="G4" s="3">
        <f t="shared" si="0"/>
        <v>5.2749999999999998E-2</v>
      </c>
      <c r="I4" s="5" t="s">
        <v>9</v>
      </c>
      <c r="J4" s="3">
        <f t="shared" si="1"/>
        <v>1.0527500000000001</v>
      </c>
      <c r="M4" s="2" t="s">
        <v>11</v>
      </c>
      <c r="N4" s="8">
        <v>38426</v>
      </c>
    </row>
    <row r="5" spans="1:14" x14ac:dyDescent="0.25">
      <c r="A5" s="2" t="s">
        <v>12</v>
      </c>
      <c r="B5" s="3">
        <v>0.5</v>
      </c>
      <c r="E5" s="5" t="s">
        <v>13</v>
      </c>
      <c r="F5" s="6" t="s">
        <v>14</v>
      </c>
      <c r="G5" s="3">
        <f t="shared" si="0"/>
        <v>5.2749999999999998E-2</v>
      </c>
      <c r="I5" s="5" t="s">
        <v>13</v>
      </c>
      <c r="J5" s="3">
        <f t="shared" si="1"/>
        <v>1.0527500000000001</v>
      </c>
      <c r="M5" s="2" t="s">
        <v>15</v>
      </c>
      <c r="N5" s="8">
        <v>38610</v>
      </c>
    </row>
    <row r="6" spans="1:14" x14ac:dyDescent="0.25">
      <c r="A6" s="2" t="s">
        <v>16</v>
      </c>
      <c r="B6" s="8">
        <v>44267</v>
      </c>
      <c r="E6" s="9" t="s">
        <v>17</v>
      </c>
      <c r="F6" s="6" t="s">
        <v>18</v>
      </c>
      <c r="G6" s="3">
        <f t="shared" si="0"/>
        <v>5.2749999999999998E-2</v>
      </c>
      <c r="I6" s="9" t="s">
        <v>19</v>
      </c>
      <c r="J6" s="3">
        <f t="shared" si="1"/>
        <v>1.0527500000000001</v>
      </c>
      <c r="M6" s="2" t="s">
        <v>20</v>
      </c>
      <c r="N6" s="8">
        <f>B7</f>
        <v>38553</v>
      </c>
    </row>
    <row r="7" spans="1:14" x14ac:dyDescent="0.25">
      <c r="A7" s="2" t="s">
        <v>20</v>
      </c>
      <c r="B7" s="8">
        <v>38553</v>
      </c>
      <c r="E7" s="5"/>
      <c r="F7" s="6" t="s">
        <v>21</v>
      </c>
      <c r="G7" s="3">
        <f t="shared" si="0"/>
        <v>5.2749999999999998E-2</v>
      </c>
      <c r="I7" s="5"/>
      <c r="J7" s="3">
        <f t="shared" si="1"/>
        <v>1.0527500000000001</v>
      </c>
      <c r="M7" s="2" t="s">
        <v>22</v>
      </c>
      <c r="N7" s="10">
        <f>(N6-N4)/(N5-N4)</f>
        <v>0.69021739130434778</v>
      </c>
    </row>
    <row r="8" spans="1:14" x14ac:dyDescent="0.25">
      <c r="A8" s="2" t="s">
        <v>23</v>
      </c>
      <c r="B8" s="10">
        <f>(B6-B7)/365</f>
        <v>15.654794520547945</v>
      </c>
      <c r="E8" s="5"/>
      <c r="F8" s="6" t="s">
        <v>24</v>
      </c>
      <c r="G8" s="3">
        <f t="shared" si="0"/>
        <v>5.2749999999999998E-2</v>
      </c>
      <c r="I8" s="11"/>
      <c r="J8" s="3">
        <f t="shared" si="1"/>
        <v>1.0527500000000001</v>
      </c>
      <c r="M8" s="2" t="s">
        <v>25</v>
      </c>
      <c r="N8" s="12">
        <f>B3*N7/2</f>
        <v>3.6408967391304344E-2</v>
      </c>
    </row>
    <row r="9" spans="1:14" x14ac:dyDescent="0.25">
      <c r="A9" s="2" t="s">
        <v>26</v>
      </c>
      <c r="B9" s="13">
        <v>30</v>
      </c>
      <c r="E9" s="5"/>
      <c r="F9" s="6" t="s">
        <v>27</v>
      </c>
      <c r="G9" s="3">
        <f t="shared" si="0"/>
        <v>5.2749999999999998E-2</v>
      </c>
      <c r="H9" s="5"/>
      <c r="I9" s="11"/>
      <c r="J9" s="3">
        <f t="shared" si="1"/>
        <v>1.0527500000000001</v>
      </c>
    </row>
    <row r="10" spans="1:14" x14ac:dyDescent="0.25">
      <c r="A10" s="2" t="s">
        <v>28</v>
      </c>
      <c r="B10" s="5" t="s">
        <v>27</v>
      </c>
      <c r="E10" s="5"/>
      <c r="F10" s="6" t="s">
        <v>29</v>
      </c>
      <c r="G10" s="3">
        <f>B5</f>
        <v>0.5</v>
      </c>
      <c r="H10" s="5"/>
      <c r="I10" s="11"/>
      <c r="J10" s="3">
        <f>G10</f>
        <v>0.5</v>
      </c>
    </row>
    <row r="11" spans="1:14" x14ac:dyDescent="0.25">
      <c r="A11" s="2" t="s">
        <v>30</v>
      </c>
      <c r="B11" s="14">
        <f>B66</f>
        <v>0.14807288050651554</v>
      </c>
      <c r="E11" s="5"/>
      <c r="F11" s="15" t="s">
        <v>31</v>
      </c>
      <c r="G11" s="11">
        <v>0</v>
      </c>
      <c r="H11" s="5"/>
      <c r="I11" s="11"/>
      <c r="J11" s="11">
        <f>G11</f>
        <v>0</v>
      </c>
    </row>
    <row r="12" spans="1:14" x14ac:dyDescent="0.25">
      <c r="B12" s="14"/>
      <c r="E12" s="5"/>
      <c r="H12" s="5"/>
    </row>
    <row r="13" spans="1:14" x14ac:dyDescent="0.25">
      <c r="B13" s="16" t="s">
        <v>32</v>
      </c>
      <c r="C13" s="17" t="s">
        <v>33</v>
      </c>
      <c r="D13" s="18"/>
      <c r="E13" s="18"/>
      <c r="F13" s="18"/>
      <c r="G13" s="18"/>
      <c r="H13" s="18"/>
      <c r="I13" s="18"/>
      <c r="J13" s="18"/>
      <c r="K13" s="19"/>
      <c r="L13" s="4"/>
      <c r="M13" s="4"/>
      <c r="N13" s="4"/>
    </row>
    <row r="14" spans="1:14" ht="13.8" thickBot="1" x14ac:dyDescent="0.3">
      <c r="A14" s="7" t="s">
        <v>34</v>
      </c>
      <c r="B14" s="20"/>
      <c r="C14" s="21" t="s">
        <v>6</v>
      </c>
      <c r="D14" s="21" t="s">
        <v>10</v>
      </c>
      <c r="E14" s="21" t="s">
        <v>14</v>
      </c>
      <c r="F14" s="21" t="s">
        <v>18</v>
      </c>
      <c r="G14" s="21" t="s">
        <v>21</v>
      </c>
      <c r="H14" s="21" t="s">
        <v>24</v>
      </c>
      <c r="I14" s="21" t="s">
        <v>27</v>
      </c>
      <c r="J14" s="21" t="s">
        <v>29</v>
      </c>
      <c r="K14" s="21" t="s">
        <v>31</v>
      </c>
      <c r="L14" s="12"/>
      <c r="M14" s="12"/>
      <c r="N14" s="12"/>
    </row>
    <row r="15" spans="1:14" x14ac:dyDescent="0.25">
      <c r="B15" s="22" t="s">
        <v>6</v>
      </c>
      <c r="C15" s="12">
        <v>0.96772714460202003</v>
      </c>
      <c r="D15" s="12">
        <v>3.0273870477066901E-2</v>
      </c>
      <c r="E15" s="12">
        <v>1.5034545084170101E-3</v>
      </c>
      <c r="F15" s="12">
        <v>3.6176725730863998E-4</v>
      </c>
      <c r="G15" s="12">
        <v>1.4954493484671701E-4</v>
      </c>
      <c r="H15" s="12">
        <v>-1.18555648438884E-5</v>
      </c>
      <c r="I15" s="12">
        <v>-2.32094376084528E-6</v>
      </c>
      <c r="J15" s="12">
        <v>-1.9364308109461201E-6</v>
      </c>
      <c r="K15" s="12">
        <v>1.08680674799644E-6</v>
      </c>
      <c r="L15" s="12"/>
      <c r="M15" s="12"/>
      <c r="N15" s="12"/>
    </row>
    <row r="16" spans="1:14" x14ac:dyDescent="0.25">
      <c r="B16" s="22" t="s">
        <v>10</v>
      </c>
      <c r="C16" s="12">
        <v>3.4216658004754602E-3</v>
      </c>
      <c r="D16" s="12">
        <v>0.957428330516226</v>
      </c>
      <c r="E16" s="12">
        <v>3.62142301105867E-2</v>
      </c>
      <c r="F16" s="12">
        <v>2.0523040500814499E-3</v>
      </c>
      <c r="G16" s="12">
        <v>2.4272437520434799E-4</v>
      </c>
      <c r="H16" s="12">
        <v>4.4890453022803099E-4</v>
      </c>
      <c r="I16" s="12">
        <v>1.0593782051368E-4</v>
      </c>
      <c r="J16" s="12">
        <f t="shared" ref="J16:J21" si="2">1-SUM(C16:I16)</f>
        <v>8.5902796684300675E-5</v>
      </c>
      <c r="K16" s="12">
        <v>-2.5114907974354301E-7</v>
      </c>
      <c r="L16" s="12"/>
      <c r="M16" s="12"/>
      <c r="N16" s="12"/>
    </row>
    <row r="17" spans="1:148" x14ac:dyDescent="0.25">
      <c r="B17" s="22" t="s">
        <v>14</v>
      </c>
      <c r="C17" s="12">
        <v>3.4049946406047198E-4</v>
      </c>
      <c r="D17" s="12">
        <v>1.1728435027046701E-2</v>
      </c>
      <c r="E17" s="12">
        <v>0.95732872774475297</v>
      </c>
      <c r="F17" s="12">
        <v>2.7241158306121002E-2</v>
      </c>
      <c r="G17" s="12">
        <v>2.25674044333943E-3</v>
      </c>
      <c r="H17" s="12">
        <v>9.5985349499800004E-4</v>
      </c>
      <c r="I17" s="12">
        <v>2.4485291589601901E-5</v>
      </c>
      <c r="J17" s="12">
        <f t="shared" si="2"/>
        <v>1.2010022809183507E-4</v>
      </c>
      <c r="K17" s="12">
        <v>0</v>
      </c>
      <c r="L17" s="12"/>
      <c r="M17" s="12"/>
      <c r="N17" s="12"/>
    </row>
    <row r="18" spans="1:148" x14ac:dyDescent="0.25">
      <c r="B18" s="22" t="s">
        <v>18</v>
      </c>
      <c r="C18" s="12">
        <v>1.4809479609247399E-4</v>
      </c>
      <c r="D18" s="12">
        <v>1.1509620493948801E-3</v>
      </c>
      <c r="E18" s="12">
        <v>2.5355082010188001E-2</v>
      </c>
      <c r="F18" s="12">
        <v>0.94394993178414099</v>
      </c>
      <c r="G18" s="12">
        <v>2.3829254639361201E-2</v>
      </c>
      <c r="H18" s="12">
        <v>3.7946096636459399E-3</v>
      </c>
      <c r="I18" s="12">
        <v>7.9231566084926304E-4</v>
      </c>
      <c r="J18" s="12">
        <f t="shared" si="2"/>
        <v>9.7974939632716751E-4</v>
      </c>
      <c r="K18" s="12">
        <v>0</v>
      </c>
      <c r="L18" s="12"/>
      <c r="M18" s="12"/>
      <c r="N18" s="12"/>
    </row>
    <row r="19" spans="1:148" x14ac:dyDescent="0.25">
      <c r="B19" s="22" t="s">
        <v>21</v>
      </c>
      <c r="C19" s="12">
        <v>1.5351197113323901E-4</v>
      </c>
      <c r="D19" s="12">
        <v>3.27448903889447E-4</v>
      </c>
      <c r="E19" s="12">
        <v>1.81999924634845E-3</v>
      </c>
      <c r="F19" s="12">
        <v>3.5866108973260299E-2</v>
      </c>
      <c r="G19" s="12">
        <v>0.91154092233334305</v>
      </c>
      <c r="H19" s="12">
        <v>4.0606435570161602E-2</v>
      </c>
      <c r="I19" s="12">
        <v>5.5890342678696098E-3</v>
      </c>
      <c r="J19" s="12">
        <f t="shared" si="2"/>
        <v>4.0965387339942927E-3</v>
      </c>
      <c r="K19" s="12">
        <v>0</v>
      </c>
      <c r="L19" s="12"/>
      <c r="M19" s="12"/>
      <c r="N19" s="12"/>
    </row>
    <row r="20" spans="1:148" x14ac:dyDescent="0.25">
      <c r="B20" s="22" t="s">
        <v>24</v>
      </c>
      <c r="C20" s="12">
        <v>-1.47312227298413E-5</v>
      </c>
      <c r="D20" s="12">
        <v>5.1750815989723095E-4</v>
      </c>
      <c r="E20" s="12">
        <v>1.6774127606200601E-3</v>
      </c>
      <c r="F20" s="12">
        <v>1.78137579879251E-3</v>
      </c>
      <c r="G20" s="12">
        <v>3.1416865237117203E-2</v>
      </c>
      <c r="H20" s="12">
        <v>0.91608662482956904</v>
      </c>
      <c r="I20" s="12">
        <v>2.2463367820138799E-2</v>
      </c>
      <c r="J20" s="12">
        <f t="shared" si="2"/>
        <v>2.6071576616594982E-2</v>
      </c>
      <c r="K20" s="12">
        <v>0</v>
      </c>
      <c r="L20" s="12"/>
      <c r="M20" s="12"/>
      <c r="N20" s="12"/>
    </row>
    <row r="21" spans="1:148" x14ac:dyDescent="0.25">
      <c r="B21" s="22" t="s">
        <v>27</v>
      </c>
      <c r="C21" s="12">
        <v>9.0468645968851298E-4</v>
      </c>
      <c r="D21" s="12">
        <v>-5.0056899884287803E-5</v>
      </c>
      <c r="E21" s="12">
        <v>1.6224000584093201E-3</v>
      </c>
      <c r="F21" s="12">
        <v>5.0314699254479902E-3</v>
      </c>
      <c r="G21" s="12">
        <v>1.04754504054683E-2</v>
      </c>
      <c r="H21" s="12">
        <v>6.23667262536464E-2</v>
      </c>
      <c r="I21" s="12">
        <v>0.79883444267409098</v>
      </c>
      <c r="J21" s="12">
        <f t="shared" si="2"/>
        <v>0.12081488112313277</v>
      </c>
      <c r="K21" s="12">
        <v>0</v>
      </c>
      <c r="L21" s="12"/>
      <c r="M21" s="12"/>
      <c r="N21" s="12"/>
    </row>
    <row r="22" spans="1:148" x14ac:dyDescent="0.25">
      <c r="B22" s="22" t="s">
        <v>29</v>
      </c>
      <c r="C22" s="12">
        <v>0</v>
      </c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1</v>
      </c>
      <c r="L22" s="12"/>
      <c r="M22" s="12"/>
      <c r="N22" s="12"/>
    </row>
    <row r="23" spans="1:148" x14ac:dyDescent="0.25">
      <c r="B23" s="22" t="s">
        <v>31</v>
      </c>
      <c r="C23" s="12">
        <v>0</v>
      </c>
      <c r="D23" s="12">
        <v>0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1</v>
      </c>
      <c r="L23" s="12"/>
      <c r="M23" s="12"/>
      <c r="N23" s="12"/>
    </row>
    <row r="24" spans="1:148" x14ac:dyDescent="0.25">
      <c r="B24" s="23"/>
      <c r="C24" s="24"/>
      <c r="D24" s="24"/>
      <c r="E24" s="24"/>
      <c r="F24" s="24"/>
      <c r="G24" s="24"/>
      <c r="H24" s="24"/>
      <c r="I24" s="24"/>
      <c r="J24" s="24"/>
      <c r="K24" s="12"/>
      <c r="L24" s="12"/>
      <c r="M24" s="12"/>
      <c r="N24" s="12"/>
    </row>
    <row r="25" spans="1:148" x14ac:dyDescent="0.25">
      <c r="B25" s="23"/>
      <c r="C25" s="24"/>
      <c r="D25" s="24"/>
      <c r="E25" s="24"/>
      <c r="F25" s="24"/>
      <c r="G25" s="24"/>
      <c r="H25" s="24"/>
      <c r="I25" s="24"/>
      <c r="J25" s="24"/>
      <c r="K25" s="12"/>
      <c r="L25" s="12"/>
      <c r="M25" s="12"/>
      <c r="N25" s="12"/>
    </row>
    <row r="26" spans="1:148" ht="13.8" thickBot="1" x14ac:dyDescent="0.3">
      <c r="B26" s="21" t="s">
        <v>6</v>
      </c>
      <c r="C26" s="21" t="s">
        <v>10</v>
      </c>
      <c r="D26" s="21" t="s">
        <v>14</v>
      </c>
      <c r="E26" s="21" t="s">
        <v>18</v>
      </c>
      <c r="F26" s="21" t="s">
        <v>21</v>
      </c>
      <c r="G26" s="21" t="s">
        <v>24</v>
      </c>
      <c r="H26" s="21" t="s">
        <v>27</v>
      </c>
      <c r="I26" s="21" t="s">
        <v>29</v>
      </c>
      <c r="J26" s="21" t="s">
        <v>31</v>
      </c>
      <c r="K26" s="12"/>
      <c r="L26" s="12"/>
      <c r="M26" s="12"/>
      <c r="N26" s="12"/>
    </row>
    <row r="27" spans="1:148" x14ac:dyDescent="0.25">
      <c r="A27" s="2" t="s">
        <v>35</v>
      </c>
      <c r="B27" s="25">
        <f t="shared" ref="B27:J27" si="3">IF(UPPER($B$10)=B26,1,0)</f>
        <v>0</v>
      </c>
      <c r="C27" s="25">
        <f t="shared" si="3"/>
        <v>0</v>
      </c>
      <c r="D27" s="25">
        <f t="shared" si="3"/>
        <v>0</v>
      </c>
      <c r="E27" s="25">
        <f t="shared" si="3"/>
        <v>0</v>
      </c>
      <c r="F27" s="25">
        <f t="shared" si="3"/>
        <v>0</v>
      </c>
      <c r="G27" s="25">
        <f t="shared" si="3"/>
        <v>0</v>
      </c>
      <c r="H27" s="25">
        <f t="shared" si="3"/>
        <v>1</v>
      </c>
      <c r="I27" s="25">
        <f t="shared" si="3"/>
        <v>0</v>
      </c>
      <c r="J27" s="25">
        <f t="shared" si="3"/>
        <v>0</v>
      </c>
      <c r="K27" s="12"/>
      <c r="L27" s="12"/>
      <c r="M27" s="12"/>
      <c r="N27" s="12"/>
    </row>
    <row r="28" spans="1:148" x14ac:dyDescent="0.25">
      <c r="B28" s="23"/>
      <c r="C28" s="24"/>
      <c r="D28" s="24"/>
      <c r="E28" s="24"/>
      <c r="F28" s="24"/>
      <c r="G28" s="24"/>
      <c r="H28" s="24"/>
      <c r="I28" s="24"/>
      <c r="J28" s="24"/>
      <c r="K28" s="12"/>
      <c r="L28" s="12"/>
      <c r="M28" s="12"/>
      <c r="N28" s="12"/>
    </row>
    <row r="29" spans="1:148" x14ac:dyDescent="0.25">
      <c r="A29" s="7" t="s">
        <v>36</v>
      </c>
      <c r="B29" s="4">
        <v>0</v>
      </c>
      <c r="C29" s="4">
        <v>1</v>
      </c>
      <c r="D29" s="4">
        <v>2</v>
      </c>
      <c r="E29" s="4">
        <v>3</v>
      </c>
      <c r="F29" s="4">
        <v>4</v>
      </c>
      <c r="G29" s="4">
        <v>5</v>
      </c>
      <c r="H29" s="4">
        <v>6</v>
      </c>
      <c r="I29" s="4">
        <v>7</v>
      </c>
      <c r="J29" s="4">
        <v>8</v>
      </c>
      <c r="K29" s="4">
        <v>9</v>
      </c>
      <c r="L29" s="4">
        <v>10</v>
      </c>
      <c r="M29" s="4">
        <v>11</v>
      </c>
      <c r="N29" s="4">
        <v>12</v>
      </c>
      <c r="O29" s="4">
        <v>13</v>
      </c>
      <c r="P29" s="4">
        <v>14</v>
      </c>
      <c r="Q29" s="4">
        <v>15</v>
      </c>
      <c r="R29" s="4">
        <v>16</v>
      </c>
      <c r="S29" s="4">
        <v>17</v>
      </c>
      <c r="T29" s="4">
        <v>18</v>
      </c>
      <c r="U29" s="4">
        <v>19</v>
      </c>
      <c r="V29" s="4">
        <v>20</v>
      </c>
      <c r="W29" s="4">
        <v>21</v>
      </c>
      <c r="X29" s="4">
        <v>22</v>
      </c>
      <c r="Y29" s="4">
        <v>23</v>
      </c>
      <c r="Z29" s="4">
        <v>24</v>
      </c>
      <c r="AA29" s="4">
        <v>25</v>
      </c>
      <c r="AB29" s="4">
        <v>26</v>
      </c>
      <c r="AC29" s="4">
        <v>27</v>
      </c>
      <c r="AD29" s="4">
        <v>28</v>
      </c>
      <c r="AE29" s="4">
        <v>29</v>
      </c>
      <c r="AF29" s="4">
        <v>30</v>
      </c>
      <c r="AG29" s="4">
        <v>31</v>
      </c>
      <c r="AH29" s="4">
        <v>32</v>
      </c>
      <c r="AI29" s="4">
        <v>33</v>
      </c>
      <c r="AJ29" s="4">
        <v>34</v>
      </c>
      <c r="AK29" s="4">
        <v>35</v>
      </c>
      <c r="AL29" s="4">
        <v>36</v>
      </c>
      <c r="AM29" s="4">
        <v>37</v>
      </c>
      <c r="AN29" s="4">
        <v>38</v>
      </c>
      <c r="AO29" s="4">
        <v>39</v>
      </c>
      <c r="AP29" s="4">
        <v>40</v>
      </c>
    </row>
    <row r="30" spans="1:148" x14ac:dyDescent="0.25">
      <c r="A30" s="7" t="s">
        <v>37</v>
      </c>
      <c r="B30" s="26">
        <f>B7</f>
        <v>38553</v>
      </c>
      <c r="C30" s="26">
        <v>38610</v>
      </c>
      <c r="D30" s="26">
        <v>38791</v>
      </c>
      <c r="E30" s="26">
        <v>38975</v>
      </c>
      <c r="F30" s="26">
        <v>39156</v>
      </c>
      <c r="G30" s="26">
        <v>39340</v>
      </c>
      <c r="H30" s="26">
        <v>39522</v>
      </c>
      <c r="I30" s="26">
        <v>39706</v>
      </c>
      <c r="J30" s="26">
        <v>39887</v>
      </c>
      <c r="K30" s="26">
        <v>40071</v>
      </c>
      <c r="L30" s="26">
        <v>40252</v>
      </c>
      <c r="M30" s="26">
        <v>40436</v>
      </c>
      <c r="N30" s="26">
        <v>40617</v>
      </c>
      <c r="O30" s="26">
        <v>40801</v>
      </c>
      <c r="P30" s="26">
        <v>40983</v>
      </c>
      <c r="Q30" s="26">
        <v>41167</v>
      </c>
      <c r="R30" s="26">
        <v>41348</v>
      </c>
      <c r="S30" s="26">
        <v>41532</v>
      </c>
      <c r="T30" s="26">
        <v>41713</v>
      </c>
      <c r="U30" s="26">
        <v>41897</v>
      </c>
      <c r="V30" s="26">
        <v>42078</v>
      </c>
      <c r="W30" s="26">
        <v>42262</v>
      </c>
      <c r="X30" s="26">
        <v>42444</v>
      </c>
      <c r="Y30" s="26">
        <v>42628</v>
      </c>
      <c r="Z30" s="26">
        <v>42809</v>
      </c>
      <c r="AA30" s="26">
        <v>42993</v>
      </c>
      <c r="AB30" s="26">
        <v>43174</v>
      </c>
      <c r="AC30" s="26">
        <v>43358</v>
      </c>
      <c r="AD30" s="26">
        <v>43539</v>
      </c>
      <c r="AE30" s="26">
        <v>43723</v>
      </c>
      <c r="AF30" s="26">
        <v>43905</v>
      </c>
      <c r="AG30" s="26">
        <v>44089</v>
      </c>
      <c r="AH30" s="26">
        <v>44270</v>
      </c>
      <c r="AI30" s="26">
        <v>44454</v>
      </c>
      <c r="AJ30" s="26">
        <v>44635</v>
      </c>
      <c r="AK30" s="26">
        <v>44819</v>
      </c>
      <c r="AL30" s="26">
        <v>45000</v>
      </c>
      <c r="AM30" s="26">
        <v>45184</v>
      </c>
      <c r="AN30" s="26">
        <v>45366</v>
      </c>
      <c r="AO30" s="26">
        <v>45550</v>
      </c>
      <c r="AP30" s="26">
        <v>45731</v>
      </c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</row>
    <row r="31" spans="1:148" x14ac:dyDescent="0.25">
      <c r="A31" s="2" t="s">
        <v>38</v>
      </c>
      <c r="B31" s="27">
        <f>-B4</f>
        <v>-0.80390896739130435</v>
      </c>
      <c r="C31" s="12">
        <f>IF(C29&gt;bondterm,0,IF(C29=bondterm,MMULT(initial,MMULT(matrixpower(transition,C29),payoff2)),MMULT(initial,MMULT(matrixpower(transition,C29),payoff1))))</f>
        <v>0.10678445558232114</v>
      </c>
      <c r="D31" s="12">
        <f t="array" ref="D31">IF(D29&gt;bondterm,0,IF(D29=bondterm,MMULT(initial,MMULT(matrixpower(transition,D29),payoff2)),MMULT(initial,MMULT(matrixpower(transition,D29),payoff1))))</f>
        <v>9.0290309288636517E-2</v>
      </c>
      <c r="E31" s="12">
        <f t="shared" ref="E31:AP31" si="4">IF(E29&gt;bondterm,0,IF(E29=bondterm,MMULT(initial,MMULT(matrixpower(transition,E29),payoff2)),MMULT(initial,MMULT(matrixpower(transition,E29),payoff1))))</f>
        <v>7.7051410683591129E-2</v>
      </c>
      <c r="F31" s="12">
        <f t="shared" si="4"/>
        <v>6.6394450004004096E-2</v>
      </c>
      <c r="G31" s="12">
        <f t="shared" si="4"/>
        <v>5.7787405042465607E-2</v>
      </c>
      <c r="H31" s="12">
        <f t="shared" si="4"/>
        <v>5.0809727044109292E-2</v>
      </c>
      <c r="I31" s="12">
        <f t="shared" si="4"/>
        <v>4.5128833919534719E-2</v>
      </c>
      <c r="J31" s="12">
        <f t="shared" si="4"/>
        <v>4.0481574713127813E-2</v>
      </c>
      <c r="K31" s="12">
        <f t="shared" si="4"/>
        <v>3.6659612476342286E-2</v>
      </c>
      <c r="L31" s="12">
        <f t="shared" si="4"/>
        <v>3.3497895849249011E-2</v>
      </c>
      <c r="M31" s="12">
        <f t="shared" si="4"/>
        <v>3.0865565489044136E-2</v>
      </c>
      <c r="N31" s="12">
        <f t="shared" si="4"/>
        <v>2.8658780037273329E-2</v>
      </c>
      <c r="O31" s="12">
        <f t="shared" si="4"/>
        <v>2.6795055495412386E-2</v>
      </c>
      <c r="P31" s="12">
        <f t="shared" si="4"/>
        <v>2.5208797911001196E-2</v>
      </c>
      <c r="Q31" s="2">
        <f t="shared" si="4"/>
        <v>2.3847777072161017E-2</v>
      </c>
      <c r="R31" s="2">
        <f t="shared" si="4"/>
        <v>2.2670342334312407E-2</v>
      </c>
      <c r="S31" s="2">
        <f t="shared" si="4"/>
        <v>2.1643223806266251E-2</v>
      </c>
      <c r="T31" s="2">
        <f t="shared" si="4"/>
        <v>2.0739795304334209E-2</v>
      </c>
      <c r="U31" s="2">
        <f t="shared" si="4"/>
        <v>1.9938701634277044E-2</v>
      </c>
      <c r="V31" s="2">
        <f t="shared" si="4"/>
        <v>1.9222773372193074E-2</v>
      </c>
      <c r="W31" s="2">
        <f t="shared" si="4"/>
        <v>1.8578168561186686E-2</v>
      </c>
      <c r="X31" s="2">
        <f t="shared" si="4"/>
        <v>1.7993693546161014E-2</v>
      </c>
      <c r="Y31" s="2">
        <f t="shared" si="4"/>
        <v>1.7460265263453362E-2</v>
      </c>
      <c r="Z31" s="2">
        <f t="shared" si="4"/>
        <v>1.6970485259786627E-2</v>
      </c>
      <c r="AA31" s="2">
        <f t="shared" si="4"/>
        <v>1.651830198884844E-2</v>
      </c>
      <c r="AB31" s="2">
        <f t="shared" si="4"/>
        <v>1.6098742880463427E-2</v>
      </c>
      <c r="AC31" s="2">
        <f t="shared" si="4"/>
        <v>1.5707701577902189E-2</v>
      </c>
      <c r="AD31" s="2">
        <f t="shared" si="4"/>
        <v>1.5341768814900259E-2</v>
      </c>
      <c r="AE31" s="2">
        <f t="shared" si="4"/>
        <v>1.4998097830017463E-2</v>
      </c>
      <c r="AF31" s="2">
        <f t="shared" si="4"/>
        <v>0.25287669776717542</v>
      </c>
      <c r="AG31" s="2">
        <f t="shared" si="4"/>
        <v>0</v>
      </c>
      <c r="AH31" s="2">
        <f t="shared" si="4"/>
        <v>0</v>
      </c>
      <c r="AI31" s="2">
        <f t="shared" si="4"/>
        <v>0</v>
      </c>
      <c r="AJ31" s="2">
        <f t="shared" si="4"/>
        <v>0</v>
      </c>
      <c r="AK31" s="2">
        <f t="shared" si="4"/>
        <v>0</v>
      </c>
      <c r="AL31" s="2">
        <f t="shared" si="4"/>
        <v>0</v>
      </c>
      <c r="AM31" s="2">
        <f t="shared" si="4"/>
        <v>0</v>
      </c>
      <c r="AN31" s="2">
        <f t="shared" si="4"/>
        <v>0</v>
      </c>
      <c r="AO31" s="2">
        <f t="shared" si="4"/>
        <v>0</v>
      </c>
      <c r="AP31" s="2">
        <f t="shared" si="4"/>
        <v>0</v>
      </c>
    </row>
    <row r="32" spans="1:148" x14ac:dyDescent="0.25">
      <c r="A32" s="28" t="s">
        <v>39</v>
      </c>
      <c r="B32" s="29">
        <f>XIRR(B31:AP31,B30:AP30)</f>
        <v>8.0735215544700631E-2</v>
      </c>
      <c r="C32" s="2" t="str">
        <f ca="1">[3]!getformula(B32)</f>
        <v>&lt;--  =XIRR(B31:AP31,B30:AP30)</v>
      </c>
    </row>
    <row r="38" spans="1:12" x14ac:dyDescent="0.25">
      <c r="L38" s="7"/>
    </row>
    <row r="39" spans="1:12" ht="36.6" customHeight="1" x14ac:dyDescent="0.25">
      <c r="A39" s="30" t="s">
        <v>40</v>
      </c>
      <c r="B39" s="30"/>
      <c r="C39" s="30"/>
    </row>
    <row r="40" spans="1:12" x14ac:dyDescent="0.25">
      <c r="A40" s="4" t="s">
        <v>41</v>
      </c>
      <c r="B40" s="31">
        <f>B32</f>
        <v>8.0735215544700631E-2</v>
      </c>
      <c r="C40" s="5" t="s">
        <v>42</v>
      </c>
      <c r="E40" s="2" t="s">
        <v>43</v>
      </c>
    </row>
    <row r="41" spans="1:12" x14ac:dyDescent="0.25">
      <c r="A41" s="32">
        <v>0</v>
      </c>
      <c r="B41" s="33">
        <f t="dataTable" ref="B41:B51" dt2D="0" dtr="0" r1="B5"/>
        <v>9.2601865530014052E-3</v>
      </c>
      <c r="C41" s="3">
        <f t="shared" ref="C41:C51" si="5">$B$11</f>
        <v>0.14807288050651554</v>
      </c>
    </row>
    <row r="42" spans="1:12" x14ac:dyDescent="0.25">
      <c r="A42" s="32">
        <v>0.1</v>
      </c>
      <c r="B42" s="33">
        <v>2.1380689740180963E-2</v>
      </c>
      <c r="C42" s="3">
        <f t="shared" si="5"/>
        <v>0.14807288050651554</v>
      </c>
    </row>
    <row r="43" spans="1:12" x14ac:dyDescent="0.25">
      <c r="A43" s="32">
        <v>0.2</v>
      </c>
      <c r="B43" s="33">
        <v>3.446191847324373E-2</v>
      </c>
      <c r="C43" s="3">
        <f t="shared" si="5"/>
        <v>0.14807288050651554</v>
      </c>
    </row>
    <row r="44" spans="1:12" x14ac:dyDescent="0.25">
      <c r="A44" s="32">
        <v>0.3</v>
      </c>
      <c r="B44" s="33">
        <v>4.8623684048652638E-2</v>
      </c>
      <c r="C44" s="3">
        <f t="shared" si="5"/>
        <v>0.14807288050651554</v>
      </c>
    </row>
    <row r="45" spans="1:12" x14ac:dyDescent="0.25">
      <c r="A45" s="32">
        <v>0.4</v>
      </c>
      <c r="B45" s="33">
        <v>6.3999357819557193E-2</v>
      </c>
      <c r="C45" s="3">
        <f t="shared" si="5"/>
        <v>0.14807288050651554</v>
      </c>
    </row>
    <row r="46" spans="1:12" x14ac:dyDescent="0.25">
      <c r="A46" s="32">
        <v>0.5</v>
      </c>
      <c r="B46" s="33">
        <v>8.0735215544700631E-2</v>
      </c>
      <c r="C46" s="3">
        <f t="shared" si="5"/>
        <v>0.14807288050651554</v>
      </c>
    </row>
    <row r="47" spans="1:12" x14ac:dyDescent="0.25">
      <c r="A47" s="32">
        <v>0.6</v>
      </c>
      <c r="B47" s="33">
        <v>9.8988467454910301E-2</v>
      </c>
      <c r="C47" s="3">
        <f t="shared" si="5"/>
        <v>0.14807288050651554</v>
      </c>
    </row>
    <row r="48" spans="1:12" x14ac:dyDescent="0.25">
      <c r="A48" s="32">
        <v>0.7</v>
      </c>
      <c r="B48" s="33">
        <v>0.11892357468605042</v>
      </c>
      <c r="C48" s="3">
        <f t="shared" si="5"/>
        <v>0.14807288050651554</v>
      </c>
    </row>
    <row r="49" spans="1:42" x14ac:dyDescent="0.25">
      <c r="A49" s="32">
        <v>0.8</v>
      </c>
      <c r="B49" s="33">
        <v>0.14070674777030942</v>
      </c>
      <c r="C49" s="3">
        <f t="shared" si="5"/>
        <v>0.14807288050651554</v>
      </c>
    </row>
    <row r="50" spans="1:42" x14ac:dyDescent="0.25">
      <c r="A50" s="32">
        <v>0.9</v>
      </c>
      <c r="B50" s="33">
        <v>0.1644987761974335</v>
      </c>
      <c r="C50" s="3">
        <f t="shared" si="5"/>
        <v>0.14807288050651554</v>
      </c>
    </row>
    <row r="51" spans="1:42" x14ac:dyDescent="0.25">
      <c r="A51" s="32">
        <v>1</v>
      </c>
      <c r="B51" s="33">
        <v>0.19044695496559144</v>
      </c>
      <c r="C51" s="3">
        <f t="shared" si="5"/>
        <v>0.14807288050651554</v>
      </c>
    </row>
    <row r="52" spans="1:42" x14ac:dyDescent="0.25">
      <c r="C52" s="11"/>
    </row>
    <row r="53" spans="1:42" x14ac:dyDescent="0.25">
      <c r="A53" s="2" t="s">
        <v>44</v>
      </c>
    </row>
    <row r="54" spans="1:42" x14ac:dyDescent="0.25">
      <c r="A54" s="2" t="s">
        <v>45</v>
      </c>
    </row>
    <row r="55" spans="1:42" x14ac:dyDescent="0.25">
      <c r="A55" s="2" t="s">
        <v>46</v>
      </c>
    </row>
    <row r="56" spans="1:42" x14ac:dyDescent="0.25">
      <c r="A56" s="2" t="s">
        <v>47</v>
      </c>
    </row>
    <row r="57" spans="1:42" ht="52.2" customHeight="1" x14ac:dyDescent="0.25">
      <c r="G57" s="34" t="str">
        <f>"AMR Bond Expected Return vs. Recovery Rate"&amp;CHAR(10)&amp;"Bond price = "&amp;TEXT(B2,"0%")&amp;
", Bond Rating = "&amp;UPPER(B10)&amp;","&amp;CHAR(10)&amp;"Coupon = "&amp;TEXT(B3,"0.00%")&amp;", YTM = "&amp;TEXT(B11,"0.00%")</f>
        <v>AMR Bond Expected Return vs. Recovery Rate
Bond price = 77%, Bond Rating = CCC,
Coupon = 10.55%, YTM = 14.81%</v>
      </c>
      <c r="H57" s="35"/>
      <c r="I57" s="35"/>
      <c r="J57" s="35"/>
    </row>
    <row r="63" spans="1:42" x14ac:dyDescent="0.25">
      <c r="A63" s="7" t="s">
        <v>48</v>
      </c>
    </row>
    <row r="64" spans="1:42" x14ac:dyDescent="0.25">
      <c r="A64" s="7" t="s">
        <v>49</v>
      </c>
      <c r="B64" s="26">
        <f t="shared" ref="B64:AG64" si="6">B30</f>
        <v>38553</v>
      </c>
      <c r="C64" s="26">
        <f t="shared" si="6"/>
        <v>38610</v>
      </c>
      <c r="D64" s="26">
        <f t="shared" si="6"/>
        <v>38791</v>
      </c>
      <c r="E64" s="26">
        <f t="shared" si="6"/>
        <v>38975</v>
      </c>
      <c r="F64" s="26">
        <f t="shared" si="6"/>
        <v>39156</v>
      </c>
      <c r="G64" s="26">
        <f t="shared" si="6"/>
        <v>39340</v>
      </c>
      <c r="H64" s="26">
        <f t="shared" si="6"/>
        <v>39522</v>
      </c>
      <c r="I64" s="26">
        <f t="shared" si="6"/>
        <v>39706</v>
      </c>
      <c r="J64" s="26">
        <f t="shared" si="6"/>
        <v>39887</v>
      </c>
      <c r="K64" s="26">
        <f t="shared" si="6"/>
        <v>40071</v>
      </c>
      <c r="L64" s="26">
        <f t="shared" si="6"/>
        <v>40252</v>
      </c>
      <c r="M64" s="26">
        <f t="shared" si="6"/>
        <v>40436</v>
      </c>
      <c r="N64" s="26">
        <f t="shared" si="6"/>
        <v>40617</v>
      </c>
      <c r="O64" s="26">
        <f t="shared" si="6"/>
        <v>40801</v>
      </c>
      <c r="P64" s="26">
        <f t="shared" si="6"/>
        <v>40983</v>
      </c>
      <c r="Q64" s="26">
        <f t="shared" si="6"/>
        <v>41167</v>
      </c>
      <c r="R64" s="26">
        <f t="shared" si="6"/>
        <v>41348</v>
      </c>
      <c r="S64" s="26">
        <f t="shared" si="6"/>
        <v>41532</v>
      </c>
      <c r="T64" s="26">
        <f t="shared" si="6"/>
        <v>41713</v>
      </c>
      <c r="U64" s="26">
        <f t="shared" si="6"/>
        <v>41897</v>
      </c>
      <c r="V64" s="26">
        <f t="shared" si="6"/>
        <v>42078</v>
      </c>
      <c r="W64" s="26">
        <f t="shared" si="6"/>
        <v>42262</v>
      </c>
      <c r="X64" s="26">
        <f t="shared" si="6"/>
        <v>42444</v>
      </c>
      <c r="Y64" s="26">
        <f t="shared" si="6"/>
        <v>42628</v>
      </c>
      <c r="Z64" s="26">
        <f t="shared" si="6"/>
        <v>42809</v>
      </c>
      <c r="AA64" s="26">
        <f t="shared" si="6"/>
        <v>42993</v>
      </c>
      <c r="AB64" s="26">
        <f t="shared" si="6"/>
        <v>43174</v>
      </c>
      <c r="AC64" s="26">
        <f t="shared" si="6"/>
        <v>43358</v>
      </c>
      <c r="AD64" s="26">
        <f t="shared" si="6"/>
        <v>43539</v>
      </c>
      <c r="AE64" s="26">
        <f t="shared" si="6"/>
        <v>43723</v>
      </c>
      <c r="AF64" s="26">
        <f t="shared" si="6"/>
        <v>43905</v>
      </c>
      <c r="AG64" s="26">
        <f t="shared" si="6"/>
        <v>44089</v>
      </c>
      <c r="AH64" s="26">
        <v>44267</v>
      </c>
      <c r="AI64" s="26">
        <f t="shared" ref="AI64:AP64" si="7">AI30</f>
        <v>44454</v>
      </c>
      <c r="AJ64" s="26">
        <f t="shared" si="7"/>
        <v>44635</v>
      </c>
      <c r="AK64" s="26">
        <f t="shared" si="7"/>
        <v>44819</v>
      </c>
      <c r="AL64" s="26">
        <f t="shared" si="7"/>
        <v>45000</v>
      </c>
      <c r="AM64" s="26">
        <f t="shared" si="7"/>
        <v>45184</v>
      </c>
      <c r="AN64" s="26">
        <f t="shared" si="7"/>
        <v>45366</v>
      </c>
      <c r="AO64" s="26">
        <f t="shared" si="7"/>
        <v>45550</v>
      </c>
      <c r="AP64" s="26">
        <f t="shared" si="7"/>
        <v>45731</v>
      </c>
    </row>
    <row r="65" spans="1:42" x14ac:dyDescent="0.25">
      <c r="A65" s="2" t="s">
        <v>38</v>
      </c>
      <c r="B65" s="27">
        <f>-B4</f>
        <v>-0.80390896739130435</v>
      </c>
      <c r="C65" s="12">
        <f t="shared" ref="C65:AP65" si="8">IF(C64&gt;$B$6,0,IF(C64=$B$6,1+$B$3/2,$B$3/2))</f>
        <v>5.2749999999999998E-2</v>
      </c>
      <c r="D65" s="12">
        <f t="shared" si="8"/>
        <v>5.2749999999999998E-2</v>
      </c>
      <c r="E65" s="12">
        <f t="shared" si="8"/>
        <v>5.2749999999999998E-2</v>
      </c>
      <c r="F65" s="12">
        <f t="shared" si="8"/>
        <v>5.2749999999999998E-2</v>
      </c>
      <c r="G65" s="12">
        <f t="shared" si="8"/>
        <v>5.2749999999999998E-2</v>
      </c>
      <c r="H65" s="12">
        <f t="shared" si="8"/>
        <v>5.2749999999999998E-2</v>
      </c>
      <c r="I65" s="12">
        <f t="shared" si="8"/>
        <v>5.2749999999999998E-2</v>
      </c>
      <c r="J65" s="12">
        <f t="shared" si="8"/>
        <v>5.2749999999999998E-2</v>
      </c>
      <c r="K65" s="12">
        <f t="shared" si="8"/>
        <v>5.2749999999999998E-2</v>
      </c>
      <c r="L65" s="12">
        <f t="shared" si="8"/>
        <v>5.2749999999999998E-2</v>
      </c>
      <c r="M65" s="12">
        <f t="shared" si="8"/>
        <v>5.2749999999999998E-2</v>
      </c>
      <c r="N65" s="12">
        <f t="shared" si="8"/>
        <v>5.2749999999999998E-2</v>
      </c>
      <c r="O65" s="12">
        <f t="shared" si="8"/>
        <v>5.2749999999999998E-2</v>
      </c>
      <c r="P65" s="12">
        <f t="shared" si="8"/>
        <v>5.2749999999999998E-2</v>
      </c>
      <c r="Q65" s="12">
        <f t="shared" si="8"/>
        <v>5.2749999999999998E-2</v>
      </c>
      <c r="R65" s="12">
        <f t="shared" si="8"/>
        <v>5.2749999999999998E-2</v>
      </c>
      <c r="S65" s="12">
        <f t="shared" si="8"/>
        <v>5.2749999999999998E-2</v>
      </c>
      <c r="T65" s="12">
        <f t="shared" si="8"/>
        <v>5.2749999999999998E-2</v>
      </c>
      <c r="U65" s="12">
        <f t="shared" si="8"/>
        <v>5.2749999999999998E-2</v>
      </c>
      <c r="V65" s="12">
        <f t="shared" si="8"/>
        <v>5.2749999999999998E-2</v>
      </c>
      <c r="W65" s="12">
        <f t="shared" si="8"/>
        <v>5.2749999999999998E-2</v>
      </c>
      <c r="X65" s="12">
        <f t="shared" si="8"/>
        <v>5.2749999999999998E-2</v>
      </c>
      <c r="Y65" s="12">
        <f t="shared" si="8"/>
        <v>5.2749999999999998E-2</v>
      </c>
      <c r="Z65" s="12">
        <f t="shared" si="8"/>
        <v>5.2749999999999998E-2</v>
      </c>
      <c r="AA65" s="12">
        <f t="shared" si="8"/>
        <v>5.2749999999999998E-2</v>
      </c>
      <c r="AB65" s="12">
        <f t="shared" si="8"/>
        <v>5.2749999999999998E-2</v>
      </c>
      <c r="AC65" s="12">
        <f t="shared" si="8"/>
        <v>5.2749999999999998E-2</v>
      </c>
      <c r="AD65" s="12">
        <f t="shared" si="8"/>
        <v>5.2749999999999998E-2</v>
      </c>
      <c r="AE65" s="12">
        <f t="shared" si="8"/>
        <v>5.2749999999999998E-2</v>
      </c>
      <c r="AF65" s="12">
        <f t="shared" si="8"/>
        <v>5.2749999999999998E-2</v>
      </c>
      <c r="AG65" s="12">
        <f t="shared" si="8"/>
        <v>5.2749999999999998E-2</v>
      </c>
      <c r="AH65" s="12">
        <f t="shared" si="8"/>
        <v>1.0527500000000001</v>
      </c>
      <c r="AI65" s="12">
        <f t="shared" si="8"/>
        <v>0</v>
      </c>
      <c r="AJ65" s="12">
        <f t="shared" si="8"/>
        <v>0</v>
      </c>
      <c r="AK65" s="12">
        <f t="shared" si="8"/>
        <v>0</v>
      </c>
      <c r="AL65" s="12">
        <f t="shared" si="8"/>
        <v>0</v>
      </c>
      <c r="AM65" s="12">
        <f t="shared" si="8"/>
        <v>0</v>
      </c>
      <c r="AN65" s="12">
        <f t="shared" si="8"/>
        <v>0</v>
      </c>
      <c r="AO65" s="12">
        <f t="shared" si="8"/>
        <v>0</v>
      </c>
      <c r="AP65" s="12">
        <f t="shared" si="8"/>
        <v>0</v>
      </c>
    </row>
    <row r="66" spans="1:42" x14ac:dyDescent="0.25">
      <c r="A66" s="36" t="s">
        <v>50</v>
      </c>
      <c r="B66" s="37">
        <f>XIRR(B65:AP65,B64:AP64)</f>
        <v>0.14807288050651554</v>
      </c>
    </row>
    <row r="67" spans="1:42" x14ac:dyDescent="0.25">
      <c r="B67" s="11"/>
    </row>
    <row r="68" spans="1:42" x14ac:dyDescent="0.25">
      <c r="B68" s="11"/>
      <c r="C68" s="11"/>
    </row>
    <row r="69" spans="1:42" x14ac:dyDescent="0.25">
      <c r="B69" s="11"/>
    </row>
    <row r="70" spans="1:42" x14ac:dyDescent="0.25">
      <c r="B70" s="11"/>
    </row>
    <row r="71" spans="1:42" x14ac:dyDescent="0.25">
      <c r="B71" s="11"/>
    </row>
    <row r="72" spans="1:42" x14ac:dyDescent="0.25">
      <c r="B72" s="11"/>
    </row>
  </sheetData>
  <mergeCells count="5">
    <mergeCell ref="A1:K1"/>
    <mergeCell ref="B13:B14"/>
    <mergeCell ref="C13:J13"/>
    <mergeCell ref="A39:C39"/>
    <mergeCell ref="G57:J57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5</vt:i4>
      </vt:variant>
    </vt:vector>
  </HeadingPairs>
  <TitlesOfParts>
    <vt:vector size="7" baseType="lpstr">
      <vt:lpstr>Page 736</vt:lpstr>
      <vt:lpstr>Sheet1</vt:lpstr>
      <vt:lpstr>'Page 736'!bondterm</vt:lpstr>
      <vt:lpstr>'Page 736'!initial</vt:lpstr>
      <vt:lpstr>'Page 736'!payoff1</vt:lpstr>
      <vt:lpstr>'Page 736'!payoff2</vt:lpstr>
      <vt:lpstr>'Page 736'!transition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2024-12-19T03:37:03Z</dcterms:modified>
</cp:coreProperties>
</file>