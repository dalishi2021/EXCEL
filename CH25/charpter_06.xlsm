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5\"/>
    </mc:Choice>
  </mc:AlternateContent>
  <xr:revisionPtr revIDLastSave="0" documentId="13_ncr:1_{EBDC509F-D7A0-4802-BEF7-AEEB628327C5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Sheet1" sheetId="1" r:id="rId1"/>
    <sheet name="Page 681" sheetId="2" r:id="rId2"/>
  </sheets>
  <functionGroups builtInGroupCount="19"/>
  <definedNames>
    <definedName name="_xlnm.Print_Area" localSheetId="1">'Page 681'!$A$1:$H$36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8" i="2" l="1"/>
  <c r="G10" i="2"/>
  <c r="G11" i="2"/>
  <c r="G12" i="2"/>
  <c r="G13" i="2"/>
  <c r="G14" i="2"/>
  <c r="F11" i="2"/>
  <c r="F12" i="2"/>
  <c r="F13" i="2"/>
  <c r="F14" i="2"/>
  <c r="F10" i="2"/>
  <c r="C29" i="2"/>
  <c r="C27" i="2"/>
  <c r="C26" i="2"/>
  <c r="C32" i="2" s="1"/>
  <c r="B14" i="2"/>
  <c r="B13" i="2"/>
  <c r="B12" i="2"/>
  <c r="C12" i="2" s="1"/>
  <c r="B11" i="2"/>
  <c r="A11" i="2"/>
  <c r="A12" i="2" s="1"/>
  <c r="A13" i="2" s="1"/>
  <c r="B10" i="2"/>
  <c r="C10" i="2" s="1"/>
  <c r="A10" i="2"/>
  <c r="B7" i="2"/>
  <c r="C17" i="2"/>
  <c r="D34" i="2"/>
  <c r="E34" i="2"/>
  <c r="D32" i="2"/>
  <c r="D17" i="2"/>
  <c r="D15" i="2"/>
  <c r="D10" i="2"/>
  <c r="C7" i="2"/>
  <c r="A14" i="2" l="1"/>
  <c r="C14" i="2" s="1"/>
  <c r="C13" i="2"/>
  <c r="C11" i="2"/>
  <c r="C15" i="2" s="1"/>
</calcChain>
</file>

<file path=xl/sharedStrings.xml><?xml version="1.0" encoding="utf-8"?>
<sst xmlns="http://schemas.openxmlformats.org/spreadsheetml/2006/main" count="25" uniqueCount="25">
  <si>
    <t>DURATION OF BOND WITH UNEVEN PERIODS
Brute Force Calculation and Dduration function</t>
  </si>
  <si>
    <t>Alpha</t>
  </si>
  <si>
    <t>Time until first coupon payment (in years)</t>
  </si>
  <si>
    <t>N</t>
  </si>
  <si>
    <t>Number of payments</t>
  </si>
  <si>
    <t>YTM</t>
  </si>
  <si>
    <t>Coupon</t>
  </si>
  <si>
    <t>Face</t>
  </si>
  <si>
    <t>Bond price</t>
  </si>
  <si>
    <t>Period</t>
  </si>
  <si>
    <t>Payment</t>
  </si>
  <si>
    <r>
      <t>t*C</t>
    </r>
    <r>
      <rPr>
        <b/>
        <vertAlign val="subscript"/>
        <sz val="10"/>
        <rFont val="Arial"/>
        <family val="2"/>
      </rPr>
      <t>t</t>
    </r>
    <r>
      <rPr>
        <b/>
        <sz val="10"/>
        <rFont val="Arial"/>
        <family val="2"/>
      </rPr>
      <t xml:space="preserve"> /Price</t>
    </r>
    <r>
      <rPr>
        <b/>
        <sz val="10"/>
        <rFont val="Arial"/>
        <family val="2"/>
      </rPr>
      <t>*(1+YTM)</t>
    </r>
    <r>
      <rPr>
        <b/>
        <vertAlign val="superscript"/>
        <sz val="10"/>
        <rFont val="Arial"/>
        <family val="2"/>
      </rPr>
      <t>t</t>
    </r>
  </si>
  <si>
    <t>Duration</t>
  </si>
  <si>
    <t>Newly defined VBA function</t>
  </si>
  <si>
    <t>Checking on formula:  the bond duration (with first payment at alpha) should be the duration</t>
  </si>
  <si>
    <t>of the bond with payments at 1, 2, ..., 5 plus (alpha-1):</t>
  </si>
  <si>
    <r>
      <t xml:space="preserve">testing whether Excel's </t>
    </r>
    <r>
      <rPr>
        <b/>
        <sz val="10"/>
        <rFont val="Arial"/>
        <family val="2"/>
      </rPr>
      <t>duration</t>
    </r>
    <r>
      <rPr>
        <sz val="10"/>
        <rFont val="Arial"/>
        <family val="2"/>
      </rPr>
      <t xml:space="preserve"> function produces the same result:</t>
    </r>
  </si>
  <si>
    <t>settlement</t>
  </si>
  <si>
    <t>month</t>
  </si>
  <si>
    <t>maturity</t>
  </si>
  <si>
    <t>day</t>
  </si>
  <si>
    <t>alpha</t>
  </si>
  <si>
    <t>coupon</t>
  </si>
  <si>
    <t>ytm</t>
  </si>
  <si>
    <t>Our formula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</si>
</sst>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_(* #,##0_);_(* \(#,##0\);_(* &quot;-&quot;??_);_(@_)"/>
    <numFmt numFmtId="177" formatCode="_(* #,##0.00_);_(* \(#,##0.00\);_(* &quot;-&quot;??_);_(@_)"/>
    <numFmt numFmtId="178" formatCode="0.0000"/>
  </numFmts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vertAlign val="subscript"/>
      <sz val="10"/>
      <name val="Arial"/>
      <family val="2"/>
    </font>
    <font>
      <b/>
      <vertAlign val="superscript"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2" fillId="0" borderId="0"/>
    <xf numFmtId="177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6">
    <xf numFmtId="0" fontId="0" fillId="0" borderId="0" xfId="0">
      <alignment vertical="center"/>
    </xf>
    <xf numFmtId="0" fontId="3" fillId="0" borderId="0" xfId="1" applyFont="1" applyAlignment="1">
      <alignment horizontal="center" vertical="center" wrapText="1"/>
    </xf>
    <xf numFmtId="0" fontId="2" fillId="0" borderId="0" xfId="1" applyAlignment="1">
      <alignment vertical="center" wrapText="1"/>
    </xf>
    <xf numFmtId="0" fontId="2" fillId="0" borderId="0" xfId="1" applyAlignment="1">
      <alignment horizontal="centerContinuous"/>
    </xf>
    <xf numFmtId="0" fontId="2" fillId="0" borderId="0" xfId="1"/>
    <xf numFmtId="9" fontId="2" fillId="0" borderId="0" xfId="1" applyNumberFormat="1"/>
    <xf numFmtId="176" fontId="2" fillId="0" borderId="0" xfId="1" applyNumberFormat="1"/>
    <xf numFmtId="0" fontId="4" fillId="0" borderId="0" xfId="1" applyFont="1" applyAlignment="1">
      <alignment horizontal="center"/>
    </xf>
    <xf numFmtId="0" fontId="2" fillId="0" borderId="0" xfId="1" applyAlignment="1">
      <alignment horizontal="center"/>
    </xf>
    <xf numFmtId="176" fontId="0" fillId="0" borderId="0" xfId="2" applyNumberFormat="1" applyFont="1"/>
    <xf numFmtId="178" fontId="2" fillId="0" borderId="0" xfId="1" applyNumberFormat="1" applyAlignment="1">
      <alignment horizontal="center"/>
    </xf>
    <xf numFmtId="178" fontId="2" fillId="0" borderId="0" xfId="1" applyNumberFormat="1"/>
    <xf numFmtId="0" fontId="2" fillId="2" borderId="0" xfId="1" applyFill="1"/>
    <xf numFmtId="178" fontId="2" fillId="2" borderId="0" xfId="1" applyNumberFormat="1" applyFill="1" applyAlignment="1">
      <alignment horizontal="center"/>
    </xf>
    <xf numFmtId="14" fontId="2" fillId="0" borderId="0" xfId="1" applyNumberFormat="1"/>
    <xf numFmtId="9" fontId="0" fillId="0" borderId="0" xfId="3" applyFont="1"/>
  </cellXfs>
  <cellStyles count="4">
    <cellStyle name="百分比 2" xfId="3" xr:uid="{D5F4CEA9-4747-4C10-B93D-D7B4DF6D7D74}"/>
    <cellStyle name="常规" xfId="0" builtinId="0"/>
    <cellStyle name="常规 2" xfId="1" xr:uid="{44438B28-D91D-4DC6-A3A7-2B0A7A9C3BC0}"/>
    <cellStyle name="千位分隔 2" xfId="2" xr:uid="{6852CF79-5336-4C39-880F-F454AB819B83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352097</xdr:colOff>
      <xdr:row>0</xdr:row>
      <xdr:rowOff>119555</xdr:rowOff>
    </xdr:from>
    <xdr:to>
      <xdr:col>23</xdr:col>
      <xdr:colOff>203532</xdr:colOff>
      <xdr:row>41</xdr:row>
      <xdr:rowOff>97723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20E13784-1664-57C7-13E3-BF312DA3ED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01252" y="119555"/>
          <a:ext cx="9618436" cy="73288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FA028D-599E-4593-962F-317AEC25513A}">
  <sheetPr codeName="Sheet3">
    <pageSetUpPr fitToPage="1"/>
  </sheetPr>
  <dimension ref="A1:I34"/>
  <sheetViews>
    <sheetView tabSelected="1" zoomScale="145" zoomScaleNormal="145" workbookViewId="0">
      <selection activeCell="E13" sqref="E13"/>
    </sheetView>
  </sheetViews>
  <sheetFormatPr defaultRowHeight="13.2" x14ac:dyDescent="0.25"/>
  <cols>
    <col min="1" max="1" width="11" style="4" customWidth="1"/>
    <col min="2" max="2" width="12.6640625" style="4" customWidth="1"/>
    <col min="3" max="3" width="19.109375" style="4" customWidth="1"/>
    <col min="4" max="4" width="33.109375" style="4" bestFit="1" customWidth="1"/>
    <col min="5" max="5" width="28" style="4" bestFit="1" customWidth="1"/>
    <col min="6" max="256" width="8.88671875" style="4"/>
    <col min="257" max="257" width="11" style="4" customWidth="1"/>
    <col min="258" max="258" width="12.6640625" style="4" customWidth="1"/>
    <col min="259" max="259" width="19.109375" style="4" customWidth="1"/>
    <col min="260" max="260" width="33.109375" style="4" bestFit="1" customWidth="1"/>
    <col min="261" max="261" width="28" style="4" bestFit="1" customWidth="1"/>
    <col min="262" max="512" width="8.88671875" style="4"/>
    <col min="513" max="513" width="11" style="4" customWidth="1"/>
    <col min="514" max="514" width="12.6640625" style="4" customWidth="1"/>
    <col min="515" max="515" width="19.109375" style="4" customWidth="1"/>
    <col min="516" max="516" width="33.109375" style="4" bestFit="1" customWidth="1"/>
    <col min="517" max="517" width="28" style="4" bestFit="1" customWidth="1"/>
    <col min="518" max="768" width="8.88671875" style="4"/>
    <col min="769" max="769" width="11" style="4" customWidth="1"/>
    <col min="770" max="770" width="12.6640625" style="4" customWidth="1"/>
    <col min="771" max="771" width="19.109375" style="4" customWidth="1"/>
    <col min="772" max="772" width="33.109375" style="4" bestFit="1" customWidth="1"/>
    <col min="773" max="773" width="28" style="4" bestFit="1" customWidth="1"/>
    <col min="774" max="1024" width="8.88671875" style="4"/>
    <col min="1025" max="1025" width="11" style="4" customWidth="1"/>
    <col min="1026" max="1026" width="12.6640625" style="4" customWidth="1"/>
    <col min="1027" max="1027" width="19.109375" style="4" customWidth="1"/>
    <col min="1028" max="1028" width="33.109375" style="4" bestFit="1" customWidth="1"/>
    <col min="1029" max="1029" width="28" style="4" bestFit="1" customWidth="1"/>
    <col min="1030" max="1280" width="8.88671875" style="4"/>
    <col min="1281" max="1281" width="11" style="4" customWidth="1"/>
    <col min="1282" max="1282" width="12.6640625" style="4" customWidth="1"/>
    <col min="1283" max="1283" width="19.109375" style="4" customWidth="1"/>
    <col min="1284" max="1284" width="33.109375" style="4" bestFit="1" customWidth="1"/>
    <col min="1285" max="1285" width="28" style="4" bestFit="1" customWidth="1"/>
    <col min="1286" max="1536" width="8.88671875" style="4"/>
    <col min="1537" max="1537" width="11" style="4" customWidth="1"/>
    <col min="1538" max="1538" width="12.6640625" style="4" customWidth="1"/>
    <col min="1539" max="1539" width="19.109375" style="4" customWidth="1"/>
    <col min="1540" max="1540" width="33.109375" style="4" bestFit="1" customWidth="1"/>
    <col min="1541" max="1541" width="28" style="4" bestFit="1" customWidth="1"/>
    <col min="1542" max="1792" width="8.88671875" style="4"/>
    <col min="1793" max="1793" width="11" style="4" customWidth="1"/>
    <col min="1794" max="1794" width="12.6640625" style="4" customWidth="1"/>
    <col min="1795" max="1795" width="19.109375" style="4" customWidth="1"/>
    <col min="1796" max="1796" width="33.109375" style="4" bestFit="1" customWidth="1"/>
    <col min="1797" max="1797" width="28" style="4" bestFit="1" customWidth="1"/>
    <col min="1798" max="2048" width="8.88671875" style="4"/>
    <col min="2049" max="2049" width="11" style="4" customWidth="1"/>
    <col min="2050" max="2050" width="12.6640625" style="4" customWidth="1"/>
    <col min="2051" max="2051" width="19.109375" style="4" customWidth="1"/>
    <col min="2052" max="2052" width="33.109375" style="4" bestFit="1" customWidth="1"/>
    <col min="2053" max="2053" width="28" style="4" bestFit="1" customWidth="1"/>
    <col min="2054" max="2304" width="8.88671875" style="4"/>
    <col min="2305" max="2305" width="11" style="4" customWidth="1"/>
    <col min="2306" max="2306" width="12.6640625" style="4" customWidth="1"/>
    <col min="2307" max="2307" width="19.109375" style="4" customWidth="1"/>
    <col min="2308" max="2308" width="33.109375" style="4" bestFit="1" customWidth="1"/>
    <col min="2309" max="2309" width="28" style="4" bestFit="1" customWidth="1"/>
    <col min="2310" max="2560" width="8.88671875" style="4"/>
    <col min="2561" max="2561" width="11" style="4" customWidth="1"/>
    <col min="2562" max="2562" width="12.6640625" style="4" customWidth="1"/>
    <col min="2563" max="2563" width="19.109375" style="4" customWidth="1"/>
    <col min="2564" max="2564" width="33.109375" style="4" bestFit="1" customWidth="1"/>
    <col min="2565" max="2565" width="28" style="4" bestFit="1" customWidth="1"/>
    <col min="2566" max="2816" width="8.88671875" style="4"/>
    <col min="2817" max="2817" width="11" style="4" customWidth="1"/>
    <col min="2818" max="2818" width="12.6640625" style="4" customWidth="1"/>
    <col min="2819" max="2819" width="19.109375" style="4" customWidth="1"/>
    <col min="2820" max="2820" width="33.109375" style="4" bestFit="1" customWidth="1"/>
    <col min="2821" max="2821" width="28" style="4" bestFit="1" customWidth="1"/>
    <col min="2822" max="3072" width="8.88671875" style="4"/>
    <col min="3073" max="3073" width="11" style="4" customWidth="1"/>
    <col min="3074" max="3074" width="12.6640625" style="4" customWidth="1"/>
    <col min="3075" max="3075" width="19.109375" style="4" customWidth="1"/>
    <col min="3076" max="3076" width="33.109375" style="4" bestFit="1" customWidth="1"/>
    <col min="3077" max="3077" width="28" style="4" bestFit="1" customWidth="1"/>
    <col min="3078" max="3328" width="8.88671875" style="4"/>
    <col min="3329" max="3329" width="11" style="4" customWidth="1"/>
    <col min="3330" max="3330" width="12.6640625" style="4" customWidth="1"/>
    <col min="3331" max="3331" width="19.109375" style="4" customWidth="1"/>
    <col min="3332" max="3332" width="33.109375" style="4" bestFit="1" customWidth="1"/>
    <col min="3333" max="3333" width="28" style="4" bestFit="1" customWidth="1"/>
    <col min="3334" max="3584" width="8.88671875" style="4"/>
    <col min="3585" max="3585" width="11" style="4" customWidth="1"/>
    <col min="3586" max="3586" width="12.6640625" style="4" customWidth="1"/>
    <col min="3587" max="3587" width="19.109375" style="4" customWidth="1"/>
    <col min="3588" max="3588" width="33.109375" style="4" bestFit="1" customWidth="1"/>
    <col min="3589" max="3589" width="28" style="4" bestFit="1" customWidth="1"/>
    <col min="3590" max="3840" width="8.88671875" style="4"/>
    <col min="3841" max="3841" width="11" style="4" customWidth="1"/>
    <col min="3842" max="3842" width="12.6640625" style="4" customWidth="1"/>
    <col min="3843" max="3843" width="19.109375" style="4" customWidth="1"/>
    <col min="3844" max="3844" width="33.109375" style="4" bestFit="1" customWidth="1"/>
    <col min="3845" max="3845" width="28" style="4" bestFit="1" customWidth="1"/>
    <col min="3846" max="4096" width="8.88671875" style="4"/>
    <col min="4097" max="4097" width="11" style="4" customWidth="1"/>
    <col min="4098" max="4098" width="12.6640625" style="4" customWidth="1"/>
    <col min="4099" max="4099" width="19.109375" style="4" customWidth="1"/>
    <col min="4100" max="4100" width="33.109375" style="4" bestFit="1" customWidth="1"/>
    <col min="4101" max="4101" width="28" style="4" bestFit="1" customWidth="1"/>
    <col min="4102" max="4352" width="8.88671875" style="4"/>
    <col min="4353" max="4353" width="11" style="4" customWidth="1"/>
    <col min="4354" max="4354" width="12.6640625" style="4" customWidth="1"/>
    <col min="4355" max="4355" width="19.109375" style="4" customWidth="1"/>
    <col min="4356" max="4356" width="33.109375" style="4" bestFit="1" customWidth="1"/>
    <col min="4357" max="4357" width="28" style="4" bestFit="1" customWidth="1"/>
    <col min="4358" max="4608" width="8.88671875" style="4"/>
    <col min="4609" max="4609" width="11" style="4" customWidth="1"/>
    <col min="4610" max="4610" width="12.6640625" style="4" customWidth="1"/>
    <col min="4611" max="4611" width="19.109375" style="4" customWidth="1"/>
    <col min="4612" max="4612" width="33.109375" style="4" bestFit="1" customWidth="1"/>
    <col min="4613" max="4613" width="28" style="4" bestFit="1" customWidth="1"/>
    <col min="4614" max="4864" width="8.88671875" style="4"/>
    <col min="4865" max="4865" width="11" style="4" customWidth="1"/>
    <col min="4866" max="4866" width="12.6640625" style="4" customWidth="1"/>
    <col min="4867" max="4867" width="19.109375" style="4" customWidth="1"/>
    <col min="4868" max="4868" width="33.109375" style="4" bestFit="1" customWidth="1"/>
    <col min="4869" max="4869" width="28" style="4" bestFit="1" customWidth="1"/>
    <col min="4870" max="5120" width="8.88671875" style="4"/>
    <col min="5121" max="5121" width="11" style="4" customWidth="1"/>
    <col min="5122" max="5122" width="12.6640625" style="4" customWidth="1"/>
    <col min="5123" max="5123" width="19.109375" style="4" customWidth="1"/>
    <col min="5124" max="5124" width="33.109375" style="4" bestFit="1" customWidth="1"/>
    <col min="5125" max="5125" width="28" style="4" bestFit="1" customWidth="1"/>
    <col min="5126" max="5376" width="8.88671875" style="4"/>
    <col min="5377" max="5377" width="11" style="4" customWidth="1"/>
    <col min="5378" max="5378" width="12.6640625" style="4" customWidth="1"/>
    <col min="5379" max="5379" width="19.109375" style="4" customWidth="1"/>
    <col min="5380" max="5380" width="33.109375" style="4" bestFit="1" customWidth="1"/>
    <col min="5381" max="5381" width="28" style="4" bestFit="1" customWidth="1"/>
    <col min="5382" max="5632" width="8.88671875" style="4"/>
    <col min="5633" max="5633" width="11" style="4" customWidth="1"/>
    <col min="5634" max="5634" width="12.6640625" style="4" customWidth="1"/>
    <col min="5635" max="5635" width="19.109375" style="4" customWidth="1"/>
    <col min="5636" max="5636" width="33.109375" style="4" bestFit="1" customWidth="1"/>
    <col min="5637" max="5637" width="28" style="4" bestFit="1" customWidth="1"/>
    <col min="5638" max="5888" width="8.88671875" style="4"/>
    <col min="5889" max="5889" width="11" style="4" customWidth="1"/>
    <col min="5890" max="5890" width="12.6640625" style="4" customWidth="1"/>
    <col min="5891" max="5891" width="19.109375" style="4" customWidth="1"/>
    <col min="5892" max="5892" width="33.109375" style="4" bestFit="1" customWidth="1"/>
    <col min="5893" max="5893" width="28" style="4" bestFit="1" customWidth="1"/>
    <col min="5894" max="6144" width="8.88671875" style="4"/>
    <col min="6145" max="6145" width="11" style="4" customWidth="1"/>
    <col min="6146" max="6146" width="12.6640625" style="4" customWidth="1"/>
    <col min="6147" max="6147" width="19.109375" style="4" customWidth="1"/>
    <col min="6148" max="6148" width="33.109375" style="4" bestFit="1" customWidth="1"/>
    <col min="6149" max="6149" width="28" style="4" bestFit="1" customWidth="1"/>
    <col min="6150" max="6400" width="8.88671875" style="4"/>
    <col min="6401" max="6401" width="11" style="4" customWidth="1"/>
    <col min="6402" max="6402" width="12.6640625" style="4" customWidth="1"/>
    <col min="6403" max="6403" width="19.109375" style="4" customWidth="1"/>
    <col min="6404" max="6404" width="33.109375" style="4" bestFit="1" customWidth="1"/>
    <col min="6405" max="6405" width="28" style="4" bestFit="1" customWidth="1"/>
    <col min="6406" max="6656" width="8.88671875" style="4"/>
    <col min="6657" max="6657" width="11" style="4" customWidth="1"/>
    <col min="6658" max="6658" width="12.6640625" style="4" customWidth="1"/>
    <col min="6659" max="6659" width="19.109375" style="4" customWidth="1"/>
    <col min="6660" max="6660" width="33.109375" style="4" bestFit="1" customWidth="1"/>
    <col min="6661" max="6661" width="28" style="4" bestFit="1" customWidth="1"/>
    <col min="6662" max="6912" width="8.88671875" style="4"/>
    <col min="6913" max="6913" width="11" style="4" customWidth="1"/>
    <col min="6914" max="6914" width="12.6640625" style="4" customWidth="1"/>
    <col min="6915" max="6915" width="19.109375" style="4" customWidth="1"/>
    <col min="6916" max="6916" width="33.109375" style="4" bestFit="1" customWidth="1"/>
    <col min="6917" max="6917" width="28" style="4" bestFit="1" customWidth="1"/>
    <col min="6918" max="7168" width="8.88671875" style="4"/>
    <col min="7169" max="7169" width="11" style="4" customWidth="1"/>
    <col min="7170" max="7170" width="12.6640625" style="4" customWidth="1"/>
    <col min="7171" max="7171" width="19.109375" style="4" customWidth="1"/>
    <col min="7172" max="7172" width="33.109375" style="4" bestFit="1" customWidth="1"/>
    <col min="7173" max="7173" width="28" style="4" bestFit="1" customWidth="1"/>
    <col min="7174" max="7424" width="8.88671875" style="4"/>
    <col min="7425" max="7425" width="11" style="4" customWidth="1"/>
    <col min="7426" max="7426" width="12.6640625" style="4" customWidth="1"/>
    <col min="7427" max="7427" width="19.109375" style="4" customWidth="1"/>
    <col min="7428" max="7428" width="33.109375" style="4" bestFit="1" customWidth="1"/>
    <col min="7429" max="7429" width="28" style="4" bestFit="1" customWidth="1"/>
    <col min="7430" max="7680" width="8.88671875" style="4"/>
    <col min="7681" max="7681" width="11" style="4" customWidth="1"/>
    <col min="7682" max="7682" width="12.6640625" style="4" customWidth="1"/>
    <col min="7683" max="7683" width="19.109375" style="4" customWidth="1"/>
    <col min="7684" max="7684" width="33.109375" style="4" bestFit="1" customWidth="1"/>
    <col min="7685" max="7685" width="28" style="4" bestFit="1" customWidth="1"/>
    <col min="7686" max="7936" width="8.88671875" style="4"/>
    <col min="7937" max="7937" width="11" style="4" customWidth="1"/>
    <col min="7938" max="7938" width="12.6640625" style="4" customWidth="1"/>
    <col min="7939" max="7939" width="19.109375" style="4" customWidth="1"/>
    <col min="7940" max="7940" width="33.109375" style="4" bestFit="1" customWidth="1"/>
    <col min="7941" max="7941" width="28" style="4" bestFit="1" customWidth="1"/>
    <col min="7942" max="8192" width="8.88671875" style="4"/>
    <col min="8193" max="8193" width="11" style="4" customWidth="1"/>
    <col min="8194" max="8194" width="12.6640625" style="4" customWidth="1"/>
    <col min="8195" max="8195" width="19.109375" style="4" customWidth="1"/>
    <col min="8196" max="8196" width="33.109375" style="4" bestFit="1" customWidth="1"/>
    <col min="8197" max="8197" width="28" style="4" bestFit="1" customWidth="1"/>
    <col min="8198" max="8448" width="8.88671875" style="4"/>
    <col min="8449" max="8449" width="11" style="4" customWidth="1"/>
    <col min="8450" max="8450" width="12.6640625" style="4" customWidth="1"/>
    <col min="8451" max="8451" width="19.109375" style="4" customWidth="1"/>
    <col min="8452" max="8452" width="33.109375" style="4" bestFit="1" customWidth="1"/>
    <col min="8453" max="8453" width="28" style="4" bestFit="1" customWidth="1"/>
    <col min="8454" max="8704" width="8.88671875" style="4"/>
    <col min="8705" max="8705" width="11" style="4" customWidth="1"/>
    <col min="8706" max="8706" width="12.6640625" style="4" customWidth="1"/>
    <col min="8707" max="8707" width="19.109375" style="4" customWidth="1"/>
    <col min="8708" max="8708" width="33.109375" style="4" bestFit="1" customWidth="1"/>
    <col min="8709" max="8709" width="28" style="4" bestFit="1" customWidth="1"/>
    <col min="8710" max="8960" width="8.88671875" style="4"/>
    <col min="8961" max="8961" width="11" style="4" customWidth="1"/>
    <col min="8962" max="8962" width="12.6640625" style="4" customWidth="1"/>
    <col min="8963" max="8963" width="19.109375" style="4" customWidth="1"/>
    <col min="8964" max="8964" width="33.109375" style="4" bestFit="1" customWidth="1"/>
    <col min="8965" max="8965" width="28" style="4" bestFit="1" customWidth="1"/>
    <col min="8966" max="9216" width="8.88671875" style="4"/>
    <col min="9217" max="9217" width="11" style="4" customWidth="1"/>
    <col min="9218" max="9218" width="12.6640625" style="4" customWidth="1"/>
    <col min="9219" max="9219" width="19.109375" style="4" customWidth="1"/>
    <col min="9220" max="9220" width="33.109375" style="4" bestFit="1" customWidth="1"/>
    <col min="9221" max="9221" width="28" style="4" bestFit="1" customWidth="1"/>
    <col min="9222" max="9472" width="8.88671875" style="4"/>
    <col min="9473" max="9473" width="11" style="4" customWidth="1"/>
    <col min="9474" max="9474" width="12.6640625" style="4" customWidth="1"/>
    <col min="9475" max="9475" width="19.109375" style="4" customWidth="1"/>
    <col min="9476" max="9476" width="33.109375" style="4" bestFit="1" customWidth="1"/>
    <col min="9477" max="9477" width="28" style="4" bestFit="1" customWidth="1"/>
    <col min="9478" max="9728" width="8.88671875" style="4"/>
    <col min="9729" max="9729" width="11" style="4" customWidth="1"/>
    <col min="9730" max="9730" width="12.6640625" style="4" customWidth="1"/>
    <col min="9731" max="9731" width="19.109375" style="4" customWidth="1"/>
    <col min="9732" max="9732" width="33.109375" style="4" bestFit="1" customWidth="1"/>
    <col min="9733" max="9733" width="28" style="4" bestFit="1" customWidth="1"/>
    <col min="9734" max="9984" width="8.88671875" style="4"/>
    <col min="9985" max="9985" width="11" style="4" customWidth="1"/>
    <col min="9986" max="9986" width="12.6640625" style="4" customWidth="1"/>
    <col min="9987" max="9987" width="19.109375" style="4" customWidth="1"/>
    <col min="9988" max="9988" width="33.109375" style="4" bestFit="1" customWidth="1"/>
    <col min="9989" max="9989" width="28" style="4" bestFit="1" customWidth="1"/>
    <col min="9990" max="10240" width="8.88671875" style="4"/>
    <col min="10241" max="10241" width="11" style="4" customWidth="1"/>
    <col min="10242" max="10242" width="12.6640625" style="4" customWidth="1"/>
    <col min="10243" max="10243" width="19.109375" style="4" customWidth="1"/>
    <col min="10244" max="10244" width="33.109375" style="4" bestFit="1" customWidth="1"/>
    <col min="10245" max="10245" width="28" style="4" bestFit="1" customWidth="1"/>
    <col min="10246" max="10496" width="8.88671875" style="4"/>
    <col min="10497" max="10497" width="11" style="4" customWidth="1"/>
    <col min="10498" max="10498" width="12.6640625" style="4" customWidth="1"/>
    <col min="10499" max="10499" width="19.109375" style="4" customWidth="1"/>
    <col min="10500" max="10500" width="33.109375" style="4" bestFit="1" customWidth="1"/>
    <col min="10501" max="10501" width="28" style="4" bestFit="1" customWidth="1"/>
    <col min="10502" max="10752" width="8.88671875" style="4"/>
    <col min="10753" max="10753" width="11" style="4" customWidth="1"/>
    <col min="10754" max="10754" width="12.6640625" style="4" customWidth="1"/>
    <col min="10755" max="10755" width="19.109375" style="4" customWidth="1"/>
    <col min="10756" max="10756" width="33.109375" style="4" bestFit="1" customWidth="1"/>
    <col min="10757" max="10757" width="28" style="4" bestFit="1" customWidth="1"/>
    <col min="10758" max="11008" width="8.88671875" style="4"/>
    <col min="11009" max="11009" width="11" style="4" customWidth="1"/>
    <col min="11010" max="11010" width="12.6640625" style="4" customWidth="1"/>
    <col min="11011" max="11011" width="19.109375" style="4" customWidth="1"/>
    <col min="11012" max="11012" width="33.109375" style="4" bestFit="1" customWidth="1"/>
    <col min="11013" max="11013" width="28" style="4" bestFit="1" customWidth="1"/>
    <col min="11014" max="11264" width="8.88671875" style="4"/>
    <col min="11265" max="11265" width="11" style="4" customWidth="1"/>
    <col min="11266" max="11266" width="12.6640625" style="4" customWidth="1"/>
    <col min="11267" max="11267" width="19.109375" style="4" customWidth="1"/>
    <col min="11268" max="11268" width="33.109375" style="4" bestFit="1" customWidth="1"/>
    <col min="11269" max="11269" width="28" style="4" bestFit="1" customWidth="1"/>
    <col min="11270" max="11520" width="8.88671875" style="4"/>
    <col min="11521" max="11521" width="11" style="4" customWidth="1"/>
    <col min="11522" max="11522" width="12.6640625" style="4" customWidth="1"/>
    <col min="11523" max="11523" width="19.109375" style="4" customWidth="1"/>
    <col min="11524" max="11524" width="33.109375" style="4" bestFit="1" customWidth="1"/>
    <col min="11525" max="11525" width="28" style="4" bestFit="1" customWidth="1"/>
    <col min="11526" max="11776" width="8.88671875" style="4"/>
    <col min="11777" max="11777" width="11" style="4" customWidth="1"/>
    <col min="11778" max="11778" width="12.6640625" style="4" customWidth="1"/>
    <col min="11779" max="11779" width="19.109375" style="4" customWidth="1"/>
    <col min="11780" max="11780" width="33.109375" style="4" bestFit="1" customWidth="1"/>
    <col min="11781" max="11781" width="28" style="4" bestFit="1" customWidth="1"/>
    <col min="11782" max="12032" width="8.88671875" style="4"/>
    <col min="12033" max="12033" width="11" style="4" customWidth="1"/>
    <col min="12034" max="12034" width="12.6640625" style="4" customWidth="1"/>
    <col min="12035" max="12035" width="19.109375" style="4" customWidth="1"/>
    <col min="12036" max="12036" width="33.109375" style="4" bestFit="1" customWidth="1"/>
    <col min="12037" max="12037" width="28" style="4" bestFit="1" customWidth="1"/>
    <col min="12038" max="12288" width="8.88671875" style="4"/>
    <col min="12289" max="12289" width="11" style="4" customWidth="1"/>
    <col min="12290" max="12290" width="12.6640625" style="4" customWidth="1"/>
    <col min="12291" max="12291" width="19.109375" style="4" customWidth="1"/>
    <col min="12292" max="12292" width="33.109375" style="4" bestFit="1" customWidth="1"/>
    <col min="12293" max="12293" width="28" style="4" bestFit="1" customWidth="1"/>
    <col min="12294" max="12544" width="8.88671875" style="4"/>
    <col min="12545" max="12545" width="11" style="4" customWidth="1"/>
    <col min="12546" max="12546" width="12.6640625" style="4" customWidth="1"/>
    <col min="12547" max="12547" width="19.109375" style="4" customWidth="1"/>
    <col min="12548" max="12548" width="33.109375" style="4" bestFit="1" customWidth="1"/>
    <col min="12549" max="12549" width="28" style="4" bestFit="1" customWidth="1"/>
    <col min="12550" max="12800" width="8.88671875" style="4"/>
    <col min="12801" max="12801" width="11" style="4" customWidth="1"/>
    <col min="12802" max="12802" width="12.6640625" style="4" customWidth="1"/>
    <col min="12803" max="12803" width="19.109375" style="4" customWidth="1"/>
    <col min="12804" max="12804" width="33.109375" style="4" bestFit="1" customWidth="1"/>
    <col min="12805" max="12805" width="28" style="4" bestFit="1" customWidth="1"/>
    <col min="12806" max="13056" width="8.88671875" style="4"/>
    <col min="13057" max="13057" width="11" style="4" customWidth="1"/>
    <col min="13058" max="13058" width="12.6640625" style="4" customWidth="1"/>
    <col min="13059" max="13059" width="19.109375" style="4" customWidth="1"/>
    <col min="13060" max="13060" width="33.109375" style="4" bestFit="1" customWidth="1"/>
    <col min="13061" max="13061" width="28" style="4" bestFit="1" customWidth="1"/>
    <col min="13062" max="13312" width="8.88671875" style="4"/>
    <col min="13313" max="13313" width="11" style="4" customWidth="1"/>
    <col min="13314" max="13314" width="12.6640625" style="4" customWidth="1"/>
    <col min="13315" max="13315" width="19.109375" style="4" customWidth="1"/>
    <col min="13316" max="13316" width="33.109375" style="4" bestFit="1" customWidth="1"/>
    <col min="13317" max="13317" width="28" style="4" bestFit="1" customWidth="1"/>
    <col min="13318" max="13568" width="8.88671875" style="4"/>
    <col min="13569" max="13569" width="11" style="4" customWidth="1"/>
    <col min="13570" max="13570" width="12.6640625" style="4" customWidth="1"/>
    <col min="13571" max="13571" width="19.109375" style="4" customWidth="1"/>
    <col min="13572" max="13572" width="33.109375" style="4" bestFit="1" customWidth="1"/>
    <col min="13573" max="13573" width="28" style="4" bestFit="1" customWidth="1"/>
    <col min="13574" max="13824" width="8.88671875" style="4"/>
    <col min="13825" max="13825" width="11" style="4" customWidth="1"/>
    <col min="13826" max="13826" width="12.6640625" style="4" customWidth="1"/>
    <col min="13827" max="13827" width="19.109375" style="4" customWidth="1"/>
    <col min="13828" max="13828" width="33.109375" style="4" bestFit="1" customWidth="1"/>
    <col min="13829" max="13829" width="28" style="4" bestFit="1" customWidth="1"/>
    <col min="13830" max="14080" width="8.88671875" style="4"/>
    <col min="14081" max="14081" width="11" style="4" customWidth="1"/>
    <col min="14082" max="14082" width="12.6640625" style="4" customWidth="1"/>
    <col min="14083" max="14083" width="19.109375" style="4" customWidth="1"/>
    <col min="14084" max="14084" width="33.109375" style="4" bestFit="1" customWidth="1"/>
    <col min="14085" max="14085" width="28" style="4" bestFit="1" customWidth="1"/>
    <col min="14086" max="14336" width="8.88671875" style="4"/>
    <col min="14337" max="14337" width="11" style="4" customWidth="1"/>
    <col min="14338" max="14338" width="12.6640625" style="4" customWidth="1"/>
    <col min="14339" max="14339" width="19.109375" style="4" customWidth="1"/>
    <col min="14340" max="14340" width="33.109375" style="4" bestFit="1" customWidth="1"/>
    <col min="14341" max="14341" width="28" style="4" bestFit="1" customWidth="1"/>
    <col min="14342" max="14592" width="8.88671875" style="4"/>
    <col min="14593" max="14593" width="11" style="4" customWidth="1"/>
    <col min="14594" max="14594" width="12.6640625" style="4" customWidth="1"/>
    <col min="14595" max="14595" width="19.109375" style="4" customWidth="1"/>
    <col min="14596" max="14596" width="33.109375" style="4" bestFit="1" customWidth="1"/>
    <col min="14597" max="14597" width="28" style="4" bestFit="1" customWidth="1"/>
    <col min="14598" max="14848" width="8.88671875" style="4"/>
    <col min="14849" max="14849" width="11" style="4" customWidth="1"/>
    <col min="14850" max="14850" width="12.6640625" style="4" customWidth="1"/>
    <col min="14851" max="14851" width="19.109375" style="4" customWidth="1"/>
    <col min="14852" max="14852" width="33.109375" style="4" bestFit="1" customWidth="1"/>
    <col min="14853" max="14853" width="28" style="4" bestFit="1" customWidth="1"/>
    <col min="14854" max="15104" width="8.88671875" style="4"/>
    <col min="15105" max="15105" width="11" style="4" customWidth="1"/>
    <col min="15106" max="15106" width="12.6640625" style="4" customWidth="1"/>
    <col min="15107" max="15107" width="19.109375" style="4" customWidth="1"/>
    <col min="15108" max="15108" width="33.109375" style="4" bestFit="1" customWidth="1"/>
    <col min="15109" max="15109" width="28" style="4" bestFit="1" customWidth="1"/>
    <col min="15110" max="15360" width="8.88671875" style="4"/>
    <col min="15361" max="15361" width="11" style="4" customWidth="1"/>
    <col min="15362" max="15362" width="12.6640625" style="4" customWidth="1"/>
    <col min="15363" max="15363" width="19.109375" style="4" customWidth="1"/>
    <col min="15364" max="15364" width="33.109375" style="4" bestFit="1" customWidth="1"/>
    <col min="15365" max="15365" width="28" style="4" bestFit="1" customWidth="1"/>
    <col min="15366" max="15616" width="8.88671875" style="4"/>
    <col min="15617" max="15617" width="11" style="4" customWidth="1"/>
    <col min="15618" max="15618" width="12.6640625" style="4" customWidth="1"/>
    <col min="15619" max="15619" width="19.109375" style="4" customWidth="1"/>
    <col min="15620" max="15620" width="33.109375" style="4" bestFit="1" customWidth="1"/>
    <col min="15621" max="15621" width="28" style="4" bestFit="1" customWidth="1"/>
    <col min="15622" max="15872" width="8.88671875" style="4"/>
    <col min="15873" max="15873" width="11" style="4" customWidth="1"/>
    <col min="15874" max="15874" width="12.6640625" style="4" customWidth="1"/>
    <col min="15875" max="15875" width="19.109375" style="4" customWidth="1"/>
    <col min="15876" max="15876" width="33.109375" style="4" bestFit="1" customWidth="1"/>
    <col min="15877" max="15877" width="28" style="4" bestFit="1" customWidth="1"/>
    <col min="15878" max="16128" width="8.88671875" style="4"/>
    <col min="16129" max="16129" width="11" style="4" customWidth="1"/>
    <col min="16130" max="16130" width="12.6640625" style="4" customWidth="1"/>
    <col min="16131" max="16131" width="19.109375" style="4" customWidth="1"/>
    <col min="16132" max="16132" width="33.109375" style="4" bestFit="1" customWidth="1"/>
    <col min="16133" max="16133" width="28" style="4" bestFit="1" customWidth="1"/>
    <col min="16134" max="16384" width="8.88671875" style="4"/>
  </cols>
  <sheetData>
    <row r="1" spans="1:9" ht="37.5" customHeight="1" x14ac:dyDescent="0.25">
      <c r="A1" s="1" t="s">
        <v>0</v>
      </c>
      <c r="B1" s="1"/>
      <c r="C1" s="1"/>
      <c r="D1" s="1"/>
      <c r="E1" s="2"/>
      <c r="F1" s="3"/>
      <c r="G1" s="3"/>
      <c r="H1" s="3"/>
      <c r="I1" s="3"/>
    </row>
    <row r="2" spans="1:9" x14ac:dyDescent="0.25">
      <c r="A2" s="4" t="s">
        <v>1</v>
      </c>
      <c r="B2" s="4">
        <v>0.3</v>
      </c>
      <c r="C2" s="4" t="s">
        <v>2</v>
      </c>
    </row>
    <row r="3" spans="1:9" x14ac:dyDescent="0.25">
      <c r="A3" s="4" t="s">
        <v>3</v>
      </c>
      <c r="B3" s="4">
        <v>5</v>
      </c>
      <c r="C3" s="4" t="s">
        <v>4</v>
      </c>
    </row>
    <row r="4" spans="1:9" x14ac:dyDescent="0.25">
      <c r="A4" s="4" t="s">
        <v>5</v>
      </c>
      <c r="B4" s="5">
        <v>0.06</v>
      </c>
    </row>
    <row r="5" spans="1:9" x14ac:dyDescent="0.25">
      <c r="A5" s="4" t="s">
        <v>6</v>
      </c>
      <c r="B5" s="6">
        <v>100</v>
      </c>
    </row>
    <row r="6" spans="1:9" x14ac:dyDescent="0.25">
      <c r="A6" s="4" t="s">
        <v>7</v>
      </c>
      <c r="B6" s="6">
        <v>1000</v>
      </c>
    </row>
    <row r="7" spans="1:9" x14ac:dyDescent="0.25">
      <c r="A7" s="4" t="s">
        <v>8</v>
      </c>
      <c r="B7" s="6">
        <f>NPV(B4,B10:B14)*(1+B4)^(1-B2)</f>
        <v>1217.1407344536344</v>
      </c>
      <c r="C7" s="4" t="str">
        <f ca="1">_xlfn.FORMULATEXT(B7)</f>
        <v>=NPV(B4,B10:B14)*(1+B4)^(1-B2)</v>
      </c>
    </row>
    <row r="9" spans="1:9" ht="16.8" x14ac:dyDescent="0.35">
      <c r="A9" s="7" t="s">
        <v>9</v>
      </c>
      <c r="B9" s="7" t="s">
        <v>10</v>
      </c>
      <c r="C9" s="7" t="s">
        <v>11</v>
      </c>
      <c r="D9" s="8"/>
      <c r="G9" s="8"/>
      <c r="H9" s="8"/>
    </row>
    <row r="10" spans="1:9" ht="13.8" x14ac:dyDescent="0.25">
      <c r="A10" s="8">
        <f>B2</f>
        <v>0.3</v>
      </c>
      <c r="B10" s="9">
        <f>$B$5</f>
        <v>100</v>
      </c>
      <c r="C10" s="10">
        <f>(B10*A10)/(1+$B$4)^A10/$B$7</f>
        <v>2.4220811948156378E-2</v>
      </c>
      <c r="D10" s="4" t="str">
        <f ca="1">_xlfn.FORMULATEXT(C10)</f>
        <v>=(B10*A10)/(1+$B$4)^A10/$B$7</v>
      </c>
      <c r="E10" s="4">
        <v>1</v>
      </c>
      <c r="F10" s="4">
        <f>$B$2-1</f>
        <v>-0.7</v>
      </c>
      <c r="G10" s="8">
        <f t="shared" ref="G10:G14" si="0">E10+F10</f>
        <v>0.30000000000000004</v>
      </c>
      <c r="H10" s="9"/>
      <c r="I10" s="11"/>
    </row>
    <row r="11" spans="1:9" ht="13.8" x14ac:dyDescent="0.25">
      <c r="A11" s="8">
        <f>A10+1</f>
        <v>1.3</v>
      </c>
      <c r="B11" s="9">
        <f>$B$5</f>
        <v>100</v>
      </c>
      <c r="C11" s="10">
        <f>(B11*A11)/(1+$B$4)^A11/$B$7</f>
        <v>9.9015897901268204E-2</v>
      </c>
      <c r="E11" s="4">
        <v>2</v>
      </c>
      <c r="F11" s="4">
        <f t="shared" ref="F11:F14" si="1">$B$2-1</f>
        <v>-0.7</v>
      </c>
      <c r="G11" s="8">
        <f t="shared" si="0"/>
        <v>1.3</v>
      </c>
      <c r="H11" s="9"/>
      <c r="I11" s="11"/>
    </row>
    <row r="12" spans="1:9" ht="13.8" x14ac:dyDescent="0.25">
      <c r="A12" s="8">
        <f>A11+1</f>
        <v>2.2999999999999998</v>
      </c>
      <c r="B12" s="9">
        <f>$B$5</f>
        <v>100</v>
      </c>
      <c r="C12" s="10">
        <f>(B12*A12)/(1+$B$4)^A12/$B$7</f>
        <v>0.16526601246220382</v>
      </c>
      <c r="E12" s="4">
        <v>3</v>
      </c>
      <c r="F12" s="4">
        <f t="shared" si="1"/>
        <v>-0.7</v>
      </c>
      <c r="G12" s="8">
        <f t="shared" si="0"/>
        <v>2.2999999999999998</v>
      </c>
      <c r="H12" s="9"/>
      <c r="I12" s="11"/>
    </row>
    <row r="13" spans="1:9" ht="13.8" x14ac:dyDescent="0.25">
      <c r="A13" s="8">
        <f>A12+1</f>
        <v>3.3</v>
      </c>
      <c r="B13" s="9">
        <f>$B$5</f>
        <v>100</v>
      </c>
      <c r="C13" s="10">
        <f>(B13*A13)/(1+$B$4)^A13/$B$7</f>
        <v>0.22369886838608394</v>
      </c>
      <c r="E13" s="4">
        <v>4</v>
      </c>
      <c r="F13" s="4">
        <f t="shared" si="1"/>
        <v>-0.7</v>
      </c>
      <c r="G13" s="8">
        <f t="shared" si="0"/>
        <v>3.3</v>
      </c>
      <c r="H13" s="9"/>
      <c r="I13" s="11"/>
    </row>
    <row r="14" spans="1:9" ht="13.8" x14ac:dyDescent="0.25">
      <c r="A14" s="8">
        <f>A13+1</f>
        <v>4.3</v>
      </c>
      <c r="B14" s="9">
        <f>$B$5+B6</f>
        <v>1100</v>
      </c>
      <c r="C14" s="10">
        <f>(B14*A14)/(1+$B$4)^A14/$B$7</f>
        <v>3.0248589121388711</v>
      </c>
      <c r="E14" s="4">
        <v>5</v>
      </c>
      <c r="F14" s="4">
        <f t="shared" si="1"/>
        <v>-0.7</v>
      </c>
      <c r="G14" s="8">
        <f t="shared" si="0"/>
        <v>4.3</v>
      </c>
      <c r="H14" s="9"/>
      <c r="I14" s="11"/>
    </row>
    <row r="15" spans="1:9" x14ac:dyDescent="0.25">
      <c r="A15" s="12" t="s">
        <v>12</v>
      </c>
      <c r="B15" s="12"/>
      <c r="C15" s="13">
        <f>SUM(C10:C14)</f>
        <v>3.5370605028365834</v>
      </c>
      <c r="D15" s="4" t="str">
        <f ca="1">_xlfn.FORMULATEXT(C15)</f>
        <v>=SUM(C10:C14)</v>
      </c>
      <c r="I15" s="11"/>
    </row>
    <row r="17" spans="1:7" x14ac:dyDescent="0.25">
      <c r="A17" s="12" t="s">
        <v>13</v>
      </c>
      <c r="B17" s="12"/>
      <c r="C17" s="13">
        <f>dduration(B3,B5/B6,B4,B2)</f>
        <v>3.5370605028365834</v>
      </c>
      <c r="D17" s="4" t="str">
        <f ca="1">_xlfn.FORMULATEXT(C17)</f>
        <v>=dduration(B3,B5/B6,B4,B2)</v>
      </c>
    </row>
    <row r="22" spans="1:7" x14ac:dyDescent="0.25">
      <c r="B22" s="4" t="s">
        <v>14</v>
      </c>
    </row>
    <row r="23" spans="1:7" x14ac:dyDescent="0.25">
      <c r="B23" s="4" t="s">
        <v>15</v>
      </c>
      <c r="G23" s="11"/>
    </row>
    <row r="25" spans="1:7" x14ac:dyDescent="0.25">
      <c r="B25" s="4" t="s">
        <v>16</v>
      </c>
    </row>
    <row r="26" spans="1:7" x14ac:dyDescent="0.25">
      <c r="B26" s="4" t="s">
        <v>17</v>
      </c>
      <c r="C26" s="14">
        <f>DATE(96,5,22)</f>
        <v>35207</v>
      </c>
      <c r="E26" s="4" t="s">
        <v>18</v>
      </c>
      <c r="F26" s="4">
        <v>9</v>
      </c>
    </row>
    <row r="27" spans="1:7" x14ac:dyDescent="0.25">
      <c r="B27" s="4" t="s">
        <v>19</v>
      </c>
      <c r="C27" s="14">
        <f>DATE(2000,F26,F27)</f>
        <v>36777</v>
      </c>
      <c r="E27" s="4" t="s">
        <v>20</v>
      </c>
      <c r="F27" s="4">
        <v>8</v>
      </c>
    </row>
    <row r="28" spans="1:7" x14ac:dyDescent="0.25">
      <c r="B28" s="4" t="s">
        <v>21</v>
      </c>
      <c r="C28" s="4">
        <f>(C27-C26)/365-4</f>
        <v>0.30136986301369895</v>
      </c>
    </row>
    <row r="29" spans="1:7" ht="13.8" x14ac:dyDescent="0.25">
      <c r="B29" s="4" t="s">
        <v>22</v>
      </c>
      <c r="C29" s="15">
        <f>B5/B6</f>
        <v>0.1</v>
      </c>
    </row>
    <row r="30" spans="1:7" x14ac:dyDescent="0.25">
      <c r="B30" s="4" t="s">
        <v>23</v>
      </c>
      <c r="C30" s="5">
        <v>0.06</v>
      </c>
    </row>
    <row r="32" spans="1:7" x14ac:dyDescent="0.25">
      <c r="C32" s="11">
        <f>DURATION(C26,C27,C29,C30,1)</f>
        <v>3.5315049472810283</v>
      </c>
      <c r="D32" s="4" t="str">
        <f ca="1">_xlfn.FORMULATEXT(C32)</f>
        <v>=DURATION(C26,C27,C29,C30,1)</v>
      </c>
    </row>
    <row r="34" spans="2:5" x14ac:dyDescent="0.25">
      <c r="B34" s="4" t="s">
        <v>24</v>
      </c>
      <c r="D34" s="11">
        <f>dduration(5,10%,6%,B2)</f>
        <v>3.5370605028365834</v>
      </c>
      <c r="E34" s="4" t="str">
        <f ca="1">_xlfn.FORMULATEXT(D34)</f>
        <v>=dduration(5,10%,6%,B2)</v>
      </c>
    </row>
  </sheetData>
  <mergeCells count="1">
    <mergeCell ref="A1:D1"/>
  </mergeCells>
  <phoneticPr fontId="1" type="noConversion"/>
  <printOptions horizontalCentered="1" headings="1" gridLines="1"/>
  <pageMargins left="0" right="0" top="0.98425196850393704" bottom="0" header="0.51181102362204722" footer="0.51181102362204722"/>
  <pageSetup scale="99" orientation="landscape" r:id="rId1"/>
  <headerFooter alignWithMargins="0">
    <oddHeader>&amp;A</oddHeader>
    <oddFooter>Page 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</vt:i4>
      </vt:variant>
    </vt:vector>
  </HeadingPairs>
  <TitlesOfParts>
    <vt:vector size="3" baseType="lpstr">
      <vt:lpstr>Sheet1</vt:lpstr>
      <vt:lpstr>Page 681</vt:lpstr>
      <vt:lpstr>'Page 681'!Print_Area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cp:lastPrinted>2024-12-16T08:42:48Z</cp:lastPrinted>
  <dcterms:created xsi:type="dcterms:W3CDTF">2024-10-05T13:27:14Z</dcterms:created>
  <dcterms:modified xsi:type="dcterms:W3CDTF">2024-12-16T08:42:49Z</dcterms:modified>
</cp:coreProperties>
</file>