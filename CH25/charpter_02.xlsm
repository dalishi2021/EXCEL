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5\"/>
    </mc:Choice>
  </mc:AlternateContent>
  <xr:revisionPtr revIDLastSave="0" documentId="13_ncr:1_{E8A38DD6-4D0F-4231-BB35-9870AF7B130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76" sheetId="2" r:id="rId2"/>
  </sheets>
  <definedNames>
    <definedName name="_xlnm.Print_Area" localSheetId="1">'Page 676'!$A$1:$F$19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2" l="1"/>
  <c r="B17" i="2"/>
  <c r="E17" i="2"/>
  <c r="B13" i="2"/>
  <c r="E13" i="2"/>
  <c r="B19" i="2"/>
  <c r="E10" i="2"/>
  <c r="B10" i="2"/>
  <c r="E9" i="2"/>
  <c r="B9" i="2"/>
  <c r="F19" i="2"/>
  <c r="F17" i="2"/>
  <c r="F16" i="2"/>
  <c r="F13" i="2"/>
  <c r="F10" i="2"/>
  <c r="F9" i="2"/>
  <c r="B16" i="2" l="1"/>
  <c r="E16" i="2"/>
</calcChain>
</file>

<file path=xl/sharedStrings.xml><?xml version="1.0" encoding="utf-8"?>
<sst xmlns="http://schemas.openxmlformats.org/spreadsheetml/2006/main" count="20" uniqueCount="16">
  <si>
    <r>
      <t xml:space="preserve">DURATION AS PRICE ELASTICITY
The change in the bond price can be approximated by
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 xml:space="preserve">P </t>
    </r>
    <r>
      <rPr>
        <b/>
        <sz val="14"/>
        <rFont val="Symbol"/>
        <family val="1"/>
        <charset val="2"/>
      </rPr>
      <t>»</t>
    </r>
    <r>
      <rPr>
        <b/>
        <sz val="14"/>
        <rFont val="Arial"/>
        <family val="2"/>
      </rPr>
      <t xml:space="preserve"> - Duration*Price*</t>
    </r>
    <r>
      <rPr>
        <b/>
        <sz val="14"/>
        <rFont val="Symbol"/>
        <family val="1"/>
        <charset val="2"/>
      </rPr>
      <t>D</t>
    </r>
    <r>
      <rPr>
        <b/>
        <sz val="14"/>
        <rFont val="Arial"/>
        <family val="2"/>
      </rPr>
      <t>r/(1+r)</t>
    </r>
  </si>
  <si>
    <t>Discount rate</t>
  </si>
  <si>
    <t>Bond A</t>
  </si>
  <si>
    <t>Bond B</t>
  </si>
  <si>
    <t>Coupon rate</t>
  </si>
  <si>
    <t>Coupon</t>
  </si>
  <si>
    <t>Face value</t>
  </si>
  <si>
    <t>Maturity</t>
  </si>
  <si>
    <t>Price</t>
  </si>
  <si>
    <t>Duration</t>
  </si>
  <si>
    <t>New discount rate</t>
  </si>
  <si>
    <t>New price</t>
  </si>
  <si>
    <t>Change in price</t>
  </si>
  <si>
    <t>Actual</t>
  </si>
  <si>
    <r>
      <t xml:space="preserve">Using duration as approximation
DP </t>
    </r>
    <r>
      <rPr>
        <sz val="10"/>
        <rFont val="Symbol"/>
        <family val="1"/>
        <charset val="2"/>
      </rPr>
      <t xml:space="preserve"> »</t>
    </r>
    <r>
      <rPr>
        <sz val="11"/>
        <color theme="1"/>
        <rFont val="等线"/>
        <family val="2"/>
        <charset val="134"/>
        <scheme val="minor"/>
      </rPr>
      <t xml:space="preserve"> - Duration *Price*</t>
    </r>
    <r>
      <rPr>
        <sz val="10"/>
        <rFont val="Symbol"/>
        <family val="1"/>
        <charset val="2"/>
      </rPr>
      <t>D</t>
    </r>
    <r>
      <rPr>
        <sz val="11"/>
        <color theme="1"/>
        <rFont val="等线"/>
        <family val="2"/>
        <charset val="134"/>
        <scheme val="minor"/>
      </rPr>
      <t>r/(1+r)</t>
    </r>
  </si>
  <si>
    <r>
      <t xml:space="preserve">Using </t>
    </r>
    <r>
      <rPr>
        <b/>
        <sz val="10"/>
        <rFont val="Arial"/>
        <family val="2"/>
      </rPr>
      <t>MDuration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</si>
</sst>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4"/>
      <name val="Symbol"/>
      <family val="1"/>
      <charset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Symbol"/>
      <family val="1"/>
      <charset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8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  <xf numFmtId="0" fontId="2" fillId="0" borderId="0" xfId="1"/>
    <xf numFmtId="9" fontId="2" fillId="0" borderId="0" xfId="1" applyNumberFormat="1"/>
    <xf numFmtId="0" fontId="5" fillId="0" borderId="0" xfId="1" applyFont="1"/>
    <xf numFmtId="3" fontId="2" fillId="0" borderId="0" xfId="1" applyNumberFormat="1"/>
    <xf numFmtId="4" fontId="2" fillId="0" borderId="0" xfId="1" applyNumberFormat="1"/>
    <xf numFmtId="176" fontId="2" fillId="0" borderId="0" xfId="1" applyNumberFormat="1"/>
    <xf numFmtId="10" fontId="2" fillId="0" borderId="0" xfId="1" applyNumberFormat="1"/>
    <xf numFmtId="0" fontId="6" fillId="0" borderId="0" xfId="1" applyFont="1"/>
    <xf numFmtId="0" fontId="2" fillId="0" borderId="0" xfId="1" applyAlignment="1">
      <alignment horizontal="left" indent="1"/>
    </xf>
    <xf numFmtId="0" fontId="2" fillId="2" borderId="0" xfId="1" applyFill="1"/>
    <xf numFmtId="0" fontId="2" fillId="2" borderId="0" xfId="1" applyFill="1" applyAlignment="1">
      <alignment horizontal="left" wrapText="1"/>
    </xf>
    <xf numFmtId="0" fontId="2" fillId="3" borderId="0" xfId="1" applyFill="1" applyAlignment="1">
      <alignment horizontal="left" indent="1"/>
    </xf>
    <xf numFmtId="2" fontId="2" fillId="3" borderId="0" xfId="1" applyNumberFormat="1" applyFill="1"/>
    <xf numFmtId="0" fontId="2" fillId="3" borderId="0" xfId="1" applyFill="1"/>
    <xf numFmtId="0" fontId="2" fillId="3" borderId="0" xfId="1" applyFill="1" applyAlignment="1">
      <alignment horizontal="left" wrapText="1" indent="1"/>
    </xf>
  </cellXfs>
  <cellStyles count="2">
    <cellStyle name="常规" xfId="0" builtinId="0"/>
    <cellStyle name="常规 2" xfId="1" xr:uid="{648AE6B7-2392-4AF2-973C-5979AEFF82D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419539</xdr:colOff>
      <xdr:row>0</xdr:row>
      <xdr:rowOff>142728</xdr:rowOff>
    </xdr:from>
    <xdr:to>
      <xdr:col>21</xdr:col>
      <xdr:colOff>343723</xdr:colOff>
      <xdr:row>26</xdr:row>
      <xdr:rowOff>162411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3C970312-5B38-CB47-9728-FC48BDE53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83501" y="142728"/>
          <a:ext cx="9046203" cy="558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L33" sqref="L33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483AC-1F95-487B-9FCC-29EB34434AF4}">
  <sheetPr codeName="Sheet5">
    <pageSetUpPr fitToPage="1"/>
  </sheetPr>
  <dimension ref="A1:F19"/>
  <sheetViews>
    <sheetView tabSelected="1" zoomScale="130" zoomScaleNormal="130" workbookViewId="0">
      <selection activeCell="F30" sqref="F30"/>
    </sheetView>
  </sheetViews>
  <sheetFormatPr defaultRowHeight="13.2" x14ac:dyDescent="0.25"/>
  <cols>
    <col min="1" max="1" width="30.5546875" style="3" customWidth="1"/>
    <col min="2" max="2" width="8.88671875" style="3"/>
    <col min="3" max="3" width="3.109375" style="3" customWidth="1"/>
    <col min="4" max="5" width="8.88671875" style="3"/>
    <col min="6" max="6" width="51.5546875" style="3" bestFit="1" customWidth="1"/>
    <col min="7" max="256" width="8.88671875" style="3"/>
    <col min="257" max="257" width="30.5546875" style="3" customWidth="1"/>
    <col min="258" max="258" width="8.88671875" style="3"/>
    <col min="259" max="259" width="3.109375" style="3" customWidth="1"/>
    <col min="260" max="261" width="8.88671875" style="3"/>
    <col min="262" max="262" width="51.5546875" style="3" bestFit="1" customWidth="1"/>
    <col min="263" max="512" width="8.88671875" style="3"/>
    <col min="513" max="513" width="30.5546875" style="3" customWidth="1"/>
    <col min="514" max="514" width="8.88671875" style="3"/>
    <col min="515" max="515" width="3.109375" style="3" customWidth="1"/>
    <col min="516" max="517" width="8.88671875" style="3"/>
    <col min="518" max="518" width="51.5546875" style="3" bestFit="1" customWidth="1"/>
    <col min="519" max="768" width="8.88671875" style="3"/>
    <col min="769" max="769" width="30.5546875" style="3" customWidth="1"/>
    <col min="770" max="770" width="8.88671875" style="3"/>
    <col min="771" max="771" width="3.109375" style="3" customWidth="1"/>
    <col min="772" max="773" width="8.88671875" style="3"/>
    <col min="774" max="774" width="51.5546875" style="3" bestFit="1" customWidth="1"/>
    <col min="775" max="1024" width="8.88671875" style="3"/>
    <col min="1025" max="1025" width="30.5546875" style="3" customWidth="1"/>
    <col min="1026" max="1026" width="8.88671875" style="3"/>
    <col min="1027" max="1027" width="3.109375" style="3" customWidth="1"/>
    <col min="1028" max="1029" width="8.88671875" style="3"/>
    <col min="1030" max="1030" width="51.5546875" style="3" bestFit="1" customWidth="1"/>
    <col min="1031" max="1280" width="8.88671875" style="3"/>
    <col min="1281" max="1281" width="30.5546875" style="3" customWidth="1"/>
    <col min="1282" max="1282" width="8.88671875" style="3"/>
    <col min="1283" max="1283" width="3.109375" style="3" customWidth="1"/>
    <col min="1284" max="1285" width="8.88671875" style="3"/>
    <col min="1286" max="1286" width="51.5546875" style="3" bestFit="1" customWidth="1"/>
    <col min="1287" max="1536" width="8.88671875" style="3"/>
    <col min="1537" max="1537" width="30.5546875" style="3" customWidth="1"/>
    <col min="1538" max="1538" width="8.88671875" style="3"/>
    <col min="1539" max="1539" width="3.109375" style="3" customWidth="1"/>
    <col min="1540" max="1541" width="8.88671875" style="3"/>
    <col min="1542" max="1542" width="51.5546875" style="3" bestFit="1" customWidth="1"/>
    <col min="1543" max="1792" width="8.88671875" style="3"/>
    <col min="1793" max="1793" width="30.5546875" style="3" customWidth="1"/>
    <col min="1794" max="1794" width="8.88671875" style="3"/>
    <col min="1795" max="1795" width="3.109375" style="3" customWidth="1"/>
    <col min="1796" max="1797" width="8.88671875" style="3"/>
    <col min="1798" max="1798" width="51.5546875" style="3" bestFit="1" customWidth="1"/>
    <col min="1799" max="2048" width="8.88671875" style="3"/>
    <col min="2049" max="2049" width="30.5546875" style="3" customWidth="1"/>
    <col min="2050" max="2050" width="8.88671875" style="3"/>
    <col min="2051" max="2051" width="3.109375" style="3" customWidth="1"/>
    <col min="2052" max="2053" width="8.88671875" style="3"/>
    <col min="2054" max="2054" width="51.5546875" style="3" bestFit="1" customWidth="1"/>
    <col min="2055" max="2304" width="8.88671875" style="3"/>
    <col min="2305" max="2305" width="30.5546875" style="3" customWidth="1"/>
    <col min="2306" max="2306" width="8.88671875" style="3"/>
    <col min="2307" max="2307" width="3.109375" style="3" customWidth="1"/>
    <col min="2308" max="2309" width="8.88671875" style="3"/>
    <col min="2310" max="2310" width="51.5546875" style="3" bestFit="1" customWidth="1"/>
    <col min="2311" max="2560" width="8.88671875" style="3"/>
    <col min="2561" max="2561" width="30.5546875" style="3" customWidth="1"/>
    <col min="2562" max="2562" width="8.88671875" style="3"/>
    <col min="2563" max="2563" width="3.109375" style="3" customWidth="1"/>
    <col min="2564" max="2565" width="8.88671875" style="3"/>
    <col min="2566" max="2566" width="51.5546875" style="3" bestFit="1" customWidth="1"/>
    <col min="2567" max="2816" width="8.88671875" style="3"/>
    <col min="2817" max="2817" width="30.5546875" style="3" customWidth="1"/>
    <col min="2818" max="2818" width="8.88671875" style="3"/>
    <col min="2819" max="2819" width="3.109375" style="3" customWidth="1"/>
    <col min="2820" max="2821" width="8.88671875" style="3"/>
    <col min="2822" max="2822" width="51.5546875" style="3" bestFit="1" customWidth="1"/>
    <col min="2823" max="3072" width="8.88671875" style="3"/>
    <col min="3073" max="3073" width="30.5546875" style="3" customWidth="1"/>
    <col min="3074" max="3074" width="8.88671875" style="3"/>
    <col min="3075" max="3075" width="3.109375" style="3" customWidth="1"/>
    <col min="3076" max="3077" width="8.88671875" style="3"/>
    <col min="3078" max="3078" width="51.5546875" style="3" bestFit="1" customWidth="1"/>
    <col min="3079" max="3328" width="8.88671875" style="3"/>
    <col min="3329" max="3329" width="30.5546875" style="3" customWidth="1"/>
    <col min="3330" max="3330" width="8.88671875" style="3"/>
    <col min="3331" max="3331" width="3.109375" style="3" customWidth="1"/>
    <col min="3332" max="3333" width="8.88671875" style="3"/>
    <col min="3334" max="3334" width="51.5546875" style="3" bestFit="1" customWidth="1"/>
    <col min="3335" max="3584" width="8.88671875" style="3"/>
    <col min="3585" max="3585" width="30.5546875" style="3" customWidth="1"/>
    <col min="3586" max="3586" width="8.88671875" style="3"/>
    <col min="3587" max="3587" width="3.109375" style="3" customWidth="1"/>
    <col min="3588" max="3589" width="8.88671875" style="3"/>
    <col min="3590" max="3590" width="51.5546875" style="3" bestFit="1" customWidth="1"/>
    <col min="3591" max="3840" width="8.88671875" style="3"/>
    <col min="3841" max="3841" width="30.5546875" style="3" customWidth="1"/>
    <col min="3842" max="3842" width="8.88671875" style="3"/>
    <col min="3843" max="3843" width="3.109375" style="3" customWidth="1"/>
    <col min="3844" max="3845" width="8.88671875" style="3"/>
    <col min="3846" max="3846" width="51.5546875" style="3" bestFit="1" customWidth="1"/>
    <col min="3847" max="4096" width="8.88671875" style="3"/>
    <col min="4097" max="4097" width="30.5546875" style="3" customWidth="1"/>
    <col min="4098" max="4098" width="8.88671875" style="3"/>
    <col min="4099" max="4099" width="3.109375" style="3" customWidth="1"/>
    <col min="4100" max="4101" width="8.88671875" style="3"/>
    <col min="4102" max="4102" width="51.5546875" style="3" bestFit="1" customWidth="1"/>
    <col min="4103" max="4352" width="8.88671875" style="3"/>
    <col min="4353" max="4353" width="30.5546875" style="3" customWidth="1"/>
    <col min="4354" max="4354" width="8.88671875" style="3"/>
    <col min="4355" max="4355" width="3.109375" style="3" customWidth="1"/>
    <col min="4356" max="4357" width="8.88671875" style="3"/>
    <col min="4358" max="4358" width="51.5546875" style="3" bestFit="1" customWidth="1"/>
    <col min="4359" max="4608" width="8.88671875" style="3"/>
    <col min="4609" max="4609" width="30.5546875" style="3" customWidth="1"/>
    <col min="4610" max="4610" width="8.88671875" style="3"/>
    <col min="4611" max="4611" width="3.109375" style="3" customWidth="1"/>
    <col min="4612" max="4613" width="8.88671875" style="3"/>
    <col min="4614" max="4614" width="51.5546875" style="3" bestFit="1" customWidth="1"/>
    <col min="4615" max="4864" width="8.88671875" style="3"/>
    <col min="4865" max="4865" width="30.5546875" style="3" customWidth="1"/>
    <col min="4866" max="4866" width="8.88671875" style="3"/>
    <col min="4867" max="4867" width="3.109375" style="3" customWidth="1"/>
    <col min="4868" max="4869" width="8.88671875" style="3"/>
    <col min="4870" max="4870" width="51.5546875" style="3" bestFit="1" customWidth="1"/>
    <col min="4871" max="5120" width="8.88671875" style="3"/>
    <col min="5121" max="5121" width="30.5546875" style="3" customWidth="1"/>
    <col min="5122" max="5122" width="8.88671875" style="3"/>
    <col min="5123" max="5123" width="3.109375" style="3" customWidth="1"/>
    <col min="5124" max="5125" width="8.88671875" style="3"/>
    <col min="5126" max="5126" width="51.5546875" style="3" bestFit="1" customWidth="1"/>
    <col min="5127" max="5376" width="8.88671875" style="3"/>
    <col min="5377" max="5377" width="30.5546875" style="3" customWidth="1"/>
    <col min="5378" max="5378" width="8.88671875" style="3"/>
    <col min="5379" max="5379" width="3.109375" style="3" customWidth="1"/>
    <col min="5380" max="5381" width="8.88671875" style="3"/>
    <col min="5382" max="5382" width="51.5546875" style="3" bestFit="1" customWidth="1"/>
    <col min="5383" max="5632" width="8.88671875" style="3"/>
    <col min="5633" max="5633" width="30.5546875" style="3" customWidth="1"/>
    <col min="5634" max="5634" width="8.88671875" style="3"/>
    <col min="5635" max="5635" width="3.109375" style="3" customWidth="1"/>
    <col min="5636" max="5637" width="8.88671875" style="3"/>
    <col min="5638" max="5638" width="51.5546875" style="3" bestFit="1" customWidth="1"/>
    <col min="5639" max="5888" width="8.88671875" style="3"/>
    <col min="5889" max="5889" width="30.5546875" style="3" customWidth="1"/>
    <col min="5890" max="5890" width="8.88671875" style="3"/>
    <col min="5891" max="5891" width="3.109375" style="3" customWidth="1"/>
    <col min="5892" max="5893" width="8.88671875" style="3"/>
    <col min="5894" max="5894" width="51.5546875" style="3" bestFit="1" customWidth="1"/>
    <col min="5895" max="6144" width="8.88671875" style="3"/>
    <col min="6145" max="6145" width="30.5546875" style="3" customWidth="1"/>
    <col min="6146" max="6146" width="8.88671875" style="3"/>
    <col min="6147" max="6147" width="3.109375" style="3" customWidth="1"/>
    <col min="6148" max="6149" width="8.88671875" style="3"/>
    <col min="6150" max="6150" width="51.5546875" style="3" bestFit="1" customWidth="1"/>
    <col min="6151" max="6400" width="8.88671875" style="3"/>
    <col min="6401" max="6401" width="30.5546875" style="3" customWidth="1"/>
    <col min="6402" max="6402" width="8.88671875" style="3"/>
    <col min="6403" max="6403" width="3.109375" style="3" customWidth="1"/>
    <col min="6404" max="6405" width="8.88671875" style="3"/>
    <col min="6406" max="6406" width="51.5546875" style="3" bestFit="1" customWidth="1"/>
    <col min="6407" max="6656" width="8.88671875" style="3"/>
    <col min="6657" max="6657" width="30.5546875" style="3" customWidth="1"/>
    <col min="6658" max="6658" width="8.88671875" style="3"/>
    <col min="6659" max="6659" width="3.109375" style="3" customWidth="1"/>
    <col min="6660" max="6661" width="8.88671875" style="3"/>
    <col min="6662" max="6662" width="51.5546875" style="3" bestFit="1" customWidth="1"/>
    <col min="6663" max="6912" width="8.88671875" style="3"/>
    <col min="6913" max="6913" width="30.5546875" style="3" customWidth="1"/>
    <col min="6914" max="6914" width="8.88671875" style="3"/>
    <col min="6915" max="6915" width="3.109375" style="3" customWidth="1"/>
    <col min="6916" max="6917" width="8.88671875" style="3"/>
    <col min="6918" max="6918" width="51.5546875" style="3" bestFit="1" customWidth="1"/>
    <col min="6919" max="7168" width="8.88671875" style="3"/>
    <col min="7169" max="7169" width="30.5546875" style="3" customWidth="1"/>
    <col min="7170" max="7170" width="8.88671875" style="3"/>
    <col min="7171" max="7171" width="3.109375" style="3" customWidth="1"/>
    <col min="7172" max="7173" width="8.88671875" style="3"/>
    <col min="7174" max="7174" width="51.5546875" style="3" bestFit="1" customWidth="1"/>
    <col min="7175" max="7424" width="8.88671875" style="3"/>
    <col min="7425" max="7425" width="30.5546875" style="3" customWidth="1"/>
    <col min="7426" max="7426" width="8.88671875" style="3"/>
    <col min="7427" max="7427" width="3.109375" style="3" customWidth="1"/>
    <col min="7428" max="7429" width="8.88671875" style="3"/>
    <col min="7430" max="7430" width="51.5546875" style="3" bestFit="1" customWidth="1"/>
    <col min="7431" max="7680" width="8.88671875" style="3"/>
    <col min="7681" max="7681" width="30.5546875" style="3" customWidth="1"/>
    <col min="7682" max="7682" width="8.88671875" style="3"/>
    <col min="7683" max="7683" width="3.109375" style="3" customWidth="1"/>
    <col min="7684" max="7685" width="8.88671875" style="3"/>
    <col min="7686" max="7686" width="51.5546875" style="3" bestFit="1" customWidth="1"/>
    <col min="7687" max="7936" width="8.88671875" style="3"/>
    <col min="7937" max="7937" width="30.5546875" style="3" customWidth="1"/>
    <col min="7938" max="7938" width="8.88671875" style="3"/>
    <col min="7939" max="7939" width="3.109375" style="3" customWidth="1"/>
    <col min="7940" max="7941" width="8.88671875" style="3"/>
    <col min="7942" max="7942" width="51.5546875" style="3" bestFit="1" customWidth="1"/>
    <col min="7943" max="8192" width="8.88671875" style="3"/>
    <col min="8193" max="8193" width="30.5546875" style="3" customWidth="1"/>
    <col min="8194" max="8194" width="8.88671875" style="3"/>
    <col min="8195" max="8195" width="3.109375" style="3" customWidth="1"/>
    <col min="8196" max="8197" width="8.88671875" style="3"/>
    <col min="8198" max="8198" width="51.5546875" style="3" bestFit="1" customWidth="1"/>
    <col min="8199" max="8448" width="8.88671875" style="3"/>
    <col min="8449" max="8449" width="30.5546875" style="3" customWidth="1"/>
    <col min="8450" max="8450" width="8.88671875" style="3"/>
    <col min="8451" max="8451" width="3.109375" style="3" customWidth="1"/>
    <col min="8452" max="8453" width="8.88671875" style="3"/>
    <col min="8454" max="8454" width="51.5546875" style="3" bestFit="1" customWidth="1"/>
    <col min="8455" max="8704" width="8.88671875" style="3"/>
    <col min="8705" max="8705" width="30.5546875" style="3" customWidth="1"/>
    <col min="8706" max="8706" width="8.88671875" style="3"/>
    <col min="8707" max="8707" width="3.109375" style="3" customWidth="1"/>
    <col min="8708" max="8709" width="8.88671875" style="3"/>
    <col min="8710" max="8710" width="51.5546875" style="3" bestFit="1" customWidth="1"/>
    <col min="8711" max="8960" width="8.88671875" style="3"/>
    <col min="8961" max="8961" width="30.5546875" style="3" customWidth="1"/>
    <col min="8962" max="8962" width="8.88671875" style="3"/>
    <col min="8963" max="8963" width="3.109375" style="3" customWidth="1"/>
    <col min="8964" max="8965" width="8.88671875" style="3"/>
    <col min="8966" max="8966" width="51.5546875" style="3" bestFit="1" customWidth="1"/>
    <col min="8967" max="9216" width="8.88671875" style="3"/>
    <col min="9217" max="9217" width="30.5546875" style="3" customWidth="1"/>
    <col min="9218" max="9218" width="8.88671875" style="3"/>
    <col min="9219" max="9219" width="3.109375" style="3" customWidth="1"/>
    <col min="9220" max="9221" width="8.88671875" style="3"/>
    <col min="9222" max="9222" width="51.5546875" style="3" bestFit="1" customWidth="1"/>
    <col min="9223" max="9472" width="8.88671875" style="3"/>
    <col min="9473" max="9473" width="30.5546875" style="3" customWidth="1"/>
    <col min="9474" max="9474" width="8.88671875" style="3"/>
    <col min="9475" max="9475" width="3.109375" style="3" customWidth="1"/>
    <col min="9476" max="9477" width="8.88671875" style="3"/>
    <col min="9478" max="9478" width="51.5546875" style="3" bestFit="1" customWidth="1"/>
    <col min="9479" max="9728" width="8.88671875" style="3"/>
    <col min="9729" max="9729" width="30.5546875" style="3" customWidth="1"/>
    <col min="9730" max="9730" width="8.88671875" style="3"/>
    <col min="9731" max="9731" width="3.109375" style="3" customWidth="1"/>
    <col min="9732" max="9733" width="8.88671875" style="3"/>
    <col min="9734" max="9734" width="51.5546875" style="3" bestFit="1" customWidth="1"/>
    <col min="9735" max="9984" width="8.88671875" style="3"/>
    <col min="9985" max="9985" width="30.5546875" style="3" customWidth="1"/>
    <col min="9986" max="9986" width="8.88671875" style="3"/>
    <col min="9987" max="9987" width="3.109375" style="3" customWidth="1"/>
    <col min="9988" max="9989" width="8.88671875" style="3"/>
    <col min="9990" max="9990" width="51.5546875" style="3" bestFit="1" customWidth="1"/>
    <col min="9991" max="10240" width="8.88671875" style="3"/>
    <col min="10241" max="10241" width="30.5546875" style="3" customWidth="1"/>
    <col min="10242" max="10242" width="8.88671875" style="3"/>
    <col min="10243" max="10243" width="3.109375" style="3" customWidth="1"/>
    <col min="10244" max="10245" width="8.88671875" style="3"/>
    <col min="10246" max="10246" width="51.5546875" style="3" bestFit="1" customWidth="1"/>
    <col min="10247" max="10496" width="8.88671875" style="3"/>
    <col min="10497" max="10497" width="30.5546875" style="3" customWidth="1"/>
    <col min="10498" max="10498" width="8.88671875" style="3"/>
    <col min="10499" max="10499" width="3.109375" style="3" customWidth="1"/>
    <col min="10500" max="10501" width="8.88671875" style="3"/>
    <col min="10502" max="10502" width="51.5546875" style="3" bestFit="1" customWidth="1"/>
    <col min="10503" max="10752" width="8.88671875" style="3"/>
    <col min="10753" max="10753" width="30.5546875" style="3" customWidth="1"/>
    <col min="10754" max="10754" width="8.88671875" style="3"/>
    <col min="10755" max="10755" width="3.109375" style="3" customWidth="1"/>
    <col min="10756" max="10757" width="8.88671875" style="3"/>
    <col min="10758" max="10758" width="51.5546875" style="3" bestFit="1" customWidth="1"/>
    <col min="10759" max="11008" width="8.88671875" style="3"/>
    <col min="11009" max="11009" width="30.5546875" style="3" customWidth="1"/>
    <col min="11010" max="11010" width="8.88671875" style="3"/>
    <col min="11011" max="11011" width="3.109375" style="3" customWidth="1"/>
    <col min="11012" max="11013" width="8.88671875" style="3"/>
    <col min="11014" max="11014" width="51.5546875" style="3" bestFit="1" customWidth="1"/>
    <col min="11015" max="11264" width="8.88671875" style="3"/>
    <col min="11265" max="11265" width="30.5546875" style="3" customWidth="1"/>
    <col min="11266" max="11266" width="8.88671875" style="3"/>
    <col min="11267" max="11267" width="3.109375" style="3" customWidth="1"/>
    <col min="11268" max="11269" width="8.88671875" style="3"/>
    <col min="11270" max="11270" width="51.5546875" style="3" bestFit="1" customWidth="1"/>
    <col min="11271" max="11520" width="8.88671875" style="3"/>
    <col min="11521" max="11521" width="30.5546875" style="3" customWidth="1"/>
    <col min="11522" max="11522" width="8.88671875" style="3"/>
    <col min="11523" max="11523" width="3.109375" style="3" customWidth="1"/>
    <col min="11524" max="11525" width="8.88671875" style="3"/>
    <col min="11526" max="11526" width="51.5546875" style="3" bestFit="1" customWidth="1"/>
    <col min="11527" max="11776" width="8.88671875" style="3"/>
    <col min="11777" max="11777" width="30.5546875" style="3" customWidth="1"/>
    <col min="11778" max="11778" width="8.88671875" style="3"/>
    <col min="11779" max="11779" width="3.109375" style="3" customWidth="1"/>
    <col min="11780" max="11781" width="8.88671875" style="3"/>
    <col min="11782" max="11782" width="51.5546875" style="3" bestFit="1" customWidth="1"/>
    <col min="11783" max="12032" width="8.88671875" style="3"/>
    <col min="12033" max="12033" width="30.5546875" style="3" customWidth="1"/>
    <col min="12034" max="12034" width="8.88671875" style="3"/>
    <col min="12035" max="12035" width="3.109375" style="3" customWidth="1"/>
    <col min="12036" max="12037" width="8.88671875" style="3"/>
    <col min="12038" max="12038" width="51.5546875" style="3" bestFit="1" customWidth="1"/>
    <col min="12039" max="12288" width="8.88671875" style="3"/>
    <col min="12289" max="12289" width="30.5546875" style="3" customWidth="1"/>
    <col min="12290" max="12290" width="8.88671875" style="3"/>
    <col min="12291" max="12291" width="3.109375" style="3" customWidth="1"/>
    <col min="12292" max="12293" width="8.88671875" style="3"/>
    <col min="12294" max="12294" width="51.5546875" style="3" bestFit="1" customWidth="1"/>
    <col min="12295" max="12544" width="8.88671875" style="3"/>
    <col min="12545" max="12545" width="30.5546875" style="3" customWidth="1"/>
    <col min="12546" max="12546" width="8.88671875" style="3"/>
    <col min="12547" max="12547" width="3.109375" style="3" customWidth="1"/>
    <col min="12548" max="12549" width="8.88671875" style="3"/>
    <col min="12550" max="12550" width="51.5546875" style="3" bestFit="1" customWidth="1"/>
    <col min="12551" max="12800" width="8.88671875" style="3"/>
    <col min="12801" max="12801" width="30.5546875" style="3" customWidth="1"/>
    <col min="12802" max="12802" width="8.88671875" style="3"/>
    <col min="12803" max="12803" width="3.109375" style="3" customWidth="1"/>
    <col min="12804" max="12805" width="8.88671875" style="3"/>
    <col min="12806" max="12806" width="51.5546875" style="3" bestFit="1" customWidth="1"/>
    <col min="12807" max="13056" width="8.88671875" style="3"/>
    <col min="13057" max="13057" width="30.5546875" style="3" customWidth="1"/>
    <col min="13058" max="13058" width="8.88671875" style="3"/>
    <col min="13059" max="13059" width="3.109375" style="3" customWidth="1"/>
    <col min="13060" max="13061" width="8.88671875" style="3"/>
    <col min="13062" max="13062" width="51.5546875" style="3" bestFit="1" customWidth="1"/>
    <col min="13063" max="13312" width="8.88671875" style="3"/>
    <col min="13313" max="13313" width="30.5546875" style="3" customWidth="1"/>
    <col min="13314" max="13314" width="8.88671875" style="3"/>
    <col min="13315" max="13315" width="3.109375" style="3" customWidth="1"/>
    <col min="13316" max="13317" width="8.88671875" style="3"/>
    <col min="13318" max="13318" width="51.5546875" style="3" bestFit="1" customWidth="1"/>
    <col min="13319" max="13568" width="8.88671875" style="3"/>
    <col min="13569" max="13569" width="30.5546875" style="3" customWidth="1"/>
    <col min="13570" max="13570" width="8.88671875" style="3"/>
    <col min="13571" max="13571" width="3.109375" style="3" customWidth="1"/>
    <col min="13572" max="13573" width="8.88671875" style="3"/>
    <col min="13574" max="13574" width="51.5546875" style="3" bestFit="1" customWidth="1"/>
    <col min="13575" max="13824" width="8.88671875" style="3"/>
    <col min="13825" max="13825" width="30.5546875" style="3" customWidth="1"/>
    <col min="13826" max="13826" width="8.88671875" style="3"/>
    <col min="13827" max="13827" width="3.109375" style="3" customWidth="1"/>
    <col min="13828" max="13829" width="8.88671875" style="3"/>
    <col min="13830" max="13830" width="51.5546875" style="3" bestFit="1" customWidth="1"/>
    <col min="13831" max="14080" width="8.88671875" style="3"/>
    <col min="14081" max="14081" width="30.5546875" style="3" customWidth="1"/>
    <col min="14082" max="14082" width="8.88671875" style="3"/>
    <col min="14083" max="14083" width="3.109375" style="3" customWidth="1"/>
    <col min="14084" max="14085" width="8.88671875" style="3"/>
    <col min="14086" max="14086" width="51.5546875" style="3" bestFit="1" customWidth="1"/>
    <col min="14087" max="14336" width="8.88671875" style="3"/>
    <col min="14337" max="14337" width="30.5546875" style="3" customWidth="1"/>
    <col min="14338" max="14338" width="8.88671875" style="3"/>
    <col min="14339" max="14339" width="3.109375" style="3" customWidth="1"/>
    <col min="14340" max="14341" width="8.88671875" style="3"/>
    <col min="14342" max="14342" width="51.5546875" style="3" bestFit="1" customWidth="1"/>
    <col min="14343" max="14592" width="8.88671875" style="3"/>
    <col min="14593" max="14593" width="30.5546875" style="3" customWidth="1"/>
    <col min="14594" max="14594" width="8.88671875" style="3"/>
    <col min="14595" max="14595" width="3.109375" style="3" customWidth="1"/>
    <col min="14596" max="14597" width="8.88671875" style="3"/>
    <col min="14598" max="14598" width="51.5546875" style="3" bestFit="1" customWidth="1"/>
    <col min="14599" max="14848" width="8.88671875" style="3"/>
    <col min="14849" max="14849" width="30.5546875" style="3" customWidth="1"/>
    <col min="14850" max="14850" width="8.88671875" style="3"/>
    <col min="14851" max="14851" width="3.109375" style="3" customWidth="1"/>
    <col min="14852" max="14853" width="8.88671875" style="3"/>
    <col min="14854" max="14854" width="51.5546875" style="3" bestFit="1" customWidth="1"/>
    <col min="14855" max="15104" width="8.88671875" style="3"/>
    <col min="15105" max="15105" width="30.5546875" style="3" customWidth="1"/>
    <col min="15106" max="15106" width="8.88671875" style="3"/>
    <col min="15107" max="15107" width="3.109375" style="3" customWidth="1"/>
    <col min="15108" max="15109" width="8.88671875" style="3"/>
    <col min="15110" max="15110" width="51.5546875" style="3" bestFit="1" customWidth="1"/>
    <col min="15111" max="15360" width="8.88671875" style="3"/>
    <col min="15361" max="15361" width="30.5546875" style="3" customWidth="1"/>
    <col min="15362" max="15362" width="8.88671875" style="3"/>
    <col min="15363" max="15363" width="3.109375" style="3" customWidth="1"/>
    <col min="15364" max="15365" width="8.88671875" style="3"/>
    <col min="15366" max="15366" width="51.5546875" style="3" bestFit="1" customWidth="1"/>
    <col min="15367" max="15616" width="8.88671875" style="3"/>
    <col min="15617" max="15617" width="30.5546875" style="3" customWidth="1"/>
    <col min="15618" max="15618" width="8.88671875" style="3"/>
    <col min="15619" max="15619" width="3.109375" style="3" customWidth="1"/>
    <col min="15620" max="15621" width="8.88671875" style="3"/>
    <col min="15622" max="15622" width="51.5546875" style="3" bestFit="1" customWidth="1"/>
    <col min="15623" max="15872" width="8.88671875" style="3"/>
    <col min="15873" max="15873" width="30.5546875" style="3" customWidth="1"/>
    <col min="15874" max="15874" width="8.88671875" style="3"/>
    <col min="15875" max="15875" width="3.109375" style="3" customWidth="1"/>
    <col min="15876" max="15877" width="8.88671875" style="3"/>
    <col min="15878" max="15878" width="51.5546875" style="3" bestFit="1" customWidth="1"/>
    <col min="15879" max="16128" width="8.88671875" style="3"/>
    <col min="16129" max="16129" width="30.5546875" style="3" customWidth="1"/>
    <col min="16130" max="16130" width="8.88671875" style="3"/>
    <col min="16131" max="16131" width="3.109375" style="3" customWidth="1"/>
    <col min="16132" max="16133" width="8.88671875" style="3"/>
    <col min="16134" max="16134" width="51.5546875" style="3" bestFit="1" customWidth="1"/>
    <col min="16135" max="16384" width="8.88671875" style="3"/>
  </cols>
  <sheetData>
    <row r="1" spans="1:6" ht="63.75" customHeight="1" x14ac:dyDescent="0.25">
      <c r="A1" s="1" t="s">
        <v>0</v>
      </c>
      <c r="B1" s="2"/>
      <c r="C1" s="2"/>
      <c r="D1" s="2"/>
      <c r="E1" s="2"/>
      <c r="F1" s="2"/>
    </row>
    <row r="2" spans="1:6" x14ac:dyDescent="0.25">
      <c r="A2" s="3" t="s">
        <v>1</v>
      </c>
      <c r="B2" s="4">
        <v>7.0000000000000007E-2</v>
      </c>
    </row>
    <row r="4" spans="1:6" x14ac:dyDescent="0.25">
      <c r="A4" s="5" t="s">
        <v>2</v>
      </c>
      <c r="D4" s="5" t="s">
        <v>3</v>
      </c>
    </row>
    <row r="5" spans="1:6" x14ac:dyDescent="0.25">
      <c r="A5" s="3" t="s">
        <v>4</v>
      </c>
      <c r="B5" s="4">
        <v>7.0000000000000007E-2</v>
      </c>
      <c r="D5" s="3" t="s">
        <v>5</v>
      </c>
      <c r="E5" s="4">
        <v>0.13</v>
      </c>
    </row>
    <row r="6" spans="1:6" x14ac:dyDescent="0.25">
      <c r="A6" s="3" t="s">
        <v>6</v>
      </c>
      <c r="B6" s="6">
        <v>1000</v>
      </c>
      <c r="D6" s="3" t="s">
        <v>6</v>
      </c>
      <c r="E6" s="6">
        <v>1000</v>
      </c>
    </row>
    <row r="7" spans="1:6" x14ac:dyDescent="0.25">
      <c r="A7" s="3" t="s">
        <v>7</v>
      </c>
      <c r="B7" s="3">
        <v>10</v>
      </c>
      <c r="D7" s="3" t="s">
        <v>7</v>
      </c>
      <c r="E7" s="3">
        <v>10</v>
      </c>
    </row>
    <row r="9" spans="1:6" x14ac:dyDescent="0.25">
      <c r="A9" s="3" t="s">
        <v>8</v>
      </c>
      <c r="B9" s="7">
        <f>PV($B$2,B7,-B5*B6)+B6/(1+$B$2)^B7</f>
        <v>1000</v>
      </c>
      <c r="D9" s="3" t="s">
        <v>8</v>
      </c>
      <c r="E9" s="7">
        <f>PV($B$2,E7,-E5*E6)+E6/(1+$B$2)^E7</f>
        <v>1421.4148924559563</v>
      </c>
      <c r="F9" s="3" t="str">
        <f ca="1">_xlfn.FORMULATEXT(E9)</f>
        <v>=PV($B$2,E7,-E5*E6)+E6/(1+$B$2)^E7</v>
      </c>
    </row>
    <row r="10" spans="1:6" x14ac:dyDescent="0.25">
      <c r="A10" s="3" t="s">
        <v>9</v>
      </c>
      <c r="B10" s="8">
        <f>DURATION(DATE(1996,1,1),DATE(2006,1,1),B5,B2,1)</f>
        <v>7.5152322487978838</v>
      </c>
      <c r="D10" s="3" t="s">
        <v>9</v>
      </c>
      <c r="E10" s="8">
        <f>DURATION(DATE(1996,1,1),DATE(2006,1,1),E5,B2,1)</f>
        <v>6.7535385303085134</v>
      </c>
      <c r="F10" s="3" t="str">
        <f ca="1">_xlfn.FORMULATEXT(E10)</f>
        <v>=DURATION(DATE(1996,1,1),DATE(2006,1,1),E5,B2,1)</v>
      </c>
    </row>
    <row r="12" spans="1:6" x14ac:dyDescent="0.25">
      <c r="A12" s="3" t="s">
        <v>10</v>
      </c>
      <c r="B12" s="9">
        <v>7.6999999999999999E-2</v>
      </c>
    </row>
    <row r="13" spans="1:6" x14ac:dyDescent="0.25">
      <c r="A13" s="3" t="s">
        <v>11</v>
      </c>
      <c r="B13" s="7">
        <f>PV($B$12,B7,-B6*B5)+B6/(1+$B$12)^B7</f>
        <v>952.38715901575006</v>
      </c>
      <c r="E13" s="7">
        <f>PV($B$12,E7,-E6*E5)+E6/(1+$B$12)^E7</f>
        <v>1360.4972245950353</v>
      </c>
      <c r="F13" s="3" t="str">
        <f ca="1">_xlfn.FORMULATEXT(E13)</f>
        <v>=PV($B$12,E7,-E6*E5)+E6/(1+$B$12)^E7</v>
      </c>
    </row>
    <row r="14" spans="1:6" x14ac:dyDescent="0.25">
      <c r="B14" s="7"/>
      <c r="E14" s="7"/>
    </row>
    <row r="15" spans="1:6" ht="15.6" x14ac:dyDescent="0.3">
      <c r="A15" s="10" t="s">
        <v>12</v>
      </c>
    </row>
    <row r="16" spans="1:6" x14ac:dyDescent="0.25">
      <c r="A16" s="11" t="s">
        <v>13</v>
      </c>
      <c r="B16" s="7">
        <f>B9-B13</f>
        <v>47.612840984249942</v>
      </c>
      <c r="E16" s="7">
        <f>E9-E13</f>
        <v>60.917667860921028</v>
      </c>
      <c r="F16" s="3" t="str">
        <f ca="1">_xlfn.FORMULATEXT(E16)</f>
        <v>=E9-E13</v>
      </c>
    </row>
    <row r="17" spans="1:6" ht="27" x14ac:dyDescent="0.25">
      <c r="A17" s="17" t="s">
        <v>14</v>
      </c>
      <c r="B17" s="15">
        <f>-B10*B9*($B$2-$B$12)/(1+$B$2)</f>
        <v>49.165070786528155</v>
      </c>
      <c r="C17" s="16"/>
      <c r="D17" s="16"/>
      <c r="E17" s="15">
        <f>-E10*E9*($B$2-$B$12)/(1+$B$2)</f>
        <v>62.800992248868546</v>
      </c>
      <c r="F17" s="12" t="str">
        <f ca="1">_xlfn.FORMULATEXT(E17)</f>
        <v>=-E10*E9*($B$2-$B$12)/(1+$B$2)</v>
      </c>
    </row>
    <row r="19" spans="1:6" ht="39.6" x14ac:dyDescent="0.25">
      <c r="A19" s="14" t="s">
        <v>15</v>
      </c>
      <c r="B19" s="15">
        <f>($B$12-$B$2)*B6*MDURATION(DATE(1996,1,1),DATE(2006,1,1),B5,$B$2,1)</f>
        <v>49.165070786528148</v>
      </c>
      <c r="C19" s="16"/>
      <c r="D19" s="16"/>
      <c r="E19" s="15">
        <f>-($B$2-$B$12)*E9*MDURATION(DATE(1996,1,1),DATE(2006,1,1),E5,$B$2,1)</f>
        <v>62.80099224886856</v>
      </c>
      <c r="F19" s="13" t="str">
        <f ca="1">_xlfn.FORMULATEXT(E19)</f>
        <v>=-($B$2-$B$12)*E9*MDURATION(DATE(1996,1,1),DATE(2006,1,1),E5,$B$2,1)</v>
      </c>
    </row>
  </sheetData>
  <mergeCells count="1">
    <mergeCell ref="A1:F1"/>
  </mergeCells>
  <phoneticPr fontId="1" type="noConversion"/>
  <printOptions horizontalCentered="1" headings="1" gridLines="1"/>
  <pageMargins left="0.74803149606299213" right="0.74803149606299213" top="0.98425196850393704" bottom="0.98425196850393704" header="0.51181102362204722" footer="0.51181102362204722"/>
  <pageSetup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Sheet1</vt:lpstr>
      <vt:lpstr>Page 676</vt:lpstr>
      <vt:lpstr>'Page 676'!Print_Area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2024-12-13T09:34:58Z</cp:lastPrinted>
  <dcterms:created xsi:type="dcterms:W3CDTF">2024-10-05T13:27:14Z</dcterms:created>
  <dcterms:modified xsi:type="dcterms:W3CDTF">2024-12-13T09:34:59Z</dcterms:modified>
</cp:coreProperties>
</file>