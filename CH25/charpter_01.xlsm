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5\"/>
    </mc:Choice>
  </mc:AlternateContent>
  <xr:revisionPtr revIDLastSave="0" documentId="13_ncr:1_{4BB81049-204A-4F3C-9701-EAA969334474}" xr6:coauthVersionLast="47" xr6:coauthVersionMax="47" xr10:uidLastSave="{00000000-0000-0000-0000-000000000000}"/>
  <bookViews>
    <workbookView xWindow="-38520" yWindow="-120" windowWidth="38640" windowHeight="21120" activeTab="2" xr2:uid="{EA6F33A8-FE0E-48B1-8C74-8B2321C6BA8B}"/>
  </bookViews>
  <sheets>
    <sheet name="Sheet1" sheetId="1" r:id="rId1"/>
    <sheet name="Sheet3" sheetId="3" r:id="rId2"/>
    <sheet name="Page 672" sheetId="2" r:id="rId3"/>
  </sheets>
  <functionGroups builtInGroupCount="19"/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7" i="3" l="1"/>
  <c r="R24" i="3"/>
  <c r="R25" i="3"/>
  <c r="R26" i="3"/>
  <c r="O27" i="3"/>
  <c r="L27" i="3"/>
  <c r="I27" i="3"/>
  <c r="O24" i="3"/>
  <c r="O25" i="3"/>
  <c r="O26" i="3"/>
  <c r="L24" i="3"/>
  <c r="L25" i="3"/>
  <c r="L26" i="3"/>
  <c r="I24" i="3"/>
  <c r="I25" i="3"/>
  <c r="I26" i="3"/>
  <c r="D15" i="2"/>
  <c r="D6" i="2"/>
  <c r="D7" i="2"/>
  <c r="D8" i="2"/>
  <c r="D9" i="2"/>
  <c r="D10" i="2"/>
  <c r="D11" i="2"/>
  <c r="D12" i="2"/>
  <c r="D13" i="2"/>
  <c r="D14" i="2"/>
  <c r="D5" i="2"/>
  <c r="C6" i="2"/>
  <c r="B17" i="2" s="1"/>
  <c r="C7" i="2"/>
  <c r="C8" i="2"/>
  <c r="C9" i="2"/>
  <c r="C10" i="2"/>
  <c r="C11" i="2"/>
  <c r="C12" i="2"/>
  <c r="C13" i="2"/>
  <c r="C14" i="2"/>
  <c r="C5" i="2"/>
  <c r="B23" i="2"/>
  <c r="B20" i="2"/>
  <c r="E16" i="2"/>
  <c r="F14" i="2" s="1"/>
  <c r="B16" i="2"/>
  <c r="F11" i="2"/>
  <c r="F7" i="2"/>
  <c r="B21" i="2"/>
  <c r="B24" i="2"/>
  <c r="C24" i="2"/>
  <c r="C23" i="2"/>
  <c r="C21" i="2"/>
  <c r="C20" i="2"/>
  <c r="F17" i="2"/>
  <c r="C17" i="2"/>
  <c r="F16" i="2"/>
  <c r="C16" i="2"/>
  <c r="G6" i="2"/>
  <c r="G5" i="2"/>
  <c r="F5" i="2" l="1"/>
  <c r="F8" i="2"/>
  <c r="F9" i="2"/>
  <c r="F10" i="2"/>
  <c r="F6" i="2"/>
  <c r="F12" i="2"/>
  <c r="F13" i="2"/>
  <c r="E17" i="2" l="1"/>
</calcChain>
</file>

<file path=xl/sharedStrings.xml><?xml version="1.0" encoding="utf-8"?>
<sst xmlns="http://schemas.openxmlformats.org/spreadsheetml/2006/main" count="12" uniqueCount="12">
  <si>
    <t>BASIC DURATION CALCULATION</t>
  </si>
  <si>
    <t>YTM</t>
  </si>
  <si>
    <t>Year</t>
  </si>
  <si>
    <r>
      <t>C</t>
    </r>
    <r>
      <rPr>
        <b/>
        <vertAlign val="subscript"/>
        <sz val="10"/>
        <rFont val="Arial"/>
        <family val="2"/>
      </rPr>
      <t>t,A</t>
    </r>
  </si>
  <si>
    <r>
      <t>t*C</t>
    </r>
    <r>
      <rPr>
        <b/>
        <vertAlign val="subscript"/>
        <sz val="10"/>
        <rFont val="Arial"/>
        <family val="2"/>
      </rPr>
      <t>t,A</t>
    </r>
    <r>
      <rPr>
        <b/>
        <sz val="10"/>
        <rFont val="Arial"/>
        <family val="2"/>
      </rPr>
      <t xml:space="preserve"> /
Price</t>
    </r>
    <r>
      <rPr>
        <b/>
        <vertAlign val="subscript"/>
        <sz val="10"/>
        <rFont val="Arial"/>
        <family val="2"/>
      </rPr>
      <t>A</t>
    </r>
    <r>
      <rPr>
        <b/>
        <sz val="10"/>
        <rFont val="Arial"/>
        <family val="2"/>
      </rPr>
      <t>*(1+YTM)</t>
    </r>
    <r>
      <rPr>
        <b/>
        <vertAlign val="superscript"/>
        <sz val="10"/>
        <rFont val="Arial"/>
        <family val="2"/>
      </rPr>
      <t>t</t>
    </r>
  </si>
  <si>
    <r>
      <t>C</t>
    </r>
    <r>
      <rPr>
        <b/>
        <vertAlign val="subscript"/>
        <sz val="10"/>
        <rFont val="Arial"/>
        <family val="2"/>
      </rPr>
      <t>t,B</t>
    </r>
  </si>
  <si>
    <r>
      <t>t*C</t>
    </r>
    <r>
      <rPr>
        <b/>
        <vertAlign val="subscript"/>
        <sz val="10"/>
        <rFont val="Arial"/>
        <family val="2"/>
      </rPr>
      <t>t,B</t>
    </r>
    <r>
      <rPr>
        <b/>
        <sz val="10"/>
        <rFont val="Arial"/>
        <family val="2"/>
      </rPr>
      <t xml:space="preserve"> /
Price</t>
    </r>
    <r>
      <rPr>
        <b/>
        <vertAlign val="subscript"/>
        <sz val="10"/>
        <rFont val="Arial"/>
        <family val="2"/>
      </rPr>
      <t>B</t>
    </r>
    <r>
      <rPr>
        <b/>
        <sz val="10"/>
        <rFont val="Arial"/>
        <family val="2"/>
      </rPr>
      <t>*(1+YTM)</t>
    </r>
    <r>
      <rPr>
        <b/>
        <vertAlign val="superscript"/>
        <sz val="10"/>
        <rFont val="Arial"/>
        <family val="2"/>
      </rPr>
      <t>t</t>
    </r>
  </si>
  <si>
    <t>Bond price</t>
  </si>
  <si>
    <t>Duration</t>
  </si>
  <si>
    <r>
      <t xml:space="preserve">Using the Excel function </t>
    </r>
    <r>
      <rPr>
        <b/>
        <sz val="10"/>
        <rFont val="Arial"/>
        <family val="2"/>
      </rPr>
      <t xml:space="preserve">Duration </t>
    </r>
    <r>
      <rPr>
        <sz val="10"/>
        <rFont val="Arial"/>
        <family val="2"/>
      </rPr>
      <t xml:space="preserve">and the "home-made" function </t>
    </r>
    <r>
      <rPr>
        <b/>
        <sz val="10"/>
        <rFont val="Arial"/>
        <family val="2"/>
      </rPr>
      <t>Dduration</t>
    </r>
  </si>
  <si>
    <t>Bond A</t>
  </si>
  <si>
    <t>Bond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</si>
</sst>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"/>
    <numFmt numFmtId="177" formatCode="_(&quot;$&quot;* #,##0.00_);_(&quot;$&quot;* \(#,##0.00\);_(&quot;$&quot;* &quot;-&quot;??_);_(@_)"/>
    <numFmt numFmtId="178" formatCode="_(&quot;$&quot;* #,##0_);_(&quot;$&quot;* \(#,##0\);_(&quot;$&quot;* &quot;-&quot;??_);_(@_)"/>
  </numFmts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vertAlign val="subscript"/>
      <sz val="10"/>
      <name val="Arial"/>
      <family val="2"/>
    </font>
    <font>
      <b/>
      <vertAlign val="superscript"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/>
    <xf numFmtId="177" fontId="3" fillId="0" borderId="0" applyFont="0" applyFill="0" applyBorder="0" applyAlignment="0" applyProtection="0"/>
  </cellStyleXfs>
  <cellXfs count="19">
    <xf numFmtId="0" fontId="0" fillId="0" borderId="0" xfId="0">
      <alignment vertical="center"/>
    </xf>
    <xf numFmtId="0" fontId="4" fillId="0" borderId="0" xfId="2" applyFont="1" applyAlignment="1">
      <alignment horizontal="center"/>
    </xf>
    <xf numFmtId="0" fontId="3" fillId="0" borderId="0" xfId="2"/>
    <xf numFmtId="9" fontId="3" fillId="0" borderId="0" xfId="2" applyNumberFormat="1"/>
    <xf numFmtId="0" fontId="3" fillId="0" borderId="0" xfId="2" applyAlignment="1">
      <alignment horizontal="center"/>
    </xf>
    <xf numFmtId="0" fontId="5" fillId="0" borderId="0" xfId="2" applyFont="1"/>
    <xf numFmtId="0" fontId="5" fillId="0" borderId="0" xfId="2" applyFont="1" applyAlignment="1">
      <alignment horizontal="center"/>
    </xf>
    <xf numFmtId="0" fontId="5" fillId="0" borderId="0" xfId="2" applyFont="1" applyAlignment="1">
      <alignment horizontal="center" wrapText="1"/>
    </xf>
    <xf numFmtId="176" fontId="3" fillId="0" borderId="0" xfId="2" applyNumberFormat="1" applyAlignment="1">
      <alignment horizontal="center"/>
    </xf>
    <xf numFmtId="4" fontId="0" fillId="0" borderId="0" xfId="3" applyNumberFormat="1" applyFont="1" applyAlignment="1">
      <alignment horizontal="right"/>
    </xf>
    <xf numFmtId="4" fontId="0" fillId="0" borderId="0" xfId="3" applyNumberFormat="1" applyFont="1"/>
    <xf numFmtId="176" fontId="3" fillId="0" borderId="0" xfId="2" applyNumberFormat="1" applyAlignment="1">
      <alignment horizontal="right"/>
    </xf>
    <xf numFmtId="178" fontId="0" fillId="0" borderId="0" xfId="3" applyNumberFormat="1" applyFont="1" applyAlignment="1"/>
    <xf numFmtId="178" fontId="0" fillId="0" borderId="0" xfId="3" applyNumberFormat="1" applyFont="1"/>
    <xf numFmtId="176" fontId="3" fillId="0" borderId="0" xfId="2" applyNumberFormat="1"/>
    <xf numFmtId="176" fontId="3" fillId="0" borderId="0" xfId="2" quotePrefix="1" applyNumberFormat="1" applyAlignment="1">
      <alignment horizontal="right"/>
    </xf>
    <xf numFmtId="176" fontId="3" fillId="0" borderId="0" xfId="2" quotePrefix="1" applyNumberFormat="1" applyAlignment="1">
      <alignment horizontal="center"/>
    </xf>
    <xf numFmtId="10" fontId="3" fillId="0" borderId="0" xfId="1" applyNumberFormat="1" applyFont="1" applyAlignment="1"/>
    <xf numFmtId="9" fontId="0" fillId="0" borderId="0" xfId="0" applyNumberFormat="1">
      <alignment vertical="center"/>
    </xf>
  </cellXfs>
  <cellStyles count="4">
    <cellStyle name="百分比" xfId="1" builtinId="5"/>
    <cellStyle name="常规" xfId="0" builtinId="0"/>
    <cellStyle name="常规 2" xfId="2" xr:uid="{2D476094-B4F9-48D5-9075-E3B34ED69678}"/>
    <cellStyle name="货币 2" xfId="3" xr:uid="{18A8DAFD-B2F7-4E08-AE3F-798F1FFDA7F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26</xdr:row>
      <xdr:rowOff>111935</xdr:rowOff>
    </xdr:from>
    <xdr:to>
      <xdr:col>9</xdr:col>
      <xdr:colOff>368449</xdr:colOff>
      <xdr:row>61</xdr:row>
      <xdr:rowOff>53379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2B18B4D3-E842-DDD6-9EA2-800455CFE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937935"/>
          <a:ext cx="8909199" cy="60533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2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7CE65-99C3-4D11-8ED9-5F08460B80B6}">
  <sheetPr codeName="Sheet3"/>
  <dimension ref="G24:R27"/>
  <sheetViews>
    <sheetView workbookViewId="0">
      <selection activeCell="I35" sqref="I35"/>
    </sheetView>
  </sheetViews>
  <sheetFormatPr defaultRowHeight="13.8" x14ac:dyDescent="0.25"/>
  <sheetData>
    <row r="24" spans="7:18" x14ac:dyDescent="0.25">
      <c r="G24">
        <v>1</v>
      </c>
      <c r="H24" s="18">
        <v>0.2</v>
      </c>
      <c r="I24">
        <f t="shared" ref="I24:I26" si="0">G24*H24</f>
        <v>0.2</v>
      </c>
      <c r="K24" s="18">
        <v>0.5</v>
      </c>
      <c r="L24">
        <f t="shared" ref="L24:L26" si="1">G24*K24</f>
        <v>0.5</v>
      </c>
      <c r="N24" s="18">
        <v>0.5</v>
      </c>
      <c r="O24">
        <f t="shared" ref="O24:O26" si="2">G24*N24</f>
        <v>0.5</v>
      </c>
      <c r="Q24" s="18">
        <v>0.9</v>
      </c>
      <c r="R24">
        <f t="shared" ref="R24:R26" si="3">Q24*G24</f>
        <v>0.9</v>
      </c>
    </row>
    <row r="25" spans="7:18" x14ac:dyDescent="0.25">
      <c r="G25">
        <v>2</v>
      </c>
      <c r="H25" s="18">
        <v>0.3</v>
      </c>
      <c r="I25">
        <f t="shared" si="0"/>
        <v>0.6</v>
      </c>
      <c r="K25" s="18">
        <v>0.3</v>
      </c>
      <c r="L25">
        <f t="shared" si="1"/>
        <v>0.6</v>
      </c>
      <c r="N25" s="18">
        <v>0.2</v>
      </c>
      <c r="O25">
        <f t="shared" si="2"/>
        <v>0.4</v>
      </c>
      <c r="Q25" s="18">
        <v>0.09</v>
      </c>
      <c r="R25">
        <f t="shared" si="3"/>
        <v>0.18</v>
      </c>
    </row>
    <row r="26" spans="7:18" x14ac:dyDescent="0.25">
      <c r="G26">
        <v>3</v>
      </c>
      <c r="H26" s="18">
        <v>0.5</v>
      </c>
      <c r="I26">
        <f t="shared" si="0"/>
        <v>1.5</v>
      </c>
      <c r="K26" s="18">
        <v>0.2</v>
      </c>
      <c r="L26">
        <f t="shared" si="1"/>
        <v>0.60000000000000009</v>
      </c>
      <c r="N26" s="18">
        <v>0.3</v>
      </c>
      <c r="O26">
        <f t="shared" si="2"/>
        <v>0.89999999999999991</v>
      </c>
      <c r="Q26" s="18">
        <v>0.01</v>
      </c>
      <c r="R26">
        <f t="shared" si="3"/>
        <v>0.03</v>
      </c>
    </row>
    <row r="27" spans="7:18" x14ac:dyDescent="0.25">
      <c r="I27">
        <f>SUM(I24:I26)</f>
        <v>2.2999999999999998</v>
      </c>
      <c r="L27">
        <f>SUM(L24:L26)</f>
        <v>1.7000000000000002</v>
      </c>
      <c r="O27">
        <f>SUM(O24:O26)</f>
        <v>1.7999999999999998</v>
      </c>
      <c r="R27">
        <f>SUM(R24:R26)</f>
        <v>1.1100000000000001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640E9-AFD0-46F2-BB58-F0AC129EEA80}">
  <sheetPr codeName="Sheet1">
    <pageSetUpPr fitToPage="1"/>
  </sheetPr>
  <dimension ref="A1:G30"/>
  <sheetViews>
    <sheetView tabSelected="1" view="pageBreakPreview" zoomScale="60" zoomScaleNormal="145" workbookViewId="0">
      <selection activeCell="T30" sqref="T30"/>
    </sheetView>
  </sheetViews>
  <sheetFormatPr defaultRowHeight="13.2" x14ac:dyDescent="0.25"/>
  <cols>
    <col min="1" max="1" width="13.33203125" style="2" customWidth="1"/>
    <col min="2" max="2" width="9.5546875" style="2" customWidth="1"/>
    <col min="3" max="3" width="18" style="4" customWidth="1"/>
    <col min="4" max="4" width="7.33203125" style="2" customWidth="1"/>
    <col min="5" max="5" width="9.88671875" style="2" customWidth="1"/>
    <col min="6" max="6" width="17.88671875" style="4" customWidth="1"/>
    <col min="7" max="7" width="30.88671875" style="2" bestFit="1" customWidth="1"/>
    <col min="8" max="12" width="8.88671875" style="2"/>
    <col min="13" max="13" width="11" style="2" customWidth="1"/>
    <col min="14" max="256" width="8.88671875" style="2"/>
    <col min="257" max="257" width="13.33203125" style="2" customWidth="1"/>
    <col min="258" max="258" width="9.5546875" style="2" customWidth="1"/>
    <col min="259" max="259" width="18" style="2" customWidth="1"/>
    <col min="260" max="260" width="7.33203125" style="2" customWidth="1"/>
    <col min="261" max="261" width="9.88671875" style="2" customWidth="1"/>
    <col min="262" max="262" width="17.88671875" style="2" customWidth="1"/>
    <col min="263" max="263" width="30.88671875" style="2" bestFit="1" customWidth="1"/>
    <col min="264" max="268" width="8.88671875" style="2"/>
    <col min="269" max="269" width="11" style="2" customWidth="1"/>
    <col min="270" max="512" width="8.88671875" style="2"/>
    <col min="513" max="513" width="13.33203125" style="2" customWidth="1"/>
    <col min="514" max="514" width="9.5546875" style="2" customWidth="1"/>
    <col min="515" max="515" width="18" style="2" customWidth="1"/>
    <col min="516" max="516" width="7.33203125" style="2" customWidth="1"/>
    <col min="517" max="517" width="9.88671875" style="2" customWidth="1"/>
    <col min="518" max="518" width="17.88671875" style="2" customWidth="1"/>
    <col min="519" max="519" width="30.88671875" style="2" bestFit="1" customWidth="1"/>
    <col min="520" max="524" width="8.88671875" style="2"/>
    <col min="525" max="525" width="11" style="2" customWidth="1"/>
    <col min="526" max="768" width="8.88671875" style="2"/>
    <col min="769" max="769" width="13.33203125" style="2" customWidth="1"/>
    <col min="770" max="770" width="9.5546875" style="2" customWidth="1"/>
    <col min="771" max="771" width="18" style="2" customWidth="1"/>
    <col min="772" max="772" width="7.33203125" style="2" customWidth="1"/>
    <col min="773" max="773" width="9.88671875" style="2" customWidth="1"/>
    <col min="774" max="774" width="17.88671875" style="2" customWidth="1"/>
    <col min="775" max="775" width="30.88671875" style="2" bestFit="1" customWidth="1"/>
    <col min="776" max="780" width="8.88671875" style="2"/>
    <col min="781" max="781" width="11" style="2" customWidth="1"/>
    <col min="782" max="1024" width="8.88671875" style="2"/>
    <col min="1025" max="1025" width="13.33203125" style="2" customWidth="1"/>
    <col min="1026" max="1026" width="9.5546875" style="2" customWidth="1"/>
    <col min="1027" max="1027" width="18" style="2" customWidth="1"/>
    <col min="1028" max="1028" width="7.33203125" style="2" customWidth="1"/>
    <col min="1029" max="1029" width="9.88671875" style="2" customWidth="1"/>
    <col min="1030" max="1030" width="17.88671875" style="2" customWidth="1"/>
    <col min="1031" max="1031" width="30.88671875" style="2" bestFit="1" customWidth="1"/>
    <col min="1032" max="1036" width="8.88671875" style="2"/>
    <col min="1037" max="1037" width="11" style="2" customWidth="1"/>
    <col min="1038" max="1280" width="8.88671875" style="2"/>
    <col min="1281" max="1281" width="13.33203125" style="2" customWidth="1"/>
    <col min="1282" max="1282" width="9.5546875" style="2" customWidth="1"/>
    <col min="1283" max="1283" width="18" style="2" customWidth="1"/>
    <col min="1284" max="1284" width="7.33203125" style="2" customWidth="1"/>
    <col min="1285" max="1285" width="9.88671875" style="2" customWidth="1"/>
    <col min="1286" max="1286" width="17.88671875" style="2" customWidth="1"/>
    <col min="1287" max="1287" width="30.88671875" style="2" bestFit="1" customWidth="1"/>
    <col min="1288" max="1292" width="8.88671875" style="2"/>
    <col min="1293" max="1293" width="11" style="2" customWidth="1"/>
    <col min="1294" max="1536" width="8.88671875" style="2"/>
    <col min="1537" max="1537" width="13.33203125" style="2" customWidth="1"/>
    <col min="1538" max="1538" width="9.5546875" style="2" customWidth="1"/>
    <col min="1539" max="1539" width="18" style="2" customWidth="1"/>
    <col min="1540" max="1540" width="7.33203125" style="2" customWidth="1"/>
    <col min="1541" max="1541" width="9.88671875" style="2" customWidth="1"/>
    <col min="1542" max="1542" width="17.88671875" style="2" customWidth="1"/>
    <col min="1543" max="1543" width="30.88671875" style="2" bestFit="1" customWidth="1"/>
    <col min="1544" max="1548" width="8.88671875" style="2"/>
    <col min="1549" max="1549" width="11" style="2" customWidth="1"/>
    <col min="1550" max="1792" width="8.88671875" style="2"/>
    <col min="1793" max="1793" width="13.33203125" style="2" customWidth="1"/>
    <col min="1794" max="1794" width="9.5546875" style="2" customWidth="1"/>
    <col min="1795" max="1795" width="18" style="2" customWidth="1"/>
    <col min="1796" max="1796" width="7.33203125" style="2" customWidth="1"/>
    <col min="1797" max="1797" width="9.88671875" style="2" customWidth="1"/>
    <col min="1798" max="1798" width="17.88671875" style="2" customWidth="1"/>
    <col min="1799" max="1799" width="30.88671875" style="2" bestFit="1" customWidth="1"/>
    <col min="1800" max="1804" width="8.88671875" style="2"/>
    <col min="1805" max="1805" width="11" style="2" customWidth="1"/>
    <col min="1806" max="2048" width="8.88671875" style="2"/>
    <col min="2049" max="2049" width="13.33203125" style="2" customWidth="1"/>
    <col min="2050" max="2050" width="9.5546875" style="2" customWidth="1"/>
    <col min="2051" max="2051" width="18" style="2" customWidth="1"/>
    <col min="2052" max="2052" width="7.33203125" style="2" customWidth="1"/>
    <col min="2053" max="2053" width="9.88671875" style="2" customWidth="1"/>
    <col min="2054" max="2054" width="17.88671875" style="2" customWidth="1"/>
    <col min="2055" max="2055" width="30.88671875" style="2" bestFit="1" customWidth="1"/>
    <col min="2056" max="2060" width="8.88671875" style="2"/>
    <col min="2061" max="2061" width="11" style="2" customWidth="1"/>
    <col min="2062" max="2304" width="8.88671875" style="2"/>
    <col min="2305" max="2305" width="13.33203125" style="2" customWidth="1"/>
    <col min="2306" max="2306" width="9.5546875" style="2" customWidth="1"/>
    <col min="2307" max="2307" width="18" style="2" customWidth="1"/>
    <col min="2308" max="2308" width="7.33203125" style="2" customWidth="1"/>
    <col min="2309" max="2309" width="9.88671875" style="2" customWidth="1"/>
    <col min="2310" max="2310" width="17.88671875" style="2" customWidth="1"/>
    <col min="2311" max="2311" width="30.88671875" style="2" bestFit="1" customWidth="1"/>
    <col min="2312" max="2316" width="8.88671875" style="2"/>
    <col min="2317" max="2317" width="11" style="2" customWidth="1"/>
    <col min="2318" max="2560" width="8.88671875" style="2"/>
    <col min="2561" max="2561" width="13.33203125" style="2" customWidth="1"/>
    <col min="2562" max="2562" width="9.5546875" style="2" customWidth="1"/>
    <col min="2563" max="2563" width="18" style="2" customWidth="1"/>
    <col min="2564" max="2564" width="7.33203125" style="2" customWidth="1"/>
    <col min="2565" max="2565" width="9.88671875" style="2" customWidth="1"/>
    <col min="2566" max="2566" width="17.88671875" style="2" customWidth="1"/>
    <col min="2567" max="2567" width="30.88671875" style="2" bestFit="1" customWidth="1"/>
    <col min="2568" max="2572" width="8.88671875" style="2"/>
    <col min="2573" max="2573" width="11" style="2" customWidth="1"/>
    <col min="2574" max="2816" width="8.88671875" style="2"/>
    <col min="2817" max="2817" width="13.33203125" style="2" customWidth="1"/>
    <col min="2818" max="2818" width="9.5546875" style="2" customWidth="1"/>
    <col min="2819" max="2819" width="18" style="2" customWidth="1"/>
    <col min="2820" max="2820" width="7.33203125" style="2" customWidth="1"/>
    <col min="2821" max="2821" width="9.88671875" style="2" customWidth="1"/>
    <col min="2822" max="2822" width="17.88671875" style="2" customWidth="1"/>
    <col min="2823" max="2823" width="30.88671875" style="2" bestFit="1" customWidth="1"/>
    <col min="2824" max="2828" width="8.88671875" style="2"/>
    <col min="2829" max="2829" width="11" style="2" customWidth="1"/>
    <col min="2830" max="3072" width="8.88671875" style="2"/>
    <col min="3073" max="3073" width="13.33203125" style="2" customWidth="1"/>
    <col min="3074" max="3074" width="9.5546875" style="2" customWidth="1"/>
    <col min="3075" max="3075" width="18" style="2" customWidth="1"/>
    <col min="3076" max="3076" width="7.33203125" style="2" customWidth="1"/>
    <col min="3077" max="3077" width="9.88671875" style="2" customWidth="1"/>
    <col min="3078" max="3078" width="17.88671875" style="2" customWidth="1"/>
    <col min="3079" max="3079" width="30.88671875" style="2" bestFit="1" customWidth="1"/>
    <col min="3080" max="3084" width="8.88671875" style="2"/>
    <col min="3085" max="3085" width="11" style="2" customWidth="1"/>
    <col min="3086" max="3328" width="8.88671875" style="2"/>
    <col min="3329" max="3329" width="13.33203125" style="2" customWidth="1"/>
    <col min="3330" max="3330" width="9.5546875" style="2" customWidth="1"/>
    <col min="3331" max="3331" width="18" style="2" customWidth="1"/>
    <col min="3332" max="3332" width="7.33203125" style="2" customWidth="1"/>
    <col min="3333" max="3333" width="9.88671875" style="2" customWidth="1"/>
    <col min="3334" max="3334" width="17.88671875" style="2" customWidth="1"/>
    <col min="3335" max="3335" width="30.88671875" style="2" bestFit="1" customWidth="1"/>
    <col min="3336" max="3340" width="8.88671875" style="2"/>
    <col min="3341" max="3341" width="11" style="2" customWidth="1"/>
    <col min="3342" max="3584" width="8.88671875" style="2"/>
    <col min="3585" max="3585" width="13.33203125" style="2" customWidth="1"/>
    <col min="3586" max="3586" width="9.5546875" style="2" customWidth="1"/>
    <col min="3587" max="3587" width="18" style="2" customWidth="1"/>
    <col min="3588" max="3588" width="7.33203125" style="2" customWidth="1"/>
    <col min="3589" max="3589" width="9.88671875" style="2" customWidth="1"/>
    <col min="3590" max="3590" width="17.88671875" style="2" customWidth="1"/>
    <col min="3591" max="3591" width="30.88671875" style="2" bestFit="1" customWidth="1"/>
    <col min="3592" max="3596" width="8.88671875" style="2"/>
    <col min="3597" max="3597" width="11" style="2" customWidth="1"/>
    <col min="3598" max="3840" width="8.88671875" style="2"/>
    <col min="3841" max="3841" width="13.33203125" style="2" customWidth="1"/>
    <col min="3842" max="3842" width="9.5546875" style="2" customWidth="1"/>
    <col min="3843" max="3843" width="18" style="2" customWidth="1"/>
    <col min="3844" max="3844" width="7.33203125" style="2" customWidth="1"/>
    <col min="3845" max="3845" width="9.88671875" style="2" customWidth="1"/>
    <col min="3846" max="3846" width="17.88671875" style="2" customWidth="1"/>
    <col min="3847" max="3847" width="30.88671875" style="2" bestFit="1" customWidth="1"/>
    <col min="3848" max="3852" width="8.88671875" style="2"/>
    <col min="3853" max="3853" width="11" style="2" customWidth="1"/>
    <col min="3854" max="4096" width="8.88671875" style="2"/>
    <col min="4097" max="4097" width="13.33203125" style="2" customWidth="1"/>
    <col min="4098" max="4098" width="9.5546875" style="2" customWidth="1"/>
    <col min="4099" max="4099" width="18" style="2" customWidth="1"/>
    <col min="4100" max="4100" width="7.33203125" style="2" customWidth="1"/>
    <col min="4101" max="4101" width="9.88671875" style="2" customWidth="1"/>
    <col min="4102" max="4102" width="17.88671875" style="2" customWidth="1"/>
    <col min="4103" max="4103" width="30.88671875" style="2" bestFit="1" customWidth="1"/>
    <col min="4104" max="4108" width="8.88671875" style="2"/>
    <col min="4109" max="4109" width="11" style="2" customWidth="1"/>
    <col min="4110" max="4352" width="8.88671875" style="2"/>
    <col min="4353" max="4353" width="13.33203125" style="2" customWidth="1"/>
    <col min="4354" max="4354" width="9.5546875" style="2" customWidth="1"/>
    <col min="4355" max="4355" width="18" style="2" customWidth="1"/>
    <col min="4356" max="4356" width="7.33203125" style="2" customWidth="1"/>
    <col min="4357" max="4357" width="9.88671875" style="2" customWidth="1"/>
    <col min="4358" max="4358" width="17.88671875" style="2" customWidth="1"/>
    <col min="4359" max="4359" width="30.88671875" style="2" bestFit="1" customWidth="1"/>
    <col min="4360" max="4364" width="8.88671875" style="2"/>
    <col min="4365" max="4365" width="11" style="2" customWidth="1"/>
    <col min="4366" max="4608" width="8.88671875" style="2"/>
    <col min="4609" max="4609" width="13.33203125" style="2" customWidth="1"/>
    <col min="4610" max="4610" width="9.5546875" style="2" customWidth="1"/>
    <col min="4611" max="4611" width="18" style="2" customWidth="1"/>
    <col min="4612" max="4612" width="7.33203125" style="2" customWidth="1"/>
    <col min="4613" max="4613" width="9.88671875" style="2" customWidth="1"/>
    <col min="4614" max="4614" width="17.88671875" style="2" customWidth="1"/>
    <col min="4615" max="4615" width="30.88671875" style="2" bestFit="1" customWidth="1"/>
    <col min="4616" max="4620" width="8.88671875" style="2"/>
    <col min="4621" max="4621" width="11" style="2" customWidth="1"/>
    <col min="4622" max="4864" width="8.88671875" style="2"/>
    <col min="4865" max="4865" width="13.33203125" style="2" customWidth="1"/>
    <col min="4866" max="4866" width="9.5546875" style="2" customWidth="1"/>
    <col min="4867" max="4867" width="18" style="2" customWidth="1"/>
    <col min="4868" max="4868" width="7.33203125" style="2" customWidth="1"/>
    <col min="4869" max="4869" width="9.88671875" style="2" customWidth="1"/>
    <col min="4870" max="4870" width="17.88671875" style="2" customWidth="1"/>
    <col min="4871" max="4871" width="30.88671875" style="2" bestFit="1" customWidth="1"/>
    <col min="4872" max="4876" width="8.88671875" style="2"/>
    <col min="4877" max="4877" width="11" style="2" customWidth="1"/>
    <col min="4878" max="5120" width="8.88671875" style="2"/>
    <col min="5121" max="5121" width="13.33203125" style="2" customWidth="1"/>
    <col min="5122" max="5122" width="9.5546875" style="2" customWidth="1"/>
    <col min="5123" max="5123" width="18" style="2" customWidth="1"/>
    <col min="5124" max="5124" width="7.33203125" style="2" customWidth="1"/>
    <col min="5125" max="5125" width="9.88671875" style="2" customWidth="1"/>
    <col min="5126" max="5126" width="17.88671875" style="2" customWidth="1"/>
    <col min="5127" max="5127" width="30.88671875" style="2" bestFit="1" customWidth="1"/>
    <col min="5128" max="5132" width="8.88671875" style="2"/>
    <col min="5133" max="5133" width="11" style="2" customWidth="1"/>
    <col min="5134" max="5376" width="8.88671875" style="2"/>
    <col min="5377" max="5377" width="13.33203125" style="2" customWidth="1"/>
    <col min="5378" max="5378" width="9.5546875" style="2" customWidth="1"/>
    <col min="5379" max="5379" width="18" style="2" customWidth="1"/>
    <col min="5380" max="5380" width="7.33203125" style="2" customWidth="1"/>
    <col min="5381" max="5381" width="9.88671875" style="2" customWidth="1"/>
    <col min="5382" max="5382" width="17.88671875" style="2" customWidth="1"/>
    <col min="5383" max="5383" width="30.88671875" style="2" bestFit="1" customWidth="1"/>
    <col min="5384" max="5388" width="8.88671875" style="2"/>
    <col min="5389" max="5389" width="11" style="2" customWidth="1"/>
    <col min="5390" max="5632" width="8.88671875" style="2"/>
    <col min="5633" max="5633" width="13.33203125" style="2" customWidth="1"/>
    <col min="5634" max="5634" width="9.5546875" style="2" customWidth="1"/>
    <col min="5635" max="5635" width="18" style="2" customWidth="1"/>
    <col min="5636" max="5636" width="7.33203125" style="2" customWidth="1"/>
    <col min="5637" max="5637" width="9.88671875" style="2" customWidth="1"/>
    <col min="5638" max="5638" width="17.88671875" style="2" customWidth="1"/>
    <col min="5639" max="5639" width="30.88671875" style="2" bestFit="1" customWidth="1"/>
    <col min="5640" max="5644" width="8.88671875" style="2"/>
    <col min="5645" max="5645" width="11" style="2" customWidth="1"/>
    <col min="5646" max="5888" width="8.88671875" style="2"/>
    <col min="5889" max="5889" width="13.33203125" style="2" customWidth="1"/>
    <col min="5890" max="5890" width="9.5546875" style="2" customWidth="1"/>
    <col min="5891" max="5891" width="18" style="2" customWidth="1"/>
    <col min="5892" max="5892" width="7.33203125" style="2" customWidth="1"/>
    <col min="5893" max="5893" width="9.88671875" style="2" customWidth="1"/>
    <col min="5894" max="5894" width="17.88671875" style="2" customWidth="1"/>
    <col min="5895" max="5895" width="30.88671875" style="2" bestFit="1" customWidth="1"/>
    <col min="5896" max="5900" width="8.88671875" style="2"/>
    <col min="5901" max="5901" width="11" style="2" customWidth="1"/>
    <col min="5902" max="6144" width="8.88671875" style="2"/>
    <col min="6145" max="6145" width="13.33203125" style="2" customWidth="1"/>
    <col min="6146" max="6146" width="9.5546875" style="2" customWidth="1"/>
    <col min="6147" max="6147" width="18" style="2" customWidth="1"/>
    <col min="6148" max="6148" width="7.33203125" style="2" customWidth="1"/>
    <col min="6149" max="6149" width="9.88671875" style="2" customWidth="1"/>
    <col min="6150" max="6150" width="17.88671875" style="2" customWidth="1"/>
    <col min="6151" max="6151" width="30.88671875" style="2" bestFit="1" customWidth="1"/>
    <col min="6152" max="6156" width="8.88671875" style="2"/>
    <col min="6157" max="6157" width="11" style="2" customWidth="1"/>
    <col min="6158" max="6400" width="8.88671875" style="2"/>
    <col min="6401" max="6401" width="13.33203125" style="2" customWidth="1"/>
    <col min="6402" max="6402" width="9.5546875" style="2" customWidth="1"/>
    <col min="6403" max="6403" width="18" style="2" customWidth="1"/>
    <col min="6404" max="6404" width="7.33203125" style="2" customWidth="1"/>
    <col min="6405" max="6405" width="9.88671875" style="2" customWidth="1"/>
    <col min="6406" max="6406" width="17.88671875" style="2" customWidth="1"/>
    <col min="6407" max="6407" width="30.88671875" style="2" bestFit="1" customWidth="1"/>
    <col min="6408" max="6412" width="8.88671875" style="2"/>
    <col min="6413" max="6413" width="11" style="2" customWidth="1"/>
    <col min="6414" max="6656" width="8.88671875" style="2"/>
    <col min="6657" max="6657" width="13.33203125" style="2" customWidth="1"/>
    <col min="6658" max="6658" width="9.5546875" style="2" customWidth="1"/>
    <col min="6659" max="6659" width="18" style="2" customWidth="1"/>
    <col min="6660" max="6660" width="7.33203125" style="2" customWidth="1"/>
    <col min="6661" max="6661" width="9.88671875" style="2" customWidth="1"/>
    <col min="6662" max="6662" width="17.88671875" style="2" customWidth="1"/>
    <col min="6663" max="6663" width="30.88671875" style="2" bestFit="1" customWidth="1"/>
    <col min="6664" max="6668" width="8.88671875" style="2"/>
    <col min="6669" max="6669" width="11" style="2" customWidth="1"/>
    <col min="6670" max="6912" width="8.88671875" style="2"/>
    <col min="6913" max="6913" width="13.33203125" style="2" customWidth="1"/>
    <col min="6914" max="6914" width="9.5546875" style="2" customWidth="1"/>
    <col min="6915" max="6915" width="18" style="2" customWidth="1"/>
    <col min="6916" max="6916" width="7.33203125" style="2" customWidth="1"/>
    <col min="6917" max="6917" width="9.88671875" style="2" customWidth="1"/>
    <col min="6918" max="6918" width="17.88671875" style="2" customWidth="1"/>
    <col min="6919" max="6919" width="30.88671875" style="2" bestFit="1" customWidth="1"/>
    <col min="6920" max="6924" width="8.88671875" style="2"/>
    <col min="6925" max="6925" width="11" style="2" customWidth="1"/>
    <col min="6926" max="7168" width="8.88671875" style="2"/>
    <col min="7169" max="7169" width="13.33203125" style="2" customWidth="1"/>
    <col min="7170" max="7170" width="9.5546875" style="2" customWidth="1"/>
    <col min="7171" max="7171" width="18" style="2" customWidth="1"/>
    <col min="7172" max="7172" width="7.33203125" style="2" customWidth="1"/>
    <col min="7173" max="7173" width="9.88671875" style="2" customWidth="1"/>
    <col min="7174" max="7174" width="17.88671875" style="2" customWidth="1"/>
    <col min="7175" max="7175" width="30.88671875" style="2" bestFit="1" customWidth="1"/>
    <col min="7176" max="7180" width="8.88671875" style="2"/>
    <col min="7181" max="7181" width="11" style="2" customWidth="1"/>
    <col min="7182" max="7424" width="8.88671875" style="2"/>
    <col min="7425" max="7425" width="13.33203125" style="2" customWidth="1"/>
    <col min="7426" max="7426" width="9.5546875" style="2" customWidth="1"/>
    <col min="7427" max="7427" width="18" style="2" customWidth="1"/>
    <col min="7428" max="7428" width="7.33203125" style="2" customWidth="1"/>
    <col min="7429" max="7429" width="9.88671875" style="2" customWidth="1"/>
    <col min="7430" max="7430" width="17.88671875" style="2" customWidth="1"/>
    <col min="7431" max="7431" width="30.88671875" style="2" bestFit="1" customWidth="1"/>
    <col min="7432" max="7436" width="8.88671875" style="2"/>
    <col min="7437" max="7437" width="11" style="2" customWidth="1"/>
    <col min="7438" max="7680" width="8.88671875" style="2"/>
    <col min="7681" max="7681" width="13.33203125" style="2" customWidth="1"/>
    <col min="7682" max="7682" width="9.5546875" style="2" customWidth="1"/>
    <col min="7683" max="7683" width="18" style="2" customWidth="1"/>
    <col min="7684" max="7684" width="7.33203125" style="2" customWidth="1"/>
    <col min="7685" max="7685" width="9.88671875" style="2" customWidth="1"/>
    <col min="7686" max="7686" width="17.88671875" style="2" customWidth="1"/>
    <col min="7687" max="7687" width="30.88671875" style="2" bestFit="1" customWidth="1"/>
    <col min="7688" max="7692" width="8.88671875" style="2"/>
    <col min="7693" max="7693" width="11" style="2" customWidth="1"/>
    <col min="7694" max="7936" width="8.88671875" style="2"/>
    <col min="7937" max="7937" width="13.33203125" style="2" customWidth="1"/>
    <col min="7938" max="7938" width="9.5546875" style="2" customWidth="1"/>
    <col min="7939" max="7939" width="18" style="2" customWidth="1"/>
    <col min="7940" max="7940" width="7.33203125" style="2" customWidth="1"/>
    <col min="7941" max="7941" width="9.88671875" style="2" customWidth="1"/>
    <col min="7942" max="7942" width="17.88671875" style="2" customWidth="1"/>
    <col min="7943" max="7943" width="30.88671875" style="2" bestFit="1" customWidth="1"/>
    <col min="7944" max="7948" width="8.88671875" style="2"/>
    <col min="7949" max="7949" width="11" style="2" customWidth="1"/>
    <col min="7950" max="8192" width="8.88671875" style="2"/>
    <col min="8193" max="8193" width="13.33203125" style="2" customWidth="1"/>
    <col min="8194" max="8194" width="9.5546875" style="2" customWidth="1"/>
    <col min="8195" max="8195" width="18" style="2" customWidth="1"/>
    <col min="8196" max="8196" width="7.33203125" style="2" customWidth="1"/>
    <col min="8197" max="8197" width="9.88671875" style="2" customWidth="1"/>
    <col min="8198" max="8198" width="17.88671875" style="2" customWidth="1"/>
    <col min="8199" max="8199" width="30.88671875" style="2" bestFit="1" customWidth="1"/>
    <col min="8200" max="8204" width="8.88671875" style="2"/>
    <col min="8205" max="8205" width="11" style="2" customWidth="1"/>
    <col min="8206" max="8448" width="8.88671875" style="2"/>
    <col min="8449" max="8449" width="13.33203125" style="2" customWidth="1"/>
    <col min="8450" max="8450" width="9.5546875" style="2" customWidth="1"/>
    <col min="8451" max="8451" width="18" style="2" customWidth="1"/>
    <col min="8452" max="8452" width="7.33203125" style="2" customWidth="1"/>
    <col min="8453" max="8453" width="9.88671875" style="2" customWidth="1"/>
    <col min="8454" max="8454" width="17.88671875" style="2" customWidth="1"/>
    <col min="8455" max="8455" width="30.88671875" style="2" bestFit="1" customWidth="1"/>
    <col min="8456" max="8460" width="8.88671875" style="2"/>
    <col min="8461" max="8461" width="11" style="2" customWidth="1"/>
    <col min="8462" max="8704" width="8.88671875" style="2"/>
    <col min="8705" max="8705" width="13.33203125" style="2" customWidth="1"/>
    <col min="8706" max="8706" width="9.5546875" style="2" customWidth="1"/>
    <col min="8707" max="8707" width="18" style="2" customWidth="1"/>
    <col min="8708" max="8708" width="7.33203125" style="2" customWidth="1"/>
    <col min="8709" max="8709" width="9.88671875" style="2" customWidth="1"/>
    <col min="8710" max="8710" width="17.88671875" style="2" customWidth="1"/>
    <col min="8711" max="8711" width="30.88671875" style="2" bestFit="1" customWidth="1"/>
    <col min="8712" max="8716" width="8.88671875" style="2"/>
    <col min="8717" max="8717" width="11" style="2" customWidth="1"/>
    <col min="8718" max="8960" width="8.88671875" style="2"/>
    <col min="8961" max="8961" width="13.33203125" style="2" customWidth="1"/>
    <col min="8962" max="8962" width="9.5546875" style="2" customWidth="1"/>
    <col min="8963" max="8963" width="18" style="2" customWidth="1"/>
    <col min="8964" max="8964" width="7.33203125" style="2" customWidth="1"/>
    <col min="8965" max="8965" width="9.88671875" style="2" customWidth="1"/>
    <col min="8966" max="8966" width="17.88671875" style="2" customWidth="1"/>
    <col min="8967" max="8967" width="30.88671875" style="2" bestFit="1" customWidth="1"/>
    <col min="8968" max="8972" width="8.88671875" style="2"/>
    <col min="8973" max="8973" width="11" style="2" customWidth="1"/>
    <col min="8974" max="9216" width="8.88671875" style="2"/>
    <col min="9217" max="9217" width="13.33203125" style="2" customWidth="1"/>
    <col min="9218" max="9218" width="9.5546875" style="2" customWidth="1"/>
    <col min="9219" max="9219" width="18" style="2" customWidth="1"/>
    <col min="9220" max="9220" width="7.33203125" style="2" customWidth="1"/>
    <col min="9221" max="9221" width="9.88671875" style="2" customWidth="1"/>
    <col min="9222" max="9222" width="17.88671875" style="2" customWidth="1"/>
    <col min="9223" max="9223" width="30.88671875" style="2" bestFit="1" customWidth="1"/>
    <col min="9224" max="9228" width="8.88671875" style="2"/>
    <col min="9229" max="9229" width="11" style="2" customWidth="1"/>
    <col min="9230" max="9472" width="8.88671875" style="2"/>
    <col min="9473" max="9473" width="13.33203125" style="2" customWidth="1"/>
    <col min="9474" max="9474" width="9.5546875" style="2" customWidth="1"/>
    <col min="9475" max="9475" width="18" style="2" customWidth="1"/>
    <col min="9476" max="9476" width="7.33203125" style="2" customWidth="1"/>
    <col min="9477" max="9477" width="9.88671875" style="2" customWidth="1"/>
    <col min="9478" max="9478" width="17.88671875" style="2" customWidth="1"/>
    <col min="9479" max="9479" width="30.88671875" style="2" bestFit="1" customWidth="1"/>
    <col min="9480" max="9484" width="8.88671875" style="2"/>
    <col min="9485" max="9485" width="11" style="2" customWidth="1"/>
    <col min="9486" max="9728" width="8.88671875" style="2"/>
    <col min="9729" max="9729" width="13.33203125" style="2" customWidth="1"/>
    <col min="9730" max="9730" width="9.5546875" style="2" customWidth="1"/>
    <col min="9731" max="9731" width="18" style="2" customWidth="1"/>
    <col min="9732" max="9732" width="7.33203125" style="2" customWidth="1"/>
    <col min="9733" max="9733" width="9.88671875" style="2" customWidth="1"/>
    <col min="9734" max="9734" width="17.88671875" style="2" customWidth="1"/>
    <col min="9735" max="9735" width="30.88671875" style="2" bestFit="1" customWidth="1"/>
    <col min="9736" max="9740" width="8.88671875" style="2"/>
    <col min="9741" max="9741" width="11" style="2" customWidth="1"/>
    <col min="9742" max="9984" width="8.88671875" style="2"/>
    <col min="9985" max="9985" width="13.33203125" style="2" customWidth="1"/>
    <col min="9986" max="9986" width="9.5546875" style="2" customWidth="1"/>
    <col min="9987" max="9987" width="18" style="2" customWidth="1"/>
    <col min="9988" max="9988" width="7.33203125" style="2" customWidth="1"/>
    <col min="9989" max="9989" width="9.88671875" style="2" customWidth="1"/>
    <col min="9990" max="9990" width="17.88671875" style="2" customWidth="1"/>
    <col min="9991" max="9991" width="30.88671875" style="2" bestFit="1" customWidth="1"/>
    <col min="9992" max="9996" width="8.88671875" style="2"/>
    <col min="9997" max="9997" width="11" style="2" customWidth="1"/>
    <col min="9998" max="10240" width="8.88671875" style="2"/>
    <col min="10241" max="10241" width="13.33203125" style="2" customWidth="1"/>
    <col min="10242" max="10242" width="9.5546875" style="2" customWidth="1"/>
    <col min="10243" max="10243" width="18" style="2" customWidth="1"/>
    <col min="10244" max="10244" width="7.33203125" style="2" customWidth="1"/>
    <col min="10245" max="10245" width="9.88671875" style="2" customWidth="1"/>
    <col min="10246" max="10246" width="17.88671875" style="2" customWidth="1"/>
    <col min="10247" max="10247" width="30.88671875" style="2" bestFit="1" customWidth="1"/>
    <col min="10248" max="10252" width="8.88671875" style="2"/>
    <col min="10253" max="10253" width="11" style="2" customWidth="1"/>
    <col min="10254" max="10496" width="8.88671875" style="2"/>
    <col min="10497" max="10497" width="13.33203125" style="2" customWidth="1"/>
    <col min="10498" max="10498" width="9.5546875" style="2" customWidth="1"/>
    <col min="10499" max="10499" width="18" style="2" customWidth="1"/>
    <col min="10500" max="10500" width="7.33203125" style="2" customWidth="1"/>
    <col min="10501" max="10501" width="9.88671875" style="2" customWidth="1"/>
    <col min="10502" max="10502" width="17.88671875" style="2" customWidth="1"/>
    <col min="10503" max="10503" width="30.88671875" style="2" bestFit="1" customWidth="1"/>
    <col min="10504" max="10508" width="8.88671875" style="2"/>
    <col min="10509" max="10509" width="11" style="2" customWidth="1"/>
    <col min="10510" max="10752" width="8.88671875" style="2"/>
    <col min="10753" max="10753" width="13.33203125" style="2" customWidth="1"/>
    <col min="10754" max="10754" width="9.5546875" style="2" customWidth="1"/>
    <col min="10755" max="10755" width="18" style="2" customWidth="1"/>
    <col min="10756" max="10756" width="7.33203125" style="2" customWidth="1"/>
    <col min="10757" max="10757" width="9.88671875" style="2" customWidth="1"/>
    <col min="10758" max="10758" width="17.88671875" style="2" customWidth="1"/>
    <col min="10759" max="10759" width="30.88671875" style="2" bestFit="1" customWidth="1"/>
    <col min="10760" max="10764" width="8.88671875" style="2"/>
    <col min="10765" max="10765" width="11" style="2" customWidth="1"/>
    <col min="10766" max="11008" width="8.88671875" style="2"/>
    <col min="11009" max="11009" width="13.33203125" style="2" customWidth="1"/>
    <col min="11010" max="11010" width="9.5546875" style="2" customWidth="1"/>
    <col min="11011" max="11011" width="18" style="2" customWidth="1"/>
    <col min="11012" max="11012" width="7.33203125" style="2" customWidth="1"/>
    <col min="11013" max="11013" width="9.88671875" style="2" customWidth="1"/>
    <col min="11014" max="11014" width="17.88671875" style="2" customWidth="1"/>
    <col min="11015" max="11015" width="30.88671875" style="2" bestFit="1" customWidth="1"/>
    <col min="11016" max="11020" width="8.88671875" style="2"/>
    <col min="11021" max="11021" width="11" style="2" customWidth="1"/>
    <col min="11022" max="11264" width="8.88671875" style="2"/>
    <col min="11265" max="11265" width="13.33203125" style="2" customWidth="1"/>
    <col min="11266" max="11266" width="9.5546875" style="2" customWidth="1"/>
    <col min="11267" max="11267" width="18" style="2" customWidth="1"/>
    <col min="11268" max="11268" width="7.33203125" style="2" customWidth="1"/>
    <col min="11269" max="11269" width="9.88671875" style="2" customWidth="1"/>
    <col min="11270" max="11270" width="17.88671875" style="2" customWidth="1"/>
    <col min="11271" max="11271" width="30.88671875" style="2" bestFit="1" customWidth="1"/>
    <col min="11272" max="11276" width="8.88671875" style="2"/>
    <col min="11277" max="11277" width="11" style="2" customWidth="1"/>
    <col min="11278" max="11520" width="8.88671875" style="2"/>
    <col min="11521" max="11521" width="13.33203125" style="2" customWidth="1"/>
    <col min="11522" max="11522" width="9.5546875" style="2" customWidth="1"/>
    <col min="11523" max="11523" width="18" style="2" customWidth="1"/>
    <col min="11524" max="11524" width="7.33203125" style="2" customWidth="1"/>
    <col min="11525" max="11525" width="9.88671875" style="2" customWidth="1"/>
    <col min="11526" max="11526" width="17.88671875" style="2" customWidth="1"/>
    <col min="11527" max="11527" width="30.88671875" style="2" bestFit="1" customWidth="1"/>
    <col min="11528" max="11532" width="8.88671875" style="2"/>
    <col min="11533" max="11533" width="11" style="2" customWidth="1"/>
    <col min="11534" max="11776" width="8.88671875" style="2"/>
    <col min="11777" max="11777" width="13.33203125" style="2" customWidth="1"/>
    <col min="11778" max="11778" width="9.5546875" style="2" customWidth="1"/>
    <col min="11779" max="11779" width="18" style="2" customWidth="1"/>
    <col min="11780" max="11780" width="7.33203125" style="2" customWidth="1"/>
    <col min="11781" max="11781" width="9.88671875" style="2" customWidth="1"/>
    <col min="11782" max="11782" width="17.88671875" style="2" customWidth="1"/>
    <col min="11783" max="11783" width="30.88671875" style="2" bestFit="1" customWidth="1"/>
    <col min="11784" max="11788" width="8.88671875" style="2"/>
    <col min="11789" max="11789" width="11" style="2" customWidth="1"/>
    <col min="11790" max="12032" width="8.88671875" style="2"/>
    <col min="12033" max="12033" width="13.33203125" style="2" customWidth="1"/>
    <col min="12034" max="12034" width="9.5546875" style="2" customWidth="1"/>
    <col min="12035" max="12035" width="18" style="2" customWidth="1"/>
    <col min="12036" max="12036" width="7.33203125" style="2" customWidth="1"/>
    <col min="12037" max="12037" width="9.88671875" style="2" customWidth="1"/>
    <col min="12038" max="12038" width="17.88671875" style="2" customWidth="1"/>
    <col min="12039" max="12039" width="30.88671875" style="2" bestFit="1" customWidth="1"/>
    <col min="12040" max="12044" width="8.88671875" style="2"/>
    <col min="12045" max="12045" width="11" style="2" customWidth="1"/>
    <col min="12046" max="12288" width="8.88671875" style="2"/>
    <col min="12289" max="12289" width="13.33203125" style="2" customWidth="1"/>
    <col min="12290" max="12290" width="9.5546875" style="2" customWidth="1"/>
    <col min="12291" max="12291" width="18" style="2" customWidth="1"/>
    <col min="12292" max="12292" width="7.33203125" style="2" customWidth="1"/>
    <col min="12293" max="12293" width="9.88671875" style="2" customWidth="1"/>
    <col min="12294" max="12294" width="17.88671875" style="2" customWidth="1"/>
    <col min="12295" max="12295" width="30.88671875" style="2" bestFit="1" customWidth="1"/>
    <col min="12296" max="12300" width="8.88671875" style="2"/>
    <col min="12301" max="12301" width="11" style="2" customWidth="1"/>
    <col min="12302" max="12544" width="8.88671875" style="2"/>
    <col min="12545" max="12545" width="13.33203125" style="2" customWidth="1"/>
    <col min="12546" max="12546" width="9.5546875" style="2" customWidth="1"/>
    <col min="12547" max="12547" width="18" style="2" customWidth="1"/>
    <col min="12548" max="12548" width="7.33203125" style="2" customWidth="1"/>
    <col min="12549" max="12549" width="9.88671875" style="2" customWidth="1"/>
    <col min="12550" max="12550" width="17.88671875" style="2" customWidth="1"/>
    <col min="12551" max="12551" width="30.88671875" style="2" bestFit="1" customWidth="1"/>
    <col min="12552" max="12556" width="8.88671875" style="2"/>
    <col min="12557" max="12557" width="11" style="2" customWidth="1"/>
    <col min="12558" max="12800" width="8.88671875" style="2"/>
    <col min="12801" max="12801" width="13.33203125" style="2" customWidth="1"/>
    <col min="12802" max="12802" width="9.5546875" style="2" customWidth="1"/>
    <col min="12803" max="12803" width="18" style="2" customWidth="1"/>
    <col min="12804" max="12804" width="7.33203125" style="2" customWidth="1"/>
    <col min="12805" max="12805" width="9.88671875" style="2" customWidth="1"/>
    <col min="12806" max="12806" width="17.88671875" style="2" customWidth="1"/>
    <col min="12807" max="12807" width="30.88671875" style="2" bestFit="1" customWidth="1"/>
    <col min="12808" max="12812" width="8.88671875" style="2"/>
    <col min="12813" max="12813" width="11" style="2" customWidth="1"/>
    <col min="12814" max="13056" width="8.88671875" style="2"/>
    <col min="13057" max="13057" width="13.33203125" style="2" customWidth="1"/>
    <col min="13058" max="13058" width="9.5546875" style="2" customWidth="1"/>
    <col min="13059" max="13059" width="18" style="2" customWidth="1"/>
    <col min="13060" max="13060" width="7.33203125" style="2" customWidth="1"/>
    <col min="13061" max="13061" width="9.88671875" style="2" customWidth="1"/>
    <col min="13062" max="13062" width="17.88671875" style="2" customWidth="1"/>
    <col min="13063" max="13063" width="30.88671875" style="2" bestFit="1" customWidth="1"/>
    <col min="13064" max="13068" width="8.88671875" style="2"/>
    <col min="13069" max="13069" width="11" style="2" customWidth="1"/>
    <col min="13070" max="13312" width="8.88671875" style="2"/>
    <col min="13313" max="13313" width="13.33203125" style="2" customWidth="1"/>
    <col min="13314" max="13314" width="9.5546875" style="2" customWidth="1"/>
    <col min="13315" max="13315" width="18" style="2" customWidth="1"/>
    <col min="13316" max="13316" width="7.33203125" style="2" customWidth="1"/>
    <col min="13317" max="13317" width="9.88671875" style="2" customWidth="1"/>
    <col min="13318" max="13318" width="17.88671875" style="2" customWidth="1"/>
    <col min="13319" max="13319" width="30.88671875" style="2" bestFit="1" customWidth="1"/>
    <col min="13320" max="13324" width="8.88671875" style="2"/>
    <col min="13325" max="13325" width="11" style="2" customWidth="1"/>
    <col min="13326" max="13568" width="8.88671875" style="2"/>
    <col min="13569" max="13569" width="13.33203125" style="2" customWidth="1"/>
    <col min="13570" max="13570" width="9.5546875" style="2" customWidth="1"/>
    <col min="13571" max="13571" width="18" style="2" customWidth="1"/>
    <col min="13572" max="13572" width="7.33203125" style="2" customWidth="1"/>
    <col min="13573" max="13573" width="9.88671875" style="2" customWidth="1"/>
    <col min="13574" max="13574" width="17.88671875" style="2" customWidth="1"/>
    <col min="13575" max="13575" width="30.88671875" style="2" bestFit="1" customWidth="1"/>
    <col min="13576" max="13580" width="8.88671875" style="2"/>
    <col min="13581" max="13581" width="11" style="2" customWidth="1"/>
    <col min="13582" max="13824" width="8.88671875" style="2"/>
    <col min="13825" max="13825" width="13.33203125" style="2" customWidth="1"/>
    <col min="13826" max="13826" width="9.5546875" style="2" customWidth="1"/>
    <col min="13827" max="13827" width="18" style="2" customWidth="1"/>
    <col min="13828" max="13828" width="7.33203125" style="2" customWidth="1"/>
    <col min="13829" max="13829" width="9.88671875" style="2" customWidth="1"/>
    <col min="13830" max="13830" width="17.88671875" style="2" customWidth="1"/>
    <col min="13831" max="13831" width="30.88671875" style="2" bestFit="1" customWidth="1"/>
    <col min="13832" max="13836" width="8.88671875" style="2"/>
    <col min="13837" max="13837" width="11" style="2" customWidth="1"/>
    <col min="13838" max="14080" width="8.88671875" style="2"/>
    <col min="14081" max="14081" width="13.33203125" style="2" customWidth="1"/>
    <col min="14082" max="14082" width="9.5546875" style="2" customWidth="1"/>
    <col min="14083" max="14083" width="18" style="2" customWidth="1"/>
    <col min="14084" max="14084" width="7.33203125" style="2" customWidth="1"/>
    <col min="14085" max="14085" width="9.88671875" style="2" customWidth="1"/>
    <col min="14086" max="14086" width="17.88671875" style="2" customWidth="1"/>
    <col min="14087" max="14087" width="30.88671875" style="2" bestFit="1" customWidth="1"/>
    <col min="14088" max="14092" width="8.88671875" style="2"/>
    <col min="14093" max="14093" width="11" style="2" customWidth="1"/>
    <col min="14094" max="14336" width="8.88671875" style="2"/>
    <col min="14337" max="14337" width="13.33203125" style="2" customWidth="1"/>
    <col min="14338" max="14338" width="9.5546875" style="2" customWidth="1"/>
    <col min="14339" max="14339" width="18" style="2" customWidth="1"/>
    <col min="14340" max="14340" width="7.33203125" style="2" customWidth="1"/>
    <col min="14341" max="14341" width="9.88671875" style="2" customWidth="1"/>
    <col min="14342" max="14342" width="17.88671875" style="2" customWidth="1"/>
    <col min="14343" max="14343" width="30.88671875" style="2" bestFit="1" customWidth="1"/>
    <col min="14344" max="14348" width="8.88671875" style="2"/>
    <col min="14349" max="14349" width="11" style="2" customWidth="1"/>
    <col min="14350" max="14592" width="8.88671875" style="2"/>
    <col min="14593" max="14593" width="13.33203125" style="2" customWidth="1"/>
    <col min="14594" max="14594" width="9.5546875" style="2" customWidth="1"/>
    <col min="14595" max="14595" width="18" style="2" customWidth="1"/>
    <col min="14596" max="14596" width="7.33203125" style="2" customWidth="1"/>
    <col min="14597" max="14597" width="9.88671875" style="2" customWidth="1"/>
    <col min="14598" max="14598" width="17.88671875" style="2" customWidth="1"/>
    <col min="14599" max="14599" width="30.88671875" style="2" bestFit="1" customWidth="1"/>
    <col min="14600" max="14604" width="8.88671875" style="2"/>
    <col min="14605" max="14605" width="11" style="2" customWidth="1"/>
    <col min="14606" max="14848" width="8.88671875" style="2"/>
    <col min="14849" max="14849" width="13.33203125" style="2" customWidth="1"/>
    <col min="14850" max="14850" width="9.5546875" style="2" customWidth="1"/>
    <col min="14851" max="14851" width="18" style="2" customWidth="1"/>
    <col min="14852" max="14852" width="7.33203125" style="2" customWidth="1"/>
    <col min="14853" max="14853" width="9.88671875" style="2" customWidth="1"/>
    <col min="14854" max="14854" width="17.88671875" style="2" customWidth="1"/>
    <col min="14855" max="14855" width="30.88671875" style="2" bestFit="1" customWidth="1"/>
    <col min="14856" max="14860" width="8.88671875" style="2"/>
    <col min="14861" max="14861" width="11" style="2" customWidth="1"/>
    <col min="14862" max="15104" width="8.88671875" style="2"/>
    <col min="15105" max="15105" width="13.33203125" style="2" customWidth="1"/>
    <col min="15106" max="15106" width="9.5546875" style="2" customWidth="1"/>
    <col min="15107" max="15107" width="18" style="2" customWidth="1"/>
    <col min="15108" max="15108" width="7.33203125" style="2" customWidth="1"/>
    <col min="15109" max="15109" width="9.88671875" style="2" customWidth="1"/>
    <col min="15110" max="15110" width="17.88671875" style="2" customWidth="1"/>
    <col min="15111" max="15111" width="30.88671875" style="2" bestFit="1" customWidth="1"/>
    <col min="15112" max="15116" width="8.88671875" style="2"/>
    <col min="15117" max="15117" width="11" style="2" customWidth="1"/>
    <col min="15118" max="15360" width="8.88671875" style="2"/>
    <col min="15361" max="15361" width="13.33203125" style="2" customWidth="1"/>
    <col min="15362" max="15362" width="9.5546875" style="2" customWidth="1"/>
    <col min="15363" max="15363" width="18" style="2" customWidth="1"/>
    <col min="15364" max="15364" width="7.33203125" style="2" customWidth="1"/>
    <col min="15365" max="15365" width="9.88671875" style="2" customWidth="1"/>
    <col min="15366" max="15366" width="17.88671875" style="2" customWidth="1"/>
    <col min="15367" max="15367" width="30.88671875" style="2" bestFit="1" customWidth="1"/>
    <col min="15368" max="15372" width="8.88671875" style="2"/>
    <col min="15373" max="15373" width="11" style="2" customWidth="1"/>
    <col min="15374" max="15616" width="8.88671875" style="2"/>
    <col min="15617" max="15617" width="13.33203125" style="2" customWidth="1"/>
    <col min="15618" max="15618" width="9.5546875" style="2" customWidth="1"/>
    <col min="15619" max="15619" width="18" style="2" customWidth="1"/>
    <col min="15620" max="15620" width="7.33203125" style="2" customWidth="1"/>
    <col min="15621" max="15621" width="9.88671875" style="2" customWidth="1"/>
    <col min="15622" max="15622" width="17.88671875" style="2" customWidth="1"/>
    <col min="15623" max="15623" width="30.88671875" style="2" bestFit="1" customWidth="1"/>
    <col min="15624" max="15628" width="8.88671875" style="2"/>
    <col min="15629" max="15629" width="11" style="2" customWidth="1"/>
    <col min="15630" max="15872" width="8.88671875" style="2"/>
    <col min="15873" max="15873" width="13.33203125" style="2" customWidth="1"/>
    <col min="15874" max="15874" width="9.5546875" style="2" customWidth="1"/>
    <col min="15875" max="15875" width="18" style="2" customWidth="1"/>
    <col min="15876" max="15876" width="7.33203125" style="2" customWidth="1"/>
    <col min="15877" max="15877" width="9.88671875" style="2" customWidth="1"/>
    <col min="15878" max="15878" width="17.88671875" style="2" customWidth="1"/>
    <col min="15879" max="15879" width="30.88671875" style="2" bestFit="1" customWidth="1"/>
    <col min="15880" max="15884" width="8.88671875" style="2"/>
    <col min="15885" max="15885" width="11" style="2" customWidth="1"/>
    <col min="15886" max="16128" width="8.88671875" style="2"/>
    <col min="16129" max="16129" width="13.33203125" style="2" customWidth="1"/>
    <col min="16130" max="16130" width="9.5546875" style="2" customWidth="1"/>
    <col min="16131" max="16131" width="18" style="2" customWidth="1"/>
    <col min="16132" max="16132" width="7.33203125" style="2" customWidth="1"/>
    <col min="16133" max="16133" width="9.88671875" style="2" customWidth="1"/>
    <col min="16134" max="16134" width="17.88671875" style="2" customWidth="1"/>
    <col min="16135" max="16135" width="30.88671875" style="2" bestFit="1" customWidth="1"/>
    <col min="16136" max="16140" width="8.88671875" style="2"/>
    <col min="16141" max="16141" width="11" style="2" customWidth="1"/>
    <col min="16142" max="16384" width="8.88671875" style="2"/>
  </cols>
  <sheetData>
    <row r="1" spans="1:7" ht="17.399999999999999" x14ac:dyDescent="0.3">
      <c r="A1" s="1" t="s">
        <v>0</v>
      </c>
      <c r="B1" s="1"/>
      <c r="C1" s="1"/>
      <c r="D1" s="1"/>
      <c r="E1" s="1"/>
      <c r="F1" s="1"/>
      <c r="G1" s="1"/>
    </row>
    <row r="2" spans="1:7" x14ac:dyDescent="0.25">
      <c r="A2" s="2" t="s">
        <v>1</v>
      </c>
      <c r="B2" s="3">
        <v>7.0000000000000007E-2</v>
      </c>
    </row>
    <row r="3" spans="1:7" x14ac:dyDescent="0.25">
      <c r="A3" s="5"/>
      <c r="B3" s="5"/>
      <c r="C3" s="6"/>
      <c r="D3" s="5"/>
      <c r="E3" s="5"/>
      <c r="F3" s="6"/>
    </row>
    <row r="4" spans="1:7" ht="32.4" x14ac:dyDescent="0.35">
      <c r="A4" s="6" t="s">
        <v>2</v>
      </c>
      <c r="B4" s="6" t="s">
        <v>3</v>
      </c>
      <c r="C4" s="7" t="s">
        <v>4</v>
      </c>
      <c r="D4" s="6"/>
      <c r="E4" s="6" t="s">
        <v>5</v>
      </c>
      <c r="F4" s="7" t="s">
        <v>6</v>
      </c>
    </row>
    <row r="5" spans="1:7" x14ac:dyDescent="0.25">
      <c r="A5" s="4">
        <v>1</v>
      </c>
      <c r="B5" s="2">
        <v>70</v>
      </c>
      <c r="C5" s="8">
        <f>$A5*B5/($B$16*(1+$B$2)^A5)</f>
        <v>6.5420560747663573E-2</v>
      </c>
      <c r="D5" s="17">
        <f>C5/A5</f>
        <v>6.5420560747663573E-2</v>
      </c>
      <c r="E5" s="2">
        <v>130</v>
      </c>
      <c r="F5" s="8">
        <f t="shared" ref="F5:F14" si="0">$A5*E5/(E$16*(1+$B$2)^$A5)</f>
        <v>8.5474922028487485E-2</v>
      </c>
      <c r="G5" s="2" t="str">
        <f ca="1">_xlfn.FORMULATEXT(F5)</f>
        <v>=$A5*E5/(E$16*(1+$B$2)^$A5)</v>
      </c>
    </row>
    <row r="6" spans="1:7" x14ac:dyDescent="0.25">
      <c r="A6" s="4">
        <v>2</v>
      </c>
      <c r="B6" s="2">
        <v>70</v>
      </c>
      <c r="C6" s="8">
        <f t="shared" ref="C6:C14" si="1">$A6*B6/($B$16*(1+$B$2)^A6)</f>
        <v>0.12228142195824969</v>
      </c>
      <c r="D6" s="17">
        <f t="shared" ref="D6:D14" si="2">C6/A6</f>
        <v>6.1140710979124845E-2</v>
      </c>
      <c r="E6" s="2">
        <v>130</v>
      </c>
      <c r="F6" s="8">
        <f t="shared" si="0"/>
        <v>0.15976620939904204</v>
      </c>
      <c r="G6" s="2" t="str">
        <f ca="1">_xlfn.FORMULATEXT(F6)</f>
        <v>=$A6*E6/(E$16*(1+$B$2)^$A6)</v>
      </c>
    </row>
    <row r="7" spans="1:7" x14ac:dyDescent="0.25">
      <c r="A7" s="4">
        <v>3</v>
      </c>
      <c r="B7" s="2">
        <v>70</v>
      </c>
      <c r="C7" s="8">
        <f t="shared" si="1"/>
        <v>0.17142255414707899</v>
      </c>
      <c r="D7" s="17">
        <f t="shared" si="2"/>
        <v>5.7140851382359664E-2</v>
      </c>
      <c r="E7" s="2">
        <v>130</v>
      </c>
      <c r="F7" s="8">
        <f t="shared" si="0"/>
        <v>0.22397132158744207</v>
      </c>
    </row>
    <row r="8" spans="1:7" x14ac:dyDescent="0.25">
      <c r="A8" s="4">
        <v>4</v>
      </c>
      <c r="B8" s="2">
        <v>70</v>
      </c>
      <c r="C8" s="8">
        <f t="shared" si="1"/>
        <v>0.21361065937330717</v>
      </c>
      <c r="D8" s="17">
        <f t="shared" si="2"/>
        <v>5.3402664843326793E-2</v>
      </c>
      <c r="E8" s="2">
        <v>130</v>
      </c>
      <c r="F8" s="8">
        <f t="shared" si="0"/>
        <v>0.27909198951706182</v>
      </c>
    </row>
    <row r="9" spans="1:7" x14ac:dyDescent="0.25">
      <c r="A9" s="4">
        <v>5</v>
      </c>
      <c r="B9" s="2">
        <v>70</v>
      </c>
      <c r="C9" s="8">
        <f t="shared" si="1"/>
        <v>0.24954516281928404</v>
      </c>
      <c r="D9" s="17">
        <f t="shared" si="2"/>
        <v>4.9909032563856807E-2</v>
      </c>
      <c r="E9" s="2">
        <v>130</v>
      </c>
      <c r="F9" s="8">
        <f t="shared" si="0"/>
        <v>0.32604204382834323</v>
      </c>
    </row>
    <row r="10" spans="1:7" x14ac:dyDescent="0.25">
      <c r="A10" s="4">
        <v>6</v>
      </c>
      <c r="B10" s="2">
        <v>70</v>
      </c>
      <c r="C10" s="8">
        <f t="shared" si="1"/>
        <v>0.2798637340029354</v>
      </c>
      <c r="D10" s="17">
        <f t="shared" si="2"/>
        <v>4.6643955667155901E-2</v>
      </c>
      <c r="E10" s="2">
        <v>130</v>
      </c>
      <c r="F10" s="8">
        <f t="shared" si="0"/>
        <v>0.3656546285925345</v>
      </c>
    </row>
    <row r="11" spans="1:7" x14ac:dyDescent="0.25">
      <c r="A11" s="4">
        <v>7</v>
      </c>
      <c r="B11" s="2">
        <v>70</v>
      </c>
      <c r="C11" s="8">
        <f t="shared" si="1"/>
        <v>0.30514737352344978</v>
      </c>
      <c r="D11" s="17">
        <f t="shared" si="2"/>
        <v>4.3592481931921397E-2</v>
      </c>
      <c r="E11" s="2">
        <v>130</v>
      </c>
      <c r="F11" s="8">
        <f t="shared" si="0"/>
        <v>0.39868884737503757</v>
      </c>
    </row>
    <row r="12" spans="1:7" x14ac:dyDescent="0.25">
      <c r="A12" s="4">
        <v>8</v>
      </c>
      <c r="B12" s="2">
        <v>70</v>
      </c>
      <c r="C12" s="8">
        <f t="shared" si="1"/>
        <v>0.32592509855642171</v>
      </c>
      <c r="D12" s="17">
        <f t="shared" si="2"/>
        <v>4.0740637319552714E-2</v>
      </c>
      <c r="E12" s="2">
        <v>130</v>
      </c>
      <c r="F12" s="8">
        <f t="shared" si="0"/>
        <v>0.42583588504676911</v>
      </c>
    </row>
    <row r="13" spans="1:7" x14ac:dyDescent="0.25">
      <c r="A13" s="4">
        <v>9</v>
      </c>
      <c r="B13" s="2">
        <v>70</v>
      </c>
      <c r="C13" s="8">
        <f t="shared" si="1"/>
        <v>0.34267825782801342</v>
      </c>
      <c r="D13" s="17">
        <f t="shared" si="2"/>
        <v>3.8075361980890378E-2</v>
      </c>
      <c r="E13" s="2">
        <v>130</v>
      </c>
      <c r="F13" s="8">
        <f t="shared" si="0"/>
        <v>0.44772464549309832</v>
      </c>
    </row>
    <row r="14" spans="1:7" x14ac:dyDescent="0.25">
      <c r="A14" s="4">
        <v>10</v>
      </c>
      <c r="B14" s="2">
        <v>1070</v>
      </c>
      <c r="C14" s="8">
        <f t="shared" si="1"/>
        <v>5.4393374258414831</v>
      </c>
      <c r="D14" s="17">
        <f t="shared" si="2"/>
        <v>0.54393374258414828</v>
      </c>
      <c r="E14" s="2">
        <v>1130</v>
      </c>
      <c r="F14" s="8">
        <f t="shared" si="0"/>
        <v>4.0412880374406992</v>
      </c>
    </row>
    <row r="15" spans="1:7" x14ac:dyDescent="0.25">
      <c r="D15" s="2">
        <f>SUM(D5:D14)</f>
        <v>1.0000000000000004</v>
      </c>
    </row>
    <row r="16" spans="1:7" ht="13.8" x14ac:dyDescent="0.25">
      <c r="A16" s="2" t="s">
        <v>7</v>
      </c>
      <c r="B16" s="9">
        <f>NPV(B2,B5:B14)</f>
        <v>999.99999999999955</v>
      </c>
      <c r="C16" s="2" t="str">
        <f ca="1">_xlfn.FORMULATEXT(B16)</f>
        <v>=NPV(B2,B5:B14)</v>
      </c>
      <c r="E16" s="10">
        <f>NPV(B2,E5:E14)</f>
        <v>1421.4148924559556</v>
      </c>
      <c r="F16" s="2" t="str">
        <f ca="1">_xlfn.FORMULATEXT(E16)</f>
        <v>=NPV(B2,E5:E14)</v>
      </c>
    </row>
    <row r="17" spans="1:6" x14ac:dyDescent="0.25">
      <c r="A17" s="2" t="s">
        <v>8</v>
      </c>
      <c r="B17" s="11">
        <f>SUM(C5:C14)</f>
        <v>7.5152322487978864</v>
      </c>
      <c r="C17" s="2" t="str">
        <f ca="1">_xlfn.FORMULATEXT(B17)</f>
        <v>=SUM(C5:C14)</v>
      </c>
      <c r="E17" s="11">
        <f>SUM(F5:F14)</f>
        <v>6.7535385303085151</v>
      </c>
      <c r="F17" s="2" t="str">
        <f ca="1">_xlfn.FORMULATEXT(E17)</f>
        <v>=SUM(F5:F14)</v>
      </c>
    </row>
    <row r="18" spans="1:6" ht="13.8" x14ac:dyDescent="0.25">
      <c r="B18" s="12"/>
      <c r="C18" s="8"/>
      <c r="E18" s="13"/>
      <c r="F18" s="8"/>
    </row>
    <row r="19" spans="1:6" x14ac:dyDescent="0.25">
      <c r="A19" s="2" t="s">
        <v>9</v>
      </c>
      <c r="E19" s="14"/>
      <c r="F19" s="8"/>
    </row>
    <row r="20" spans="1:6" x14ac:dyDescent="0.25">
      <c r="A20" s="2" t="s">
        <v>10</v>
      </c>
      <c r="B20" s="15">
        <f>DURATION(DATE(1996,12,3),DATE(2006,12,3),7%,B2,1)</f>
        <v>7.5152322487978838</v>
      </c>
      <c r="C20" s="14" t="str">
        <f ca="1">_xlfn.FORMULATEXT(B20)</f>
        <v>=DURATION(DATE(1996,12,3),DATE(2006,12,3),7%,B2,1)</v>
      </c>
    </row>
    <row r="21" spans="1:6" x14ac:dyDescent="0.25">
      <c r="B21" s="14">
        <f>dduration(A14,7%,B2,1)</f>
        <v>7.5152322487978847</v>
      </c>
      <c r="C21" s="14" t="str">
        <f ca="1">_xlfn.FORMULATEXT(B21)</f>
        <v>=dduration(A14,7%,B2,1)</v>
      </c>
    </row>
    <row r="22" spans="1:6" x14ac:dyDescent="0.25">
      <c r="B22" s="16"/>
      <c r="C22" s="14"/>
    </row>
    <row r="23" spans="1:6" x14ac:dyDescent="0.25">
      <c r="A23" s="2" t="s">
        <v>11</v>
      </c>
      <c r="B23" s="15">
        <f>DURATION(DATE(1996,12,3),DATE(2006,12,3),13%,B2,1)</f>
        <v>6.7535385303085134</v>
      </c>
      <c r="C23" s="14" t="str">
        <f ca="1">_xlfn.FORMULATEXT(B23)</f>
        <v>=DURATION(DATE(1996,12,3),DATE(2006,12,3),13%,B2,1)</v>
      </c>
    </row>
    <row r="24" spans="1:6" x14ac:dyDescent="0.25">
      <c r="B24" s="14">
        <f>dduration(A14,13%,7%,1)</f>
        <v>6.7535385303085125</v>
      </c>
      <c r="C24" s="14" t="str">
        <f ca="1">_xlfn.FORMULATEXT(B24)</f>
        <v>=dduration(A14,13%,7%,1)</v>
      </c>
    </row>
    <row r="25" spans="1:6" x14ac:dyDescent="0.25">
      <c r="B25" s="14"/>
    </row>
    <row r="28" spans="1:6" x14ac:dyDescent="0.25">
      <c r="D28" s="3"/>
    </row>
    <row r="29" spans="1:6" x14ac:dyDescent="0.25">
      <c r="D29" s="3"/>
    </row>
    <row r="30" spans="1:6" x14ac:dyDescent="0.25">
      <c r="D30" s="3"/>
    </row>
  </sheetData>
  <mergeCells count="1">
    <mergeCell ref="A1:G1"/>
  </mergeCells>
  <phoneticPr fontId="1" type="noConversion"/>
  <printOptions headings="1" gridLines="1"/>
  <pageMargins left="0.74803149606299213" right="0.74803149606299213" top="0.98425196850393704" bottom="0.98425196850393704" header="0.51181102362204722" footer="0.51181102362204722"/>
  <pageSetup scale="63" orientation="portrait" verticalDpi="300" r:id="rId1"/>
  <headerFooter alignWithMargins="0">
    <oddHeader>&amp;CUN-15B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Sheet3</vt:lpstr>
      <vt:lpstr>Page 672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cp:lastPrinted>2024-12-13T09:36:00Z</cp:lastPrinted>
  <dcterms:created xsi:type="dcterms:W3CDTF">2024-10-05T13:27:14Z</dcterms:created>
  <dcterms:modified xsi:type="dcterms:W3CDTF">2024-12-13T09:36:01Z</dcterms:modified>
</cp:coreProperties>
</file>