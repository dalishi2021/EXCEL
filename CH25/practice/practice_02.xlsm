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practice\"/>
    </mc:Choice>
  </mc:AlternateContent>
  <xr:revisionPtr revIDLastSave="0" documentId="13_ncr:1_{2855184F-D870-4857-B63A-E9B0D6C2907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2" sheetId="2" r:id="rId2"/>
  </sheets>
  <externalReferences>
    <externalReference r:id="rId3"/>
    <externalReference r:id="rId4"/>
  </externalReferences>
  <definedNames>
    <definedName name="alpha">'[2]Exercise 9'!$B$6</definedName>
    <definedName name="gamma">'[2]Exercise 9'!$B$3</definedName>
    <definedName name="lambda">'[2]Exercise 9'!$B$5</definedName>
    <definedName name="marker">'[1]Exercise 6'!#REF!</definedName>
    <definedName name="r_">'[2]Exercise 9'!$B$9</definedName>
    <definedName name="r_infinity">'[2]Exercise 9'!$B$7</definedName>
    <definedName name="sigma">'[2]Exercise 9'!$B$4</definedName>
    <definedName name="T">'[2]Exercise 9'!$B$10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2" l="1"/>
  <c r="B11" i="2"/>
  <c r="B4" i="2"/>
  <c r="B9" i="2" s="1"/>
  <c r="B14" i="2" s="1"/>
  <c r="C4" i="2"/>
  <c r="C14" i="2"/>
  <c r="C9" i="2"/>
  <c r="C11" i="2"/>
</calcChain>
</file>

<file path=xl/sharedStrings.xml><?xml version="1.0" encoding="utf-8"?>
<sst xmlns="http://schemas.openxmlformats.org/spreadsheetml/2006/main" count="12" uniqueCount="12">
  <si>
    <t>EFFECT OF MATURITY ON DURATION</t>
  </si>
  <si>
    <t>Current date</t>
  </si>
  <si>
    <t>Maturity, in years</t>
  </si>
  <si>
    <t>Maturity date</t>
  </si>
  <si>
    <t>YTM</t>
  </si>
  <si>
    <t>Coupon</t>
  </si>
  <si>
    <t>Face value</t>
  </si>
  <si>
    <t>Duration</t>
  </si>
  <si>
    <t>Duration of consol</t>
  </si>
  <si>
    <t>Data table on maturity</t>
  </si>
  <si>
    <t>graph title</t>
  </si>
  <si>
    <t>Raising the maturity of the bond does not always raise the duration, as you can see in the above example.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</si>
</sst>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\-mmm\-yy;@"/>
    <numFmt numFmtId="177" formatCode="_(* #,##0.00_);_(* \(#,##0.00\);_(* &quot;-&quot;??_);_(@_)"/>
    <numFmt numFmtId="178" formatCode="_(* #,##0_);_(* \(#,##0\);_(* &quot;-&quot;??_);_(@_)"/>
    <numFmt numFmtId="179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76" fontId="2" fillId="0" borderId="0" xfId="1" applyNumberFormat="1"/>
    <xf numFmtId="9" fontId="2" fillId="0" borderId="0" xfId="1" applyNumberFormat="1"/>
    <xf numFmtId="178" fontId="0" fillId="0" borderId="0" xfId="2" applyNumberFormat="1" applyFont="1"/>
    <xf numFmtId="0" fontId="2" fillId="0" borderId="0" xfId="1" quotePrefix="1"/>
    <xf numFmtId="0" fontId="4" fillId="0" borderId="0" xfId="1" applyFont="1"/>
    <xf numFmtId="0" fontId="2" fillId="0" borderId="0" xfId="1" applyAlignment="1">
      <alignment horizontal="center"/>
    </xf>
    <xf numFmtId="179" fontId="2" fillId="0" borderId="0" xfId="1" applyNumberFormat="1"/>
  </cellXfs>
  <cellStyles count="3">
    <cellStyle name="常规" xfId="0" builtinId="0"/>
    <cellStyle name="常规 2" xfId="1" xr:uid="{3175193E-F27E-42B8-8ACF-8753013DE8DF}"/>
    <cellStyle name="千位分隔 2" xfId="2" xr:uid="{5F90A837-F699-4AD5-9469-5C9E7A94503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'Exercise 2'!$L$21</c:f>
          <c:strCache>
            <c:ptCount val="1"/>
            <c:pt idx="0">
              <c:v>Effect of Maturity on Duration
Coupon rate = 4.00%, Yield to Maturity = 8.50%</c:v>
            </c:pt>
          </c:strCache>
        </c:strRef>
      </c:tx>
      <c:layout>
        <c:manualLayout>
          <c:xMode val="edge"/>
          <c:yMode val="edge"/>
          <c:x val="0.16358891739710471"/>
          <c:y val="4.304646201380934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23482925239261807"/>
          <c:y val="0.40066322335930227"/>
          <c:w val="0.69393363347481518"/>
          <c:h val="0.3543054950367384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2'!$A$15:$A$28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'Exercise 2'!$B$15:$B$28</c:f>
              <c:numCache>
                <c:formatCode>0.0000</c:formatCode>
                <c:ptCount val="14"/>
                <c:pt idx="0">
                  <c:v>4.4356233569193515</c:v>
                </c:pt>
                <c:pt idx="1">
                  <c:v>7.9262600372042664</c:v>
                </c:pt>
                <c:pt idx="2">
                  <c:v>10.349383791239877</c:v>
                </c:pt>
                <c:pt idx="3">
                  <c:v>11.873168958048376</c:v>
                </c:pt>
                <c:pt idx="4">
                  <c:v>12.72819055881415</c:v>
                </c:pt>
                <c:pt idx="5">
                  <c:v>13.137048274268601</c:v>
                </c:pt>
                <c:pt idx="6">
                  <c:v>13.276701922570421</c:v>
                </c:pt>
                <c:pt idx="7">
                  <c:v>13.27047629041318</c:v>
                </c:pt>
                <c:pt idx="8">
                  <c:v>13.196100027093905</c:v>
                </c:pt>
                <c:pt idx="9">
                  <c:v>13.098418947765539</c:v>
                </c:pt>
                <c:pt idx="10">
                  <c:v>13.000943449269018</c:v>
                </c:pt>
                <c:pt idx="11">
                  <c:v>12.914405593956158</c:v>
                </c:pt>
                <c:pt idx="12">
                  <c:v>12.842424956555949</c:v>
                </c:pt>
                <c:pt idx="13">
                  <c:v>12.784985966484944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F-4DF7-B222-97E7B61DD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843104"/>
        <c:axId val="1"/>
      </c:scatterChart>
      <c:valAx>
        <c:axId val="871843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51715206144891157"/>
              <c:y val="0.8576179739674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3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Duration</a:t>
                </a:r>
              </a:p>
            </c:rich>
          </c:tx>
          <c:layout>
            <c:manualLayout>
              <c:xMode val="edge"/>
              <c:yMode val="edge"/>
              <c:x val="6.5963273143993834E-2"/>
              <c:y val="0.493378680004430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718431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11</xdr:row>
      <xdr:rowOff>121920</xdr:rowOff>
    </xdr:from>
    <xdr:to>
      <xdr:col>9</xdr:col>
      <xdr:colOff>403860</xdr:colOff>
      <xdr:row>28</xdr:row>
      <xdr:rowOff>83820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B6F9EF98-8901-4FA6-8075-D0EC71909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542925</xdr:colOff>
      <xdr:row>23</xdr:row>
      <xdr:rowOff>95250</xdr:rowOff>
    </xdr:from>
    <xdr:to>
      <xdr:col>36</xdr:col>
      <xdr:colOff>302999</xdr:colOff>
      <xdr:row>67</xdr:row>
      <xdr:rowOff>25809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B9D2FB7-3420-F054-FF7A-C83891424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10750" y="4086225"/>
          <a:ext cx="14390474" cy="74762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vasicek%20exerc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Exercise 6"/>
      <sheetName val="练习6"/>
      <sheetName val="Exercise 7"/>
      <sheetName val="练习7"/>
      <sheetName val="Modified Dduration"/>
      <sheetName val="Exercise 8"/>
      <sheetName val="练习8"/>
    </sheetNames>
    <sheetDataSet>
      <sheetData sheetId="0"/>
      <sheetData sheetId="1"/>
      <sheetData sheetId="2">
        <row r="15">
          <cell r="A15">
            <v>5</v>
          </cell>
          <cell r="B15">
            <v>4.4356233569193515</v>
          </cell>
        </row>
        <row r="16">
          <cell r="A16">
            <v>10</v>
          </cell>
          <cell r="B16">
            <v>7.9262600372042664</v>
          </cell>
        </row>
        <row r="17">
          <cell r="A17">
            <v>15</v>
          </cell>
          <cell r="B17">
            <v>10.349383791239877</v>
          </cell>
        </row>
        <row r="18">
          <cell r="A18">
            <v>20</v>
          </cell>
          <cell r="B18">
            <v>11.873168958048376</v>
          </cell>
        </row>
        <row r="19">
          <cell r="A19">
            <v>25</v>
          </cell>
          <cell r="B19">
            <v>12.72819055881415</v>
          </cell>
        </row>
        <row r="20">
          <cell r="A20">
            <v>30</v>
          </cell>
          <cell r="B20">
            <v>13.137048274268601</v>
          </cell>
        </row>
        <row r="21">
          <cell r="A21">
            <v>35</v>
          </cell>
          <cell r="B21">
            <v>13.276701922570421</v>
          </cell>
          <cell r="L21" t="str">
            <v>Effect of Maturity on Duration
Coupon rate = 4.00%, Yield to Maturity = 8.50%</v>
          </cell>
        </row>
        <row r="22">
          <cell r="A22">
            <v>40</v>
          </cell>
          <cell r="B22">
            <v>13.27047629041318</v>
          </cell>
        </row>
        <row r="23">
          <cell r="A23">
            <v>45</v>
          </cell>
          <cell r="B23">
            <v>13.196100027093905</v>
          </cell>
        </row>
        <row r="24">
          <cell r="A24">
            <v>50</v>
          </cell>
          <cell r="B24">
            <v>13.098418947765539</v>
          </cell>
        </row>
        <row r="25">
          <cell r="A25">
            <v>55</v>
          </cell>
          <cell r="B25">
            <v>13.000943449269018</v>
          </cell>
        </row>
        <row r="26">
          <cell r="A26">
            <v>60</v>
          </cell>
          <cell r="B26">
            <v>12.914405593956158</v>
          </cell>
        </row>
        <row r="27">
          <cell r="A27">
            <v>65</v>
          </cell>
          <cell r="B27">
            <v>12.842424956555949</v>
          </cell>
        </row>
        <row r="28">
          <cell r="A28">
            <v>70</v>
          </cell>
          <cell r="B28">
            <v>12.784985966484944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 9"/>
    </sheetNames>
    <sheetDataSet>
      <sheetData sheetId="0">
        <row r="3">
          <cell r="B3">
            <v>0.06</v>
          </cell>
        </row>
        <row r="4">
          <cell r="B4">
            <v>7.0000000000000007E-2</v>
          </cell>
        </row>
        <row r="5">
          <cell r="B5">
            <v>0.66700000000000004</v>
          </cell>
        </row>
        <row r="6">
          <cell r="B6">
            <v>1</v>
          </cell>
        </row>
        <row r="7">
          <cell r="B7">
            <v>0.10424000000000001</v>
          </cell>
        </row>
        <row r="9">
          <cell r="B9">
            <v>0.04</v>
          </cell>
        </row>
        <row r="10">
          <cell r="B10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33" sqref="N3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6C585-89C2-4B3A-A4EF-D1558CA2D19B}">
  <sheetPr codeName="Sheet2"/>
  <dimension ref="A1:L31"/>
  <sheetViews>
    <sheetView tabSelected="1" workbookViewId="0">
      <selection activeCell="F42" sqref="F42"/>
    </sheetView>
  </sheetViews>
  <sheetFormatPr defaultRowHeight="13.2" x14ac:dyDescent="0.25"/>
  <cols>
    <col min="1" max="1" width="16.44140625" style="2" customWidth="1"/>
    <col min="2" max="2" width="9.6640625" style="2" bestFit="1" customWidth="1"/>
    <col min="3" max="3" width="29" style="2" bestFit="1" customWidth="1"/>
    <col min="4" max="256" width="8.88671875" style="2"/>
    <col min="257" max="257" width="16.44140625" style="2" customWidth="1"/>
    <col min="258" max="258" width="9.6640625" style="2" bestFit="1" customWidth="1"/>
    <col min="259" max="259" width="29" style="2" bestFit="1" customWidth="1"/>
    <col min="260" max="512" width="8.88671875" style="2"/>
    <col min="513" max="513" width="16.44140625" style="2" customWidth="1"/>
    <col min="514" max="514" width="9.6640625" style="2" bestFit="1" customWidth="1"/>
    <col min="515" max="515" width="29" style="2" bestFit="1" customWidth="1"/>
    <col min="516" max="768" width="8.88671875" style="2"/>
    <col min="769" max="769" width="16.44140625" style="2" customWidth="1"/>
    <col min="770" max="770" width="9.6640625" style="2" bestFit="1" customWidth="1"/>
    <col min="771" max="771" width="29" style="2" bestFit="1" customWidth="1"/>
    <col min="772" max="1024" width="8.88671875" style="2"/>
    <col min="1025" max="1025" width="16.44140625" style="2" customWidth="1"/>
    <col min="1026" max="1026" width="9.6640625" style="2" bestFit="1" customWidth="1"/>
    <col min="1027" max="1027" width="29" style="2" bestFit="1" customWidth="1"/>
    <col min="1028" max="1280" width="8.88671875" style="2"/>
    <col min="1281" max="1281" width="16.44140625" style="2" customWidth="1"/>
    <col min="1282" max="1282" width="9.6640625" style="2" bestFit="1" customWidth="1"/>
    <col min="1283" max="1283" width="29" style="2" bestFit="1" customWidth="1"/>
    <col min="1284" max="1536" width="8.88671875" style="2"/>
    <col min="1537" max="1537" width="16.44140625" style="2" customWidth="1"/>
    <col min="1538" max="1538" width="9.6640625" style="2" bestFit="1" customWidth="1"/>
    <col min="1539" max="1539" width="29" style="2" bestFit="1" customWidth="1"/>
    <col min="1540" max="1792" width="8.88671875" style="2"/>
    <col min="1793" max="1793" width="16.44140625" style="2" customWidth="1"/>
    <col min="1794" max="1794" width="9.6640625" style="2" bestFit="1" customWidth="1"/>
    <col min="1795" max="1795" width="29" style="2" bestFit="1" customWidth="1"/>
    <col min="1796" max="2048" width="8.88671875" style="2"/>
    <col min="2049" max="2049" width="16.44140625" style="2" customWidth="1"/>
    <col min="2050" max="2050" width="9.6640625" style="2" bestFit="1" customWidth="1"/>
    <col min="2051" max="2051" width="29" style="2" bestFit="1" customWidth="1"/>
    <col min="2052" max="2304" width="8.88671875" style="2"/>
    <col min="2305" max="2305" width="16.44140625" style="2" customWidth="1"/>
    <col min="2306" max="2306" width="9.6640625" style="2" bestFit="1" customWidth="1"/>
    <col min="2307" max="2307" width="29" style="2" bestFit="1" customWidth="1"/>
    <col min="2308" max="2560" width="8.88671875" style="2"/>
    <col min="2561" max="2561" width="16.44140625" style="2" customWidth="1"/>
    <col min="2562" max="2562" width="9.6640625" style="2" bestFit="1" customWidth="1"/>
    <col min="2563" max="2563" width="29" style="2" bestFit="1" customWidth="1"/>
    <col min="2564" max="2816" width="8.88671875" style="2"/>
    <col min="2817" max="2817" width="16.44140625" style="2" customWidth="1"/>
    <col min="2818" max="2818" width="9.6640625" style="2" bestFit="1" customWidth="1"/>
    <col min="2819" max="2819" width="29" style="2" bestFit="1" customWidth="1"/>
    <col min="2820" max="3072" width="8.88671875" style="2"/>
    <col min="3073" max="3073" width="16.44140625" style="2" customWidth="1"/>
    <col min="3074" max="3074" width="9.6640625" style="2" bestFit="1" customWidth="1"/>
    <col min="3075" max="3075" width="29" style="2" bestFit="1" customWidth="1"/>
    <col min="3076" max="3328" width="8.88671875" style="2"/>
    <col min="3329" max="3329" width="16.44140625" style="2" customWidth="1"/>
    <col min="3330" max="3330" width="9.6640625" style="2" bestFit="1" customWidth="1"/>
    <col min="3331" max="3331" width="29" style="2" bestFit="1" customWidth="1"/>
    <col min="3332" max="3584" width="8.88671875" style="2"/>
    <col min="3585" max="3585" width="16.44140625" style="2" customWidth="1"/>
    <col min="3586" max="3586" width="9.6640625" style="2" bestFit="1" customWidth="1"/>
    <col min="3587" max="3587" width="29" style="2" bestFit="1" customWidth="1"/>
    <col min="3588" max="3840" width="8.88671875" style="2"/>
    <col min="3841" max="3841" width="16.44140625" style="2" customWidth="1"/>
    <col min="3842" max="3842" width="9.6640625" style="2" bestFit="1" customWidth="1"/>
    <col min="3843" max="3843" width="29" style="2" bestFit="1" customWidth="1"/>
    <col min="3844" max="4096" width="8.88671875" style="2"/>
    <col min="4097" max="4097" width="16.44140625" style="2" customWidth="1"/>
    <col min="4098" max="4098" width="9.6640625" style="2" bestFit="1" customWidth="1"/>
    <col min="4099" max="4099" width="29" style="2" bestFit="1" customWidth="1"/>
    <col min="4100" max="4352" width="8.88671875" style="2"/>
    <col min="4353" max="4353" width="16.44140625" style="2" customWidth="1"/>
    <col min="4354" max="4354" width="9.6640625" style="2" bestFit="1" customWidth="1"/>
    <col min="4355" max="4355" width="29" style="2" bestFit="1" customWidth="1"/>
    <col min="4356" max="4608" width="8.88671875" style="2"/>
    <col min="4609" max="4609" width="16.44140625" style="2" customWidth="1"/>
    <col min="4610" max="4610" width="9.6640625" style="2" bestFit="1" customWidth="1"/>
    <col min="4611" max="4611" width="29" style="2" bestFit="1" customWidth="1"/>
    <col min="4612" max="4864" width="8.88671875" style="2"/>
    <col min="4865" max="4865" width="16.44140625" style="2" customWidth="1"/>
    <col min="4866" max="4866" width="9.6640625" style="2" bestFit="1" customWidth="1"/>
    <col min="4867" max="4867" width="29" style="2" bestFit="1" customWidth="1"/>
    <col min="4868" max="5120" width="8.88671875" style="2"/>
    <col min="5121" max="5121" width="16.44140625" style="2" customWidth="1"/>
    <col min="5122" max="5122" width="9.6640625" style="2" bestFit="1" customWidth="1"/>
    <col min="5123" max="5123" width="29" style="2" bestFit="1" customWidth="1"/>
    <col min="5124" max="5376" width="8.88671875" style="2"/>
    <col min="5377" max="5377" width="16.44140625" style="2" customWidth="1"/>
    <col min="5378" max="5378" width="9.6640625" style="2" bestFit="1" customWidth="1"/>
    <col min="5379" max="5379" width="29" style="2" bestFit="1" customWidth="1"/>
    <col min="5380" max="5632" width="8.88671875" style="2"/>
    <col min="5633" max="5633" width="16.44140625" style="2" customWidth="1"/>
    <col min="5634" max="5634" width="9.6640625" style="2" bestFit="1" customWidth="1"/>
    <col min="5635" max="5635" width="29" style="2" bestFit="1" customWidth="1"/>
    <col min="5636" max="5888" width="8.88671875" style="2"/>
    <col min="5889" max="5889" width="16.44140625" style="2" customWidth="1"/>
    <col min="5890" max="5890" width="9.6640625" style="2" bestFit="1" customWidth="1"/>
    <col min="5891" max="5891" width="29" style="2" bestFit="1" customWidth="1"/>
    <col min="5892" max="6144" width="8.88671875" style="2"/>
    <col min="6145" max="6145" width="16.44140625" style="2" customWidth="1"/>
    <col min="6146" max="6146" width="9.6640625" style="2" bestFit="1" customWidth="1"/>
    <col min="6147" max="6147" width="29" style="2" bestFit="1" customWidth="1"/>
    <col min="6148" max="6400" width="8.88671875" style="2"/>
    <col min="6401" max="6401" width="16.44140625" style="2" customWidth="1"/>
    <col min="6402" max="6402" width="9.6640625" style="2" bestFit="1" customWidth="1"/>
    <col min="6403" max="6403" width="29" style="2" bestFit="1" customWidth="1"/>
    <col min="6404" max="6656" width="8.88671875" style="2"/>
    <col min="6657" max="6657" width="16.44140625" style="2" customWidth="1"/>
    <col min="6658" max="6658" width="9.6640625" style="2" bestFit="1" customWidth="1"/>
    <col min="6659" max="6659" width="29" style="2" bestFit="1" customWidth="1"/>
    <col min="6660" max="6912" width="8.88671875" style="2"/>
    <col min="6913" max="6913" width="16.44140625" style="2" customWidth="1"/>
    <col min="6914" max="6914" width="9.6640625" style="2" bestFit="1" customWidth="1"/>
    <col min="6915" max="6915" width="29" style="2" bestFit="1" customWidth="1"/>
    <col min="6916" max="7168" width="8.88671875" style="2"/>
    <col min="7169" max="7169" width="16.44140625" style="2" customWidth="1"/>
    <col min="7170" max="7170" width="9.6640625" style="2" bestFit="1" customWidth="1"/>
    <col min="7171" max="7171" width="29" style="2" bestFit="1" customWidth="1"/>
    <col min="7172" max="7424" width="8.88671875" style="2"/>
    <col min="7425" max="7425" width="16.44140625" style="2" customWidth="1"/>
    <col min="7426" max="7426" width="9.6640625" style="2" bestFit="1" customWidth="1"/>
    <col min="7427" max="7427" width="29" style="2" bestFit="1" customWidth="1"/>
    <col min="7428" max="7680" width="8.88671875" style="2"/>
    <col min="7681" max="7681" width="16.44140625" style="2" customWidth="1"/>
    <col min="7682" max="7682" width="9.6640625" style="2" bestFit="1" customWidth="1"/>
    <col min="7683" max="7683" width="29" style="2" bestFit="1" customWidth="1"/>
    <col min="7684" max="7936" width="8.88671875" style="2"/>
    <col min="7937" max="7937" width="16.44140625" style="2" customWidth="1"/>
    <col min="7938" max="7938" width="9.6640625" style="2" bestFit="1" customWidth="1"/>
    <col min="7939" max="7939" width="29" style="2" bestFit="1" customWidth="1"/>
    <col min="7940" max="8192" width="8.88671875" style="2"/>
    <col min="8193" max="8193" width="16.44140625" style="2" customWidth="1"/>
    <col min="8194" max="8194" width="9.6640625" style="2" bestFit="1" customWidth="1"/>
    <col min="8195" max="8195" width="29" style="2" bestFit="1" customWidth="1"/>
    <col min="8196" max="8448" width="8.88671875" style="2"/>
    <col min="8449" max="8449" width="16.44140625" style="2" customWidth="1"/>
    <col min="8450" max="8450" width="9.6640625" style="2" bestFit="1" customWidth="1"/>
    <col min="8451" max="8451" width="29" style="2" bestFit="1" customWidth="1"/>
    <col min="8452" max="8704" width="8.88671875" style="2"/>
    <col min="8705" max="8705" width="16.44140625" style="2" customWidth="1"/>
    <col min="8706" max="8706" width="9.6640625" style="2" bestFit="1" customWidth="1"/>
    <col min="8707" max="8707" width="29" style="2" bestFit="1" customWidth="1"/>
    <col min="8708" max="8960" width="8.88671875" style="2"/>
    <col min="8961" max="8961" width="16.44140625" style="2" customWidth="1"/>
    <col min="8962" max="8962" width="9.6640625" style="2" bestFit="1" customWidth="1"/>
    <col min="8963" max="8963" width="29" style="2" bestFit="1" customWidth="1"/>
    <col min="8964" max="9216" width="8.88671875" style="2"/>
    <col min="9217" max="9217" width="16.44140625" style="2" customWidth="1"/>
    <col min="9218" max="9218" width="9.6640625" style="2" bestFit="1" customWidth="1"/>
    <col min="9219" max="9219" width="29" style="2" bestFit="1" customWidth="1"/>
    <col min="9220" max="9472" width="8.88671875" style="2"/>
    <col min="9473" max="9473" width="16.44140625" style="2" customWidth="1"/>
    <col min="9474" max="9474" width="9.6640625" style="2" bestFit="1" customWidth="1"/>
    <col min="9475" max="9475" width="29" style="2" bestFit="1" customWidth="1"/>
    <col min="9476" max="9728" width="8.88671875" style="2"/>
    <col min="9729" max="9729" width="16.44140625" style="2" customWidth="1"/>
    <col min="9730" max="9730" width="9.6640625" style="2" bestFit="1" customWidth="1"/>
    <col min="9731" max="9731" width="29" style="2" bestFit="1" customWidth="1"/>
    <col min="9732" max="9984" width="8.88671875" style="2"/>
    <col min="9985" max="9985" width="16.44140625" style="2" customWidth="1"/>
    <col min="9986" max="9986" width="9.6640625" style="2" bestFit="1" customWidth="1"/>
    <col min="9987" max="9987" width="29" style="2" bestFit="1" customWidth="1"/>
    <col min="9988" max="10240" width="8.88671875" style="2"/>
    <col min="10241" max="10241" width="16.44140625" style="2" customWidth="1"/>
    <col min="10242" max="10242" width="9.6640625" style="2" bestFit="1" customWidth="1"/>
    <col min="10243" max="10243" width="29" style="2" bestFit="1" customWidth="1"/>
    <col min="10244" max="10496" width="8.88671875" style="2"/>
    <col min="10497" max="10497" width="16.44140625" style="2" customWidth="1"/>
    <col min="10498" max="10498" width="9.6640625" style="2" bestFit="1" customWidth="1"/>
    <col min="10499" max="10499" width="29" style="2" bestFit="1" customWidth="1"/>
    <col min="10500" max="10752" width="8.88671875" style="2"/>
    <col min="10753" max="10753" width="16.44140625" style="2" customWidth="1"/>
    <col min="10754" max="10754" width="9.6640625" style="2" bestFit="1" customWidth="1"/>
    <col min="10755" max="10755" width="29" style="2" bestFit="1" customWidth="1"/>
    <col min="10756" max="11008" width="8.88671875" style="2"/>
    <col min="11009" max="11009" width="16.44140625" style="2" customWidth="1"/>
    <col min="11010" max="11010" width="9.6640625" style="2" bestFit="1" customWidth="1"/>
    <col min="11011" max="11011" width="29" style="2" bestFit="1" customWidth="1"/>
    <col min="11012" max="11264" width="8.88671875" style="2"/>
    <col min="11265" max="11265" width="16.44140625" style="2" customWidth="1"/>
    <col min="11266" max="11266" width="9.6640625" style="2" bestFit="1" customWidth="1"/>
    <col min="11267" max="11267" width="29" style="2" bestFit="1" customWidth="1"/>
    <col min="11268" max="11520" width="8.88671875" style="2"/>
    <col min="11521" max="11521" width="16.44140625" style="2" customWidth="1"/>
    <col min="11522" max="11522" width="9.6640625" style="2" bestFit="1" customWidth="1"/>
    <col min="11523" max="11523" width="29" style="2" bestFit="1" customWidth="1"/>
    <col min="11524" max="11776" width="8.88671875" style="2"/>
    <col min="11777" max="11777" width="16.44140625" style="2" customWidth="1"/>
    <col min="11778" max="11778" width="9.6640625" style="2" bestFit="1" customWidth="1"/>
    <col min="11779" max="11779" width="29" style="2" bestFit="1" customWidth="1"/>
    <col min="11780" max="12032" width="8.88671875" style="2"/>
    <col min="12033" max="12033" width="16.44140625" style="2" customWidth="1"/>
    <col min="12034" max="12034" width="9.6640625" style="2" bestFit="1" customWidth="1"/>
    <col min="12035" max="12035" width="29" style="2" bestFit="1" customWidth="1"/>
    <col min="12036" max="12288" width="8.88671875" style="2"/>
    <col min="12289" max="12289" width="16.44140625" style="2" customWidth="1"/>
    <col min="12290" max="12290" width="9.6640625" style="2" bestFit="1" customWidth="1"/>
    <col min="12291" max="12291" width="29" style="2" bestFit="1" customWidth="1"/>
    <col min="12292" max="12544" width="8.88671875" style="2"/>
    <col min="12545" max="12545" width="16.44140625" style="2" customWidth="1"/>
    <col min="12546" max="12546" width="9.6640625" style="2" bestFit="1" customWidth="1"/>
    <col min="12547" max="12547" width="29" style="2" bestFit="1" customWidth="1"/>
    <col min="12548" max="12800" width="8.88671875" style="2"/>
    <col min="12801" max="12801" width="16.44140625" style="2" customWidth="1"/>
    <col min="12802" max="12802" width="9.6640625" style="2" bestFit="1" customWidth="1"/>
    <col min="12803" max="12803" width="29" style="2" bestFit="1" customWidth="1"/>
    <col min="12804" max="13056" width="8.88671875" style="2"/>
    <col min="13057" max="13057" width="16.44140625" style="2" customWidth="1"/>
    <col min="13058" max="13058" width="9.6640625" style="2" bestFit="1" customWidth="1"/>
    <col min="13059" max="13059" width="29" style="2" bestFit="1" customWidth="1"/>
    <col min="13060" max="13312" width="8.88671875" style="2"/>
    <col min="13313" max="13313" width="16.44140625" style="2" customWidth="1"/>
    <col min="13314" max="13314" width="9.6640625" style="2" bestFit="1" customWidth="1"/>
    <col min="13315" max="13315" width="29" style="2" bestFit="1" customWidth="1"/>
    <col min="13316" max="13568" width="8.88671875" style="2"/>
    <col min="13569" max="13569" width="16.44140625" style="2" customWidth="1"/>
    <col min="13570" max="13570" width="9.6640625" style="2" bestFit="1" customWidth="1"/>
    <col min="13571" max="13571" width="29" style="2" bestFit="1" customWidth="1"/>
    <col min="13572" max="13824" width="8.88671875" style="2"/>
    <col min="13825" max="13825" width="16.44140625" style="2" customWidth="1"/>
    <col min="13826" max="13826" width="9.6640625" style="2" bestFit="1" customWidth="1"/>
    <col min="13827" max="13827" width="29" style="2" bestFit="1" customWidth="1"/>
    <col min="13828" max="14080" width="8.88671875" style="2"/>
    <col min="14081" max="14081" width="16.44140625" style="2" customWidth="1"/>
    <col min="14082" max="14082" width="9.6640625" style="2" bestFit="1" customWidth="1"/>
    <col min="14083" max="14083" width="29" style="2" bestFit="1" customWidth="1"/>
    <col min="14084" max="14336" width="8.88671875" style="2"/>
    <col min="14337" max="14337" width="16.44140625" style="2" customWidth="1"/>
    <col min="14338" max="14338" width="9.6640625" style="2" bestFit="1" customWidth="1"/>
    <col min="14339" max="14339" width="29" style="2" bestFit="1" customWidth="1"/>
    <col min="14340" max="14592" width="8.88671875" style="2"/>
    <col min="14593" max="14593" width="16.44140625" style="2" customWidth="1"/>
    <col min="14594" max="14594" width="9.6640625" style="2" bestFit="1" customWidth="1"/>
    <col min="14595" max="14595" width="29" style="2" bestFit="1" customWidth="1"/>
    <col min="14596" max="14848" width="8.88671875" style="2"/>
    <col min="14849" max="14849" width="16.44140625" style="2" customWidth="1"/>
    <col min="14850" max="14850" width="9.6640625" style="2" bestFit="1" customWidth="1"/>
    <col min="14851" max="14851" width="29" style="2" bestFit="1" customWidth="1"/>
    <col min="14852" max="15104" width="8.88671875" style="2"/>
    <col min="15105" max="15105" width="16.44140625" style="2" customWidth="1"/>
    <col min="15106" max="15106" width="9.6640625" style="2" bestFit="1" customWidth="1"/>
    <col min="15107" max="15107" width="29" style="2" bestFit="1" customWidth="1"/>
    <col min="15108" max="15360" width="8.88671875" style="2"/>
    <col min="15361" max="15361" width="16.44140625" style="2" customWidth="1"/>
    <col min="15362" max="15362" width="9.6640625" style="2" bestFit="1" customWidth="1"/>
    <col min="15363" max="15363" width="29" style="2" bestFit="1" customWidth="1"/>
    <col min="15364" max="15616" width="8.88671875" style="2"/>
    <col min="15617" max="15617" width="16.44140625" style="2" customWidth="1"/>
    <col min="15618" max="15618" width="9.6640625" style="2" bestFit="1" customWidth="1"/>
    <col min="15619" max="15619" width="29" style="2" bestFit="1" customWidth="1"/>
    <col min="15620" max="15872" width="8.88671875" style="2"/>
    <col min="15873" max="15873" width="16.44140625" style="2" customWidth="1"/>
    <col min="15874" max="15874" width="9.6640625" style="2" bestFit="1" customWidth="1"/>
    <col min="15875" max="15875" width="29" style="2" bestFit="1" customWidth="1"/>
    <col min="15876" max="16128" width="8.88671875" style="2"/>
    <col min="16129" max="16129" width="16.44140625" style="2" customWidth="1"/>
    <col min="16130" max="16130" width="9.6640625" style="2" bestFit="1" customWidth="1"/>
    <col min="16131" max="16131" width="29" style="2" bestFit="1" customWidth="1"/>
    <col min="16132" max="16384" width="8.88671875" style="2"/>
  </cols>
  <sheetData>
    <row r="1" spans="1:4" ht="17.399999999999999" x14ac:dyDescent="0.3">
      <c r="A1" s="1" t="s">
        <v>0</v>
      </c>
      <c r="B1" s="1"/>
      <c r="C1" s="1"/>
    </row>
    <row r="2" spans="1:4" x14ac:dyDescent="0.25">
      <c r="A2" s="2" t="s">
        <v>1</v>
      </c>
      <c r="B2" s="3">
        <v>39278</v>
      </c>
    </row>
    <row r="3" spans="1:4" x14ac:dyDescent="0.25">
      <c r="A3" s="2" t="s">
        <v>2</v>
      </c>
      <c r="B3" s="2">
        <v>21</v>
      </c>
    </row>
    <row r="4" spans="1:4" x14ac:dyDescent="0.25">
      <c r="A4" s="2" t="s">
        <v>3</v>
      </c>
      <c r="B4" s="3">
        <f>DATE(2007+B3,5,21)</f>
        <v>46894</v>
      </c>
      <c r="C4" s="2" t="str">
        <f ca="1">_xlfn.FORMULATEXT(B4)</f>
        <v>=DATE(2007+B3,5,21)</v>
      </c>
    </row>
    <row r="5" spans="1:4" x14ac:dyDescent="0.25">
      <c r="A5" s="2" t="s">
        <v>4</v>
      </c>
      <c r="B5" s="4">
        <v>8.5000000000000006E-2</v>
      </c>
    </row>
    <row r="6" spans="1:4" x14ac:dyDescent="0.25">
      <c r="A6" s="2" t="s">
        <v>5</v>
      </c>
      <c r="B6" s="4">
        <v>0.04</v>
      </c>
    </row>
    <row r="7" spans="1:4" ht="13.8" x14ac:dyDescent="0.25">
      <c r="A7" s="2" t="s">
        <v>6</v>
      </c>
      <c r="B7" s="5">
        <v>1000</v>
      </c>
    </row>
    <row r="9" spans="1:4" x14ac:dyDescent="0.25">
      <c r="A9" s="2" t="s">
        <v>7</v>
      </c>
      <c r="B9" s="6">
        <f>DURATION(B2,B4,B6,B5,1)</f>
        <v>12.090091739613223</v>
      </c>
      <c r="C9" s="2" t="str">
        <f ca="1">_xlfn.FORMULATEXT(B9)</f>
        <v>=DURATION(B2,B4,B6,B5,1)</v>
      </c>
      <c r="D9" s="7"/>
    </row>
    <row r="10" spans="1:4" x14ac:dyDescent="0.25">
      <c r="B10" s="6"/>
      <c r="D10" s="7"/>
    </row>
    <row r="11" spans="1:4" x14ac:dyDescent="0.25">
      <c r="A11" s="2" t="s">
        <v>8</v>
      </c>
      <c r="B11" s="6">
        <f>(1+B5)/B5</f>
        <v>12.76470588235294</v>
      </c>
      <c r="C11" s="2" t="str">
        <f ca="1">_xlfn.FORMULATEXT(B11)</f>
        <v>=(1+B5)/B5</v>
      </c>
      <c r="D11" s="7"/>
    </row>
    <row r="12" spans="1:4" x14ac:dyDescent="0.25">
      <c r="B12" s="6"/>
      <c r="D12" s="7"/>
    </row>
    <row r="13" spans="1:4" x14ac:dyDescent="0.25">
      <c r="A13" s="7" t="s">
        <v>9</v>
      </c>
      <c r="D13" s="7"/>
    </row>
    <row r="14" spans="1:4" x14ac:dyDescent="0.25">
      <c r="A14" s="8"/>
      <c r="B14" s="9">
        <f>B9</f>
        <v>12.090091739613223</v>
      </c>
      <c r="C14" s="2" t="str">
        <f ca="1">_xlfn.FORMULATEXT(B14)</f>
        <v>=B9</v>
      </c>
      <c r="D14" s="7"/>
    </row>
    <row r="15" spans="1:4" x14ac:dyDescent="0.25">
      <c r="A15" s="8">
        <v>5</v>
      </c>
      <c r="B15" s="9">
        <f t="dataTable" ref="B15:B28" dt2D="0" dtr="0" r1="B3"/>
        <v>4.4356233569193515</v>
      </c>
      <c r="D15" s="7"/>
    </row>
    <row r="16" spans="1:4" x14ac:dyDescent="0.25">
      <c r="A16" s="8">
        <v>10</v>
      </c>
      <c r="B16" s="9">
        <v>7.9262600372042664</v>
      </c>
    </row>
    <row r="17" spans="1:12" x14ac:dyDescent="0.25">
      <c r="A17" s="8">
        <v>15</v>
      </c>
      <c r="B17" s="9">
        <v>10.349383791239877</v>
      </c>
    </row>
    <row r="18" spans="1:12" x14ac:dyDescent="0.25">
      <c r="A18" s="8">
        <v>20</v>
      </c>
      <c r="B18" s="9">
        <v>11.873168958048376</v>
      </c>
    </row>
    <row r="19" spans="1:12" x14ac:dyDescent="0.25">
      <c r="A19" s="8">
        <v>25</v>
      </c>
      <c r="B19" s="9">
        <v>12.72819055881415</v>
      </c>
    </row>
    <row r="20" spans="1:12" x14ac:dyDescent="0.25">
      <c r="A20" s="8">
        <v>30</v>
      </c>
      <c r="B20" s="9">
        <v>13.137048274268601</v>
      </c>
      <c r="L20" s="2" t="s">
        <v>10</v>
      </c>
    </row>
    <row r="21" spans="1:12" x14ac:dyDescent="0.25">
      <c r="A21" s="8">
        <v>35</v>
      </c>
      <c r="B21" s="9">
        <v>13.276701922570421</v>
      </c>
      <c r="L21" s="6" t="str">
        <f>"Effect of Maturity on Duration"&amp;CHAR(10)&amp;"Coupon rate = "&amp;TEXT(B6,"0.00%")&amp;", Yield to Maturity = "&amp;TEXT(B5,"0.00%")</f>
        <v>Effect of Maturity on Duration
Coupon rate = 4.00%, Yield to Maturity = 8.50%</v>
      </c>
    </row>
    <row r="22" spans="1:12" x14ac:dyDescent="0.25">
      <c r="A22" s="8">
        <v>40</v>
      </c>
      <c r="B22" s="9">
        <v>13.27047629041318</v>
      </c>
    </row>
    <row r="23" spans="1:12" x14ac:dyDescent="0.25">
      <c r="A23" s="8">
        <v>45</v>
      </c>
      <c r="B23" s="9">
        <v>13.196100027093905</v>
      </c>
    </row>
    <row r="24" spans="1:12" x14ac:dyDescent="0.25">
      <c r="A24" s="8">
        <v>50</v>
      </c>
      <c r="B24" s="9">
        <v>13.098418947765539</v>
      </c>
    </row>
    <row r="25" spans="1:12" x14ac:dyDescent="0.25">
      <c r="A25" s="8">
        <v>55</v>
      </c>
      <c r="B25" s="9">
        <v>13.000943449269018</v>
      </c>
    </row>
    <row r="26" spans="1:12" x14ac:dyDescent="0.25">
      <c r="A26" s="8">
        <v>60</v>
      </c>
      <c r="B26" s="9">
        <v>12.914405593956158</v>
      </c>
    </row>
    <row r="27" spans="1:12" x14ac:dyDescent="0.25">
      <c r="A27" s="8">
        <v>65</v>
      </c>
      <c r="B27" s="9">
        <v>12.842424956555949</v>
      </c>
    </row>
    <row r="28" spans="1:12" x14ac:dyDescent="0.25">
      <c r="A28" s="8">
        <v>70</v>
      </c>
      <c r="B28" s="9">
        <v>12.784985966484944</v>
      </c>
    </row>
    <row r="31" spans="1:12" x14ac:dyDescent="0.25">
      <c r="A31" s="2" t="s">
        <v>11</v>
      </c>
    </row>
  </sheetData>
  <mergeCells count="1">
    <mergeCell ref="A1:C1"/>
  </mergeCells>
  <phoneticPr fontId="1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2024-12-16T06:33:15Z</dcterms:modified>
</cp:coreProperties>
</file>