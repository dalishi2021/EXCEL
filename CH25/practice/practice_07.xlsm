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practice\"/>
    </mc:Choice>
  </mc:AlternateContent>
  <xr:revisionPtr revIDLastSave="0" documentId="13_ncr:1_{0B71B5E3-41B5-4280-9F3C-E46C4C465D2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McCulloch data set" sheetId="2" r:id="rId2"/>
    <sheet name="Exercise 25-7.b" sheetId="3" r:id="rId3"/>
    <sheet name="Exercise 25-7.c" sheetId="4" r:id="rId4"/>
    <sheet name="Exercise 27-7.d" sheetId="5" r:id="rId5"/>
    <sheet name="Exercise 25-7.e" sheetId="6" r:id="rId6"/>
  </sheets>
  <functionGroups builtInGroupCount="19"/>
  <externalReferences>
    <externalReference r:id="rId7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6" l="1"/>
  <c r="C18" i="6"/>
  <c r="L18" i="6" s="1"/>
  <c r="B18" i="6"/>
  <c r="I18" i="6" s="1"/>
  <c r="A18" i="6"/>
  <c r="I17" i="6"/>
  <c r="H17" i="6"/>
  <c r="C17" i="6"/>
  <c r="L16" i="6" s="1"/>
  <c r="B17" i="6"/>
  <c r="A17" i="6"/>
  <c r="K16" i="6"/>
  <c r="I16" i="6"/>
  <c r="C16" i="6"/>
  <c r="B16" i="6"/>
  <c r="H16" i="6" s="1"/>
  <c r="A16" i="6"/>
  <c r="L15" i="6"/>
  <c r="K15" i="6"/>
  <c r="I15" i="6"/>
  <c r="H15" i="6"/>
  <c r="C15" i="6"/>
  <c r="B15" i="6"/>
  <c r="A15" i="6"/>
  <c r="L14" i="6"/>
  <c r="C14" i="6"/>
  <c r="K14" i="6" s="1"/>
  <c r="B14" i="6"/>
  <c r="I14" i="6" s="1"/>
  <c r="A14" i="6"/>
  <c r="L13" i="6"/>
  <c r="K13" i="6"/>
  <c r="I13" i="6"/>
  <c r="C13" i="6"/>
  <c r="L12" i="6" s="1"/>
  <c r="B13" i="6"/>
  <c r="H13" i="6" s="1"/>
  <c r="A13" i="6"/>
  <c r="C12" i="6"/>
  <c r="K12" i="6" s="1"/>
  <c r="B12" i="6"/>
  <c r="I11" i="6" s="1"/>
  <c r="A12" i="6"/>
  <c r="L11" i="6"/>
  <c r="C11" i="6"/>
  <c r="K11" i="6" s="1"/>
  <c r="B11" i="6"/>
  <c r="H11" i="6" s="1"/>
  <c r="A11" i="6"/>
  <c r="C10" i="6"/>
  <c r="L9" i="6" s="1"/>
  <c r="B10" i="6"/>
  <c r="I9" i="6" s="1"/>
  <c r="A10" i="6"/>
  <c r="H9" i="6"/>
  <c r="C9" i="6"/>
  <c r="K9" i="6" s="1"/>
  <c r="B9" i="6"/>
  <c r="A9" i="6"/>
  <c r="L8" i="6"/>
  <c r="K8" i="6"/>
  <c r="I8" i="6"/>
  <c r="H8" i="6"/>
  <c r="C8" i="6"/>
  <c r="B8" i="6"/>
  <c r="A8" i="6"/>
  <c r="L7" i="6"/>
  <c r="K7" i="6"/>
  <c r="C7" i="6"/>
  <c r="B7" i="6"/>
  <c r="I7" i="6" s="1"/>
  <c r="A7" i="6"/>
  <c r="L6" i="6"/>
  <c r="K6" i="6"/>
  <c r="I6" i="6"/>
  <c r="H6" i="6"/>
  <c r="C6" i="6"/>
  <c r="B6" i="6"/>
  <c r="A6" i="6"/>
  <c r="L6" i="5"/>
  <c r="L9" i="5" s="1"/>
  <c r="K6" i="5"/>
  <c r="I6" i="5"/>
  <c r="I9" i="5" s="1"/>
  <c r="H6" i="5"/>
  <c r="E15" i="6"/>
  <c r="F6" i="6"/>
  <c r="F15" i="6"/>
  <c r="F13" i="6"/>
  <c r="E6" i="6"/>
  <c r="E11" i="6"/>
  <c r="E17" i="6"/>
  <c r="E13" i="6"/>
  <c r="F11" i="6"/>
  <c r="F8" i="6"/>
  <c r="F18" i="6"/>
  <c r="E18" i="6"/>
  <c r="F9" i="6"/>
  <c r="F16" i="6"/>
  <c r="E9" i="6"/>
  <c r="F7" i="6"/>
  <c r="E12" i="6"/>
  <c r="E10" i="6"/>
  <c r="E16" i="6"/>
  <c r="F14" i="6"/>
  <c r="E7" i="6"/>
  <c r="E14" i="6"/>
  <c r="E8" i="6"/>
  <c r="F12" i="6"/>
  <c r="F10" i="6"/>
  <c r="F17" i="6"/>
  <c r="F6" i="5"/>
  <c r="E6" i="5"/>
  <c r="K17" i="6" l="1"/>
  <c r="L17" i="6"/>
  <c r="L10" i="6"/>
  <c r="I12" i="6"/>
  <c r="H10" i="6"/>
  <c r="I10" i="6"/>
  <c r="K10" i="6"/>
  <c r="H14" i="6"/>
  <c r="H12" i="6"/>
  <c r="H7" i="6"/>
  <c r="K18" i="6"/>
  <c r="I8" i="5"/>
  <c r="L8" i="5"/>
  <c r="C489" i="4"/>
  <c r="B489" i="4"/>
  <c r="C488" i="4"/>
  <c r="B488" i="4"/>
  <c r="C487" i="4"/>
  <c r="B487" i="4"/>
  <c r="C486" i="4"/>
  <c r="B486" i="4"/>
  <c r="C485" i="4"/>
  <c r="B485" i="4"/>
  <c r="C484" i="4"/>
  <c r="B484" i="4"/>
  <c r="C483" i="4"/>
  <c r="B483" i="4"/>
  <c r="C482" i="4"/>
  <c r="B482" i="4"/>
  <c r="C481" i="4"/>
  <c r="B481" i="4"/>
  <c r="C480" i="4"/>
  <c r="B480" i="4"/>
  <c r="C479" i="4"/>
  <c r="B479" i="4"/>
  <c r="C478" i="4"/>
  <c r="B478" i="4"/>
  <c r="C477" i="4"/>
  <c r="B477" i="4"/>
  <c r="C476" i="4"/>
  <c r="B476" i="4"/>
  <c r="C475" i="4"/>
  <c r="B475" i="4"/>
  <c r="C474" i="4"/>
  <c r="B474" i="4"/>
  <c r="C473" i="4"/>
  <c r="B473" i="4"/>
  <c r="C472" i="4"/>
  <c r="B472" i="4"/>
  <c r="C471" i="4"/>
  <c r="B471" i="4"/>
  <c r="C470" i="4"/>
  <c r="B470" i="4"/>
  <c r="C469" i="4"/>
  <c r="B469" i="4"/>
  <c r="C468" i="4"/>
  <c r="B468" i="4"/>
  <c r="C467" i="4"/>
  <c r="B467" i="4"/>
  <c r="C466" i="4"/>
  <c r="B466" i="4"/>
  <c r="C465" i="4"/>
  <c r="B465" i="4"/>
  <c r="C464" i="4"/>
  <c r="B464" i="4"/>
  <c r="C463" i="4"/>
  <c r="B463" i="4"/>
  <c r="C462" i="4"/>
  <c r="B462" i="4"/>
  <c r="C461" i="4"/>
  <c r="B461" i="4"/>
  <c r="C460" i="4"/>
  <c r="B460" i="4"/>
  <c r="C459" i="4"/>
  <c r="B459" i="4"/>
  <c r="C458" i="4"/>
  <c r="B458" i="4"/>
  <c r="C457" i="4"/>
  <c r="B457" i="4"/>
  <c r="C456" i="4"/>
  <c r="B456" i="4"/>
  <c r="C455" i="4"/>
  <c r="B455" i="4"/>
  <c r="C454" i="4"/>
  <c r="B454" i="4"/>
  <c r="C453" i="4"/>
  <c r="B453" i="4"/>
  <c r="C452" i="4"/>
  <c r="B452" i="4"/>
  <c r="C451" i="4"/>
  <c r="B451" i="4"/>
  <c r="C450" i="4"/>
  <c r="B450" i="4"/>
  <c r="C449" i="4"/>
  <c r="B449" i="4"/>
  <c r="C448" i="4"/>
  <c r="B448" i="4"/>
  <c r="C447" i="4"/>
  <c r="B447" i="4"/>
  <c r="C446" i="4"/>
  <c r="B446" i="4"/>
  <c r="C445" i="4"/>
  <c r="B445" i="4"/>
  <c r="C444" i="4"/>
  <c r="B444" i="4"/>
  <c r="C443" i="4"/>
  <c r="B443" i="4"/>
  <c r="C442" i="4"/>
  <c r="B442" i="4"/>
  <c r="C441" i="4"/>
  <c r="B441" i="4"/>
  <c r="C440" i="4"/>
  <c r="B440" i="4"/>
  <c r="C439" i="4"/>
  <c r="B439" i="4"/>
  <c r="C438" i="4"/>
  <c r="B438" i="4"/>
  <c r="C437" i="4"/>
  <c r="B437" i="4"/>
  <c r="C436" i="4"/>
  <c r="B436" i="4"/>
  <c r="C435" i="4"/>
  <c r="B435" i="4"/>
  <c r="C434" i="4"/>
  <c r="B434" i="4"/>
  <c r="C433" i="4"/>
  <c r="B433" i="4"/>
  <c r="C432" i="4"/>
  <c r="B432" i="4"/>
  <c r="C431" i="4"/>
  <c r="B431" i="4"/>
  <c r="C430" i="4"/>
  <c r="B430" i="4"/>
  <c r="C429" i="4"/>
  <c r="B429" i="4"/>
  <c r="C428" i="4"/>
  <c r="B428" i="4"/>
  <c r="C427" i="4"/>
  <c r="B427" i="4"/>
  <c r="C426" i="4"/>
  <c r="B426" i="4"/>
  <c r="C425" i="4"/>
  <c r="B425" i="4"/>
  <c r="C424" i="4"/>
  <c r="B424" i="4"/>
  <c r="C423" i="4"/>
  <c r="B423" i="4"/>
  <c r="C422" i="4"/>
  <c r="B422" i="4"/>
  <c r="C421" i="4"/>
  <c r="B421" i="4"/>
  <c r="C420" i="4"/>
  <c r="B420" i="4"/>
  <c r="C419" i="4"/>
  <c r="B419" i="4"/>
  <c r="C418" i="4"/>
  <c r="B418" i="4"/>
  <c r="C417" i="4"/>
  <c r="B417" i="4"/>
  <c r="C416" i="4"/>
  <c r="B416" i="4"/>
  <c r="C415" i="4"/>
  <c r="B415" i="4"/>
  <c r="C414" i="4"/>
  <c r="B414" i="4"/>
  <c r="C413" i="4"/>
  <c r="B413" i="4"/>
  <c r="C412" i="4"/>
  <c r="B412" i="4"/>
  <c r="C411" i="4"/>
  <c r="B411" i="4"/>
  <c r="C410" i="4"/>
  <c r="B410" i="4"/>
  <c r="C409" i="4"/>
  <c r="B409" i="4"/>
  <c r="C408" i="4"/>
  <c r="B408" i="4"/>
  <c r="C407" i="4"/>
  <c r="B407" i="4"/>
  <c r="C406" i="4"/>
  <c r="B406" i="4"/>
  <c r="C405" i="4"/>
  <c r="B405" i="4"/>
  <c r="C404" i="4"/>
  <c r="B404" i="4"/>
  <c r="C403" i="4"/>
  <c r="B403" i="4"/>
  <c r="C402" i="4"/>
  <c r="B402" i="4"/>
  <c r="C401" i="4"/>
  <c r="B401" i="4"/>
  <c r="C400" i="4"/>
  <c r="B400" i="4"/>
  <c r="C399" i="4"/>
  <c r="B399" i="4"/>
  <c r="C398" i="4"/>
  <c r="B398" i="4"/>
  <c r="C397" i="4"/>
  <c r="B397" i="4"/>
  <c r="C396" i="4"/>
  <c r="B396" i="4"/>
  <c r="C395" i="4"/>
  <c r="B395" i="4"/>
  <c r="C394" i="4"/>
  <c r="B394" i="4"/>
  <c r="C393" i="4"/>
  <c r="B393" i="4"/>
  <c r="C392" i="4"/>
  <c r="B392" i="4"/>
  <c r="C391" i="4"/>
  <c r="B391" i="4"/>
  <c r="C390" i="4"/>
  <c r="B390" i="4"/>
  <c r="C389" i="4"/>
  <c r="B389" i="4"/>
  <c r="C388" i="4"/>
  <c r="B388" i="4"/>
  <c r="C387" i="4"/>
  <c r="B387" i="4"/>
  <c r="C386" i="4"/>
  <c r="B386" i="4"/>
  <c r="C385" i="4"/>
  <c r="B385" i="4"/>
  <c r="C384" i="4"/>
  <c r="B384" i="4"/>
  <c r="C383" i="4"/>
  <c r="B383" i="4"/>
  <c r="C382" i="4"/>
  <c r="B382" i="4"/>
  <c r="C381" i="4"/>
  <c r="B381" i="4"/>
  <c r="C380" i="4"/>
  <c r="B380" i="4"/>
  <c r="C379" i="4"/>
  <c r="B379" i="4"/>
  <c r="C378" i="4"/>
  <c r="B378" i="4"/>
  <c r="C377" i="4"/>
  <c r="B377" i="4"/>
  <c r="C376" i="4"/>
  <c r="B376" i="4"/>
  <c r="C375" i="4"/>
  <c r="B375" i="4"/>
  <c r="C374" i="4"/>
  <c r="B374" i="4"/>
  <c r="C373" i="4"/>
  <c r="B373" i="4"/>
  <c r="C372" i="4"/>
  <c r="B372" i="4"/>
  <c r="C371" i="4"/>
  <c r="B371" i="4"/>
  <c r="C370" i="4"/>
  <c r="B370" i="4"/>
  <c r="C369" i="4"/>
  <c r="B369" i="4"/>
  <c r="C368" i="4"/>
  <c r="B368" i="4"/>
  <c r="C367" i="4"/>
  <c r="B367" i="4"/>
  <c r="C366" i="4"/>
  <c r="B366" i="4"/>
  <c r="C365" i="4"/>
  <c r="B365" i="4"/>
  <c r="C364" i="4"/>
  <c r="B364" i="4"/>
  <c r="C363" i="4"/>
  <c r="B363" i="4"/>
  <c r="C362" i="4"/>
  <c r="B362" i="4"/>
  <c r="C361" i="4"/>
  <c r="B361" i="4"/>
  <c r="C360" i="4"/>
  <c r="B360" i="4"/>
  <c r="C359" i="4"/>
  <c r="B359" i="4"/>
  <c r="C358" i="4"/>
  <c r="B358" i="4"/>
  <c r="C357" i="4"/>
  <c r="B357" i="4"/>
  <c r="C356" i="4"/>
  <c r="B356" i="4"/>
  <c r="C355" i="4"/>
  <c r="B355" i="4"/>
  <c r="C354" i="4"/>
  <c r="B354" i="4"/>
  <c r="C353" i="4"/>
  <c r="B353" i="4"/>
  <c r="C352" i="4"/>
  <c r="B352" i="4"/>
  <c r="C351" i="4"/>
  <c r="B351" i="4"/>
  <c r="C350" i="4"/>
  <c r="B350" i="4"/>
  <c r="C349" i="4"/>
  <c r="B349" i="4"/>
  <c r="C348" i="4"/>
  <c r="B348" i="4"/>
  <c r="C347" i="4"/>
  <c r="B347" i="4"/>
  <c r="C346" i="4"/>
  <c r="B346" i="4"/>
  <c r="C345" i="4"/>
  <c r="B345" i="4"/>
  <c r="C344" i="4"/>
  <c r="B344" i="4"/>
  <c r="C343" i="4"/>
  <c r="B343" i="4"/>
  <c r="C342" i="4"/>
  <c r="B342" i="4"/>
  <c r="C341" i="4"/>
  <c r="B341" i="4"/>
  <c r="C340" i="4"/>
  <c r="B340" i="4"/>
  <c r="C339" i="4"/>
  <c r="B339" i="4"/>
  <c r="C338" i="4"/>
  <c r="B338" i="4"/>
  <c r="C337" i="4"/>
  <c r="B337" i="4"/>
  <c r="C336" i="4"/>
  <c r="B336" i="4"/>
  <c r="C335" i="4"/>
  <c r="B335" i="4"/>
  <c r="C334" i="4"/>
  <c r="B334" i="4"/>
  <c r="C333" i="4"/>
  <c r="B333" i="4"/>
  <c r="C332" i="4"/>
  <c r="B332" i="4"/>
  <c r="C331" i="4"/>
  <c r="B331" i="4"/>
  <c r="C330" i="4"/>
  <c r="B330" i="4"/>
  <c r="C329" i="4"/>
  <c r="B329" i="4"/>
  <c r="C328" i="4"/>
  <c r="B328" i="4"/>
  <c r="C327" i="4"/>
  <c r="B327" i="4"/>
  <c r="C326" i="4"/>
  <c r="B326" i="4"/>
  <c r="C325" i="4"/>
  <c r="B325" i="4"/>
  <c r="C324" i="4"/>
  <c r="B324" i="4"/>
  <c r="C323" i="4"/>
  <c r="B323" i="4"/>
  <c r="C322" i="4"/>
  <c r="B322" i="4"/>
  <c r="C321" i="4"/>
  <c r="B321" i="4"/>
  <c r="C320" i="4"/>
  <c r="B320" i="4"/>
  <c r="C319" i="4"/>
  <c r="B319" i="4"/>
  <c r="C318" i="4"/>
  <c r="B318" i="4"/>
  <c r="C317" i="4"/>
  <c r="B317" i="4"/>
  <c r="C316" i="4"/>
  <c r="B316" i="4"/>
  <c r="C315" i="4"/>
  <c r="B315" i="4"/>
  <c r="C314" i="4"/>
  <c r="B314" i="4"/>
  <c r="C313" i="4"/>
  <c r="B313" i="4"/>
  <c r="C312" i="4"/>
  <c r="B312" i="4"/>
  <c r="C311" i="4"/>
  <c r="B311" i="4"/>
  <c r="C310" i="4"/>
  <c r="B310" i="4"/>
  <c r="C309" i="4"/>
  <c r="B309" i="4"/>
  <c r="C308" i="4"/>
  <c r="B308" i="4"/>
  <c r="C307" i="4"/>
  <c r="B307" i="4"/>
  <c r="C306" i="4"/>
  <c r="B306" i="4"/>
  <c r="C305" i="4"/>
  <c r="B305" i="4"/>
  <c r="C304" i="4"/>
  <c r="B304" i="4"/>
  <c r="C303" i="4"/>
  <c r="B303" i="4"/>
  <c r="C302" i="4"/>
  <c r="B302" i="4"/>
  <c r="C301" i="4"/>
  <c r="B301" i="4"/>
  <c r="C300" i="4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20" i="3"/>
</calcChain>
</file>

<file path=xl/sharedStrings.xml><?xml version="1.0" encoding="utf-8"?>
<sst xmlns="http://schemas.openxmlformats.org/spreadsheetml/2006/main" count="1065" uniqueCount="523">
  <si>
    <t>McCulloch's Term Structure Data Set
Term structure data as computed for 1946 - 1987 by Prof. J. Huston McCullogh, Ohio State University</t>
  </si>
  <si>
    <t>date</t>
  </si>
  <si>
    <t>0mo</t>
  </si>
  <si>
    <t>1mo</t>
  </si>
  <si>
    <t>2mo</t>
  </si>
  <si>
    <t>3mo</t>
  </si>
  <si>
    <t>4mo</t>
  </si>
  <si>
    <t>5mo</t>
  </si>
  <si>
    <t>6mo</t>
  </si>
  <si>
    <t>9mo</t>
  </si>
  <si>
    <t>1yr</t>
  </si>
  <si>
    <t>2 yr</t>
  </si>
  <si>
    <t>3yr</t>
  </si>
  <si>
    <t>4yr</t>
  </si>
  <si>
    <t>5yr</t>
  </si>
  <si>
    <t>10yr</t>
  </si>
  <si>
    <t>15yr</t>
  </si>
  <si>
    <t>20yr</t>
  </si>
  <si>
    <t>25yr</t>
  </si>
  <si>
    <t>12.1946</t>
  </si>
  <si>
    <t>1.1947</t>
  </si>
  <si>
    <t>2.1947</t>
  </si>
  <si>
    <t>3.1947</t>
  </si>
  <si>
    <t>4.1947</t>
  </si>
  <si>
    <t>5.1947</t>
  </si>
  <si>
    <t>6.1947</t>
  </si>
  <si>
    <t>7.1947</t>
  </si>
  <si>
    <t>8.1947</t>
  </si>
  <si>
    <t>9.1947</t>
  </si>
  <si>
    <t>10.1947</t>
  </si>
  <si>
    <t>11.1947</t>
  </si>
  <si>
    <t>12.1947</t>
  </si>
  <si>
    <t>1.1948</t>
  </si>
  <si>
    <t>2.1948</t>
  </si>
  <si>
    <t>3.1948</t>
  </si>
  <si>
    <t>4.1948</t>
  </si>
  <si>
    <t>5.1948</t>
  </si>
  <si>
    <t>6.1948</t>
  </si>
  <si>
    <t>7.1948</t>
  </si>
  <si>
    <t>8.1948</t>
  </si>
  <si>
    <t>9.1948</t>
  </si>
  <si>
    <t>10.1948</t>
  </si>
  <si>
    <t>11.1948</t>
  </si>
  <si>
    <t>12.1948</t>
  </si>
  <si>
    <t>1.1949</t>
  </si>
  <si>
    <t>2.1949</t>
  </si>
  <si>
    <t>3.1949</t>
  </si>
  <si>
    <t>4.1949</t>
  </si>
  <si>
    <t>5.1949</t>
  </si>
  <si>
    <t>6.1949</t>
  </si>
  <si>
    <t>7.1949</t>
  </si>
  <si>
    <t>8.1949</t>
  </si>
  <si>
    <t>9.1949</t>
  </si>
  <si>
    <t>10.1949</t>
  </si>
  <si>
    <t>11.1949</t>
  </si>
  <si>
    <t>12.1949</t>
  </si>
  <si>
    <t>1.1950</t>
  </si>
  <si>
    <t>2.1950</t>
  </si>
  <si>
    <t>3.1950</t>
  </si>
  <si>
    <t>4.1950</t>
  </si>
  <si>
    <t>5.1950</t>
  </si>
  <si>
    <t>6.1950</t>
  </si>
  <si>
    <t>7.1950</t>
  </si>
  <si>
    <t>8.1950</t>
  </si>
  <si>
    <t>9.1950</t>
  </si>
  <si>
    <t>10.1950</t>
  </si>
  <si>
    <t>11.1950</t>
  </si>
  <si>
    <t>12.1950</t>
  </si>
  <si>
    <t>1.1951</t>
  </si>
  <si>
    <t>2.1951</t>
  </si>
  <si>
    <t>3.1951</t>
  </si>
  <si>
    <t>4.1951</t>
  </si>
  <si>
    <t>5.1951</t>
  </si>
  <si>
    <t>6.1951</t>
  </si>
  <si>
    <t>7.1951</t>
  </si>
  <si>
    <t>8.1951</t>
  </si>
  <si>
    <t>9.1951</t>
  </si>
  <si>
    <t>10.1951</t>
  </si>
  <si>
    <t>11.1951</t>
  </si>
  <si>
    <t>12.1951</t>
  </si>
  <si>
    <t>1.1952</t>
  </si>
  <si>
    <t>2.1952</t>
  </si>
  <si>
    <t>3.1952</t>
  </si>
  <si>
    <t>4.1952</t>
  </si>
  <si>
    <t>5.1952</t>
  </si>
  <si>
    <t>6.1952</t>
  </si>
  <si>
    <t>7.1952</t>
  </si>
  <si>
    <t>8.1952</t>
  </si>
  <si>
    <t>9.1952</t>
  </si>
  <si>
    <t>10.1952</t>
  </si>
  <si>
    <t>11.1952</t>
  </si>
  <si>
    <t>12.1952</t>
  </si>
  <si>
    <t>1.1953</t>
  </si>
  <si>
    <t>2.1953</t>
  </si>
  <si>
    <t>3.1953</t>
  </si>
  <si>
    <t>4.1953</t>
  </si>
  <si>
    <t>5.1953</t>
  </si>
  <si>
    <t>6.1953</t>
  </si>
  <si>
    <t>7.1953</t>
  </si>
  <si>
    <t>8.1953</t>
  </si>
  <si>
    <t>9.1953</t>
  </si>
  <si>
    <t>10.1953</t>
  </si>
  <si>
    <t>11.1953</t>
  </si>
  <si>
    <t>12.1953</t>
  </si>
  <si>
    <t>1.1954</t>
  </si>
  <si>
    <t>2.1954</t>
  </si>
  <si>
    <t>3.1954</t>
  </si>
  <si>
    <t>4.1954</t>
  </si>
  <si>
    <t>5.1954</t>
  </si>
  <si>
    <t>6.1954</t>
  </si>
  <si>
    <t>7.1954</t>
  </si>
  <si>
    <t>8.1954</t>
  </si>
  <si>
    <t>9.1954</t>
  </si>
  <si>
    <t>10.1954</t>
  </si>
  <si>
    <t>11.1954</t>
  </si>
  <si>
    <t>12.1954</t>
  </si>
  <si>
    <t>1.1955</t>
  </si>
  <si>
    <t>2.1955</t>
  </si>
  <si>
    <t>3.1955</t>
  </si>
  <si>
    <t>4.1955</t>
  </si>
  <si>
    <t>5.1955</t>
  </si>
  <si>
    <t>6.1955</t>
  </si>
  <si>
    <t>7.1955</t>
  </si>
  <si>
    <t>8.1955</t>
  </si>
  <si>
    <t>9.1955</t>
  </si>
  <si>
    <t>10.1955</t>
  </si>
  <si>
    <t>11.1955</t>
  </si>
  <si>
    <t>12.1955</t>
  </si>
  <si>
    <t>1.1956</t>
  </si>
  <si>
    <t>2.1956</t>
  </si>
  <si>
    <t>3.1956</t>
  </si>
  <si>
    <t>4.1956</t>
  </si>
  <si>
    <t>5.1956</t>
  </si>
  <si>
    <t>6.1956</t>
  </si>
  <si>
    <t>7.1956</t>
  </si>
  <si>
    <t>8.1956</t>
  </si>
  <si>
    <t>9.1956</t>
  </si>
  <si>
    <t>10.1956</t>
  </si>
  <si>
    <t>11.1956</t>
  </si>
  <si>
    <t>12.1956</t>
  </si>
  <si>
    <t>1.1957</t>
  </si>
  <si>
    <t>2.1957</t>
  </si>
  <si>
    <t>3.1957</t>
  </si>
  <si>
    <t>4.1957</t>
  </si>
  <si>
    <t>5.1957</t>
  </si>
  <si>
    <t>6.1957</t>
  </si>
  <si>
    <t>7.1957</t>
  </si>
  <si>
    <t>8.1957</t>
  </si>
  <si>
    <t>9.1957</t>
  </si>
  <si>
    <t>10.1957</t>
  </si>
  <si>
    <t>11.1957</t>
  </si>
  <si>
    <t>12.1957</t>
  </si>
  <si>
    <t>1.1958</t>
  </si>
  <si>
    <t>2.1958</t>
  </si>
  <si>
    <t>3.1958</t>
  </si>
  <si>
    <t>4.1958</t>
  </si>
  <si>
    <t>5.1958</t>
  </si>
  <si>
    <t>6.1958</t>
  </si>
  <si>
    <t>7.1958</t>
  </si>
  <si>
    <t>8.1958</t>
  </si>
  <si>
    <t>9.1958</t>
  </si>
  <si>
    <t>10.1958</t>
  </si>
  <si>
    <t>11.1958</t>
  </si>
  <si>
    <t>12.1958</t>
  </si>
  <si>
    <t>1.1959</t>
  </si>
  <si>
    <t>2.1959</t>
  </si>
  <si>
    <t>3.1959</t>
  </si>
  <si>
    <t>4.1959</t>
  </si>
  <si>
    <t>5.1959</t>
  </si>
  <si>
    <t>6.1959</t>
  </si>
  <si>
    <t>7.1959</t>
  </si>
  <si>
    <t>8.1959</t>
  </si>
  <si>
    <t>9.1959</t>
  </si>
  <si>
    <t>10.1959</t>
  </si>
  <si>
    <t>11.1959</t>
  </si>
  <si>
    <t>12.1959</t>
  </si>
  <si>
    <t>1.1960</t>
  </si>
  <si>
    <t>2.1960</t>
  </si>
  <si>
    <t>3.1960</t>
  </si>
  <si>
    <t>4.1960</t>
  </si>
  <si>
    <t>5.1960</t>
  </si>
  <si>
    <t>6.1960</t>
  </si>
  <si>
    <t>7.1960</t>
  </si>
  <si>
    <t>8.1960</t>
  </si>
  <si>
    <t>9.1960</t>
  </si>
  <si>
    <t>10.1960</t>
  </si>
  <si>
    <t>11.1960</t>
  </si>
  <si>
    <t>12.1960</t>
  </si>
  <si>
    <t>1.1961</t>
  </si>
  <si>
    <t>2.1961</t>
  </si>
  <si>
    <t>3.1961</t>
  </si>
  <si>
    <t>4.1961</t>
  </si>
  <si>
    <t>5.1961</t>
  </si>
  <si>
    <t>6.1961</t>
  </si>
  <si>
    <t>7.1961</t>
  </si>
  <si>
    <t>8.1961</t>
  </si>
  <si>
    <t>9.1961</t>
  </si>
  <si>
    <t>10.1961</t>
  </si>
  <si>
    <t>11.1961</t>
  </si>
  <si>
    <t>12.1961</t>
  </si>
  <si>
    <t>1.1962</t>
  </si>
  <si>
    <t>2.1962</t>
  </si>
  <si>
    <t>3.1962</t>
  </si>
  <si>
    <t>4.1962</t>
  </si>
  <si>
    <t>5.1962</t>
  </si>
  <si>
    <t>6.1962</t>
  </si>
  <si>
    <t>7.1962</t>
  </si>
  <si>
    <t>8.1962</t>
  </si>
  <si>
    <t>9.1962</t>
  </si>
  <si>
    <t>10.1962</t>
  </si>
  <si>
    <t>11.1962</t>
  </si>
  <si>
    <t>12.1962</t>
  </si>
  <si>
    <t>1.1963</t>
  </si>
  <si>
    <t>2.1963</t>
  </si>
  <si>
    <t>3.1963</t>
  </si>
  <si>
    <t>4.1963</t>
  </si>
  <si>
    <t>5.1963</t>
  </si>
  <si>
    <t>6.1963</t>
  </si>
  <si>
    <t>7.1963</t>
  </si>
  <si>
    <t>8.1963</t>
  </si>
  <si>
    <t>9.1963</t>
  </si>
  <si>
    <t>10.1963</t>
  </si>
  <si>
    <t>11.1963</t>
  </si>
  <si>
    <t>12.1963</t>
  </si>
  <si>
    <t>1.1964</t>
  </si>
  <si>
    <t>2.1964</t>
  </si>
  <si>
    <t>3.1964</t>
  </si>
  <si>
    <t>4.1964</t>
  </si>
  <si>
    <t>5.1964</t>
  </si>
  <si>
    <t>6.1964</t>
  </si>
  <si>
    <t>7.1964</t>
  </si>
  <si>
    <t>8.1964</t>
  </si>
  <si>
    <t>9.1964</t>
  </si>
  <si>
    <t>10.1964</t>
  </si>
  <si>
    <t>11.1964</t>
  </si>
  <si>
    <t>12.1964</t>
  </si>
  <si>
    <t>1.1965</t>
  </si>
  <si>
    <t>2.1965</t>
  </si>
  <si>
    <t>3.1965</t>
  </si>
  <si>
    <t>4.1965</t>
  </si>
  <si>
    <t>5.1965</t>
  </si>
  <si>
    <t>6.1965</t>
  </si>
  <si>
    <t>7.1965</t>
  </si>
  <si>
    <t>8.1965</t>
  </si>
  <si>
    <t>9.1965</t>
  </si>
  <si>
    <t>10.1965</t>
  </si>
  <si>
    <t>11.1965</t>
  </si>
  <si>
    <t>12.1965</t>
  </si>
  <si>
    <t>1.1966</t>
  </si>
  <si>
    <t>2.1966</t>
  </si>
  <si>
    <t>3.1966</t>
  </si>
  <si>
    <t>4.1966</t>
  </si>
  <si>
    <t>5.1966</t>
  </si>
  <si>
    <t>6.1966</t>
  </si>
  <si>
    <t>7.1966</t>
  </si>
  <si>
    <t>8.1966</t>
  </si>
  <si>
    <t>9.1966</t>
  </si>
  <si>
    <t>10.1966</t>
  </si>
  <si>
    <t>11.1966</t>
  </si>
  <si>
    <t>12.1966</t>
  </si>
  <si>
    <t>1.1967</t>
  </si>
  <si>
    <t>2.1967</t>
  </si>
  <si>
    <t>3.1967</t>
  </si>
  <si>
    <t>4.1967</t>
  </si>
  <si>
    <t>5.1967</t>
  </si>
  <si>
    <t>6.1967</t>
  </si>
  <si>
    <t>7.1967</t>
  </si>
  <si>
    <t>8.1967</t>
  </si>
  <si>
    <t>9.1967</t>
  </si>
  <si>
    <t>10.1967</t>
  </si>
  <si>
    <t>11.1967</t>
  </si>
  <si>
    <t>12.1967</t>
  </si>
  <si>
    <t>1.1968</t>
  </si>
  <si>
    <t>2.1968</t>
  </si>
  <si>
    <t>3.1968</t>
  </si>
  <si>
    <t>4.1968</t>
  </si>
  <si>
    <t>5.1968</t>
  </si>
  <si>
    <t>6.1968</t>
  </si>
  <si>
    <t>7.1968</t>
  </si>
  <si>
    <t>8.1968</t>
  </si>
  <si>
    <t>9.1968</t>
  </si>
  <si>
    <t>10.1968</t>
  </si>
  <si>
    <t>11.1968</t>
  </si>
  <si>
    <t>12.1968</t>
  </si>
  <si>
    <t>1.1969</t>
  </si>
  <si>
    <t>2.1969</t>
  </si>
  <si>
    <t>3.1969</t>
  </si>
  <si>
    <t>4.1969</t>
  </si>
  <si>
    <t>5.1969</t>
  </si>
  <si>
    <t>6.1969</t>
  </si>
  <si>
    <t>7.1969</t>
  </si>
  <si>
    <t>8.1969</t>
  </si>
  <si>
    <t>9.1969</t>
  </si>
  <si>
    <t>10.1969</t>
  </si>
  <si>
    <t>11.1969</t>
  </si>
  <si>
    <t>12.1969</t>
  </si>
  <si>
    <t>1.1970</t>
  </si>
  <si>
    <t>2.1970</t>
  </si>
  <si>
    <t>3.1970</t>
  </si>
  <si>
    <t>4.1970</t>
  </si>
  <si>
    <t>5.1970</t>
  </si>
  <si>
    <t>6.1970</t>
  </si>
  <si>
    <t>7.1970</t>
  </si>
  <si>
    <t>8.1970</t>
  </si>
  <si>
    <t>9.1970</t>
  </si>
  <si>
    <t>10.1970</t>
  </si>
  <si>
    <t>11.1970</t>
  </si>
  <si>
    <t>12.1970</t>
  </si>
  <si>
    <t>1.1971</t>
  </si>
  <si>
    <t>2.1971</t>
  </si>
  <si>
    <t>3.1971</t>
  </si>
  <si>
    <t>4.1971</t>
  </si>
  <si>
    <t>5.1971</t>
  </si>
  <si>
    <t>6.1971</t>
  </si>
  <si>
    <t>7.1971</t>
  </si>
  <si>
    <t>8.1971</t>
  </si>
  <si>
    <t>9.1971</t>
  </si>
  <si>
    <t>10.1971</t>
  </si>
  <si>
    <t>11.1971</t>
  </si>
  <si>
    <t>12.1971</t>
  </si>
  <si>
    <t>1.1972</t>
  </si>
  <si>
    <t>2.1972</t>
  </si>
  <si>
    <t>3.1972</t>
  </si>
  <si>
    <t>4.1972</t>
  </si>
  <si>
    <t>5.1972</t>
  </si>
  <si>
    <t>6.1972</t>
  </si>
  <si>
    <t>7.1972</t>
  </si>
  <si>
    <t>8.1972</t>
  </si>
  <si>
    <t>9.1972</t>
  </si>
  <si>
    <t>10.1972</t>
  </si>
  <si>
    <t>11.1972</t>
  </si>
  <si>
    <t>12.1972</t>
  </si>
  <si>
    <t>1.1973</t>
  </si>
  <si>
    <t>2.1973</t>
  </si>
  <si>
    <t>3.1973</t>
  </si>
  <si>
    <t>4.1973</t>
  </si>
  <si>
    <t>5.1973</t>
  </si>
  <si>
    <t>6.1973</t>
  </si>
  <si>
    <t>7.1973</t>
  </si>
  <si>
    <t>8.1973</t>
  </si>
  <si>
    <t>9.1973</t>
  </si>
  <si>
    <t>10.1973</t>
  </si>
  <si>
    <t>11.1973</t>
  </si>
  <si>
    <t>12.1973</t>
  </si>
  <si>
    <t>1.1974</t>
  </si>
  <si>
    <t>2.1974</t>
  </si>
  <si>
    <t>3.1974</t>
  </si>
  <si>
    <t>4.1974</t>
  </si>
  <si>
    <t>5.1974</t>
  </si>
  <si>
    <t>6.1974</t>
  </si>
  <si>
    <t>7.1974</t>
  </si>
  <si>
    <t>8.1974</t>
  </si>
  <si>
    <t>9.1974</t>
  </si>
  <si>
    <t>10.1974</t>
  </si>
  <si>
    <t>11.1974</t>
  </si>
  <si>
    <t>12.1974</t>
  </si>
  <si>
    <t>1.1975</t>
  </si>
  <si>
    <t>2.1975</t>
  </si>
  <si>
    <t>3.1975</t>
  </si>
  <si>
    <t>4.1975</t>
  </si>
  <si>
    <t>5.1975</t>
  </si>
  <si>
    <t>6.1975</t>
  </si>
  <si>
    <t>7.1975</t>
  </si>
  <si>
    <t>8.1975</t>
  </si>
  <si>
    <t>9.1975</t>
  </si>
  <si>
    <t>10.1975</t>
  </si>
  <si>
    <t>11.1975</t>
  </si>
  <si>
    <t>12.1975</t>
  </si>
  <si>
    <t>1.1976</t>
  </si>
  <si>
    <t>2.1976</t>
  </si>
  <si>
    <t>3.1976</t>
  </si>
  <si>
    <t>4.1976</t>
  </si>
  <si>
    <t>5.1976</t>
  </si>
  <si>
    <t>6.1976</t>
  </si>
  <si>
    <t>7.1976</t>
  </si>
  <si>
    <t>8.1976</t>
  </si>
  <si>
    <t>9.1976</t>
  </si>
  <si>
    <t>10.1976</t>
  </si>
  <si>
    <t>11.1976</t>
  </si>
  <si>
    <t>12.1976</t>
  </si>
  <si>
    <t>1.1977</t>
  </si>
  <si>
    <t>2.1977</t>
  </si>
  <si>
    <t>3.1977</t>
  </si>
  <si>
    <t>4.1977</t>
  </si>
  <si>
    <t>5.1977</t>
  </si>
  <si>
    <t>6.1977</t>
  </si>
  <si>
    <t>7.1977</t>
  </si>
  <si>
    <t>8.1977</t>
  </si>
  <si>
    <t>9.1977</t>
  </si>
  <si>
    <t>10.1977</t>
  </si>
  <si>
    <t>11.1977</t>
  </si>
  <si>
    <t>12.1977</t>
  </si>
  <si>
    <t>1.1978</t>
  </si>
  <si>
    <t>2.1978</t>
  </si>
  <si>
    <t>3.1978</t>
  </si>
  <si>
    <t>4.1978</t>
  </si>
  <si>
    <t>5.1978</t>
  </si>
  <si>
    <t>6.1978</t>
  </si>
  <si>
    <t>7.1978</t>
  </si>
  <si>
    <t>8.1978</t>
  </si>
  <si>
    <t>9.1978</t>
  </si>
  <si>
    <t>10.1978</t>
  </si>
  <si>
    <t>11.1978</t>
  </si>
  <si>
    <t>12.1978</t>
  </si>
  <si>
    <t>1.1979</t>
  </si>
  <si>
    <t>2.1979</t>
  </si>
  <si>
    <t>3.1979</t>
  </si>
  <si>
    <t>4.1979</t>
  </si>
  <si>
    <t>5.1979</t>
  </si>
  <si>
    <t>6.1979</t>
  </si>
  <si>
    <t>7.1979</t>
  </si>
  <si>
    <t>8.1979</t>
  </si>
  <si>
    <t>9.1979</t>
  </si>
  <si>
    <t>10.1979</t>
  </si>
  <si>
    <t>11.1979</t>
  </si>
  <si>
    <t>12.1979</t>
  </si>
  <si>
    <t>1.1980</t>
  </si>
  <si>
    <t>2.1980</t>
  </si>
  <si>
    <t>3.1980</t>
  </si>
  <si>
    <t>4.1980</t>
  </si>
  <si>
    <t>5.1980</t>
  </si>
  <si>
    <t>6.1980</t>
  </si>
  <si>
    <t>7.1980</t>
  </si>
  <si>
    <t>8.1980</t>
  </si>
  <si>
    <t>9.1980</t>
  </si>
  <si>
    <t>10.1980</t>
  </si>
  <si>
    <t>11.1980</t>
  </si>
  <si>
    <t>12.1980</t>
  </si>
  <si>
    <t>1.1981</t>
  </si>
  <si>
    <t>2.1981</t>
  </si>
  <si>
    <t>3.1981</t>
  </si>
  <si>
    <t>4.1981</t>
  </si>
  <si>
    <t>5.1981</t>
  </si>
  <si>
    <t>6.1981</t>
  </si>
  <si>
    <t>7.1981</t>
  </si>
  <si>
    <t>8.1981</t>
  </si>
  <si>
    <t>9.1981</t>
  </si>
  <si>
    <t>10.1981</t>
  </si>
  <si>
    <t>11.1981</t>
  </si>
  <si>
    <t>12.1981</t>
  </si>
  <si>
    <t>1.1982</t>
  </si>
  <si>
    <t>2.1982</t>
  </si>
  <si>
    <t>3.1982</t>
  </si>
  <si>
    <t>4.1982</t>
  </si>
  <si>
    <t>5.1982</t>
  </si>
  <si>
    <t>6.1982</t>
  </si>
  <si>
    <t>7.1982</t>
  </si>
  <si>
    <t>8.1982</t>
  </si>
  <si>
    <t>9.1982</t>
  </si>
  <si>
    <t>10.1982</t>
  </si>
  <si>
    <t>11.1982</t>
  </si>
  <si>
    <t>12.1982</t>
  </si>
  <si>
    <t>1.1983</t>
  </si>
  <si>
    <t>2.1983</t>
  </si>
  <si>
    <t>3.1983</t>
  </si>
  <si>
    <t>4.1983</t>
  </si>
  <si>
    <t>5.1983</t>
  </si>
  <si>
    <t>6.1983</t>
  </si>
  <si>
    <t>7.1983</t>
  </si>
  <si>
    <t>8.1983</t>
  </si>
  <si>
    <t>9.1983</t>
  </si>
  <si>
    <t>10.1983</t>
  </si>
  <si>
    <t>11.1983</t>
  </si>
  <si>
    <t>12.1983</t>
  </si>
  <si>
    <t>1.1984</t>
  </si>
  <si>
    <t>2.1984</t>
  </si>
  <si>
    <t>3.1984</t>
  </si>
  <si>
    <t>4.1984</t>
  </si>
  <si>
    <t>5.1984</t>
  </si>
  <si>
    <t>6.1984</t>
  </si>
  <si>
    <t>7.1984</t>
  </si>
  <si>
    <t>8.1984</t>
  </si>
  <si>
    <t>9.1984</t>
  </si>
  <si>
    <t>10.1984</t>
  </si>
  <si>
    <t>11.1984</t>
  </si>
  <si>
    <t>12.1984</t>
  </si>
  <si>
    <t>1.1985</t>
  </si>
  <si>
    <t>2.1985</t>
  </si>
  <si>
    <t>3.1985</t>
  </si>
  <si>
    <t>4.1985</t>
  </si>
  <si>
    <t>5.1985</t>
  </si>
  <si>
    <t>6.1985</t>
  </si>
  <si>
    <t>7.1985</t>
  </si>
  <si>
    <t>8.1985</t>
  </si>
  <si>
    <t>9.1985</t>
  </si>
  <si>
    <t>10.1985</t>
  </si>
  <si>
    <t>11.1985</t>
  </si>
  <si>
    <t>12.1985</t>
  </si>
  <si>
    <t>1.1986</t>
  </si>
  <si>
    <t>2.1986</t>
  </si>
  <si>
    <t>3.1986</t>
  </si>
  <si>
    <t>4.1986</t>
  </si>
  <si>
    <t>5.1986</t>
  </si>
  <si>
    <t>6.1986</t>
  </si>
  <si>
    <t>7.1986</t>
  </si>
  <si>
    <t>8.1986</t>
  </si>
  <si>
    <t>9.1986</t>
  </si>
  <si>
    <t>10.1986</t>
  </si>
  <si>
    <t>11.1986</t>
  </si>
  <si>
    <t>12.1986</t>
  </si>
  <si>
    <t>1.1987</t>
  </si>
  <si>
    <t>2.1987</t>
  </si>
  <si>
    <t>Here's the data for January 1980</t>
  </si>
  <si>
    <t>In order to solve for the coupon on a 5-year bond, we have to perform the following calculation:</t>
  </si>
  <si>
    <t>coupon</t>
  </si>
  <si>
    <t>The solution for a 10-year coupon is similar, except that we don't have rates for years 6, 7, 8, 9.</t>
  </si>
  <si>
    <t>I have assumed that the rate for these years is the average of the rates for years 5 and 10:</t>
  </si>
  <si>
    <t>The answer for all 10-year bonds is given on the next sheet.</t>
  </si>
  <si>
    <t>Implied coupon rates</t>
  </si>
  <si>
    <t>5-year</t>
  </si>
  <si>
    <t>10-year</t>
  </si>
  <si>
    <t>bonds</t>
  </si>
  <si>
    <t>Price of 5-year bond</t>
  </si>
  <si>
    <t>Price of 10-year bond</t>
  </si>
  <si>
    <r>
      <t xml:space="preserve">Duration (uses </t>
    </r>
    <r>
      <rPr>
        <b/>
        <sz val="10"/>
        <rFont val="Arial"/>
        <family val="2"/>
      </rPr>
      <t>Dduration</t>
    </r>
  </si>
  <si>
    <t>before</t>
  </si>
  <si>
    <t>after</t>
  </si>
  <si>
    <t>Implied coupons</t>
  </si>
  <si>
    <t>function defined in text)</t>
  </si>
  <si>
    <t>change</t>
  </si>
  <si>
    <t>Duration-approximated price change</t>
  </si>
  <si>
    <t>Actual price change</t>
  </si>
  <si>
    <t>Using duration to approximate the price change (see page 367 of book):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</si>
</sst>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_(* #,##0.00_);_(* \(#,##0.00\);_(* &quot;-&quot;??_);_(@_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7" fontId="2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/>
    </xf>
    <xf numFmtId="0" fontId="4" fillId="0" borderId="0" xfId="1" applyFont="1"/>
    <xf numFmtId="0" fontId="2" fillId="2" borderId="0" xfId="1" applyFill="1" applyAlignment="1">
      <alignment horizontal="center"/>
    </xf>
    <xf numFmtId="0" fontId="2" fillId="2" borderId="0" xfId="1" applyFill="1"/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Continuous"/>
    </xf>
    <xf numFmtId="0" fontId="2" fillId="0" borderId="0" xfId="1" applyAlignment="1">
      <alignment horizontal="centerContinuous"/>
    </xf>
    <xf numFmtId="10" fontId="0" fillId="0" borderId="0" xfId="2" applyNumberFormat="1" applyFont="1"/>
    <xf numFmtId="176" fontId="2" fillId="0" borderId="0" xfId="1" applyNumberFormat="1"/>
    <xf numFmtId="4" fontId="0" fillId="0" borderId="0" xfId="3" applyNumberFormat="1" applyFont="1"/>
    <xf numFmtId="4" fontId="2" fillId="0" borderId="0" xfId="1" applyNumberFormat="1"/>
    <xf numFmtId="2" fontId="2" fillId="0" borderId="0" xfId="1" applyNumberFormat="1"/>
  </cellXfs>
  <cellStyles count="4">
    <cellStyle name="百分比 2" xfId="2" xr:uid="{4C7912C8-DCD8-49A8-96ED-514F84A2F566}"/>
    <cellStyle name="常规" xfId="0" builtinId="0"/>
    <cellStyle name="常规 2" xfId="1" xr:uid="{2F384264-FD3B-4ED2-A902-291ACE7F5C17}"/>
    <cellStyle name="千位分隔 2" xfId="3" xr:uid="{DBE342FA-1A64-42BF-B745-0B77CC7512A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Implied Coupon Rates from Term Structures</a:t>
            </a:r>
          </a:p>
        </c:rich>
      </c:tx>
      <c:layout>
        <c:manualLayout>
          <c:xMode val="edge"/>
          <c:yMode val="edge"/>
          <c:x val="0.2074691949273377"/>
          <c:y val="3.66492263711584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55620890567598"/>
          <c:y val="0.2041885469250255"/>
          <c:w val="0.81742862801371041"/>
          <c:h val="0.62041904642603896"/>
        </c:manualLayout>
      </c:layout>
      <c:lineChart>
        <c:grouping val="standard"/>
        <c:varyColors val="0"/>
        <c:ser>
          <c:idx val="0"/>
          <c:order val="0"/>
          <c:tx>
            <c:strRef>
              <c:f>'Exercise 25-7.c'!$B$5:$B$6</c:f>
              <c:strCache>
                <c:ptCount val="2"/>
                <c:pt idx="0">
                  <c:v>5-year</c:v>
                </c:pt>
                <c:pt idx="1">
                  <c:v>bonds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'Exercise 25-7.c'!$A$7:$A$489</c:f>
              <c:strCache>
                <c:ptCount val="483"/>
                <c:pt idx="0">
                  <c:v>12.1946</c:v>
                </c:pt>
                <c:pt idx="1">
                  <c:v>1.1947</c:v>
                </c:pt>
                <c:pt idx="2">
                  <c:v>2.1947</c:v>
                </c:pt>
                <c:pt idx="3">
                  <c:v>3.1947</c:v>
                </c:pt>
                <c:pt idx="4">
                  <c:v>4.1947</c:v>
                </c:pt>
                <c:pt idx="5">
                  <c:v>5.1947</c:v>
                </c:pt>
                <c:pt idx="6">
                  <c:v>6.1947</c:v>
                </c:pt>
                <c:pt idx="7">
                  <c:v>7.1947</c:v>
                </c:pt>
                <c:pt idx="8">
                  <c:v>8.1947</c:v>
                </c:pt>
                <c:pt idx="9">
                  <c:v>9.1947</c:v>
                </c:pt>
                <c:pt idx="10">
                  <c:v>10.1947</c:v>
                </c:pt>
                <c:pt idx="11">
                  <c:v>11.1947</c:v>
                </c:pt>
                <c:pt idx="12">
                  <c:v>12.1947</c:v>
                </c:pt>
                <c:pt idx="13">
                  <c:v>1.1948</c:v>
                </c:pt>
                <c:pt idx="14">
                  <c:v>2.1948</c:v>
                </c:pt>
                <c:pt idx="15">
                  <c:v>3.1948</c:v>
                </c:pt>
                <c:pt idx="16">
                  <c:v>4.1948</c:v>
                </c:pt>
                <c:pt idx="17">
                  <c:v>5.1948</c:v>
                </c:pt>
                <c:pt idx="18">
                  <c:v>6.1948</c:v>
                </c:pt>
                <c:pt idx="19">
                  <c:v>7.1948</c:v>
                </c:pt>
                <c:pt idx="20">
                  <c:v>8.1948</c:v>
                </c:pt>
                <c:pt idx="21">
                  <c:v>9.1948</c:v>
                </c:pt>
                <c:pt idx="22">
                  <c:v>10.1948</c:v>
                </c:pt>
                <c:pt idx="23">
                  <c:v>11.1948</c:v>
                </c:pt>
                <c:pt idx="24">
                  <c:v>12.1948</c:v>
                </c:pt>
                <c:pt idx="25">
                  <c:v>1.1949</c:v>
                </c:pt>
                <c:pt idx="26">
                  <c:v>2.1949</c:v>
                </c:pt>
                <c:pt idx="27">
                  <c:v>3.1949</c:v>
                </c:pt>
                <c:pt idx="28">
                  <c:v>4.1949</c:v>
                </c:pt>
                <c:pt idx="29">
                  <c:v>5.1949</c:v>
                </c:pt>
                <c:pt idx="30">
                  <c:v>6.1949</c:v>
                </c:pt>
                <c:pt idx="31">
                  <c:v>7.1949</c:v>
                </c:pt>
                <c:pt idx="32">
                  <c:v>8.1949</c:v>
                </c:pt>
                <c:pt idx="33">
                  <c:v>9.1949</c:v>
                </c:pt>
                <c:pt idx="34">
                  <c:v>10.1949</c:v>
                </c:pt>
                <c:pt idx="35">
                  <c:v>11.1949</c:v>
                </c:pt>
                <c:pt idx="36">
                  <c:v>12.1949</c:v>
                </c:pt>
                <c:pt idx="37">
                  <c:v>1.1950</c:v>
                </c:pt>
                <c:pt idx="38">
                  <c:v>2.1950</c:v>
                </c:pt>
                <c:pt idx="39">
                  <c:v>3.1950</c:v>
                </c:pt>
                <c:pt idx="40">
                  <c:v>4.1950</c:v>
                </c:pt>
                <c:pt idx="41">
                  <c:v>5.1950</c:v>
                </c:pt>
                <c:pt idx="42">
                  <c:v>6.1950</c:v>
                </c:pt>
                <c:pt idx="43">
                  <c:v>7.1950</c:v>
                </c:pt>
                <c:pt idx="44">
                  <c:v>8.1950</c:v>
                </c:pt>
                <c:pt idx="45">
                  <c:v>9.1950</c:v>
                </c:pt>
                <c:pt idx="46">
                  <c:v>10.1950</c:v>
                </c:pt>
                <c:pt idx="47">
                  <c:v>11.1950</c:v>
                </c:pt>
                <c:pt idx="48">
                  <c:v>12.1950</c:v>
                </c:pt>
                <c:pt idx="49">
                  <c:v>1.1951</c:v>
                </c:pt>
                <c:pt idx="50">
                  <c:v>2.1951</c:v>
                </c:pt>
                <c:pt idx="51">
                  <c:v>3.1951</c:v>
                </c:pt>
                <c:pt idx="52">
                  <c:v>4.1951</c:v>
                </c:pt>
                <c:pt idx="53">
                  <c:v>5.1951</c:v>
                </c:pt>
                <c:pt idx="54">
                  <c:v>6.1951</c:v>
                </c:pt>
                <c:pt idx="55">
                  <c:v>7.1951</c:v>
                </c:pt>
                <c:pt idx="56">
                  <c:v>8.1951</c:v>
                </c:pt>
                <c:pt idx="57">
                  <c:v>9.1951</c:v>
                </c:pt>
                <c:pt idx="58">
                  <c:v>10.1951</c:v>
                </c:pt>
                <c:pt idx="59">
                  <c:v>11.1951</c:v>
                </c:pt>
                <c:pt idx="60">
                  <c:v>12.1951</c:v>
                </c:pt>
                <c:pt idx="61">
                  <c:v>1.1952</c:v>
                </c:pt>
                <c:pt idx="62">
                  <c:v>2.1952</c:v>
                </c:pt>
                <c:pt idx="63">
                  <c:v>3.1952</c:v>
                </c:pt>
                <c:pt idx="64">
                  <c:v>4.1952</c:v>
                </c:pt>
                <c:pt idx="65">
                  <c:v>5.1952</c:v>
                </c:pt>
                <c:pt idx="66">
                  <c:v>6.1952</c:v>
                </c:pt>
                <c:pt idx="67">
                  <c:v>7.1952</c:v>
                </c:pt>
                <c:pt idx="68">
                  <c:v>8.1952</c:v>
                </c:pt>
                <c:pt idx="69">
                  <c:v>9.1952</c:v>
                </c:pt>
                <c:pt idx="70">
                  <c:v>10.1952</c:v>
                </c:pt>
                <c:pt idx="71">
                  <c:v>11.1952</c:v>
                </c:pt>
                <c:pt idx="72">
                  <c:v>12.1952</c:v>
                </c:pt>
                <c:pt idx="73">
                  <c:v>1.1953</c:v>
                </c:pt>
                <c:pt idx="74">
                  <c:v>2.1953</c:v>
                </c:pt>
                <c:pt idx="75">
                  <c:v>3.1953</c:v>
                </c:pt>
                <c:pt idx="76">
                  <c:v>4.1953</c:v>
                </c:pt>
                <c:pt idx="77">
                  <c:v>5.1953</c:v>
                </c:pt>
                <c:pt idx="78">
                  <c:v>6.1953</c:v>
                </c:pt>
                <c:pt idx="79">
                  <c:v>7.1953</c:v>
                </c:pt>
                <c:pt idx="80">
                  <c:v>8.1953</c:v>
                </c:pt>
                <c:pt idx="81">
                  <c:v>9.1953</c:v>
                </c:pt>
                <c:pt idx="82">
                  <c:v>10.1953</c:v>
                </c:pt>
                <c:pt idx="83">
                  <c:v>11.1953</c:v>
                </c:pt>
                <c:pt idx="84">
                  <c:v>12.1953</c:v>
                </c:pt>
                <c:pt idx="85">
                  <c:v>1.1954</c:v>
                </c:pt>
                <c:pt idx="86">
                  <c:v>2.1954</c:v>
                </c:pt>
                <c:pt idx="87">
                  <c:v>3.1954</c:v>
                </c:pt>
                <c:pt idx="88">
                  <c:v>4.1954</c:v>
                </c:pt>
                <c:pt idx="89">
                  <c:v>5.1954</c:v>
                </c:pt>
                <c:pt idx="90">
                  <c:v>6.1954</c:v>
                </c:pt>
                <c:pt idx="91">
                  <c:v>7.1954</c:v>
                </c:pt>
                <c:pt idx="92">
                  <c:v>8.1954</c:v>
                </c:pt>
                <c:pt idx="93">
                  <c:v>9.1954</c:v>
                </c:pt>
                <c:pt idx="94">
                  <c:v>10.1954</c:v>
                </c:pt>
                <c:pt idx="95">
                  <c:v>11.1954</c:v>
                </c:pt>
                <c:pt idx="96">
                  <c:v>12.1954</c:v>
                </c:pt>
                <c:pt idx="97">
                  <c:v>1.1955</c:v>
                </c:pt>
                <c:pt idx="98">
                  <c:v>2.1955</c:v>
                </c:pt>
                <c:pt idx="99">
                  <c:v>3.1955</c:v>
                </c:pt>
                <c:pt idx="100">
                  <c:v>4.1955</c:v>
                </c:pt>
                <c:pt idx="101">
                  <c:v>5.1955</c:v>
                </c:pt>
                <c:pt idx="102">
                  <c:v>6.1955</c:v>
                </c:pt>
                <c:pt idx="103">
                  <c:v>7.1955</c:v>
                </c:pt>
                <c:pt idx="104">
                  <c:v>8.1955</c:v>
                </c:pt>
                <c:pt idx="105">
                  <c:v>9.1955</c:v>
                </c:pt>
                <c:pt idx="106">
                  <c:v>10.1955</c:v>
                </c:pt>
                <c:pt idx="107">
                  <c:v>11.1955</c:v>
                </c:pt>
                <c:pt idx="108">
                  <c:v>12.1955</c:v>
                </c:pt>
                <c:pt idx="109">
                  <c:v>1.1956</c:v>
                </c:pt>
                <c:pt idx="110">
                  <c:v>2.1956</c:v>
                </c:pt>
                <c:pt idx="111">
                  <c:v>3.1956</c:v>
                </c:pt>
                <c:pt idx="112">
                  <c:v>4.1956</c:v>
                </c:pt>
                <c:pt idx="113">
                  <c:v>5.1956</c:v>
                </c:pt>
                <c:pt idx="114">
                  <c:v>6.1956</c:v>
                </c:pt>
                <c:pt idx="115">
                  <c:v>7.1956</c:v>
                </c:pt>
                <c:pt idx="116">
                  <c:v>8.1956</c:v>
                </c:pt>
                <c:pt idx="117">
                  <c:v>9.1956</c:v>
                </c:pt>
                <c:pt idx="118">
                  <c:v>10.1956</c:v>
                </c:pt>
                <c:pt idx="119">
                  <c:v>11.1956</c:v>
                </c:pt>
                <c:pt idx="120">
                  <c:v>12.1956</c:v>
                </c:pt>
                <c:pt idx="121">
                  <c:v>1.1957</c:v>
                </c:pt>
                <c:pt idx="122">
                  <c:v>2.1957</c:v>
                </c:pt>
                <c:pt idx="123">
                  <c:v>3.1957</c:v>
                </c:pt>
                <c:pt idx="124">
                  <c:v>4.1957</c:v>
                </c:pt>
                <c:pt idx="125">
                  <c:v>5.1957</c:v>
                </c:pt>
                <c:pt idx="126">
                  <c:v>6.1957</c:v>
                </c:pt>
                <c:pt idx="127">
                  <c:v>7.1957</c:v>
                </c:pt>
                <c:pt idx="128">
                  <c:v>8.1957</c:v>
                </c:pt>
                <c:pt idx="129">
                  <c:v>9.1957</c:v>
                </c:pt>
                <c:pt idx="130">
                  <c:v>10.1957</c:v>
                </c:pt>
                <c:pt idx="131">
                  <c:v>11.1957</c:v>
                </c:pt>
                <c:pt idx="132">
                  <c:v>12.1957</c:v>
                </c:pt>
                <c:pt idx="133">
                  <c:v>1.1958</c:v>
                </c:pt>
                <c:pt idx="134">
                  <c:v>2.1958</c:v>
                </c:pt>
                <c:pt idx="135">
                  <c:v>3.1958</c:v>
                </c:pt>
                <c:pt idx="136">
                  <c:v>4.1958</c:v>
                </c:pt>
                <c:pt idx="137">
                  <c:v>5.1958</c:v>
                </c:pt>
                <c:pt idx="138">
                  <c:v>6.1958</c:v>
                </c:pt>
                <c:pt idx="139">
                  <c:v>7.1958</c:v>
                </c:pt>
                <c:pt idx="140">
                  <c:v>8.1958</c:v>
                </c:pt>
                <c:pt idx="141">
                  <c:v>9.1958</c:v>
                </c:pt>
                <c:pt idx="142">
                  <c:v>10.1958</c:v>
                </c:pt>
                <c:pt idx="143">
                  <c:v>11.1958</c:v>
                </c:pt>
                <c:pt idx="144">
                  <c:v>12.1958</c:v>
                </c:pt>
                <c:pt idx="145">
                  <c:v>1.1959</c:v>
                </c:pt>
                <c:pt idx="146">
                  <c:v>2.1959</c:v>
                </c:pt>
                <c:pt idx="147">
                  <c:v>3.1959</c:v>
                </c:pt>
                <c:pt idx="148">
                  <c:v>4.1959</c:v>
                </c:pt>
                <c:pt idx="149">
                  <c:v>5.1959</c:v>
                </c:pt>
                <c:pt idx="150">
                  <c:v>6.1959</c:v>
                </c:pt>
                <c:pt idx="151">
                  <c:v>7.1959</c:v>
                </c:pt>
                <c:pt idx="152">
                  <c:v>8.1959</c:v>
                </c:pt>
                <c:pt idx="153">
                  <c:v>9.1959</c:v>
                </c:pt>
                <c:pt idx="154">
                  <c:v>10.1959</c:v>
                </c:pt>
                <c:pt idx="155">
                  <c:v>11.1959</c:v>
                </c:pt>
                <c:pt idx="156">
                  <c:v>12.1959</c:v>
                </c:pt>
                <c:pt idx="157">
                  <c:v>1.1960</c:v>
                </c:pt>
                <c:pt idx="158">
                  <c:v>2.1960</c:v>
                </c:pt>
                <c:pt idx="159">
                  <c:v>3.1960</c:v>
                </c:pt>
                <c:pt idx="160">
                  <c:v>4.1960</c:v>
                </c:pt>
                <c:pt idx="161">
                  <c:v>5.1960</c:v>
                </c:pt>
                <c:pt idx="162">
                  <c:v>6.1960</c:v>
                </c:pt>
                <c:pt idx="163">
                  <c:v>7.1960</c:v>
                </c:pt>
                <c:pt idx="164">
                  <c:v>8.1960</c:v>
                </c:pt>
                <c:pt idx="165">
                  <c:v>9.1960</c:v>
                </c:pt>
                <c:pt idx="166">
                  <c:v>10.1960</c:v>
                </c:pt>
                <c:pt idx="167">
                  <c:v>11.1960</c:v>
                </c:pt>
                <c:pt idx="168">
                  <c:v>12.1960</c:v>
                </c:pt>
                <c:pt idx="169">
                  <c:v>1.1961</c:v>
                </c:pt>
                <c:pt idx="170">
                  <c:v>2.1961</c:v>
                </c:pt>
                <c:pt idx="171">
                  <c:v>3.1961</c:v>
                </c:pt>
                <c:pt idx="172">
                  <c:v>4.1961</c:v>
                </c:pt>
                <c:pt idx="173">
                  <c:v>5.1961</c:v>
                </c:pt>
                <c:pt idx="174">
                  <c:v>6.1961</c:v>
                </c:pt>
                <c:pt idx="175">
                  <c:v>7.1961</c:v>
                </c:pt>
                <c:pt idx="176">
                  <c:v>8.1961</c:v>
                </c:pt>
                <c:pt idx="177">
                  <c:v>9.1961</c:v>
                </c:pt>
                <c:pt idx="178">
                  <c:v>10.1961</c:v>
                </c:pt>
                <c:pt idx="179">
                  <c:v>11.1961</c:v>
                </c:pt>
                <c:pt idx="180">
                  <c:v>12.1961</c:v>
                </c:pt>
                <c:pt idx="181">
                  <c:v>1.1962</c:v>
                </c:pt>
                <c:pt idx="182">
                  <c:v>2.1962</c:v>
                </c:pt>
                <c:pt idx="183">
                  <c:v>3.1962</c:v>
                </c:pt>
                <c:pt idx="184">
                  <c:v>4.1962</c:v>
                </c:pt>
                <c:pt idx="185">
                  <c:v>5.1962</c:v>
                </c:pt>
                <c:pt idx="186">
                  <c:v>6.1962</c:v>
                </c:pt>
                <c:pt idx="187">
                  <c:v>7.1962</c:v>
                </c:pt>
                <c:pt idx="188">
                  <c:v>8.1962</c:v>
                </c:pt>
                <c:pt idx="189">
                  <c:v>9.1962</c:v>
                </c:pt>
                <c:pt idx="190">
                  <c:v>10.1962</c:v>
                </c:pt>
                <c:pt idx="191">
                  <c:v>11.1962</c:v>
                </c:pt>
                <c:pt idx="192">
                  <c:v>12.1962</c:v>
                </c:pt>
                <c:pt idx="193">
                  <c:v>1.1963</c:v>
                </c:pt>
                <c:pt idx="194">
                  <c:v>2.1963</c:v>
                </c:pt>
                <c:pt idx="195">
                  <c:v>3.1963</c:v>
                </c:pt>
                <c:pt idx="196">
                  <c:v>4.1963</c:v>
                </c:pt>
                <c:pt idx="197">
                  <c:v>5.1963</c:v>
                </c:pt>
                <c:pt idx="198">
                  <c:v>6.1963</c:v>
                </c:pt>
                <c:pt idx="199">
                  <c:v>7.1963</c:v>
                </c:pt>
                <c:pt idx="200">
                  <c:v>8.1963</c:v>
                </c:pt>
                <c:pt idx="201">
                  <c:v>9.1963</c:v>
                </c:pt>
                <c:pt idx="202">
                  <c:v>10.1963</c:v>
                </c:pt>
                <c:pt idx="203">
                  <c:v>11.1963</c:v>
                </c:pt>
                <c:pt idx="204">
                  <c:v>12.1963</c:v>
                </c:pt>
                <c:pt idx="205">
                  <c:v>1.1964</c:v>
                </c:pt>
                <c:pt idx="206">
                  <c:v>2.1964</c:v>
                </c:pt>
                <c:pt idx="207">
                  <c:v>3.1964</c:v>
                </c:pt>
                <c:pt idx="208">
                  <c:v>4.1964</c:v>
                </c:pt>
                <c:pt idx="209">
                  <c:v>5.1964</c:v>
                </c:pt>
                <c:pt idx="210">
                  <c:v>6.1964</c:v>
                </c:pt>
                <c:pt idx="211">
                  <c:v>7.1964</c:v>
                </c:pt>
                <c:pt idx="212">
                  <c:v>8.1964</c:v>
                </c:pt>
                <c:pt idx="213">
                  <c:v>9.1964</c:v>
                </c:pt>
                <c:pt idx="214">
                  <c:v>10.1964</c:v>
                </c:pt>
                <c:pt idx="215">
                  <c:v>11.1964</c:v>
                </c:pt>
                <c:pt idx="216">
                  <c:v>12.1964</c:v>
                </c:pt>
                <c:pt idx="217">
                  <c:v>1.1965</c:v>
                </c:pt>
                <c:pt idx="218">
                  <c:v>2.1965</c:v>
                </c:pt>
                <c:pt idx="219">
                  <c:v>3.1965</c:v>
                </c:pt>
                <c:pt idx="220">
                  <c:v>4.1965</c:v>
                </c:pt>
                <c:pt idx="221">
                  <c:v>5.1965</c:v>
                </c:pt>
                <c:pt idx="222">
                  <c:v>6.1965</c:v>
                </c:pt>
                <c:pt idx="223">
                  <c:v>7.1965</c:v>
                </c:pt>
                <c:pt idx="224">
                  <c:v>8.1965</c:v>
                </c:pt>
                <c:pt idx="225">
                  <c:v>9.1965</c:v>
                </c:pt>
                <c:pt idx="226">
                  <c:v>10.1965</c:v>
                </c:pt>
                <c:pt idx="227">
                  <c:v>11.1965</c:v>
                </c:pt>
                <c:pt idx="228">
                  <c:v>12.1965</c:v>
                </c:pt>
                <c:pt idx="229">
                  <c:v>1.1966</c:v>
                </c:pt>
                <c:pt idx="230">
                  <c:v>2.1966</c:v>
                </c:pt>
                <c:pt idx="231">
                  <c:v>3.1966</c:v>
                </c:pt>
                <c:pt idx="232">
                  <c:v>4.1966</c:v>
                </c:pt>
                <c:pt idx="233">
                  <c:v>5.1966</c:v>
                </c:pt>
                <c:pt idx="234">
                  <c:v>6.1966</c:v>
                </c:pt>
                <c:pt idx="235">
                  <c:v>7.1966</c:v>
                </c:pt>
                <c:pt idx="236">
                  <c:v>8.1966</c:v>
                </c:pt>
                <c:pt idx="237">
                  <c:v>9.1966</c:v>
                </c:pt>
                <c:pt idx="238">
                  <c:v>10.1966</c:v>
                </c:pt>
                <c:pt idx="239">
                  <c:v>11.1966</c:v>
                </c:pt>
                <c:pt idx="240">
                  <c:v>12.1966</c:v>
                </c:pt>
                <c:pt idx="241">
                  <c:v>1.1967</c:v>
                </c:pt>
                <c:pt idx="242">
                  <c:v>2.1967</c:v>
                </c:pt>
                <c:pt idx="243">
                  <c:v>3.1967</c:v>
                </c:pt>
                <c:pt idx="244">
                  <c:v>4.1967</c:v>
                </c:pt>
                <c:pt idx="245">
                  <c:v>5.1967</c:v>
                </c:pt>
                <c:pt idx="246">
                  <c:v>6.1967</c:v>
                </c:pt>
                <c:pt idx="247">
                  <c:v>7.1967</c:v>
                </c:pt>
                <c:pt idx="248">
                  <c:v>8.1967</c:v>
                </c:pt>
                <c:pt idx="249">
                  <c:v>9.1967</c:v>
                </c:pt>
                <c:pt idx="250">
                  <c:v>10.1967</c:v>
                </c:pt>
                <c:pt idx="251">
                  <c:v>11.1967</c:v>
                </c:pt>
                <c:pt idx="252">
                  <c:v>12.1967</c:v>
                </c:pt>
                <c:pt idx="253">
                  <c:v>1.1968</c:v>
                </c:pt>
                <c:pt idx="254">
                  <c:v>2.1968</c:v>
                </c:pt>
                <c:pt idx="255">
                  <c:v>3.1968</c:v>
                </c:pt>
                <c:pt idx="256">
                  <c:v>4.1968</c:v>
                </c:pt>
                <c:pt idx="257">
                  <c:v>5.1968</c:v>
                </c:pt>
                <c:pt idx="258">
                  <c:v>6.1968</c:v>
                </c:pt>
                <c:pt idx="259">
                  <c:v>7.1968</c:v>
                </c:pt>
                <c:pt idx="260">
                  <c:v>8.1968</c:v>
                </c:pt>
                <c:pt idx="261">
                  <c:v>9.1968</c:v>
                </c:pt>
                <c:pt idx="262">
                  <c:v>10.1968</c:v>
                </c:pt>
                <c:pt idx="263">
                  <c:v>11.1968</c:v>
                </c:pt>
                <c:pt idx="264">
                  <c:v>12.1968</c:v>
                </c:pt>
                <c:pt idx="265">
                  <c:v>1.1969</c:v>
                </c:pt>
                <c:pt idx="266">
                  <c:v>2.1969</c:v>
                </c:pt>
                <c:pt idx="267">
                  <c:v>3.1969</c:v>
                </c:pt>
                <c:pt idx="268">
                  <c:v>4.1969</c:v>
                </c:pt>
                <c:pt idx="269">
                  <c:v>5.1969</c:v>
                </c:pt>
                <c:pt idx="270">
                  <c:v>6.1969</c:v>
                </c:pt>
                <c:pt idx="271">
                  <c:v>7.1969</c:v>
                </c:pt>
                <c:pt idx="272">
                  <c:v>8.1969</c:v>
                </c:pt>
                <c:pt idx="273">
                  <c:v>9.1969</c:v>
                </c:pt>
                <c:pt idx="274">
                  <c:v>10.1969</c:v>
                </c:pt>
                <c:pt idx="275">
                  <c:v>11.1969</c:v>
                </c:pt>
                <c:pt idx="276">
                  <c:v>12.1969</c:v>
                </c:pt>
                <c:pt idx="277">
                  <c:v>1.1970</c:v>
                </c:pt>
                <c:pt idx="278">
                  <c:v>2.1970</c:v>
                </c:pt>
                <c:pt idx="279">
                  <c:v>3.1970</c:v>
                </c:pt>
                <c:pt idx="280">
                  <c:v>4.1970</c:v>
                </c:pt>
                <c:pt idx="281">
                  <c:v>5.1970</c:v>
                </c:pt>
                <c:pt idx="282">
                  <c:v>6.1970</c:v>
                </c:pt>
                <c:pt idx="283">
                  <c:v>7.1970</c:v>
                </c:pt>
                <c:pt idx="284">
                  <c:v>8.1970</c:v>
                </c:pt>
                <c:pt idx="285">
                  <c:v>9.1970</c:v>
                </c:pt>
                <c:pt idx="286">
                  <c:v>10.1970</c:v>
                </c:pt>
                <c:pt idx="287">
                  <c:v>11.1970</c:v>
                </c:pt>
                <c:pt idx="288">
                  <c:v>12.1970</c:v>
                </c:pt>
                <c:pt idx="289">
                  <c:v>1.1971</c:v>
                </c:pt>
                <c:pt idx="290">
                  <c:v>2.1971</c:v>
                </c:pt>
                <c:pt idx="291">
                  <c:v>3.1971</c:v>
                </c:pt>
                <c:pt idx="292">
                  <c:v>4.1971</c:v>
                </c:pt>
                <c:pt idx="293">
                  <c:v>5.1971</c:v>
                </c:pt>
                <c:pt idx="294">
                  <c:v>6.1971</c:v>
                </c:pt>
                <c:pt idx="295">
                  <c:v>7.1971</c:v>
                </c:pt>
                <c:pt idx="296">
                  <c:v>8.1971</c:v>
                </c:pt>
                <c:pt idx="297">
                  <c:v>9.1971</c:v>
                </c:pt>
                <c:pt idx="298">
                  <c:v>10.1971</c:v>
                </c:pt>
                <c:pt idx="299">
                  <c:v>11.1971</c:v>
                </c:pt>
                <c:pt idx="300">
                  <c:v>12.1971</c:v>
                </c:pt>
                <c:pt idx="301">
                  <c:v>1.1972</c:v>
                </c:pt>
                <c:pt idx="302">
                  <c:v>2.1972</c:v>
                </c:pt>
                <c:pt idx="303">
                  <c:v>3.1972</c:v>
                </c:pt>
                <c:pt idx="304">
                  <c:v>4.1972</c:v>
                </c:pt>
                <c:pt idx="305">
                  <c:v>5.1972</c:v>
                </c:pt>
                <c:pt idx="306">
                  <c:v>6.1972</c:v>
                </c:pt>
                <c:pt idx="307">
                  <c:v>7.1972</c:v>
                </c:pt>
                <c:pt idx="308">
                  <c:v>8.1972</c:v>
                </c:pt>
                <c:pt idx="309">
                  <c:v>9.1972</c:v>
                </c:pt>
                <c:pt idx="310">
                  <c:v>10.1972</c:v>
                </c:pt>
                <c:pt idx="311">
                  <c:v>11.1972</c:v>
                </c:pt>
                <c:pt idx="312">
                  <c:v>12.1972</c:v>
                </c:pt>
                <c:pt idx="313">
                  <c:v>1.1973</c:v>
                </c:pt>
                <c:pt idx="314">
                  <c:v>2.1973</c:v>
                </c:pt>
                <c:pt idx="315">
                  <c:v>3.1973</c:v>
                </c:pt>
                <c:pt idx="316">
                  <c:v>4.1973</c:v>
                </c:pt>
                <c:pt idx="317">
                  <c:v>5.1973</c:v>
                </c:pt>
                <c:pt idx="318">
                  <c:v>6.1973</c:v>
                </c:pt>
                <c:pt idx="319">
                  <c:v>7.1973</c:v>
                </c:pt>
                <c:pt idx="320">
                  <c:v>8.1973</c:v>
                </c:pt>
                <c:pt idx="321">
                  <c:v>9.1973</c:v>
                </c:pt>
                <c:pt idx="322">
                  <c:v>10.1973</c:v>
                </c:pt>
                <c:pt idx="323">
                  <c:v>11.1973</c:v>
                </c:pt>
                <c:pt idx="324">
                  <c:v>12.1973</c:v>
                </c:pt>
                <c:pt idx="325">
                  <c:v>1.1974</c:v>
                </c:pt>
                <c:pt idx="326">
                  <c:v>2.1974</c:v>
                </c:pt>
                <c:pt idx="327">
                  <c:v>3.1974</c:v>
                </c:pt>
                <c:pt idx="328">
                  <c:v>4.1974</c:v>
                </c:pt>
                <c:pt idx="329">
                  <c:v>5.1974</c:v>
                </c:pt>
                <c:pt idx="330">
                  <c:v>6.1974</c:v>
                </c:pt>
                <c:pt idx="331">
                  <c:v>7.1974</c:v>
                </c:pt>
                <c:pt idx="332">
                  <c:v>8.1974</c:v>
                </c:pt>
                <c:pt idx="333">
                  <c:v>9.1974</c:v>
                </c:pt>
                <c:pt idx="334">
                  <c:v>10.1974</c:v>
                </c:pt>
                <c:pt idx="335">
                  <c:v>11.1974</c:v>
                </c:pt>
                <c:pt idx="336">
                  <c:v>12.1974</c:v>
                </c:pt>
                <c:pt idx="337">
                  <c:v>1.1975</c:v>
                </c:pt>
                <c:pt idx="338">
                  <c:v>2.1975</c:v>
                </c:pt>
                <c:pt idx="339">
                  <c:v>3.1975</c:v>
                </c:pt>
                <c:pt idx="340">
                  <c:v>4.1975</c:v>
                </c:pt>
                <c:pt idx="341">
                  <c:v>5.1975</c:v>
                </c:pt>
                <c:pt idx="342">
                  <c:v>6.1975</c:v>
                </c:pt>
                <c:pt idx="343">
                  <c:v>7.1975</c:v>
                </c:pt>
                <c:pt idx="344">
                  <c:v>8.1975</c:v>
                </c:pt>
                <c:pt idx="345">
                  <c:v>9.1975</c:v>
                </c:pt>
                <c:pt idx="346">
                  <c:v>10.1975</c:v>
                </c:pt>
                <c:pt idx="347">
                  <c:v>11.1975</c:v>
                </c:pt>
                <c:pt idx="348">
                  <c:v>12.1975</c:v>
                </c:pt>
                <c:pt idx="349">
                  <c:v>1.1976</c:v>
                </c:pt>
                <c:pt idx="350">
                  <c:v>2.1976</c:v>
                </c:pt>
                <c:pt idx="351">
                  <c:v>3.1976</c:v>
                </c:pt>
                <c:pt idx="352">
                  <c:v>4.1976</c:v>
                </c:pt>
                <c:pt idx="353">
                  <c:v>5.1976</c:v>
                </c:pt>
                <c:pt idx="354">
                  <c:v>6.1976</c:v>
                </c:pt>
                <c:pt idx="355">
                  <c:v>7.1976</c:v>
                </c:pt>
                <c:pt idx="356">
                  <c:v>8.1976</c:v>
                </c:pt>
                <c:pt idx="357">
                  <c:v>9.1976</c:v>
                </c:pt>
                <c:pt idx="358">
                  <c:v>10.1976</c:v>
                </c:pt>
                <c:pt idx="359">
                  <c:v>11.1976</c:v>
                </c:pt>
                <c:pt idx="360">
                  <c:v>12.1976</c:v>
                </c:pt>
                <c:pt idx="361">
                  <c:v>1.1977</c:v>
                </c:pt>
                <c:pt idx="362">
                  <c:v>2.1977</c:v>
                </c:pt>
                <c:pt idx="363">
                  <c:v>3.1977</c:v>
                </c:pt>
                <c:pt idx="364">
                  <c:v>4.1977</c:v>
                </c:pt>
                <c:pt idx="365">
                  <c:v>5.1977</c:v>
                </c:pt>
                <c:pt idx="366">
                  <c:v>6.1977</c:v>
                </c:pt>
                <c:pt idx="367">
                  <c:v>7.1977</c:v>
                </c:pt>
                <c:pt idx="368">
                  <c:v>8.1977</c:v>
                </c:pt>
                <c:pt idx="369">
                  <c:v>9.1977</c:v>
                </c:pt>
                <c:pt idx="370">
                  <c:v>10.1977</c:v>
                </c:pt>
                <c:pt idx="371">
                  <c:v>11.1977</c:v>
                </c:pt>
                <c:pt idx="372">
                  <c:v>12.1977</c:v>
                </c:pt>
                <c:pt idx="373">
                  <c:v>1.1978</c:v>
                </c:pt>
                <c:pt idx="374">
                  <c:v>2.1978</c:v>
                </c:pt>
                <c:pt idx="375">
                  <c:v>3.1978</c:v>
                </c:pt>
                <c:pt idx="376">
                  <c:v>4.1978</c:v>
                </c:pt>
                <c:pt idx="377">
                  <c:v>5.1978</c:v>
                </c:pt>
                <c:pt idx="378">
                  <c:v>6.1978</c:v>
                </c:pt>
                <c:pt idx="379">
                  <c:v>7.1978</c:v>
                </c:pt>
                <c:pt idx="380">
                  <c:v>8.1978</c:v>
                </c:pt>
                <c:pt idx="381">
                  <c:v>9.1978</c:v>
                </c:pt>
                <c:pt idx="382">
                  <c:v>10.1978</c:v>
                </c:pt>
                <c:pt idx="383">
                  <c:v>11.1978</c:v>
                </c:pt>
                <c:pt idx="384">
                  <c:v>12.1978</c:v>
                </c:pt>
                <c:pt idx="385">
                  <c:v>1.1979</c:v>
                </c:pt>
                <c:pt idx="386">
                  <c:v>2.1979</c:v>
                </c:pt>
                <c:pt idx="387">
                  <c:v>3.1979</c:v>
                </c:pt>
                <c:pt idx="388">
                  <c:v>4.1979</c:v>
                </c:pt>
                <c:pt idx="389">
                  <c:v>5.1979</c:v>
                </c:pt>
                <c:pt idx="390">
                  <c:v>6.1979</c:v>
                </c:pt>
                <c:pt idx="391">
                  <c:v>7.1979</c:v>
                </c:pt>
                <c:pt idx="392">
                  <c:v>8.1979</c:v>
                </c:pt>
                <c:pt idx="393">
                  <c:v>9.1979</c:v>
                </c:pt>
                <c:pt idx="394">
                  <c:v>10.1979</c:v>
                </c:pt>
                <c:pt idx="395">
                  <c:v>11.1979</c:v>
                </c:pt>
                <c:pt idx="396">
                  <c:v>12.1979</c:v>
                </c:pt>
                <c:pt idx="397">
                  <c:v>1.1980</c:v>
                </c:pt>
                <c:pt idx="398">
                  <c:v>2.1980</c:v>
                </c:pt>
                <c:pt idx="399">
                  <c:v>3.1980</c:v>
                </c:pt>
                <c:pt idx="400">
                  <c:v>4.1980</c:v>
                </c:pt>
                <c:pt idx="401">
                  <c:v>5.1980</c:v>
                </c:pt>
                <c:pt idx="402">
                  <c:v>6.1980</c:v>
                </c:pt>
                <c:pt idx="403">
                  <c:v>7.1980</c:v>
                </c:pt>
                <c:pt idx="404">
                  <c:v>8.1980</c:v>
                </c:pt>
                <c:pt idx="405">
                  <c:v>9.1980</c:v>
                </c:pt>
                <c:pt idx="406">
                  <c:v>10.1980</c:v>
                </c:pt>
                <c:pt idx="407">
                  <c:v>11.1980</c:v>
                </c:pt>
                <c:pt idx="408">
                  <c:v>12.1980</c:v>
                </c:pt>
                <c:pt idx="409">
                  <c:v>1.1981</c:v>
                </c:pt>
                <c:pt idx="410">
                  <c:v>2.1981</c:v>
                </c:pt>
                <c:pt idx="411">
                  <c:v>3.1981</c:v>
                </c:pt>
                <c:pt idx="412">
                  <c:v>4.1981</c:v>
                </c:pt>
                <c:pt idx="413">
                  <c:v>5.1981</c:v>
                </c:pt>
                <c:pt idx="414">
                  <c:v>6.1981</c:v>
                </c:pt>
                <c:pt idx="415">
                  <c:v>7.1981</c:v>
                </c:pt>
                <c:pt idx="416">
                  <c:v>8.1981</c:v>
                </c:pt>
                <c:pt idx="417">
                  <c:v>9.1981</c:v>
                </c:pt>
                <c:pt idx="418">
                  <c:v>10.1981</c:v>
                </c:pt>
                <c:pt idx="419">
                  <c:v>11.1981</c:v>
                </c:pt>
                <c:pt idx="420">
                  <c:v>12.1981</c:v>
                </c:pt>
                <c:pt idx="421">
                  <c:v>1.1982</c:v>
                </c:pt>
                <c:pt idx="422">
                  <c:v>2.1982</c:v>
                </c:pt>
                <c:pt idx="423">
                  <c:v>3.1982</c:v>
                </c:pt>
                <c:pt idx="424">
                  <c:v>4.1982</c:v>
                </c:pt>
                <c:pt idx="425">
                  <c:v>5.1982</c:v>
                </c:pt>
                <c:pt idx="426">
                  <c:v>6.1982</c:v>
                </c:pt>
                <c:pt idx="427">
                  <c:v>7.1982</c:v>
                </c:pt>
                <c:pt idx="428">
                  <c:v>8.1982</c:v>
                </c:pt>
                <c:pt idx="429">
                  <c:v>9.1982</c:v>
                </c:pt>
                <c:pt idx="430">
                  <c:v>10.1982</c:v>
                </c:pt>
                <c:pt idx="431">
                  <c:v>11.1982</c:v>
                </c:pt>
                <c:pt idx="432">
                  <c:v>12.1982</c:v>
                </c:pt>
                <c:pt idx="433">
                  <c:v>1.1983</c:v>
                </c:pt>
                <c:pt idx="434">
                  <c:v>2.1983</c:v>
                </c:pt>
                <c:pt idx="435">
                  <c:v>3.1983</c:v>
                </c:pt>
                <c:pt idx="436">
                  <c:v>4.1983</c:v>
                </c:pt>
                <c:pt idx="437">
                  <c:v>5.1983</c:v>
                </c:pt>
                <c:pt idx="438">
                  <c:v>6.1983</c:v>
                </c:pt>
                <c:pt idx="439">
                  <c:v>7.1983</c:v>
                </c:pt>
                <c:pt idx="440">
                  <c:v>8.1983</c:v>
                </c:pt>
                <c:pt idx="441">
                  <c:v>9.1983</c:v>
                </c:pt>
                <c:pt idx="442">
                  <c:v>10.1983</c:v>
                </c:pt>
                <c:pt idx="443">
                  <c:v>11.1983</c:v>
                </c:pt>
                <c:pt idx="444">
                  <c:v>12.1983</c:v>
                </c:pt>
                <c:pt idx="445">
                  <c:v>1.1984</c:v>
                </c:pt>
                <c:pt idx="446">
                  <c:v>2.1984</c:v>
                </c:pt>
                <c:pt idx="447">
                  <c:v>3.1984</c:v>
                </c:pt>
                <c:pt idx="448">
                  <c:v>4.1984</c:v>
                </c:pt>
                <c:pt idx="449">
                  <c:v>5.1984</c:v>
                </c:pt>
                <c:pt idx="450">
                  <c:v>6.1984</c:v>
                </c:pt>
                <c:pt idx="451">
                  <c:v>7.1984</c:v>
                </c:pt>
                <c:pt idx="452">
                  <c:v>8.1984</c:v>
                </c:pt>
                <c:pt idx="453">
                  <c:v>9.1984</c:v>
                </c:pt>
                <c:pt idx="454">
                  <c:v>10.1984</c:v>
                </c:pt>
                <c:pt idx="455">
                  <c:v>11.1984</c:v>
                </c:pt>
                <c:pt idx="456">
                  <c:v>12.1984</c:v>
                </c:pt>
                <c:pt idx="457">
                  <c:v>1.1985</c:v>
                </c:pt>
                <c:pt idx="458">
                  <c:v>2.1985</c:v>
                </c:pt>
                <c:pt idx="459">
                  <c:v>3.1985</c:v>
                </c:pt>
                <c:pt idx="460">
                  <c:v>4.1985</c:v>
                </c:pt>
                <c:pt idx="461">
                  <c:v>5.1985</c:v>
                </c:pt>
                <c:pt idx="462">
                  <c:v>6.1985</c:v>
                </c:pt>
                <c:pt idx="463">
                  <c:v>7.1985</c:v>
                </c:pt>
                <c:pt idx="464">
                  <c:v>8.1985</c:v>
                </c:pt>
                <c:pt idx="465">
                  <c:v>9.1985</c:v>
                </c:pt>
                <c:pt idx="466">
                  <c:v>10.1985</c:v>
                </c:pt>
                <c:pt idx="467">
                  <c:v>11.1985</c:v>
                </c:pt>
                <c:pt idx="468">
                  <c:v>12.1985</c:v>
                </c:pt>
                <c:pt idx="469">
                  <c:v>1.1986</c:v>
                </c:pt>
                <c:pt idx="470">
                  <c:v>2.1986</c:v>
                </c:pt>
                <c:pt idx="471">
                  <c:v>3.1986</c:v>
                </c:pt>
                <c:pt idx="472">
                  <c:v>4.1986</c:v>
                </c:pt>
                <c:pt idx="473">
                  <c:v>5.1986</c:v>
                </c:pt>
                <c:pt idx="474">
                  <c:v>6.1986</c:v>
                </c:pt>
                <c:pt idx="475">
                  <c:v>7.1986</c:v>
                </c:pt>
                <c:pt idx="476">
                  <c:v>8.1986</c:v>
                </c:pt>
                <c:pt idx="477">
                  <c:v>9.1986</c:v>
                </c:pt>
                <c:pt idx="478">
                  <c:v>10.1986</c:v>
                </c:pt>
                <c:pt idx="479">
                  <c:v>11.1986</c:v>
                </c:pt>
                <c:pt idx="480">
                  <c:v>12.1986</c:v>
                </c:pt>
                <c:pt idx="481">
                  <c:v>1.1987</c:v>
                </c:pt>
                <c:pt idx="482">
                  <c:v>2.1987</c:v>
                </c:pt>
              </c:strCache>
            </c:strRef>
          </c:cat>
          <c:val>
            <c:numRef>
              <c:f>'Exercise 25-7.c'!$B$7:$B$489</c:f>
              <c:numCache>
                <c:formatCode>0.00%</c:formatCode>
                <c:ptCount val="483"/>
                <c:pt idx="0">
                  <c:v>1.4020576426887334E-2</c:v>
                </c:pt>
                <c:pt idx="1">
                  <c:v>1.3820922286360489E-2</c:v>
                </c:pt>
                <c:pt idx="2">
                  <c:v>1.4018366286138955E-2</c:v>
                </c:pt>
                <c:pt idx="3">
                  <c:v>1.3527492746611828E-2</c:v>
                </c:pt>
                <c:pt idx="4">
                  <c:v>1.4124574391272751E-2</c:v>
                </c:pt>
                <c:pt idx="5">
                  <c:v>1.3932604163596856E-2</c:v>
                </c:pt>
                <c:pt idx="6">
                  <c:v>1.4226335805955325E-2</c:v>
                </c:pt>
                <c:pt idx="7">
                  <c:v>1.4239707645398994E-2</c:v>
                </c:pt>
                <c:pt idx="8">
                  <c:v>1.3457136455664962E-2</c:v>
                </c:pt>
                <c:pt idx="9">
                  <c:v>1.3952217054990161E-2</c:v>
                </c:pt>
                <c:pt idx="10">
                  <c:v>1.5346522543699091E-2</c:v>
                </c:pt>
                <c:pt idx="11">
                  <c:v>1.6233697844139257E-2</c:v>
                </c:pt>
                <c:pt idx="12">
                  <c:v>1.7700652322318308E-2</c:v>
                </c:pt>
                <c:pt idx="13">
                  <c:v>1.7698136943851844E-2</c:v>
                </c:pt>
                <c:pt idx="14">
                  <c:v>1.7504219869637783E-2</c:v>
                </c:pt>
                <c:pt idx="15">
                  <c:v>1.7310830297731464E-2</c:v>
                </c:pt>
                <c:pt idx="16">
                  <c:v>1.7112953421467878E-2</c:v>
                </c:pt>
                <c:pt idx="17">
                  <c:v>1.592541693338902E-2</c:v>
                </c:pt>
                <c:pt idx="18">
                  <c:v>1.6915330668247509E-2</c:v>
                </c:pt>
                <c:pt idx="19">
                  <c:v>1.7608291585724103E-2</c:v>
                </c:pt>
                <c:pt idx="20">
                  <c:v>1.8012964538746592E-2</c:v>
                </c:pt>
                <c:pt idx="21">
                  <c:v>1.812116983603685E-2</c:v>
                </c:pt>
                <c:pt idx="22">
                  <c:v>1.8516471344623912E-2</c:v>
                </c:pt>
                <c:pt idx="23">
                  <c:v>1.7920321084655366E-2</c:v>
                </c:pt>
                <c:pt idx="24">
                  <c:v>1.7322718233021304E-2</c:v>
                </c:pt>
                <c:pt idx="25">
                  <c:v>1.6727058294597884E-2</c:v>
                </c:pt>
                <c:pt idx="26">
                  <c:v>1.6827896163873916E-2</c:v>
                </c:pt>
                <c:pt idx="27">
                  <c:v>1.6333383191594893E-2</c:v>
                </c:pt>
                <c:pt idx="28">
                  <c:v>1.6332993177646943E-2</c:v>
                </c:pt>
                <c:pt idx="29">
                  <c:v>1.5938464555391964E-2</c:v>
                </c:pt>
                <c:pt idx="30">
                  <c:v>1.4542181632639132E-2</c:v>
                </c:pt>
                <c:pt idx="31">
                  <c:v>1.4237639673948619E-2</c:v>
                </c:pt>
                <c:pt idx="32">
                  <c:v>1.3948359748467377E-2</c:v>
                </c:pt>
                <c:pt idx="33">
                  <c:v>1.3944211724948015E-2</c:v>
                </c:pt>
                <c:pt idx="34">
                  <c:v>1.4143421749533501E-2</c:v>
                </c:pt>
                <c:pt idx="35">
                  <c:v>1.414654853494042E-2</c:v>
                </c:pt>
                <c:pt idx="36">
                  <c:v>1.3952791211402461E-2</c:v>
                </c:pt>
                <c:pt idx="37">
                  <c:v>1.464056150281523E-2</c:v>
                </c:pt>
                <c:pt idx="38">
                  <c:v>1.4738438517940988E-2</c:v>
                </c:pt>
                <c:pt idx="39">
                  <c:v>1.5037508584196675E-2</c:v>
                </c:pt>
                <c:pt idx="40">
                  <c:v>1.5538213618494711E-2</c:v>
                </c:pt>
                <c:pt idx="41">
                  <c:v>1.5436497794473892E-2</c:v>
                </c:pt>
                <c:pt idx="42">
                  <c:v>1.5937266012737428E-2</c:v>
                </c:pt>
                <c:pt idx="43">
                  <c:v>1.5536408291588269E-2</c:v>
                </c:pt>
                <c:pt idx="44">
                  <c:v>1.6139428896702095E-2</c:v>
                </c:pt>
                <c:pt idx="45">
                  <c:v>1.6943120588074675E-2</c:v>
                </c:pt>
                <c:pt idx="46">
                  <c:v>1.7944392983465104E-2</c:v>
                </c:pt>
                <c:pt idx="47">
                  <c:v>1.7933398382582535E-2</c:v>
                </c:pt>
                <c:pt idx="48">
                  <c:v>1.7739497555860136E-2</c:v>
                </c:pt>
                <c:pt idx="49">
                  <c:v>1.7654473701661233E-2</c:v>
                </c:pt>
                <c:pt idx="50">
                  <c:v>1.8037387183193792E-2</c:v>
                </c:pt>
                <c:pt idx="51">
                  <c:v>2.0746304518878867E-2</c:v>
                </c:pt>
                <c:pt idx="52">
                  <c:v>2.0639760004262167E-2</c:v>
                </c:pt>
                <c:pt idx="53">
                  <c:v>2.1520617791459602E-2</c:v>
                </c:pt>
                <c:pt idx="54">
                  <c:v>2.1027439398564444E-2</c:v>
                </c:pt>
                <c:pt idx="55">
                  <c:v>2.013402845793278E-2</c:v>
                </c:pt>
                <c:pt idx="56">
                  <c:v>1.9831910977949719E-2</c:v>
                </c:pt>
                <c:pt idx="57">
                  <c:v>2.1338126628886813E-2</c:v>
                </c:pt>
                <c:pt idx="58">
                  <c:v>2.1628259741033162E-2</c:v>
                </c:pt>
                <c:pt idx="59">
                  <c:v>2.152134880709828E-2</c:v>
                </c:pt>
                <c:pt idx="60">
                  <c:v>2.2334867455830729E-2</c:v>
                </c:pt>
                <c:pt idx="61">
                  <c:v>2.1324214395239398E-2</c:v>
                </c:pt>
                <c:pt idx="62">
                  <c:v>2.2707549180234585E-2</c:v>
                </c:pt>
                <c:pt idx="63">
                  <c:v>2.1722235257210568E-2</c:v>
                </c:pt>
                <c:pt idx="64">
                  <c:v>2.0935643529599476E-2</c:v>
                </c:pt>
                <c:pt idx="65">
                  <c:v>2.115094755215504E-2</c:v>
                </c:pt>
                <c:pt idx="66">
                  <c:v>2.2346687595515814E-2</c:v>
                </c:pt>
                <c:pt idx="67">
                  <c:v>2.3146976649389115E-2</c:v>
                </c:pt>
                <c:pt idx="68">
                  <c:v>2.4040232750872373E-2</c:v>
                </c:pt>
                <c:pt idx="69">
                  <c:v>2.4217771673380937E-2</c:v>
                </c:pt>
                <c:pt idx="70">
                  <c:v>2.3337386970570705E-2</c:v>
                </c:pt>
                <c:pt idx="71">
                  <c:v>2.3458080815866009E-2</c:v>
                </c:pt>
                <c:pt idx="72">
                  <c:v>2.3757550653416837E-2</c:v>
                </c:pt>
                <c:pt idx="73">
                  <c:v>2.3931184289169894E-2</c:v>
                </c:pt>
                <c:pt idx="74">
                  <c:v>2.4339878456460649E-2</c:v>
                </c:pt>
                <c:pt idx="75">
                  <c:v>2.4723449374257536E-2</c:v>
                </c:pt>
                <c:pt idx="76">
                  <c:v>2.7526362442528703E-2</c:v>
                </c:pt>
                <c:pt idx="77">
                  <c:v>3.0782745906050086E-2</c:v>
                </c:pt>
                <c:pt idx="78">
                  <c:v>2.7502735314990999E-2</c:v>
                </c:pt>
                <c:pt idx="79">
                  <c:v>2.7300268562953887E-2</c:v>
                </c:pt>
                <c:pt idx="80">
                  <c:v>2.8458775868148156E-2</c:v>
                </c:pt>
                <c:pt idx="81">
                  <c:v>2.4808345342271741E-2</c:v>
                </c:pt>
                <c:pt idx="82">
                  <c:v>2.4266235017208714E-2</c:v>
                </c:pt>
                <c:pt idx="83">
                  <c:v>2.3876222955903505E-2</c:v>
                </c:pt>
                <c:pt idx="84">
                  <c:v>2.2009123360400007E-2</c:v>
                </c:pt>
                <c:pt idx="85">
                  <c:v>2.0754286742985923E-2</c:v>
                </c:pt>
                <c:pt idx="86">
                  <c:v>1.9635305643049161E-2</c:v>
                </c:pt>
                <c:pt idx="87">
                  <c:v>1.9153539293711171E-2</c:v>
                </c:pt>
                <c:pt idx="88">
                  <c:v>1.7573971105565044E-2</c:v>
                </c:pt>
                <c:pt idx="89">
                  <c:v>2.0111496176324666E-2</c:v>
                </c:pt>
                <c:pt idx="90">
                  <c:v>1.8334114752104159E-2</c:v>
                </c:pt>
                <c:pt idx="91">
                  <c:v>1.87275575227045E-2</c:v>
                </c:pt>
                <c:pt idx="92">
                  <c:v>1.8939153553555233E-2</c:v>
                </c:pt>
                <c:pt idx="93">
                  <c:v>1.9661112883095591E-2</c:v>
                </c:pt>
                <c:pt idx="94">
                  <c:v>2.1050611049441462E-2</c:v>
                </c:pt>
                <c:pt idx="95">
                  <c:v>2.124032822719989E-2</c:v>
                </c:pt>
                <c:pt idx="96">
                  <c:v>2.1940622781826721E-2</c:v>
                </c:pt>
                <c:pt idx="97">
                  <c:v>2.2771557263575701E-2</c:v>
                </c:pt>
                <c:pt idx="98">
                  <c:v>2.4601617973996747E-2</c:v>
                </c:pt>
                <c:pt idx="99">
                  <c:v>2.4593733818283187E-2</c:v>
                </c:pt>
                <c:pt idx="100">
                  <c:v>2.5205922178014845E-2</c:v>
                </c:pt>
                <c:pt idx="101">
                  <c:v>2.5191250926901856E-2</c:v>
                </c:pt>
                <c:pt idx="102">
                  <c:v>2.6476751464823121E-2</c:v>
                </c:pt>
                <c:pt idx="103">
                  <c:v>2.8181253212513389E-2</c:v>
                </c:pt>
                <c:pt idx="104">
                  <c:v>2.8911712524102257E-2</c:v>
                </c:pt>
                <c:pt idx="105">
                  <c:v>2.7791512069702855E-2</c:v>
                </c:pt>
                <c:pt idx="106">
                  <c:v>2.6932836433386155E-2</c:v>
                </c:pt>
                <c:pt idx="107">
                  <c:v>2.8480588935468672E-2</c:v>
                </c:pt>
                <c:pt idx="108">
                  <c:v>2.8780977522631358E-2</c:v>
                </c:pt>
                <c:pt idx="109">
                  <c:v>2.7243140205625092E-2</c:v>
                </c:pt>
                <c:pt idx="110">
                  <c:v>2.7659316573745464E-2</c:v>
                </c:pt>
                <c:pt idx="111">
                  <c:v>3.056352274634835E-2</c:v>
                </c:pt>
                <c:pt idx="112">
                  <c:v>3.1328288339818926E-2</c:v>
                </c:pt>
                <c:pt idx="113">
                  <c:v>2.940197318001014E-2</c:v>
                </c:pt>
                <c:pt idx="114">
                  <c:v>2.9657739977431995E-2</c:v>
                </c:pt>
                <c:pt idx="115">
                  <c:v>3.2670983709783538E-2</c:v>
                </c:pt>
                <c:pt idx="116">
                  <c:v>3.537213753471076E-2</c:v>
                </c:pt>
                <c:pt idx="117">
                  <c:v>3.4228162532282613E-2</c:v>
                </c:pt>
                <c:pt idx="118">
                  <c:v>3.5071928896707572E-2</c:v>
                </c:pt>
                <c:pt idx="119">
                  <c:v>3.6343253235466853E-2</c:v>
                </c:pt>
                <c:pt idx="120">
                  <c:v>3.7117946847770603E-2</c:v>
                </c:pt>
                <c:pt idx="121">
                  <c:v>3.249831514053042E-2</c:v>
                </c:pt>
                <c:pt idx="122">
                  <c:v>3.3922157274738282E-2</c:v>
                </c:pt>
                <c:pt idx="123">
                  <c:v>3.420637354367112E-2</c:v>
                </c:pt>
                <c:pt idx="124">
                  <c:v>3.56806498788848E-2</c:v>
                </c:pt>
                <c:pt idx="125">
                  <c:v>3.6739928068880219E-2</c:v>
                </c:pt>
                <c:pt idx="126">
                  <c:v>3.8241316744103013E-2</c:v>
                </c:pt>
                <c:pt idx="127">
                  <c:v>3.914514054272053E-2</c:v>
                </c:pt>
                <c:pt idx="128">
                  <c:v>3.824758340728427E-2</c:v>
                </c:pt>
                <c:pt idx="129">
                  <c:v>4.0078257216443453E-2</c:v>
                </c:pt>
                <c:pt idx="130">
                  <c:v>3.9540192071208784E-2</c:v>
                </c:pt>
                <c:pt idx="131">
                  <c:v>3.4230581704497609E-2</c:v>
                </c:pt>
                <c:pt idx="132">
                  <c:v>2.8465959239250879E-2</c:v>
                </c:pt>
                <c:pt idx="133">
                  <c:v>2.8763325426642828E-2</c:v>
                </c:pt>
                <c:pt idx="134">
                  <c:v>2.633033051113615E-2</c:v>
                </c:pt>
                <c:pt idx="135">
                  <c:v>2.5640996763499513E-2</c:v>
                </c:pt>
                <c:pt idx="136">
                  <c:v>2.3917397395602624E-2</c:v>
                </c:pt>
                <c:pt idx="137">
                  <c:v>2.3222638074246463E-2</c:v>
                </c:pt>
                <c:pt idx="138">
                  <c:v>2.529340908210382E-2</c:v>
                </c:pt>
                <c:pt idx="139">
                  <c:v>2.8794790440474158E-2</c:v>
                </c:pt>
                <c:pt idx="140">
                  <c:v>3.6847090182830507E-2</c:v>
                </c:pt>
                <c:pt idx="141">
                  <c:v>3.7392932254711284E-2</c:v>
                </c:pt>
                <c:pt idx="142">
                  <c:v>3.6670137108582017E-2</c:v>
                </c:pt>
                <c:pt idx="143">
                  <c:v>3.6234561961692738E-2</c:v>
                </c:pt>
                <c:pt idx="144">
                  <c:v>3.8035614951647916E-2</c:v>
                </c:pt>
                <c:pt idx="145">
                  <c:v>3.9876602629008683E-2</c:v>
                </c:pt>
                <c:pt idx="146">
                  <c:v>3.781803491189166E-2</c:v>
                </c:pt>
                <c:pt idx="147">
                  <c:v>3.9727170729033597E-2</c:v>
                </c:pt>
                <c:pt idx="148">
                  <c:v>4.1651269347624004E-2</c:v>
                </c:pt>
                <c:pt idx="149">
                  <c:v>4.1994737939314845E-2</c:v>
                </c:pt>
                <c:pt idx="150">
                  <c:v>4.3988891946913945E-2</c:v>
                </c:pt>
                <c:pt idx="151">
                  <c:v>4.567592356062769E-2</c:v>
                </c:pt>
                <c:pt idx="152">
                  <c:v>4.6592676868165789E-2</c:v>
                </c:pt>
                <c:pt idx="153">
                  <c:v>4.6932998667528654E-2</c:v>
                </c:pt>
                <c:pt idx="154">
                  <c:v>4.6730048482606625E-2</c:v>
                </c:pt>
                <c:pt idx="155">
                  <c:v>4.8293219514883606E-2</c:v>
                </c:pt>
                <c:pt idx="156">
                  <c:v>4.8174215841713421E-2</c:v>
                </c:pt>
                <c:pt idx="157">
                  <c:v>4.7563918976074031E-2</c:v>
                </c:pt>
                <c:pt idx="158">
                  <c:v>4.5956018173146193E-2</c:v>
                </c:pt>
                <c:pt idx="159">
                  <c:v>4.0188111614214449E-2</c:v>
                </c:pt>
                <c:pt idx="160">
                  <c:v>4.4782740779039168E-2</c:v>
                </c:pt>
                <c:pt idx="161">
                  <c:v>4.3021717619912636E-2</c:v>
                </c:pt>
                <c:pt idx="162">
                  <c:v>3.9748742729013825E-2</c:v>
                </c:pt>
                <c:pt idx="163">
                  <c:v>3.4554168456747657E-2</c:v>
                </c:pt>
                <c:pt idx="164">
                  <c:v>3.5411568783301373E-2</c:v>
                </c:pt>
                <c:pt idx="165">
                  <c:v>3.5674188723922411E-2</c:v>
                </c:pt>
                <c:pt idx="166">
                  <c:v>3.636643601157364E-2</c:v>
                </c:pt>
                <c:pt idx="167">
                  <c:v>3.7868031684587099E-2</c:v>
                </c:pt>
                <c:pt idx="168">
                  <c:v>3.4160770596964894E-2</c:v>
                </c:pt>
                <c:pt idx="169">
                  <c:v>3.6279841292372141E-2</c:v>
                </c:pt>
                <c:pt idx="170">
                  <c:v>3.5153896920359938E-2</c:v>
                </c:pt>
                <c:pt idx="171">
                  <c:v>3.5377587318940952E-2</c:v>
                </c:pt>
                <c:pt idx="172">
                  <c:v>3.4510594482926038E-2</c:v>
                </c:pt>
                <c:pt idx="173">
                  <c:v>3.5724521509346574E-2</c:v>
                </c:pt>
                <c:pt idx="174">
                  <c:v>3.7094236446093526E-2</c:v>
                </c:pt>
                <c:pt idx="175">
                  <c:v>3.842537287926704E-2</c:v>
                </c:pt>
                <c:pt idx="176">
                  <c:v>3.8470115975773544E-2</c:v>
                </c:pt>
                <c:pt idx="177">
                  <c:v>3.7212257505367982E-2</c:v>
                </c:pt>
                <c:pt idx="178">
                  <c:v>3.6891516345517586E-2</c:v>
                </c:pt>
                <c:pt idx="179">
                  <c:v>3.7774957583416209E-2</c:v>
                </c:pt>
                <c:pt idx="180">
                  <c:v>3.8193945172035573E-2</c:v>
                </c:pt>
                <c:pt idx="181">
                  <c:v>3.9289885887832963E-2</c:v>
                </c:pt>
                <c:pt idx="182">
                  <c:v>3.7284514896267627E-2</c:v>
                </c:pt>
                <c:pt idx="183">
                  <c:v>3.5991162371902835E-2</c:v>
                </c:pt>
                <c:pt idx="184">
                  <c:v>3.6223135101133203E-2</c:v>
                </c:pt>
                <c:pt idx="185">
                  <c:v>3.6355008819694341E-2</c:v>
                </c:pt>
                <c:pt idx="186">
                  <c:v>3.7473868906235989E-2</c:v>
                </c:pt>
                <c:pt idx="187">
                  <c:v>3.8394792016799038E-2</c:v>
                </c:pt>
                <c:pt idx="188">
                  <c:v>3.6568064624062792E-2</c:v>
                </c:pt>
                <c:pt idx="189">
                  <c:v>3.6538539617633752E-2</c:v>
                </c:pt>
                <c:pt idx="190">
                  <c:v>3.615897343662039E-2</c:v>
                </c:pt>
                <c:pt idx="191">
                  <c:v>3.570589646518986E-2</c:v>
                </c:pt>
                <c:pt idx="192">
                  <c:v>3.5157860766789333E-2</c:v>
                </c:pt>
                <c:pt idx="193">
                  <c:v>3.608425079260711E-2</c:v>
                </c:pt>
                <c:pt idx="194">
                  <c:v>3.6660086519293283E-2</c:v>
                </c:pt>
                <c:pt idx="195">
                  <c:v>3.6757415324629734E-2</c:v>
                </c:pt>
                <c:pt idx="196">
                  <c:v>3.6903961761966683E-2</c:v>
                </c:pt>
                <c:pt idx="197">
                  <c:v>3.7396788028015548E-2</c:v>
                </c:pt>
                <c:pt idx="198">
                  <c:v>3.7877777326784712E-2</c:v>
                </c:pt>
                <c:pt idx="199">
                  <c:v>3.8659311975117745E-2</c:v>
                </c:pt>
                <c:pt idx="200">
                  <c:v>3.9055025195801792E-2</c:v>
                </c:pt>
                <c:pt idx="201">
                  <c:v>3.9259298344392915E-2</c:v>
                </c:pt>
                <c:pt idx="202">
                  <c:v>3.997237135041485E-2</c:v>
                </c:pt>
                <c:pt idx="203">
                  <c:v>3.9702521250560979E-2</c:v>
                </c:pt>
                <c:pt idx="204">
                  <c:v>4.0616568824703624E-2</c:v>
                </c:pt>
                <c:pt idx="205">
                  <c:v>4.0409199559278054E-2</c:v>
                </c:pt>
                <c:pt idx="206">
                  <c:v>4.1029690812388081E-2</c:v>
                </c:pt>
                <c:pt idx="207">
                  <c:v>4.1932170429087784E-2</c:v>
                </c:pt>
                <c:pt idx="208">
                  <c:v>4.159680295999222E-2</c:v>
                </c:pt>
                <c:pt idx="209">
                  <c:v>4.0621383578064767E-2</c:v>
                </c:pt>
                <c:pt idx="210">
                  <c:v>4.0485869901203515E-2</c:v>
                </c:pt>
                <c:pt idx="211">
                  <c:v>4.0646370163170305E-2</c:v>
                </c:pt>
                <c:pt idx="212">
                  <c:v>4.0683034487444335E-2</c:v>
                </c:pt>
                <c:pt idx="213">
                  <c:v>4.051572896333893E-2</c:v>
                </c:pt>
                <c:pt idx="214">
                  <c:v>4.0529104184256405E-2</c:v>
                </c:pt>
                <c:pt idx="215">
                  <c:v>4.1488855648334329E-2</c:v>
                </c:pt>
                <c:pt idx="216">
                  <c:v>4.1137231188451577E-2</c:v>
                </c:pt>
                <c:pt idx="217">
                  <c:v>4.0943423735077415E-2</c:v>
                </c:pt>
                <c:pt idx="218">
                  <c:v>4.1273251469335866E-2</c:v>
                </c:pt>
                <c:pt idx="219">
                  <c:v>4.1366117961430034E-2</c:v>
                </c:pt>
                <c:pt idx="220">
                  <c:v>4.1366778630344991E-2</c:v>
                </c:pt>
                <c:pt idx="221">
                  <c:v>4.1358968294277335E-2</c:v>
                </c:pt>
                <c:pt idx="222">
                  <c:v>4.1024963208196152E-2</c:v>
                </c:pt>
                <c:pt idx="223">
                  <c:v>4.1646408947400279E-2</c:v>
                </c:pt>
                <c:pt idx="224">
                  <c:v>4.2247754250335764E-2</c:v>
                </c:pt>
                <c:pt idx="225">
                  <c:v>4.358170910948872E-2</c:v>
                </c:pt>
                <c:pt idx="226">
                  <c:v>4.4367597660775221E-2</c:v>
                </c:pt>
                <c:pt idx="227">
                  <c:v>4.5569099938325655E-2</c:v>
                </c:pt>
                <c:pt idx="228">
                  <c:v>4.9782789358975586E-2</c:v>
                </c:pt>
                <c:pt idx="229">
                  <c:v>5.0236012570100734E-2</c:v>
                </c:pt>
                <c:pt idx="230">
                  <c:v>5.2729896067783381E-2</c:v>
                </c:pt>
                <c:pt idx="231">
                  <c:v>4.9637836213070691E-2</c:v>
                </c:pt>
                <c:pt idx="232">
                  <c:v>5.020235744220343E-2</c:v>
                </c:pt>
                <c:pt idx="233">
                  <c:v>5.1192610792727543E-2</c:v>
                </c:pt>
                <c:pt idx="234">
                  <c:v>5.2652136824102656E-2</c:v>
                </c:pt>
                <c:pt idx="235">
                  <c:v>5.4572180263252022E-2</c:v>
                </c:pt>
                <c:pt idx="236">
                  <c:v>6.0307337900993505E-2</c:v>
                </c:pt>
                <c:pt idx="237">
                  <c:v>5.4470375930486953E-2</c:v>
                </c:pt>
                <c:pt idx="238">
                  <c:v>5.3964578424475468E-2</c:v>
                </c:pt>
                <c:pt idx="239">
                  <c:v>5.3849051553840864E-2</c:v>
                </c:pt>
                <c:pt idx="240">
                  <c:v>4.8797259848749427E-2</c:v>
                </c:pt>
                <c:pt idx="241">
                  <c:v>4.6898341907141552E-2</c:v>
                </c:pt>
                <c:pt idx="242">
                  <c:v>4.8021934345790399E-2</c:v>
                </c:pt>
                <c:pt idx="243">
                  <c:v>4.4089377027833394E-2</c:v>
                </c:pt>
                <c:pt idx="244">
                  <c:v>4.7010693450381218E-2</c:v>
                </c:pt>
                <c:pt idx="245">
                  <c:v>4.6950369287727993E-2</c:v>
                </c:pt>
                <c:pt idx="246">
                  <c:v>5.4030739854863646E-2</c:v>
                </c:pt>
                <c:pt idx="247">
                  <c:v>5.1913922419663132E-2</c:v>
                </c:pt>
                <c:pt idx="248">
                  <c:v>5.4340146924572466E-2</c:v>
                </c:pt>
                <c:pt idx="249">
                  <c:v>5.5002825047897441E-2</c:v>
                </c:pt>
                <c:pt idx="250">
                  <c:v>5.6730303141812259E-2</c:v>
                </c:pt>
                <c:pt idx="251">
                  <c:v>5.7702899687873822E-2</c:v>
                </c:pt>
                <c:pt idx="252">
                  <c:v>5.7987580407578898E-2</c:v>
                </c:pt>
                <c:pt idx="253">
                  <c:v>5.6700613333630703E-2</c:v>
                </c:pt>
                <c:pt idx="254">
                  <c:v>5.6977129615869815E-2</c:v>
                </c:pt>
                <c:pt idx="255">
                  <c:v>5.897524310024109E-2</c:v>
                </c:pt>
                <c:pt idx="256">
                  <c:v>6.0309134005099366E-2</c:v>
                </c:pt>
                <c:pt idx="257">
                  <c:v>5.9509183085338181E-2</c:v>
                </c:pt>
                <c:pt idx="258">
                  <c:v>5.825986945763173E-2</c:v>
                </c:pt>
                <c:pt idx="259">
                  <c:v>5.5181542306176036E-2</c:v>
                </c:pt>
                <c:pt idx="260">
                  <c:v>5.5010600794874125E-2</c:v>
                </c:pt>
                <c:pt idx="261">
                  <c:v>5.5235947612490996E-2</c:v>
                </c:pt>
                <c:pt idx="262">
                  <c:v>5.6480563236385818E-2</c:v>
                </c:pt>
                <c:pt idx="263">
                  <c:v>5.7351512779389387E-2</c:v>
                </c:pt>
                <c:pt idx="264">
                  <c:v>6.4432857229463208E-2</c:v>
                </c:pt>
                <c:pt idx="265">
                  <c:v>6.2510310363218066E-2</c:v>
                </c:pt>
                <c:pt idx="266">
                  <c:v>6.4681832107377421E-2</c:v>
                </c:pt>
                <c:pt idx="267">
                  <c:v>6.2883628713233428E-2</c:v>
                </c:pt>
                <c:pt idx="268">
                  <c:v>6.3895355720615402E-2</c:v>
                </c:pt>
                <c:pt idx="269">
                  <c:v>6.6441773544534913E-2</c:v>
                </c:pt>
                <c:pt idx="270">
                  <c:v>7.0183636547827347E-2</c:v>
                </c:pt>
                <c:pt idx="271">
                  <c:v>6.8986663617222208E-2</c:v>
                </c:pt>
                <c:pt idx="272">
                  <c:v>6.9904083663469174E-2</c:v>
                </c:pt>
                <c:pt idx="273">
                  <c:v>7.6788722087872199E-2</c:v>
                </c:pt>
                <c:pt idx="274">
                  <c:v>7.0683224570624981E-2</c:v>
                </c:pt>
                <c:pt idx="275">
                  <c:v>7.3049655434355459E-2</c:v>
                </c:pt>
                <c:pt idx="276">
                  <c:v>7.8178082512575214E-2</c:v>
                </c:pt>
                <c:pt idx="277">
                  <c:v>7.9256286078391053E-2</c:v>
                </c:pt>
                <c:pt idx="278">
                  <c:v>7.1286005623618143E-2</c:v>
                </c:pt>
                <c:pt idx="279">
                  <c:v>7.0903079025278801E-2</c:v>
                </c:pt>
                <c:pt idx="280">
                  <c:v>7.8189510312217783E-2</c:v>
                </c:pt>
                <c:pt idx="281">
                  <c:v>7.6004412436887436E-2</c:v>
                </c:pt>
                <c:pt idx="282">
                  <c:v>7.61910159574017E-2</c:v>
                </c:pt>
                <c:pt idx="283">
                  <c:v>7.4626026451190722E-2</c:v>
                </c:pt>
                <c:pt idx="284">
                  <c:v>7.3320193147514784E-2</c:v>
                </c:pt>
                <c:pt idx="285">
                  <c:v>7.0458117322983391E-2</c:v>
                </c:pt>
                <c:pt idx="286">
                  <c:v>6.932706984103966E-2</c:v>
                </c:pt>
                <c:pt idx="287">
                  <c:v>6.0270905061012819E-2</c:v>
                </c:pt>
                <c:pt idx="288">
                  <c:v>5.9610163852712415E-2</c:v>
                </c:pt>
                <c:pt idx="289">
                  <c:v>5.791454981010221E-2</c:v>
                </c:pt>
                <c:pt idx="290">
                  <c:v>5.4087927028726016E-2</c:v>
                </c:pt>
                <c:pt idx="291">
                  <c:v>5.0857590109177113E-2</c:v>
                </c:pt>
                <c:pt idx="292">
                  <c:v>5.9906685607778946E-2</c:v>
                </c:pt>
                <c:pt idx="293">
                  <c:v>6.0715128528188098E-2</c:v>
                </c:pt>
                <c:pt idx="294">
                  <c:v>6.7727085316070926E-2</c:v>
                </c:pt>
                <c:pt idx="295">
                  <c:v>6.8783656879713842E-2</c:v>
                </c:pt>
                <c:pt idx="296">
                  <c:v>5.9004193993354964E-2</c:v>
                </c:pt>
                <c:pt idx="297">
                  <c:v>5.9192344437186191E-2</c:v>
                </c:pt>
                <c:pt idx="298">
                  <c:v>5.7002139332012598E-2</c:v>
                </c:pt>
                <c:pt idx="299">
                  <c:v>5.779878531021268E-2</c:v>
                </c:pt>
                <c:pt idx="300">
                  <c:v>5.4400334156437836E-2</c:v>
                </c:pt>
                <c:pt idx="301">
                  <c:v>5.6961257762744487E-2</c:v>
                </c:pt>
                <c:pt idx="302">
                  <c:v>5.6213182720271516E-2</c:v>
                </c:pt>
                <c:pt idx="303">
                  <c:v>6.0010409077068574E-2</c:v>
                </c:pt>
                <c:pt idx="304">
                  <c:v>5.7839858958335669E-2</c:v>
                </c:pt>
                <c:pt idx="305">
                  <c:v>5.6795890329373939E-2</c:v>
                </c:pt>
                <c:pt idx="306">
                  <c:v>5.9060857776689901E-2</c:v>
                </c:pt>
                <c:pt idx="307">
                  <c:v>5.9286195784593911E-2</c:v>
                </c:pt>
                <c:pt idx="308">
                  <c:v>6.0958432558703701E-2</c:v>
                </c:pt>
                <c:pt idx="309">
                  <c:v>6.0709239491588941E-2</c:v>
                </c:pt>
                <c:pt idx="310">
                  <c:v>6.078223471338659E-2</c:v>
                </c:pt>
                <c:pt idx="311">
                  <c:v>5.968104629298146E-2</c:v>
                </c:pt>
                <c:pt idx="312">
                  <c:v>6.1028391558068655E-2</c:v>
                </c:pt>
                <c:pt idx="313">
                  <c:v>6.3345663316661069E-2</c:v>
                </c:pt>
                <c:pt idx="314">
                  <c:v>6.6189063820261781E-2</c:v>
                </c:pt>
                <c:pt idx="315">
                  <c:v>6.6617175730726674E-2</c:v>
                </c:pt>
                <c:pt idx="316">
                  <c:v>6.6129668375910805E-2</c:v>
                </c:pt>
                <c:pt idx="317">
                  <c:v>6.6670653838122096E-2</c:v>
                </c:pt>
                <c:pt idx="318">
                  <c:v>6.7850076514650554E-2</c:v>
                </c:pt>
                <c:pt idx="319">
                  <c:v>7.6428190265959733E-2</c:v>
                </c:pt>
                <c:pt idx="320">
                  <c:v>7.1122675202524202E-2</c:v>
                </c:pt>
                <c:pt idx="321">
                  <c:v>6.6441973255482081E-2</c:v>
                </c:pt>
                <c:pt idx="322">
                  <c:v>6.8482714241921358E-2</c:v>
                </c:pt>
                <c:pt idx="323">
                  <c:v>6.6855890029202295E-2</c:v>
                </c:pt>
                <c:pt idx="324">
                  <c:v>6.643584255372352E-2</c:v>
                </c:pt>
                <c:pt idx="325">
                  <c:v>6.7712802763496269E-2</c:v>
                </c:pt>
                <c:pt idx="326">
                  <c:v>6.8467081542732011E-2</c:v>
                </c:pt>
                <c:pt idx="327">
                  <c:v>7.5790268217672721E-2</c:v>
                </c:pt>
                <c:pt idx="328">
                  <c:v>8.0626784560610482E-2</c:v>
                </c:pt>
                <c:pt idx="329">
                  <c:v>7.9154126707277964E-2</c:v>
                </c:pt>
                <c:pt idx="330">
                  <c:v>8.1357312444383115E-2</c:v>
                </c:pt>
                <c:pt idx="331">
                  <c:v>8.3051312156553272E-2</c:v>
                </c:pt>
                <c:pt idx="332">
                  <c:v>8.4434724530409289E-2</c:v>
                </c:pt>
                <c:pt idx="333">
                  <c:v>7.9167585530549034E-2</c:v>
                </c:pt>
                <c:pt idx="334">
                  <c:v>7.8033426149083984E-2</c:v>
                </c:pt>
                <c:pt idx="335">
                  <c:v>7.5059020669157595E-2</c:v>
                </c:pt>
                <c:pt idx="336">
                  <c:v>7.1740562493075699E-2</c:v>
                </c:pt>
                <c:pt idx="337">
                  <c:v>7.1918589407135677E-2</c:v>
                </c:pt>
                <c:pt idx="338">
                  <c:v>6.9915655865219001E-2</c:v>
                </c:pt>
                <c:pt idx="339">
                  <c:v>7.3341289613397101E-2</c:v>
                </c:pt>
                <c:pt idx="340">
                  <c:v>7.9266309436195559E-2</c:v>
                </c:pt>
                <c:pt idx="341">
                  <c:v>7.4912805110628172E-2</c:v>
                </c:pt>
                <c:pt idx="342">
                  <c:v>7.6578601712586555E-2</c:v>
                </c:pt>
                <c:pt idx="343">
                  <c:v>7.9127745521696338E-2</c:v>
                </c:pt>
                <c:pt idx="344">
                  <c:v>7.9932790525209838E-2</c:v>
                </c:pt>
                <c:pt idx="345">
                  <c:v>8.2547551964419916E-2</c:v>
                </c:pt>
                <c:pt idx="346">
                  <c:v>7.4916290566903326E-2</c:v>
                </c:pt>
                <c:pt idx="347">
                  <c:v>7.7578289447131438E-2</c:v>
                </c:pt>
                <c:pt idx="348">
                  <c:v>7.3538369289154651E-2</c:v>
                </c:pt>
                <c:pt idx="349">
                  <c:v>7.3543507582307585E-2</c:v>
                </c:pt>
                <c:pt idx="350">
                  <c:v>7.3679762811253949E-2</c:v>
                </c:pt>
                <c:pt idx="351">
                  <c:v>7.2680693189913992E-2</c:v>
                </c:pt>
                <c:pt idx="352">
                  <c:v>7.2151996198404331E-2</c:v>
                </c:pt>
                <c:pt idx="353">
                  <c:v>7.6364671949072135E-2</c:v>
                </c:pt>
                <c:pt idx="354">
                  <c:v>7.4349914233755324E-2</c:v>
                </c:pt>
                <c:pt idx="355">
                  <c:v>7.3217795844004577E-2</c:v>
                </c:pt>
                <c:pt idx="356">
                  <c:v>7.0435549411064405E-2</c:v>
                </c:pt>
                <c:pt idx="357">
                  <c:v>6.9416164258684951E-2</c:v>
                </c:pt>
                <c:pt idx="358">
                  <c:v>6.6646664764576882E-2</c:v>
                </c:pt>
                <c:pt idx="359">
                  <c:v>5.9595638151876532E-2</c:v>
                </c:pt>
                <c:pt idx="360">
                  <c:v>6.050511524735671E-2</c:v>
                </c:pt>
                <c:pt idx="361">
                  <c:v>6.843105679043919E-2</c:v>
                </c:pt>
                <c:pt idx="362">
                  <c:v>6.9031677296436958E-2</c:v>
                </c:pt>
                <c:pt idx="363">
                  <c:v>6.8310101316774646E-2</c:v>
                </c:pt>
                <c:pt idx="364">
                  <c:v>6.8451038949593812E-2</c:v>
                </c:pt>
                <c:pt idx="365">
                  <c:v>6.7769473392004453E-2</c:v>
                </c:pt>
                <c:pt idx="366">
                  <c:v>6.6704758608800069E-2</c:v>
                </c:pt>
                <c:pt idx="367">
                  <c:v>6.9391210111682131E-2</c:v>
                </c:pt>
                <c:pt idx="368">
                  <c:v>6.8547165902317214E-2</c:v>
                </c:pt>
                <c:pt idx="369">
                  <c:v>7.0312324943924157E-2</c:v>
                </c:pt>
                <c:pt idx="370">
                  <c:v>7.3995901654735324E-2</c:v>
                </c:pt>
                <c:pt idx="371">
                  <c:v>7.2614719387660093E-2</c:v>
                </c:pt>
                <c:pt idx="372">
                  <c:v>7.4187960384043627E-2</c:v>
                </c:pt>
                <c:pt idx="373">
                  <c:v>7.5798255108582235E-2</c:v>
                </c:pt>
                <c:pt idx="374">
                  <c:v>7.7286831013285012E-2</c:v>
                </c:pt>
                <c:pt idx="375">
                  <c:v>7.8219395328818594E-2</c:v>
                </c:pt>
                <c:pt idx="376">
                  <c:v>7.9111988987736054E-2</c:v>
                </c:pt>
                <c:pt idx="377">
                  <c:v>8.110244096292446E-2</c:v>
                </c:pt>
                <c:pt idx="378">
                  <c:v>8.3093042210935483E-2</c:v>
                </c:pt>
                <c:pt idx="379">
                  <c:v>8.286843132665371E-2</c:v>
                </c:pt>
                <c:pt idx="380">
                  <c:v>8.2056316459410528E-2</c:v>
                </c:pt>
                <c:pt idx="381">
                  <c:v>8.3011861142069113E-2</c:v>
                </c:pt>
                <c:pt idx="382">
                  <c:v>8.8780803513772641E-2</c:v>
                </c:pt>
                <c:pt idx="383">
                  <c:v>8.6860074612971697E-2</c:v>
                </c:pt>
                <c:pt idx="384">
                  <c:v>9.0841083821397647E-2</c:v>
                </c:pt>
                <c:pt idx="385">
                  <c:v>8.7241859072961128E-2</c:v>
                </c:pt>
                <c:pt idx="386">
                  <c:v>8.9579079389833505E-2</c:v>
                </c:pt>
                <c:pt idx="387">
                  <c:v>8.9416028348127757E-2</c:v>
                </c:pt>
                <c:pt idx="388">
                  <c:v>9.1239916960102307E-2</c:v>
                </c:pt>
                <c:pt idx="389">
                  <c:v>8.801541717182329E-2</c:v>
                </c:pt>
                <c:pt idx="390">
                  <c:v>8.5215051922403473E-2</c:v>
                </c:pt>
                <c:pt idx="391">
                  <c:v>8.7674675574333935E-2</c:v>
                </c:pt>
                <c:pt idx="392">
                  <c:v>9.1509990778586237E-2</c:v>
                </c:pt>
                <c:pt idx="393">
                  <c:v>9.2820547724710864E-2</c:v>
                </c:pt>
                <c:pt idx="394">
                  <c:v>0.10884101246913387</c:v>
                </c:pt>
                <c:pt idx="395">
                  <c:v>0.1026786125068867</c:v>
                </c:pt>
                <c:pt idx="396">
                  <c:v>0.1011849370114377</c:v>
                </c:pt>
                <c:pt idx="397">
                  <c:v>0.10780392394919347</c:v>
                </c:pt>
                <c:pt idx="398">
                  <c:v>0.13118359281254</c:v>
                </c:pt>
                <c:pt idx="399">
                  <c:v>0.12628150774844424</c:v>
                </c:pt>
                <c:pt idx="400">
                  <c:v>0.10448215449843354</c:v>
                </c:pt>
                <c:pt idx="401">
                  <c:v>9.6096837444265434E-2</c:v>
                </c:pt>
                <c:pt idx="402">
                  <c:v>9.3553003351728378E-2</c:v>
                </c:pt>
                <c:pt idx="403">
                  <c:v>0.10041051779833285</c:v>
                </c:pt>
                <c:pt idx="404">
                  <c:v>0.11444939190891655</c:v>
                </c:pt>
                <c:pt idx="405">
                  <c:v>0.11616860898781424</c:v>
                </c:pt>
                <c:pt idx="406">
                  <c:v>0.12417391848086269</c:v>
                </c:pt>
                <c:pt idx="407">
                  <c:v>0.12808975620699897</c:v>
                </c:pt>
                <c:pt idx="408">
                  <c:v>0.1216485856363296</c:v>
                </c:pt>
                <c:pt idx="409">
                  <c:v>0.12428190184376464</c:v>
                </c:pt>
                <c:pt idx="410">
                  <c:v>0.13342197881010173</c:v>
                </c:pt>
                <c:pt idx="411">
                  <c:v>0.12989146069953064</c:v>
                </c:pt>
                <c:pt idx="412">
                  <c:v>0.13970105226697799</c:v>
                </c:pt>
                <c:pt idx="413">
                  <c:v>0.13449235402182297</c:v>
                </c:pt>
                <c:pt idx="414">
                  <c:v>0.13809650572595725</c:v>
                </c:pt>
                <c:pt idx="415">
                  <c:v>0.147842294904453</c:v>
                </c:pt>
                <c:pt idx="416">
                  <c:v>0.15556594368199445</c:v>
                </c:pt>
                <c:pt idx="417">
                  <c:v>0.15756010498471917</c:v>
                </c:pt>
                <c:pt idx="418">
                  <c:v>0.14353785518848106</c:v>
                </c:pt>
                <c:pt idx="419">
                  <c:v>0.1263962121593929</c:v>
                </c:pt>
                <c:pt idx="420">
                  <c:v>0.13724598039476404</c:v>
                </c:pt>
                <c:pt idx="421">
                  <c:v>0.13898548681977199</c:v>
                </c:pt>
                <c:pt idx="422">
                  <c:v>0.13735732425250247</c:v>
                </c:pt>
                <c:pt idx="423">
                  <c:v>0.13961662505942607</c:v>
                </c:pt>
                <c:pt idx="424">
                  <c:v>0.13481677275784143</c:v>
                </c:pt>
                <c:pt idx="425">
                  <c:v>0.13445762187597182</c:v>
                </c:pt>
                <c:pt idx="426">
                  <c:v>0.14289509501474243</c:v>
                </c:pt>
                <c:pt idx="427">
                  <c:v>0.13303371371392894</c:v>
                </c:pt>
                <c:pt idx="428">
                  <c:v>0.12381516125290705</c:v>
                </c:pt>
                <c:pt idx="429">
                  <c:v>0.11588140569319663</c:v>
                </c:pt>
                <c:pt idx="430">
                  <c:v>0.10664128696629287</c:v>
                </c:pt>
                <c:pt idx="431">
                  <c:v>0.10605481517743835</c:v>
                </c:pt>
                <c:pt idx="432">
                  <c:v>0.10225580630577601</c:v>
                </c:pt>
                <c:pt idx="433">
                  <c:v>0.10431776987086272</c:v>
                </c:pt>
                <c:pt idx="434">
                  <c:v>9.7935066486959252E-2</c:v>
                </c:pt>
                <c:pt idx="435">
                  <c:v>0.10237022845596987</c:v>
                </c:pt>
                <c:pt idx="436">
                  <c:v>9.8847753907951308E-2</c:v>
                </c:pt>
                <c:pt idx="437">
                  <c:v>0.10435974941165958</c:v>
                </c:pt>
                <c:pt idx="438">
                  <c:v>0.10615348013777941</c:v>
                </c:pt>
                <c:pt idx="439">
                  <c:v>0.11439084551311109</c:v>
                </c:pt>
                <c:pt idx="440">
                  <c:v>0.11593501550560317</c:v>
                </c:pt>
                <c:pt idx="441">
                  <c:v>0.11018223465109167</c:v>
                </c:pt>
                <c:pt idx="442">
                  <c:v>0.11166443507115929</c:v>
                </c:pt>
                <c:pt idx="443">
                  <c:v>0.11143399176847631</c:v>
                </c:pt>
                <c:pt idx="444">
                  <c:v>0.11311535345429861</c:v>
                </c:pt>
                <c:pt idx="445">
                  <c:v>0.11082754274318284</c:v>
                </c:pt>
                <c:pt idx="446">
                  <c:v>0.1148189336277407</c:v>
                </c:pt>
                <c:pt idx="447">
                  <c:v>0.11950885258259614</c:v>
                </c:pt>
                <c:pt idx="448">
                  <c:v>0.12217744539109487</c:v>
                </c:pt>
                <c:pt idx="449">
                  <c:v>0.13333589950949218</c:v>
                </c:pt>
                <c:pt idx="450">
                  <c:v>0.13299658887866508</c:v>
                </c:pt>
                <c:pt idx="451">
                  <c:v>0.12465771531550496</c:v>
                </c:pt>
                <c:pt idx="452">
                  <c:v>0.12433424625351934</c:v>
                </c:pt>
                <c:pt idx="453">
                  <c:v>0.12138875502726888</c:v>
                </c:pt>
                <c:pt idx="454">
                  <c:v>0.11312562733361625</c:v>
                </c:pt>
                <c:pt idx="455">
                  <c:v>0.1109544792164867</c:v>
                </c:pt>
                <c:pt idx="456">
                  <c:v>0.10945202968163879</c:v>
                </c:pt>
                <c:pt idx="457">
                  <c:v>0.10644182714007498</c:v>
                </c:pt>
                <c:pt idx="458">
                  <c:v>0.11351961813362708</c:v>
                </c:pt>
                <c:pt idx="459">
                  <c:v>0.11136025675131535</c:v>
                </c:pt>
                <c:pt idx="460">
                  <c:v>0.10748042310081773</c:v>
                </c:pt>
                <c:pt idx="461">
                  <c:v>9.732905643906456E-2</c:v>
                </c:pt>
                <c:pt idx="462">
                  <c:v>9.7021212995748701E-2</c:v>
                </c:pt>
                <c:pt idx="463">
                  <c:v>0.10022343294484608</c:v>
                </c:pt>
                <c:pt idx="464">
                  <c:v>9.6820353246014249E-2</c:v>
                </c:pt>
                <c:pt idx="465">
                  <c:v>9.7159011809487369E-2</c:v>
                </c:pt>
                <c:pt idx="466">
                  <c:v>9.4115371506403644E-2</c:v>
                </c:pt>
                <c:pt idx="467">
                  <c:v>9.13016056531753E-2</c:v>
                </c:pt>
                <c:pt idx="468">
                  <c:v>8.4915165927215805E-2</c:v>
                </c:pt>
                <c:pt idx="469">
                  <c:v>8.5785325779464044E-2</c:v>
                </c:pt>
                <c:pt idx="470">
                  <c:v>7.9782506943548534E-2</c:v>
                </c:pt>
                <c:pt idx="471">
                  <c:v>7.2843288300837389E-2</c:v>
                </c:pt>
                <c:pt idx="472">
                  <c:v>7.2712417427168149E-2</c:v>
                </c:pt>
                <c:pt idx="473">
                  <c:v>7.9663158196580749E-2</c:v>
                </c:pt>
                <c:pt idx="474">
                  <c:v>7.3273094248235415E-2</c:v>
                </c:pt>
                <c:pt idx="475">
                  <c:v>7.1671592289242997E-2</c:v>
                </c:pt>
                <c:pt idx="476">
                  <c:v>6.5945505904178955E-2</c:v>
                </c:pt>
                <c:pt idx="477">
                  <c:v>7.1683169125953794E-2</c:v>
                </c:pt>
                <c:pt idx="478">
                  <c:v>6.8670874409048996E-2</c:v>
                </c:pt>
                <c:pt idx="479">
                  <c:v>6.6892917880300926E-2</c:v>
                </c:pt>
                <c:pt idx="480">
                  <c:v>6.7761610333714653E-2</c:v>
                </c:pt>
                <c:pt idx="481">
                  <c:v>6.7334745683266431E-2</c:v>
                </c:pt>
                <c:pt idx="482">
                  <c:v>6.71857646879781E-2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27-44AD-90C6-FF54B2E9F2D5}"/>
            </c:ext>
          </c:extLst>
        </c:ser>
        <c:ser>
          <c:idx val="1"/>
          <c:order val="1"/>
          <c:tx>
            <c:strRef>
              <c:f>'Exercise 25-7.c'!$C$5:$C$6</c:f>
              <c:strCache>
                <c:ptCount val="2"/>
                <c:pt idx="0">
                  <c:v>10-year</c:v>
                </c:pt>
                <c:pt idx="1">
                  <c:v>bonds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'Exercise 25-7.c'!$A$7:$A$489</c:f>
              <c:strCache>
                <c:ptCount val="483"/>
                <c:pt idx="0">
                  <c:v>12.1946</c:v>
                </c:pt>
                <c:pt idx="1">
                  <c:v>1.1947</c:v>
                </c:pt>
                <c:pt idx="2">
                  <c:v>2.1947</c:v>
                </c:pt>
                <c:pt idx="3">
                  <c:v>3.1947</c:v>
                </c:pt>
                <c:pt idx="4">
                  <c:v>4.1947</c:v>
                </c:pt>
                <c:pt idx="5">
                  <c:v>5.1947</c:v>
                </c:pt>
                <c:pt idx="6">
                  <c:v>6.1947</c:v>
                </c:pt>
                <c:pt idx="7">
                  <c:v>7.1947</c:v>
                </c:pt>
                <c:pt idx="8">
                  <c:v>8.1947</c:v>
                </c:pt>
                <c:pt idx="9">
                  <c:v>9.1947</c:v>
                </c:pt>
                <c:pt idx="10">
                  <c:v>10.1947</c:v>
                </c:pt>
                <c:pt idx="11">
                  <c:v>11.1947</c:v>
                </c:pt>
                <c:pt idx="12">
                  <c:v>12.1947</c:v>
                </c:pt>
                <c:pt idx="13">
                  <c:v>1.1948</c:v>
                </c:pt>
                <c:pt idx="14">
                  <c:v>2.1948</c:v>
                </c:pt>
                <c:pt idx="15">
                  <c:v>3.1948</c:v>
                </c:pt>
                <c:pt idx="16">
                  <c:v>4.1948</c:v>
                </c:pt>
                <c:pt idx="17">
                  <c:v>5.1948</c:v>
                </c:pt>
                <c:pt idx="18">
                  <c:v>6.1948</c:v>
                </c:pt>
                <c:pt idx="19">
                  <c:v>7.1948</c:v>
                </c:pt>
                <c:pt idx="20">
                  <c:v>8.1948</c:v>
                </c:pt>
                <c:pt idx="21">
                  <c:v>9.1948</c:v>
                </c:pt>
                <c:pt idx="22">
                  <c:v>10.1948</c:v>
                </c:pt>
                <c:pt idx="23">
                  <c:v>11.1948</c:v>
                </c:pt>
                <c:pt idx="24">
                  <c:v>12.1948</c:v>
                </c:pt>
                <c:pt idx="25">
                  <c:v>1.1949</c:v>
                </c:pt>
                <c:pt idx="26">
                  <c:v>2.1949</c:v>
                </c:pt>
                <c:pt idx="27">
                  <c:v>3.1949</c:v>
                </c:pt>
                <c:pt idx="28">
                  <c:v>4.1949</c:v>
                </c:pt>
                <c:pt idx="29">
                  <c:v>5.1949</c:v>
                </c:pt>
                <c:pt idx="30">
                  <c:v>6.1949</c:v>
                </c:pt>
                <c:pt idx="31">
                  <c:v>7.1949</c:v>
                </c:pt>
                <c:pt idx="32">
                  <c:v>8.1949</c:v>
                </c:pt>
                <c:pt idx="33">
                  <c:v>9.1949</c:v>
                </c:pt>
                <c:pt idx="34">
                  <c:v>10.1949</c:v>
                </c:pt>
                <c:pt idx="35">
                  <c:v>11.1949</c:v>
                </c:pt>
                <c:pt idx="36">
                  <c:v>12.1949</c:v>
                </c:pt>
                <c:pt idx="37">
                  <c:v>1.1950</c:v>
                </c:pt>
                <c:pt idx="38">
                  <c:v>2.1950</c:v>
                </c:pt>
                <c:pt idx="39">
                  <c:v>3.1950</c:v>
                </c:pt>
                <c:pt idx="40">
                  <c:v>4.1950</c:v>
                </c:pt>
                <c:pt idx="41">
                  <c:v>5.1950</c:v>
                </c:pt>
                <c:pt idx="42">
                  <c:v>6.1950</c:v>
                </c:pt>
                <c:pt idx="43">
                  <c:v>7.1950</c:v>
                </c:pt>
                <c:pt idx="44">
                  <c:v>8.1950</c:v>
                </c:pt>
                <c:pt idx="45">
                  <c:v>9.1950</c:v>
                </c:pt>
                <c:pt idx="46">
                  <c:v>10.1950</c:v>
                </c:pt>
                <c:pt idx="47">
                  <c:v>11.1950</c:v>
                </c:pt>
                <c:pt idx="48">
                  <c:v>12.1950</c:v>
                </c:pt>
                <c:pt idx="49">
                  <c:v>1.1951</c:v>
                </c:pt>
                <c:pt idx="50">
                  <c:v>2.1951</c:v>
                </c:pt>
                <c:pt idx="51">
                  <c:v>3.1951</c:v>
                </c:pt>
                <c:pt idx="52">
                  <c:v>4.1951</c:v>
                </c:pt>
                <c:pt idx="53">
                  <c:v>5.1951</c:v>
                </c:pt>
                <c:pt idx="54">
                  <c:v>6.1951</c:v>
                </c:pt>
                <c:pt idx="55">
                  <c:v>7.1951</c:v>
                </c:pt>
                <c:pt idx="56">
                  <c:v>8.1951</c:v>
                </c:pt>
                <c:pt idx="57">
                  <c:v>9.1951</c:v>
                </c:pt>
                <c:pt idx="58">
                  <c:v>10.1951</c:v>
                </c:pt>
                <c:pt idx="59">
                  <c:v>11.1951</c:v>
                </c:pt>
                <c:pt idx="60">
                  <c:v>12.1951</c:v>
                </c:pt>
                <c:pt idx="61">
                  <c:v>1.1952</c:v>
                </c:pt>
                <c:pt idx="62">
                  <c:v>2.1952</c:v>
                </c:pt>
                <c:pt idx="63">
                  <c:v>3.1952</c:v>
                </c:pt>
                <c:pt idx="64">
                  <c:v>4.1952</c:v>
                </c:pt>
                <c:pt idx="65">
                  <c:v>5.1952</c:v>
                </c:pt>
                <c:pt idx="66">
                  <c:v>6.1952</c:v>
                </c:pt>
                <c:pt idx="67">
                  <c:v>7.1952</c:v>
                </c:pt>
                <c:pt idx="68">
                  <c:v>8.1952</c:v>
                </c:pt>
                <c:pt idx="69">
                  <c:v>9.1952</c:v>
                </c:pt>
                <c:pt idx="70">
                  <c:v>10.1952</c:v>
                </c:pt>
                <c:pt idx="71">
                  <c:v>11.1952</c:v>
                </c:pt>
                <c:pt idx="72">
                  <c:v>12.1952</c:v>
                </c:pt>
                <c:pt idx="73">
                  <c:v>1.1953</c:v>
                </c:pt>
                <c:pt idx="74">
                  <c:v>2.1953</c:v>
                </c:pt>
                <c:pt idx="75">
                  <c:v>3.1953</c:v>
                </c:pt>
                <c:pt idx="76">
                  <c:v>4.1953</c:v>
                </c:pt>
                <c:pt idx="77">
                  <c:v>5.1953</c:v>
                </c:pt>
                <c:pt idx="78">
                  <c:v>6.1953</c:v>
                </c:pt>
                <c:pt idx="79">
                  <c:v>7.1953</c:v>
                </c:pt>
                <c:pt idx="80">
                  <c:v>8.1953</c:v>
                </c:pt>
                <c:pt idx="81">
                  <c:v>9.1953</c:v>
                </c:pt>
                <c:pt idx="82">
                  <c:v>10.1953</c:v>
                </c:pt>
                <c:pt idx="83">
                  <c:v>11.1953</c:v>
                </c:pt>
                <c:pt idx="84">
                  <c:v>12.1953</c:v>
                </c:pt>
                <c:pt idx="85">
                  <c:v>1.1954</c:v>
                </c:pt>
                <c:pt idx="86">
                  <c:v>2.1954</c:v>
                </c:pt>
                <c:pt idx="87">
                  <c:v>3.1954</c:v>
                </c:pt>
                <c:pt idx="88">
                  <c:v>4.1954</c:v>
                </c:pt>
                <c:pt idx="89">
                  <c:v>5.1954</c:v>
                </c:pt>
                <c:pt idx="90">
                  <c:v>6.1954</c:v>
                </c:pt>
                <c:pt idx="91">
                  <c:v>7.1954</c:v>
                </c:pt>
                <c:pt idx="92">
                  <c:v>8.1954</c:v>
                </c:pt>
                <c:pt idx="93">
                  <c:v>9.1954</c:v>
                </c:pt>
                <c:pt idx="94">
                  <c:v>10.1954</c:v>
                </c:pt>
                <c:pt idx="95">
                  <c:v>11.1954</c:v>
                </c:pt>
                <c:pt idx="96">
                  <c:v>12.1954</c:v>
                </c:pt>
                <c:pt idx="97">
                  <c:v>1.1955</c:v>
                </c:pt>
                <c:pt idx="98">
                  <c:v>2.1955</c:v>
                </c:pt>
                <c:pt idx="99">
                  <c:v>3.1955</c:v>
                </c:pt>
                <c:pt idx="100">
                  <c:v>4.1955</c:v>
                </c:pt>
                <c:pt idx="101">
                  <c:v>5.1955</c:v>
                </c:pt>
                <c:pt idx="102">
                  <c:v>6.1955</c:v>
                </c:pt>
                <c:pt idx="103">
                  <c:v>7.1955</c:v>
                </c:pt>
                <c:pt idx="104">
                  <c:v>8.1955</c:v>
                </c:pt>
                <c:pt idx="105">
                  <c:v>9.1955</c:v>
                </c:pt>
                <c:pt idx="106">
                  <c:v>10.1955</c:v>
                </c:pt>
                <c:pt idx="107">
                  <c:v>11.1955</c:v>
                </c:pt>
                <c:pt idx="108">
                  <c:v>12.1955</c:v>
                </c:pt>
                <c:pt idx="109">
                  <c:v>1.1956</c:v>
                </c:pt>
                <c:pt idx="110">
                  <c:v>2.1956</c:v>
                </c:pt>
                <c:pt idx="111">
                  <c:v>3.1956</c:v>
                </c:pt>
                <c:pt idx="112">
                  <c:v>4.1956</c:v>
                </c:pt>
                <c:pt idx="113">
                  <c:v>5.1956</c:v>
                </c:pt>
                <c:pt idx="114">
                  <c:v>6.1956</c:v>
                </c:pt>
                <c:pt idx="115">
                  <c:v>7.1956</c:v>
                </c:pt>
                <c:pt idx="116">
                  <c:v>8.1956</c:v>
                </c:pt>
                <c:pt idx="117">
                  <c:v>9.1956</c:v>
                </c:pt>
                <c:pt idx="118">
                  <c:v>10.1956</c:v>
                </c:pt>
                <c:pt idx="119">
                  <c:v>11.1956</c:v>
                </c:pt>
                <c:pt idx="120">
                  <c:v>12.1956</c:v>
                </c:pt>
                <c:pt idx="121">
                  <c:v>1.1957</c:v>
                </c:pt>
                <c:pt idx="122">
                  <c:v>2.1957</c:v>
                </c:pt>
                <c:pt idx="123">
                  <c:v>3.1957</c:v>
                </c:pt>
                <c:pt idx="124">
                  <c:v>4.1957</c:v>
                </c:pt>
                <c:pt idx="125">
                  <c:v>5.1957</c:v>
                </c:pt>
                <c:pt idx="126">
                  <c:v>6.1957</c:v>
                </c:pt>
                <c:pt idx="127">
                  <c:v>7.1957</c:v>
                </c:pt>
                <c:pt idx="128">
                  <c:v>8.1957</c:v>
                </c:pt>
                <c:pt idx="129">
                  <c:v>9.1957</c:v>
                </c:pt>
                <c:pt idx="130">
                  <c:v>10.1957</c:v>
                </c:pt>
                <c:pt idx="131">
                  <c:v>11.1957</c:v>
                </c:pt>
                <c:pt idx="132">
                  <c:v>12.1957</c:v>
                </c:pt>
                <c:pt idx="133">
                  <c:v>1.1958</c:v>
                </c:pt>
                <c:pt idx="134">
                  <c:v>2.1958</c:v>
                </c:pt>
                <c:pt idx="135">
                  <c:v>3.1958</c:v>
                </c:pt>
                <c:pt idx="136">
                  <c:v>4.1958</c:v>
                </c:pt>
                <c:pt idx="137">
                  <c:v>5.1958</c:v>
                </c:pt>
                <c:pt idx="138">
                  <c:v>6.1958</c:v>
                </c:pt>
                <c:pt idx="139">
                  <c:v>7.1958</c:v>
                </c:pt>
                <c:pt idx="140">
                  <c:v>8.1958</c:v>
                </c:pt>
                <c:pt idx="141">
                  <c:v>9.1958</c:v>
                </c:pt>
                <c:pt idx="142">
                  <c:v>10.1958</c:v>
                </c:pt>
                <c:pt idx="143">
                  <c:v>11.1958</c:v>
                </c:pt>
                <c:pt idx="144">
                  <c:v>12.1958</c:v>
                </c:pt>
                <c:pt idx="145">
                  <c:v>1.1959</c:v>
                </c:pt>
                <c:pt idx="146">
                  <c:v>2.1959</c:v>
                </c:pt>
                <c:pt idx="147">
                  <c:v>3.1959</c:v>
                </c:pt>
                <c:pt idx="148">
                  <c:v>4.1959</c:v>
                </c:pt>
                <c:pt idx="149">
                  <c:v>5.1959</c:v>
                </c:pt>
                <c:pt idx="150">
                  <c:v>6.1959</c:v>
                </c:pt>
                <c:pt idx="151">
                  <c:v>7.1959</c:v>
                </c:pt>
                <c:pt idx="152">
                  <c:v>8.1959</c:v>
                </c:pt>
                <c:pt idx="153">
                  <c:v>9.1959</c:v>
                </c:pt>
                <c:pt idx="154">
                  <c:v>10.1959</c:v>
                </c:pt>
                <c:pt idx="155">
                  <c:v>11.1959</c:v>
                </c:pt>
                <c:pt idx="156">
                  <c:v>12.1959</c:v>
                </c:pt>
                <c:pt idx="157">
                  <c:v>1.1960</c:v>
                </c:pt>
                <c:pt idx="158">
                  <c:v>2.1960</c:v>
                </c:pt>
                <c:pt idx="159">
                  <c:v>3.1960</c:v>
                </c:pt>
                <c:pt idx="160">
                  <c:v>4.1960</c:v>
                </c:pt>
                <c:pt idx="161">
                  <c:v>5.1960</c:v>
                </c:pt>
                <c:pt idx="162">
                  <c:v>6.1960</c:v>
                </c:pt>
                <c:pt idx="163">
                  <c:v>7.1960</c:v>
                </c:pt>
                <c:pt idx="164">
                  <c:v>8.1960</c:v>
                </c:pt>
                <c:pt idx="165">
                  <c:v>9.1960</c:v>
                </c:pt>
                <c:pt idx="166">
                  <c:v>10.1960</c:v>
                </c:pt>
                <c:pt idx="167">
                  <c:v>11.1960</c:v>
                </c:pt>
                <c:pt idx="168">
                  <c:v>12.1960</c:v>
                </c:pt>
                <c:pt idx="169">
                  <c:v>1.1961</c:v>
                </c:pt>
                <c:pt idx="170">
                  <c:v>2.1961</c:v>
                </c:pt>
                <c:pt idx="171">
                  <c:v>3.1961</c:v>
                </c:pt>
                <c:pt idx="172">
                  <c:v>4.1961</c:v>
                </c:pt>
                <c:pt idx="173">
                  <c:v>5.1961</c:v>
                </c:pt>
                <c:pt idx="174">
                  <c:v>6.1961</c:v>
                </c:pt>
                <c:pt idx="175">
                  <c:v>7.1961</c:v>
                </c:pt>
                <c:pt idx="176">
                  <c:v>8.1961</c:v>
                </c:pt>
                <c:pt idx="177">
                  <c:v>9.1961</c:v>
                </c:pt>
                <c:pt idx="178">
                  <c:v>10.1961</c:v>
                </c:pt>
                <c:pt idx="179">
                  <c:v>11.1961</c:v>
                </c:pt>
                <c:pt idx="180">
                  <c:v>12.1961</c:v>
                </c:pt>
                <c:pt idx="181">
                  <c:v>1.1962</c:v>
                </c:pt>
                <c:pt idx="182">
                  <c:v>2.1962</c:v>
                </c:pt>
                <c:pt idx="183">
                  <c:v>3.1962</c:v>
                </c:pt>
                <c:pt idx="184">
                  <c:v>4.1962</c:v>
                </c:pt>
                <c:pt idx="185">
                  <c:v>5.1962</c:v>
                </c:pt>
                <c:pt idx="186">
                  <c:v>6.1962</c:v>
                </c:pt>
                <c:pt idx="187">
                  <c:v>7.1962</c:v>
                </c:pt>
                <c:pt idx="188">
                  <c:v>8.1962</c:v>
                </c:pt>
                <c:pt idx="189">
                  <c:v>9.1962</c:v>
                </c:pt>
                <c:pt idx="190">
                  <c:v>10.1962</c:v>
                </c:pt>
                <c:pt idx="191">
                  <c:v>11.1962</c:v>
                </c:pt>
                <c:pt idx="192">
                  <c:v>12.1962</c:v>
                </c:pt>
                <c:pt idx="193">
                  <c:v>1.1963</c:v>
                </c:pt>
                <c:pt idx="194">
                  <c:v>2.1963</c:v>
                </c:pt>
                <c:pt idx="195">
                  <c:v>3.1963</c:v>
                </c:pt>
                <c:pt idx="196">
                  <c:v>4.1963</c:v>
                </c:pt>
                <c:pt idx="197">
                  <c:v>5.1963</c:v>
                </c:pt>
                <c:pt idx="198">
                  <c:v>6.1963</c:v>
                </c:pt>
                <c:pt idx="199">
                  <c:v>7.1963</c:v>
                </c:pt>
                <c:pt idx="200">
                  <c:v>8.1963</c:v>
                </c:pt>
                <c:pt idx="201">
                  <c:v>9.1963</c:v>
                </c:pt>
                <c:pt idx="202">
                  <c:v>10.1963</c:v>
                </c:pt>
                <c:pt idx="203">
                  <c:v>11.1963</c:v>
                </c:pt>
                <c:pt idx="204">
                  <c:v>12.1963</c:v>
                </c:pt>
                <c:pt idx="205">
                  <c:v>1.1964</c:v>
                </c:pt>
                <c:pt idx="206">
                  <c:v>2.1964</c:v>
                </c:pt>
                <c:pt idx="207">
                  <c:v>3.1964</c:v>
                </c:pt>
                <c:pt idx="208">
                  <c:v>4.1964</c:v>
                </c:pt>
                <c:pt idx="209">
                  <c:v>5.1964</c:v>
                </c:pt>
                <c:pt idx="210">
                  <c:v>6.1964</c:v>
                </c:pt>
                <c:pt idx="211">
                  <c:v>7.1964</c:v>
                </c:pt>
                <c:pt idx="212">
                  <c:v>8.1964</c:v>
                </c:pt>
                <c:pt idx="213">
                  <c:v>9.1964</c:v>
                </c:pt>
                <c:pt idx="214">
                  <c:v>10.1964</c:v>
                </c:pt>
                <c:pt idx="215">
                  <c:v>11.1964</c:v>
                </c:pt>
                <c:pt idx="216">
                  <c:v>12.1964</c:v>
                </c:pt>
                <c:pt idx="217">
                  <c:v>1.1965</c:v>
                </c:pt>
                <c:pt idx="218">
                  <c:v>2.1965</c:v>
                </c:pt>
                <c:pt idx="219">
                  <c:v>3.1965</c:v>
                </c:pt>
                <c:pt idx="220">
                  <c:v>4.1965</c:v>
                </c:pt>
                <c:pt idx="221">
                  <c:v>5.1965</c:v>
                </c:pt>
                <c:pt idx="222">
                  <c:v>6.1965</c:v>
                </c:pt>
                <c:pt idx="223">
                  <c:v>7.1965</c:v>
                </c:pt>
                <c:pt idx="224">
                  <c:v>8.1965</c:v>
                </c:pt>
                <c:pt idx="225">
                  <c:v>9.1965</c:v>
                </c:pt>
                <c:pt idx="226">
                  <c:v>10.1965</c:v>
                </c:pt>
                <c:pt idx="227">
                  <c:v>11.1965</c:v>
                </c:pt>
                <c:pt idx="228">
                  <c:v>12.1965</c:v>
                </c:pt>
                <c:pt idx="229">
                  <c:v>1.1966</c:v>
                </c:pt>
                <c:pt idx="230">
                  <c:v>2.1966</c:v>
                </c:pt>
                <c:pt idx="231">
                  <c:v>3.1966</c:v>
                </c:pt>
                <c:pt idx="232">
                  <c:v>4.1966</c:v>
                </c:pt>
                <c:pt idx="233">
                  <c:v>5.1966</c:v>
                </c:pt>
                <c:pt idx="234">
                  <c:v>6.1966</c:v>
                </c:pt>
                <c:pt idx="235">
                  <c:v>7.1966</c:v>
                </c:pt>
                <c:pt idx="236">
                  <c:v>8.1966</c:v>
                </c:pt>
                <c:pt idx="237">
                  <c:v>9.1966</c:v>
                </c:pt>
                <c:pt idx="238">
                  <c:v>10.1966</c:v>
                </c:pt>
                <c:pt idx="239">
                  <c:v>11.1966</c:v>
                </c:pt>
                <c:pt idx="240">
                  <c:v>12.1966</c:v>
                </c:pt>
                <c:pt idx="241">
                  <c:v>1.1967</c:v>
                </c:pt>
                <c:pt idx="242">
                  <c:v>2.1967</c:v>
                </c:pt>
                <c:pt idx="243">
                  <c:v>3.1967</c:v>
                </c:pt>
                <c:pt idx="244">
                  <c:v>4.1967</c:v>
                </c:pt>
                <c:pt idx="245">
                  <c:v>5.1967</c:v>
                </c:pt>
                <c:pt idx="246">
                  <c:v>6.1967</c:v>
                </c:pt>
                <c:pt idx="247">
                  <c:v>7.1967</c:v>
                </c:pt>
                <c:pt idx="248">
                  <c:v>8.1967</c:v>
                </c:pt>
                <c:pt idx="249">
                  <c:v>9.1967</c:v>
                </c:pt>
                <c:pt idx="250">
                  <c:v>10.1967</c:v>
                </c:pt>
                <c:pt idx="251">
                  <c:v>11.1967</c:v>
                </c:pt>
                <c:pt idx="252">
                  <c:v>12.1967</c:v>
                </c:pt>
                <c:pt idx="253">
                  <c:v>1.1968</c:v>
                </c:pt>
                <c:pt idx="254">
                  <c:v>2.1968</c:v>
                </c:pt>
                <c:pt idx="255">
                  <c:v>3.1968</c:v>
                </c:pt>
                <c:pt idx="256">
                  <c:v>4.1968</c:v>
                </c:pt>
                <c:pt idx="257">
                  <c:v>5.1968</c:v>
                </c:pt>
                <c:pt idx="258">
                  <c:v>6.1968</c:v>
                </c:pt>
                <c:pt idx="259">
                  <c:v>7.1968</c:v>
                </c:pt>
                <c:pt idx="260">
                  <c:v>8.1968</c:v>
                </c:pt>
                <c:pt idx="261">
                  <c:v>9.1968</c:v>
                </c:pt>
                <c:pt idx="262">
                  <c:v>10.1968</c:v>
                </c:pt>
                <c:pt idx="263">
                  <c:v>11.1968</c:v>
                </c:pt>
                <c:pt idx="264">
                  <c:v>12.1968</c:v>
                </c:pt>
                <c:pt idx="265">
                  <c:v>1.1969</c:v>
                </c:pt>
                <c:pt idx="266">
                  <c:v>2.1969</c:v>
                </c:pt>
                <c:pt idx="267">
                  <c:v>3.1969</c:v>
                </c:pt>
                <c:pt idx="268">
                  <c:v>4.1969</c:v>
                </c:pt>
                <c:pt idx="269">
                  <c:v>5.1969</c:v>
                </c:pt>
                <c:pt idx="270">
                  <c:v>6.1969</c:v>
                </c:pt>
                <c:pt idx="271">
                  <c:v>7.1969</c:v>
                </c:pt>
                <c:pt idx="272">
                  <c:v>8.1969</c:v>
                </c:pt>
                <c:pt idx="273">
                  <c:v>9.1969</c:v>
                </c:pt>
                <c:pt idx="274">
                  <c:v>10.1969</c:v>
                </c:pt>
                <c:pt idx="275">
                  <c:v>11.1969</c:v>
                </c:pt>
                <c:pt idx="276">
                  <c:v>12.1969</c:v>
                </c:pt>
                <c:pt idx="277">
                  <c:v>1.1970</c:v>
                </c:pt>
                <c:pt idx="278">
                  <c:v>2.1970</c:v>
                </c:pt>
                <c:pt idx="279">
                  <c:v>3.1970</c:v>
                </c:pt>
                <c:pt idx="280">
                  <c:v>4.1970</c:v>
                </c:pt>
                <c:pt idx="281">
                  <c:v>5.1970</c:v>
                </c:pt>
                <c:pt idx="282">
                  <c:v>6.1970</c:v>
                </c:pt>
                <c:pt idx="283">
                  <c:v>7.1970</c:v>
                </c:pt>
                <c:pt idx="284">
                  <c:v>8.1970</c:v>
                </c:pt>
                <c:pt idx="285">
                  <c:v>9.1970</c:v>
                </c:pt>
                <c:pt idx="286">
                  <c:v>10.1970</c:v>
                </c:pt>
                <c:pt idx="287">
                  <c:v>11.1970</c:v>
                </c:pt>
                <c:pt idx="288">
                  <c:v>12.1970</c:v>
                </c:pt>
                <c:pt idx="289">
                  <c:v>1.1971</c:v>
                </c:pt>
                <c:pt idx="290">
                  <c:v>2.1971</c:v>
                </c:pt>
                <c:pt idx="291">
                  <c:v>3.1971</c:v>
                </c:pt>
                <c:pt idx="292">
                  <c:v>4.1971</c:v>
                </c:pt>
                <c:pt idx="293">
                  <c:v>5.1971</c:v>
                </c:pt>
                <c:pt idx="294">
                  <c:v>6.1971</c:v>
                </c:pt>
                <c:pt idx="295">
                  <c:v>7.1971</c:v>
                </c:pt>
                <c:pt idx="296">
                  <c:v>8.1971</c:v>
                </c:pt>
                <c:pt idx="297">
                  <c:v>9.1971</c:v>
                </c:pt>
                <c:pt idx="298">
                  <c:v>10.1971</c:v>
                </c:pt>
                <c:pt idx="299">
                  <c:v>11.1971</c:v>
                </c:pt>
                <c:pt idx="300">
                  <c:v>12.1971</c:v>
                </c:pt>
                <c:pt idx="301">
                  <c:v>1.1972</c:v>
                </c:pt>
                <c:pt idx="302">
                  <c:v>2.1972</c:v>
                </c:pt>
                <c:pt idx="303">
                  <c:v>3.1972</c:v>
                </c:pt>
                <c:pt idx="304">
                  <c:v>4.1972</c:v>
                </c:pt>
                <c:pt idx="305">
                  <c:v>5.1972</c:v>
                </c:pt>
                <c:pt idx="306">
                  <c:v>6.1972</c:v>
                </c:pt>
                <c:pt idx="307">
                  <c:v>7.1972</c:v>
                </c:pt>
                <c:pt idx="308">
                  <c:v>8.1972</c:v>
                </c:pt>
                <c:pt idx="309">
                  <c:v>9.1972</c:v>
                </c:pt>
                <c:pt idx="310">
                  <c:v>10.1972</c:v>
                </c:pt>
                <c:pt idx="311">
                  <c:v>11.1972</c:v>
                </c:pt>
                <c:pt idx="312">
                  <c:v>12.1972</c:v>
                </c:pt>
                <c:pt idx="313">
                  <c:v>1.1973</c:v>
                </c:pt>
                <c:pt idx="314">
                  <c:v>2.1973</c:v>
                </c:pt>
                <c:pt idx="315">
                  <c:v>3.1973</c:v>
                </c:pt>
                <c:pt idx="316">
                  <c:v>4.1973</c:v>
                </c:pt>
                <c:pt idx="317">
                  <c:v>5.1973</c:v>
                </c:pt>
                <c:pt idx="318">
                  <c:v>6.1973</c:v>
                </c:pt>
                <c:pt idx="319">
                  <c:v>7.1973</c:v>
                </c:pt>
                <c:pt idx="320">
                  <c:v>8.1973</c:v>
                </c:pt>
                <c:pt idx="321">
                  <c:v>9.1973</c:v>
                </c:pt>
                <c:pt idx="322">
                  <c:v>10.1973</c:v>
                </c:pt>
                <c:pt idx="323">
                  <c:v>11.1973</c:v>
                </c:pt>
                <c:pt idx="324">
                  <c:v>12.1973</c:v>
                </c:pt>
                <c:pt idx="325">
                  <c:v>1.1974</c:v>
                </c:pt>
                <c:pt idx="326">
                  <c:v>2.1974</c:v>
                </c:pt>
                <c:pt idx="327">
                  <c:v>3.1974</c:v>
                </c:pt>
                <c:pt idx="328">
                  <c:v>4.1974</c:v>
                </c:pt>
                <c:pt idx="329">
                  <c:v>5.1974</c:v>
                </c:pt>
                <c:pt idx="330">
                  <c:v>6.1974</c:v>
                </c:pt>
                <c:pt idx="331">
                  <c:v>7.1974</c:v>
                </c:pt>
                <c:pt idx="332">
                  <c:v>8.1974</c:v>
                </c:pt>
                <c:pt idx="333">
                  <c:v>9.1974</c:v>
                </c:pt>
                <c:pt idx="334">
                  <c:v>10.1974</c:v>
                </c:pt>
                <c:pt idx="335">
                  <c:v>11.1974</c:v>
                </c:pt>
                <c:pt idx="336">
                  <c:v>12.1974</c:v>
                </c:pt>
                <c:pt idx="337">
                  <c:v>1.1975</c:v>
                </c:pt>
                <c:pt idx="338">
                  <c:v>2.1975</c:v>
                </c:pt>
                <c:pt idx="339">
                  <c:v>3.1975</c:v>
                </c:pt>
                <c:pt idx="340">
                  <c:v>4.1975</c:v>
                </c:pt>
                <c:pt idx="341">
                  <c:v>5.1975</c:v>
                </c:pt>
                <c:pt idx="342">
                  <c:v>6.1975</c:v>
                </c:pt>
                <c:pt idx="343">
                  <c:v>7.1975</c:v>
                </c:pt>
                <c:pt idx="344">
                  <c:v>8.1975</c:v>
                </c:pt>
                <c:pt idx="345">
                  <c:v>9.1975</c:v>
                </c:pt>
                <c:pt idx="346">
                  <c:v>10.1975</c:v>
                </c:pt>
                <c:pt idx="347">
                  <c:v>11.1975</c:v>
                </c:pt>
                <c:pt idx="348">
                  <c:v>12.1975</c:v>
                </c:pt>
                <c:pt idx="349">
                  <c:v>1.1976</c:v>
                </c:pt>
                <c:pt idx="350">
                  <c:v>2.1976</c:v>
                </c:pt>
                <c:pt idx="351">
                  <c:v>3.1976</c:v>
                </c:pt>
                <c:pt idx="352">
                  <c:v>4.1976</c:v>
                </c:pt>
                <c:pt idx="353">
                  <c:v>5.1976</c:v>
                </c:pt>
                <c:pt idx="354">
                  <c:v>6.1976</c:v>
                </c:pt>
                <c:pt idx="355">
                  <c:v>7.1976</c:v>
                </c:pt>
                <c:pt idx="356">
                  <c:v>8.1976</c:v>
                </c:pt>
                <c:pt idx="357">
                  <c:v>9.1976</c:v>
                </c:pt>
                <c:pt idx="358">
                  <c:v>10.1976</c:v>
                </c:pt>
                <c:pt idx="359">
                  <c:v>11.1976</c:v>
                </c:pt>
                <c:pt idx="360">
                  <c:v>12.1976</c:v>
                </c:pt>
                <c:pt idx="361">
                  <c:v>1.1977</c:v>
                </c:pt>
                <c:pt idx="362">
                  <c:v>2.1977</c:v>
                </c:pt>
                <c:pt idx="363">
                  <c:v>3.1977</c:v>
                </c:pt>
                <c:pt idx="364">
                  <c:v>4.1977</c:v>
                </c:pt>
                <c:pt idx="365">
                  <c:v>5.1977</c:v>
                </c:pt>
                <c:pt idx="366">
                  <c:v>6.1977</c:v>
                </c:pt>
                <c:pt idx="367">
                  <c:v>7.1977</c:v>
                </c:pt>
                <c:pt idx="368">
                  <c:v>8.1977</c:v>
                </c:pt>
                <c:pt idx="369">
                  <c:v>9.1977</c:v>
                </c:pt>
                <c:pt idx="370">
                  <c:v>10.1977</c:v>
                </c:pt>
                <c:pt idx="371">
                  <c:v>11.1977</c:v>
                </c:pt>
                <c:pt idx="372">
                  <c:v>12.1977</c:v>
                </c:pt>
                <c:pt idx="373">
                  <c:v>1.1978</c:v>
                </c:pt>
                <c:pt idx="374">
                  <c:v>2.1978</c:v>
                </c:pt>
                <c:pt idx="375">
                  <c:v>3.1978</c:v>
                </c:pt>
                <c:pt idx="376">
                  <c:v>4.1978</c:v>
                </c:pt>
                <c:pt idx="377">
                  <c:v>5.1978</c:v>
                </c:pt>
                <c:pt idx="378">
                  <c:v>6.1978</c:v>
                </c:pt>
                <c:pt idx="379">
                  <c:v>7.1978</c:v>
                </c:pt>
                <c:pt idx="380">
                  <c:v>8.1978</c:v>
                </c:pt>
                <c:pt idx="381">
                  <c:v>9.1978</c:v>
                </c:pt>
                <c:pt idx="382">
                  <c:v>10.1978</c:v>
                </c:pt>
                <c:pt idx="383">
                  <c:v>11.1978</c:v>
                </c:pt>
                <c:pt idx="384">
                  <c:v>12.1978</c:v>
                </c:pt>
                <c:pt idx="385">
                  <c:v>1.1979</c:v>
                </c:pt>
                <c:pt idx="386">
                  <c:v>2.1979</c:v>
                </c:pt>
                <c:pt idx="387">
                  <c:v>3.1979</c:v>
                </c:pt>
                <c:pt idx="388">
                  <c:v>4.1979</c:v>
                </c:pt>
                <c:pt idx="389">
                  <c:v>5.1979</c:v>
                </c:pt>
                <c:pt idx="390">
                  <c:v>6.1979</c:v>
                </c:pt>
                <c:pt idx="391">
                  <c:v>7.1979</c:v>
                </c:pt>
                <c:pt idx="392">
                  <c:v>8.1979</c:v>
                </c:pt>
                <c:pt idx="393">
                  <c:v>9.1979</c:v>
                </c:pt>
                <c:pt idx="394">
                  <c:v>10.1979</c:v>
                </c:pt>
                <c:pt idx="395">
                  <c:v>11.1979</c:v>
                </c:pt>
                <c:pt idx="396">
                  <c:v>12.1979</c:v>
                </c:pt>
                <c:pt idx="397">
                  <c:v>1.1980</c:v>
                </c:pt>
                <c:pt idx="398">
                  <c:v>2.1980</c:v>
                </c:pt>
                <c:pt idx="399">
                  <c:v>3.1980</c:v>
                </c:pt>
                <c:pt idx="400">
                  <c:v>4.1980</c:v>
                </c:pt>
                <c:pt idx="401">
                  <c:v>5.1980</c:v>
                </c:pt>
                <c:pt idx="402">
                  <c:v>6.1980</c:v>
                </c:pt>
                <c:pt idx="403">
                  <c:v>7.1980</c:v>
                </c:pt>
                <c:pt idx="404">
                  <c:v>8.1980</c:v>
                </c:pt>
                <c:pt idx="405">
                  <c:v>9.1980</c:v>
                </c:pt>
                <c:pt idx="406">
                  <c:v>10.1980</c:v>
                </c:pt>
                <c:pt idx="407">
                  <c:v>11.1980</c:v>
                </c:pt>
                <c:pt idx="408">
                  <c:v>12.1980</c:v>
                </c:pt>
                <c:pt idx="409">
                  <c:v>1.1981</c:v>
                </c:pt>
                <c:pt idx="410">
                  <c:v>2.1981</c:v>
                </c:pt>
                <c:pt idx="411">
                  <c:v>3.1981</c:v>
                </c:pt>
                <c:pt idx="412">
                  <c:v>4.1981</c:v>
                </c:pt>
                <c:pt idx="413">
                  <c:v>5.1981</c:v>
                </c:pt>
                <c:pt idx="414">
                  <c:v>6.1981</c:v>
                </c:pt>
                <c:pt idx="415">
                  <c:v>7.1981</c:v>
                </c:pt>
                <c:pt idx="416">
                  <c:v>8.1981</c:v>
                </c:pt>
                <c:pt idx="417">
                  <c:v>9.1981</c:v>
                </c:pt>
                <c:pt idx="418">
                  <c:v>10.1981</c:v>
                </c:pt>
                <c:pt idx="419">
                  <c:v>11.1981</c:v>
                </c:pt>
                <c:pt idx="420">
                  <c:v>12.1981</c:v>
                </c:pt>
                <c:pt idx="421">
                  <c:v>1.1982</c:v>
                </c:pt>
                <c:pt idx="422">
                  <c:v>2.1982</c:v>
                </c:pt>
                <c:pt idx="423">
                  <c:v>3.1982</c:v>
                </c:pt>
                <c:pt idx="424">
                  <c:v>4.1982</c:v>
                </c:pt>
                <c:pt idx="425">
                  <c:v>5.1982</c:v>
                </c:pt>
                <c:pt idx="426">
                  <c:v>6.1982</c:v>
                </c:pt>
                <c:pt idx="427">
                  <c:v>7.1982</c:v>
                </c:pt>
                <c:pt idx="428">
                  <c:v>8.1982</c:v>
                </c:pt>
                <c:pt idx="429">
                  <c:v>9.1982</c:v>
                </c:pt>
                <c:pt idx="430">
                  <c:v>10.1982</c:v>
                </c:pt>
                <c:pt idx="431">
                  <c:v>11.1982</c:v>
                </c:pt>
                <c:pt idx="432">
                  <c:v>12.1982</c:v>
                </c:pt>
                <c:pt idx="433">
                  <c:v>1.1983</c:v>
                </c:pt>
                <c:pt idx="434">
                  <c:v>2.1983</c:v>
                </c:pt>
                <c:pt idx="435">
                  <c:v>3.1983</c:v>
                </c:pt>
                <c:pt idx="436">
                  <c:v>4.1983</c:v>
                </c:pt>
                <c:pt idx="437">
                  <c:v>5.1983</c:v>
                </c:pt>
                <c:pt idx="438">
                  <c:v>6.1983</c:v>
                </c:pt>
                <c:pt idx="439">
                  <c:v>7.1983</c:v>
                </c:pt>
                <c:pt idx="440">
                  <c:v>8.1983</c:v>
                </c:pt>
                <c:pt idx="441">
                  <c:v>9.1983</c:v>
                </c:pt>
                <c:pt idx="442">
                  <c:v>10.1983</c:v>
                </c:pt>
                <c:pt idx="443">
                  <c:v>11.1983</c:v>
                </c:pt>
                <c:pt idx="444">
                  <c:v>12.1983</c:v>
                </c:pt>
                <c:pt idx="445">
                  <c:v>1.1984</c:v>
                </c:pt>
                <c:pt idx="446">
                  <c:v>2.1984</c:v>
                </c:pt>
                <c:pt idx="447">
                  <c:v>3.1984</c:v>
                </c:pt>
                <c:pt idx="448">
                  <c:v>4.1984</c:v>
                </c:pt>
                <c:pt idx="449">
                  <c:v>5.1984</c:v>
                </c:pt>
                <c:pt idx="450">
                  <c:v>6.1984</c:v>
                </c:pt>
                <c:pt idx="451">
                  <c:v>7.1984</c:v>
                </c:pt>
                <c:pt idx="452">
                  <c:v>8.1984</c:v>
                </c:pt>
                <c:pt idx="453">
                  <c:v>9.1984</c:v>
                </c:pt>
                <c:pt idx="454">
                  <c:v>10.1984</c:v>
                </c:pt>
                <c:pt idx="455">
                  <c:v>11.1984</c:v>
                </c:pt>
                <c:pt idx="456">
                  <c:v>12.1984</c:v>
                </c:pt>
                <c:pt idx="457">
                  <c:v>1.1985</c:v>
                </c:pt>
                <c:pt idx="458">
                  <c:v>2.1985</c:v>
                </c:pt>
                <c:pt idx="459">
                  <c:v>3.1985</c:v>
                </c:pt>
                <c:pt idx="460">
                  <c:v>4.1985</c:v>
                </c:pt>
                <c:pt idx="461">
                  <c:v>5.1985</c:v>
                </c:pt>
                <c:pt idx="462">
                  <c:v>6.1985</c:v>
                </c:pt>
                <c:pt idx="463">
                  <c:v>7.1985</c:v>
                </c:pt>
                <c:pt idx="464">
                  <c:v>8.1985</c:v>
                </c:pt>
                <c:pt idx="465">
                  <c:v>9.1985</c:v>
                </c:pt>
                <c:pt idx="466">
                  <c:v>10.1985</c:v>
                </c:pt>
                <c:pt idx="467">
                  <c:v>11.1985</c:v>
                </c:pt>
                <c:pt idx="468">
                  <c:v>12.1985</c:v>
                </c:pt>
                <c:pt idx="469">
                  <c:v>1.1986</c:v>
                </c:pt>
                <c:pt idx="470">
                  <c:v>2.1986</c:v>
                </c:pt>
                <c:pt idx="471">
                  <c:v>3.1986</c:v>
                </c:pt>
                <c:pt idx="472">
                  <c:v>4.1986</c:v>
                </c:pt>
                <c:pt idx="473">
                  <c:v>5.1986</c:v>
                </c:pt>
                <c:pt idx="474">
                  <c:v>6.1986</c:v>
                </c:pt>
                <c:pt idx="475">
                  <c:v>7.1986</c:v>
                </c:pt>
                <c:pt idx="476">
                  <c:v>8.1986</c:v>
                </c:pt>
                <c:pt idx="477">
                  <c:v>9.1986</c:v>
                </c:pt>
                <c:pt idx="478">
                  <c:v>10.1986</c:v>
                </c:pt>
                <c:pt idx="479">
                  <c:v>11.1986</c:v>
                </c:pt>
                <c:pt idx="480">
                  <c:v>12.1986</c:v>
                </c:pt>
                <c:pt idx="481">
                  <c:v>1.1987</c:v>
                </c:pt>
                <c:pt idx="482">
                  <c:v>2.1987</c:v>
                </c:pt>
              </c:strCache>
            </c:strRef>
          </c:cat>
          <c:val>
            <c:numRef>
              <c:f>'Exercise 25-7.c'!$C$7:$C$489</c:f>
              <c:numCache>
                <c:formatCode>0.00%</c:formatCode>
                <c:ptCount val="483"/>
                <c:pt idx="0">
                  <c:v>1.394378316731909E-2</c:v>
                </c:pt>
                <c:pt idx="1">
                  <c:v>1.3752222849215527E-2</c:v>
                </c:pt>
                <c:pt idx="2">
                  <c:v>1.3942651839113331E-2</c:v>
                </c:pt>
                <c:pt idx="3">
                  <c:v>1.3463882866984451E-2</c:v>
                </c:pt>
                <c:pt idx="4">
                  <c:v>1.4039671797561092E-2</c:v>
                </c:pt>
                <c:pt idx="5">
                  <c:v>1.3852160975085294E-2</c:v>
                </c:pt>
                <c:pt idx="6">
                  <c:v>1.4144192480128574E-2</c:v>
                </c:pt>
                <c:pt idx="7">
                  <c:v>1.4147089827543716E-2</c:v>
                </c:pt>
                <c:pt idx="8">
                  <c:v>1.3384871358335014E-2</c:v>
                </c:pt>
                <c:pt idx="9">
                  <c:v>1.3869921190917206E-2</c:v>
                </c:pt>
                <c:pt idx="10">
                  <c:v>1.5226343717984765E-2</c:v>
                </c:pt>
                <c:pt idx="11">
                  <c:v>1.6101026981829827E-2</c:v>
                </c:pt>
                <c:pt idx="12">
                  <c:v>1.7535043774216909E-2</c:v>
                </c:pt>
                <c:pt idx="13">
                  <c:v>1.753616092796903E-2</c:v>
                </c:pt>
                <c:pt idx="14">
                  <c:v>1.734516064005092E-2</c:v>
                </c:pt>
                <c:pt idx="15">
                  <c:v>1.7159066696603852E-2</c:v>
                </c:pt>
                <c:pt idx="16">
                  <c:v>1.6968163825557703E-2</c:v>
                </c:pt>
                <c:pt idx="17">
                  <c:v>1.5815545367993841E-2</c:v>
                </c:pt>
                <c:pt idx="18">
                  <c:v>1.6784184663011383E-2</c:v>
                </c:pt>
                <c:pt idx="19">
                  <c:v>1.7446709707185835E-2</c:v>
                </c:pt>
                <c:pt idx="20">
                  <c:v>1.7829896914895671E-2</c:v>
                </c:pt>
                <c:pt idx="21">
                  <c:v>1.7926123545736396E-2</c:v>
                </c:pt>
                <c:pt idx="22">
                  <c:v>1.8308704936523319E-2</c:v>
                </c:pt>
                <c:pt idx="23">
                  <c:v>1.7739129787959447E-2</c:v>
                </c:pt>
                <c:pt idx="24">
                  <c:v>1.7167515449388448E-2</c:v>
                </c:pt>
                <c:pt idx="25">
                  <c:v>1.6591026724125369E-2</c:v>
                </c:pt>
                <c:pt idx="26">
                  <c:v>1.6684149414801067E-2</c:v>
                </c:pt>
                <c:pt idx="27">
                  <c:v>1.6204920651384888E-2</c:v>
                </c:pt>
                <c:pt idx="28">
                  <c:v>1.6204720895635193E-2</c:v>
                </c:pt>
                <c:pt idx="29">
                  <c:v>1.5824416761227866E-2</c:v>
                </c:pt>
                <c:pt idx="30">
                  <c:v>1.4469524753023651E-2</c:v>
                </c:pt>
                <c:pt idx="31">
                  <c:v>1.4175572537056161E-2</c:v>
                </c:pt>
                <c:pt idx="32">
                  <c:v>1.3879542057398379E-2</c:v>
                </c:pt>
                <c:pt idx="33">
                  <c:v>1.3879347440392459E-2</c:v>
                </c:pt>
                <c:pt idx="34">
                  <c:v>1.4070844355052603E-2</c:v>
                </c:pt>
                <c:pt idx="35">
                  <c:v>1.4070488905962793E-2</c:v>
                </c:pt>
                <c:pt idx="36">
                  <c:v>1.3874081581316968E-2</c:v>
                </c:pt>
                <c:pt idx="37">
                  <c:v>1.4556418824166461E-2</c:v>
                </c:pt>
                <c:pt idx="38">
                  <c:v>1.4657135922248982E-2</c:v>
                </c:pt>
                <c:pt idx="39">
                  <c:v>1.4949835726854491E-2</c:v>
                </c:pt>
                <c:pt idx="40">
                  <c:v>1.543416050409647E-2</c:v>
                </c:pt>
                <c:pt idx="41">
                  <c:v>1.5342062447124979E-2</c:v>
                </c:pt>
                <c:pt idx="42">
                  <c:v>1.5825986835996172E-2</c:v>
                </c:pt>
                <c:pt idx="43">
                  <c:v>1.5446033246384249E-2</c:v>
                </c:pt>
                <c:pt idx="44">
                  <c:v>1.6022065887606067E-2</c:v>
                </c:pt>
                <c:pt idx="45">
                  <c:v>1.6791496708199492E-2</c:v>
                </c:pt>
                <c:pt idx="46">
                  <c:v>1.7749003821901213E-2</c:v>
                </c:pt>
                <c:pt idx="47">
                  <c:v>1.7750690754603088E-2</c:v>
                </c:pt>
                <c:pt idx="48">
                  <c:v>1.7566978832038505E-2</c:v>
                </c:pt>
                <c:pt idx="49">
                  <c:v>1.7467941560340015E-2</c:v>
                </c:pt>
                <c:pt idx="50">
                  <c:v>1.7854629348203296E-2</c:v>
                </c:pt>
                <c:pt idx="51">
                  <c:v>2.041319375296587E-2</c:v>
                </c:pt>
                <c:pt idx="52">
                  <c:v>2.034130181408754E-2</c:v>
                </c:pt>
                <c:pt idx="53">
                  <c:v>2.1218253905317987E-2</c:v>
                </c:pt>
                <c:pt idx="54">
                  <c:v>2.0740056218540717E-2</c:v>
                </c:pt>
                <c:pt idx="55">
                  <c:v>1.9869761002761648E-2</c:v>
                </c:pt>
                <c:pt idx="56">
                  <c:v>1.9573646028140015E-2</c:v>
                </c:pt>
                <c:pt idx="57">
                  <c:v>2.1003252480866808E-2</c:v>
                </c:pt>
                <c:pt idx="58">
                  <c:v>2.1301150665348271E-2</c:v>
                </c:pt>
                <c:pt idx="59">
                  <c:v>2.1210020850962814E-2</c:v>
                </c:pt>
                <c:pt idx="60">
                  <c:v>2.1965581040144497E-2</c:v>
                </c:pt>
                <c:pt idx="61">
                  <c:v>2.1013246006992746E-2</c:v>
                </c:pt>
                <c:pt idx="62">
                  <c:v>2.235361491573758E-2</c:v>
                </c:pt>
                <c:pt idx="63">
                  <c:v>2.1394261633309514E-2</c:v>
                </c:pt>
                <c:pt idx="64">
                  <c:v>2.0631055325501874E-2</c:v>
                </c:pt>
                <c:pt idx="65">
                  <c:v>2.0811695042440487E-2</c:v>
                </c:pt>
                <c:pt idx="66">
                  <c:v>2.1935931769803477E-2</c:v>
                </c:pt>
                <c:pt idx="67">
                  <c:v>2.269328085680275E-2</c:v>
                </c:pt>
                <c:pt idx="68">
                  <c:v>2.3550308860862419E-2</c:v>
                </c:pt>
                <c:pt idx="69">
                  <c:v>2.3768191702646581E-2</c:v>
                </c:pt>
                <c:pt idx="70">
                  <c:v>2.2895211305286774E-2</c:v>
                </c:pt>
                <c:pt idx="71">
                  <c:v>2.2992124746246428E-2</c:v>
                </c:pt>
                <c:pt idx="72">
                  <c:v>2.3281885117316742E-2</c:v>
                </c:pt>
                <c:pt idx="73">
                  <c:v>2.3484929584945035E-2</c:v>
                </c:pt>
                <c:pt idx="74">
                  <c:v>2.3881490124424854E-2</c:v>
                </c:pt>
                <c:pt idx="75">
                  <c:v>2.4252208325663265E-2</c:v>
                </c:pt>
                <c:pt idx="76">
                  <c:v>2.6907115374879009E-2</c:v>
                </c:pt>
                <c:pt idx="77">
                  <c:v>3.0000705901185514E-2</c:v>
                </c:pt>
                <c:pt idx="78">
                  <c:v>2.68986160565362E-2</c:v>
                </c:pt>
                <c:pt idx="79">
                  <c:v>2.6707364898138033E-2</c:v>
                </c:pt>
                <c:pt idx="80">
                  <c:v>2.7817643496067291E-2</c:v>
                </c:pt>
                <c:pt idx="81">
                  <c:v>2.4300917214053083E-2</c:v>
                </c:pt>
                <c:pt idx="82">
                  <c:v>2.3837468172234991E-2</c:v>
                </c:pt>
                <c:pt idx="83">
                  <c:v>2.3485188417754269E-2</c:v>
                </c:pt>
                <c:pt idx="84">
                  <c:v>2.1655502077583308E-2</c:v>
                </c:pt>
                <c:pt idx="85">
                  <c:v>2.0509743709181516E-2</c:v>
                </c:pt>
                <c:pt idx="86">
                  <c:v>1.9461906315712915E-2</c:v>
                </c:pt>
                <c:pt idx="87">
                  <c:v>1.898732199511587E-2</c:v>
                </c:pt>
                <c:pt idx="88">
                  <c:v>1.7464912172279027E-2</c:v>
                </c:pt>
                <c:pt idx="89">
                  <c:v>1.9930424521436646E-2</c:v>
                </c:pt>
                <c:pt idx="90">
                  <c:v>1.8224241227670326E-2</c:v>
                </c:pt>
                <c:pt idx="91">
                  <c:v>1.8588931894037635E-2</c:v>
                </c:pt>
                <c:pt idx="92">
                  <c:v>1.8801500896299513E-2</c:v>
                </c:pt>
                <c:pt idx="93">
                  <c:v>1.9472553921325613E-2</c:v>
                </c:pt>
                <c:pt idx="94">
                  <c:v>2.0774539456160181E-2</c:v>
                </c:pt>
                <c:pt idx="95">
                  <c:v>2.0970281983570458E-2</c:v>
                </c:pt>
                <c:pt idx="96">
                  <c:v>2.1629244971676148E-2</c:v>
                </c:pt>
                <c:pt idx="97">
                  <c:v>2.2431181788978273E-2</c:v>
                </c:pt>
                <c:pt idx="98">
                  <c:v>2.4132577559984048E-2</c:v>
                </c:pt>
                <c:pt idx="99">
                  <c:v>2.4125319420066828E-2</c:v>
                </c:pt>
                <c:pt idx="100">
                  <c:v>2.4704199626847549E-2</c:v>
                </c:pt>
                <c:pt idx="101">
                  <c:v>2.4686804217378542E-2</c:v>
                </c:pt>
                <c:pt idx="102">
                  <c:v>2.5917399193946093E-2</c:v>
                </c:pt>
                <c:pt idx="103">
                  <c:v>2.751928026681498E-2</c:v>
                </c:pt>
                <c:pt idx="104">
                  <c:v>2.8160341332666785E-2</c:v>
                </c:pt>
                <c:pt idx="105">
                  <c:v>2.7123782928628382E-2</c:v>
                </c:pt>
                <c:pt idx="106">
                  <c:v>2.6294759939328512E-2</c:v>
                </c:pt>
                <c:pt idx="107">
                  <c:v>2.7715168965984638E-2</c:v>
                </c:pt>
                <c:pt idx="108">
                  <c:v>2.7999018397441882E-2</c:v>
                </c:pt>
                <c:pt idx="109">
                  <c:v>2.6574089488662946E-2</c:v>
                </c:pt>
                <c:pt idx="110">
                  <c:v>2.6957940692052967E-2</c:v>
                </c:pt>
                <c:pt idx="111">
                  <c:v>2.967687861299443E-2</c:v>
                </c:pt>
                <c:pt idx="112">
                  <c:v>3.0336383394377168E-2</c:v>
                </c:pt>
                <c:pt idx="113">
                  <c:v>2.854238786683827E-2</c:v>
                </c:pt>
                <c:pt idx="114">
                  <c:v>2.8821953620804652E-2</c:v>
                </c:pt>
                <c:pt idx="115">
                  <c:v>3.1616767163580813E-2</c:v>
                </c:pt>
                <c:pt idx="116">
                  <c:v>3.4113693201036965E-2</c:v>
                </c:pt>
                <c:pt idx="117">
                  <c:v>3.3048893632769742E-2</c:v>
                </c:pt>
                <c:pt idx="118">
                  <c:v>3.3877995785674422E-2</c:v>
                </c:pt>
                <c:pt idx="119">
                  <c:v>3.4987111697238164E-2</c:v>
                </c:pt>
                <c:pt idx="120">
                  <c:v>3.5781926590764526E-2</c:v>
                </c:pt>
                <c:pt idx="121">
                  <c:v>3.1459669387658679E-2</c:v>
                </c:pt>
                <c:pt idx="122">
                  <c:v>3.2786890170553779E-2</c:v>
                </c:pt>
                <c:pt idx="123">
                  <c:v>3.305078160789348E-2</c:v>
                </c:pt>
                <c:pt idx="124">
                  <c:v>3.4441841964973643E-2</c:v>
                </c:pt>
                <c:pt idx="125">
                  <c:v>3.5463344324622649E-2</c:v>
                </c:pt>
                <c:pt idx="126">
                  <c:v>3.6890313007914594E-2</c:v>
                </c:pt>
                <c:pt idx="127">
                  <c:v>3.7674311790025346E-2</c:v>
                </c:pt>
                <c:pt idx="128">
                  <c:v>3.680916406037793E-2</c:v>
                </c:pt>
                <c:pt idx="129">
                  <c:v>3.8506096997294223E-2</c:v>
                </c:pt>
                <c:pt idx="130">
                  <c:v>3.8000095605047669E-2</c:v>
                </c:pt>
                <c:pt idx="131">
                  <c:v>3.305011584665267E-2</c:v>
                </c:pt>
                <c:pt idx="132">
                  <c:v>2.77702355159107E-2</c:v>
                </c:pt>
                <c:pt idx="133">
                  <c:v>2.8122677795635147E-2</c:v>
                </c:pt>
                <c:pt idx="134">
                  <c:v>2.5870490374042068E-2</c:v>
                </c:pt>
                <c:pt idx="135">
                  <c:v>2.5184562485182815E-2</c:v>
                </c:pt>
                <c:pt idx="136">
                  <c:v>2.3575941462869829E-2</c:v>
                </c:pt>
                <c:pt idx="137">
                  <c:v>2.2953174837054818E-2</c:v>
                </c:pt>
                <c:pt idx="138">
                  <c:v>2.4916719038683807E-2</c:v>
                </c:pt>
                <c:pt idx="139">
                  <c:v>2.8225647255912888E-2</c:v>
                </c:pt>
                <c:pt idx="140">
                  <c:v>3.5629497673973151E-2</c:v>
                </c:pt>
                <c:pt idx="141">
                  <c:v>3.6090206486532085E-2</c:v>
                </c:pt>
                <c:pt idx="142">
                  <c:v>3.5441492915847465E-2</c:v>
                </c:pt>
                <c:pt idx="143">
                  <c:v>3.4999762384518816E-2</c:v>
                </c:pt>
                <c:pt idx="144">
                  <c:v>3.6748288465991312E-2</c:v>
                </c:pt>
                <c:pt idx="145">
                  <c:v>3.8393970213159129E-2</c:v>
                </c:pt>
                <c:pt idx="146">
                  <c:v>3.6479084572457292E-2</c:v>
                </c:pt>
                <c:pt idx="147">
                  <c:v>3.8234758719773373E-2</c:v>
                </c:pt>
                <c:pt idx="148">
                  <c:v>4.0057279467919718E-2</c:v>
                </c:pt>
                <c:pt idx="149">
                  <c:v>4.0330505744260364E-2</c:v>
                </c:pt>
                <c:pt idx="150">
                  <c:v>4.2086291083416529E-2</c:v>
                </c:pt>
                <c:pt idx="151">
                  <c:v>4.3639216457388635E-2</c:v>
                </c:pt>
                <c:pt idx="152">
                  <c:v>4.4463028215018838E-2</c:v>
                </c:pt>
                <c:pt idx="153">
                  <c:v>4.469414534962269E-2</c:v>
                </c:pt>
                <c:pt idx="154">
                  <c:v>4.4596922693320398E-2</c:v>
                </c:pt>
                <c:pt idx="155">
                  <c:v>4.5896075534260082E-2</c:v>
                </c:pt>
                <c:pt idx="156">
                  <c:v>4.5868330595748241E-2</c:v>
                </c:pt>
                <c:pt idx="157">
                  <c:v>4.5346378245292612E-2</c:v>
                </c:pt>
                <c:pt idx="158">
                  <c:v>4.3846013417327905E-2</c:v>
                </c:pt>
                <c:pt idx="159">
                  <c:v>3.8701511550923128E-2</c:v>
                </c:pt>
                <c:pt idx="160">
                  <c:v>4.2831125580611917E-2</c:v>
                </c:pt>
                <c:pt idx="161">
                  <c:v>4.119674843289263E-2</c:v>
                </c:pt>
                <c:pt idx="162">
                  <c:v>3.8393731652440408E-2</c:v>
                </c:pt>
                <c:pt idx="163">
                  <c:v>3.361326638184655E-2</c:v>
                </c:pt>
                <c:pt idx="164">
                  <c:v>3.4416928067324458E-2</c:v>
                </c:pt>
                <c:pt idx="165">
                  <c:v>3.4638525193556223E-2</c:v>
                </c:pt>
                <c:pt idx="166">
                  <c:v>3.5296948968174001E-2</c:v>
                </c:pt>
                <c:pt idx="167">
                  <c:v>3.6672032115625502E-2</c:v>
                </c:pt>
                <c:pt idx="168">
                  <c:v>3.3266842921382621E-2</c:v>
                </c:pt>
                <c:pt idx="169">
                  <c:v>3.5192580301411702E-2</c:v>
                </c:pt>
                <c:pt idx="170">
                  <c:v>3.4109827238894878E-2</c:v>
                </c:pt>
                <c:pt idx="171">
                  <c:v>3.4377526486427328E-2</c:v>
                </c:pt>
                <c:pt idx="172">
                  <c:v>3.3565086652239694E-2</c:v>
                </c:pt>
                <c:pt idx="173">
                  <c:v>3.4673179329505893E-2</c:v>
                </c:pt>
                <c:pt idx="174">
                  <c:v>3.5931907877102293E-2</c:v>
                </c:pt>
                <c:pt idx="175">
                  <c:v>3.7179507556515945E-2</c:v>
                </c:pt>
                <c:pt idx="176">
                  <c:v>3.7207128413128593E-2</c:v>
                </c:pt>
                <c:pt idx="177">
                  <c:v>3.6015895003782578E-2</c:v>
                </c:pt>
                <c:pt idx="178">
                  <c:v>3.5753366867792805E-2</c:v>
                </c:pt>
                <c:pt idx="179">
                  <c:v>3.6605757861009225E-2</c:v>
                </c:pt>
                <c:pt idx="180">
                  <c:v>3.6992213695813354E-2</c:v>
                </c:pt>
                <c:pt idx="181">
                  <c:v>3.7987956107231997E-2</c:v>
                </c:pt>
                <c:pt idx="182">
                  <c:v>3.6200142625648739E-2</c:v>
                </c:pt>
                <c:pt idx="183">
                  <c:v>3.4958545487908256E-2</c:v>
                </c:pt>
                <c:pt idx="184">
                  <c:v>3.5161771185085622E-2</c:v>
                </c:pt>
                <c:pt idx="185">
                  <c:v>3.5309035689096019E-2</c:v>
                </c:pt>
                <c:pt idx="186">
                  <c:v>3.631677336622359E-2</c:v>
                </c:pt>
                <c:pt idx="187">
                  <c:v>3.7159807554187844E-2</c:v>
                </c:pt>
                <c:pt idx="188">
                  <c:v>3.551140556519173E-2</c:v>
                </c:pt>
                <c:pt idx="189">
                  <c:v>3.5491720344689982E-2</c:v>
                </c:pt>
                <c:pt idx="190">
                  <c:v>3.5146680672466762E-2</c:v>
                </c:pt>
                <c:pt idx="191">
                  <c:v>3.4721110496825525E-2</c:v>
                </c:pt>
                <c:pt idx="192">
                  <c:v>3.4194851503896034E-2</c:v>
                </c:pt>
                <c:pt idx="193">
                  <c:v>3.5048411265377652E-2</c:v>
                </c:pt>
                <c:pt idx="194">
                  <c:v>3.5600619944715257E-2</c:v>
                </c:pt>
                <c:pt idx="195">
                  <c:v>3.570159321064794E-2</c:v>
                </c:pt>
                <c:pt idx="196">
                  <c:v>3.5805199113009674E-2</c:v>
                </c:pt>
                <c:pt idx="197">
                  <c:v>3.6244625301172471E-2</c:v>
                </c:pt>
                <c:pt idx="198">
                  <c:v>3.668631564241423E-2</c:v>
                </c:pt>
                <c:pt idx="199">
                  <c:v>3.7340829998594983E-2</c:v>
                </c:pt>
                <c:pt idx="200">
                  <c:v>3.7704908554119898E-2</c:v>
                </c:pt>
                <c:pt idx="201">
                  <c:v>3.7911625573240154E-2</c:v>
                </c:pt>
                <c:pt idx="202">
                  <c:v>3.857658533100037E-2</c:v>
                </c:pt>
                <c:pt idx="203">
                  <c:v>3.8299600812014667E-2</c:v>
                </c:pt>
                <c:pt idx="204">
                  <c:v>3.9120082726981427E-2</c:v>
                </c:pt>
                <c:pt idx="205">
                  <c:v>3.8955911713611867E-2</c:v>
                </c:pt>
                <c:pt idx="206">
                  <c:v>3.95062916695939E-2</c:v>
                </c:pt>
                <c:pt idx="207">
                  <c:v>4.0302952147400505E-2</c:v>
                </c:pt>
                <c:pt idx="208">
                  <c:v>3.9998349451830319E-2</c:v>
                </c:pt>
                <c:pt idx="209">
                  <c:v>3.9132378966589269E-2</c:v>
                </c:pt>
                <c:pt idx="210">
                  <c:v>3.9007070776828703E-2</c:v>
                </c:pt>
                <c:pt idx="211">
                  <c:v>3.9186523193647946E-2</c:v>
                </c:pt>
                <c:pt idx="212">
                  <c:v>3.9215099194158803E-2</c:v>
                </c:pt>
                <c:pt idx="213">
                  <c:v>3.90370307282552E-2</c:v>
                </c:pt>
                <c:pt idx="214">
                  <c:v>3.9034029662831815E-2</c:v>
                </c:pt>
                <c:pt idx="215">
                  <c:v>3.9860770268881185E-2</c:v>
                </c:pt>
                <c:pt idx="216">
                  <c:v>3.9587600144042313E-2</c:v>
                </c:pt>
                <c:pt idx="217">
                  <c:v>3.9401092357096608E-2</c:v>
                </c:pt>
                <c:pt idx="218">
                  <c:v>3.9698277468314107E-2</c:v>
                </c:pt>
                <c:pt idx="219">
                  <c:v>3.9766971116086014E-2</c:v>
                </c:pt>
                <c:pt idx="220">
                  <c:v>3.9767307256324311E-2</c:v>
                </c:pt>
                <c:pt idx="221">
                  <c:v>3.9778319593642017E-2</c:v>
                </c:pt>
                <c:pt idx="222">
                  <c:v>3.9484040564012952E-2</c:v>
                </c:pt>
                <c:pt idx="223">
                  <c:v>4.0028627540250501E-2</c:v>
                </c:pt>
                <c:pt idx="224">
                  <c:v>4.0582197115841809E-2</c:v>
                </c:pt>
                <c:pt idx="225">
                  <c:v>4.1795207817689042E-2</c:v>
                </c:pt>
                <c:pt idx="226">
                  <c:v>4.2506543899232571E-2</c:v>
                </c:pt>
                <c:pt idx="227">
                  <c:v>4.3584834380987376E-2</c:v>
                </c:pt>
                <c:pt idx="228">
                  <c:v>4.723292338459692E-2</c:v>
                </c:pt>
                <c:pt idx="229">
                  <c:v>4.7685027706763132E-2</c:v>
                </c:pt>
                <c:pt idx="230">
                  <c:v>5.0068198812139114E-2</c:v>
                </c:pt>
                <c:pt idx="231">
                  <c:v>4.7194724440650739E-2</c:v>
                </c:pt>
                <c:pt idx="232">
                  <c:v>4.7761009758882519E-2</c:v>
                </c:pt>
                <c:pt idx="233">
                  <c:v>4.856261655274368E-2</c:v>
                </c:pt>
                <c:pt idx="234">
                  <c:v>4.9907825311708155E-2</c:v>
                </c:pt>
                <c:pt idx="235">
                  <c:v>5.1635646315334675E-2</c:v>
                </c:pt>
                <c:pt idx="236">
                  <c:v>5.6506104822391739E-2</c:v>
                </c:pt>
                <c:pt idx="237">
                  <c:v>5.1334367324441486E-2</c:v>
                </c:pt>
                <c:pt idx="238">
                  <c:v>5.0952993400749082E-2</c:v>
                </c:pt>
                <c:pt idx="239">
                  <c:v>5.0977905056699108E-2</c:v>
                </c:pt>
                <c:pt idx="240">
                  <c:v>4.6402534627403944E-2</c:v>
                </c:pt>
                <c:pt idx="241">
                  <c:v>4.475949023195238E-2</c:v>
                </c:pt>
                <c:pt idx="242">
                  <c:v>4.585192539611007E-2</c:v>
                </c:pt>
                <c:pt idx="243">
                  <c:v>4.2367223909015504E-2</c:v>
                </c:pt>
                <c:pt idx="244">
                  <c:v>4.5097254235095044E-2</c:v>
                </c:pt>
                <c:pt idx="245">
                  <c:v>4.5042672841293249E-2</c:v>
                </c:pt>
                <c:pt idx="246">
                  <c:v>5.1339342561130673E-2</c:v>
                </c:pt>
                <c:pt idx="247">
                  <c:v>4.9474795442321806E-2</c:v>
                </c:pt>
                <c:pt idx="248">
                  <c:v>5.1550566745552459E-2</c:v>
                </c:pt>
                <c:pt idx="249">
                  <c:v>5.2179224467908999E-2</c:v>
                </c:pt>
                <c:pt idx="250">
                  <c:v>5.3730634582681763E-2</c:v>
                </c:pt>
                <c:pt idx="251">
                  <c:v>5.4617827016625757E-2</c:v>
                </c:pt>
                <c:pt idx="252">
                  <c:v>5.476277101176287E-2</c:v>
                </c:pt>
                <c:pt idx="253">
                  <c:v>5.3728126877759325E-2</c:v>
                </c:pt>
                <c:pt idx="254">
                  <c:v>5.3908209772131427E-2</c:v>
                </c:pt>
                <c:pt idx="255">
                  <c:v>5.5745820032028097E-2</c:v>
                </c:pt>
                <c:pt idx="256">
                  <c:v>5.6809240104488734E-2</c:v>
                </c:pt>
                <c:pt idx="257">
                  <c:v>5.6151224664749685E-2</c:v>
                </c:pt>
                <c:pt idx="258">
                  <c:v>5.4984337241545528E-2</c:v>
                </c:pt>
                <c:pt idx="259">
                  <c:v>5.2309168170676636E-2</c:v>
                </c:pt>
                <c:pt idx="260">
                  <c:v>5.2207940822704212E-2</c:v>
                </c:pt>
                <c:pt idx="261">
                  <c:v>5.2443983084244278E-2</c:v>
                </c:pt>
                <c:pt idx="262">
                  <c:v>5.3556809943756542E-2</c:v>
                </c:pt>
                <c:pt idx="263">
                  <c:v>5.4393075956095389E-2</c:v>
                </c:pt>
                <c:pt idx="264">
                  <c:v>6.0476028508938053E-2</c:v>
                </c:pt>
                <c:pt idx="265">
                  <c:v>5.885876050248412E-2</c:v>
                </c:pt>
                <c:pt idx="266">
                  <c:v>6.0628890428702092E-2</c:v>
                </c:pt>
                <c:pt idx="267">
                  <c:v>5.9257592529519808E-2</c:v>
                </c:pt>
                <c:pt idx="268">
                  <c:v>6.0025321070163049E-2</c:v>
                </c:pt>
                <c:pt idx="269">
                  <c:v>6.220748523779638E-2</c:v>
                </c:pt>
                <c:pt idx="270">
                  <c:v>6.5125177437212495E-2</c:v>
                </c:pt>
                <c:pt idx="271">
                  <c:v>6.4057229449964906E-2</c:v>
                </c:pt>
                <c:pt idx="272">
                  <c:v>6.4888824713787319E-2</c:v>
                </c:pt>
                <c:pt idx="273">
                  <c:v>7.0889473114445642E-2</c:v>
                </c:pt>
                <c:pt idx="274">
                  <c:v>6.5678309226145967E-2</c:v>
                </c:pt>
                <c:pt idx="275">
                  <c:v>6.7762966202522437E-2</c:v>
                </c:pt>
                <c:pt idx="276">
                  <c:v>7.2015671330999079E-2</c:v>
                </c:pt>
                <c:pt idx="277">
                  <c:v>7.3037549822852543E-2</c:v>
                </c:pt>
                <c:pt idx="278">
                  <c:v>6.6311066255698395E-2</c:v>
                </c:pt>
                <c:pt idx="279">
                  <c:v>6.6081307078647442E-2</c:v>
                </c:pt>
                <c:pt idx="280">
                  <c:v>7.2464347141839303E-2</c:v>
                </c:pt>
                <c:pt idx="281">
                  <c:v>7.0683084989707157E-2</c:v>
                </c:pt>
                <c:pt idx="282">
                  <c:v>7.0735572636266786E-2</c:v>
                </c:pt>
                <c:pt idx="283">
                  <c:v>6.9596263557230031E-2</c:v>
                </c:pt>
                <c:pt idx="284">
                  <c:v>6.8540259721699096E-2</c:v>
                </c:pt>
                <c:pt idx="285">
                  <c:v>6.6104321811967029E-2</c:v>
                </c:pt>
                <c:pt idx="286">
                  <c:v>6.5133622690782406E-2</c:v>
                </c:pt>
                <c:pt idx="287">
                  <c:v>5.7313387162385349E-2</c:v>
                </c:pt>
                <c:pt idx="288">
                  <c:v>5.6626155848979974E-2</c:v>
                </c:pt>
                <c:pt idx="289">
                  <c:v>5.5234044987302638E-2</c:v>
                </c:pt>
                <c:pt idx="290">
                  <c:v>5.2008074782686514E-2</c:v>
                </c:pt>
                <c:pt idx="291">
                  <c:v>4.8979547094084322E-2</c:v>
                </c:pt>
                <c:pt idx="292">
                  <c:v>5.6810389493630202E-2</c:v>
                </c:pt>
                <c:pt idx="293">
                  <c:v>5.7692839381218337E-2</c:v>
                </c:pt>
                <c:pt idx="294">
                  <c:v>6.3552378221665651E-2</c:v>
                </c:pt>
                <c:pt idx="295">
                  <c:v>6.4500924971243045E-2</c:v>
                </c:pt>
                <c:pt idx="296">
                  <c:v>5.6068853182096763E-2</c:v>
                </c:pt>
                <c:pt idx="297">
                  <c:v>5.6014504678825169E-2</c:v>
                </c:pt>
                <c:pt idx="298">
                  <c:v>5.4283358897728354E-2</c:v>
                </c:pt>
                <c:pt idx="299">
                  <c:v>5.4876381417219462E-2</c:v>
                </c:pt>
                <c:pt idx="300">
                  <c:v>5.2080246634170477E-2</c:v>
                </c:pt>
                <c:pt idx="301">
                  <c:v>5.4538380221739687E-2</c:v>
                </c:pt>
                <c:pt idx="302">
                  <c:v>5.3808548331305911E-2</c:v>
                </c:pt>
                <c:pt idx="303">
                  <c:v>5.6878585906504152E-2</c:v>
                </c:pt>
                <c:pt idx="304">
                  <c:v>5.5095475669896365E-2</c:v>
                </c:pt>
                <c:pt idx="305">
                  <c:v>5.4194909808791596E-2</c:v>
                </c:pt>
                <c:pt idx="306">
                  <c:v>5.6090659924053987E-2</c:v>
                </c:pt>
                <c:pt idx="307">
                  <c:v>5.640413582888279E-2</c:v>
                </c:pt>
                <c:pt idx="308">
                  <c:v>5.7836307116184434E-2</c:v>
                </c:pt>
                <c:pt idx="309">
                  <c:v>5.7656347368272562E-2</c:v>
                </c:pt>
                <c:pt idx="310">
                  <c:v>5.7613174576880734E-2</c:v>
                </c:pt>
                <c:pt idx="311">
                  <c:v>5.6631541619526507E-2</c:v>
                </c:pt>
                <c:pt idx="312">
                  <c:v>5.7775410867092064E-2</c:v>
                </c:pt>
                <c:pt idx="313">
                  <c:v>5.966738974208699E-2</c:v>
                </c:pt>
                <c:pt idx="314">
                  <c:v>6.2034866876488674E-2</c:v>
                </c:pt>
                <c:pt idx="315">
                  <c:v>6.2363703007880272E-2</c:v>
                </c:pt>
                <c:pt idx="316">
                  <c:v>6.1988697137526527E-2</c:v>
                </c:pt>
                <c:pt idx="317">
                  <c:v>6.2562084141223315E-2</c:v>
                </c:pt>
                <c:pt idx="318">
                  <c:v>6.3468321965717597E-2</c:v>
                </c:pt>
                <c:pt idx="319">
                  <c:v>7.0620840666548682E-2</c:v>
                </c:pt>
                <c:pt idx="320">
                  <c:v>6.6195188131535881E-2</c:v>
                </c:pt>
                <c:pt idx="321">
                  <c:v>6.2311469668951264E-2</c:v>
                </c:pt>
                <c:pt idx="322">
                  <c:v>6.4099037248679783E-2</c:v>
                </c:pt>
                <c:pt idx="323">
                  <c:v>6.2693559791144035E-2</c:v>
                </c:pt>
                <c:pt idx="324">
                  <c:v>6.2359463492788543E-2</c:v>
                </c:pt>
                <c:pt idx="325">
                  <c:v>6.3577572520610665E-2</c:v>
                </c:pt>
                <c:pt idx="326">
                  <c:v>6.4263767494633833E-2</c:v>
                </c:pt>
                <c:pt idx="327">
                  <c:v>7.0301691291859189E-2</c:v>
                </c:pt>
                <c:pt idx="328">
                  <c:v>7.4386158998362442E-2</c:v>
                </c:pt>
                <c:pt idx="329">
                  <c:v>7.3212289295939467E-2</c:v>
                </c:pt>
                <c:pt idx="330">
                  <c:v>7.493105868039128E-2</c:v>
                </c:pt>
                <c:pt idx="331">
                  <c:v>7.6377710707369595E-2</c:v>
                </c:pt>
                <c:pt idx="332">
                  <c:v>7.7605761296657222E-2</c:v>
                </c:pt>
                <c:pt idx="333">
                  <c:v>7.3293490237974476E-2</c:v>
                </c:pt>
                <c:pt idx="334">
                  <c:v>7.2334316060509038E-2</c:v>
                </c:pt>
                <c:pt idx="335">
                  <c:v>7.0005063028588027E-2</c:v>
                </c:pt>
                <c:pt idx="336">
                  <c:v>6.7115678646532548E-2</c:v>
                </c:pt>
                <c:pt idx="337">
                  <c:v>6.7442747209442391E-2</c:v>
                </c:pt>
                <c:pt idx="338">
                  <c:v>6.5904223849772695E-2</c:v>
                </c:pt>
                <c:pt idx="339">
                  <c:v>6.8957825292311981E-2</c:v>
                </c:pt>
                <c:pt idx="340">
                  <c:v>7.3720167233533973E-2</c:v>
                </c:pt>
                <c:pt idx="341">
                  <c:v>7.0243296207687517E-2</c:v>
                </c:pt>
                <c:pt idx="342">
                  <c:v>7.1409707000567438E-2</c:v>
                </c:pt>
                <c:pt idx="343">
                  <c:v>7.3490729986496431E-2</c:v>
                </c:pt>
                <c:pt idx="344">
                  <c:v>7.4164116325968921E-2</c:v>
                </c:pt>
                <c:pt idx="345">
                  <c:v>7.6411633832625434E-2</c:v>
                </c:pt>
                <c:pt idx="346">
                  <c:v>7.0187720247488483E-2</c:v>
                </c:pt>
                <c:pt idx="347">
                  <c:v>7.2517894094782945E-2</c:v>
                </c:pt>
                <c:pt idx="348">
                  <c:v>6.901906347045432E-2</c:v>
                </c:pt>
                <c:pt idx="349">
                  <c:v>6.9171007053159289E-2</c:v>
                </c:pt>
                <c:pt idx="350">
                  <c:v>6.9119967807760224E-2</c:v>
                </c:pt>
                <c:pt idx="351">
                  <c:v>6.8243497026735114E-2</c:v>
                </c:pt>
                <c:pt idx="352">
                  <c:v>6.7829960478771475E-2</c:v>
                </c:pt>
                <c:pt idx="353">
                  <c:v>7.1260426125584253E-2</c:v>
                </c:pt>
                <c:pt idx="354">
                  <c:v>6.9639809056639648E-2</c:v>
                </c:pt>
                <c:pt idx="355">
                  <c:v>6.8806836698474066E-2</c:v>
                </c:pt>
                <c:pt idx="356">
                  <c:v>6.6438579190454969E-2</c:v>
                </c:pt>
                <c:pt idx="357">
                  <c:v>6.5552451035223405E-2</c:v>
                </c:pt>
                <c:pt idx="358">
                  <c:v>6.3231553494352E-2</c:v>
                </c:pt>
                <c:pt idx="359">
                  <c:v>5.7133384818190192E-2</c:v>
                </c:pt>
                <c:pt idx="360">
                  <c:v>5.7749068094195957E-2</c:v>
                </c:pt>
                <c:pt idx="361">
                  <c:v>6.4625819459565706E-2</c:v>
                </c:pt>
                <c:pt idx="362">
                  <c:v>6.5181223658448431E-2</c:v>
                </c:pt>
                <c:pt idx="363">
                  <c:v>6.4591193107501499E-2</c:v>
                </c:pt>
                <c:pt idx="364">
                  <c:v>6.4714498188580202E-2</c:v>
                </c:pt>
                <c:pt idx="365">
                  <c:v>6.4087082956707911E-2</c:v>
                </c:pt>
                <c:pt idx="366">
                  <c:v>6.3129743032080729E-2</c:v>
                </c:pt>
                <c:pt idx="367">
                  <c:v>6.5353534430451735E-2</c:v>
                </c:pt>
                <c:pt idx="368">
                  <c:v>6.4535832743391641E-2</c:v>
                </c:pt>
                <c:pt idx="369">
                  <c:v>6.5993763819863785E-2</c:v>
                </c:pt>
                <c:pt idx="370">
                  <c:v>6.9068211102315383E-2</c:v>
                </c:pt>
                <c:pt idx="371">
                  <c:v>6.793607503604128E-2</c:v>
                </c:pt>
                <c:pt idx="372">
                  <c:v>6.9348102728094413E-2</c:v>
                </c:pt>
                <c:pt idx="373">
                  <c:v>7.0716581545389887E-2</c:v>
                </c:pt>
                <c:pt idx="374">
                  <c:v>7.1975243646348039E-2</c:v>
                </c:pt>
                <c:pt idx="375">
                  <c:v>7.2774969484663846E-2</c:v>
                </c:pt>
                <c:pt idx="376">
                  <c:v>7.3510560213142326E-2</c:v>
                </c:pt>
                <c:pt idx="377">
                  <c:v>7.5197534741192604E-2</c:v>
                </c:pt>
                <c:pt idx="378">
                  <c:v>7.6833501875557847E-2</c:v>
                </c:pt>
                <c:pt idx="379">
                  <c:v>7.6618080617694651E-2</c:v>
                </c:pt>
                <c:pt idx="380">
                  <c:v>7.5814303925766477E-2</c:v>
                </c:pt>
                <c:pt idx="381">
                  <c:v>7.6723591902520497E-2</c:v>
                </c:pt>
                <c:pt idx="382">
                  <c:v>8.123748409293885E-2</c:v>
                </c:pt>
                <c:pt idx="383">
                  <c:v>7.9720589518656626E-2</c:v>
                </c:pt>
                <c:pt idx="384">
                  <c:v>8.290181223033169E-2</c:v>
                </c:pt>
                <c:pt idx="385">
                  <c:v>8.010007326721931E-2</c:v>
                </c:pt>
                <c:pt idx="386">
                  <c:v>8.2054785639062169E-2</c:v>
                </c:pt>
                <c:pt idx="387">
                  <c:v>8.1913022238373004E-2</c:v>
                </c:pt>
                <c:pt idx="388">
                  <c:v>8.3499623490883385E-2</c:v>
                </c:pt>
                <c:pt idx="389">
                  <c:v>8.0847572990655078E-2</c:v>
                </c:pt>
                <c:pt idx="390">
                  <c:v>7.8557019228592317E-2</c:v>
                </c:pt>
                <c:pt idx="391">
                  <c:v>8.0581702801714616E-2</c:v>
                </c:pt>
                <c:pt idx="392">
                  <c:v>8.3575302971134691E-2</c:v>
                </c:pt>
                <c:pt idx="393">
                  <c:v>8.4680752130802575E-2</c:v>
                </c:pt>
                <c:pt idx="394">
                  <c:v>9.737774847640876E-2</c:v>
                </c:pt>
                <c:pt idx="395">
                  <c:v>9.2845213495447415E-2</c:v>
                </c:pt>
                <c:pt idx="396">
                  <c:v>9.1597418487562213E-2</c:v>
                </c:pt>
                <c:pt idx="397">
                  <c:v>9.7293491196986243E-2</c:v>
                </c:pt>
                <c:pt idx="398">
                  <c:v>0.11475493391518163</c:v>
                </c:pt>
                <c:pt idx="399">
                  <c:v>0.11105426030057576</c:v>
                </c:pt>
                <c:pt idx="400">
                  <c:v>9.481699106262928E-2</c:v>
                </c:pt>
                <c:pt idx="401">
                  <c:v>8.8400077708963284E-2</c:v>
                </c:pt>
                <c:pt idx="402">
                  <c:v>8.62700189066231E-2</c:v>
                </c:pt>
                <c:pt idx="403">
                  <c:v>9.1984390619434142E-2</c:v>
                </c:pt>
                <c:pt idx="404">
                  <c:v>0.10253562601602609</c:v>
                </c:pt>
                <c:pt idx="405">
                  <c:v>0.10396095729619176</c:v>
                </c:pt>
                <c:pt idx="406">
                  <c:v>0.10993302007801067</c:v>
                </c:pt>
                <c:pt idx="407">
                  <c:v>0.11252907289404834</c:v>
                </c:pt>
                <c:pt idx="408">
                  <c:v>0.10811336781124925</c:v>
                </c:pt>
                <c:pt idx="409">
                  <c:v>0.11018333513652347</c:v>
                </c:pt>
                <c:pt idx="410">
                  <c:v>0.1171940011377041</c:v>
                </c:pt>
                <c:pt idx="411">
                  <c:v>0.11470095030612219</c:v>
                </c:pt>
                <c:pt idx="412">
                  <c:v>0.12198568586169975</c:v>
                </c:pt>
                <c:pt idx="413">
                  <c:v>0.11774514769489097</c:v>
                </c:pt>
                <c:pt idx="414">
                  <c:v>0.12069894263522815</c:v>
                </c:pt>
                <c:pt idx="415">
                  <c:v>0.12768499232676683</c:v>
                </c:pt>
                <c:pt idx="416">
                  <c:v>0.13349717508403688</c:v>
                </c:pt>
                <c:pt idx="417">
                  <c:v>0.13531083887577045</c:v>
                </c:pt>
                <c:pt idx="418">
                  <c:v>0.12543222795194903</c:v>
                </c:pt>
                <c:pt idx="419">
                  <c:v>0.11265941683374259</c:v>
                </c:pt>
                <c:pt idx="420">
                  <c:v>0.12070341798196582</c:v>
                </c:pt>
                <c:pt idx="421">
                  <c:v>0.12192904393143336</c:v>
                </c:pt>
                <c:pt idx="422">
                  <c:v>0.12056969985935131</c:v>
                </c:pt>
                <c:pt idx="423">
                  <c:v>0.12215187657724726</c:v>
                </c:pt>
                <c:pt idx="424">
                  <c:v>0.11859220025930531</c:v>
                </c:pt>
                <c:pt idx="425">
                  <c:v>0.11845162872722849</c:v>
                </c:pt>
                <c:pt idx="426">
                  <c:v>0.12454117105590121</c:v>
                </c:pt>
                <c:pt idx="427">
                  <c:v>0.11747066812063624</c:v>
                </c:pt>
                <c:pt idx="428">
                  <c:v>0.11039406984952616</c:v>
                </c:pt>
                <c:pt idx="429">
                  <c:v>0.10411315013831519</c:v>
                </c:pt>
                <c:pt idx="430">
                  <c:v>9.6735411082126022E-2</c:v>
                </c:pt>
                <c:pt idx="431">
                  <c:v>9.6439373400544981E-2</c:v>
                </c:pt>
                <c:pt idx="432">
                  <c:v>9.33247527528836E-2</c:v>
                </c:pt>
                <c:pt idx="433">
                  <c:v>9.5264695153812015E-2</c:v>
                </c:pt>
                <c:pt idx="434">
                  <c:v>8.9846203789680223E-2</c:v>
                </c:pt>
                <c:pt idx="435">
                  <c:v>9.3384680537414264E-2</c:v>
                </c:pt>
                <c:pt idx="436">
                  <c:v>9.0531314730908502E-2</c:v>
                </c:pt>
                <c:pt idx="437">
                  <c:v>9.5061929674895601E-2</c:v>
                </c:pt>
                <c:pt idx="438">
                  <c:v>9.6475160050183348E-2</c:v>
                </c:pt>
                <c:pt idx="439">
                  <c:v>0.10314931031051845</c:v>
                </c:pt>
                <c:pt idx="440">
                  <c:v>0.1042658494170092</c:v>
                </c:pt>
                <c:pt idx="441">
                  <c:v>9.9810796813453728E-2</c:v>
                </c:pt>
                <c:pt idx="442">
                  <c:v>0.10113715343708073</c:v>
                </c:pt>
                <c:pt idx="443">
                  <c:v>0.10080174666274103</c:v>
                </c:pt>
                <c:pt idx="444">
                  <c:v>0.10218325444451494</c:v>
                </c:pt>
                <c:pt idx="445">
                  <c:v>0.10042305749773968</c:v>
                </c:pt>
                <c:pt idx="446">
                  <c:v>0.10359170419171809</c:v>
                </c:pt>
                <c:pt idx="447">
                  <c:v>0.10731961760153744</c:v>
                </c:pt>
                <c:pt idx="448">
                  <c:v>0.10946925164732342</c:v>
                </c:pt>
                <c:pt idx="449">
                  <c:v>0.11811234049660997</c:v>
                </c:pt>
                <c:pt idx="450">
                  <c:v>0.11776350412193616</c:v>
                </c:pt>
                <c:pt idx="451">
                  <c:v>0.11111873716153589</c:v>
                </c:pt>
                <c:pt idx="452">
                  <c:v>0.11072469827217815</c:v>
                </c:pt>
                <c:pt idx="453">
                  <c:v>0.10839379183122831</c:v>
                </c:pt>
                <c:pt idx="454">
                  <c:v>0.10200692987833812</c:v>
                </c:pt>
                <c:pt idx="455">
                  <c:v>0.1004572484518939</c:v>
                </c:pt>
                <c:pt idx="456">
                  <c:v>9.9465334880718279E-2</c:v>
                </c:pt>
                <c:pt idx="457">
                  <c:v>9.6921074982345271E-2</c:v>
                </c:pt>
                <c:pt idx="458">
                  <c:v>0.10271470623613597</c:v>
                </c:pt>
                <c:pt idx="459">
                  <c:v>0.10091390588618114</c:v>
                </c:pt>
                <c:pt idx="460">
                  <c:v>9.7959916559160476E-2</c:v>
                </c:pt>
                <c:pt idx="461">
                  <c:v>8.9505624839734316E-2</c:v>
                </c:pt>
                <c:pt idx="462">
                  <c:v>8.9288492816456927E-2</c:v>
                </c:pt>
                <c:pt idx="463">
                  <c:v>9.1975002229356104E-2</c:v>
                </c:pt>
                <c:pt idx="464">
                  <c:v>8.9106016763366575E-2</c:v>
                </c:pt>
                <c:pt idx="465">
                  <c:v>8.9506379080822165E-2</c:v>
                </c:pt>
                <c:pt idx="466">
                  <c:v>8.6868744735172226E-2</c:v>
                </c:pt>
                <c:pt idx="467">
                  <c:v>8.4315228423395172E-2</c:v>
                </c:pt>
                <c:pt idx="468">
                  <c:v>7.887222026080451E-2</c:v>
                </c:pt>
                <c:pt idx="469">
                  <c:v>7.9784384531202068E-2</c:v>
                </c:pt>
                <c:pt idx="470">
                  <c:v>7.4110595314427499E-2</c:v>
                </c:pt>
                <c:pt idx="471">
                  <c:v>6.8106779284080612E-2</c:v>
                </c:pt>
                <c:pt idx="472">
                  <c:v>6.8048555224806795E-2</c:v>
                </c:pt>
                <c:pt idx="473">
                  <c:v>7.4119722565534368E-2</c:v>
                </c:pt>
                <c:pt idx="474">
                  <c:v>6.8512437753739511E-2</c:v>
                </c:pt>
                <c:pt idx="475">
                  <c:v>6.7376085094197902E-2</c:v>
                </c:pt>
                <c:pt idx="476">
                  <c:v>6.2555700991073229E-2</c:v>
                </c:pt>
                <c:pt idx="477">
                  <c:v>6.7598620979692561E-2</c:v>
                </c:pt>
                <c:pt idx="478">
                  <c:v>6.499226647080944E-2</c:v>
                </c:pt>
                <c:pt idx="479">
                  <c:v>6.3263713708615235E-2</c:v>
                </c:pt>
                <c:pt idx="480">
                  <c:v>6.3953676724183089E-2</c:v>
                </c:pt>
                <c:pt idx="481">
                  <c:v>6.3658887532803785E-2</c:v>
                </c:pt>
                <c:pt idx="482">
                  <c:v>6.3467121834445056E-2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27-44AD-90C6-FF54B2E9F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6915936"/>
        <c:axId val="1"/>
      </c:lineChart>
      <c:catAx>
        <c:axId val="876915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24"/>
        <c:tickMarkSkip val="12"/>
        <c:noMultiLvlLbl val="0"/>
      </c:catAx>
      <c:valAx>
        <c:axId val="1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76915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730388817329354"/>
          <c:y val="0.65445047091354303"/>
          <c:w val="0.23651488221716493"/>
          <c:h val="0.102094273462512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4</xdr:col>
          <xdr:colOff>53340</xdr:colOff>
          <xdr:row>17</xdr:row>
          <xdr:rowOff>26670</xdr:rowOff>
        </xdr:to>
        <xdr:sp macro="" textlink="">
          <xdr:nvSpPr>
            <xdr:cNvPr id="2049" name="Pictur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81A1808-0AFF-4B1B-BB87-CCDA3DDF6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AEACE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4</xdr:col>
          <xdr:colOff>53340</xdr:colOff>
          <xdr:row>17</xdr:row>
          <xdr:rowOff>26670</xdr:rowOff>
        </xdr:to>
        <xdr:sp macro="" textlink="">
          <xdr:nvSpPr>
            <xdr:cNvPr id="2050" name="Pictur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EE54BF7-EDC6-48FD-BE5E-F21110786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AEACE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23</xdr:row>
          <xdr:rowOff>99060</xdr:rowOff>
        </xdr:from>
        <xdr:to>
          <xdr:col>5</xdr:col>
          <xdr:colOff>434340</xdr:colOff>
          <xdr:row>31</xdr:row>
          <xdr:rowOff>76200</xdr:rowOff>
        </xdr:to>
        <xdr:sp macro="" textlink="">
          <xdr:nvSpPr>
            <xdr:cNvPr id="2051" name="Picture 4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676EB461-3B2C-47BC-9444-DEC20CDD6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AEACE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3</xdr:row>
      <xdr:rowOff>7620</xdr:rowOff>
    </xdr:from>
    <xdr:to>
      <xdr:col>11</xdr:col>
      <xdr:colOff>7620</xdr:colOff>
      <xdr:row>24</xdr:row>
      <xdr:rowOff>45720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34FCCBAC-972C-489D-824A-F6FE839DE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419100</xdr:colOff>
          <xdr:row>15</xdr:row>
          <xdr:rowOff>57150</xdr:rowOff>
        </xdr:to>
        <xdr:sp macro="" textlink="">
          <xdr:nvSpPr>
            <xdr:cNvPr id="5121" name="Picture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58880A4-C1D8-4304-9035-4D70B594E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AEACE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273844</xdr:colOff>
      <xdr:row>19</xdr:row>
      <xdr:rowOff>0</xdr:rowOff>
    </xdr:from>
    <xdr:to>
      <xdr:col>16</xdr:col>
      <xdr:colOff>400947</xdr:colOff>
      <xdr:row>47</xdr:row>
      <xdr:rowOff>83554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51383CF-613F-1546-DC88-DF46DAA14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844" y="3280172"/>
          <a:ext cx="9842603" cy="49174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5-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5-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cCulloch data set"/>
      <sheetName val="Exercise 25-7.a"/>
      <sheetName val="练习25-7.a "/>
      <sheetName val="Exercise 25-7.b"/>
      <sheetName val="练习 25-7.b "/>
      <sheetName val="Exercise 25-7.c"/>
      <sheetName val="练习 25-7.c "/>
      <sheetName val="VBA duration"/>
      <sheetName val="Exercise 27-7.d"/>
      <sheetName val="练习 27-7.d "/>
      <sheetName val="Exercise 25-7.e"/>
      <sheetName val="练习 25-7.e "/>
    </sheetNames>
    <sheetDataSet>
      <sheetData sheetId="0">
        <row r="5">
          <cell r="J5">
            <v>0.72</v>
          </cell>
          <cell r="K5">
            <v>0.95</v>
          </cell>
          <cell r="L5">
            <v>1.1499999999999999</v>
          </cell>
          <cell r="M5">
            <v>1.3</v>
          </cell>
          <cell r="N5">
            <v>1.41</v>
          </cell>
          <cell r="O5">
            <v>1.82</v>
          </cell>
        </row>
        <row r="6">
          <cell r="J6">
            <v>0.72</v>
          </cell>
          <cell r="K6">
            <v>0.94</v>
          </cell>
          <cell r="L6">
            <v>1.1200000000000001</v>
          </cell>
          <cell r="M6">
            <v>1.27</v>
          </cell>
          <cell r="N6">
            <v>1.39</v>
          </cell>
          <cell r="O6">
            <v>1.82</v>
          </cell>
        </row>
        <row r="7">
          <cell r="J7">
            <v>0.71</v>
          </cell>
          <cell r="K7">
            <v>0.95</v>
          </cell>
          <cell r="L7">
            <v>1.1399999999999999</v>
          </cell>
          <cell r="M7">
            <v>1.29</v>
          </cell>
          <cell r="N7">
            <v>1.41</v>
          </cell>
          <cell r="O7">
            <v>1.82</v>
          </cell>
        </row>
        <row r="8">
          <cell r="J8">
            <v>0.74</v>
          </cell>
          <cell r="K8">
            <v>0.94</v>
          </cell>
          <cell r="L8">
            <v>1.1000000000000001</v>
          </cell>
          <cell r="M8">
            <v>1.25</v>
          </cell>
          <cell r="N8">
            <v>1.36</v>
          </cell>
          <cell r="O8">
            <v>1.8</v>
          </cell>
        </row>
        <row r="9">
          <cell r="J9">
            <v>0.78</v>
          </cell>
          <cell r="K9">
            <v>1</v>
          </cell>
          <cell r="L9">
            <v>1.17</v>
          </cell>
          <cell r="M9">
            <v>1.31</v>
          </cell>
          <cell r="N9">
            <v>1.42</v>
          </cell>
          <cell r="O9">
            <v>1.81</v>
          </cell>
        </row>
        <row r="10">
          <cell r="J10">
            <v>0.83</v>
          </cell>
          <cell r="K10">
            <v>1.02</v>
          </cell>
          <cell r="L10">
            <v>1.17</v>
          </cell>
          <cell r="M10">
            <v>1.3</v>
          </cell>
          <cell r="N10">
            <v>1.4</v>
          </cell>
          <cell r="O10">
            <v>1.81</v>
          </cell>
        </row>
        <row r="11">
          <cell r="J11">
            <v>0.82</v>
          </cell>
          <cell r="K11">
            <v>1.02</v>
          </cell>
          <cell r="L11">
            <v>1.19</v>
          </cell>
          <cell r="M11">
            <v>1.32</v>
          </cell>
          <cell r="N11">
            <v>1.43</v>
          </cell>
          <cell r="O11">
            <v>1.85</v>
          </cell>
        </row>
        <row r="12">
          <cell r="J12">
            <v>0.93</v>
          </cell>
          <cell r="K12">
            <v>1.1000000000000001</v>
          </cell>
          <cell r="L12">
            <v>1.23</v>
          </cell>
          <cell r="M12">
            <v>1.34</v>
          </cell>
          <cell r="N12">
            <v>1.43</v>
          </cell>
          <cell r="O12">
            <v>1.83</v>
          </cell>
        </row>
        <row r="13">
          <cell r="J13">
            <v>1.05</v>
          </cell>
          <cell r="K13">
            <v>1.1200000000000001</v>
          </cell>
          <cell r="L13">
            <v>1.19</v>
          </cell>
          <cell r="M13">
            <v>1.26</v>
          </cell>
          <cell r="N13">
            <v>1.35</v>
          </cell>
          <cell r="O13">
            <v>1.81</v>
          </cell>
        </row>
        <row r="14">
          <cell r="J14">
            <v>1.08</v>
          </cell>
          <cell r="K14">
            <v>1.1499999999999999</v>
          </cell>
          <cell r="L14">
            <v>1.22</v>
          </cell>
          <cell r="M14">
            <v>1.31</v>
          </cell>
          <cell r="N14">
            <v>1.4</v>
          </cell>
          <cell r="O14">
            <v>1.85</v>
          </cell>
        </row>
        <row r="15">
          <cell r="J15">
            <v>1.18</v>
          </cell>
          <cell r="K15">
            <v>1.28</v>
          </cell>
          <cell r="L15">
            <v>1.37</v>
          </cell>
          <cell r="M15">
            <v>1.45</v>
          </cell>
          <cell r="N15">
            <v>1.54</v>
          </cell>
          <cell r="O15">
            <v>1.95</v>
          </cell>
        </row>
        <row r="16">
          <cell r="J16">
            <v>1.2</v>
          </cell>
          <cell r="K16">
            <v>1.32</v>
          </cell>
          <cell r="L16">
            <v>1.43</v>
          </cell>
          <cell r="M16">
            <v>1.53</v>
          </cell>
          <cell r="N16">
            <v>1.63</v>
          </cell>
          <cell r="O16">
            <v>2.06</v>
          </cell>
        </row>
        <row r="17">
          <cell r="J17">
            <v>1.1100000000000001</v>
          </cell>
          <cell r="K17">
            <v>1.34</v>
          </cell>
          <cell r="L17">
            <v>1.52</v>
          </cell>
          <cell r="M17">
            <v>1.66</v>
          </cell>
          <cell r="N17">
            <v>1.78</v>
          </cell>
          <cell r="O17">
            <v>2.1800000000000002</v>
          </cell>
        </row>
        <row r="18">
          <cell r="J18">
            <v>1.08</v>
          </cell>
          <cell r="K18">
            <v>1.32</v>
          </cell>
          <cell r="L18">
            <v>1.52</v>
          </cell>
          <cell r="M18">
            <v>1.66</v>
          </cell>
          <cell r="N18">
            <v>1.78</v>
          </cell>
          <cell r="O18">
            <v>2.19</v>
          </cell>
        </row>
        <row r="19">
          <cell r="J19">
            <v>1.1100000000000001</v>
          </cell>
          <cell r="K19">
            <v>1.33</v>
          </cell>
          <cell r="L19">
            <v>1.51</v>
          </cell>
          <cell r="M19">
            <v>1.64</v>
          </cell>
          <cell r="N19">
            <v>1.76</v>
          </cell>
          <cell r="O19">
            <v>2.17</v>
          </cell>
        </row>
        <row r="20">
          <cell r="J20">
            <v>1.1399999999999999</v>
          </cell>
          <cell r="K20">
            <v>1.33</v>
          </cell>
          <cell r="L20">
            <v>1.5</v>
          </cell>
          <cell r="M20">
            <v>1.63</v>
          </cell>
          <cell r="N20">
            <v>1.74</v>
          </cell>
          <cell r="O20">
            <v>2.17</v>
          </cell>
        </row>
        <row r="21">
          <cell r="J21">
            <v>1.1499999999999999</v>
          </cell>
          <cell r="K21">
            <v>1.33</v>
          </cell>
          <cell r="L21">
            <v>1.48</v>
          </cell>
          <cell r="M21">
            <v>1.6</v>
          </cell>
          <cell r="N21">
            <v>1.72</v>
          </cell>
          <cell r="O21">
            <v>2.16</v>
          </cell>
        </row>
        <row r="22">
          <cell r="J22">
            <v>1.1200000000000001</v>
          </cell>
          <cell r="K22">
            <v>1.25</v>
          </cell>
          <cell r="L22">
            <v>1.37</v>
          </cell>
          <cell r="M22">
            <v>1.48</v>
          </cell>
          <cell r="N22">
            <v>1.6</v>
          </cell>
          <cell r="O22">
            <v>2.08</v>
          </cell>
        </row>
        <row r="23">
          <cell r="J23">
            <v>1.1499999999999999</v>
          </cell>
          <cell r="K23">
            <v>1.32</v>
          </cell>
          <cell r="L23">
            <v>1.46</v>
          </cell>
          <cell r="M23">
            <v>1.58</v>
          </cell>
          <cell r="N23">
            <v>1.7</v>
          </cell>
          <cell r="O23">
            <v>2.1800000000000002</v>
          </cell>
        </row>
        <row r="24">
          <cell r="J24">
            <v>1.1599999999999999</v>
          </cell>
          <cell r="K24">
            <v>1.37</v>
          </cell>
          <cell r="L24">
            <v>1.53</v>
          </cell>
          <cell r="M24">
            <v>1.65</v>
          </cell>
          <cell r="N24">
            <v>1.77</v>
          </cell>
          <cell r="O24">
            <v>2.19</v>
          </cell>
        </row>
        <row r="25">
          <cell r="J25">
            <v>1.21</v>
          </cell>
          <cell r="K25">
            <v>1.43</v>
          </cell>
          <cell r="L25">
            <v>1.59</v>
          </cell>
          <cell r="M25">
            <v>1.71</v>
          </cell>
          <cell r="N25">
            <v>1.81</v>
          </cell>
          <cell r="O25">
            <v>2.2000000000000002</v>
          </cell>
        </row>
        <row r="26">
          <cell r="J26">
            <v>1.28</v>
          </cell>
          <cell r="K26">
            <v>1.48</v>
          </cell>
          <cell r="L26">
            <v>1.62</v>
          </cell>
          <cell r="M26">
            <v>1.73</v>
          </cell>
          <cell r="N26">
            <v>1.82</v>
          </cell>
          <cell r="O26">
            <v>2.19</v>
          </cell>
        </row>
        <row r="27">
          <cell r="J27">
            <v>1.29</v>
          </cell>
          <cell r="K27">
            <v>1.51</v>
          </cell>
          <cell r="L27">
            <v>1.65</v>
          </cell>
          <cell r="M27">
            <v>1.77</v>
          </cell>
          <cell r="N27">
            <v>1.86</v>
          </cell>
          <cell r="O27">
            <v>2.2200000000000002</v>
          </cell>
        </row>
        <row r="28">
          <cell r="J28">
            <v>1.28</v>
          </cell>
          <cell r="K28">
            <v>1.46</v>
          </cell>
          <cell r="L28">
            <v>1.59</v>
          </cell>
          <cell r="M28">
            <v>1.7</v>
          </cell>
          <cell r="N28">
            <v>1.8</v>
          </cell>
          <cell r="O28">
            <v>2.2000000000000002</v>
          </cell>
        </row>
        <row r="29">
          <cell r="J29">
            <v>1.28</v>
          </cell>
          <cell r="K29">
            <v>1.4</v>
          </cell>
          <cell r="L29">
            <v>1.52</v>
          </cell>
          <cell r="M29">
            <v>1.63</v>
          </cell>
          <cell r="N29">
            <v>1.74</v>
          </cell>
          <cell r="O29">
            <v>2.1800000000000002</v>
          </cell>
        </row>
        <row r="30">
          <cell r="J30">
            <v>1.25</v>
          </cell>
          <cell r="K30">
            <v>1.35</v>
          </cell>
          <cell r="L30">
            <v>1.46</v>
          </cell>
          <cell r="M30">
            <v>1.57</v>
          </cell>
          <cell r="N30">
            <v>1.68</v>
          </cell>
          <cell r="O30">
            <v>2.14</v>
          </cell>
        </row>
        <row r="31">
          <cell r="J31">
            <v>1.23</v>
          </cell>
          <cell r="K31">
            <v>1.36</v>
          </cell>
          <cell r="L31">
            <v>1.48</v>
          </cell>
          <cell r="M31">
            <v>1.59</v>
          </cell>
          <cell r="N31">
            <v>1.69</v>
          </cell>
          <cell r="O31">
            <v>2.13</v>
          </cell>
        </row>
        <row r="32">
          <cell r="J32">
            <v>1.26</v>
          </cell>
          <cell r="K32">
            <v>1.34</v>
          </cell>
          <cell r="L32">
            <v>1.43</v>
          </cell>
          <cell r="M32">
            <v>1.53</v>
          </cell>
          <cell r="N32">
            <v>1.64</v>
          </cell>
          <cell r="O32">
            <v>2.1</v>
          </cell>
        </row>
        <row r="33">
          <cell r="J33">
            <v>1.23</v>
          </cell>
          <cell r="K33">
            <v>1.33</v>
          </cell>
          <cell r="L33">
            <v>1.43</v>
          </cell>
          <cell r="M33">
            <v>1.54</v>
          </cell>
          <cell r="N33">
            <v>1.64</v>
          </cell>
          <cell r="O33">
            <v>2.1</v>
          </cell>
        </row>
        <row r="34">
          <cell r="J34">
            <v>1.24</v>
          </cell>
          <cell r="K34">
            <v>1.31</v>
          </cell>
          <cell r="L34">
            <v>1.4</v>
          </cell>
          <cell r="M34">
            <v>1.5</v>
          </cell>
          <cell r="N34">
            <v>1.6</v>
          </cell>
          <cell r="O34">
            <v>2.09</v>
          </cell>
        </row>
        <row r="35">
          <cell r="J35">
            <v>1.18</v>
          </cell>
          <cell r="K35">
            <v>1.17</v>
          </cell>
          <cell r="L35">
            <v>1.24</v>
          </cell>
          <cell r="M35">
            <v>1.34</v>
          </cell>
          <cell r="N35">
            <v>1.46</v>
          </cell>
          <cell r="O35">
            <v>2</v>
          </cell>
        </row>
        <row r="36">
          <cell r="J36">
            <v>1.0900000000000001</v>
          </cell>
          <cell r="K36">
            <v>1.1000000000000001</v>
          </cell>
          <cell r="L36">
            <v>1.19</v>
          </cell>
          <cell r="M36">
            <v>1.31</v>
          </cell>
          <cell r="N36">
            <v>1.43</v>
          </cell>
          <cell r="O36">
            <v>1.98</v>
          </cell>
        </row>
        <row r="37">
          <cell r="J37">
            <v>1.1000000000000001</v>
          </cell>
          <cell r="K37">
            <v>1.1200000000000001</v>
          </cell>
          <cell r="L37">
            <v>1.2</v>
          </cell>
          <cell r="M37">
            <v>1.3</v>
          </cell>
          <cell r="N37">
            <v>1.4</v>
          </cell>
          <cell r="O37">
            <v>1.91</v>
          </cell>
        </row>
        <row r="38">
          <cell r="J38">
            <v>1.0900000000000001</v>
          </cell>
          <cell r="K38">
            <v>1.1000000000000001</v>
          </cell>
          <cell r="L38">
            <v>1.18</v>
          </cell>
          <cell r="M38">
            <v>1.29</v>
          </cell>
          <cell r="N38">
            <v>1.4</v>
          </cell>
          <cell r="O38">
            <v>1.92</v>
          </cell>
        </row>
        <row r="39">
          <cell r="J39">
            <v>1.1100000000000001</v>
          </cell>
          <cell r="K39">
            <v>1.1200000000000001</v>
          </cell>
          <cell r="L39">
            <v>1.2</v>
          </cell>
          <cell r="M39">
            <v>1.31</v>
          </cell>
          <cell r="N39">
            <v>1.42</v>
          </cell>
          <cell r="O39">
            <v>1.92</v>
          </cell>
        </row>
        <row r="40">
          <cell r="J40">
            <v>1.1499999999999999</v>
          </cell>
          <cell r="K40">
            <v>1.1399999999999999</v>
          </cell>
          <cell r="L40">
            <v>1.21</v>
          </cell>
          <cell r="M40">
            <v>1.31</v>
          </cell>
          <cell r="N40">
            <v>1.42</v>
          </cell>
          <cell r="O40">
            <v>1.91</v>
          </cell>
        </row>
        <row r="41">
          <cell r="J41">
            <v>1.1200000000000001</v>
          </cell>
          <cell r="K41">
            <v>1.1399999999999999</v>
          </cell>
          <cell r="L41">
            <v>1.22</v>
          </cell>
          <cell r="M41">
            <v>1.31</v>
          </cell>
          <cell r="N41">
            <v>1.4</v>
          </cell>
          <cell r="O41">
            <v>1.87</v>
          </cell>
        </row>
        <row r="42">
          <cell r="J42">
            <v>1.1499999999999999</v>
          </cell>
          <cell r="K42">
            <v>1.1599999999999999</v>
          </cell>
          <cell r="L42">
            <v>1.25</v>
          </cell>
          <cell r="M42">
            <v>1.36</v>
          </cell>
          <cell r="N42">
            <v>1.47</v>
          </cell>
          <cell r="O42">
            <v>1.96</v>
          </cell>
        </row>
        <row r="43">
          <cell r="J43">
            <v>1.17</v>
          </cell>
          <cell r="K43">
            <v>1.17</v>
          </cell>
          <cell r="L43">
            <v>1.25</v>
          </cell>
          <cell r="M43">
            <v>1.36</v>
          </cell>
          <cell r="N43">
            <v>1.48</v>
          </cell>
          <cell r="O43">
            <v>1.99</v>
          </cell>
        </row>
        <row r="44">
          <cell r="J44">
            <v>1.21</v>
          </cell>
          <cell r="K44">
            <v>1.2</v>
          </cell>
          <cell r="L44">
            <v>1.28</v>
          </cell>
          <cell r="M44">
            <v>1.39</v>
          </cell>
          <cell r="N44">
            <v>1.51</v>
          </cell>
          <cell r="O44">
            <v>2.02</v>
          </cell>
        </row>
        <row r="45">
          <cell r="J45">
            <v>1.26</v>
          </cell>
          <cell r="K45">
            <v>1.26</v>
          </cell>
          <cell r="L45">
            <v>1.34</v>
          </cell>
          <cell r="M45">
            <v>1.45</v>
          </cell>
          <cell r="N45">
            <v>1.56</v>
          </cell>
          <cell r="O45">
            <v>2.0499999999999998</v>
          </cell>
        </row>
        <row r="46">
          <cell r="J46">
            <v>1.27</v>
          </cell>
          <cell r="K46">
            <v>1.24</v>
          </cell>
          <cell r="L46">
            <v>1.32</v>
          </cell>
          <cell r="M46">
            <v>1.43</v>
          </cell>
          <cell r="N46">
            <v>1.55</v>
          </cell>
          <cell r="O46">
            <v>2.0699999999999998</v>
          </cell>
        </row>
        <row r="47">
          <cell r="J47">
            <v>1.29</v>
          </cell>
          <cell r="K47">
            <v>1.3</v>
          </cell>
          <cell r="L47">
            <v>1.39</v>
          </cell>
          <cell r="M47">
            <v>1.49</v>
          </cell>
          <cell r="N47">
            <v>1.6</v>
          </cell>
          <cell r="O47">
            <v>2.1</v>
          </cell>
        </row>
        <row r="48">
          <cell r="J48">
            <v>1.29</v>
          </cell>
          <cell r="K48">
            <v>1.25</v>
          </cell>
          <cell r="L48">
            <v>1.33</v>
          </cell>
          <cell r="M48">
            <v>1.44</v>
          </cell>
          <cell r="N48">
            <v>1.56</v>
          </cell>
          <cell r="O48">
            <v>2.11</v>
          </cell>
        </row>
        <row r="49">
          <cell r="J49">
            <v>1.36</v>
          </cell>
          <cell r="K49">
            <v>1.34</v>
          </cell>
          <cell r="L49">
            <v>1.41</v>
          </cell>
          <cell r="M49">
            <v>1.51</v>
          </cell>
          <cell r="N49">
            <v>1.62</v>
          </cell>
          <cell r="O49">
            <v>2.12</v>
          </cell>
        </row>
        <row r="50">
          <cell r="J50">
            <v>1.43</v>
          </cell>
          <cell r="K50">
            <v>1.44</v>
          </cell>
          <cell r="L50">
            <v>1.52</v>
          </cell>
          <cell r="M50">
            <v>1.61</v>
          </cell>
          <cell r="N50">
            <v>1.7</v>
          </cell>
          <cell r="O50">
            <v>2.15</v>
          </cell>
        </row>
        <row r="51">
          <cell r="J51">
            <v>1.52</v>
          </cell>
          <cell r="K51">
            <v>1.56</v>
          </cell>
          <cell r="L51">
            <v>1.64</v>
          </cell>
          <cell r="M51">
            <v>1.72</v>
          </cell>
          <cell r="N51">
            <v>1.8</v>
          </cell>
          <cell r="O51">
            <v>2.19</v>
          </cell>
        </row>
        <row r="52">
          <cell r="J52">
            <v>1.49</v>
          </cell>
          <cell r="K52">
            <v>1.52</v>
          </cell>
          <cell r="L52">
            <v>1.6</v>
          </cell>
          <cell r="M52">
            <v>1.7</v>
          </cell>
          <cell r="N52">
            <v>1.8</v>
          </cell>
          <cell r="O52">
            <v>2.2200000000000002</v>
          </cell>
        </row>
        <row r="53">
          <cell r="J53">
            <v>1.55</v>
          </cell>
          <cell r="K53">
            <v>1.52</v>
          </cell>
          <cell r="L53">
            <v>1.59</v>
          </cell>
          <cell r="M53">
            <v>1.68</v>
          </cell>
          <cell r="N53">
            <v>1.78</v>
          </cell>
          <cell r="O53">
            <v>2.23</v>
          </cell>
        </row>
        <row r="54">
          <cell r="J54">
            <v>1.57</v>
          </cell>
          <cell r="K54">
            <v>1.57</v>
          </cell>
          <cell r="L54">
            <v>1.63</v>
          </cell>
          <cell r="M54">
            <v>1.7</v>
          </cell>
          <cell r="N54">
            <v>1.77</v>
          </cell>
          <cell r="O54">
            <v>2.1800000000000002</v>
          </cell>
        </row>
        <row r="55">
          <cell r="J55">
            <v>1.55</v>
          </cell>
          <cell r="K55">
            <v>1.55</v>
          </cell>
          <cell r="L55">
            <v>1.62</v>
          </cell>
          <cell r="M55">
            <v>1.71</v>
          </cell>
          <cell r="N55">
            <v>1.81</v>
          </cell>
          <cell r="O55">
            <v>2.25</v>
          </cell>
        </row>
        <row r="56">
          <cell r="J56">
            <v>1.76</v>
          </cell>
          <cell r="K56">
            <v>1.87</v>
          </cell>
          <cell r="L56">
            <v>1.96</v>
          </cell>
          <cell r="M56">
            <v>2.0299999999999998</v>
          </cell>
          <cell r="N56">
            <v>2.08</v>
          </cell>
          <cell r="O56">
            <v>2.31</v>
          </cell>
        </row>
        <row r="57">
          <cell r="J57">
            <v>1.77</v>
          </cell>
          <cell r="K57">
            <v>1.85</v>
          </cell>
          <cell r="L57">
            <v>1.92</v>
          </cell>
          <cell r="M57">
            <v>2</v>
          </cell>
          <cell r="N57">
            <v>2.0699999999999998</v>
          </cell>
          <cell r="O57">
            <v>2.4</v>
          </cell>
        </row>
        <row r="58">
          <cell r="J58">
            <v>1.81</v>
          </cell>
          <cell r="K58">
            <v>1.89</v>
          </cell>
          <cell r="L58">
            <v>1.97</v>
          </cell>
          <cell r="M58">
            <v>2.06</v>
          </cell>
          <cell r="N58">
            <v>2.16</v>
          </cell>
          <cell r="O58">
            <v>2.56</v>
          </cell>
        </row>
        <row r="59">
          <cell r="J59">
            <v>1.81</v>
          </cell>
          <cell r="K59">
            <v>1.84</v>
          </cell>
          <cell r="L59">
            <v>1.93</v>
          </cell>
          <cell r="M59">
            <v>2.02</v>
          </cell>
          <cell r="N59">
            <v>2.11</v>
          </cell>
          <cell r="O59">
            <v>2.5099999999999998</v>
          </cell>
        </row>
        <row r="60">
          <cell r="J60">
            <v>1.7</v>
          </cell>
          <cell r="K60">
            <v>1.77</v>
          </cell>
          <cell r="L60">
            <v>1.85</v>
          </cell>
          <cell r="M60">
            <v>1.94</v>
          </cell>
          <cell r="N60">
            <v>2.02</v>
          </cell>
          <cell r="O60">
            <v>2.4</v>
          </cell>
        </row>
        <row r="61">
          <cell r="J61">
            <v>1.68</v>
          </cell>
          <cell r="K61">
            <v>1.73</v>
          </cell>
          <cell r="L61">
            <v>1.81</v>
          </cell>
          <cell r="M61">
            <v>1.9</v>
          </cell>
          <cell r="N61">
            <v>1.99</v>
          </cell>
          <cell r="O61">
            <v>2.35</v>
          </cell>
        </row>
        <row r="62">
          <cell r="J62">
            <v>1.82</v>
          </cell>
          <cell r="K62">
            <v>1.92</v>
          </cell>
          <cell r="L62">
            <v>2</v>
          </cell>
          <cell r="M62">
            <v>2.0699999999999998</v>
          </cell>
          <cell r="N62">
            <v>2.14</v>
          </cell>
          <cell r="O62">
            <v>2.4300000000000002</v>
          </cell>
        </row>
        <row r="63">
          <cell r="J63">
            <v>1.82</v>
          </cell>
          <cell r="K63">
            <v>1.91</v>
          </cell>
          <cell r="L63">
            <v>2.0099999999999998</v>
          </cell>
          <cell r="M63">
            <v>2.09</v>
          </cell>
          <cell r="N63">
            <v>2.17</v>
          </cell>
          <cell r="O63">
            <v>2.5099999999999998</v>
          </cell>
        </row>
        <row r="64">
          <cell r="J64">
            <v>1.78</v>
          </cell>
          <cell r="K64">
            <v>1.88</v>
          </cell>
          <cell r="L64">
            <v>1.98</v>
          </cell>
          <cell r="M64">
            <v>2.0699999999999998</v>
          </cell>
          <cell r="N64">
            <v>2.16</v>
          </cell>
          <cell r="O64">
            <v>2.5299999999999998</v>
          </cell>
        </row>
        <row r="65">
          <cell r="J65">
            <v>1.94</v>
          </cell>
          <cell r="K65">
            <v>2.02</v>
          </cell>
          <cell r="L65">
            <v>2.09</v>
          </cell>
          <cell r="M65">
            <v>2.17</v>
          </cell>
          <cell r="N65">
            <v>2.2400000000000002</v>
          </cell>
          <cell r="O65">
            <v>2.54</v>
          </cell>
        </row>
        <row r="66">
          <cell r="J66">
            <v>1.79</v>
          </cell>
          <cell r="K66">
            <v>1.88</v>
          </cell>
          <cell r="L66">
            <v>1.94</v>
          </cell>
          <cell r="M66">
            <v>2.06</v>
          </cell>
          <cell r="N66">
            <v>2.14</v>
          </cell>
          <cell r="O66">
            <v>2.4900000000000002</v>
          </cell>
        </row>
        <row r="67">
          <cell r="J67">
            <v>1.85</v>
          </cell>
          <cell r="K67">
            <v>1.97</v>
          </cell>
          <cell r="L67">
            <v>2.08</v>
          </cell>
          <cell r="M67">
            <v>2.1800000000000002</v>
          </cell>
          <cell r="N67">
            <v>2.2799999999999998</v>
          </cell>
          <cell r="O67">
            <v>2.64</v>
          </cell>
        </row>
        <row r="68">
          <cell r="J68">
            <v>1.77</v>
          </cell>
          <cell r="K68">
            <v>1.9</v>
          </cell>
          <cell r="L68">
            <v>2.0099999999999998</v>
          </cell>
          <cell r="M68">
            <v>2.1</v>
          </cell>
          <cell r="N68">
            <v>2.1800000000000002</v>
          </cell>
          <cell r="O68">
            <v>2.52</v>
          </cell>
        </row>
        <row r="69">
          <cell r="J69">
            <v>1.81</v>
          </cell>
          <cell r="K69">
            <v>1.87</v>
          </cell>
          <cell r="L69">
            <v>1.94</v>
          </cell>
          <cell r="M69">
            <v>2.02</v>
          </cell>
          <cell r="N69">
            <v>2.1</v>
          </cell>
          <cell r="O69">
            <v>2.44</v>
          </cell>
        </row>
        <row r="70">
          <cell r="J70">
            <v>1.89</v>
          </cell>
          <cell r="K70">
            <v>1.95</v>
          </cell>
          <cell r="L70">
            <v>2</v>
          </cell>
          <cell r="M70">
            <v>2.06</v>
          </cell>
          <cell r="N70">
            <v>2.12</v>
          </cell>
          <cell r="O70">
            <v>2.39</v>
          </cell>
        </row>
        <row r="71">
          <cell r="J71">
            <v>1.95</v>
          </cell>
          <cell r="K71">
            <v>2.0499999999999998</v>
          </cell>
          <cell r="L71">
            <v>2.13</v>
          </cell>
          <cell r="M71">
            <v>2.19</v>
          </cell>
          <cell r="N71">
            <v>2.2400000000000002</v>
          </cell>
          <cell r="O71">
            <v>2.42</v>
          </cell>
        </row>
        <row r="72">
          <cell r="J72">
            <v>2.0099999999999998</v>
          </cell>
          <cell r="K72">
            <v>2.13</v>
          </cell>
          <cell r="L72">
            <v>2.2200000000000002</v>
          </cell>
          <cell r="M72">
            <v>2.2799999999999998</v>
          </cell>
          <cell r="N72">
            <v>2.3199999999999998</v>
          </cell>
          <cell r="O72">
            <v>2.4700000000000002</v>
          </cell>
        </row>
        <row r="73">
          <cell r="J73">
            <v>2.09</v>
          </cell>
          <cell r="K73">
            <v>2.21</v>
          </cell>
          <cell r="L73">
            <v>2.2999999999999998</v>
          </cell>
          <cell r="M73">
            <v>2.36</v>
          </cell>
          <cell r="N73">
            <v>2.41</v>
          </cell>
          <cell r="O73">
            <v>2.56</v>
          </cell>
        </row>
        <row r="74">
          <cell r="J74">
            <v>2.04</v>
          </cell>
          <cell r="K74">
            <v>2.17</v>
          </cell>
          <cell r="L74">
            <v>2.27</v>
          </cell>
          <cell r="M74">
            <v>2.35</v>
          </cell>
          <cell r="N74">
            <v>2.4300000000000002</v>
          </cell>
          <cell r="O74">
            <v>2.7</v>
          </cell>
        </row>
        <row r="75">
          <cell r="J75">
            <v>2.0099999999999998</v>
          </cell>
          <cell r="K75">
            <v>2.13</v>
          </cell>
          <cell r="L75">
            <v>2.2200000000000002</v>
          </cell>
          <cell r="M75">
            <v>2.2799999999999998</v>
          </cell>
          <cell r="N75">
            <v>2.34</v>
          </cell>
          <cell r="O75">
            <v>2.54</v>
          </cell>
        </row>
        <row r="76">
          <cell r="J76">
            <v>2.13</v>
          </cell>
          <cell r="K76">
            <v>2.21</v>
          </cell>
          <cell r="L76">
            <v>2.27</v>
          </cell>
          <cell r="M76">
            <v>2.31</v>
          </cell>
          <cell r="N76">
            <v>2.35</v>
          </cell>
          <cell r="O76">
            <v>2.52</v>
          </cell>
        </row>
        <row r="77">
          <cell r="J77">
            <v>2.16</v>
          </cell>
          <cell r="K77">
            <v>2.2400000000000002</v>
          </cell>
          <cell r="L77">
            <v>2.2999999999999998</v>
          </cell>
          <cell r="M77">
            <v>2.34</v>
          </cell>
          <cell r="N77">
            <v>2.38</v>
          </cell>
          <cell r="O77">
            <v>2.56</v>
          </cell>
        </row>
        <row r="78">
          <cell r="J78">
            <v>2.09</v>
          </cell>
          <cell r="K78">
            <v>2.1800000000000002</v>
          </cell>
          <cell r="L78">
            <v>2.2599999999999998</v>
          </cell>
          <cell r="M78">
            <v>2.33</v>
          </cell>
          <cell r="N78">
            <v>2.4</v>
          </cell>
          <cell r="O78">
            <v>2.66</v>
          </cell>
        </row>
        <row r="79">
          <cell r="J79">
            <v>2.2200000000000002</v>
          </cell>
          <cell r="K79">
            <v>2.2599999999999998</v>
          </cell>
          <cell r="L79">
            <v>2.31</v>
          </cell>
          <cell r="M79">
            <v>2.37</v>
          </cell>
          <cell r="N79">
            <v>2.44</v>
          </cell>
          <cell r="O79">
            <v>2.73</v>
          </cell>
        </row>
        <row r="80">
          <cell r="J80">
            <v>2.13</v>
          </cell>
          <cell r="K80">
            <v>2.2400000000000002</v>
          </cell>
          <cell r="L80">
            <v>2.33</v>
          </cell>
          <cell r="M80">
            <v>2.41</v>
          </cell>
          <cell r="N80">
            <v>2.48</v>
          </cell>
          <cell r="O80">
            <v>2.76</v>
          </cell>
        </row>
        <row r="81">
          <cell r="J81">
            <v>2.46</v>
          </cell>
          <cell r="K81">
            <v>2.5499999999999998</v>
          </cell>
          <cell r="L81">
            <v>2.63</v>
          </cell>
          <cell r="M81">
            <v>2.7</v>
          </cell>
          <cell r="N81">
            <v>2.76</v>
          </cell>
          <cell r="O81">
            <v>3</v>
          </cell>
        </row>
        <row r="82">
          <cell r="J82">
            <v>2.63</v>
          </cell>
          <cell r="K82">
            <v>2.79</v>
          </cell>
          <cell r="L82">
            <v>2.91</v>
          </cell>
          <cell r="M82">
            <v>3.01</v>
          </cell>
          <cell r="N82">
            <v>3.09</v>
          </cell>
          <cell r="O82">
            <v>3.31</v>
          </cell>
        </row>
        <row r="83">
          <cell r="J83">
            <v>2.33</v>
          </cell>
          <cell r="K83">
            <v>2.48</v>
          </cell>
          <cell r="L83">
            <v>2.59</v>
          </cell>
          <cell r="M83">
            <v>2.69</v>
          </cell>
          <cell r="N83">
            <v>2.76</v>
          </cell>
          <cell r="O83">
            <v>3.01</v>
          </cell>
        </row>
        <row r="84">
          <cell r="J84">
            <v>2.31</v>
          </cell>
          <cell r="K84">
            <v>2.4500000000000002</v>
          </cell>
          <cell r="L84">
            <v>2.57</v>
          </cell>
          <cell r="M84">
            <v>2.66</v>
          </cell>
          <cell r="N84">
            <v>2.74</v>
          </cell>
          <cell r="O84">
            <v>2.99</v>
          </cell>
        </row>
        <row r="85">
          <cell r="J85">
            <v>2.21</v>
          </cell>
          <cell r="K85">
            <v>2.4500000000000002</v>
          </cell>
          <cell r="L85">
            <v>2.64</v>
          </cell>
          <cell r="M85">
            <v>2.77</v>
          </cell>
          <cell r="N85">
            <v>2.86</v>
          </cell>
          <cell r="O85">
            <v>3.09</v>
          </cell>
        </row>
        <row r="86">
          <cell r="J86">
            <v>1.95</v>
          </cell>
          <cell r="K86">
            <v>2.1800000000000002</v>
          </cell>
          <cell r="L86">
            <v>2.34</v>
          </cell>
          <cell r="M86">
            <v>2.4300000000000002</v>
          </cell>
          <cell r="N86">
            <v>2.4900000000000002</v>
          </cell>
          <cell r="O86">
            <v>2.65</v>
          </cell>
        </row>
        <row r="87">
          <cell r="J87">
            <v>1.7</v>
          </cell>
          <cell r="K87">
            <v>1.99</v>
          </cell>
          <cell r="L87">
            <v>2.2000000000000002</v>
          </cell>
          <cell r="M87">
            <v>2.34</v>
          </cell>
          <cell r="N87">
            <v>2.44</v>
          </cell>
          <cell r="O87">
            <v>2.71</v>
          </cell>
        </row>
        <row r="88">
          <cell r="J88">
            <v>1.76</v>
          </cell>
          <cell r="K88">
            <v>1.98</v>
          </cell>
          <cell r="L88">
            <v>2.16</v>
          </cell>
          <cell r="M88">
            <v>2.2999999999999998</v>
          </cell>
          <cell r="N88">
            <v>2.4</v>
          </cell>
          <cell r="O88">
            <v>2.75</v>
          </cell>
        </row>
        <row r="89">
          <cell r="J89">
            <v>1.66</v>
          </cell>
          <cell r="K89">
            <v>1.88</v>
          </cell>
          <cell r="L89">
            <v>2.0299999999999998</v>
          </cell>
          <cell r="M89">
            <v>2.13</v>
          </cell>
          <cell r="N89">
            <v>2.21</v>
          </cell>
          <cell r="O89">
            <v>2.48</v>
          </cell>
        </row>
        <row r="90">
          <cell r="J90">
            <v>1.19</v>
          </cell>
          <cell r="K90">
            <v>1.53</v>
          </cell>
          <cell r="L90">
            <v>1.78</v>
          </cell>
          <cell r="M90">
            <v>1.95</v>
          </cell>
          <cell r="N90">
            <v>2.09</v>
          </cell>
          <cell r="O90">
            <v>2.4900000000000002</v>
          </cell>
        </row>
        <row r="91">
          <cell r="J91">
            <v>1.1200000000000001</v>
          </cell>
          <cell r="K91">
            <v>1.34</v>
          </cell>
          <cell r="L91">
            <v>1.56</v>
          </cell>
          <cell r="M91">
            <v>1.78</v>
          </cell>
          <cell r="N91">
            <v>1.98</v>
          </cell>
          <cell r="O91">
            <v>2.4700000000000002</v>
          </cell>
        </row>
        <row r="92">
          <cell r="J92">
            <v>1.1399999999999999</v>
          </cell>
          <cell r="K92">
            <v>1.34</v>
          </cell>
          <cell r="L92">
            <v>1.55</v>
          </cell>
          <cell r="M92">
            <v>1.75</v>
          </cell>
          <cell r="N92">
            <v>1.93</v>
          </cell>
          <cell r="O92">
            <v>2.42</v>
          </cell>
        </row>
        <row r="93">
          <cell r="J93">
            <v>0.99</v>
          </cell>
          <cell r="K93">
            <v>1.23</v>
          </cell>
          <cell r="L93">
            <v>1.42</v>
          </cell>
          <cell r="M93">
            <v>1.6</v>
          </cell>
          <cell r="N93">
            <v>1.77</v>
          </cell>
          <cell r="O93">
            <v>2.34</v>
          </cell>
        </row>
        <row r="94">
          <cell r="J94">
            <v>0.96</v>
          </cell>
          <cell r="K94">
            <v>1.28</v>
          </cell>
          <cell r="L94">
            <v>1.58</v>
          </cell>
          <cell r="M94">
            <v>1.84</v>
          </cell>
          <cell r="N94">
            <v>2.0299999999999998</v>
          </cell>
          <cell r="O94">
            <v>2.5099999999999998</v>
          </cell>
        </row>
        <row r="95">
          <cell r="J95">
            <v>0.85</v>
          </cell>
          <cell r="K95">
            <v>1.1499999999999999</v>
          </cell>
          <cell r="L95">
            <v>1.41</v>
          </cell>
          <cell r="M95">
            <v>1.65</v>
          </cell>
          <cell r="N95">
            <v>1.85</v>
          </cell>
          <cell r="O95">
            <v>2.4300000000000002</v>
          </cell>
        </row>
        <row r="96">
          <cell r="J96">
            <v>0.9</v>
          </cell>
          <cell r="K96">
            <v>1.1599999999999999</v>
          </cell>
          <cell r="L96">
            <v>1.44</v>
          </cell>
          <cell r="M96">
            <v>1.69</v>
          </cell>
          <cell r="N96">
            <v>1.89</v>
          </cell>
          <cell r="O96">
            <v>2.39</v>
          </cell>
        </row>
        <row r="97">
          <cell r="J97">
            <v>1.04</v>
          </cell>
          <cell r="K97">
            <v>1.25</v>
          </cell>
          <cell r="L97">
            <v>1.49</v>
          </cell>
          <cell r="M97">
            <v>1.71</v>
          </cell>
          <cell r="N97">
            <v>1.91</v>
          </cell>
          <cell r="O97">
            <v>2.46</v>
          </cell>
        </row>
        <row r="98">
          <cell r="J98">
            <v>1.2</v>
          </cell>
          <cell r="K98">
            <v>1.45</v>
          </cell>
          <cell r="L98">
            <v>1.64</v>
          </cell>
          <cell r="M98">
            <v>1.81</v>
          </cell>
          <cell r="N98">
            <v>1.98</v>
          </cell>
          <cell r="O98">
            <v>2.46</v>
          </cell>
        </row>
        <row r="99">
          <cell r="J99">
            <v>1.26</v>
          </cell>
          <cell r="K99">
            <v>1.55</v>
          </cell>
          <cell r="L99">
            <v>1.79</v>
          </cell>
          <cell r="M99">
            <v>1.98</v>
          </cell>
          <cell r="N99">
            <v>2.12</v>
          </cell>
          <cell r="O99">
            <v>2.44</v>
          </cell>
        </row>
        <row r="100">
          <cell r="J100">
            <v>1.25</v>
          </cell>
          <cell r="K100">
            <v>1.53</v>
          </cell>
          <cell r="L100">
            <v>1.79</v>
          </cell>
          <cell r="M100">
            <v>1.99</v>
          </cell>
          <cell r="N100">
            <v>2.14</v>
          </cell>
          <cell r="O100">
            <v>2.4900000000000002</v>
          </cell>
        </row>
        <row r="101">
          <cell r="J101">
            <v>1.29</v>
          </cell>
          <cell r="K101">
            <v>1.61</v>
          </cell>
          <cell r="L101">
            <v>1.88</v>
          </cell>
          <cell r="M101">
            <v>2.08</v>
          </cell>
          <cell r="N101">
            <v>2.21</v>
          </cell>
          <cell r="O101">
            <v>2.5099999999999998</v>
          </cell>
        </row>
        <row r="102">
          <cell r="J102">
            <v>1.47</v>
          </cell>
          <cell r="K102">
            <v>1.85</v>
          </cell>
          <cell r="L102">
            <v>2.0499999999999998</v>
          </cell>
          <cell r="M102">
            <v>2.19</v>
          </cell>
          <cell r="N102">
            <v>2.29</v>
          </cell>
          <cell r="O102">
            <v>2.65</v>
          </cell>
        </row>
        <row r="103">
          <cell r="J103">
            <v>1.82</v>
          </cell>
          <cell r="K103">
            <v>2.16</v>
          </cell>
          <cell r="L103">
            <v>2.3199999999999998</v>
          </cell>
          <cell r="M103">
            <v>2.4</v>
          </cell>
          <cell r="N103">
            <v>2.4700000000000002</v>
          </cell>
          <cell r="O103">
            <v>2.71</v>
          </cell>
        </row>
        <row r="104">
          <cell r="J104">
            <v>1.78</v>
          </cell>
          <cell r="K104">
            <v>2.13</v>
          </cell>
          <cell r="L104">
            <v>2.2999999999999998</v>
          </cell>
          <cell r="M104">
            <v>2.4</v>
          </cell>
          <cell r="N104">
            <v>2.4700000000000002</v>
          </cell>
          <cell r="O104">
            <v>2.7</v>
          </cell>
        </row>
        <row r="105">
          <cell r="J105">
            <v>1.95</v>
          </cell>
          <cell r="K105">
            <v>2.25</v>
          </cell>
          <cell r="L105">
            <v>2.38</v>
          </cell>
          <cell r="M105">
            <v>2.46</v>
          </cell>
          <cell r="N105">
            <v>2.5299999999999998</v>
          </cell>
          <cell r="O105">
            <v>2.76</v>
          </cell>
        </row>
        <row r="106">
          <cell r="J106">
            <v>1.87</v>
          </cell>
          <cell r="K106">
            <v>2.19</v>
          </cell>
          <cell r="L106">
            <v>2.35</v>
          </cell>
          <cell r="M106">
            <v>2.46</v>
          </cell>
          <cell r="N106">
            <v>2.5299999999999998</v>
          </cell>
          <cell r="O106">
            <v>2.73</v>
          </cell>
        </row>
        <row r="107">
          <cell r="J107">
            <v>1.96</v>
          </cell>
          <cell r="K107">
            <v>2.29</v>
          </cell>
          <cell r="L107">
            <v>2.4700000000000002</v>
          </cell>
          <cell r="M107">
            <v>2.58</v>
          </cell>
          <cell r="N107">
            <v>2.66</v>
          </cell>
          <cell r="O107">
            <v>2.86</v>
          </cell>
        </row>
        <row r="108">
          <cell r="J108">
            <v>2.19</v>
          </cell>
          <cell r="K108">
            <v>2.4900000000000002</v>
          </cell>
          <cell r="L108">
            <v>2.66</v>
          </cell>
          <cell r="M108">
            <v>2.76</v>
          </cell>
          <cell r="N108">
            <v>2.83</v>
          </cell>
          <cell r="O108">
            <v>2.99</v>
          </cell>
        </row>
        <row r="109">
          <cell r="J109">
            <v>2.41</v>
          </cell>
          <cell r="K109">
            <v>2.66</v>
          </cell>
          <cell r="L109">
            <v>2.78</v>
          </cell>
          <cell r="M109">
            <v>2.85</v>
          </cell>
          <cell r="N109">
            <v>2.9</v>
          </cell>
          <cell r="O109">
            <v>2.96</v>
          </cell>
        </row>
        <row r="110">
          <cell r="J110">
            <v>2.2799999999999998</v>
          </cell>
          <cell r="K110">
            <v>2.46</v>
          </cell>
          <cell r="L110">
            <v>2.62</v>
          </cell>
          <cell r="M110">
            <v>2.72</v>
          </cell>
          <cell r="N110">
            <v>2.79</v>
          </cell>
          <cell r="O110">
            <v>2.89</v>
          </cell>
        </row>
        <row r="111">
          <cell r="J111">
            <v>2.31</v>
          </cell>
          <cell r="K111">
            <v>2.5</v>
          </cell>
          <cell r="L111">
            <v>2.6</v>
          </cell>
          <cell r="M111">
            <v>2.66</v>
          </cell>
          <cell r="N111">
            <v>2.7</v>
          </cell>
          <cell r="O111">
            <v>2.81</v>
          </cell>
        </row>
        <row r="112">
          <cell r="J112">
            <v>2.69</v>
          </cell>
          <cell r="K112">
            <v>2.81</v>
          </cell>
          <cell r="L112">
            <v>2.83</v>
          </cell>
          <cell r="M112">
            <v>2.84</v>
          </cell>
          <cell r="N112">
            <v>2.85</v>
          </cell>
          <cell r="O112">
            <v>2.89</v>
          </cell>
        </row>
        <row r="113">
          <cell r="J113">
            <v>2.73</v>
          </cell>
          <cell r="K113">
            <v>2.84</v>
          </cell>
          <cell r="L113">
            <v>2.86</v>
          </cell>
          <cell r="M113">
            <v>2.87</v>
          </cell>
          <cell r="N113">
            <v>2.88</v>
          </cell>
          <cell r="O113">
            <v>2.92</v>
          </cell>
        </row>
        <row r="114">
          <cell r="J114">
            <v>2.4500000000000002</v>
          </cell>
          <cell r="K114">
            <v>2.56</v>
          </cell>
          <cell r="L114">
            <v>2.64</v>
          </cell>
          <cell r="M114">
            <v>2.69</v>
          </cell>
          <cell r="N114">
            <v>2.73</v>
          </cell>
          <cell r="O114">
            <v>2.81</v>
          </cell>
        </row>
        <row r="115">
          <cell r="J115">
            <v>2.5499999999999998</v>
          </cell>
          <cell r="K115">
            <v>2.66</v>
          </cell>
          <cell r="L115">
            <v>2.71</v>
          </cell>
          <cell r="M115">
            <v>2.74</v>
          </cell>
          <cell r="N115">
            <v>2.77</v>
          </cell>
          <cell r="O115">
            <v>2.84</v>
          </cell>
        </row>
        <row r="116">
          <cell r="J116">
            <v>2.73</v>
          </cell>
          <cell r="K116">
            <v>2.98</v>
          </cell>
          <cell r="L116">
            <v>3.04</v>
          </cell>
          <cell r="M116">
            <v>3.05</v>
          </cell>
          <cell r="N116">
            <v>3.06</v>
          </cell>
          <cell r="O116">
            <v>3.07</v>
          </cell>
        </row>
        <row r="117">
          <cell r="J117">
            <v>3.04</v>
          </cell>
          <cell r="K117">
            <v>3.23</v>
          </cell>
          <cell r="L117">
            <v>3.21</v>
          </cell>
          <cell r="M117">
            <v>3.16</v>
          </cell>
          <cell r="N117">
            <v>3.13</v>
          </cell>
          <cell r="O117">
            <v>3.06</v>
          </cell>
        </row>
        <row r="118">
          <cell r="J118">
            <v>2.86</v>
          </cell>
          <cell r="K118">
            <v>2.95</v>
          </cell>
          <cell r="L118">
            <v>2.96</v>
          </cell>
          <cell r="M118">
            <v>2.95</v>
          </cell>
          <cell r="N118">
            <v>2.94</v>
          </cell>
          <cell r="O118">
            <v>2.89</v>
          </cell>
        </row>
        <row r="119">
          <cell r="J119">
            <v>2.69</v>
          </cell>
          <cell r="K119">
            <v>2.85</v>
          </cell>
          <cell r="L119">
            <v>2.92</v>
          </cell>
          <cell r="M119">
            <v>2.96</v>
          </cell>
          <cell r="N119">
            <v>2.97</v>
          </cell>
          <cell r="O119">
            <v>2.97</v>
          </cell>
        </row>
        <row r="120">
          <cell r="J120">
            <v>2.94</v>
          </cell>
          <cell r="K120">
            <v>3.2</v>
          </cell>
          <cell r="L120">
            <v>3.27</v>
          </cell>
          <cell r="M120">
            <v>3.28</v>
          </cell>
          <cell r="N120">
            <v>3.27</v>
          </cell>
          <cell r="O120">
            <v>3.19</v>
          </cell>
        </row>
        <row r="121">
          <cell r="J121">
            <v>3.24</v>
          </cell>
          <cell r="K121">
            <v>3.48</v>
          </cell>
          <cell r="L121">
            <v>3.54</v>
          </cell>
          <cell r="M121">
            <v>3.55</v>
          </cell>
          <cell r="N121">
            <v>3.54</v>
          </cell>
          <cell r="O121">
            <v>3.4</v>
          </cell>
        </row>
        <row r="122">
          <cell r="J122">
            <v>3.34</v>
          </cell>
          <cell r="K122">
            <v>3.51</v>
          </cell>
          <cell r="L122">
            <v>3.49</v>
          </cell>
          <cell r="M122">
            <v>3.45</v>
          </cell>
          <cell r="N122">
            <v>3.42</v>
          </cell>
          <cell r="O122">
            <v>3.34</v>
          </cell>
        </row>
        <row r="123">
          <cell r="J123">
            <v>3.34</v>
          </cell>
          <cell r="K123">
            <v>3.46</v>
          </cell>
          <cell r="L123">
            <v>3.48</v>
          </cell>
          <cell r="M123">
            <v>3.5</v>
          </cell>
          <cell r="N123">
            <v>3.51</v>
          </cell>
          <cell r="O123">
            <v>3.47</v>
          </cell>
        </row>
        <row r="124">
          <cell r="J124">
            <v>3.69</v>
          </cell>
          <cell r="K124">
            <v>3.74</v>
          </cell>
          <cell r="L124">
            <v>3.7</v>
          </cell>
          <cell r="M124">
            <v>3.66</v>
          </cell>
          <cell r="N124">
            <v>3.63</v>
          </cell>
          <cell r="O124">
            <v>3.49</v>
          </cell>
        </row>
        <row r="125">
          <cell r="J125">
            <v>3.8</v>
          </cell>
          <cell r="K125">
            <v>3.77</v>
          </cell>
          <cell r="L125">
            <v>3.72</v>
          </cell>
          <cell r="M125">
            <v>3.71</v>
          </cell>
          <cell r="N125">
            <v>3.71</v>
          </cell>
          <cell r="O125">
            <v>3.71</v>
          </cell>
        </row>
        <row r="126">
          <cell r="J126">
            <v>3.27</v>
          </cell>
          <cell r="K126">
            <v>3.26</v>
          </cell>
          <cell r="L126">
            <v>3.24</v>
          </cell>
          <cell r="M126">
            <v>3.24</v>
          </cell>
          <cell r="N126">
            <v>3.25</v>
          </cell>
          <cell r="O126">
            <v>3.21</v>
          </cell>
        </row>
        <row r="127">
          <cell r="J127">
            <v>3.47</v>
          </cell>
          <cell r="K127">
            <v>3.45</v>
          </cell>
          <cell r="L127">
            <v>3.42</v>
          </cell>
          <cell r="M127">
            <v>3.4</v>
          </cell>
          <cell r="N127">
            <v>3.39</v>
          </cell>
          <cell r="O127">
            <v>3.36</v>
          </cell>
        </row>
        <row r="128">
          <cell r="J128">
            <v>3.36</v>
          </cell>
          <cell r="K128">
            <v>3.45</v>
          </cell>
          <cell r="L128">
            <v>3.44</v>
          </cell>
          <cell r="M128">
            <v>3.43</v>
          </cell>
          <cell r="N128">
            <v>3.42</v>
          </cell>
          <cell r="O128">
            <v>3.37</v>
          </cell>
        </row>
        <row r="129">
          <cell r="J129">
            <v>3.43</v>
          </cell>
          <cell r="K129">
            <v>3.54</v>
          </cell>
          <cell r="L129">
            <v>3.56</v>
          </cell>
          <cell r="M129">
            <v>3.56</v>
          </cell>
          <cell r="N129">
            <v>3.57</v>
          </cell>
          <cell r="O129">
            <v>3.53</v>
          </cell>
        </row>
        <row r="130">
          <cell r="J130">
            <v>3.49</v>
          </cell>
          <cell r="K130">
            <v>3.56</v>
          </cell>
          <cell r="L130">
            <v>3.6</v>
          </cell>
          <cell r="M130">
            <v>3.64</v>
          </cell>
          <cell r="N130">
            <v>3.68</v>
          </cell>
          <cell r="O130">
            <v>3.68</v>
          </cell>
        </row>
        <row r="131">
          <cell r="J131">
            <v>3.71</v>
          </cell>
          <cell r="K131">
            <v>3.75</v>
          </cell>
          <cell r="L131">
            <v>3.74</v>
          </cell>
          <cell r="M131">
            <v>3.77</v>
          </cell>
          <cell r="N131">
            <v>3.83</v>
          </cell>
          <cell r="O131">
            <v>3.9</v>
          </cell>
        </row>
        <row r="132">
          <cell r="J132">
            <v>3.8</v>
          </cell>
          <cell r="K132">
            <v>3.84</v>
          </cell>
          <cell r="L132">
            <v>3.84</v>
          </cell>
          <cell r="M132">
            <v>3.87</v>
          </cell>
          <cell r="N132">
            <v>3.92</v>
          </cell>
          <cell r="O132">
            <v>3.88</v>
          </cell>
        </row>
        <row r="133">
          <cell r="J133">
            <v>4.1100000000000003</v>
          </cell>
          <cell r="K133">
            <v>3.99</v>
          </cell>
          <cell r="L133">
            <v>3.84</v>
          </cell>
          <cell r="M133">
            <v>3.8</v>
          </cell>
          <cell r="N133">
            <v>3.82</v>
          </cell>
          <cell r="O133">
            <v>3.8</v>
          </cell>
        </row>
        <row r="134">
          <cell r="J134">
            <v>4.1900000000000004</v>
          </cell>
          <cell r="K134">
            <v>4.21</v>
          </cell>
          <cell r="L134">
            <v>4.0999999999999996</v>
          </cell>
          <cell r="M134">
            <v>4.0199999999999996</v>
          </cell>
          <cell r="N134">
            <v>4</v>
          </cell>
          <cell r="O134">
            <v>4.01</v>
          </cell>
        </row>
        <row r="135">
          <cell r="J135">
            <v>4.01</v>
          </cell>
          <cell r="K135">
            <v>4.05</v>
          </cell>
          <cell r="L135">
            <v>4.01</v>
          </cell>
          <cell r="M135">
            <v>3.97</v>
          </cell>
          <cell r="N135">
            <v>3.95</v>
          </cell>
          <cell r="O135">
            <v>3.91</v>
          </cell>
        </row>
        <row r="136">
          <cell r="J136">
            <v>3.46</v>
          </cell>
          <cell r="K136">
            <v>3.48</v>
          </cell>
          <cell r="L136">
            <v>3.48</v>
          </cell>
          <cell r="M136">
            <v>3.45</v>
          </cell>
          <cell r="N136">
            <v>3.42</v>
          </cell>
          <cell r="O136">
            <v>3.34</v>
          </cell>
        </row>
        <row r="137">
          <cell r="J137">
            <v>2.77</v>
          </cell>
          <cell r="K137">
            <v>2.77</v>
          </cell>
          <cell r="L137">
            <v>2.78</v>
          </cell>
          <cell r="M137">
            <v>2.81</v>
          </cell>
          <cell r="N137">
            <v>2.85</v>
          </cell>
          <cell r="O137">
            <v>3.06</v>
          </cell>
        </row>
        <row r="138">
          <cell r="J138">
            <v>2.14</v>
          </cell>
          <cell r="K138">
            <v>2.54</v>
          </cell>
          <cell r="L138">
            <v>2.7</v>
          </cell>
          <cell r="M138">
            <v>2.8</v>
          </cell>
          <cell r="N138">
            <v>2.89</v>
          </cell>
          <cell r="O138">
            <v>3.17</v>
          </cell>
        </row>
        <row r="139">
          <cell r="J139">
            <v>1.81</v>
          </cell>
          <cell r="K139">
            <v>2.15</v>
          </cell>
          <cell r="L139">
            <v>2.36</v>
          </cell>
          <cell r="M139">
            <v>2.52</v>
          </cell>
          <cell r="N139">
            <v>2.65</v>
          </cell>
          <cell r="O139">
            <v>3.06</v>
          </cell>
        </row>
        <row r="140">
          <cell r="J140">
            <v>1.66</v>
          </cell>
          <cell r="K140">
            <v>2.1</v>
          </cell>
          <cell r="L140">
            <v>2.3199999999999998</v>
          </cell>
          <cell r="M140">
            <v>2.4700000000000002</v>
          </cell>
          <cell r="N140">
            <v>2.58</v>
          </cell>
          <cell r="O140">
            <v>2.92</v>
          </cell>
        </row>
        <row r="141">
          <cell r="J141">
            <v>1.46</v>
          </cell>
          <cell r="K141">
            <v>1.8</v>
          </cell>
          <cell r="L141">
            <v>2.06</v>
          </cell>
          <cell r="M141">
            <v>2.2599999999999998</v>
          </cell>
          <cell r="N141">
            <v>2.41</v>
          </cell>
          <cell r="O141">
            <v>2.84</v>
          </cell>
        </row>
        <row r="142">
          <cell r="J142">
            <v>1.32</v>
          </cell>
          <cell r="K142">
            <v>1.77</v>
          </cell>
          <cell r="L142">
            <v>2</v>
          </cell>
          <cell r="M142">
            <v>2.1800000000000002</v>
          </cell>
          <cell r="N142">
            <v>2.34</v>
          </cell>
          <cell r="O142">
            <v>2.92</v>
          </cell>
        </row>
        <row r="143">
          <cell r="J143">
            <v>1.3</v>
          </cell>
          <cell r="K143">
            <v>1.9</v>
          </cell>
          <cell r="L143">
            <v>2.23</v>
          </cell>
          <cell r="M143">
            <v>2.41</v>
          </cell>
          <cell r="N143">
            <v>2.5499999999999998</v>
          </cell>
          <cell r="O143">
            <v>3.02</v>
          </cell>
        </row>
        <row r="144">
          <cell r="J144">
            <v>1.47</v>
          </cell>
          <cell r="K144">
            <v>2.02</v>
          </cell>
          <cell r="L144">
            <v>2.4500000000000002</v>
          </cell>
          <cell r="M144">
            <v>2.74</v>
          </cell>
          <cell r="N144">
            <v>2.91</v>
          </cell>
          <cell r="O144">
            <v>3.19</v>
          </cell>
        </row>
        <row r="145">
          <cell r="J145">
            <v>2.96</v>
          </cell>
          <cell r="K145">
            <v>3.36</v>
          </cell>
          <cell r="L145">
            <v>3.55</v>
          </cell>
          <cell r="M145">
            <v>3.65</v>
          </cell>
          <cell r="N145">
            <v>3.7</v>
          </cell>
          <cell r="O145">
            <v>3.76</v>
          </cell>
        </row>
        <row r="146">
          <cell r="J146">
            <v>3.36</v>
          </cell>
          <cell r="K146">
            <v>3.5</v>
          </cell>
          <cell r="L146">
            <v>3.62</v>
          </cell>
          <cell r="M146">
            <v>3.71</v>
          </cell>
          <cell r="N146">
            <v>3.75</v>
          </cell>
          <cell r="O146">
            <v>3.75</v>
          </cell>
        </row>
        <row r="147">
          <cell r="J147">
            <v>3.09</v>
          </cell>
          <cell r="K147">
            <v>3.38</v>
          </cell>
          <cell r="L147">
            <v>3.54</v>
          </cell>
          <cell r="M147">
            <v>3.64</v>
          </cell>
          <cell r="N147">
            <v>3.68</v>
          </cell>
          <cell r="O147">
            <v>3.71</v>
          </cell>
        </row>
        <row r="148">
          <cell r="J148">
            <v>3.38</v>
          </cell>
          <cell r="K148">
            <v>3.48</v>
          </cell>
          <cell r="L148">
            <v>3.55</v>
          </cell>
          <cell r="M148">
            <v>3.6</v>
          </cell>
          <cell r="N148">
            <v>3.63</v>
          </cell>
          <cell r="O148">
            <v>3.64</v>
          </cell>
        </row>
        <row r="149">
          <cell r="J149">
            <v>3.19</v>
          </cell>
          <cell r="K149">
            <v>3.46</v>
          </cell>
          <cell r="L149">
            <v>3.64</v>
          </cell>
          <cell r="M149">
            <v>3.75</v>
          </cell>
          <cell r="N149">
            <v>3.82</v>
          </cell>
          <cell r="O149">
            <v>3.9</v>
          </cell>
        </row>
        <row r="150">
          <cell r="J150">
            <v>3.4</v>
          </cell>
          <cell r="K150">
            <v>3.74</v>
          </cell>
          <cell r="L150">
            <v>3.9</v>
          </cell>
          <cell r="M150">
            <v>3.97</v>
          </cell>
          <cell r="N150">
            <v>4</v>
          </cell>
          <cell r="O150">
            <v>3.99</v>
          </cell>
        </row>
        <row r="151">
          <cell r="J151">
            <v>3.38</v>
          </cell>
          <cell r="K151">
            <v>3.6</v>
          </cell>
          <cell r="L151">
            <v>3.72</v>
          </cell>
          <cell r="M151">
            <v>3.77</v>
          </cell>
          <cell r="N151">
            <v>3.79</v>
          </cell>
          <cell r="O151">
            <v>3.8</v>
          </cell>
        </row>
        <row r="152">
          <cell r="J152">
            <v>3.59</v>
          </cell>
          <cell r="K152">
            <v>3.83</v>
          </cell>
          <cell r="L152">
            <v>3.92</v>
          </cell>
          <cell r="M152">
            <v>3.97</v>
          </cell>
          <cell r="N152">
            <v>3.98</v>
          </cell>
          <cell r="O152">
            <v>3.97</v>
          </cell>
        </row>
        <row r="153">
          <cell r="J153">
            <v>3.61</v>
          </cell>
          <cell r="K153">
            <v>3.88</v>
          </cell>
          <cell r="L153">
            <v>4.04</v>
          </cell>
          <cell r="M153">
            <v>4.13</v>
          </cell>
          <cell r="N153">
            <v>4.18</v>
          </cell>
          <cell r="O153">
            <v>4.2</v>
          </cell>
        </row>
        <row r="154">
          <cell r="J154">
            <v>3.86</v>
          </cell>
          <cell r="K154">
            <v>3.98</v>
          </cell>
          <cell r="L154">
            <v>4.0999999999999996</v>
          </cell>
          <cell r="M154">
            <v>4.18</v>
          </cell>
          <cell r="N154">
            <v>4.21</v>
          </cell>
          <cell r="O154">
            <v>4.18</v>
          </cell>
        </row>
        <row r="155">
          <cell r="J155">
            <v>3.94</v>
          </cell>
          <cell r="K155">
            <v>4.1399999999999997</v>
          </cell>
          <cell r="L155">
            <v>4.33</v>
          </cell>
          <cell r="M155">
            <v>4.41</v>
          </cell>
          <cell r="N155">
            <v>4.41</v>
          </cell>
          <cell r="O155">
            <v>4.2300000000000004</v>
          </cell>
        </row>
        <row r="156">
          <cell r="J156">
            <v>4.41</v>
          </cell>
          <cell r="K156">
            <v>4.34</v>
          </cell>
          <cell r="L156">
            <v>4.4000000000000004</v>
          </cell>
          <cell r="M156">
            <v>4.53</v>
          </cell>
          <cell r="N156">
            <v>4.58</v>
          </cell>
          <cell r="O156">
            <v>4.41</v>
          </cell>
        </row>
        <row r="157">
          <cell r="J157">
            <v>4.5599999999999996</v>
          </cell>
          <cell r="K157">
            <v>4.4400000000000004</v>
          </cell>
          <cell r="L157">
            <v>4.5199999999999996</v>
          </cell>
          <cell r="M157">
            <v>4.63</v>
          </cell>
          <cell r="N157">
            <v>4.67</v>
          </cell>
          <cell r="O157">
            <v>4.49</v>
          </cell>
        </row>
        <row r="158">
          <cell r="J158">
            <v>4.93</v>
          </cell>
          <cell r="K158">
            <v>4.6900000000000004</v>
          </cell>
          <cell r="L158">
            <v>4.7</v>
          </cell>
          <cell r="M158">
            <v>4.71</v>
          </cell>
          <cell r="N158">
            <v>4.6900000000000004</v>
          </cell>
          <cell r="O158">
            <v>4.47</v>
          </cell>
        </row>
        <row r="159">
          <cell r="J159">
            <v>4.55</v>
          </cell>
          <cell r="K159">
            <v>4.3600000000000003</v>
          </cell>
          <cell r="L159">
            <v>4.4400000000000004</v>
          </cell>
          <cell r="M159">
            <v>4.6100000000000003</v>
          </cell>
          <cell r="N159">
            <v>4.6900000000000004</v>
          </cell>
          <cell r="O159">
            <v>4.4800000000000004</v>
          </cell>
        </row>
        <row r="160">
          <cell r="J160">
            <v>4.95</v>
          </cell>
          <cell r="K160">
            <v>4.87</v>
          </cell>
          <cell r="L160">
            <v>4.8099999999999996</v>
          </cell>
          <cell r="M160">
            <v>4.7699999999999996</v>
          </cell>
          <cell r="N160">
            <v>4.83</v>
          </cell>
          <cell r="O160">
            <v>4.5199999999999996</v>
          </cell>
        </row>
        <row r="161">
          <cell r="J161">
            <v>5.0199999999999996</v>
          </cell>
          <cell r="K161">
            <v>4.95</v>
          </cell>
          <cell r="L161">
            <v>4.88</v>
          </cell>
          <cell r="M161">
            <v>4.83</v>
          </cell>
          <cell r="N161">
            <v>4.8099999999999996</v>
          </cell>
          <cell r="O161">
            <v>4.7</v>
          </cell>
        </row>
        <row r="162">
          <cell r="J162">
            <v>4.71</v>
          </cell>
          <cell r="K162">
            <v>4.6900000000000004</v>
          </cell>
          <cell r="L162">
            <v>4.72</v>
          </cell>
          <cell r="M162">
            <v>4.74</v>
          </cell>
          <cell r="N162">
            <v>4.76</v>
          </cell>
          <cell r="O162">
            <v>4.63</v>
          </cell>
        </row>
        <row r="163">
          <cell r="J163">
            <v>4.4000000000000004</v>
          </cell>
          <cell r="K163">
            <v>4.49</v>
          </cell>
          <cell r="L163">
            <v>4.57</v>
          </cell>
          <cell r="M163">
            <v>4.6100000000000003</v>
          </cell>
          <cell r="N163">
            <v>4.5999999999999996</v>
          </cell>
          <cell r="O163">
            <v>4.4000000000000004</v>
          </cell>
        </row>
        <row r="164">
          <cell r="J164">
            <v>3.63</v>
          </cell>
          <cell r="K164">
            <v>3.79</v>
          </cell>
          <cell r="L164">
            <v>3.91</v>
          </cell>
          <cell r="M164">
            <v>3.99</v>
          </cell>
          <cell r="N164">
            <v>4.03</v>
          </cell>
          <cell r="O164">
            <v>4.07</v>
          </cell>
        </row>
        <row r="165">
          <cell r="J165">
            <v>4.16</v>
          </cell>
          <cell r="K165">
            <v>4.25</v>
          </cell>
          <cell r="L165">
            <v>4.3600000000000003</v>
          </cell>
          <cell r="M165">
            <v>4.46</v>
          </cell>
          <cell r="N165">
            <v>4.49</v>
          </cell>
          <cell r="O165">
            <v>4.34</v>
          </cell>
        </row>
        <row r="166">
          <cell r="J166">
            <v>3.93</v>
          </cell>
          <cell r="K166">
            <v>4.1399999999999997</v>
          </cell>
          <cell r="L166">
            <v>4.25</v>
          </cell>
          <cell r="M166">
            <v>4.3099999999999996</v>
          </cell>
          <cell r="N166">
            <v>4.3099999999999996</v>
          </cell>
          <cell r="O166">
            <v>4.1500000000000004</v>
          </cell>
        </row>
        <row r="167">
          <cell r="J167">
            <v>3.18</v>
          </cell>
          <cell r="K167">
            <v>3.7</v>
          </cell>
          <cell r="L167">
            <v>3.89</v>
          </cell>
          <cell r="M167">
            <v>3.94</v>
          </cell>
          <cell r="N167">
            <v>3.99</v>
          </cell>
          <cell r="O167">
            <v>4.2</v>
          </cell>
        </row>
        <row r="168">
          <cell r="J168">
            <v>2.91</v>
          </cell>
          <cell r="K168">
            <v>3.17</v>
          </cell>
          <cell r="L168">
            <v>3.28</v>
          </cell>
          <cell r="M168">
            <v>3.37</v>
          </cell>
          <cell r="N168">
            <v>3.47</v>
          </cell>
          <cell r="O168">
            <v>3.82</v>
          </cell>
        </row>
        <row r="169">
          <cell r="J169">
            <v>2.88</v>
          </cell>
          <cell r="K169">
            <v>3.14</v>
          </cell>
          <cell r="L169">
            <v>3.32</v>
          </cell>
          <cell r="M169">
            <v>3.45</v>
          </cell>
          <cell r="N169">
            <v>3.56</v>
          </cell>
          <cell r="O169">
            <v>3.87</v>
          </cell>
        </row>
        <row r="170">
          <cell r="J170">
            <v>2.8</v>
          </cell>
          <cell r="K170">
            <v>3.05</v>
          </cell>
          <cell r="L170">
            <v>3.3</v>
          </cell>
          <cell r="M170">
            <v>3.48</v>
          </cell>
          <cell r="N170">
            <v>3.59</v>
          </cell>
          <cell r="O170">
            <v>3.81</v>
          </cell>
        </row>
        <row r="171">
          <cell r="J171">
            <v>2.85</v>
          </cell>
          <cell r="K171">
            <v>3.14</v>
          </cell>
          <cell r="L171">
            <v>3.36</v>
          </cell>
          <cell r="M171">
            <v>3.54</v>
          </cell>
          <cell r="N171">
            <v>3.66</v>
          </cell>
          <cell r="O171">
            <v>3.9</v>
          </cell>
        </row>
        <row r="172">
          <cell r="J172">
            <v>3.01</v>
          </cell>
          <cell r="K172">
            <v>3.31</v>
          </cell>
          <cell r="L172">
            <v>3.53</v>
          </cell>
          <cell r="M172">
            <v>3.7</v>
          </cell>
          <cell r="N172">
            <v>3.81</v>
          </cell>
          <cell r="O172">
            <v>4</v>
          </cell>
        </row>
        <row r="173">
          <cell r="J173">
            <v>2.58</v>
          </cell>
          <cell r="K173">
            <v>2.87</v>
          </cell>
          <cell r="L173">
            <v>3.12</v>
          </cell>
          <cell r="M173">
            <v>3.3</v>
          </cell>
          <cell r="N173">
            <v>3.44</v>
          </cell>
          <cell r="O173">
            <v>3.75</v>
          </cell>
        </row>
        <row r="174">
          <cell r="J174">
            <v>2.76</v>
          </cell>
          <cell r="K174">
            <v>3.15</v>
          </cell>
          <cell r="L174">
            <v>3.4</v>
          </cell>
          <cell r="M174">
            <v>3.55</v>
          </cell>
          <cell r="N174">
            <v>3.65</v>
          </cell>
          <cell r="O174">
            <v>3.85</v>
          </cell>
        </row>
        <row r="175">
          <cell r="J175">
            <v>2.97</v>
          </cell>
          <cell r="K175">
            <v>3.19</v>
          </cell>
          <cell r="L175">
            <v>3.34</v>
          </cell>
          <cell r="M175">
            <v>3.46</v>
          </cell>
          <cell r="N175">
            <v>3.53</v>
          </cell>
          <cell r="O175">
            <v>3.73</v>
          </cell>
        </row>
        <row r="176">
          <cell r="J176">
            <v>2.86</v>
          </cell>
          <cell r="K176">
            <v>3.05</v>
          </cell>
          <cell r="L176">
            <v>3.25</v>
          </cell>
          <cell r="M176">
            <v>3.43</v>
          </cell>
          <cell r="N176">
            <v>3.56</v>
          </cell>
          <cell r="O176">
            <v>3.82</v>
          </cell>
        </row>
        <row r="177">
          <cell r="J177">
            <v>2.85</v>
          </cell>
          <cell r="K177">
            <v>3.04</v>
          </cell>
          <cell r="L177">
            <v>3.2</v>
          </cell>
          <cell r="M177">
            <v>3.35</v>
          </cell>
          <cell r="N177">
            <v>3.47</v>
          </cell>
          <cell r="O177">
            <v>3.76</v>
          </cell>
        </row>
        <row r="178">
          <cell r="J178">
            <v>2.92</v>
          </cell>
          <cell r="K178">
            <v>3.2</v>
          </cell>
          <cell r="L178">
            <v>3.37</v>
          </cell>
          <cell r="M178">
            <v>3.5</v>
          </cell>
          <cell r="N178">
            <v>3.59</v>
          </cell>
          <cell r="O178">
            <v>3.83</v>
          </cell>
        </row>
        <row r="179">
          <cell r="J179">
            <v>2.9</v>
          </cell>
          <cell r="K179">
            <v>3.28</v>
          </cell>
          <cell r="L179">
            <v>3.5</v>
          </cell>
          <cell r="M179">
            <v>3.64</v>
          </cell>
          <cell r="N179">
            <v>3.73</v>
          </cell>
          <cell r="O179">
            <v>3.9</v>
          </cell>
        </row>
        <row r="180">
          <cell r="J180">
            <v>2.88</v>
          </cell>
          <cell r="K180">
            <v>3.26</v>
          </cell>
          <cell r="L180">
            <v>3.56</v>
          </cell>
          <cell r="M180">
            <v>3.76</v>
          </cell>
          <cell r="N180">
            <v>3.87</v>
          </cell>
          <cell r="O180">
            <v>4</v>
          </cell>
        </row>
        <row r="181">
          <cell r="J181">
            <v>3.05</v>
          </cell>
          <cell r="K181">
            <v>3.37</v>
          </cell>
          <cell r="L181">
            <v>3.61</v>
          </cell>
          <cell r="M181">
            <v>3.77</v>
          </cell>
          <cell r="N181">
            <v>3.87</v>
          </cell>
          <cell r="O181">
            <v>4.01</v>
          </cell>
        </row>
        <row r="182">
          <cell r="J182">
            <v>3</v>
          </cell>
          <cell r="K182">
            <v>3.32</v>
          </cell>
          <cell r="L182">
            <v>3.53</v>
          </cell>
          <cell r="M182">
            <v>3.66</v>
          </cell>
          <cell r="N182">
            <v>3.74</v>
          </cell>
          <cell r="O182">
            <v>3.87</v>
          </cell>
        </row>
        <row r="183">
          <cell r="J183">
            <v>2.96</v>
          </cell>
          <cell r="K183">
            <v>3.24</v>
          </cell>
          <cell r="L183">
            <v>3.46</v>
          </cell>
          <cell r="M183">
            <v>3.61</v>
          </cell>
          <cell r="N183">
            <v>3.71</v>
          </cell>
          <cell r="O183">
            <v>3.9</v>
          </cell>
        </row>
        <row r="184">
          <cell r="J184">
            <v>3.03</v>
          </cell>
          <cell r="K184">
            <v>3.33</v>
          </cell>
          <cell r="L184">
            <v>3.53</v>
          </cell>
          <cell r="M184">
            <v>3.68</v>
          </cell>
          <cell r="N184">
            <v>3.8</v>
          </cell>
          <cell r="O184">
            <v>4.04</v>
          </cell>
        </row>
        <row r="185">
          <cell r="J185">
            <v>3.15</v>
          </cell>
          <cell r="K185">
            <v>3.42</v>
          </cell>
          <cell r="L185">
            <v>3.59</v>
          </cell>
          <cell r="M185">
            <v>3.73</v>
          </cell>
          <cell r="N185">
            <v>3.84</v>
          </cell>
          <cell r="O185">
            <v>4.09</v>
          </cell>
        </row>
        <row r="186">
          <cell r="J186">
            <v>3.21</v>
          </cell>
          <cell r="K186">
            <v>3.52</v>
          </cell>
          <cell r="L186">
            <v>3.72</v>
          </cell>
          <cell r="M186">
            <v>3.85</v>
          </cell>
          <cell r="N186">
            <v>3.95</v>
          </cell>
          <cell r="O186">
            <v>4.1500000000000004</v>
          </cell>
        </row>
        <row r="187">
          <cell r="J187">
            <v>3.09</v>
          </cell>
          <cell r="K187">
            <v>3.3</v>
          </cell>
          <cell r="L187">
            <v>3.47</v>
          </cell>
          <cell r="M187">
            <v>3.62</v>
          </cell>
          <cell r="N187">
            <v>3.75</v>
          </cell>
          <cell r="O187">
            <v>4.1100000000000003</v>
          </cell>
        </row>
        <row r="188">
          <cell r="J188">
            <v>2.89</v>
          </cell>
          <cell r="K188">
            <v>3.15</v>
          </cell>
          <cell r="L188">
            <v>3.35</v>
          </cell>
          <cell r="M188">
            <v>3.51</v>
          </cell>
          <cell r="N188">
            <v>3.62</v>
          </cell>
          <cell r="O188">
            <v>3.91</v>
          </cell>
        </row>
        <row r="189">
          <cell r="J189">
            <v>3</v>
          </cell>
          <cell r="K189">
            <v>3.26</v>
          </cell>
          <cell r="L189">
            <v>3.42</v>
          </cell>
          <cell r="M189">
            <v>3.54</v>
          </cell>
          <cell r="N189">
            <v>3.64</v>
          </cell>
          <cell r="O189">
            <v>3.93</v>
          </cell>
        </row>
        <row r="190">
          <cell r="J190">
            <v>2.94</v>
          </cell>
          <cell r="K190">
            <v>3.11</v>
          </cell>
          <cell r="L190">
            <v>3.32</v>
          </cell>
          <cell r="M190">
            <v>3.52</v>
          </cell>
          <cell r="N190">
            <v>3.66</v>
          </cell>
          <cell r="O190">
            <v>3.94</v>
          </cell>
        </row>
        <row r="191">
          <cell r="J191">
            <v>3.03</v>
          </cell>
          <cell r="K191">
            <v>3.28</v>
          </cell>
          <cell r="L191">
            <v>3.49</v>
          </cell>
          <cell r="M191">
            <v>3.65</v>
          </cell>
          <cell r="N191">
            <v>3.77</v>
          </cell>
          <cell r="O191">
            <v>3.99</v>
          </cell>
        </row>
        <row r="192">
          <cell r="J192">
            <v>3.26</v>
          </cell>
          <cell r="K192">
            <v>3.42</v>
          </cell>
          <cell r="L192">
            <v>3.6</v>
          </cell>
          <cell r="M192">
            <v>3.75</v>
          </cell>
          <cell r="N192">
            <v>3.86</v>
          </cell>
          <cell r="O192">
            <v>4.07</v>
          </cell>
        </row>
        <row r="193">
          <cell r="J193">
            <v>3.11</v>
          </cell>
          <cell r="K193">
            <v>3.15</v>
          </cell>
          <cell r="L193">
            <v>3.34</v>
          </cell>
          <cell r="M193">
            <v>3.54</v>
          </cell>
          <cell r="N193">
            <v>3.68</v>
          </cell>
          <cell r="O193">
            <v>3.98</v>
          </cell>
        </row>
        <row r="194">
          <cell r="J194">
            <v>2.93</v>
          </cell>
          <cell r="K194">
            <v>3.09</v>
          </cell>
          <cell r="L194">
            <v>3.32</v>
          </cell>
          <cell r="M194">
            <v>3.53</v>
          </cell>
          <cell r="N194">
            <v>3.68</v>
          </cell>
          <cell r="O194">
            <v>3.97</v>
          </cell>
        </row>
        <row r="195">
          <cell r="J195">
            <v>2.88</v>
          </cell>
          <cell r="K195">
            <v>3.1</v>
          </cell>
          <cell r="L195">
            <v>3.32</v>
          </cell>
          <cell r="M195">
            <v>3.5</v>
          </cell>
          <cell r="N195">
            <v>3.64</v>
          </cell>
          <cell r="O195">
            <v>3.97</v>
          </cell>
        </row>
        <row r="196">
          <cell r="J196">
            <v>3.01</v>
          </cell>
          <cell r="K196">
            <v>3.17</v>
          </cell>
          <cell r="L196">
            <v>3.32</v>
          </cell>
          <cell r="M196">
            <v>3.46</v>
          </cell>
          <cell r="N196">
            <v>3.59</v>
          </cell>
          <cell r="O196">
            <v>3.96</v>
          </cell>
        </row>
        <row r="197">
          <cell r="J197">
            <v>3.01</v>
          </cell>
          <cell r="K197">
            <v>3.22</v>
          </cell>
          <cell r="L197">
            <v>3.35</v>
          </cell>
          <cell r="M197">
            <v>3.44</v>
          </cell>
          <cell r="N197">
            <v>3.53</v>
          </cell>
          <cell r="O197">
            <v>3.92</v>
          </cell>
        </row>
        <row r="198">
          <cell r="J198">
            <v>2.99</v>
          </cell>
          <cell r="K198">
            <v>3.15</v>
          </cell>
          <cell r="L198">
            <v>3.33</v>
          </cell>
          <cell r="M198">
            <v>3.5</v>
          </cell>
          <cell r="N198">
            <v>3.63</v>
          </cell>
          <cell r="O198">
            <v>3.92</v>
          </cell>
        </row>
        <row r="199">
          <cell r="J199">
            <v>2.94</v>
          </cell>
          <cell r="K199">
            <v>3.16</v>
          </cell>
          <cell r="L199">
            <v>3.38</v>
          </cell>
          <cell r="M199">
            <v>3.55</v>
          </cell>
          <cell r="N199">
            <v>3.69</v>
          </cell>
          <cell r="O199">
            <v>3.99</v>
          </cell>
        </row>
        <row r="200">
          <cell r="J200">
            <v>2.99</v>
          </cell>
          <cell r="K200">
            <v>3.15</v>
          </cell>
          <cell r="L200">
            <v>3.38</v>
          </cell>
          <cell r="M200">
            <v>3.56</v>
          </cell>
          <cell r="N200">
            <v>3.7</v>
          </cell>
          <cell r="O200">
            <v>4.0199999999999996</v>
          </cell>
        </row>
        <row r="201">
          <cell r="J201">
            <v>3.08</v>
          </cell>
          <cell r="K201">
            <v>3.28</v>
          </cell>
          <cell r="L201">
            <v>3.46</v>
          </cell>
          <cell r="M201">
            <v>3.6</v>
          </cell>
          <cell r="N201">
            <v>3.71</v>
          </cell>
          <cell r="O201">
            <v>4</v>
          </cell>
        </row>
        <row r="202">
          <cell r="J202">
            <v>3.11</v>
          </cell>
          <cell r="K202">
            <v>3.31</v>
          </cell>
          <cell r="L202">
            <v>3.51</v>
          </cell>
          <cell r="M202">
            <v>3.65</v>
          </cell>
          <cell r="N202">
            <v>3.76</v>
          </cell>
          <cell r="O202">
            <v>4</v>
          </cell>
        </row>
        <row r="203">
          <cell r="J203">
            <v>3.13</v>
          </cell>
          <cell r="K203">
            <v>3.33</v>
          </cell>
          <cell r="L203">
            <v>3.53</v>
          </cell>
          <cell r="M203">
            <v>3.69</v>
          </cell>
          <cell r="N203">
            <v>3.81</v>
          </cell>
          <cell r="O203">
            <v>4.0199999999999996</v>
          </cell>
        </row>
        <row r="204">
          <cell r="J204">
            <v>3.46</v>
          </cell>
          <cell r="K204">
            <v>3.58</v>
          </cell>
          <cell r="L204">
            <v>3.7</v>
          </cell>
          <cell r="M204">
            <v>3.81</v>
          </cell>
          <cell r="N204">
            <v>3.88</v>
          </cell>
          <cell r="O204">
            <v>4.01</v>
          </cell>
        </row>
        <row r="205">
          <cell r="J205">
            <v>3.6</v>
          </cell>
          <cell r="K205">
            <v>3.63</v>
          </cell>
          <cell r="L205">
            <v>3.71</v>
          </cell>
          <cell r="M205">
            <v>3.83</v>
          </cell>
          <cell r="N205">
            <v>3.92</v>
          </cell>
          <cell r="O205">
            <v>4.04</v>
          </cell>
        </row>
        <row r="206">
          <cell r="J206">
            <v>3.59</v>
          </cell>
          <cell r="K206">
            <v>3.65</v>
          </cell>
          <cell r="L206">
            <v>3.75</v>
          </cell>
          <cell r="M206">
            <v>3.86</v>
          </cell>
          <cell r="N206">
            <v>3.94</v>
          </cell>
          <cell r="O206">
            <v>4.0999999999999996</v>
          </cell>
        </row>
        <row r="207">
          <cell r="J207">
            <v>3.67</v>
          </cell>
          <cell r="K207">
            <v>3.75</v>
          </cell>
          <cell r="L207">
            <v>3.85</v>
          </cell>
          <cell r="M207">
            <v>3.94</v>
          </cell>
          <cell r="N207">
            <v>4.01</v>
          </cell>
          <cell r="O207">
            <v>4.1900000000000004</v>
          </cell>
        </row>
        <row r="208">
          <cell r="J208">
            <v>3.74</v>
          </cell>
          <cell r="K208">
            <v>3.79</v>
          </cell>
          <cell r="L208">
            <v>3.85</v>
          </cell>
          <cell r="M208">
            <v>3.92</v>
          </cell>
          <cell r="N208">
            <v>3.98</v>
          </cell>
          <cell r="O208">
            <v>4.13</v>
          </cell>
        </row>
        <row r="209">
          <cell r="J209">
            <v>3.81</v>
          </cell>
          <cell r="K209">
            <v>3.91</v>
          </cell>
          <cell r="L209">
            <v>3.97</v>
          </cell>
          <cell r="M209">
            <v>4.03</v>
          </cell>
          <cell r="N209">
            <v>4.07</v>
          </cell>
          <cell r="O209">
            <v>4.18</v>
          </cell>
        </row>
        <row r="210">
          <cell r="J210">
            <v>3.78</v>
          </cell>
          <cell r="K210">
            <v>3.88</v>
          </cell>
          <cell r="L210">
            <v>3.94</v>
          </cell>
          <cell r="M210">
            <v>4</v>
          </cell>
          <cell r="N210">
            <v>4.05</v>
          </cell>
          <cell r="O210">
            <v>4.21</v>
          </cell>
        </row>
        <row r="211">
          <cell r="J211">
            <v>3.9</v>
          </cell>
          <cell r="K211">
            <v>3.98</v>
          </cell>
          <cell r="L211">
            <v>4.03</v>
          </cell>
          <cell r="M211">
            <v>4.07</v>
          </cell>
          <cell r="N211">
            <v>4.1100000000000003</v>
          </cell>
          <cell r="O211">
            <v>4.24</v>
          </cell>
        </row>
        <row r="212">
          <cell r="J212">
            <v>3.91</v>
          </cell>
          <cell r="K212">
            <v>4.07</v>
          </cell>
          <cell r="L212">
            <v>4.1399999999999997</v>
          </cell>
          <cell r="M212">
            <v>4.18</v>
          </cell>
          <cell r="N212">
            <v>4.2</v>
          </cell>
          <cell r="O212">
            <v>4.26</v>
          </cell>
        </row>
        <row r="213">
          <cell r="J213">
            <v>3.81</v>
          </cell>
          <cell r="K213">
            <v>3.97</v>
          </cell>
          <cell r="L213">
            <v>4.0599999999999996</v>
          </cell>
          <cell r="M213">
            <v>4.13</v>
          </cell>
          <cell r="N213">
            <v>4.17</v>
          </cell>
          <cell r="O213">
            <v>4.21</v>
          </cell>
        </row>
        <row r="214">
          <cell r="J214">
            <v>3.82</v>
          </cell>
          <cell r="K214">
            <v>3.92</v>
          </cell>
          <cell r="L214">
            <v>3.98</v>
          </cell>
          <cell r="M214">
            <v>4.03</v>
          </cell>
          <cell r="N214">
            <v>4.07</v>
          </cell>
          <cell r="O214">
            <v>4.2</v>
          </cell>
        </row>
        <row r="215">
          <cell r="J215">
            <v>3.75</v>
          </cell>
          <cell r="K215">
            <v>3.83</v>
          </cell>
          <cell r="L215">
            <v>3.92</v>
          </cell>
          <cell r="M215">
            <v>4</v>
          </cell>
          <cell r="N215">
            <v>4.0599999999999996</v>
          </cell>
          <cell r="O215">
            <v>4.16</v>
          </cell>
        </row>
        <row r="216">
          <cell r="J216">
            <v>3.74</v>
          </cell>
          <cell r="K216">
            <v>3.75</v>
          </cell>
          <cell r="L216">
            <v>3.88</v>
          </cell>
          <cell r="M216">
            <v>4</v>
          </cell>
          <cell r="N216">
            <v>4.08</v>
          </cell>
          <cell r="O216">
            <v>4.21</v>
          </cell>
        </row>
        <row r="217">
          <cell r="J217">
            <v>3.79</v>
          </cell>
          <cell r="K217">
            <v>3.84</v>
          </cell>
          <cell r="L217">
            <v>3.93</v>
          </cell>
          <cell r="M217">
            <v>4.0199999999999996</v>
          </cell>
          <cell r="N217">
            <v>4.08</v>
          </cell>
          <cell r="O217">
            <v>4.2300000000000004</v>
          </cell>
        </row>
        <row r="218">
          <cell r="J218">
            <v>3.87</v>
          </cell>
          <cell r="K218">
            <v>3.89</v>
          </cell>
          <cell r="L218">
            <v>3.95</v>
          </cell>
          <cell r="M218">
            <v>4.01</v>
          </cell>
          <cell r="N218">
            <v>4.0599999999999996</v>
          </cell>
          <cell r="O218">
            <v>4.1900000000000004</v>
          </cell>
        </row>
        <row r="219">
          <cell r="J219">
            <v>3.88</v>
          </cell>
          <cell r="K219">
            <v>3.92</v>
          </cell>
          <cell r="L219">
            <v>3.97</v>
          </cell>
          <cell r="M219">
            <v>4.0199999999999996</v>
          </cell>
          <cell r="N219">
            <v>4.0599999999999996</v>
          </cell>
          <cell r="O219">
            <v>4.17</v>
          </cell>
        </row>
        <row r="220">
          <cell r="J220">
            <v>4.1500000000000004</v>
          </cell>
          <cell r="K220">
            <v>4.13</v>
          </cell>
          <cell r="L220">
            <v>4.13</v>
          </cell>
          <cell r="M220">
            <v>4.1399999999999997</v>
          </cell>
          <cell r="N220">
            <v>4.1500000000000004</v>
          </cell>
          <cell r="O220">
            <v>4.1900000000000004</v>
          </cell>
        </row>
        <row r="221">
          <cell r="J221">
            <v>4</v>
          </cell>
          <cell r="K221">
            <v>3.99</v>
          </cell>
          <cell r="L221">
            <v>4.04</v>
          </cell>
          <cell r="M221">
            <v>4.08</v>
          </cell>
          <cell r="N221">
            <v>4.12</v>
          </cell>
          <cell r="O221">
            <v>4.22</v>
          </cell>
        </row>
        <row r="222">
          <cell r="J222">
            <v>4.03</v>
          </cell>
          <cell r="K222">
            <v>3.98</v>
          </cell>
          <cell r="L222">
            <v>4.0199999999999996</v>
          </cell>
          <cell r="M222">
            <v>4.0599999999999996</v>
          </cell>
          <cell r="N222">
            <v>4.0999999999999996</v>
          </cell>
          <cell r="O222">
            <v>4.1900000000000004</v>
          </cell>
        </row>
        <row r="223">
          <cell r="J223">
            <v>4.1399999999999997</v>
          </cell>
          <cell r="K223">
            <v>4.09</v>
          </cell>
          <cell r="L223">
            <v>4.08</v>
          </cell>
          <cell r="M223">
            <v>4.0999999999999996</v>
          </cell>
          <cell r="N223">
            <v>4.13</v>
          </cell>
          <cell r="O223">
            <v>4.2300000000000004</v>
          </cell>
        </row>
        <row r="224">
          <cell r="J224">
            <v>4.09</v>
          </cell>
          <cell r="K224">
            <v>4.07</v>
          </cell>
          <cell r="L224">
            <v>4.09</v>
          </cell>
          <cell r="M224">
            <v>4.12</v>
          </cell>
          <cell r="N224">
            <v>4.1399999999999997</v>
          </cell>
          <cell r="O224">
            <v>4.2</v>
          </cell>
        </row>
        <row r="225">
          <cell r="J225">
            <v>4.07</v>
          </cell>
          <cell r="K225">
            <v>4.07</v>
          </cell>
          <cell r="L225">
            <v>4.0999999999999996</v>
          </cell>
          <cell r="M225">
            <v>4.12</v>
          </cell>
          <cell r="N225">
            <v>4.1399999999999997</v>
          </cell>
          <cell r="O225">
            <v>4.2</v>
          </cell>
        </row>
        <row r="226">
          <cell r="J226">
            <v>4.07</v>
          </cell>
          <cell r="K226">
            <v>4.07</v>
          </cell>
          <cell r="L226">
            <v>4.08</v>
          </cell>
          <cell r="M226">
            <v>4.1100000000000003</v>
          </cell>
          <cell r="N226">
            <v>4.1399999999999997</v>
          </cell>
          <cell r="O226">
            <v>4.2300000000000004</v>
          </cell>
        </row>
        <row r="227">
          <cell r="J227">
            <v>3.93</v>
          </cell>
          <cell r="K227">
            <v>3.95</v>
          </cell>
          <cell r="L227">
            <v>4.0199999999999996</v>
          </cell>
          <cell r="M227">
            <v>4.07</v>
          </cell>
          <cell r="N227">
            <v>4.1100000000000003</v>
          </cell>
          <cell r="O227">
            <v>4.2</v>
          </cell>
        </row>
        <row r="228">
          <cell r="J228">
            <v>4</v>
          </cell>
          <cell r="K228">
            <v>4.0599999999999996</v>
          </cell>
          <cell r="L228">
            <v>4.1100000000000003</v>
          </cell>
          <cell r="M228">
            <v>4.1500000000000004</v>
          </cell>
          <cell r="N228">
            <v>4.17</v>
          </cell>
          <cell r="O228">
            <v>4.22</v>
          </cell>
        </row>
        <row r="229">
          <cell r="J229">
            <v>4.0999999999999996</v>
          </cell>
          <cell r="K229">
            <v>4.13</v>
          </cell>
          <cell r="L229">
            <v>4.17</v>
          </cell>
          <cell r="M229">
            <v>4.2</v>
          </cell>
          <cell r="N229">
            <v>4.2300000000000004</v>
          </cell>
          <cell r="O229">
            <v>4.28</v>
          </cell>
        </row>
        <row r="230">
          <cell r="J230">
            <v>4.3499999999999996</v>
          </cell>
          <cell r="K230">
            <v>4.34</v>
          </cell>
          <cell r="L230">
            <v>4.33</v>
          </cell>
          <cell r="M230">
            <v>4.34</v>
          </cell>
          <cell r="N230">
            <v>4.3600000000000003</v>
          </cell>
          <cell r="O230">
            <v>4.41</v>
          </cell>
        </row>
        <row r="231">
          <cell r="J231">
            <v>4.3499999999999996</v>
          </cell>
          <cell r="K231">
            <v>4.38</v>
          </cell>
          <cell r="L231">
            <v>4.4000000000000004</v>
          </cell>
          <cell r="M231">
            <v>4.43</v>
          </cell>
          <cell r="N231">
            <v>4.4400000000000004</v>
          </cell>
          <cell r="O231">
            <v>4.46</v>
          </cell>
        </row>
        <row r="232">
          <cell r="J232">
            <v>4.4400000000000004</v>
          </cell>
          <cell r="K232">
            <v>4.5</v>
          </cell>
          <cell r="L232">
            <v>4.54</v>
          </cell>
          <cell r="M232">
            <v>4.55</v>
          </cell>
          <cell r="N232">
            <v>4.5599999999999996</v>
          </cell>
          <cell r="O232">
            <v>4.54</v>
          </cell>
        </row>
        <row r="233">
          <cell r="J233">
            <v>4.96</v>
          </cell>
          <cell r="K233">
            <v>5.08</v>
          </cell>
          <cell r="L233">
            <v>5.0999999999999996</v>
          </cell>
          <cell r="M233">
            <v>5.04</v>
          </cell>
          <cell r="N233">
            <v>4.97</v>
          </cell>
          <cell r="O233">
            <v>4.7</v>
          </cell>
        </row>
        <row r="234">
          <cell r="J234">
            <v>4.9000000000000004</v>
          </cell>
          <cell r="K234">
            <v>5.04</v>
          </cell>
          <cell r="L234">
            <v>5.0999999999999996</v>
          </cell>
          <cell r="M234">
            <v>5.08</v>
          </cell>
          <cell r="N234">
            <v>5.0199999999999996</v>
          </cell>
          <cell r="O234">
            <v>4.79</v>
          </cell>
        </row>
        <row r="235">
          <cell r="J235">
            <v>5.13</v>
          </cell>
          <cell r="K235">
            <v>5.18</v>
          </cell>
          <cell r="L235">
            <v>5.21</v>
          </cell>
          <cell r="M235">
            <v>5.25</v>
          </cell>
          <cell r="N235">
            <v>5.28</v>
          </cell>
          <cell r="O235">
            <v>5.2</v>
          </cell>
        </row>
        <row r="236">
          <cell r="J236">
            <v>4.97</v>
          </cell>
          <cell r="K236">
            <v>5.0199999999999996</v>
          </cell>
          <cell r="L236">
            <v>5.01</v>
          </cell>
          <cell r="M236">
            <v>4.99</v>
          </cell>
          <cell r="N236">
            <v>4.96</v>
          </cell>
          <cell r="O236">
            <v>4.82</v>
          </cell>
        </row>
        <row r="237">
          <cell r="J237">
            <v>4.95</v>
          </cell>
          <cell r="K237">
            <v>5.04</v>
          </cell>
          <cell r="L237">
            <v>5.04</v>
          </cell>
          <cell r="M237">
            <v>5.0199999999999996</v>
          </cell>
          <cell r="N237">
            <v>5.0199999999999996</v>
          </cell>
          <cell r="O237">
            <v>4.95</v>
          </cell>
        </row>
        <row r="238">
          <cell r="J238">
            <v>5.0599999999999996</v>
          </cell>
          <cell r="K238">
            <v>5.25</v>
          </cell>
          <cell r="L238">
            <v>5.26</v>
          </cell>
          <cell r="M238">
            <v>5.18</v>
          </cell>
          <cell r="N238">
            <v>5.1100000000000003</v>
          </cell>
          <cell r="O238">
            <v>4.9400000000000004</v>
          </cell>
        </row>
        <row r="239">
          <cell r="J239">
            <v>5.0199999999999996</v>
          </cell>
          <cell r="K239">
            <v>5.36</v>
          </cell>
          <cell r="L239">
            <v>5.39</v>
          </cell>
          <cell r="M239">
            <v>5.31</v>
          </cell>
          <cell r="N239">
            <v>5.26</v>
          </cell>
          <cell r="O239">
            <v>5.1100000000000003</v>
          </cell>
        </row>
        <row r="240">
          <cell r="J240">
            <v>5.21</v>
          </cell>
          <cell r="K240">
            <v>5.4</v>
          </cell>
          <cell r="L240">
            <v>5.48</v>
          </cell>
          <cell r="M240">
            <v>5.48</v>
          </cell>
          <cell r="N240">
            <v>5.46</v>
          </cell>
          <cell r="O240">
            <v>5.26</v>
          </cell>
        </row>
        <row r="241">
          <cell r="J241">
            <v>5.94</v>
          </cell>
          <cell r="K241">
            <v>6.3</v>
          </cell>
          <cell r="L241">
            <v>6.28</v>
          </cell>
          <cell r="M241">
            <v>6.14</v>
          </cell>
          <cell r="N241">
            <v>6.01</v>
          </cell>
          <cell r="O241">
            <v>5.57</v>
          </cell>
        </row>
        <row r="242">
          <cell r="J242">
            <v>5.91</v>
          </cell>
          <cell r="K242">
            <v>5.79</v>
          </cell>
          <cell r="L242">
            <v>5.68</v>
          </cell>
          <cell r="M242">
            <v>5.56</v>
          </cell>
          <cell r="N242">
            <v>5.42</v>
          </cell>
          <cell r="O242">
            <v>5.07</v>
          </cell>
        </row>
        <row r="243">
          <cell r="J243">
            <v>5.72</v>
          </cell>
          <cell r="K243">
            <v>5.61</v>
          </cell>
          <cell r="L243">
            <v>5.53</v>
          </cell>
          <cell r="M243">
            <v>5.46</v>
          </cell>
          <cell r="N243">
            <v>5.38</v>
          </cell>
          <cell r="O243">
            <v>5.08</v>
          </cell>
        </row>
        <row r="244">
          <cell r="J244">
            <v>5.48</v>
          </cell>
          <cell r="K244">
            <v>5.68</v>
          </cell>
          <cell r="L244">
            <v>5.55</v>
          </cell>
          <cell r="M244">
            <v>5.41</v>
          </cell>
          <cell r="N244">
            <v>5.37</v>
          </cell>
          <cell r="O244">
            <v>5.27</v>
          </cell>
        </row>
        <row r="245">
          <cell r="J245">
            <v>5.03</v>
          </cell>
          <cell r="K245">
            <v>5.0199999999999996</v>
          </cell>
          <cell r="L245">
            <v>4.9800000000000004</v>
          </cell>
          <cell r="M245">
            <v>4.93</v>
          </cell>
          <cell r="N245">
            <v>4.87</v>
          </cell>
          <cell r="O245">
            <v>4.72</v>
          </cell>
        </row>
        <row r="246">
          <cell r="J246">
            <v>4.63</v>
          </cell>
          <cell r="K246">
            <v>4.68</v>
          </cell>
          <cell r="L246">
            <v>4.7</v>
          </cell>
          <cell r="M246">
            <v>4.7</v>
          </cell>
          <cell r="N246">
            <v>4.6900000000000004</v>
          </cell>
          <cell r="O246">
            <v>4.62</v>
          </cell>
        </row>
        <row r="247">
          <cell r="J247">
            <v>4.68</v>
          </cell>
          <cell r="K247">
            <v>4.91</v>
          </cell>
          <cell r="L247">
            <v>4.8600000000000003</v>
          </cell>
          <cell r="M247">
            <v>4.79</v>
          </cell>
          <cell r="N247">
            <v>4.8</v>
          </cell>
          <cell r="O247">
            <v>4.87</v>
          </cell>
        </row>
        <row r="248">
          <cell r="J248">
            <v>4.1399999999999997</v>
          </cell>
          <cell r="K248">
            <v>4.24</v>
          </cell>
          <cell r="L248">
            <v>4.3</v>
          </cell>
          <cell r="M248">
            <v>4.3499999999999996</v>
          </cell>
          <cell r="N248">
            <v>4.42</v>
          </cell>
          <cell r="O248">
            <v>4.5999999999999996</v>
          </cell>
        </row>
        <row r="249">
          <cell r="J249">
            <v>4.0599999999999996</v>
          </cell>
          <cell r="K249">
            <v>4.4400000000000004</v>
          </cell>
          <cell r="L249">
            <v>4.57</v>
          </cell>
          <cell r="M249">
            <v>4.63</v>
          </cell>
          <cell r="N249">
            <v>4.72</v>
          </cell>
          <cell r="O249">
            <v>4.9400000000000004</v>
          </cell>
        </row>
        <row r="250">
          <cell r="J250">
            <v>4.04</v>
          </cell>
          <cell r="K250">
            <v>4.53</v>
          </cell>
          <cell r="L250">
            <v>4.6399999999999997</v>
          </cell>
          <cell r="M250">
            <v>4.62</v>
          </cell>
          <cell r="N250">
            <v>4.71</v>
          </cell>
          <cell r="O250">
            <v>4.96</v>
          </cell>
        </row>
        <row r="251">
          <cell r="J251">
            <v>5.08</v>
          </cell>
          <cell r="K251">
            <v>5.22</v>
          </cell>
          <cell r="L251">
            <v>5.25</v>
          </cell>
          <cell r="M251">
            <v>5.33</v>
          </cell>
          <cell r="N251">
            <v>5.42</v>
          </cell>
          <cell r="O251">
            <v>5.44</v>
          </cell>
        </row>
        <row r="252">
          <cell r="J252">
            <v>5.16</v>
          </cell>
          <cell r="K252">
            <v>5.14</v>
          </cell>
          <cell r="L252">
            <v>5.08</v>
          </cell>
          <cell r="M252">
            <v>5.1100000000000003</v>
          </cell>
          <cell r="N252">
            <v>5.2</v>
          </cell>
          <cell r="O252">
            <v>5.35</v>
          </cell>
        </row>
        <row r="253">
          <cell r="J253">
            <v>5.31</v>
          </cell>
          <cell r="K253">
            <v>5.39</v>
          </cell>
          <cell r="L253">
            <v>5.38</v>
          </cell>
          <cell r="M253">
            <v>5.4</v>
          </cell>
          <cell r="N253">
            <v>5.44</v>
          </cell>
          <cell r="O253">
            <v>5.42</v>
          </cell>
        </row>
        <row r="254">
          <cell r="J254">
            <v>5.4</v>
          </cell>
          <cell r="K254">
            <v>5.39</v>
          </cell>
          <cell r="L254">
            <v>5.4</v>
          </cell>
          <cell r="M254">
            <v>5.45</v>
          </cell>
          <cell r="N254">
            <v>5.51</v>
          </cell>
          <cell r="O254">
            <v>5.52</v>
          </cell>
        </row>
        <row r="255">
          <cell r="J255">
            <v>5.5</v>
          </cell>
          <cell r="K255">
            <v>5.61</v>
          </cell>
          <cell r="L255">
            <v>5.63</v>
          </cell>
          <cell r="M255">
            <v>5.64</v>
          </cell>
          <cell r="N255">
            <v>5.68</v>
          </cell>
          <cell r="O255">
            <v>5.71</v>
          </cell>
        </row>
        <row r="256">
          <cell r="J256">
            <v>5.75</v>
          </cell>
          <cell r="K256">
            <v>5.62</v>
          </cell>
          <cell r="L256">
            <v>5.67</v>
          </cell>
          <cell r="M256">
            <v>5.73</v>
          </cell>
          <cell r="N256">
            <v>5.78</v>
          </cell>
          <cell r="O256">
            <v>5.82</v>
          </cell>
        </row>
        <row r="257">
          <cell r="J257">
            <v>5.9</v>
          </cell>
          <cell r="K257">
            <v>5.88</v>
          </cell>
          <cell r="L257">
            <v>5.89</v>
          </cell>
          <cell r="M257">
            <v>5.84</v>
          </cell>
          <cell r="N257">
            <v>5.79</v>
          </cell>
          <cell r="O257">
            <v>5.77</v>
          </cell>
        </row>
        <row r="258">
          <cell r="J258">
            <v>5.45</v>
          </cell>
          <cell r="K258">
            <v>5.58</v>
          </cell>
          <cell r="L258">
            <v>5.59</v>
          </cell>
          <cell r="M258">
            <v>5.63</v>
          </cell>
          <cell r="N258">
            <v>5.68</v>
          </cell>
          <cell r="O258">
            <v>5.73</v>
          </cell>
        </row>
        <row r="259">
          <cell r="J259">
            <v>5.51</v>
          </cell>
          <cell r="K259">
            <v>5.65</v>
          </cell>
          <cell r="L259">
            <v>5.71</v>
          </cell>
          <cell r="M259">
            <v>5.72</v>
          </cell>
          <cell r="N259">
            <v>5.7</v>
          </cell>
          <cell r="O259">
            <v>5.69</v>
          </cell>
        </row>
        <row r="260">
          <cell r="J260">
            <v>5.69</v>
          </cell>
          <cell r="K260">
            <v>5.86</v>
          </cell>
          <cell r="L260">
            <v>5.92</v>
          </cell>
          <cell r="M260">
            <v>5.91</v>
          </cell>
          <cell r="N260">
            <v>5.9</v>
          </cell>
          <cell r="O260">
            <v>5.97</v>
          </cell>
        </row>
        <row r="261">
          <cell r="J261">
            <v>5.94</v>
          </cell>
          <cell r="K261">
            <v>6.02</v>
          </cell>
          <cell r="L261">
            <v>6.06</v>
          </cell>
          <cell r="M261">
            <v>6.06</v>
          </cell>
          <cell r="N261">
            <v>6.03</v>
          </cell>
          <cell r="O261">
            <v>5.93</v>
          </cell>
        </row>
        <row r="262">
          <cell r="J262">
            <v>6.17</v>
          </cell>
          <cell r="K262">
            <v>6.17</v>
          </cell>
          <cell r="L262">
            <v>6.03</v>
          </cell>
          <cell r="M262">
            <v>5.93</v>
          </cell>
          <cell r="N262">
            <v>5.94</v>
          </cell>
          <cell r="O262">
            <v>5.98</v>
          </cell>
        </row>
        <row r="263">
          <cell r="J263">
            <v>5.94</v>
          </cell>
          <cell r="K263">
            <v>5.94</v>
          </cell>
          <cell r="L263">
            <v>5.86</v>
          </cell>
          <cell r="M263">
            <v>5.83</v>
          </cell>
          <cell r="N263">
            <v>5.82</v>
          </cell>
          <cell r="O263">
            <v>5.75</v>
          </cell>
        </row>
        <row r="264">
          <cell r="J264">
            <v>5.46</v>
          </cell>
          <cell r="K264">
            <v>5.5</v>
          </cell>
          <cell r="L264">
            <v>5.51</v>
          </cell>
          <cell r="M264">
            <v>5.51</v>
          </cell>
          <cell r="N264">
            <v>5.52</v>
          </cell>
          <cell r="O264">
            <v>5.53</v>
          </cell>
        </row>
        <row r="265">
          <cell r="J265">
            <v>5.41</v>
          </cell>
          <cell r="K265">
            <v>5.37</v>
          </cell>
          <cell r="L265">
            <v>5.41</v>
          </cell>
          <cell r="M265">
            <v>5.47</v>
          </cell>
          <cell r="N265">
            <v>5.51</v>
          </cell>
          <cell r="O265">
            <v>5.56</v>
          </cell>
        </row>
        <row r="266">
          <cell r="J266">
            <v>5.41</v>
          </cell>
          <cell r="K266">
            <v>5.46</v>
          </cell>
          <cell r="L266">
            <v>5.47</v>
          </cell>
          <cell r="M266">
            <v>5.49</v>
          </cell>
          <cell r="N266">
            <v>5.53</v>
          </cell>
          <cell r="O266">
            <v>5.65</v>
          </cell>
        </row>
        <row r="267">
          <cell r="J267">
            <v>5.7</v>
          </cell>
          <cell r="K267">
            <v>5.63</v>
          </cell>
          <cell r="L267">
            <v>5.61</v>
          </cell>
          <cell r="M267">
            <v>5.63</v>
          </cell>
          <cell r="N267">
            <v>5.65</v>
          </cell>
          <cell r="O267">
            <v>5.79</v>
          </cell>
        </row>
        <row r="268">
          <cell r="J268">
            <v>5.86</v>
          </cell>
          <cell r="K268">
            <v>5.65</v>
          </cell>
          <cell r="L268">
            <v>5.66</v>
          </cell>
          <cell r="M268">
            <v>5.7</v>
          </cell>
          <cell r="N268">
            <v>5.74</v>
          </cell>
          <cell r="O268">
            <v>5.95</v>
          </cell>
        </row>
        <row r="269">
          <cell r="J269">
            <v>6.62</v>
          </cell>
          <cell r="K269">
            <v>6.59</v>
          </cell>
          <cell r="L269">
            <v>6.55</v>
          </cell>
          <cell r="M269">
            <v>6.48</v>
          </cell>
          <cell r="N269">
            <v>6.43</v>
          </cell>
          <cell r="O269">
            <v>6.42</v>
          </cell>
        </row>
        <row r="270">
          <cell r="J270">
            <v>6.48</v>
          </cell>
          <cell r="K270">
            <v>6.39</v>
          </cell>
          <cell r="L270">
            <v>6.32</v>
          </cell>
          <cell r="M270">
            <v>6.27</v>
          </cell>
          <cell r="N270">
            <v>6.24</v>
          </cell>
          <cell r="O270">
            <v>6.34</v>
          </cell>
        </row>
        <row r="271">
          <cell r="J271">
            <v>6.51</v>
          </cell>
          <cell r="K271">
            <v>6.59</v>
          </cell>
          <cell r="L271">
            <v>6.68</v>
          </cell>
          <cell r="M271">
            <v>6.57</v>
          </cell>
          <cell r="N271">
            <v>6.45</v>
          </cell>
          <cell r="O271">
            <v>6.37</v>
          </cell>
        </row>
        <row r="272">
          <cell r="J272">
            <v>6.31</v>
          </cell>
          <cell r="K272">
            <v>6.26</v>
          </cell>
          <cell r="L272">
            <v>6.27</v>
          </cell>
          <cell r="M272">
            <v>6.28</v>
          </cell>
          <cell r="N272">
            <v>6.29</v>
          </cell>
          <cell r="O272">
            <v>6.42</v>
          </cell>
        </row>
        <row r="273">
          <cell r="J273">
            <v>6.24</v>
          </cell>
          <cell r="K273">
            <v>6.36</v>
          </cell>
          <cell r="L273">
            <v>6.43</v>
          </cell>
          <cell r="M273">
            <v>6.41</v>
          </cell>
          <cell r="N273">
            <v>6.39</v>
          </cell>
          <cell r="O273">
            <v>6.34</v>
          </cell>
        </row>
        <row r="274">
          <cell r="J274">
            <v>6.6</v>
          </cell>
          <cell r="K274">
            <v>6.74</v>
          </cell>
          <cell r="L274">
            <v>6.82</v>
          </cell>
          <cell r="M274">
            <v>6.73</v>
          </cell>
          <cell r="N274">
            <v>6.63</v>
          </cell>
          <cell r="O274">
            <v>6.57</v>
          </cell>
        </row>
        <row r="275">
          <cell r="J275">
            <v>7.67</v>
          </cell>
          <cell r="K275">
            <v>7.49</v>
          </cell>
          <cell r="L275">
            <v>7.35</v>
          </cell>
          <cell r="M275">
            <v>7.15</v>
          </cell>
          <cell r="N275">
            <v>6.97</v>
          </cell>
          <cell r="O275">
            <v>6.59</v>
          </cell>
        </row>
        <row r="276">
          <cell r="J276">
            <v>7.65</v>
          </cell>
          <cell r="K276">
            <v>7.55</v>
          </cell>
          <cell r="L276">
            <v>7.31</v>
          </cell>
          <cell r="M276">
            <v>7.04</v>
          </cell>
          <cell r="N276">
            <v>6.84</v>
          </cell>
          <cell r="O276">
            <v>6.48</v>
          </cell>
        </row>
        <row r="277">
          <cell r="J277">
            <v>7.53</v>
          </cell>
          <cell r="K277">
            <v>7.42</v>
          </cell>
          <cell r="L277">
            <v>7.26</v>
          </cell>
          <cell r="M277">
            <v>7.09</v>
          </cell>
          <cell r="N277">
            <v>6.95</v>
          </cell>
          <cell r="O277">
            <v>6.54</v>
          </cell>
        </row>
        <row r="278">
          <cell r="J278">
            <v>7.81</v>
          </cell>
          <cell r="K278">
            <v>7.9</v>
          </cell>
          <cell r="L278">
            <v>7.8</v>
          </cell>
          <cell r="M278">
            <v>7.72</v>
          </cell>
          <cell r="N278">
            <v>7.66</v>
          </cell>
          <cell r="O278">
            <v>7.2</v>
          </cell>
        </row>
        <row r="279">
          <cell r="J279">
            <v>7.4</v>
          </cell>
          <cell r="K279">
            <v>7.2</v>
          </cell>
          <cell r="L279">
            <v>7.31</v>
          </cell>
          <cell r="M279">
            <v>7.2</v>
          </cell>
          <cell r="N279">
            <v>7.04</v>
          </cell>
          <cell r="O279">
            <v>6.72</v>
          </cell>
        </row>
        <row r="280">
          <cell r="J280">
            <v>7.84</v>
          </cell>
          <cell r="K280">
            <v>7.52</v>
          </cell>
          <cell r="L280">
            <v>7.55</v>
          </cell>
          <cell r="M280">
            <v>7.42</v>
          </cell>
          <cell r="N280">
            <v>7.27</v>
          </cell>
          <cell r="O280">
            <v>7.02</v>
          </cell>
        </row>
        <row r="281">
          <cell r="J281">
            <v>7.94</v>
          </cell>
          <cell r="K281">
            <v>8.06</v>
          </cell>
          <cell r="L281">
            <v>8.16</v>
          </cell>
          <cell r="M281">
            <v>7.97</v>
          </cell>
          <cell r="N281">
            <v>7.78</v>
          </cell>
          <cell r="O281">
            <v>7.32</v>
          </cell>
        </row>
        <row r="282">
          <cell r="J282">
            <v>7.96</v>
          </cell>
          <cell r="K282">
            <v>7.97</v>
          </cell>
          <cell r="L282">
            <v>7.96</v>
          </cell>
          <cell r="M282">
            <v>7.95</v>
          </cell>
          <cell r="N282">
            <v>7.92</v>
          </cell>
          <cell r="O282">
            <v>7.44</v>
          </cell>
        </row>
        <row r="283">
          <cell r="J283">
            <v>6.89</v>
          </cell>
          <cell r="K283">
            <v>7.07</v>
          </cell>
          <cell r="L283">
            <v>7.18</v>
          </cell>
          <cell r="M283">
            <v>7.17</v>
          </cell>
          <cell r="N283">
            <v>7.13</v>
          </cell>
          <cell r="O283">
            <v>6.81</v>
          </cell>
        </row>
        <row r="284">
          <cell r="J284">
            <v>6.65</v>
          </cell>
          <cell r="K284">
            <v>6.85</v>
          </cell>
          <cell r="L284">
            <v>7</v>
          </cell>
          <cell r="M284">
            <v>7.09</v>
          </cell>
          <cell r="N284">
            <v>7.11</v>
          </cell>
          <cell r="O284">
            <v>6.84</v>
          </cell>
        </row>
        <row r="285">
          <cell r="J285">
            <v>7.53</v>
          </cell>
          <cell r="K285">
            <v>7.71</v>
          </cell>
          <cell r="L285">
            <v>7.79</v>
          </cell>
          <cell r="M285">
            <v>7.82</v>
          </cell>
          <cell r="N285">
            <v>7.83</v>
          </cell>
          <cell r="O285">
            <v>7.71</v>
          </cell>
        </row>
        <row r="286">
          <cell r="J286">
            <v>7.45</v>
          </cell>
          <cell r="K286">
            <v>7.73</v>
          </cell>
          <cell r="L286">
            <v>7.73</v>
          </cell>
          <cell r="M286">
            <v>7.64</v>
          </cell>
          <cell r="N286">
            <v>7.59</v>
          </cell>
          <cell r="O286">
            <v>7.7</v>
          </cell>
        </row>
        <row r="287">
          <cell r="J287">
            <v>7.22</v>
          </cell>
          <cell r="K287">
            <v>7.52</v>
          </cell>
          <cell r="L287">
            <v>7.61</v>
          </cell>
          <cell r="M287">
            <v>7.63</v>
          </cell>
          <cell r="N287">
            <v>7.63</v>
          </cell>
          <cell r="O287">
            <v>7.5</v>
          </cell>
        </row>
        <row r="288">
          <cell r="J288">
            <v>6.89</v>
          </cell>
          <cell r="K288">
            <v>7.29</v>
          </cell>
          <cell r="L288">
            <v>7.45</v>
          </cell>
          <cell r="M288">
            <v>7.46</v>
          </cell>
          <cell r="N288">
            <v>7.48</v>
          </cell>
          <cell r="O288">
            <v>7.6</v>
          </cell>
        </row>
        <row r="289">
          <cell r="J289">
            <v>6.78</v>
          </cell>
          <cell r="K289">
            <v>7.15</v>
          </cell>
          <cell r="L289">
            <v>7.31</v>
          </cell>
          <cell r="M289">
            <v>7.32</v>
          </cell>
          <cell r="N289">
            <v>7.35</v>
          </cell>
          <cell r="O289">
            <v>7.57</v>
          </cell>
        </row>
        <row r="290">
          <cell r="J290">
            <v>6.6</v>
          </cell>
          <cell r="K290">
            <v>6.68</v>
          </cell>
          <cell r="L290">
            <v>6.82</v>
          </cell>
          <cell r="M290">
            <v>6.97</v>
          </cell>
          <cell r="N290">
            <v>7.08</v>
          </cell>
          <cell r="O290">
            <v>7.3</v>
          </cell>
        </row>
        <row r="291">
          <cell r="J291">
            <v>6.34</v>
          </cell>
          <cell r="K291">
            <v>6.52</v>
          </cell>
          <cell r="L291">
            <v>6.71</v>
          </cell>
          <cell r="M291">
            <v>6.86</v>
          </cell>
          <cell r="N291">
            <v>6.97</v>
          </cell>
          <cell r="O291">
            <v>7.2</v>
          </cell>
        </row>
        <row r="292">
          <cell r="J292">
            <v>5.16</v>
          </cell>
          <cell r="K292">
            <v>5.39</v>
          </cell>
          <cell r="L292">
            <v>5.62</v>
          </cell>
          <cell r="M292">
            <v>5.88</v>
          </cell>
          <cell r="N292">
            <v>6.08</v>
          </cell>
          <cell r="O292">
            <v>6.49</v>
          </cell>
        </row>
        <row r="293">
          <cell r="J293">
            <v>4.99</v>
          </cell>
          <cell r="K293">
            <v>5.47</v>
          </cell>
          <cell r="L293">
            <v>5.74</v>
          </cell>
          <cell r="M293">
            <v>5.89</v>
          </cell>
          <cell r="N293">
            <v>6</v>
          </cell>
          <cell r="O293">
            <v>6.34</v>
          </cell>
        </row>
        <row r="294">
          <cell r="J294">
            <v>4.24</v>
          </cell>
          <cell r="K294">
            <v>4.7300000000000004</v>
          </cell>
          <cell r="L294">
            <v>5.23</v>
          </cell>
          <cell r="M294">
            <v>5.62</v>
          </cell>
          <cell r="N294">
            <v>5.87</v>
          </cell>
          <cell r="O294">
            <v>6.17</v>
          </cell>
        </row>
        <row r="295">
          <cell r="J295">
            <v>3.75</v>
          </cell>
          <cell r="K295">
            <v>4.2300000000000004</v>
          </cell>
          <cell r="L295">
            <v>4.78</v>
          </cell>
          <cell r="M295">
            <v>5.2</v>
          </cell>
          <cell r="N295">
            <v>5.49</v>
          </cell>
          <cell r="O295">
            <v>6.12</v>
          </cell>
        </row>
        <row r="296">
          <cell r="J296">
            <v>3.81</v>
          </cell>
          <cell r="K296">
            <v>4.1500000000000004</v>
          </cell>
          <cell r="L296">
            <v>4.5199999999999996</v>
          </cell>
          <cell r="M296">
            <v>4.8600000000000003</v>
          </cell>
          <cell r="N296">
            <v>5.15</v>
          </cell>
          <cell r="O296">
            <v>5.72</v>
          </cell>
        </row>
        <row r="297">
          <cell r="J297">
            <v>4.6399999999999997</v>
          </cell>
          <cell r="K297">
            <v>5.2</v>
          </cell>
          <cell r="L297">
            <v>5.63</v>
          </cell>
          <cell r="M297">
            <v>5.9</v>
          </cell>
          <cell r="N297">
            <v>6.05</v>
          </cell>
          <cell r="O297">
            <v>6.15</v>
          </cell>
        </row>
        <row r="298">
          <cell r="J298">
            <v>4.97</v>
          </cell>
          <cell r="K298">
            <v>5.49</v>
          </cell>
          <cell r="L298">
            <v>5.78</v>
          </cell>
          <cell r="M298">
            <v>5.97</v>
          </cell>
          <cell r="N298">
            <v>6.12</v>
          </cell>
          <cell r="O298">
            <v>6.53</v>
          </cell>
        </row>
        <row r="299">
          <cell r="J299">
            <v>6.06</v>
          </cell>
          <cell r="K299">
            <v>6.49</v>
          </cell>
          <cell r="L299">
            <v>6.66</v>
          </cell>
          <cell r="M299">
            <v>6.74</v>
          </cell>
          <cell r="N299">
            <v>6.8</v>
          </cell>
          <cell r="O299">
            <v>6.83</v>
          </cell>
        </row>
        <row r="300">
          <cell r="J300">
            <v>6.06</v>
          </cell>
          <cell r="K300">
            <v>6.5</v>
          </cell>
          <cell r="L300">
            <v>6.77</v>
          </cell>
          <cell r="M300">
            <v>6.86</v>
          </cell>
          <cell r="N300">
            <v>6.91</v>
          </cell>
          <cell r="O300">
            <v>6.95</v>
          </cell>
        </row>
        <row r="301">
          <cell r="J301">
            <v>5.27</v>
          </cell>
          <cell r="K301">
            <v>5.55</v>
          </cell>
          <cell r="L301">
            <v>5.7</v>
          </cell>
          <cell r="M301">
            <v>5.82</v>
          </cell>
          <cell r="N301">
            <v>5.93</v>
          </cell>
          <cell r="O301">
            <v>6.3</v>
          </cell>
        </row>
        <row r="302">
          <cell r="J302">
            <v>5.27</v>
          </cell>
          <cell r="K302">
            <v>5.51</v>
          </cell>
          <cell r="L302">
            <v>5.7</v>
          </cell>
          <cell r="M302">
            <v>5.87</v>
          </cell>
          <cell r="N302">
            <v>5.95</v>
          </cell>
          <cell r="O302">
            <v>5.97</v>
          </cell>
        </row>
        <row r="303">
          <cell r="J303">
            <v>4.5999999999999996</v>
          </cell>
          <cell r="K303">
            <v>5.0599999999999996</v>
          </cell>
          <cell r="L303">
            <v>5.19</v>
          </cell>
          <cell r="M303">
            <v>5.49</v>
          </cell>
          <cell r="N303">
            <v>5.76</v>
          </cell>
          <cell r="O303">
            <v>5.96</v>
          </cell>
        </row>
        <row r="304">
          <cell r="J304">
            <v>4.75</v>
          </cell>
          <cell r="K304">
            <v>5.07</v>
          </cell>
          <cell r="L304">
            <v>5.27</v>
          </cell>
          <cell r="M304">
            <v>5.6</v>
          </cell>
          <cell r="N304">
            <v>5.84</v>
          </cell>
          <cell r="O304">
            <v>5.85</v>
          </cell>
        </row>
        <row r="305">
          <cell r="J305">
            <v>4.29</v>
          </cell>
          <cell r="K305">
            <v>4.84</v>
          </cell>
          <cell r="L305">
            <v>5.04</v>
          </cell>
          <cell r="M305">
            <v>5.29</v>
          </cell>
          <cell r="N305">
            <v>5.49</v>
          </cell>
          <cell r="O305">
            <v>5.97</v>
          </cell>
        </row>
        <row r="306">
          <cell r="J306">
            <v>4.18</v>
          </cell>
          <cell r="K306">
            <v>4.84</v>
          </cell>
          <cell r="L306">
            <v>5.29</v>
          </cell>
          <cell r="M306">
            <v>5.56</v>
          </cell>
          <cell r="N306">
            <v>5.76</v>
          </cell>
          <cell r="O306">
            <v>6.4</v>
          </cell>
        </row>
        <row r="307">
          <cell r="J307">
            <v>4.24</v>
          </cell>
          <cell r="K307">
            <v>4.83</v>
          </cell>
          <cell r="L307">
            <v>5.23</v>
          </cell>
          <cell r="M307">
            <v>5.49</v>
          </cell>
          <cell r="N307">
            <v>5.68</v>
          </cell>
          <cell r="O307">
            <v>6.26</v>
          </cell>
        </row>
        <row r="308">
          <cell r="J308">
            <v>5</v>
          </cell>
          <cell r="K308">
            <v>5.52</v>
          </cell>
          <cell r="L308">
            <v>5.78</v>
          </cell>
          <cell r="M308">
            <v>5.94</v>
          </cell>
          <cell r="N308">
            <v>6.04</v>
          </cell>
          <cell r="O308">
            <v>6.22</v>
          </cell>
        </row>
        <row r="309">
          <cell r="J309">
            <v>4.5</v>
          </cell>
          <cell r="K309">
            <v>5.15</v>
          </cell>
          <cell r="L309">
            <v>5.55</v>
          </cell>
          <cell r="M309">
            <v>5.72</v>
          </cell>
          <cell r="N309">
            <v>5.83</v>
          </cell>
          <cell r="O309">
            <v>6.21</v>
          </cell>
        </row>
        <row r="310">
          <cell r="J310">
            <v>4.5599999999999996</v>
          </cell>
          <cell r="K310">
            <v>5</v>
          </cell>
          <cell r="L310">
            <v>5.34</v>
          </cell>
          <cell r="M310">
            <v>5.56</v>
          </cell>
          <cell r="N310">
            <v>5.73</v>
          </cell>
          <cell r="O310">
            <v>6.14</v>
          </cell>
        </row>
        <row r="311">
          <cell r="J311">
            <v>5.17</v>
          </cell>
          <cell r="K311">
            <v>5.48</v>
          </cell>
          <cell r="L311">
            <v>5.68</v>
          </cell>
          <cell r="M311">
            <v>5.83</v>
          </cell>
          <cell r="N311">
            <v>5.94</v>
          </cell>
          <cell r="O311">
            <v>6.24</v>
          </cell>
        </row>
        <row r="312">
          <cell r="J312">
            <v>4.88</v>
          </cell>
          <cell r="K312">
            <v>5.36</v>
          </cell>
          <cell r="L312">
            <v>5.72</v>
          </cell>
          <cell r="M312">
            <v>5.86</v>
          </cell>
          <cell r="N312">
            <v>5.97</v>
          </cell>
          <cell r="O312">
            <v>6.4</v>
          </cell>
        </row>
        <row r="313">
          <cell r="J313">
            <v>5.37</v>
          </cell>
          <cell r="K313">
            <v>5.67</v>
          </cell>
          <cell r="L313">
            <v>5.89</v>
          </cell>
          <cell r="M313">
            <v>6.02</v>
          </cell>
          <cell r="N313">
            <v>6.13</v>
          </cell>
          <cell r="O313">
            <v>6.51</v>
          </cell>
        </row>
        <row r="314">
          <cell r="J314">
            <v>5.63</v>
          </cell>
          <cell r="K314">
            <v>5.86</v>
          </cell>
          <cell r="L314">
            <v>5.97</v>
          </cell>
          <cell r="M314">
            <v>6.01</v>
          </cell>
          <cell r="N314">
            <v>6.09</v>
          </cell>
          <cell r="O314">
            <v>6.62</v>
          </cell>
        </row>
        <row r="315">
          <cell r="J315">
            <v>5.48</v>
          </cell>
          <cell r="K315">
            <v>5.81</v>
          </cell>
          <cell r="L315">
            <v>5.98</v>
          </cell>
          <cell r="M315">
            <v>6.04</v>
          </cell>
          <cell r="N315">
            <v>6.1</v>
          </cell>
          <cell r="O315">
            <v>6.45</v>
          </cell>
        </row>
        <row r="316">
          <cell r="J316">
            <v>5.36</v>
          </cell>
          <cell r="K316">
            <v>5.67</v>
          </cell>
          <cell r="L316">
            <v>5.88</v>
          </cell>
          <cell r="M316">
            <v>5.93</v>
          </cell>
          <cell r="N316">
            <v>5.99</v>
          </cell>
          <cell r="O316">
            <v>6.34</v>
          </cell>
        </row>
        <row r="317">
          <cell r="J317">
            <v>5.59</v>
          </cell>
          <cell r="K317">
            <v>5.9</v>
          </cell>
          <cell r="L317">
            <v>6.04</v>
          </cell>
          <cell r="M317">
            <v>6.07</v>
          </cell>
          <cell r="N317">
            <v>6.12</v>
          </cell>
          <cell r="O317">
            <v>6.41</v>
          </cell>
        </row>
        <row r="318">
          <cell r="J318">
            <v>6.06</v>
          </cell>
          <cell r="K318">
            <v>6.26</v>
          </cell>
          <cell r="L318">
            <v>6.35</v>
          </cell>
          <cell r="M318">
            <v>6.34</v>
          </cell>
          <cell r="N318">
            <v>6.34</v>
          </cell>
          <cell r="O318">
            <v>6.45</v>
          </cell>
        </row>
        <row r="319">
          <cell r="J319">
            <v>6.39</v>
          </cell>
          <cell r="K319">
            <v>6.61</v>
          </cell>
          <cell r="L319">
            <v>6.66</v>
          </cell>
          <cell r="M319">
            <v>6.64</v>
          </cell>
          <cell r="N319">
            <v>6.62</v>
          </cell>
          <cell r="O319">
            <v>6.55</v>
          </cell>
        </row>
        <row r="320">
          <cell r="J320">
            <v>6.96</v>
          </cell>
          <cell r="K320">
            <v>6.79</v>
          </cell>
          <cell r="L320">
            <v>6.71</v>
          </cell>
          <cell r="M320">
            <v>6.68</v>
          </cell>
          <cell r="N320">
            <v>6.65</v>
          </cell>
          <cell r="O320">
            <v>6.58</v>
          </cell>
        </row>
        <row r="321">
          <cell r="J321">
            <v>6.72</v>
          </cell>
          <cell r="K321">
            <v>6.65</v>
          </cell>
          <cell r="L321">
            <v>6.62</v>
          </cell>
          <cell r="M321">
            <v>6.61</v>
          </cell>
          <cell r="N321">
            <v>6.61</v>
          </cell>
          <cell r="O321">
            <v>6.57</v>
          </cell>
        </row>
        <row r="322">
          <cell r="J322">
            <v>7.05</v>
          </cell>
          <cell r="K322">
            <v>6.8</v>
          </cell>
          <cell r="L322">
            <v>6.64</v>
          </cell>
          <cell r="M322">
            <v>6.63</v>
          </cell>
          <cell r="N322">
            <v>6.66</v>
          </cell>
          <cell r="O322">
            <v>6.78</v>
          </cell>
        </row>
        <row r="323">
          <cell r="J323">
            <v>7.59</v>
          </cell>
          <cell r="K323">
            <v>7.04</v>
          </cell>
          <cell r="L323">
            <v>6.87</v>
          </cell>
          <cell r="M323">
            <v>6.79</v>
          </cell>
          <cell r="N323">
            <v>6.76</v>
          </cell>
          <cell r="O323">
            <v>6.79</v>
          </cell>
        </row>
        <row r="324">
          <cell r="J324">
            <v>8.66</v>
          </cell>
          <cell r="K324">
            <v>8.17</v>
          </cell>
          <cell r="L324">
            <v>7.88</v>
          </cell>
          <cell r="M324">
            <v>7.7</v>
          </cell>
          <cell r="N324">
            <v>7.59</v>
          </cell>
          <cell r="O324">
            <v>7.34</v>
          </cell>
        </row>
        <row r="325">
          <cell r="J325">
            <v>8.4700000000000006</v>
          </cell>
          <cell r="K325">
            <v>7.71</v>
          </cell>
          <cell r="L325">
            <v>7.3</v>
          </cell>
          <cell r="M325">
            <v>7.13</v>
          </cell>
          <cell r="N325">
            <v>7.06</v>
          </cell>
          <cell r="O325">
            <v>7.04</v>
          </cell>
        </row>
        <row r="326">
          <cell r="J326">
            <v>7.58</v>
          </cell>
          <cell r="K326">
            <v>6.93</v>
          </cell>
          <cell r="L326">
            <v>6.69</v>
          </cell>
          <cell r="M326">
            <v>6.62</v>
          </cell>
          <cell r="N326">
            <v>6.62</v>
          </cell>
          <cell r="O326">
            <v>6.76</v>
          </cell>
        </row>
        <row r="327">
          <cell r="J327">
            <v>6.98</v>
          </cell>
          <cell r="K327">
            <v>6.82</v>
          </cell>
          <cell r="L327">
            <v>6.93</v>
          </cell>
          <cell r="M327">
            <v>6.91</v>
          </cell>
          <cell r="N327">
            <v>6.84</v>
          </cell>
          <cell r="O327">
            <v>6.89</v>
          </cell>
        </row>
        <row r="328">
          <cell r="J328">
            <v>7.43</v>
          </cell>
          <cell r="K328">
            <v>6.73</v>
          </cell>
          <cell r="L328">
            <v>6.72</v>
          </cell>
          <cell r="M328">
            <v>6.7</v>
          </cell>
          <cell r="N328">
            <v>6.67</v>
          </cell>
          <cell r="O328">
            <v>6.79</v>
          </cell>
        </row>
        <row r="329">
          <cell r="J329">
            <v>7.11</v>
          </cell>
          <cell r="K329">
            <v>6.72</v>
          </cell>
          <cell r="L329">
            <v>6.7</v>
          </cell>
          <cell r="M329">
            <v>6.67</v>
          </cell>
          <cell r="N329">
            <v>6.63</v>
          </cell>
          <cell r="O329">
            <v>6.79</v>
          </cell>
        </row>
        <row r="330">
          <cell r="J330">
            <v>7.02</v>
          </cell>
          <cell r="K330">
            <v>6.73</v>
          </cell>
          <cell r="L330">
            <v>6.75</v>
          </cell>
          <cell r="M330">
            <v>6.76</v>
          </cell>
          <cell r="N330">
            <v>6.77</v>
          </cell>
          <cell r="O330">
            <v>7</v>
          </cell>
        </row>
        <row r="331">
          <cell r="J331">
            <v>6.99</v>
          </cell>
          <cell r="K331">
            <v>6.76</v>
          </cell>
          <cell r="L331">
            <v>6.8</v>
          </cell>
          <cell r="M331">
            <v>6.83</v>
          </cell>
          <cell r="N331">
            <v>6.85</v>
          </cell>
          <cell r="O331">
            <v>7.09</v>
          </cell>
        </row>
        <row r="332">
          <cell r="J332">
            <v>8.2899999999999991</v>
          </cell>
          <cell r="K332">
            <v>7.82</v>
          </cell>
          <cell r="L332">
            <v>7.69</v>
          </cell>
          <cell r="M332">
            <v>7.61</v>
          </cell>
          <cell r="N332">
            <v>7.55</v>
          </cell>
          <cell r="O332">
            <v>7.49</v>
          </cell>
        </row>
        <row r="333">
          <cell r="J333">
            <v>8.94</v>
          </cell>
          <cell r="K333">
            <v>8.2799999999999994</v>
          </cell>
          <cell r="L333">
            <v>8.16</v>
          </cell>
          <cell r="M333">
            <v>8.09</v>
          </cell>
          <cell r="N333">
            <v>8.0299999999999994</v>
          </cell>
          <cell r="O333">
            <v>7.89</v>
          </cell>
        </row>
        <row r="334">
          <cell r="J334">
            <v>8.73</v>
          </cell>
          <cell r="K334">
            <v>8.02</v>
          </cell>
          <cell r="L334">
            <v>7.98</v>
          </cell>
          <cell r="M334">
            <v>7.95</v>
          </cell>
          <cell r="N334">
            <v>7.89</v>
          </cell>
          <cell r="O334">
            <v>7.83</v>
          </cell>
        </row>
        <row r="335">
          <cell r="J335">
            <v>8.68</v>
          </cell>
          <cell r="K335">
            <v>8.19</v>
          </cell>
          <cell r="L335">
            <v>8.27</v>
          </cell>
          <cell r="M335">
            <v>8.2200000000000006</v>
          </cell>
          <cell r="N335">
            <v>8.11</v>
          </cell>
          <cell r="O335">
            <v>7.84</v>
          </cell>
        </row>
        <row r="336">
          <cell r="J336">
            <v>8.65</v>
          </cell>
          <cell r="K336">
            <v>8.42</v>
          </cell>
          <cell r="L336">
            <v>8.4499999999999993</v>
          </cell>
          <cell r="M336">
            <v>8.39</v>
          </cell>
          <cell r="N336">
            <v>8.2799999999999994</v>
          </cell>
          <cell r="O336">
            <v>8.01</v>
          </cell>
        </row>
        <row r="337">
          <cell r="J337">
            <v>9.74</v>
          </cell>
          <cell r="K337">
            <v>8.76</v>
          </cell>
          <cell r="L337">
            <v>8.51</v>
          </cell>
          <cell r="M337">
            <v>8.44</v>
          </cell>
          <cell r="N337">
            <v>8.4</v>
          </cell>
          <cell r="O337">
            <v>8.27</v>
          </cell>
        </row>
        <row r="338">
          <cell r="J338">
            <v>8.2899999999999991</v>
          </cell>
          <cell r="K338">
            <v>7.95</v>
          </cell>
          <cell r="L338">
            <v>8.01</v>
          </cell>
          <cell r="M338">
            <v>7.97</v>
          </cell>
          <cell r="N338">
            <v>7.9</v>
          </cell>
          <cell r="O338">
            <v>7.89</v>
          </cell>
        </row>
        <row r="339">
          <cell r="J339">
            <v>7.86</v>
          </cell>
          <cell r="K339">
            <v>7.72</v>
          </cell>
          <cell r="L339">
            <v>7.85</v>
          </cell>
          <cell r="M339">
            <v>7.85</v>
          </cell>
          <cell r="N339">
            <v>7.8</v>
          </cell>
          <cell r="O339">
            <v>7.75</v>
          </cell>
        </row>
        <row r="340">
          <cell r="J340">
            <v>7.51</v>
          </cell>
          <cell r="K340">
            <v>7.26</v>
          </cell>
          <cell r="L340">
            <v>7.41</v>
          </cell>
          <cell r="M340">
            <v>7.49</v>
          </cell>
          <cell r="N340">
            <v>7.52</v>
          </cell>
          <cell r="O340">
            <v>7.7</v>
          </cell>
        </row>
        <row r="341">
          <cell r="J341">
            <v>7.13</v>
          </cell>
          <cell r="K341">
            <v>7.18</v>
          </cell>
          <cell r="L341">
            <v>7.23</v>
          </cell>
          <cell r="M341">
            <v>7.21</v>
          </cell>
          <cell r="N341">
            <v>7.17</v>
          </cell>
          <cell r="O341">
            <v>7.43</v>
          </cell>
        </row>
        <row r="342">
          <cell r="J342">
            <v>6.15</v>
          </cell>
          <cell r="K342">
            <v>6.71</v>
          </cell>
          <cell r="L342">
            <v>6.98</v>
          </cell>
          <cell r="M342">
            <v>7.13</v>
          </cell>
          <cell r="N342">
            <v>7.24</v>
          </cell>
          <cell r="O342">
            <v>7.48</v>
          </cell>
        </row>
        <row r="343">
          <cell r="J343">
            <v>5.92</v>
          </cell>
          <cell r="K343">
            <v>6.26</v>
          </cell>
          <cell r="L343">
            <v>6.59</v>
          </cell>
          <cell r="M343">
            <v>6.85</v>
          </cell>
          <cell r="N343">
            <v>7.06</v>
          </cell>
          <cell r="O343">
            <v>7.49</v>
          </cell>
        </row>
        <row r="344">
          <cell r="J344">
            <v>6.16</v>
          </cell>
          <cell r="K344">
            <v>6.7</v>
          </cell>
          <cell r="L344">
            <v>7</v>
          </cell>
          <cell r="M344">
            <v>7.22</v>
          </cell>
          <cell r="N344">
            <v>7.4</v>
          </cell>
          <cell r="O344">
            <v>7.93</v>
          </cell>
        </row>
        <row r="345">
          <cell r="J345">
            <v>6.86</v>
          </cell>
          <cell r="K345">
            <v>7.59</v>
          </cell>
          <cell r="L345">
            <v>7.79</v>
          </cell>
          <cell r="M345">
            <v>7.89</v>
          </cell>
          <cell r="N345">
            <v>7.97</v>
          </cell>
          <cell r="O345">
            <v>8.1300000000000008</v>
          </cell>
        </row>
        <row r="346">
          <cell r="J346">
            <v>6.07</v>
          </cell>
          <cell r="K346">
            <v>6.84</v>
          </cell>
          <cell r="L346">
            <v>7.2</v>
          </cell>
          <cell r="M346">
            <v>7.41</v>
          </cell>
          <cell r="N346">
            <v>7.56</v>
          </cell>
          <cell r="O346">
            <v>7.97</v>
          </cell>
        </row>
        <row r="347">
          <cell r="J347">
            <v>6.85</v>
          </cell>
          <cell r="K347">
            <v>7.21</v>
          </cell>
          <cell r="L347">
            <v>7.48</v>
          </cell>
          <cell r="M347">
            <v>7.63</v>
          </cell>
          <cell r="N347">
            <v>7.7</v>
          </cell>
          <cell r="O347">
            <v>7.87</v>
          </cell>
        </row>
        <row r="348">
          <cell r="J348">
            <v>7.26</v>
          </cell>
          <cell r="K348">
            <v>7.65</v>
          </cell>
          <cell r="L348">
            <v>7.83</v>
          </cell>
          <cell r="M348">
            <v>7.91</v>
          </cell>
          <cell r="N348">
            <v>7.94</v>
          </cell>
          <cell r="O348">
            <v>8.0299999999999994</v>
          </cell>
        </row>
        <row r="349">
          <cell r="J349">
            <v>7.46</v>
          </cell>
          <cell r="K349">
            <v>7.7</v>
          </cell>
          <cell r="L349">
            <v>7.89</v>
          </cell>
          <cell r="M349">
            <v>8</v>
          </cell>
          <cell r="N349">
            <v>8.02</v>
          </cell>
          <cell r="O349">
            <v>8.09</v>
          </cell>
        </row>
        <row r="350">
          <cell r="J350">
            <v>7.62</v>
          </cell>
          <cell r="K350">
            <v>8.0299999999999994</v>
          </cell>
          <cell r="L350">
            <v>8.19</v>
          </cell>
          <cell r="M350">
            <v>8.26</v>
          </cell>
          <cell r="N350">
            <v>8.2799999999999994</v>
          </cell>
          <cell r="O350">
            <v>8.3699999999999992</v>
          </cell>
        </row>
        <row r="351">
          <cell r="J351">
            <v>6.29</v>
          </cell>
          <cell r="K351">
            <v>6.96</v>
          </cell>
          <cell r="L351">
            <v>7.24</v>
          </cell>
          <cell r="M351">
            <v>7.41</v>
          </cell>
          <cell r="N351">
            <v>7.55</v>
          </cell>
          <cell r="O351">
            <v>7.93</v>
          </cell>
        </row>
        <row r="352">
          <cell r="J352">
            <v>6.57</v>
          </cell>
          <cell r="K352">
            <v>7.23</v>
          </cell>
          <cell r="L352">
            <v>7.49</v>
          </cell>
          <cell r="M352">
            <v>7.66</v>
          </cell>
          <cell r="N352">
            <v>7.82</v>
          </cell>
          <cell r="O352">
            <v>8.2200000000000006</v>
          </cell>
        </row>
        <row r="353">
          <cell r="J353">
            <v>6.1</v>
          </cell>
          <cell r="K353">
            <v>6.68</v>
          </cell>
          <cell r="L353">
            <v>7.04</v>
          </cell>
          <cell r="M353">
            <v>7.27</v>
          </cell>
          <cell r="N353">
            <v>7.42</v>
          </cell>
          <cell r="O353">
            <v>7.8</v>
          </cell>
        </row>
        <row r="354">
          <cell r="J354">
            <v>5.56</v>
          </cell>
          <cell r="K354">
            <v>6.39</v>
          </cell>
          <cell r="L354">
            <v>6.9</v>
          </cell>
          <cell r="M354">
            <v>7.23</v>
          </cell>
          <cell r="N354">
            <v>7.45</v>
          </cell>
          <cell r="O354">
            <v>7.89</v>
          </cell>
        </row>
        <row r="355">
          <cell r="J355">
            <v>6.11</v>
          </cell>
          <cell r="K355">
            <v>6.76</v>
          </cell>
          <cell r="L355">
            <v>7.09</v>
          </cell>
          <cell r="M355">
            <v>7.29</v>
          </cell>
          <cell r="N355">
            <v>7.43</v>
          </cell>
          <cell r="O355">
            <v>7.8</v>
          </cell>
        </row>
        <row r="356">
          <cell r="J356">
            <v>6.04</v>
          </cell>
          <cell r="K356">
            <v>6.65</v>
          </cell>
          <cell r="L356">
            <v>6.98</v>
          </cell>
          <cell r="M356">
            <v>7.18</v>
          </cell>
          <cell r="N356">
            <v>7.33</v>
          </cell>
          <cell r="O356">
            <v>7.69</v>
          </cell>
        </row>
        <row r="357">
          <cell r="J357">
            <v>6.01</v>
          </cell>
          <cell r="K357">
            <v>6.58</v>
          </cell>
          <cell r="L357">
            <v>6.88</v>
          </cell>
          <cell r="M357">
            <v>7.11</v>
          </cell>
          <cell r="N357">
            <v>7.28</v>
          </cell>
          <cell r="O357">
            <v>7.69</v>
          </cell>
        </row>
        <row r="358">
          <cell r="J358">
            <v>6.66</v>
          </cell>
          <cell r="K358">
            <v>7.25</v>
          </cell>
          <cell r="L358">
            <v>7.46</v>
          </cell>
          <cell r="M358">
            <v>7.6</v>
          </cell>
          <cell r="N358">
            <v>7.68</v>
          </cell>
          <cell r="O358">
            <v>7.89</v>
          </cell>
        </row>
        <row r="359">
          <cell r="J359">
            <v>6.36</v>
          </cell>
          <cell r="K359">
            <v>6.91</v>
          </cell>
          <cell r="L359">
            <v>7.18</v>
          </cell>
          <cell r="M359">
            <v>7.36</v>
          </cell>
          <cell r="N359">
            <v>7.49</v>
          </cell>
          <cell r="O359">
            <v>7.81</v>
          </cell>
        </row>
        <row r="360">
          <cell r="J360">
            <v>6.08</v>
          </cell>
          <cell r="K360">
            <v>6.69</v>
          </cell>
          <cell r="L360">
            <v>6.97</v>
          </cell>
          <cell r="M360">
            <v>7.2</v>
          </cell>
          <cell r="N360">
            <v>7.39</v>
          </cell>
          <cell r="O360">
            <v>7.85</v>
          </cell>
        </row>
        <row r="361">
          <cell r="J361">
            <v>5.83</v>
          </cell>
          <cell r="K361">
            <v>6.43</v>
          </cell>
          <cell r="L361">
            <v>6.67</v>
          </cell>
          <cell r="M361">
            <v>6.9</v>
          </cell>
          <cell r="N361">
            <v>7.11</v>
          </cell>
          <cell r="O361">
            <v>7.66</v>
          </cell>
        </row>
        <row r="362">
          <cell r="J362">
            <v>5.73</v>
          </cell>
          <cell r="K362">
            <v>6.27</v>
          </cell>
          <cell r="L362">
            <v>6.54</v>
          </cell>
          <cell r="M362">
            <v>6.8</v>
          </cell>
          <cell r="N362">
            <v>7.01</v>
          </cell>
          <cell r="O362">
            <v>7.56</v>
          </cell>
        </row>
        <row r="363">
          <cell r="J363">
            <v>5.46</v>
          </cell>
          <cell r="K363">
            <v>6.02</v>
          </cell>
          <cell r="L363">
            <v>6.27</v>
          </cell>
          <cell r="M363">
            <v>6.5</v>
          </cell>
          <cell r="N363">
            <v>6.73</v>
          </cell>
          <cell r="O363">
            <v>7.46</v>
          </cell>
        </row>
        <row r="364">
          <cell r="J364">
            <v>4.88</v>
          </cell>
          <cell r="K364">
            <v>5.39</v>
          </cell>
          <cell r="L364">
            <v>5.66</v>
          </cell>
          <cell r="M364">
            <v>5.79</v>
          </cell>
          <cell r="N364">
            <v>6.01</v>
          </cell>
          <cell r="O364">
            <v>7.09</v>
          </cell>
        </row>
        <row r="365">
          <cell r="J365">
            <v>4.84</v>
          </cell>
          <cell r="K365">
            <v>5.35</v>
          </cell>
          <cell r="L365">
            <v>5.66</v>
          </cell>
          <cell r="M365">
            <v>5.9</v>
          </cell>
          <cell r="N365">
            <v>6.11</v>
          </cell>
          <cell r="O365">
            <v>6.83</v>
          </cell>
        </row>
        <row r="366">
          <cell r="J366">
            <v>5.55</v>
          </cell>
          <cell r="K366">
            <v>6.17</v>
          </cell>
          <cell r="L366">
            <v>6.46</v>
          </cell>
          <cell r="M366">
            <v>6.72</v>
          </cell>
          <cell r="N366">
            <v>6.91</v>
          </cell>
          <cell r="O366">
            <v>7.38</v>
          </cell>
        </row>
        <row r="367">
          <cell r="J367">
            <v>5.52</v>
          </cell>
          <cell r="K367">
            <v>6.11</v>
          </cell>
          <cell r="L367">
            <v>6.46</v>
          </cell>
          <cell r="M367">
            <v>6.76</v>
          </cell>
          <cell r="N367">
            <v>6.98</v>
          </cell>
          <cell r="O367">
            <v>7.44</v>
          </cell>
        </row>
        <row r="368">
          <cell r="J368">
            <v>5.41</v>
          </cell>
          <cell r="K368">
            <v>5.97</v>
          </cell>
          <cell r="L368">
            <v>6.38</v>
          </cell>
          <cell r="M368">
            <v>6.69</v>
          </cell>
          <cell r="N368">
            <v>6.91</v>
          </cell>
          <cell r="O368">
            <v>7.42</v>
          </cell>
        </row>
        <row r="369">
          <cell r="J369">
            <v>5.51</v>
          </cell>
          <cell r="K369">
            <v>6.07</v>
          </cell>
          <cell r="L369">
            <v>6.4</v>
          </cell>
          <cell r="M369">
            <v>6.7</v>
          </cell>
          <cell r="N369">
            <v>6.92</v>
          </cell>
          <cell r="O369">
            <v>7.45</v>
          </cell>
        </row>
        <row r="370">
          <cell r="J370">
            <v>5.7</v>
          </cell>
          <cell r="K370">
            <v>6.13</v>
          </cell>
          <cell r="L370">
            <v>6.38</v>
          </cell>
          <cell r="M370">
            <v>6.64</v>
          </cell>
          <cell r="N370">
            <v>6.84</v>
          </cell>
          <cell r="O370">
            <v>7.39</v>
          </cell>
        </row>
        <row r="371">
          <cell r="J371">
            <v>5.64</v>
          </cell>
          <cell r="K371">
            <v>6.06</v>
          </cell>
          <cell r="L371">
            <v>6.29</v>
          </cell>
          <cell r="M371">
            <v>6.53</v>
          </cell>
          <cell r="N371">
            <v>6.73</v>
          </cell>
          <cell r="O371">
            <v>7.27</v>
          </cell>
        </row>
        <row r="372">
          <cell r="J372">
            <v>6.09</v>
          </cell>
          <cell r="K372">
            <v>6.41</v>
          </cell>
          <cell r="L372">
            <v>6.63</v>
          </cell>
          <cell r="M372">
            <v>6.84</v>
          </cell>
          <cell r="N372">
            <v>6.99</v>
          </cell>
          <cell r="O372">
            <v>7.38</v>
          </cell>
        </row>
        <row r="373">
          <cell r="J373">
            <v>6.26</v>
          </cell>
          <cell r="K373">
            <v>6.47</v>
          </cell>
          <cell r="L373">
            <v>6.65</v>
          </cell>
          <cell r="M373">
            <v>6.78</v>
          </cell>
          <cell r="N373">
            <v>6.89</v>
          </cell>
          <cell r="O373">
            <v>7.25</v>
          </cell>
        </row>
        <row r="374">
          <cell r="J374">
            <v>6.57</v>
          </cell>
          <cell r="K374">
            <v>6.75</v>
          </cell>
          <cell r="L374">
            <v>6.85</v>
          </cell>
          <cell r="M374">
            <v>6.97</v>
          </cell>
          <cell r="N374">
            <v>7.06</v>
          </cell>
          <cell r="O374">
            <v>7.33</v>
          </cell>
        </row>
        <row r="375">
          <cell r="J375">
            <v>7.01</v>
          </cell>
          <cell r="K375">
            <v>7.2</v>
          </cell>
          <cell r="L375">
            <v>7.29</v>
          </cell>
          <cell r="M375">
            <v>7.38</v>
          </cell>
          <cell r="N375">
            <v>7.42</v>
          </cell>
          <cell r="O375">
            <v>7.55</v>
          </cell>
        </row>
        <row r="376">
          <cell r="J376">
            <v>6.87</v>
          </cell>
          <cell r="K376">
            <v>7.07</v>
          </cell>
          <cell r="L376">
            <v>7.18</v>
          </cell>
          <cell r="M376">
            <v>7.24</v>
          </cell>
          <cell r="N376">
            <v>7.28</v>
          </cell>
          <cell r="O376">
            <v>7.51</v>
          </cell>
        </row>
        <row r="377">
          <cell r="J377">
            <v>6.92</v>
          </cell>
          <cell r="K377">
            <v>7.1</v>
          </cell>
          <cell r="L377">
            <v>7.25</v>
          </cell>
          <cell r="M377">
            <v>7.37</v>
          </cell>
          <cell r="N377">
            <v>7.45</v>
          </cell>
          <cell r="O377">
            <v>7.68</v>
          </cell>
        </row>
        <row r="378">
          <cell r="J378">
            <v>7.12</v>
          </cell>
          <cell r="K378">
            <v>7.28</v>
          </cell>
          <cell r="L378">
            <v>7.42</v>
          </cell>
          <cell r="M378">
            <v>7.53</v>
          </cell>
          <cell r="N378">
            <v>7.61</v>
          </cell>
          <cell r="O378">
            <v>7.81</v>
          </cell>
        </row>
        <row r="379">
          <cell r="J379">
            <v>7.16</v>
          </cell>
          <cell r="K379">
            <v>7.44</v>
          </cell>
          <cell r="L379">
            <v>7.58</v>
          </cell>
          <cell r="M379">
            <v>7.69</v>
          </cell>
          <cell r="N379">
            <v>7.76</v>
          </cell>
          <cell r="O379">
            <v>7.92</v>
          </cell>
        </row>
        <row r="380">
          <cell r="J380">
            <v>7.32</v>
          </cell>
          <cell r="K380">
            <v>7.58</v>
          </cell>
          <cell r="L380">
            <v>7.69</v>
          </cell>
          <cell r="M380">
            <v>7.78</v>
          </cell>
          <cell r="N380">
            <v>7.85</v>
          </cell>
          <cell r="O380">
            <v>8.02</v>
          </cell>
        </row>
        <row r="381">
          <cell r="J381">
            <v>7.52</v>
          </cell>
          <cell r="K381">
            <v>7.78</v>
          </cell>
          <cell r="L381">
            <v>7.83</v>
          </cell>
          <cell r="M381">
            <v>7.88</v>
          </cell>
          <cell r="N381">
            <v>7.93</v>
          </cell>
          <cell r="O381">
            <v>8.1</v>
          </cell>
        </row>
        <row r="382">
          <cell r="J382">
            <v>7.78</v>
          </cell>
          <cell r="K382">
            <v>7.96</v>
          </cell>
          <cell r="L382">
            <v>8.01</v>
          </cell>
          <cell r="M382">
            <v>8.08</v>
          </cell>
          <cell r="N382">
            <v>8.1300000000000008</v>
          </cell>
          <cell r="O382">
            <v>8.27</v>
          </cell>
        </row>
        <row r="383">
          <cell r="J383">
            <v>8.1999999999999993</v>
          </cell>
          <cell r="K383">
            <v>8.2899999999999991</v>
          </cell>
          <cell r="L383">
            <v>8.34</v>
          </cell>
          <cell r="M383">
            <v>8.32</v>
          </cell>
          <cell r="N383">
            <v>8.31</v>
          </cell>
          <cell r="O383">
            <v>8.4499999999999993</v>
          </cell>
        </row>
        <row r="384">
          <cell r="J384">
            <v>8.1999999999999993</v>
          </cell>
          <cell r="K384">
            <v>8.26</v>
          </cell>
          <cell r="L384">
            <v>8.2899999999999991</v>
          </cell>
          <cell r="M384">
            <v>8.2799999999999994</v>
          </cell>
          <cell r="N384">
            <v>8.2899999999999991</v>
          </cell>
          <cell r="O384">
            <v>8.39</v>
          </cell>
        </row>
        <row r="385">
          <cell r="J385">
            <v>8.3000000000000007</v>
          </cell>
          <cell r="K385">
            <v>8.26</v>
          </cell>
          <cell r="L385">
            <v>8.23</v>
          </cell>
          <cell r="M385">
            <v>8.2100000000000009</v>
          </cell>
          <cell r="N385">
            <v>8.1999999999999993</v>
          </cell>
          <cell r="O385">
            <v>8.1999999999999993</v>
          </cell>
        </row>
        <row r="386">
          <cell r="J386">
            <v>8.66</v>
          </cell>
          <cell r="K386">
            <v>8.4499999999999993</v>
          </cell>
          <cell r="L386">
            <v>8.3000000000000007</v>
          </cell>
          <cell r="M386">
            <v>8.27</v>
          </cell>
          <cell r="N386">
            <v>8.2899999999999991</v>
          </cell>
          <cell r="O386">
            <v>8.43</v>
          </cell>
        </row>
        <row r="387">
          <cell r="J387">
            <v>9.66</v>
          </cell>
          <cell r="K387">
            <v>9.25</v>
          </cell>
          <cell r="L387">
            <v>9.07</v>
          </cell>
          <cell r="M387">
            <v>8.93</v>
          </cell>
          <cell r="N387">
            <v>8.83</v>
          </cell>
          <cell r="O387">
            <v>8.66</v>
          </cell>
        </row>
        <row r="388">
          <cell r="J388">
            <v>9.76</v>
          </cell>
          <cell r="K388">
            <v>9.25</v>
          </cell>
          <cell r="L388">
            <v>8.86</v>
          </cell>
          <cell r="M388">
            <v>8.68</v>
          </cell>
          <cell r="N388">
            <v>8.6300000000000008</v>
          </cell>
          <cell r="O388">
            <v>8.6199999999999992</v>
          </cell>
        </row>
        <row r="389">
          <cell r="J389">
            <v>10.33</v>
          </cell>
          <cell r="K389">
            <v>9.7899999999999991</v>
          </cell>
          <cell r="L389">
            <v>9.33</v>
          </cell>
          <cell r="M389">
            <v>9.09</v>
          </cell>
          <cell r="N389">
            <v>9.01</v>
          </cell>
          <cell r="O389">
            <v>8.86</v>
          </cell>
        </row>
        <row r="390">
          <cell r="J390">
            <v>9.8000000000000007</v>
          </cell>
          <cell r="K390">
            <v>9.34</v>
          </cell>
          <cell r="L390">
            <v>8.8699999999999992</v>
          </cell>
          <cell r="M390">
            <v>8.68</v>
          </cell>
          <cell r="N390">
            <v>8.67</v>
          </cell>
          <cell r="O390">
            <v>8.7200000000000006</v>
          </cell>
        </row>
        <row r="391">
          <cell r="J391">
            <v>9.9700000000000006</v>
          </cell>
          <cell r="K391">
            <v>9.58</v>
          </cell>
          <cell r="L391">
            <v>9.1999999999999993</v>
          </cell>
          <cell r="M391">
            <v>9.02</v>
          </cell>
          <cell r="N391">
            <v>8.89</v>
          </cell>
          <cell r="O391">
            <v>8.9700000000000006</v>
          </cell>
        </row>
        <row r="392">
          <cell r="J392">
            <v>9.77</v>
          </cell>
          <cell r="K392">
            <v>9.49</v>
          </cell>
          <cell r="L392">
            <v>9.1199999999999992</v>
          </cell>
          <cell r="M392">
            <v>8.93</v>
          </cell>
          <cell r="N392">
            <v>8.89</v>
          </cell>
          <cell r="O392">
            <v>8.9</v>
          </cell>
        </row>
        <row r="393">
          <cell r="J393">
            <v>9.91</v>
          </cell>
          <cell r="K393">
            <v>9.6300000000000008</v>
          </cell>
          <cell r="L393">
            <v>9.24</v>
          </cell>
          <cell r="M393">
            <v>9.08</v>
          </cell>
          <cell r="N393">
            <v>9.08</v>
          </cell>
          <cell r="O393">
            <v>9.1199999999999992</v>
          </cell>
        </row>
        <row r="394">
          <cell r="J394">
            <v>9.61</v>
          </cell>
          <cell r="K394">
            <v>9.27</v>
          </cell>
          <cell r="L394">
            <v>8.91</v>
          </cell>
          <cell r="M394">
            <v>8.77</v>
          </cell>
          <cell r="N394">
            <v>8.76</v>
          </cell>
          <cell r="O394">
            <v>8.8699999999999992</v>
          </cell>
        </row>
        <row r="395">
          <cell r="J395">
            <v>9.11</v>
          </cell>
          <cell r="K395">
            <v>8.7100000000000009</v>
          </cell>
          <cell r="L395">
            <v>8.57</v>
          </cell>
          <cell r="M395">
            <v>8.5</v>
          </cell>
          <cell r="N395">
            <v>8.5</v>
          </cell>
          <cell r="O395">
            <v>8.6300000000000008</v>
          </cell>
        </row>
        <row r="396">
          <cell r="J396">
            <v>9.48</v>
          </cell>
          <cell r="K396">
            <v>9.02</v>
          </cell>
          <cell r="L396">
            <v>8.82</v>
          </cell>
          <cell r="M396">
            <v>8.74</v>
          </cell>
          <cell r="N396">
            <v>8.74</v>
          </cell>
          <cell r="O396">
            <v>8.82</v>
          </cell>
        </row>
        <row r="397">
          <cell r="J397">
            <v>10.210000000000001</v>
          </cell>
          <cell r="K397">
            <v>9.56</v>
          </cell>
          <cell r="L397">
            <v>9.2799999999999994</v>
          </cell>
          <cell r="M397">
            <v>9.16</v>
          </cell>
          <cell r="N397">
            <v>9.1</v>
          </cell>
          <cell r="O397">
            <v>8.99</v>
          </cell>
        </row>
        <row r="398">
          <cell r="J398">
            <v>10.48</v>
          </cell>
          <cell r="K398">
            <v>9.7799999999999994</v>
          </cell>
          <cell r="L398">
            <v>9.4499999999999993</v>
          </cell>
          <cell r="M398">
            <v>9.3000000000000007</v>
          </cell>
          <cell r="N398">
            <v>9.2200000000000006</v>
          </cell>
          <cell r="O398">
            <v>9.16</v>
          </cell>
        </row>
        <row r="399">
          <cell r="J399">
            <v>12.44</v>
          </cell>
          <cell r="K399">
            <v>11.59</v>
          </cell>
          <cell r="L399">
            <v>11.23</v>
          </cell>
          <cell r="M399">
            <v>10.96</v>
          </cell>
          <cell r="N399">
            <v>10.77</v>
          </cell>
          <cell r="O399">
            <v>10.31</v>
          </cell>
        </row>
        <row r="400">
          <cell r="J400">
            <v>11.33</v>
          </cell>
          <cell r="K400">
            <v>10.8</v>
          </cell>
          <cell r="L400">
            <v>10.34</v>
          </cell>
          <cell r="M400">
            <v>10.24</v>
          </cell>
          <cell r="N400">
            <v>10.210000000000001</v>
          </cell>
          <cell r="O400">
            <v>10.11</v>
          </cell>
        </row>
        <row r="401">
          <cell r="J401">
            <v>11.41</v>
          </cell>
          <cell r="K401">
            <v>10.86</v>
          </cell>
          <cell r="L401">
            <v>10.39</v>
          </cell>
          <cell r="M401">
            <v>10.119999999999999</v>
          </cell>
          <cell r="N401">
            <v>10.029999999999999</v>
          </cell>
          <cell r="O401">
            <v>10.02</v>
          </cell>
        </row>
        <row r="402">
          <cell r="J402">
            <v>11.73</v>
          </cell>
          <cell r="K402">
            <v>11.31</v>
          </cell>
          <cell r="L402">
            <v>10.9</v>
          </cell>
          <cell r="M402">
            <v>10.74</v>
          </cell>
          <cell r="N402">
            <v>10.72</v>
          </cell>
          <cell r="O402">
            <v>10.9</v>
          </cell>
        </row>
        <row r="403">
          <cell r="J403">
            <v>14.9</v>
          </cell>
          <cell r="K403">
            <v>14.46</v>
          </cell>
          <cell r="L403">
            <v>13.65</v>
          </cell>
          <cell r="M403">
            <v>13.19</v>
          </cell>
          <cell r="N403">
            <v>12.91</v>
          </cell>
          <cell r="O403">
            <v>12.28</v>
          </cell>
        </row>
        <row r="404">
          <cell r="J404">
            <v>15.28</v>
          </cell>
          <cell r="K404">
            <v>14.15</v>
          </cell>
          <cell r="L404">
            <v>13.25</v>
          </cell>
          <cell r="M404">
            <v>12.71</v>
          </cell>
          <cell r="N404">
            <v>12.38</v>
          </cell>
          <cell r="O404">
            <v>12.02</v>
          </cell>
        </row>
        <row r="405">
          <cell r="J405">
            <v>10.96</v>
          </cell>
          <cell r="K405">
            <v>10.5</v>
          </cell>
          <cell r="L405">
            <v>10.38</v>
          </cell>
          <cell r="M405">
            <v>10.4</v>
          </cell>
          <cell r="N405">
            <v>10.44</v>
          </cell>
          <cell r="O405">
            <v>10.71</v>
          </cell>
        </row>
        <row r="406">
          <cell r="J406">
            <v>8.69</v>
          </cell>
          <cell r="K406">
            <v>9.02</v>
          </cell>
          <cell r="L406">
            <v>9.14</v>
          </cell>
          <cell r="M406">
            <v>9.49</v>
          </cell>
          <cell r="N406">
            <v>9.6999999999999993</v>
          </cell>
          <cell r="O406">
            <v>10.210000000000001</v>
          </cell>
        </row>
        <row r="407">
          <cell r="J407">
            <v>8.43</v>
          </cell>
          <cell r="K407">
            <v>8.9499999999999993</v>
          </cell>
          <cell r="L407">
            <v>9.09</v>
          </cell>
          <cell r="M407">
            <v>9.26</v>
          </cell>
          <cell r="N407">
            <v>9.42</v>
          </cell>
          <cell r="O407">
            <v>10.02</v>
          </cell>
        </row>
        <row r="408">
          <cell r="J408">
            <v>9.14</v>
          </cell>
          <cell r="K408">
            <v>9.65</v>
          </cell>
          <cell r="L408">
            <v>9.77</v>
          </cell>
          <cell r="M408">
            <v>9.9499999999999993</v>
          </cell>
          <cell r="N408">
            <v>10.11</v>
          </cell>
          <cell r="O408">
            <v>10.7</v>
          </cell>
        </row>
        <row r="409">
          <cell r="J409">
            <v>11.14</v>
          </cell>
          <cell r="K409">
            <v>11.26</v>
          </cell>
          <cell r="L409">
            <v>11.27</v>
          </cell>
          <cell r="M409">
            <v>11.43</v>
          </cell>
          <cell r="N409">
            <v>11.48</v>
          </cell>
          <cell r="O409">
            <v>11.2</v>
          </cell>
        </row>
        <row r="410">
          <cell r="J410">
            <v>11.89</v>
          </cell>
          <cell r="K410">
            <v>11.84</v>
          </cell>
          <cell r="L410">
            <v>11.68</v>
          </cell>
          <cell r="M410">
            <v>11.62</v>
          </cell>
          <cell r="N410">
            <v>11.59</v>
          </cell>
          <cell r="O410">
            <v>11.55</v>
          </cell>
        </row>
        <row r="411">
          <cell r="J411">
            <v>13.11</v>
          </cell>
          <cell r="K411">
            <v>12.69</v>
          </cell>
          <cell r="L411">
            <v>12.56</v>
          </cell>
          <cell r="M411">
            <v>12.46</v>
          </cell>
          <cell r="N411">
            <v>12.36</v>
          </cell>
          <cell r="O411">
            <v>11.99</v>
          </cell>
        </row>
        <row r="412">
          <cell r="J412">
            <v>14.45</v>
          </cell>
          <cell r="K412">
            <v>13.64</v>
          </cell>
          <cell r="L412">
            <v>13.16</v>
          </cell>
          <cell r="M412">
            <v>12.87</v>
          </cell>
          <cell r="N412">
            <v>12.66</v>
          </cell>
          <cell r="O412">
            <v>12.06</v>
          </cell>
        </row>
        <row r="413">
          <cell r="J413">
            <v>13.2</v>
          </cell>
          <cell r="K413">
            <v>12.52</v>
          </cell>
          <cell r="L413">
            <v>12.27</v>
          </cell>
          <cell r="M413">
            <v>12.16</v>
          </cell>
          <cell r="N413">
            <v>12.1</v>
          </cell>
          <cell r="O413">
            <v>11.94</v>
          </cell>
        </row>
        <row r="414">
          <cell r="J414">
            <v>13.65</v>
          </cell>
          <cell r="K414">
            <v>12.8</v>
          </cell>
          <cell r="L414">
            <v>12.49</v>
          </cell>
          <cell r="M414">
            <v>12.4</v>
          </cell>
          <cell r="N414">
            <v>12.36</v>
          </cell>
          <cell r="O414">
            <v>12.19</v>
          </cell>
        </row>
        <row r="415">
          <cell r="J415">
            <v>14</v>
          </cell>
          <cell r="K415">
            <v>13.52</v>
          </cell>
          <cell r="L415">
            <v>13.46</v>
          </cell>
          <cell r="M415">
            <v>13.38</v>
          </cell>
          <cell r="N415">
            <v>13.29</v>
          </cell>
          <cell r="O415">
            <v>12.91</v>
          </cell>
        </row>
        <row r="416">
          <cell r="J416">
            <v>12.86</v>
          </cell>
          <cell r="K416">
            <v>12.81</v>
          </cell>
          <cell r="L416">
            <v>12.93</v>
          </cell>
          <cell r="M416">
            <v>13</v>
          </cell>
          <cell r="N416">
            <v>13.01</v>
          </cell>
          <cell r="O416">
            <v>12.69</v>
          </cell>
        </row>
        <row r="417">
          <cell r="J417">
            <v>14.67</v>
          </cell>
          <cell r="K417">
            <v>14.3</v>
          </cell>
          <cell r="L417">
            <v>14.12</v>
          </cell>
          <cell r="M417">
            <v>14</v>
          </cell>
          <cell r="N417">
            <v>13.9</v>
          </cell>
          <cell r="O417">
            <v>13.5</v>
          </cell>
        </row>
        <row r="418">
          <cell r="J418">
            <v>14.69</v>
          </cell>
          <cell r="K418">
            <v>14.15</v>
          </cell>
          <cell r="L418">
            <v>13.82</v>
          </cell>
          <cell r="M418">
            <v>13.54</v>
          </cell>
          <cell r="N418">
            <v>13.31</v>
          </cell>
          <cell r="O418">
            <v>12.89</v>
          </cell>
        </row>
        <row r="419">
          <cell r="J419">
            <v>14.42</v>
          </cell>
          <cell r="K419">
            <v>14.19</v>
          </cell>
          <cell r="L419">
            <v>13.93</v>
          </cell>
          <cell r="M419">
            <v>13.87</v>
          </cell>
          <cell r="N419">
            <v>13.74</v>
          </cell>
          <cell r="O419">
            <v>13.29</v>
          </cell>
        </row>
        <row r="420">
          <cell r="J420">
            <v>15.75</v>
          </cell>
          <cell r="K420">
            <v>15.33</v>
          </cell>
          <cell r="L420">
            <v>15.04</v>
          </cell>
          <cell r="M420">
            <v>14.9</v>
          </cell>
          <cell r="N420">
            <v>14.66</v>
          </cell>
          <cell r="O420">
            <v>13.89</v>
          </cell>
        </row>
        <row r="421">
          <cell r="J421">
            <v>16.350000000000001</v>
          </cell>
          <cell r="K421">
            <v>16.149999999999999</v>
          </cell>
          <cell r="L421">
            <v>15.6</v>
          </cell>
          <cell r="M421">
            <v>15.6</v>
          </cell>
          <cell r="N421">
            <v>15.46</v>
          </cell>
          <cell r="O421">
            <v>14.61</v>
          </cell>
        </row>
        <row r="422">
          <cell r="J422">
            <v>15.91</v>
          </cell>
          <cell r="K422">
            <v>16.11</v>
          </cell>
          <cell r="L422">
            <v>15.82</v>
          </cell>
          <cell r="M422">
            <v>15.85</v>
          </cell>
          <cell r="N422">
            <v>15.7</v>
          </cell>
          <cell r="O422">
            <v>15.06</v>
          </cell>
        </row>
        <row r="423">
          <cell r="J423">
            <v>14.1</v>
          </cell>
          <cell r="K423">
            <v>14.16</v>
          </cell>
          <cell r="L423">
            <v>14.25</v>
          </cell>
          <cell r="M423">
            <v>14.35</v>
          </cell>
          <cell r="N423">
            <v>14.39</v>
          </cell>
          <cell r="O423">
            <v>14.21</v>
          </cell>
        </row>
        <row r="424">
          <cell r="J424">
            <v>11.56</v>
          </cell>
          <cell r="K424">
            <v>12.23</v>
          </cell>
          <cell r="L424">
            <v>12.53</v>
          </cell>
          <cell r="M424">
            <v>12.59</v>
          </cell>
          <cell r="N424">
            <v>12.72</v>
          </cell>
          <cell r="O424">
            <v>12.95</v>
          </cell>
        </row>
        <row r="425">
          <cell r="J425">
            <v>13.33</v>
          </cell>
          <cell r="K425">
            <v>13.51</v>
          </cell>
          <cell r="L425">
            <v>13.58</v>
          </cell>
          <cell r="M425">
            <v>13.72</v>
          </cell>
          <cell r="N425">
            <v>13.77</v>
          </cell>
          <cell r="O425">
            <v>13.67</v>
          </cell>
        </row>
        <row r="426">
          <cell r="J426">
            <v>13.81</v>
          </cell>
          <cell r="K426">
            <v>13.85</v>
          </cell>
          <cell r="L426">
            <v>13.91</v>
          </cell>
          <cell r="M426">
            <v>13.94</v>
          </cell>
          <cell r="N426">
            <v>13.9</v>
          </cell>
          <cell r="O426">
            <v>13.8</v>
          </cell>
        </row>
        <row r="427">
          <cell r="J427">
            <v>13.75</v>
          </cell>
          <cell r="K427">
            <v>13.88</v>
          </cell>
          <cell r="L427">
            <v>13.82</v>
          </cell>
          <cell r="M427">
            <v>13.8</v>
          </cell>
          <cell r="N427">
            <v>13.71</v>
          </cell>
          <cell r="O427">
            <v>13.58</v>
          </cell>
        </row>
        <row r="428">
          <cell r="J428">
            <v>13.95</v>
          </cell>
          <cell r="K428">
            <v>14.11</v>
          </cell>
          <cell r="L428">
            <v>14.06</v>
          </cell>
          <cell r="M428">
            <v>13.98</v>
          </cell>
          <cell r="N428">
            <v>13.94</v>
          </cell>
          <cell r="O428">
            <v>13.64</v>
          </cell>
        </row>
        <row r="429">
          <cell r="J429">
            <v>13.46</v>
          </cell>
          <cell r="K429">
            <v>13.64</v>
          </cell>
          <cell r="L429">
            <v>13.61</v>
          </cell>
          <cell r="M429">
            <v>13.48</v>
          </cell>
          <cell r="N429">
            <v>13.46</v>
          </cell>
          <cell r="O429">
            <v>13.31</v>
          </cell>
        </row>
        <row r="430">
          <cell r="J430">
            <v>12.87</v>
          </cell>
          <cell r="K430">
            <v>13.23</v>
          </cell>
          <cell r="L430">
            <v>13.37</v>
          </cell>
          <cell r="M430">
            <v>13.45</v>
          </cell>
          <cell r="N430">
            <v>13.49</v>
          </cell>
          <cell r="O430">
            <v>13.3</v>
          </cell>
        </row>
        <row r="431">
          <cell r="J431">
            <v>14.21</v>
          </cell>
          <cell r="K431">
            <v>14.32</v>
          </cell>
          <cell r="L431">
            <v>14.43</v>
          </cell>
          <cell r="M431">
            <v>14.35</v>
          </cell>
          <cell r="N431">
            <v>14.27</v>
          </cell>
          <cell r="O431">
            <v>13.84</v>
          </cell>
        </row>
        <row r="432">
          <cell r="J432">
            <v>12.65</v>
          </cell>
          <cell r="K432">
            <v>12.93</v>
          </cell>
          <cell r="L432">
            <v>13.31</v>
          </cell>
          <cell r="M432">
            <v>13.34</v>
          </cell>
          <cell r="N432">
            <v>13.35</v>
          </cell>
          <cell r="O432">
            <v>13.28</v>
          </cell>
        </row>
        <row r="433">
          <cell r="J433">
            <v>11.17</v>
          </cell>
          <cell r="K433">
            <v>11.89</v>
          </cell>
          <cell r="L433">
            <v>12.26</v>
          </cell>
          <cell r="M433">
            <v>12.34</v>
          </cell>
          <cell r="N433">
            <v>12.47</v>
          </cell>
          <cell r="O433">
            <v>12.44</v>
          </cell>
        </row>
        <row r="434">
          <cell r="J434">
            <v>10.37</v>
          </cell>
          <cell r="K434">
            <v>11.21</v>
          </cell>
          <cell r="L434">
            <v>11.56</v>
          </cell>
          <cell r="M434">
            <v>11.61</v>
          </cell>
          <cell r="N434">
            <v>11.65</v>
          </cell>
          <cell r="O434">
            <v>11.74</v>
          </cell>
        </row>
        <row r="435">
          <cell r="J435">
            <v>9.4499999999999993</v>
          </cell>
          <cell r="K435">
            <v>10.01</v>
          </cell>
          <cell r="L435">
            <v>10.52</v>
          </cell>
          <cell r="M435">
            <v>10.6</v>
          </cell>
          <cell r="N435">
            <v>10.75</v>
          </cell>
          <cell r="O435">
            <v>10.87</v>
          </cell>
        </row>
        <row r="436">
          <cell r="J436">
            <v>9.32</v>
          </cell>
          <cell r="K436">
            <v>9.84</v>
          </cell>
          <cell r="L436">
            <v>10.33</v>
          </cell>
          <cell r="M436">
            <v>10.52</v>
          </cell>
          <cell r="N436">
            <v>10.71</v>
          </cell>
          <cell r="O436">
            <v>10.97</v>
          </cell>
        </row>
        <row r="437">
          <cell r="J437">
            <v>8.7899999999999991</v>
          </cell>
          <cell r="K437">
            <v>9.4499999999999993</v>
          </cell>
          <cell r="L437">
            <v>9.92</v>
          </cell>
          <cell r="M437">
            <v>10.17</v>
          </cell>
          <cell r="N437">
            <v>10.33</v>
          </cell>
          <cell r="O437">
            <v>10.59</v>
          </cell>
        </row>
        <row r="438">
          <cell r="J438">
            <v>8.9600000000000009</v>
          </cell>
          <cell r="K438">
            <v>9.6</v>
          </cell>
          <cell r="L438">
            <v>10.09</v>
          </cell>
          <cell r="M438">
            <v>10.32</v>
          </cell>
          <cell r="N438">
            <v>10.55</v>
          </cell>
          <cell r="O438">
            <v>11.04</v>
          </cell>
        </row>
        <row r="439">
          <cell r="J439">
            <v>8.61</v>
          </cell>
          <cell r="K439">
            <v>9.1999999999999993</v>
          </cell>
          <cell r="L439">
            <v>9.6999999999999993</v>
          </cell>
          <cell r="M439">
            <v>9.7799999999999994</v>
          </cell>
          <cell r="N439">
            <v>9.86</v>
          </cell>
          <cell r="O439">
            <v>10.36</v>
          </cell>
        </row>
        <row r="440">
          <cell r="J440">
            <v>9.25</v>
          </cell>
          <cell r="K440">
            <v>9.73</v>
          </cell>
          <cell r="L440">
            <v>10.01</v>
          </cell>
          <cell r="M440">
            <v>10.18</v>
          </cell>
          <cell r="N440">
            <v>10.31</v>
          </cell>
          <cell r="O440">
            <v>10.64</v>
          </cell>
        </row>
        <row r="441">
          <cell r="J441">
            <v>8.7200000000000006</v>
          </cell>
          <cell r="K441">
            <v>9.23</v>
          </cell>
          <cell r="L441">
            <v>9.6300000000000008</v>
          </cell>
          <cell r="M441">
            <v>9.81</v>
          </cell>
          <cell r="N441">
            <v>9.9700000000000006</v>
          </cell>
          <cell r="O441">
            <v>10.32</v>
          </cell>
        </row>
        <row r="442">
          <cell r="J442">
            <v>9.32</v>
          </cell>
          <cell r="K442">
            <v>9.89</v>
          </cell>
          <cell r="L442">
            <v>10.18</v>
          </cell>
          <cell r="M442">
            <v>10.36</v>
          </cell>
          <cell r="N442">
            <v>10.52</v>
          </cell>
          <cell r="O442">
            <v>10.86</v>
          </cell>
        </row>
        <row r="443">
          <cell r="J443">
            <v>9.58</v>
          </cell>
          <cell r="K443">
            <v>10.130000000000001</v>
          </cell>
          <cell r="L443">
            <v>10.4</v>
          </cell>
          <cell r="M443">
            <v>10.57</v>
          </cell>
          <cell r="N443">
            <v>10.69</v>
          </cell>
          <cell r="O443">
            <v>11</v>
          </cell>
        </row>
        <row r="444">
          <cell r="J444">
            <v>10.35</v>
          </cell>
          <cell r="K444">
            <v>10.98</v>
          </cell>
          <cell r="L444">
            <v>11.16</v>
          </cell>
          <cell r="M444">
            <v>11.35</v>
          </cell>
          <cell r="N444">
            <v>11.53</v>
          </cell>
          <cell r="O444">
            <v>11.78</v>
          </cell>
        </row>
        <row r="445">
          <cell r="J445">
            <v>10.36</v>
          </cell>
          <cell r="K445">
            <v>11.01</v>
          </cell>
          <cell r="L445">
            <v>11.35</v>
          </cell>
          <cell r="M445">
            <v>11.56</v>
          </cell>
          <cell r="N445">
            <v>11.69</v>
          </cell>
          <cell r="O445">
            <v>11.79</v>
          </cell>
        </row>
        <row r="446">
          <cell r="J446">
            <v>9.6999999999999993</v>
          </cell>
          <cell r="K446">
            <v>10.36</v>
          </cell>
          <cell r="L446">
            <v>10.66</v>
          </cell>
          <cell r="M446">
            <v>10.92</v>
          </cell>
          <cell r="N446">
            <v>11.13</v>
          </cell>
          <cell r="O446">
            <v>11.38</v>
          </cell>
        </row>
        <row r="447">
          <cell r="J447">
            <v>9.6199999999999992</v>
          </cell>
          <cell r="K447">
            <v>10.38</v>
          </cell>
          <cell r="L447">
            <v>10.83</v>
          </cell>
          <cell r="M447">
            <v>11.1</v>
          </cell>
          <cell r="N447">
            <v>11.29</v>
          </cell>
          <cell r="O447">
            <v>11.64</v>
          </cell>
        </row>
        <row r="448">
          <cell r="J448">
            <v>9.7100000000000009</v>
          </cell>
          <cell r="K448">
            <v>10.44</v>
          </cell>
          <cell r="L448">
            <v>10.77</v>
          </cell>
          <cell r="M448">
            <v>11.09</v>
          </cell>
          <cell r="N448">
            <v>11.26</v>
          </cell>
          <cell r="O448">
            <v>11.47</v>
          </cell>
        </row>
        <row r="449">
          <cell r="J449">
            <v>9.89</v>
          </cell>
          <cell r="K449">
            <v>10.63</v>
          </cell>
          <cell r="L449">
            <v>10.93</v>
          </cell>
          <cell r="M449">
            <v>11.25</v>
          </cell>
          <cell r="N449">
            <v>11.43</v>
          </cell>
          <cell r="O449">
            <v>11.66</v>
          </cell>
        </row>
        <row r="450">
          <cell r="J450">
            <v>9.6300000000000008</v>
          </cell>
          <cell r="K450">
            <v>10.39</v>
          </cell>
          <cell r="L450">
            <v>10.69</v>
          </cell>
          <cell r="M450">
            <v>11.03</v>
          </cell>
          <cell r="N450">
            <v>11.2</v>
          </cell>
          <cell r="O450">
            <v>11.53</v>
          </cell>
        </row>
        <row r="451">
          <cell r="J451">
            <v>9.98</v>
          </cell>
          <cell r="K451">
            <v>10.77</v>
          </cell>
          <cell r="L451">
            <v>11.05</v>
          </cell>
          <cell r="M451">
            <v>11.43</v>
          </cell>
          <cell r="N451">
            <v>11.61</v>
          </cell>
          <cell r="O451">
            <v>11.85</v>
          </cell>
        </row>
        <row r="452">
          <cell r="J452">
            <v>10.61</v>
          </cell>
          <cell r="K452">
            <v>11.3</v>
          </cell>
          <cell r="L452">
            <v>11.58</v>
          </cell>
          <cell r="M452">
            <v>11.91</v>
          </cell>
          <cell r="N452">
            <v>12.07</v>
          </cell>
          <cell r="O452">
            <v>12.31</v>
          </cell>
        </row>
        <row r="453">
          <cell r="J453">
            <v>10.81</v>
          </cell>
          <cell r="K453">
            <v>11.56</v>
          </cell>
          <cell r="L453">
            <v>11.89</v>
          </cell>
          <cell r="M453">
            <v>12.17</v>
          </cell>
          <cell r="N453">
            <v>12.34</v>
          </cell>
          <cell r="O453">
            <v>12.6</v>
          </cell>
        </row>
        <row r="454">
          <cell r="J454">
            <v>11.93</v>
          </cell>
          <cell r="K454">
            <v>12.69</v>
          </cell>
          <cell r="L454">
            <v>13.29</v>
          </cell>
          <cell r="M454">
            <v>13.31</v>
          </cell>
          <cell r="N454">
            <v>13.44</v>
          </cell>
          <cell r="O454">
            <v>13.62</v>
          </cell>
        </row>
        <row r="455">
          <cell r="J455">
            <v>11.99</v>
          </cell>
          <cell r="K455">
            <v>12.85</v>
          </cell>
          <cell r="L455">
            <v>13.09</v>
          </cell>
          <cell r="M455">
            <v>13.31</v>
          </cell>
          <cell r="N455">
            <v>13.4</v>
          </cell>
          <cell r="O455">
            <v>13.51</v>
          </cell>
        </row>
        <row r="456">
          <cell r="J456">
            <v>11.63</v>
          </cell>
          <cell r="K456">
            <v>12.29</v>
          </cell>
          <cell r="L456">
            <v>12.34</v>
          </cell>
          <cell r="M456">
            <v>12.44</v>
          </cell>
          <cell r="N456">
            <v>12.52</v>
          </cell>
          <cell r="O456">
            <v>12.65</v>
          </cell>
        </row>
        <row r="457">
          <cell r="J457">
            <v>11.67</v>
          </cell>
          <cell r="K457">
            <v>12.21</v>
          </cell>
          <cell r="L457">
            <v>12.28</v>
          </cell>
          <cell r="M457">
            <v>12.41</v>
          </cell>
          <cell r="N457">
            <v>12.49</v>
          </cell>
          <cell r="O457">
            <v>12.47</v>
          </cell>
        </row>
        <row r="458">
          <cell r="J458">
            <v>11.16</v>
          </cell>
          <cell r="K458">
            <v>11.77</v>
          </cell>
          <cell r="L458">
            <v>11.96</v>
          </cell>
          <cell r="M458">
            <v>12.14</v>
          </cell>
          <cell r="N458">
            <v>12.21</v>
          </cell>
          <cell r="O458">
            <v>12.15</v>
          </cell>
        </row>
        <row r="459">
          <cell r="J459">
            <v>10.15</v>
          </cell>
          <cell r="K459">
            <v>10.89</v>
          </cell>
          <cell r="L459">
            <v>11.13</v>
          </cell>
          <cell r="M459">
            <v>11.28</v>
          </cell>
          <cell r="N459">
            <v>11.39</v>
          </cell>
          <cell r="O459">
            <v>11.55</v>
          </cell>
        </row>
        <row r="460">
          <cell r="J460">
            <v>9.5299999999999994</v>
          </cell>
          <cell r="K460">
            <v>10.31</v>
          </cell>
          <cell r="L460">
            <v>10.69</v>
          </cell>
          <cell r="M460">
            <v>10.96</v>
          </cell>
          <cell r="N460">
            <v>11.23</v>
          </cell>
          <cell r="O460">
            <v>11.43</v>
          </cell>
        </row>
        <row r="461">
          <cell r="J461">
            <v>9.1300000000000008</v>
          </cell>
          <cell r="K461">
            <v>9.93</v>
          </cell>
          <cell r="L461">
            <v>10.44</v>
          </cell>
          <cell r="M461">
            <v>10.76</v>
          </cell>
          <cell r="N461">
            <v>11.11</v>
          </cell>
          <cell r="O461">
            <v>11.46</v>
          </cell>
        </row>
        <row r="462">
          <cell r="J462">
            <v>8.98</v>
          </cell>
          <cell r="K462">
            <v>9.76</v>
          </cell>
          <cell r="L462">
            <v>10.220000000000001</v>
          </cell>
          <cell r="M462">
            <v>10.53</v>
          </cell>
          <cell r="N462">
            <v>10.78</v>
          </cell>
          <cell r="O462">
            <v>11.12</v>
          </cell>
        </row>
        <row r="463">
          <cell r="J463">
            <v>9.65</v>
          </cell>
          <cell r="K463">
            <v>10.46</v>
          </cell>
          <cell r="L463">
            <v>10.93</v>
          </cell>
          <cell r="M463">
            <v>11.24</v>
          </cell>
          <cell r="N463">
            <v>11.5</v>
          </cell>
          <cell r="O463">
            <v>11.86</v>
          </cell>
        </row>
        <row r="464">
          <cell r="J464">
            <v>9.42</v>
          </cell>
          <cell r="K464">
            <v>10.3</v>
          </cell>
          <cell r="L464">
            <v>10.68</v>
          </cell>
          <cell r="M464">
            <v>11.03</v>
          </cell>
          <cell r="N464">
            <v>11.28</v>
          </cell>
          <cell r="O464">
            <v>11.59</v>
          </cell>
        </row>
        <row r="465">
          <cell r="J465">
            <v>8.94</v>
          </cell>
          <cell r="K465">
            <v>9.7899999999999991</v>
          </cell>
          <cell r="L465">
            <v>10.28</v>
          </cell>
          <cell r="M465">
            <v>10.6</v>
          </cell>
          <cell r="N465">
            <v>10.9</v>
          </cell>
          <cell r="O465">
            <v>11.4</v>
          </cell>
        </row>
        <row r="466">
          <cell r="J466">
            <v>8.01</v>
          </cell>
          <cell r="K466">
            <v>8.84</v>
          </cell>
          <cell r="L466">
            <v>9.31</v>
          </cell>
          <cell r="M466">
            <v>9.58</v>
          </cell>
          <cell r="N466">
            <v>9.86</v>
          </cell>
          <cell r="O466">
            <v>10.33</v>
          </cell>
        </row>
        <row r="467">
          <cell r="J467">
            <v>7.75</v>
          </cell>
          <cell r="K467">
            <v>8.64</v>
          </cell>
          <cell r="L467">
            <v>9.16</v>
          </cell>
          <cell r="M467">
            <v>9.56</v>
          </cell>
          <cell r="N467">
            <v>9.85</v>
          </cell>
          <cell r="O467">
            <v>10.29</v>
          </cell>
        </row>
        <row r="468">
          <cell r="J468">
            <v>8.09</v>
          </cell>
          <cell r="K468">
            <v>8.98</v>
          </cell>
          <cell r="L468">
            <v>9.51</v>
          </cell>
          <cell r="M468">
            <v>9.91</v>
          </cell>
          <cell r="N468">
            <v>10.17</v>
          </cell>
          <cell r="O468">
            <v>10.65</v>
          </cell>
        </row>
        <row r="469">
          <cell r="J469">
            <v>7.93</v>
          </cell>
          <cell r="K469">
            <v>8.8000000000000007</v>
          </cell>
          <cell r="L469">
            <v>9.33</v>
          </cell>
          <cell r="M469">
            <v>9.58</v>
          </cell>
          <cell r="N469">
            <v>9.8000000000000007</v>
          </cell>
          <cell r="O469">
            <v>10.33</v>
          </cell>
        </row>
        <row r="470">
          <cell r="J470">
            <v>8.02</v>
          </cell>
          <cell r="K470">
            <v>8.74</v>
          </cell>
          <cell r="L470">
            <v>9.26</v>
          </cell>
          <cell r="M470">
            <v>9.5399999999999991</v>
          </cell>
          <cell r="N470">
            <v>9.85</v>
          </cell>
          <cell r="O470">
            <v>10.46</v>
          </cell>
        </row>
        <row r="471">
          <cell r="J471">
            <v>7.81</v>
          </cell>
          <cell r="K471">
            <v>8.58</v>
          </cell>
          <cell r="L471">
            <v>9</v>
          </cell>
          <cell r="M471">
            <v>9.2200000000000006</v>
          </cell>
          <cell r="N471">
            <v>9.5299999999999994</v>
          </cell>
          <cell r="O471">
            <v>10.08</v>
          </cell>
        </row>
        <row r="472">
          <cell r="J472">
            <v>7.75</v>
          </cell>
          <cell r="K472">
            <v>8.32</v>
          </cell>
          <cell r="L472">
            <v>8.65</v>
          </cell>
          <cell r="M472">
            <v>8.9700000000000006</v>
          </cell>
          <cell r="N472">
            <v>9.24</v>
          </cell>
          <cell r="O472">
            <v>9.59</v>
          </cell>
        </row>
        <row r="473">
          <cell r="J473">
            <v>7.5</v>
          </cell>
          <cell r="K473">
            <v>7.88</v>
          </cell>
          <cell r="L473">
            <v>8.2200000000000006</v>
          </cell>
          <cell r="M473">
            <v>8.39</v>
          </cell>
          <cell r="N473">
            <v>8.56</v>
          </cell>
          <cell r="O473">
            <v>9.02</v>
          </cell>
        </row>
        <row r="474">
          <cell r="J474">
            <v>7.48</v>
          </cell>
          <cell r="K474">
            <v>7.92</v>
          </cell>
          <cell r="L474">
            <v>8.19</v>
          </cell>
          <cell r="M474">
            <v>8.4600000000000009</v>
          </cell>
          <cell r="N474">
            <v>8.66</v>
          </cell>
          <cell r="O474">
            <v>9.2799999999999994</v>
          </cell>
        </row>
        <row r="475">
          <cell r="J475">
            <v>7.33</v>
          </cell>
          <cell r="K475">
            <v>7.65</v>
          </cell>
          <cell r="L475">
            <v>7.76</v>
          </cell>
          <cell r="M475">
            <v>7.9</v>
          </cell>
          <cell r="N475">
            <v>8.02</v>
          </cell>
          <cell r="O475">
            <v>8.1199999999999992</v>
          </cell>
        </row>
        <row r="476">
          <cell r="J476">
            <v>6.72</v>
          </cell>
          <cell r="K476">
            <v>6.92</v>
          </cell>
          <cell r="L476">
            <v>7.06</v>
          </cell>
          <cell r="M476">
            <v>7.24</v>
          </cell>
          <cell r="N476">
            <v>7.32</v>
          </cell>
          <cell r="O476">
            <v>7.43</v>
          </cell>
        </row>
        <row r="477">
          <cell r="J477">
            <v>6.49</v>
          </cell>
          <cell r="K477">
            <v>6.91</v>
          </cell>
          <cell r="L477">
            <v>7.07</v>
          </cell>
          <cell r="M477">
            <v>7.22</v>
          </cell>
          <cell r="N477">
            <v>7.31</v>
          </cell>
          <cell r="O477">
            <v>7.48</v>
          </cell>
        </row>
        <row r="478">
          <cell r="J478">
            <v>6.87</v>
          </cell>
          <cell r="K478">
            <v>7.39</v>
          </cell>
          <cell r="L478">
            <v>7.76</v>
          </cell>
          <cell r="M478">
            <v>7.98</v>
          </cell>
          <cell r="N478">
            <v>8.02</v>
          </cell>
          <cell r="O478">
            <v>8.2100000000000009</v>
          </cell>
        </row>
        <row r="479">
          <cell r="J479">
            <v>6.41</v>
          </cell>
          <cell r="K479">
            <v>6.86</v>
          </cell>
          <cell r="L479">
            <v>7.15</v>
          </cell>
          <cell r="M479">
            <v>7.3</v>
          </cell>
          <cell r="N479">
            <v>7.37</v>
          </cell>
          <cell r="O479">
            <v>7.49</v>
          </cell>
        </row>
        <row r="480">
          <cell r="J480">
            <v>6.18</v>
          </cell>
          <cell r="K480">
            <v>6.61</v>
          </cell>
          <cell r="L480">
            <v>6.89</v>
          </cell>
          <cell r="M480">
            <v>7.1</v>
          </cell>
          <cell r="N480">
            <v>7.22</v>
          </cell>
          <cell r="O480">
            <v>7.64</v>
          </cell>
        </row>
        <row r="481">
          <cell r="J481">
            <v>5.48</v>
          </cell>
          <cell r="K481">
            <v>5.99</v>
          </cell>
          <cell r="L481">
            <v>6.25</v>
          </cell>
          <cell r="M481">
            <v>6.51</v>
          </cell>
          <cell r="N481">
            <v>6.65</v>
          </cell>
          <cell r="O481">
            <v>7.35</v>
          </cell>
        </row>
        <row r="482">
          <cell r="J482">
            <v>5.82</v>
          </cell>
          <cell r="K482">
            <v>6.44</v>
          </cell>
          <cell r="L482">
            <v>6.79</v>
          </cell>
          <cell r="M482">
            <v>7.07</v>
          </cell>
          <cell r="N482">
            <v>7.24</v>
          </cell>
          <cell r="O482">
            <v>7.86</v>
          </cell>
        </row>
        <row r="483">
          <cell r="J483">
            <v>5.69</v>
          </cell>
          <cell r="K483">
            <v>6.2</v>
          </cell>
          <cell r="L483">
            <v>6.51</v>
          </cell>
          <cell r="M483">
            <v>6.76</v>
          </cell>
          <cell r="N483">
            <v>6.93</v>
          </cell>
          <cell r="O483">
            <v>7.64</v>
          </cell>
        </row>
        <row r="484">
          <cell r="J484">
            <v>5.7</v>
          </cell>
          <cell r="K484">
            <v>6.13</v>
          </cell>
          <cell r="L484">
            <v>6.4</v>
          </cell>
          <cell r="M484">
            <v>6.6</v>
          </cell>
          <cell r="N484">
            <v>6.74</v>
          </cell>
          <cell r="O484">
            <v>7.28</v>
          </cell>
        </row>
        <row r="485">
          <cell r="J485">
            <v>5.95</v>
          </cell>
          <cell r="K485">
            <v>6.37</v>
          </cell>
          <cell r="L485">
            <v>6.7</v>
          </cell>
          <cell r="M485">
            <v>6.7</v>
          </cell>
          <cell r="N485">
            <v>6.81</v>
          </cell>
          <cell r="O485">
            <v>7.33</v>
          </cell>
        </row>
        <row r="486">
          <cell r="J486">
            <v>5.88</v>
          </cell>
          <cell r="K486">
            <v>6.25</v>
          </cell>
          <cell r="L486">
            <v>6.46</v>
          </cell>
          <cell r="M486">
            <v>6.63</v>
          </cell>
          <cell r="N486">
            <v>6.78</v>
          </cell>
          <cell r="O486">
            <v>7.35</v>
          </cell>
        </row>
        <row r="487">
          <cell r="J487">
            <v>5.89</v>
          </cell>
          <cell r="K487">
            <v>6.29</v>
          </cell>
          <cell r="L487">
            <v>6.48</v>
          </cell>
          <cell r="M487">
            <v>6.64</v>
          </cell>
          <cell r="N487">
            <v>6.76</v>
          </cell>
          <cell r="O487">
            <v>7.27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5">
          <cell r="B5" t="str">
            <v>5-year</v>
          </cell>
          <cell r="C5" t="str">
            <v>10-year</v>
          </cell>
        </row>
        <row r="6">
          <cell r="B6" t="str">
            <v>bonds</v>
          </cell>
          <cell r="C6" t="str">
            <v>bonds</v>
          </cell>
        </row>
        <row r="7">
          <cell r="A7" t="str">
            <v>12.1946</v>
          </cell>
          <cell r="B7">
            <v>1.4020576426887334E-2</v>
          </cell>
          <cell r="C7">
            <v>1.394378316731909E-2</v>
          </cell>
        </row>
        <row r="8">
          <cell r="A8" t="str">
            <v>1.1947</v>
          </cell>
          <cell r="B8">
            <v>1.3820922286360489E-2</v>
          </cell>
          <cell r="C8">
            <v>1.3752222849215527E-2</v>
          </cell>
        </row>
        <row r="9">
          <cell r="A9" t="str">
            <v>2.1947</v>
          </cell>
          <cell r="B9">
            <v>1.4018366286138955E-2</v>
          </cell>
          <cell r="C9">
            <v>1.3942651839113331E-2</v>
          </cell>
        </row>
        <row r="10">
          <cell r="A10" t="str">
            <v>3.1947</v>
          </cell>
          <cell r="B10">
            <v>1.3527492746611828E-2</v>
          </cell>
          <cell r="C10">
            <v>1.3463882866984451E-2</v>
          </cell>
        </row>
        <row r="11">
          <cell r="A11" t="str">
            <v>4.1947</v>
          </cell>
          <cell r="B11">
            <v>1.4124574391272751E-2</v>
          </cell>
          <cell r="C11">
            <v>1.4039671797561092E-2</v>
          </cell>
        </row>
        <row r="12">
          <cell r="A12" t="str">
            <v>5.1947</v>
          </cell>
          <cell r="B12">
            <v>1.3932604163596856E-2</v>
          </cell>
          <cell r="C12">
            <v>1.3852160975085294E-2</v>
          </cell>
        </row>
        <row r="13">
          <cell r="A13" t="str">
            <v>6.1947</v>
          </cell>
          <cell r="B13">
            <v>1.4226335805955325E-2</v>
          </cell>
          <cell r="C13">
            <v>1.4144192480128574E-2</v>
          </cell>
        </row>
        <row r="14">
          <cell r="A14" t="str">
            <v>7.1947</v>
          </cell>
          <cell r="B14">
            <v>1.4239707645398994E-2</v>
          </cell>
          <cell r="C14">
            <v>1.4147089827543716E-2</v>
          </cell>
        </row>
        <row r="15">
          <cell r="A15" t="str">
            <v>8.1947</v>
          </cell>
          <cell r="B15">
            <v>1.3457136455664962E-2</v>
          </cell>
          <cell r="C15">
            <v>1.3384871358335014E-2</v>
          </cell>
        </row>
        <row r="16">
          <cell r="A16" t="str">
            <v>9.1947</v>
          </cell>
          <cell r="B16">
            <v>1.3952217054990161E-2</v>
          </cell>
          <cell r="C16">
            <v>1.3869921190917206E-2</v>
          </cell>
        </row>
        <row r="17">
          <cell r="A17" t="str">
            <v>10.1947</v>
          </cell>
          <cell r="B17">
            <v>1.5346522543699091E-2</v>
          </cell>
          <cell r="C17">
            <v>1.5226343717984765E-2</v>
          </cell>
        </row>
        <row r="18">
          <cell r="A18" t="str">
            <v>11.1947</v>
          </cell>
          <cell r="B18">
            <v>1.6233697844139257E-2</v>
          </cell>
          <cell r="C18">
            <v>1.6101026981829827E-2</v>
          </cell>
        </row>
        <row r="19">
          <cell r="A19" t="str">
            <v>12.1947</v>
          </cell>
          <cell r="B19">
            <v>1.7700652322318308E-2</v>
          </cell>
          <cell r="C19">
            <v>1.7535043774216909E-2</v>
          </cell>
        </row>
        <row r="20">
          <cell r="A20" t="str">
            <v>1.1948</v>
          </cell>
          <cell r="B20">
            <v>1.7698136943851844E-2</v>
          </cell>
          <cell r="C20">
            <v>1.753616092796903E-2</v>
          </cell>
        </row>
        <row r="21">
          <cell r="A21" t="str">
            <v>2.1948</v>
          </cell>
          <cell r="B21">
            <v>1.7504219869637783E-2</v>
          </cell>
          <cell r="C21">
            <v>1.734516064005092E-2</v>
          </cell>
        </row>
        <row r="22">
          <cell r="A22" t="str">
            <v>3.1948</v>
          </cell>
          <cell r="B22">
            <v>1.7310830297731464E-2</v>
          </cell>
          <cell r="C22">
            <v>1.7159066696603852E-2</v>
          </cell>
        </row>
        <row r="23">
          <cell r="A23" t="str">
            <v>4.1948</v>
          </cell>
          <cell r="B23">
            <v>1.7112953421467878E-2</v>
          </cell>
          <cell r="C23">
            <v>1.6968163825557703E-2</v>
          </cell>
        </row>
        <row r="24">
          <cell r="A24" t="str">
            <v>5.1948</v>
          </cell>
          <cell r="B24">
            <v>1.592541693338902E-2</v>
          </cell>
          <cell r="C24">
            <v>1.5815545367993841E-2</v>
          </cell>
        </row>
        <row r="25">
          <cell r="A25" t="str">
            <v>6.1948</v>
          </cell>
          <cell r="B25">
            <v>1.6915330668247509E-2</v>
          </cell>
          <cell r="C25">
            <v>1.6784184663011383E-2</v>
          </cell>
        </row>
        <row r="26">
          <cell r="A26" t="str">
            <v>7.1948</v>
          </cell>
          <cell r="B26">
            <v>1.7608291585724103E-2</v>
          </cell>
          <cell r="C26">
            <v>1.7446709707185835E-2</v>
          </cell>
        </row>
        <row r="27">
          <cell r="A27" t="str">
            <v>8.1948</v>
          </cell>
          <cell r="B27">
            <v>1.8012964538746592E-2</v>
          </cell>
          <cell r="C27">
            <v>1.7829896914895671E-2</v>
          </cell>
        </row>
        <row r="28">
          <cell r="A28" t="str">
            <v>9.1948</v>
          </cell>
          <cell r="B28">
            <v>1.812116983603685E-2</v>
          </cell>
          <cell r="C28">
            <v>1.7926123545736396E-2</v>
          </cell>
        </row>
        <row r="29">
          <cell r="A29" t="str">
            <v>10.1948</v>
          </cell>
          <cell r="B29">
            <v>1.8516471344623912E-2</v>
          </cell>
          <cell r="C29">
            <v>1.8308704936523319E-2</v>
          </cell>
        </row>
        <row r="30">
          <cell r="A30" t="str">
            <v>11.1948</v>
          </cell>
          <cell r="B30">
            <v>1.7920321084655366E-2</v>
          </cell>
          <cell r="C30">
            <v>1.7739129787959447E-2</v>
          </cell>
        </row>
        <row r="31">
          <cell r="A31" t="str">
            <v>12.1948</v>
          </cell>
          <cell r="B31">
            <v>1.7322718233021304E-2</v>
          </cell>
          <cell r="C31">
            <v>1.7167515449388448E-2</v>
          </cell>
        </row>
        <row r="32">
          <cell r="A32" t="str">
            <v>1.1949</v>
          </cell>
          <cell r="B32">
            <v>1.6727058294597884E-2</v>
          </cell>
          <cell r="C32">
            <v>1.6591026724125369E-2</v>
          </cell>
        </row>
        <row r="33">
          <cell r="A33" t="str">
            <v>2.1949</v>
          </cell>
          <cell r="B33">
            <v>1.6827896163873916E-2</v>
          </cell>
          <cell r="C33">
            <v>1.6684149414801067E-2</v>
          </cell>
        </row>
        <row r="34">
          <cell r="A34" t="str">
            <v>3.1949</v>
          </cell>
          <cell r="B34">
            <v>1.6333383191594893E-2</v>
          </cell>
          <cell r="C34">
            <v>1.6204920651384888E-2</v>
          </cell>
        </row>
        <row r="35">
          <cell r="A35" t="str">
            <v>4.1949</v>
          </cell>
          <cell r="B35">
            <v>1.6332993177646943E-2</v>
          </cell>
          <cell r="C35">
            <v>1.6204720895635193E-2</v>
          </cell>
        </row>
        <row r="36">
          <cell r="A36" t="str">
            <v>5.1949</v>
          </cell>
          <cell r="B36">
            <v>1.5938464555391964E-2</v>
          </cell>
          <cell r="C36">
            <v>1.5824416761227866E-2</v>
          </cell>
        </row>
        <row r="37">
          <cell r="A37" t="str">
            <v>6.1949</v>
          </cell>
          <cell r="B37">
            <v>1.4542181632639132E-2</v>
          </cell>
          <cell r="C37">
            <v>1.4469524753023651E-2</v>
          </cell>
        </row>
        <row r="38">
          <cell r="A38" t="str">
            <v>7.1949</v>
          </cell>
          <cell r="B38">
            <v>1.4237639673948619E-2</v>
          </cell>
          <cell r="C38">
            <v>1.4175572537056161E-2</v>
          </cell>
        </row>
        <row r="39">
          <cell r="A39" t="str">
            <v>8.1949</v>
          </cell>
          <cell r="B39">
            <v>1.3948359748467377E-2</v>
          </cell>
          <cell r="C39">
            <v>1.3879542057398379E-2</v>
          </cell>
        </row>
        <row r="40">
          <cell r="A40" t="str">
            <v>9.1949</v>
          </cell>
          <cell r="B40">
            <v>1.3944211724948015E-2</v>
          </cell>
          <cell r="C40">
            <v>1.3879347440392459E-2</v>
          </cell>
        </row>
        <row r="41">
          <cell r="A41" t="str">
            <v>10.1949</v>
          </cell>
          <cell r="B41">
            <v>1.4143421749533501E-2</v>
          </cell>
          <cell r="C41">
            <v>1.4070844355052603E-2</v>
          </cell>
        </row>
        <row r="42">
          <cell r="A42" t="str">
            <v>11.1949</v>
          </cell>
          <cell r="B42">
            <v>1.414654853494042E-2</v>
          </cell>
          <cell r="C42">
            <v>1.4070488905962793E-2</v>
          </cell>
        </row>
        <row r="43">
          <cell r="A43" t="str">
            <v>12.1949</v>
          </cell>
          <cell r="B43">
            <v>1.3952791211402461E-2</v>
          </cell>
          <cell r="C43">
            <v>1.3874081581316968E-2</v>
          </cell>
        </row>
        <row r="44">
          <cell r="A44" t="str">
            <v>1.1950</v>
          </cell>
          <cell r="B44">
            <v>1.464056150281523E-2</v>
          </cell>
          <cell r="C44">
            <v>1.4556418824166461E-2</v>
          </cell>
        </row>
        <row r="45">
          <cell r="A45" t="str">
            <v>2.1950</v>
          </cell>
          <cell r="B45">
            <v>1.4738438517940988E-2</v>
          </cell>
          <cell r="C45">
            <v>1.4657135922248982E-2</v>
          </cell>
        </row>
        <row r="46">
          <cell r="A46" t="str">
            <v>3.1950</v>
          </cell>
          <cell r="B46">
            <v>1.5037508584196675E-2</v>
          </cell>
          <cell r="C46">
            <v>1.4949835726854491E-2</v>
          </cell>
        </row>
        <row r="47">
          <cell r="A47" t="str">
            <v>4.1950</v>
          </cell>
          <cell r="B47">
            <v>1.5538213618494711E-2</v>
          </cell>
          <cell r="C47">
            <v>1.543416050409647E-2</v>
          </cell>
        </row>
        <row r="48">
          <cell r="A48" t="str">
            <v>5.1950</v>
          </cell>
          <cell r="B48">
            <v>1.5436497794473892E-2</v>
          </cell>
          <cell r="C48">
            <v>1.5342062447124979E-2</v>
          </cell>
        </row>
        <row r="49">
          <cell r="A49" t="str">
            <v>6.1950</v>
          </cell>
          <cell r="B49">
            <v>1.5937266012737428E-2</v>
          </cell>
          <cell r="C49">
            <v>1.5825986835996172E-2</v>
          </cell>
        </row>
        <row r="50">
          <cell r="A50" t="str">
            <v>7.1950</v>
          </cell>
          <cell r="B50">
            <v>1.5536408291588269E-2</v>
          </cell>
          <cell r="C50">
            <v>1.5446033246384249E-2</v>
          </cell>
        </row>
        <row r="51">
          <cell r="A51" t="str">
            <v>8.1950</v>
          </cell>
          <cell r="B51">
            <v>1.6139428896702095E-2</v>
          </cell>
          <cell r="C51">
            <v>1.6022065887606067E-2</v>
          </cell>
        </row>
        <row r="52">
          <cell r="A52" t="str">
            <v>9.1950</v>
          </cell>
          <cell r="B52">
            <v>1.6943120588074675E-2</v>
          </cell>
          <cell r="C52">
            <v>1.6791496708199492E-2</v>
          </cell>
        </row>
        <row r="53">
          <cell r="A53" t="str">
            <v>10.1950</v>
          </cell>
          <cell r="B53">
            <v>1.7944392983465104E-2</v>
          </cell>
          <cell r="C53">
            <v>1.7749003821901213E-2</v>
          </cell>
        </row>
        <row r="54">
          <cell r="A54" t="str">
            <v>11.1950</v>
          </cell>
          <cell r="B54">
            <v>1.7933398382582535E-2</v>
          </cell>
          <cell r="C54">
            <v>1.7750690754603088E-2</v>
          </cell>
        </row>
        <row r="55">
          <cell r="A55" t="str">
            <v>12.1950</v>
          </cell>
          <cell r="B55">
            <v>1.7739497555860136E-2</v>
          </cell>
          <cell r="C55">
            <v>1.7566978832038505E-2</v>
          </cell>
        </row>
        <row r="56">
          <cell r="A56" t="str">
            <v>1.1951</v>
          </cell>
          <cell r="B56">
            <v>1.7654473701661233E-2</v>
          </cell>
          <cell r="C56">
            <v>1.7467941560340015E-2</v>
          </cell>
        </row>
        <row r="57">
          <cell r="A57" t="str">
            <v>2.1951</v>
          </cell>
          <cell r="B57">
            <v>1.8037387183193792E-2</v>
          </cell>
          <cell r="C57">
            <v>1.7854629348203296E-2</v>
          </cell>
        </row>
        <row r="58">
          <cell r="A58" t="str">
            <v>3.1951</v>
          </cell>
          <cell r="B58">
            <v>2.0746304518878867E-2</v>
          </cell>
          <cell r="C58">
            <v>2.041319375296587E-2</v>
          </cell>
        </row>
        <row r="59">
          <cell r="A59" t="str">
            <v>4.1951</v>
          </cell>
          <cell r="B59">
            <v>2.0639760004262167E-2</v>
          </cell>
          <cell r="C59">
            <v>2.034130181408754E-2</v>
          </cell>
        </row>
        <row r="60">
          <cell r="A60" t="str">
            <v>5.1951</v>
          </cell>
          <cell r="B60">
            <v>2.1520617791459602E-2</v>
          </cell>
          <cell r="C60">
            <v>2.1218253905317987E-2</v>
          </cell>
        </row>
        <row r="61">
          <cell r="A61" t="str">
            <v>6.1951</v>
          </cell>
          <cell r="B61">
            <v>2.1027439398564444E-2</v>
          </cell>
          <cell r="C61">
            <v>2.0740056218540717E-2</v>
          </cell>
        </row>
        <row r="62">
          <cell r="A62" t="str">
            <v>7.1951</v>
          </cell>
          <cell r="B62">
            <v>2.013402845793278E-2</v>
          </cell>
          <cell r="C62">
            <v>1.9869761002761648E-2</v>
          </cell>
        </row>
        <row r="63">
          <cell r="A63" t="str">
            <v>8.1951</v>
          </cell>
          <cell r="B63">
            <v>1.9831910977949719E-2</v>
          </cell>
          <cell r="C63">
            <v>1.9573646028140015E-2</v>
          </cell>
        </row>
        <row r="64">
          <cell r="A64" t="str">
            <v>9.1951</v>
          </cell>
          <cell r="B64">
            <v>2.1338126628886813E-2</v>
          </cell>
          <cell r="C64">
            <v>2.1003252480866808E-2</v>
          </cell>
        </row>
        <row r="65">
          <cell r="A65" t="str">
            <v>10.1951</v>
          </cell>
          <cell r="B65">
            <v>2.1628259741033162E-2</v>
          </cell>
          <cell r="C65">
            <v>2.1301150665348271E-2</v>
          </cell>
        </row>
        <row r="66">
          <cell r="A66" t="str">
            <v>11.1951</v>
          </cell>
          <cell r="B66">
            <v>2.152134880709828E-2</v>
          </cell>
          <cell r="C66">
            <v>2.1210020850962814E-2</v>
          </cell>
        </row>
        <row r="67">
          <cell r="A67" t="str">
            <v>12.1951</v>
          </cell>
          <cell r="B67">
            <v>2.2334867455830729E-2</v>
          </cell>
          <cell r="C67">
            <v>2.1965581040144497E-2</v>
          </cell>
        </row>
        <row r="68">
          <cell r="A68" t="str">
            <v>1.1952</v>
          </cell>
          <cell r="B68">
            <v>2.1324214395239398E-2</v>
          </cell>
          <cell r="C68">
            <v>2.1013246006992746E-2</v>
          </cell>
        </row>
        <row r="69">
          <cell r="A69" t="str">
            <v>2.1952</v>
          </cell>
          <cell r="B69">
            <v>2.2707549180234585E-2</v>
          </cell>
          <cell r="C69">
            <v>2.235361491573758E-2</v>
          </cell>
        </row>
        <row r="70">
          <cell r="A70" t="str">
            <v>3.1952</v>
          </cell>
          <cell r="B70">
            <v>2.1722235257210568E-2</v>
          </cell>
          <cell r="C70">
            <v>2.1394261633309514E-2</v>
          </cell>
        </row>
        <row r="71">
          <cell r="A71" t="str">
            <v>4.1952</v>
          </cell>
          <cell r="B71">
            <v>2.0935643529599476E-2</v>
          </cell>
          <cell r="C71">
            <v>2.0631055325501874E-2</v>
          </cell>
        </row>
        <row r="72">
          <cell r="A72" t="str">
            <v>5.1952</v>
          </cell>
          <cell r="B72">
            <v>2.115094755215504E-2</v>
          </cell>
          <cell r="C72">
            <v>2.0811695042440487E-2</v>
          </cell>
        </row>
        <row r="73">
          <cell r="A73" t="str">
            <v>6.1952</v>
          </cell>
          <cell r="B73">
            <v>2.2346687595515814E-2</v>
          </cell>
          <cell r="C73">
            <v>2.1935931769803477E-2</v>
          </cell>
        </row>
        <row r="74">
          <cell r="A74" t="str">
            <v>7.1952</v>
          </cell>
          <cell r="B74">
            <v>2.3146976649389115E-2</v>
          </cell>
          <cell r="C74">
            <v>2.269328085680275E-2</v>
          </cell>
        </row>
        <row r="75">
          <cell r="A75" t="str">
            <v>8.1952</v>
          </cell>
          <cell r="B75">
            <v>2.4040232750872373E-2</v>
          </cell>
          <cell r="C75">
            <v>2.3550308860862419E-2</v>
          </cell>
        </row>
        <row r="76">
          <cell r="A76" t="str">
            <v>9.1952</v>
          </cell>
          <cell r="B76">
            <v>2.4217771673380937E-2</v>
          </cell>
          <cell r="C76">
            <v>2.3768191702646581E-2</v>
          </cell>
        </row>
        <row r="77">
          <cell r="A77" t="str">
            <v>10.1952</v>
          </cell>
          <cell r="B77">
            <v>2.3337386970570705E-2</v>
          </cell>
          <cell r="C77">
            <v>2.2895211305286774E-2</v>
          </cell>
        </row>
        <row r="78">
          <cell r="A78" t="str">
            <v>11.1952</v>
          </cell>
          <cell r="B78">
            <v>2.3458080815866009E-2</v>
          </cell>
          <cell r="C78">
            <v>2.2992124746246428E-2</v>
          </cell>
        </row>
        <row r="79">
          <cell r="A79" t="str">
            <v>12.1952</v>
          </cell>
          <cell r="B79">
            <v>2.3757550653416837E-2</v>
          </cell>
          <cell r="C79">
            <v>2.3281885117316742E-2</v>
          </cell>
        </row>
        <row r="80">
          <cell r="A80" t="str">
            <v>1.1953</v>
          </cell>
          <cell r="B80">
            <v>2.3931184289169894E-2</v>
          </cell>
          <cell r="C80">
            <v>2.3484929584945035E-2</v>
          </cell>
        </row>
        <row r="81">
          <cell r="A81" t="str">
            <v>2.1953</v>
          </cell>
          <cell r="B81">
            <v>2.4339878456460649E-2</v>
          </cell>
          <cell r="C81">
            <v>2.3881490124424854E-2</v>
          </cell>
        </row>
        <row r="82">
          <cell r="A82" t="str">
            <v>3.1953</v>
          </cell>
          <cell r="B82">
            <v>2.4723449374257536E-2</v>
          </cell>
          <cell r="C82">
            <v>2.4252208325663265E-2</v>
          </cell>
        </row>
        <row r="83">
          <cell r="A83" t="str">
            <v>4.1953</v>
          </cell>
          <cell r="B83">
            <v>2.7526362442528703E-2</v>
          </cell>
          <cell r="C83">
            <v>2.6907115374879009E-2</v>
          </cell>
        </row>
        <row r="84">
          <cell r="A84" t="str">
            <v>5.1953</v>
          </cell>
          <cell r="B84">
            <v>3.0782745906050086E-2</v>
          </cell>
          <cell r="C84">
            <v>3.0000705901185514E-2</v>
          </cell>
        </row>
        <row r="85">
          <cell r="A85" t="str">
            <v>6.1953</v>
          </cell>
          <cell r="B85">
            <v>2.7502735314990999E-2</v>
          </cell>
          <cell r="C85">
            <v>2.68986160565362E-2</v>
          </cell>
        </row>
        <row r="86">
          <cell r="A86" t="str">
            <v>7.1953</v>
          </cell>
          <cell r="B86">
            <v>2.7300268562953887E-2</v>
          </cell>
          <cell r="C86">
            <v>2.6707364898138033E-2</v>
          </cell>
        </row>
        <row r="87">
          <cell r="A87" t="str">
            <v>8.1953</v>
          </cell>
          <cell r="B87">
            <v>2.8458775868148156E-2</v>
          </cell>
          <cell r="C87">
            <v>2.7817643496067291E-2</v>
          </cell>
        </row>
        <row r="88">
          <cell r="A88" t="str">
            <v>9.1953</v>
          </cell>
          <cell r="B88">
            <v>2.4808345342271741E-2</v>
          </cell>
          <cell r="C88">
            <v>2.4300917214053083E-2</v>
          </cell>
        </row>
        <row r="89">
          <cell r="A89" t="str">
            <v>10.1953</v>
          </cell>
          <cell r="B89">
            <v>2.4266235017208714E-2</v>
          </cell>
          <cell r="C89">
            <v>2.3837468172234991E-2</v>
          </cell>
        </row>
        <row r="90">
          <cell r="A90" t="str">
            <v>11.1953</v>
          </cell>
          <cell r="B90">
            <v>2.3876222955903505E-2</v>
          </cell>
          <cell r="C90">
            <v>2.3485188417754269E-2</v>
          </cell>
        </row>
        <row r="91">
          <cell r="A91" t="str">
            <v>12.1953</v>
          </cell>
          <cell r="B91">
            <v>2.2009123360400007E-2</v>
          </cell>
          <cell r="C91">
            <v>2.1655502077583308E-2</v>
          </cell>
        </row>
        <row r="92">
          <cell r="A92" t="str">
            <v>1.1954</v>
          </cell>
          <cell r="B92">
            <v>2.0754286742985923E-2</v>
          </cell>
          <cell r="C92">
            <v>2.0509743709181516E-2</v>
          </cell>
        </row>
        <row r="93">
          <cell r="A93" t="str">
            <v>2.1954</v>
          </cell>
          <cell r="B93">
            <v>1.9635305643049161E-2</v>
          </cell>
          <cell r="C93">
            <v>1.9461906315712915E-2</v>
          </cell>
        </row>
        <row r="94">
          <cell r="A94" t="str">
            <v>3.1954</v>
          </cell>
          <cell r="B94">
            <v>1.9153539293711171E-2</v>
          </cell>
          <cell r="C94">
            <v>1.898732199511587E-2</v>
          </cell>
        </row>
        <row r="95">
          <cell r="A95" t="str">
            <v>4.1954</v>
          </cell>
          <cell r="B95">
            <v>1.7573971105565044E-2</v>
          </cell>
          <cell r="C95">
            <v>1.7464912172279027E-2</v>
          </cell>
        </row>
        <row r="96">
          <cell r="A96" t="str">
            <v>5.1954</v>
          </cell>
          <cell r="B96">
            <v>2.0111496176324666E-2</v>
          </cell>
          <cell r="C96">
            <v>1.9930424521436646E-2</v>
          </cell>
        </row>
        <row r="97">
          <cell r="A97" t="str">
            <v>6.1954</v>
          </cell>
          <cell r="B97">
            <v>1.8334114752104159E-2</v>
          </cell>
          <cell r="C97">
            <v>1.8224241227670326E-2</v>
          </cell>
        </row>
        <row r="98">
          <cell r="A98" t="str">
            <v>7.1954</v>
          </cell>
          <cell r="B98">
            <v>1.87275575227045E-2</v>
          </cell>
          <cell r="C98">
            <v>1.8588931894037635E-2</v>
          </cell>
        </row>
        <row r="99">
          <cell r="A99" t="str">
            <v>8.1954</v>
          </cell>
          <cell r="B99">
            <v>1.8939153553555233E-2</v>
          </cell>
          <cell r="C99">
            <v>1.8801500896299513E-2</v>
          </cell>
        </row>
        <row r="100">
          <cell r="A100" t="str">
            <v>9.1954</v>
          </cell>
          <cell r="B100">
            <v>1.9661112883095591E-2</v>
          </cell>
          <cell r="C100">
            <v>1.9472553921325613E-2</v>
          </cell>
        </row>
        <row r="101">
          <cell r="A101" t="str">
            <v>10.1954</v>
          </cell>
          <cell r="B101">
            <v>2.1050611049441462E-2</v>
          </cell>
          <cell r="C101">
            <v>2.0774539456160181E-2</v>
          </cell>
        </row>
        <row r="102">
          <cell r="A102" t="str">
            <v>11.1954</v>
          </cell>
          <cell r="B102">
            <v>2.124032822719989E-2</v>
          </cell>
          <cell r="C102">
            <v>2.0970281983570458E-2</v>
          </cell>
        </row>
        <row r="103">
          <cell r="A103" t="str">
            <v>12.1954</v>
          </cell>
          <cell r="B103">
            <v>2.1940622781826721E-2</v>
          </cell>
          <cell r="C103">
            <v>2.1629244971676148E-2</v>
          </cell>
        </row>
        <row r="104">
          <cell r="A104" t="str">
            <v>1.1955</v>
          </cell>
          <cell r="B104">
            <v>2.2771557263575701E-2</v>
          </cell>
          <cell r="C104">
            <v>2.2431181788978273E-2</v>
          </cell>
        </row>
        <row r="105">
          <cell r="A105" t="str">
            <v>2.1955</v>
          </cell>
          <cell r="B105">
            <v>2.4601617973996747E-2</v>
          </cell>
          <cell r="C105">
            <v>2.4132577559984048E-2</v>
          </cell>
        </row>
        <row r="106">
          <cell r="A106" t="str">
            <v>3.1955</v>
          </cell>
          <cell r="B106">
            <v>2.4593733818283187E-2</v>
          </cell>
          <cell r="C106">
            <v>2.4125319420066828E-2</v>
          </cell>
        </row>
        <row r="107">
          <cell r="A107" t="str">
            <v>4.1955</v>
          </cell>
          <cell r="B107">
            <v>2.5205922178014845E-2</v>
          </cell>
          <cell r="C107">
            <v>2.4704199626847549E-2</v>
          </cell>
        </row>
        <row r="108">
          <cell r="A108" t="str">
            <v>5.1955</v>
          </cell>
          <cell r="B108">
            <v>2.5191250926901856E-2</v>
          </cell>
          <cell r="C108">
            <v>2.4686804217378542E-2</v>
          </cell>
        </row>
        <row r="109">
          <cell r="A109" t="str">
            <v>6.1955</v>
          </cell>
          <cell r="B109">
            <v>2.6476751464823121E-2</v>
          </cell>
          <cell r="C109">
            <v>2.5917399193946093E-2</v>
          </cell>
        </row>
        <row r="110">
          <cell r="A110" t="str">
            <v>7.1955</v>
          </cell>
          <cell r="B110">
            <v>2.8181253212513389E-2</v>
          </cell>
          <cell r="C110">
            <v>2.751928026681498E-2</v>
          </cell>
        </row>
        <row r="111">
          <cell r="A111" t="str">
            <v>8.1955</v>
          </cell>
          <cell r="B111">
            <v>2.8911712524102257E-2</v>
          </cell>
          <cell r="C111">
            <v>2.8160341332666785E-2</v>
          </cell>
        </row>
        <row r="112">
          <cell r="A112" t="str">
            <v>9.1955</v>
          </cell>
          <cell r="B112">
            <v>2.7791512069702855E-2</v>
          </cell>
          <cell r="C112">
            <v>2.7123782928628382E-2</v>
          </cell>
        </row>
        <row r="113">
          <cell r="A113" t="str">
            <v>10.1955</v>
          </cell>
          <cell r="B113">
            <v>2.6932836433386155E-2</v>
          </cell>
          <cell r="C113">
            <v>2.6294759939328512E-2</v>
          </cell>
        </row>
        <row r="114">
          <cell r="A114" t="str">
            <v>11.1955</v>
          </cell>
          <cell r="B114">
            <v>2.8480588935468672E-2</v>
          </cell>
          <cell r="C114">
            <v>2.7715168965984638E-2</v>
          </cell>
        </row>
        <row r="115">
          <cell r="A115" t="str">
            <v>12.1955</v>
          </cell>
          <cell r="B115">
            <v>2.8780977522631358E-2</v>
          </cell>
          <cell r="C115">
            <v>2.7999018397441882E-2</v>
          </cell>
        </row>
        <row r="116">
          <cell r="A116" t="str">
            <v>1.1956</v>
          </cell>
          <cell r="B116">
            <v>2.7243140205625092E-2</v>
          </cell>
          <cell r="C116">
            <v>2.6574089488662946E-2</v>
          </cell>
        </row>
        <row r="117">
          <cell r="A117" t="str">
            <v>2.1956</v>
          </cell>
          <cell r="B117">
            <v>2.7659316573745464E-2</v>
          </cell>
          <cell r="C117">
            <v>2.6957940692052967E-2</v>
          </cell>
        </row>
        <row r="118">
          <cell r="A118" t="str">
            <v>3.1956</v>
          </cell>
          <cell r="B118">
            <v>3.056352274634835E-2</v>
          </cell>
          <cell r="C118">
            <v>2.967687861299443E-2</v>
          </cell>
        </row>
        <row r="119">
          <cell r="A119" t="str">
            <v>4.1956</v>
          </cell>
          <cell r="B119">
            <v>3.1328288339818926E-2</v>
          </cell>
          <cell r="C119">
            <v>3.0336383394377168E-2</v>
          </cell>
        </row>
        <row r="120">
          <cell r="A120" t="str">
            <v>5.1956</v>
          </cell>
          <cell r="B120">
            <v>2.940197318001014E-2</v>
          </cell>
          <cell r="C120">
            <v>2.854238786683827E-2</v>
          </cell>
        </row>
        <row r="121">
          <cell r="A121" t="str">
            <v>6.1956</v>
          </cell>
          <cell r="B121">
            <v>2.9657739977431995E-2</v>
          </cell>
          <cell r="C121">
            <v>2.8821953620804652E-2</v>
          </cell>
        </row>
        <row r="122">
          <cell r="A122" t="str">
            <v>7.1956</v>
          </cell>
          <cell r="B122">
            <v>3.2670983709783538E-2</v>
          </cell>
          <cell r="C122">
            <v>3.1616767163580813E-2</v>
          </cell>
        </row>
        <row r="123">
          <cell r="A123" t="str">
            <v>8.1956</v>
          </cell>
          <cell r="B123">
            <v>3.537213753471076E-2</v>
          </cell>
          <cell r="C123">
            <v>3.4113693201036965E-2</v>
          </cell>
        </row>
        <row r="124">
          <cell r="A124" t="str">
            <v>9.1956</v>
          </cell>
          <cell r="B124">
            <v>3.4228162532282613E-2</v>
          </cell>
          <cell r="C124">
            <v>3.3048893632769742E-2</v>
          </cell>
        </row>
        <row r="125">
          <cell r="A125" t="str">
            <v>10.1956</v>
          </cell>
          <cell r="B125">
            <v>3.5071928896707572E-2</v>
          </cell>
          <cell r="C125">
            <v>3.3877995785674422E-2</v>
          </cell>
        </row>
        <row r="126">
          <cell r="A126" t="str">
            <v>11.1956</v>
          </cell>
          <cell r="B126">
            <v>3.6343253235466853E-2</v>
          </cell>
          <cell r="C126">
            <v>3.4987111697238164E-2</v>
          </cell>
        </row>
        <row r="127">
          <cell r="A127" t="str">
            <v>12.1956</v>
          </cell>
          <cell r="B127">
            <v>3.7117946847770603E-2</v>
          </cell>
          <cell r="C127">
            <v>3.5781926590764526E-2</v>
          </cell>
        </row>
        <row r="128">
          <cell r="A128" t="str">
            <v>1.1957</v>
          </cell>
          <cell r="B128">
            <v>3.249831514053042E-2</v>
          </cell>
          <cell r="C128">
            <v>3.1459669387658679E-2</v>
          </cell>
        </row>
        <row r="129">
          <cell r="A129" t="str">
            <v>2.1957</v>
          </cell>
          <cell r="B129">
            <v>3.3922157274738282E-2</v>
          </cell>
          <cell r="C129">
            <v>3.2786890170553779E-2</v>
          </cell>
        </row>
        <row r="130">
          <cell r="A130" t="str">
            <v>3.1957</v>
          </cell>
          <cell r="B130">
            <v>3.420637354367112E-2</v>
          </cell>
          <cell r="C130">
            <v>3.305078160789348E-2</v>
          </cell>
        </row>
        <row r="131">
          <cell r="A131" t="str">
            <v>4.1957</v>
          </cell>
          <cell r="B131">
            <v>3.56806498788848E-2</v>
          </cell>
          <cell r="C131">
            <v>3.4441841964973643E-2</v>
          </cell>
        </row>
        <row r="132">
          <cell r="A132" t="str">
            <v>5.1957</v>
          </cell>
          <cell r="B132">
            <v>3.6739928068880219E-2</v>
          </cell>
          <cell r="C132">
            <v>3.5463344324622649E-2</v>
          </cell>
        </row>
        <row r="133">
          <cell r="A133" t="str">
            <v>6.1957</v>
          </cell>
          <cell r="B133">
            <v>3.8241316744103013E-2</v>
          </cell>
          <cell r="C133">
            <v>3.6890313007914594E-2</v>
          </cell>
        </row>
        <row r="134">
          <cell r="A134" t="str">
            <v>7.1957</v>
          </cell>
          <cell r="B134">
            <v>3.914514054272053E-2</v>
          </cell>
          <cell r="C134">
            <v>3.7674311790025346E-2</v>
          </cell>
        </row>
        <row r="135">
          <cell r="A135" t="str">
            <v>8.1957</v>
          </cell>
          <cell r="B135">
            <v>3.824758340728427E-2</v>
          </cell>
          <cell r="C135">
            <v>3.680916406037793E-2</v>
          </cell>
        </row>
        <row r="136">
          <cell r="A136" t="str">
            <v>9.1957</v>
          </cell>
          <cell r="B136">
            <v>4.0078257216443453E-2</v>
          </cell>
          <cell r="C136">
            <v>3.8506096997294223E-2</v>
          </cell>
        </row>
        <row r="137">
          <cell r="A137" t="str">
            <v>10.1957</v>
          </cell>
          <cell r="B137">
            <v>3.9540192071208784E-2</v>
          </cell>
          <cell r="C137">
            <v>3.8000095605047669E-2</v>
          </cell>
        </row>
        <row r="138">
          <cell r="A138" t="str">
            <v>11.1957</v>
          </cell>
          <cell r="B138">
            <v>3.4230581704497609E-2</v>
          </cell>
          <cell r="C138">
            <v>3.305011584665267E-2</v>
          </cell>
        </row>
        <row r="139">
          <cell r="A139" t="str">
            <v>12.1957</v>
          </cell>
          <cell r="B139">
            <v>2.8465959239250879E-2</v>
          </cell>
          <cell r="C139">
            <v>2.77702355159107E-2</v>
          </cell>
        </row>
        <row r="140">
          <cell r="A140" t="str">
            <v>1.1958</v>
          </cell>
          <cell r="B140">
            <v>2.8763325426642828E-2</v>
          </cell>
          <cell r="C140">
            <v>2.8122677795635147E-2</v>
          </cell>
        </row>
        <row r="141">
          <cell r="A141" t="str">
            <v>2.1958</v>
          </cell>
          <cell r="B141">
            <v>2.633033051113615E-2</v>
          </cell>
          <cell r="C141">
            <v>2.5870490374042068E-2</v>
          </cell>
        </row>
        <row r="142">
          <cell r="A142" t="str">
            <v>3.1958</v>
          </cell>
          <cell r="B142">
            <v>2.5640996763499513E-2</v>
          </cell>
          <cell r="C142">
            <v>2.5184562485182815E-2</v>
          </cell>
        </row>
        <row r="143">
          <cell r="A143" t="str">
            <v>4.1958</v>
          </cell>
          <cell r="B143">
            <v>2.3917397395602624E-2</v>
          </cell>
          <cell r="C143">
            <v>2.3575941462869829E-2</v>
          </cell>
        </row>
        <row r="144">
          <cell r="A144" t="str">
            <v>5.1958</v>
          </cell>
          <cell r="B144">
            <v>2.3222638074246463E-2</v>
          </cell>
          <cell r="C144">
            <v>2.2953174837054818E-2</v>
          </cell>
        </row>
        <row r="145">
          <cell r="A145" t="str">
            <v>6.1958</v>
          </cell>
          <cell r="B145">
            <v>2.529340908210382E-2</v>
          </cell>
          <cell r="C145">
            <v>2.4916719038683807E-2</v>
          </cell>
        </row>
        <row r="146">
          <cell r="A146" t="str">
            <v>7.1958</v>
          </cell>
          <cell r="B146">
            <v>2.8794790440474158E-2</v>
          </cell>
          <cell r="C146">
            <v>2.8225647255912888E-2</v>
          </cell>
        </row>
        <row r="147">
          <cell r="A147" t="str">
            <v>8.1958</v>
          </cell>
          <cell r="B147">
            <v>3.6847090182830507E-2</v>
          </cell>
          <cell r="C147">
            <v>3.5629497673973151E-2</v>
          </cell>
        </row>
        <row r="148">
          <cell r="A148" t="str">
            <v>9.1958</v>
          </cell>
          <cell r="B148">
            <v>3.7392932254711284E-2</v>
          </cell>
          <cell r="C148">
            <v>3.6090206486532085E-2</v>
          </cell>
        </row>
        <row r="149">
          <cell r="A149" t="str">
            <v>10.1958</v>
          </cell>
          <cell r="B149">
            <v>3.6670137108582017E-2</v>
          </cell>
          <cell r="C149">
            <v>3.5441492915847465E-2</v>
          </cell>
        </row>
        <row r="150">
          <cell r="A150" t="str">
            <v>11.1958</v>
          </cell>
          <cell r="B150">
            <v>3.6234561961692738E-2</v>
          </cell>
          <cell r="C150">
            <v>3.4999762384518816E-2</v>
          </cell>
        </row>
        <row r="151">
          <cell r="A151" t="str">
            <v>12.1958</v>
          </cell>
          <cell r="B151">
            <v>3.8035614951647916E-2</v>
          </cell>
          <cell r="C151">
            <v>3.6748288465991312E-2</v>
          </cell>
        </row>
        <row r="152">
          <cell r="A152" t="str">
            <v>1.1959</v>
          </cell>
          <cell r="B152">
            <v>3.9876602629008683E-2</v>
          </cell>
          <cell r="C152">
            <v>3.8393970213159129E-2</v>
          </cell>
        </row>
        <row r="153">
          <cell r="A153" t="str">
            <v>2.1959</v>
          </cell>
          <cell r="B153">
            <v>3.781803491189166E-2</v>
          </cell>
          <cell r="C153">
            <v>3.6479084572457292E-2</v>
          </cell>
        </row>
        <row r="154">
          <cell r="A154" t="str">
            <v>3.1959</v>
          </cell>
          <cell r="B154">
            <v>3.9727170729033597E-2</v>
          </cell>
          <cell r="C154">
            <v>3.8234758719773373E-2</v>
          </cell>
        </row>
        <row r="155">
          <cell r="A155" t="str">
            <v>4.1959</v>
          </cell>
          <cell r="B155">
            <v>4.1651269347624004E-2</v>
          </cell>
          <cell r="C155">
            <v>4.0057279467919718E-2</v>
          </cell>
        </row>
        <row r="156">
          <cell r="A156" t="str">
            <v>5.1959</v>
          </cell>
          <cell r="B156">
            <v>4.1994737939314845E-2</v>
          </cell>
          <cell r="C156">
            <v>4.0330505744260364E-2</v>
          </cell>
        </row>
        <row r="157">
          <cell r="A157" t="str">
            <v>6.1959</v>
          </cell>
          <cell r="B157">
            <v>4.3988891946913945E-2</v>
          </cell>
          <cell r="C157">
            <v>4.2086291083416529E-2</v>
          </cell>
        </row>
        <row r="158">
          <cell r="A158" t="str">
            <v>7.1959</v>
          </cell>
          <cell r="B158">
            <v>4.567592356062769E-2</v>
          </cell>
          <cell r="C158">
            <v>4.3639216457388635E-2</v>
          </cell>
        </row>
        <row r="159">
          <cell r="A159" t="str">
            <v>8.1959</v>
          </cell>
          <cell r="B159">
            <v>4.6592676868165789E-2</v>
          </cell>
          <cell r="C159">
            <v>4.4463028215018838E-2</v>
          </cell>
        </row>
        <row r="160">
          <cell r="A160" t="str">
            <v>9.1959</v>
          </cell>
          <cell r="B160">
            <v>4.6932998667528654E-2</v>
          </cell>
          <cell r="C160">
            <v>4.469414534962269E-2</v>
          </cell>
        </row>
        <row r="161">
          <cell r="A161" t="str">
            <v>10.1959</v>
          </cell>
          <cell r="B161">
            <v>4.6730048482606625E-2</v>
          </cell>
          <cell r="C161">
            <v>4.4596922693320398E-2</v>
          </cell>
        </row>
        <row r="162">
          <cell r="A162" t="str">
            <v>11.1959</v>
          </cell>
          <cell r="B162">
            <v>4.8293219514883606E-2</v>
          </cell>
          <cell r="C162">
            <v>4.5896075534260082E-2</v>
          </cell>
        </row>
        <row r="163">
          <cell r="A163" t="str">
            <v>12.1959</v>
          </cell>
          <cell r="B163">
            <v>4.8174215841713421E-2</v>
          </cell>
          <cell r="C163">
            <v>4.5868330595748241E-2</v>
          </cell>
        </row>
        <row r="164">
          <cell r="A164" t="str">
            <v>1.1960</v>
          </cell>
          <cell r="B164">
            <v>4.7563918976074031E-2</v>
          </cell>
          <cell r="C164">
            <v>4.5346378245292612E-2</v>
          </cell>
        </row>
        <row r="165">
          <cell r="A165" t="str">
            <v>2.1960</v>
          </cell>
          <cell r="B165">
            <v>4.5956018173146193E-2</v>
          </cell>
          <cell r="C165">
            <v>4.3846013417327905E-2</v>
          </cell>
        </row>
        <row r="166">
          <cell r="A166" t="str">
            <v>3.1960</v>
          </cell>
          <cell r="B166">
            <v>4.0188111614214449E-2</v>
          </cell>
          <cell r="C166">
            <v>3.8701511550923128E-2</v>
          </cell>
        </row>
        <row r="167">
          <cell r="A167" t="str">
            <v>4.1960</v>
          </cell>
          <cell r="B167">
            <v>4.4782740779039168E-2</v>
          </cell>
          <cell r="C167">
            <v>4.2831125580611917E-2</v>
          </cell>
        </row>
        <row r="168">
          <cell r="A168" t="str">
            <v>5.1960</v>
          </cell>
          <cell r="B168">
            <v>4.3021717619912636E-2</v>
          </cell>
          <cell r="C168">
            <v>4.119674843289263E-2</v>
          </cell>
        </row>
        <row r="169">
          <cell r="A169" t="str">
            <v>6.1960</v>
          </cell>
          <cell r="B169">
            <v>3.9748742729013825E-2</v>
          </cell>
          <cell r="C169">
            <v>3.8393731652440408E-2</v>
          </cell>
        </row>
        <row r="170">
          <cell r="A170" t="str">
            <v>7.1960</v>
          </cell>
          <cell r="B170">
            <v>3.4554168456747657E-2</v>
          </cell>
          <cell r="C170">
            <v>3.361326638184655E-2</v>
          </cell>
        </row>
        <row r="171">
          <cell r="A171" t="str">
            <v>8.1960</v>
          </cell>
          <cell r="B171">
            <v>3.5411568783301373E-2</v>
          </cell>
          <cell r="C171">
            <v>3.4416928067324458E-2</v>
          </cell>
        </row>
        <row r="172">
          <cell r="A172" t="str">
            <v>9.1960</v>
          </cell>
          <cell r="B172">
            <v>3.5674188723922411E-2</v>
          </cell>
          <cell r="C172">
            <v>3.4638525193556223E-2</v>
          </cell>
        </row>
        <row r="173">
          <cell r="A173" t="str">
            <v>10.1960</v>
          </cell>
          <cell r="B173">
            <v>3.636643601157364E-2</v>
          </cell>
          <cell r="C173">
            <v>3.5296948968174001E-2</v>
          </cell>
        </row>
        <row r="174">
          <cell r="A174" t="str">
            <v>11.1960</v>
          </cell>
          <cell r="B174">
            <v>3.7868031684587099E-2</v>
          </cell>
          <cell r="C174">
            <v>3.6672032115625502E-2</v>
          </cell>
        </row>
        <row r="175">
          <cell r="A175" t="str">
            <v>12.1960</v>
          </cell>
          <cell r="B175">
            <v>3.4160770596964894E-2</v>
          </cell>
          <cell r="C175">
            <v>3.3266842921382621E-2</v>
          </cell>
        </row>
        <row r="176">
          <cell r="A176" t="str">
            <v>1.1961</v>
          </cell>
          <cell r="B176">
            <v>3.6279841292372141E-2</v>
          </cell>
          <cell r="C176">
            <v>3.5192580301411702E-2</v>
          </cell>
        </row>
        <row r="177">
          <cell r="A177" t="str">
            <v>2.1961</v>
          </cell>
          <cell r="B177">
            <v>3.5153896920359938E-2</v>
          </cell>
          <cell r="C177">
            <v>3.4109827238894878E-2</v>
          </cell>
        </row>
        <row r="178">
          <cell r="A178" t="str">
            <v>3.1961</v>
          </cell>
          <cell r="B178">
            <v>3.5377587318940952E-2</v>
          </cell>
          <cell r="C178">
            <v>3.4377526486427328E-2</v>
          </cell>
        </row>
        <row r="179">
          <cell r="A179" t="str">
            <v>4.1961</v>
          </cell>
          <cell r="B179">
            <v>3.4510594482926038E-2</v>
          </cell>
          <cell r="C179">
            <v>3.3565086652239694E-2</v>
          </cell>
        </row>
        <row r="180">
          <cell r="A180" t="str">
            <v>5.1961</v>
          </cell>
          <cell r="B180">
            <v>3.5724521509346574E-2</v>
          </cell>
          <cell r="C180">
            <v>3.4673179329505893E-2</v>
          </cell>
        </row>
        <row r="181">
          <cell r="A181" t="str">
            <v>6.1961</v>
          </cell>
          <cell r="B181">
            <v>3.7094236446093526E-2</v>
          </cell>
          <cell r="C181">
            <v>3.5931907877102293E-2</v>
          </cell>
        </row>
        <row r="182">
          <cell r="A182" t="str">
            <v>7.1961</v>
          </cell>
          <cell r="B182">
            <v>3.842537287926704E-2</v>
          </cell>
          <cell r="C182">
            <v>3.7179507556515945E-2</v>
          </cell>
        </row>
        <row r="183">
          <cell r="A183" t="str">
            <v>8.1961</v>
          </cell>
          <cell r="B183">
            <v>3.8470115975773544E-2</v>
          </cell>
          <cell r="C183">
            <v>3.7207128413128593E-2</v>
          </cell>
        </row>
        <row r="184">
          <cell r="A184" t="str">
            <v>9.1961</v>
          </cell>
          <cell r="B184">
            <v>3.7212257505367982E-2</v>
          </cell>
          <cell r="C184">
            <v>3.6015895003782578E-2</v>
          </cell>
        </row>
        <row r="185">
          <cell r="A185" t="str">
            <v>10.1961</v>
          </cell>
          <cell r="B185">
            <v>3.6891516345517586E-2</v>
          </cell>
          <cell r="C185">
            <v>3.5753366867792805E-2</v>
          </cell>
        </row>
        <row r="186">
          <cell r="A186" t="str">
            <v>11.1961</v>
          </cell>
          <cell r="B186">
            <v>3.7774957583416209E-2</v>
          </cell>
          <cell r="C186">
            <v>3.6605757861009225E-2</v>
          </cell>
        </row>
        <row r="187">
          <cell r="A187" t="str">
            <v>12.1961</v>
          </cell>
          <cell r="B187">
            <v>3.8193945172035573E-2</v>
          </cell>
          <cell r="C187">
            <v>3.6992213695813354E-2</v>
          </cell>
        </row>
        <row r="188">
          <cell r="A188" t="str">
            <v>1.1962</v>
          </cell>
          <cell r="B188">
            <v>3.9289885887832963E-2</v>
          </cell>
          <cell r="C188">
            <v>3.7987956107231997E-2</v>
          </cell>
        </row>
        <row r="189">
          <cell r="A189" t="str">
            <v>2.1962</v>
          </cell>
          <cell r="B189">
            <v>3.7284514896267627E-2</v>
          </cell>
          <cell r="C189">
            <v>3.6200142625648739E-2</v>
          </cell>
        </row>
        <row r="190">
          <cell r="A190" t="str">
            <v>3.1962</v>
          </cell>
          <cell r="B190">
            <v>3.5991162371902835E-2</v>
          </cell>
          <cell r="C190">
            <v>3.4958545487908256E-2</v>
          </cell>
        </row>
        <row r="191">
          <cell r="A191" t="str">
            <v>4.1962</v>
          </cell>
          <cell r="B191">
            <v>3.6223135101133203E-2</v>
          </cell>
          <cell r="C191">
            <v>3.5161771185085622E-2</v>
          </cell>
        </row>
        <row r="192">
          <cell r="A192" t="str">
            <v>5.1962</v>
          </cell>
          <cell r="B192">
            <v>3.6355008819694341E-2</v>
          </cell>
          <cell r="C192">
            <v>3.5309035689096019E-2</v>
          </cell>
        </row>
        <row r="193">
          <cell r="A193" t="str">
            <v>6.1962</v>
          </cell>
          <cell r="B193">
            <v>3.7473868906235989E-2</v>
          </cell>
          <cell r="C193">
            <v>3.631677336622359E-2</v>
          </cell>
        </row>
        <row r="194">
          <cell r="A194" t="str">
            <v>7.1962</v>
          </cell>
          <cell r="B194">
            <v>3.8394792016799038E-2</v>
          </cell>
          <cell r="C194">
            <v>3.7159807554187844E-2</v>
          </cell>
        </row>
        <row r="195">
          <cell r="A195" t="str">
            <v>8.1962</v>
          </cell>
          <cell r="B195">
            <v>3.6568064624062792E-2</v>
          </cell>
          <cell r="C195">
            <v>3.551140556519173E-2</v>
          </cell>
        </row>
        <row r="196">
          <cell r="A196" t="str">
            <v>9.1962</v>
          </cell>
          <cell r="B196">
            <v>3.6538539617633752E-2</v>
          </cell>
          <cell r="C196">
            <v>3.5491720344689982E-2</v>
          </cell>
        </row>
        <row r="197">
          <cell r="A197" t="str">
            <v>10.1962</v>
          </cell>
          <cell r="B197">
            <v>3.615897343662039E-2</v>
          </cell>
          <cell r="C197">
            <v>3.5146680672466762E-2</v>
          </cell>
        </row>
        <row r="198">
          <cell r="A198" t="str">
            <v>11.1962</v>
          </cell>
          <cell r="B198">
            <v>3.570589646518986E-2</v>
          </cell>
          <cell r="C198">
            <v>3.4721110496825525E-2</v>
          </cell>
        </row>
        <row r="199">
          <cell r="A199" t="str">
            <v>12.1962</v>
          </cell>
          <cell r="B199">
            <v>3.5157860766789333E-2</v>
          </cell>
          <cell r="C199">
            <v>3.4194851503896034E-2</v>
          </cell>
        </row>
        <row r="200">
          <cell r="A200" t="str">
            <v>1.1963</v>
          </cell>
          <cell r="B200">
            <v>3.608425079260711E-2</v>
          </cell>
          <cell r="C200">
            <v>3.5048411265377652E-2</v>
          </cell>
        </row>
        <row r="201">
          <cell r="A201" t="str">
            <v>2.1963</v>
          </cell>
          <cell r="B201">
            <v>3.6660086519293283E-2</v>
          </cell>
          <cell r="C201">
            <v>3.5600619944715257E-2</v>
          </cell>
        </row>
        <row r="202">
          <cell r="A202" t="str">
            <v>3.1963</v>
          </cell>
          <cell r="B202">
            <v>3.6757415324629734E-2</v>
          </cell>
          <cell r="C202">
            <v>3.570159321064794E-2</v>
          </cell>
        </row>
        <row r="203">
          <cell r="A203" t="str">
            <v>4.1963</v>
          </cell>
          <cell r="B203">
            <v>3.6903961761966683E-2</v>
          </cell>
          <cell r="C203">
            <v>3.5805199113009674E-2</v>
          </cell>
        </row>
        <row r="204">
          <cell r="A204" t="str">
            <v>5.1963</v>
          </cell>
          <cell r="B204">
            <v>3.7396788028015548E-2</v>
          </cell>
          <cell r="C204">
            <v>3.6244625301172471E-2</v>
          </cell>
        </row>
        <row r="205">
          <cell r="A205" t="str">
            <v>6.1963</v>
          </cell>
          <cell r="B205">
            <v>3.7877777326784712E-2</v>
          </cell>
          <cell r="C205">
            <v>3.668631564241423E-2</v>
          </cell>
        </row>
        <row r="206">
          <cell r="A206" t="str">
            <v>7.1963</v>
          </cell>
          <cell r="B206">
            <v>3.8659311975117745E-2</v>
          </cell>
          <cell r="C206">
            <v>3.7340829998594983E-2</v>
          </cell>
        </row>
        <row r="207">
          <cell r="A207" t="str">
            <v>8.1963</v>
          </cell>
          <cell r="B207">
            <v>3.9055025195801792E-2</v>
          </cell>
          <cell r="C207">
            <v>3.7704908554119898E-2</v>
          </cell>
        </row>
        <row r="208">
          <cell r="A208" t="str">
            <v>9.1963</v>
          </cell>
          <cell r="B208">
            <v>3.9259298344392915E-2</v>
          </cell>
          <cell r="C208">
            <v>3.7911625573240154E-2</v>
          </cell>
        </row>
        <row r="209">
          <cell r="A209" t="str">
            <v>10.1963</v>
          </cell>
          <cell r="B209">
            <v>3.997237135041485E-2</v>
          </cell>
          <cell r="C209">
            <v>3.857658533100037E-2</v>
          </cell>
        </row>
        <row r="210">
          <cell r="A210" t="str">
            <v>11.1963</v>
          </cell>
          <cell r="B210">
            <v>3.9702521250560979E-2</v>
          </cell>
          <cell r="C210">
            <v>3.8299600812014667E-2</v>
          </cell>
        </row>
        <row r="211">
          <cell r="A211" t="str">
            <v>12.1963</v>
          </cell>
          <cell r="B211">
            <v>4.0616568824703624E-2</v>
          </cell>
          <cell r="C211">
            <v>3.9120082726981427E-2</v>
          </cell>
        </row>
        <row r="212">
          <cell r="A212" t="str">
            <v>1.1964</v>
          </cell>
          <cell r="B212">
            <v>4.0409199559278054E-2</v>
          </cell>
          <cell r="C212">
            <v>3.8955911713611867E-2</v>
          </cell>
        </row>
        <row r="213">
          <cell r="A213" t="str">
            <v>2.1964</v>
          </cell>
          <cell r="B213">
            <v>4.1029690812388081E-2</v>
          </cell>
          <cell r="C213">
            <v>3.95062916695939E-2</v>
          </cell>
        </row>
        <row r="214">
          <cell r="A214" t="str">
            <v>3.1964</v>
          </cell>
          <cell r="B214">
            <v>4.1932170429087784E-2</v>
          </cell>
          <cell r="C214">
            <v>4.0302952147400505E-2</v>
          </cell>
        </row>
        <row r="215">
          <cell r="A215" t="str">
            <v>4.1964</v>
          </cell>
          <cell r="B215">
            <v>4.159680295999222E-2</v>
          </cell>
          <cell r="C215">
            <v>3.9998349451830319E-2</v>
          </cell>
        </row>
        <row r="216">
          <cell r="A216" t="str">
            <v>5.1964</v>
          </cell>
          <cell r="B216">
            <v>4.0621383578064767E-2</v>
          </cell>
          <cell r="C216">
            <v>3.9132378966589269E-2</v>
          </cell>
        </row>
        <row r="217">
          <cell r="A217" t="str">
            <v>6.1964</v>
          </cell>
          <cell r="B217">
            <v>4.0485869901203515E-2</v>
          </cell>
          <cell r="C217">
            <v>3.9007070776828703E-2</v>
          </cell>
        </row>
        <row r="218">
          <cell r="A218" t="str">
            <v>7.1964</v>
          </cell>
          <cell r="B218">
            <v>4.0646370163170305E-2</v>
          </cell>
          <cell r="C218">
            <v>3.9186523193647946E-2</v>
          </cell>
        </row>
        <row r="219">
          <cell r="A219" t="str">
            <v>8.1964</v>
          </cell>
          <cell r="B219">
            <v>4.0683034487444335E-2</v>
          </cell>
          <cell r="C219">
            <v>3.9215099194158803E-2</v>
          </cell>
        </row>
        <row r="220">
          <cell r="A220" t="str">
            <v>9.1964</v>
          </cell>
          <cell r="B220">
            <v>4.051572896333893E-2</v>
          </cell>
          <cell r="C220">
            <v>3.90370307282552E-2</v>
          </cell>
        </row>
        <row r="221">
          <cell r="A221" t="str">
            <v>10.1964</v>
          </cell>
          <cell r="B221">
            <v>4.0529104184256405E-2</v>
          </cell>
          <cell r="C221">
            <v>3.9034029662831815E-2</v>
          </cell>
        </row>
        <row r="222">
          <cell r="A222" t="str">
            <v>11.1964</v>
          </cell>
          <cell r="B222">
            <v>4.1488855648334329E-2</v>
          </cell>
          <cell r="C222">
            <v>3.9860770268881185E-2</v>
          </cell>
        </row>
        <row r="223">
          <cell r="A223" t="str">
            <v>12.1964</v>
          </cell>
          <cell r="B223">
            <v>4.1137231188451577E-2</v>
          </cell>
          <cell r="C223">
            <v>3.9587600144042313E-2</v>
          </cell>
        </row>
        <row r="224">
          <cell r="A224" t="str">
            <v>1.1965</v>
          </cell>
          <cell r="B224">
            <v>4.0943423735077415E-2</v>
          </cell>
          <cell r="C224">
            <v>3.9401092357096608E-2</v>
          </cell>
        </row>
        <row r="225">
          <cell r="A225" t="str">
            <v>2.1965</v>
          </cell>
          <cell r="B225">
            <v>4.1273251469335866E-2</v>
          </cell>
          <cell r="C225">
            <v>3.9698277468314107E-2</v>
          </cell>
        </row>
        <row r="226">
          <cell r="A226" t="str">
            <v>3.1965</v>
          </cell>
          <cell r="B226">
            <v>4.1366117961430034E-2</v>
          </cell>
          <cell r="C226">
            <v>3.9766971116086014E-2</v>
          </cell>
        </row>
        <row r="227">
          <cell r="A227" t="str">
            <v>4.1965</v>
          </cell>
          <cell r="B227">
            <v>4.1366778630344991E-2</v>
          </cell>
          <cell r="C227">
            <v>3.9767307256324311E-2</v>
          </cell>
        </row>
        <row r="228">
          <cell r="A228" t="str">
            <v>5.1965</v>
          </cell>
          <cell r="B228">
            <v>4.1358968294277335E-2</v>
          </cell>
          <cell r="C228">
            <v>3.9778319593642017E-2</v>
          </cell>
        </row>
        <row r="229">
          <cell r="A229" t="str">
            <v>6.1965</v>
          </cell>
          <cell r="B229">
            <v>4.1024963208196152E-2</v>
          </cell>
          <cell r="C229">
            <v>3.9484040564012952E-2</v>
          </cell>
        </row>
        <row r="230">
          <cell r="A230" t="str">
            <v>7.1965</v>
          </cell>
          <cell r="B230">
            <v>4.1646408947400279E-2</v>
          </cell>
          <cell r="C230">
            <v>4.0028627540250501E-2</v>
          </cell>
        </row>
        <row r="231">
          <cell r="A231" t="str">
            <v>8.1965</v>
          </cell>
          <cell r="B231">
            <v>4.2247754250335764E-2</v>
          </cell>
          <cell r="C231">
            <v>4.0582197115841809E-2</v>
          </cell>
        </row>
        <row r="232">
          <cell r="A232" t="str">
            <v>9.1965</v>
          </cell>
          <cell r="B232">
            <v>4.358170910948872E-2</v>
          </cell>
          <cell r="C232">
            <v>4.1795207817689042E-2</v>
          </cell>
        </row>
        <row r="233">
          <cell r="A233" t="str">
            <v>10.1965</v>
          </cell>
          <cell r="B233">
            <v>4.4367597660775221E-2</v>
          </cell>
          <cell r="C233">
            <v>4.2506543899232571E-2</v>
          </cell>
        </row>
        <row r="234">
          <cell r="A234" t="str">
            <v>11.1965</v>
          </cell>
          <cell r="B234">
            <v>4.5569099938325655E-2</v>
          </cell>
          <cell r="C234">
            <v>4.3584834380987376E-2</v>
          </cell>
        </row>
        <row r="235">
          <cell r="A235" t="str">
            <v>12.1965</v>
          </cell>
          <cell r="B235">
            <v>4.9782789358975586E-2</v>
          </cell>
          <cell r="C235">
            <v>4.723292338459692E-2</v>
          </cell>
        </row>
        <row r="236">
          <cell r="A236" t="str">
            <v>1.1966</v>
          </cell>
          <cell r="B236">
            <v>5.0236012570100734E-2</v>
          </cell>
          <cell r="C236">
            <v>4.7685027706763132E-2</v>
          </cell>
        </row>
        <row r="237">
          <cell r="A237" t="str">
            <v>2.1966</v>
          </cell>
          <cell r="B237">
            <v>5.2729896067783381E-2</v>
          </cell>
          <cell r="C237">
            <v>5.0068198812139114E-2</v>
          </cell>
        </row>
        <row r="238">
          <cell r="A238" t="str">
            <v>3.1966</v>
          </cell>
          <cell r="B238">
            <v>4.9637836213070691E-2</v>
          </cell>
          <cell r="C238">
            <v>4.7194724440650739E-2</v>
          </cell>
        </row>
        <row r="239">
          <cell r="A239" t="str">
            <v>4.1966</v>
          </cell>
          <cell r="B239">
            <v>5.020235744220343E-2</v>
          </cell>
          <cell r="C239">
            <v>4.7761009758882519E-2</v>
          </cell>
        </row>
        <row r="240">
          <cell r="A240" t="str">
            <v>5.1966</v>
          </cell>
          <cell r="B240">
            <v>5.1192610792727543E-2</v>
          </cell>
          <cell r="C240">
            <v>4.856261655274368E-2</v>
          </cell>
        </row>
        <row r="241">
          <cell r="A241" t="str">
            <v>6.1966</v>
          </cell>
          <cell r="B241">
            <v>5.2652136824102656E-2</v>
          </cell>
          <cell r="C241">
            <v>4.9907825311708155E-2</v>
          </cell>
        </row>
        <row r="242">
          <cell r="A242" t="str">
            <v>7.1966</v>
          </cell>
          <cell r="B242">
            <v>5.4572180263252022E-2</v>
          </cell>
          <cell r="C242">
            <v>5.1635646315334675E-2</v>
          </cell>
        </row>
        <row r="243">
          <cell r="A243" t="str">
            <v>8.1966</v>
          </cell>
          <cell r="B243">
            <v>6.0307337900993505E-2</v>
          </cell>
          <cell r="C243">
            <v>5.6506104822391739E-2</v>
          </cell>
        </row>
        <row r="244">
          <cell r="A244" t="str">
            <v>9.1966</v>
          </cell>
          <cell r="B244">
            <v>5.4470375930486953E-2</v>
          </cell>
          <cell r="C244">
            <v>5.1334367324441486E-2</v>
          </cell>
        </row>
        <row r="245">
          <cell r="A245" t="str">
            <v>10.1966</v>
          </cell>
          <cell r="B245">
            <v>5.3964578424475468E-2</v>
          </cell>
          <cell r="C245">
            <v>5.0952993400749082E-2</v>
          </cell>
        </row>
        <row r="246">
          <cell r="A246" t="str">
            <v>11.1966</v>
          </cell>
          <cell r="B246">
            <v>5.3849051553840864E-2</v>
          </cell>
          <cell r="C246">
            <v>5.0977905056699108E-2</v>
          </cell>
        </row>
        <row r="247">
          <cell r="A247" t="str">
            <v>12.1966</v>
          </cell>
          <cell r="B247">
            <v>4.8797259848749427E-2</v>
          </cell>
          <cell r="C247">
            <v>4.6402534627403944E-2</v>
          </cell>
        </row>
        <row r="248">
          <cell r="A248" t="str">
            <v>1.1967</v>
          </cell>
          <cell r="B248">
            <v>4.6898341907141552E-2</v>
          </cell>
          <cell r="C248">
            <v>4.475949023195238E-2</v>
          </cell>
        </row>
        <row r="249">
          <cell r="A249" t="str">
            <v>2.1967</v>
          </cell>
          <cell r="B249">
            <v>4.8021934345790399E-2</v>
          </cell>
          <cell r="C249">
            <v>4.585192539611007E-2</v>
          </cell>
        </row>
        <row r="250">
          <cell r="A250" t="str">
            <v>3.1967</v>
          </cell>
          <cell r="B250">
            <v>4.4089377027833394E-2</v>
          </cell>
          <cell r="C250">
            <v>4.2367223909015504E-2</v>
          </cell>
        </row>
        <row r="251">
          <cell r="A251" t="str">
            <v>4.1967</v>
          </cell>
          <cell r="B251">
            <v>4.7010693450381218E-2</v>
          </cell>
          <cell r="C251">
            <v>4.5097254235095044E-2</v>
          </cell>
        </row>
        <row r="252">
          <cell r="A252" t="str">
            <v>5.1967</v>
          </cell>
          <cell r="B252">
            <v>4.6950369287727993E-2</v>
          </cell>
          <cell r="C252">
            <v>4.5042672841293249E-2</v>
          </cell>
        </row>
        <row r="253">
          <cell r="A253" t="str">
            <v>6.1967</v>
          </cell>
          <cell r="B253">
            <v>5.4030739854863646E-2</v>
          </cell>
          <cell r="C253">
            <v>5.1339342561130673E-2</v>
          </cell>
        </row>
        <row r="254">
          <cell r="A254" t="str">
            <v>7.1967</v>
          </cell>
          <cell r="B254">
            <v>5.1913922419663132E-2</v>
          </cell>
          <cell r="C254">
            <v>4.9474795442321806E-2</v>
          </cell>
        </row>
        <row r="255">
          <cell r="A255" t="str">
            <v>8.1967</v>
          </cell>
          <cell r="B255">
            <v>5.4340146924572466E-2</v>
          </cell>
          <cell r="C255">
            <v>5.1550566745552459E-2</v>
          </cell>
        </row>
        <row r="256">
          <cell r="A256" t="str">
            <v>9.1967</v>
          </cell>
          <cell r="B256">
            <v>5.5002825047897441E-2</v>
          </cell>
          <cell r="C256">
            <v>5.2179224467908999E-2</v>
          </cell>
        </row>
        <row r="257">
          <cell r="A257" t="str">
            <v>10.1967</v>
          </cell>
          <cell r="B257">
            <v>5.6730303141812259E-2</v>
          </cell>
          <cell r="C257">
            <v>5.3730634582681763E-2</v>
          </cell>
        </row>
        <row r="258">
          <cell r="A258" t="str">
            <v>11.1967</v>
          </cell>
          <cell r="B258">
            <v>5.7702899687873822E-2</v>
          </cell>
          <cell r="C258">
            <v>5.4617827016625757E-2</v>
          </cell>
        </row>
        <row r="259">
          <cell r="A259" t="str">
            <v>12.1967</v>
          </cell>
          <cell r="B259">
            <v>5.7987580407578898E-2</v>
          </cell>
          <cell r="C259">
            <v>5.476277101176287E-2</v>
          </cell>
        </row>
        <row r="260">
          <cell r="A260" t="str">
            <v>1.1968</v>
          </cell>
          <cell r="B260">
            <v>5.6700613333630703E-2</v>
          </cell>
          <cell r="C260">
            <v>5.3728126877759325E-2</v>
          </cell>
        </row>
        <row r="261">
          <cell r="A261" t="str">
            <v>2.1968</v>
          </cell>
          <cell r="B261">
            <v>5.6977129615869815E-2</v>
          </cell>
          <cell r="C261">
            <v>5.3908209772131427E-2</v>
          </cell>
        </row>
        <row r="262">
          <cell r="A262" t="str">
            <v>3.1968</v>
          </cell>
          <cell r="B262">
            <v>5.897524310024109E-2</v>
          </cell>
          <cell r="C262">
            <v>5.5745820032028097E-2</v>
          </cell>
        </row>
        <row r="263">
          <cell r="A263" t="str">
            <v>4.1968</v>
          </cell>
          <cell r="B263">
            <v>6.0309134005099366E-2</v>
          </cell>
          <cell r="C263">
            <v>5.6809240104488734E-2</v>
          </cell>
        </row>
        <row r="264">
          <cell r="A264" t="str">
            <v>5.1968</v>
          </cell>
          <cell r="B264">
            <v>5.9509183085338181E-2</v>
          </cell>
          <cell r="C264">
            <v>5.6151224664749685E-2</v>
          </cell>
        </row>
        <row r="265">
          <cell r="A265" t="str">
            <v>6.1968</v>
          </cell>
          <cell r="B265">
            <v>5.825986945763173E-2</v>
          </cell>
          <cell r="C265">
            <v>5.4984337241545528E-2</v>
          </cell>
        </row>
        <row r="266">
          <cell r="A266" t="str">
            <v>7.1968</v>
          </cell>
          <cell r="B266">
            <v>5.5181542306176036E-2</v>
          </cell>
          <cell r="C266">
            <v>5.2309168170676636E-2</v>
          </cell>
        </row>
        <row r="267">
          <cell r="A267" t="str">
            <v>8.1968</v>
          </cell>
          <cell r="B267">
            <v>5.5010600794874125E-2</v>
          </cell>
          <cell r="C267">
            <v>5.2207940822704212E-2</v>
          </cell>
        </row>
        <row r="268">
          <cell r="A268" t="str">
            <v>9.1968</v>
          </cell>
          <cell r="B268">
            <v>5.5235947612490996E-2</v>
          </cell>
          <cell r="C268">
            <v>5.2443983084244278E-2</v>
          </cell>
        </row>
        <row r="269">
          <cell r="A269" t="str">
            <v>10.1968</v>
          </cell>
          <cell r="B269">
            <v>5.6480563236385818E-2</v>
          </cell>
          <cell r="C269">
            <v>5.3556809943756542E-2</v>
          </cell>
        </row>
        <row r="270">
          <cell r="A270" t="str">
            <v>11.1968</v>
          </cell>
          <cell r="B270">
            <v>5.7351512779389387E-2</v>
          </cell>
          <cell r="C270">
            <v>5.4393075956095389E-2</v>
          </cell>
        </row>
        <row r="271">
          <cell r="A271" t="str">
            <v>12.1968</v>
          </cell>
          <cell r="B271">
            <v>6.4432857229463208E-2</v>
          </cell>
          <cell r="C271">
            <v>6.0476028508938053E-2</v>
          </cell>
        </row>
        <row r="272">
          <cell r="A272" t="str">
            <v>1.1969</v>
          </cell>
          <cell r="B272">
            <v>6.2510310363218066E-2</v>
          </cell>
          <cell r="C272">
            <v>5.885876050248412E-2</v>
          </cell>
        </row>
        <row r="273">
          <cell r="A273" t="str">
            <v>2.1969</v>
          </cell>
          <cell r="B273">
            <v>6.4681832107377421E-2</v>
          </cell>
          <cell r="C273">
            <v>6.0628890428702092E-2</v>
          </cell>
        </row>
        <row r="274">
          <cell r="A274" t="str">
            <v>3.1969</v>
          </cell>
          <cell r="B274">
            <v>6.2883628713233428E-2</v>
          </cell>
          <cell r="C274">
            <v>5.9257592529519808E-2</v>
          </cell>
        </row>
        <row r="275">
          <cell r="A275" t="str">
            <v>4.1969</v>
          </cell>
          <cell r="B275">
            <v>6.3895355720615402E-2</v>
          </cell>
          <cell r="C275">
            <v>6.0025321070163049E-2</v>
          </cell>
        </row>
        <row r="276">
          <cell r="A276" t="str">
            <v>5.1969</v>
          </cell>
          <cell r="B276">
            <v>6.6441773544534913E-2</v>
          </cell>
          <cell r="C276">
            <v>6.220748523779638E-2</v>
          </cell>
        </row>
        <row r="277">
          <cell r="A277" t="str">
            <v>6.1969</v>
          </cell>
          <cell r="B277">
            <v>7.0183636547827347E-2</v>
          </cell>
          <cell r="C277">
            <v>6.5125177437212495E-2</v>
          </cell>
        </row>
        <row r="278">
          <cell r="A278" t="str">
            <v>7.1969</v>
          </cell>
          <cell r="B278">
            <v>6.8986663617222208E-2</v>
          </cell>
          <cell r="C278">
            <v>6.4057229449964906E-2</v>
          </cell>
        </row>
        <row r="279">
          <cell r="A279" t="str">
            <v>8.1969</v>
          </cell>
          <cell r="B279">
            <v>6.9904083663469174E-2</v>
          </cell>
          <cell r="C279">
            <v>6.4888824713787319E-2</v>
          </cell>
        </row>
        <row r="280">
          <cell r="A280" t="str">
            <v>9.1969</v>
          </cell>
          <cell r="B280">
            <v>7.6788722087872199E-2</v>
          </cell>
          <cell r="C280">
            <v>7.0889473114445642E-2</v>
          </cell>
        </row>
        <row r="281">
          <cell r="A281" t="str">
            <v>10.1969</v>
          </cell>
          <cell r="B281">
            <v>7.0683224570624981E-2</v>
          </cell>
          <cell r="C281">
            <v>6.5678309226145967E-2</v>
          </cell>
        </row>
        <row r="282">
          <cell r="A282" t="str">
            <v>11.1969</v>
          </cell>
          <cell r="B282">
            <v>7.3049655434355459E-2</v>
          </cell>
          <cell r="C282">
            <v>6.7762966202522437E-2</v>
          </cell>
        </row>
        <row r="283">
          <cell r="A283" t="str">
            <v>12.1969</v>
          </cell>
          <cell r="B283">
            <v>7.8178082512575214E-2</v>
          </cell>
          <cell r="C283">
            <v>7.2015671330999079E-2</v>
          </cell>
        </row>
        <row r="284">
          <cell r="A284" t="str">
            <v>1.1970</v>
          </cell>
          <cell r="B284">
            <v>7.9256286078391053E-2</v>
          </cell>
          <cell r="C284">
            <v>7.3037549822852543E-2</v>
          </cell>
        </row>
        <row r="285">
          <cell r="A285" t="str">
            <v>2.1970</v>
          </cell>
          <cell r="B285">
            <v>7.1286005623618143E-2</v>
          </cell>
          <cell r="C285">
            <v>6.6311066255698395E-2</v>
          </cell>
        </row>
        <row r="286">
          <cell r="A286" t="str">
            <v>3.1970</v>
          </cell>
          <cell r="B286">
            <v>7.0903079025278801E-2</v>
          </cell>
          <cell r="C286">
            <v>6.6081307078647442E-2</v>
          </cell>
        </row>
        <row r="287">
          <cell r="A287" t="str">
            <v>4.1970</v>
          </cell>
          <cell r="B287">
            <v>7.8189510312217783E-2</v>
          </cell>
          <cell r="C287">
            <v>7.2464347141839303E-2</v>
          </cell>
        </row>
        <row r="288">
          <cell r="A288" t="str">
            <v>5.1970</v>
          </cell>
          <cell r="B288">
            <v>7.6004412436887436E-2</v>
          </cell>
          <cell r="C288">
            <v>7.0683084989707157E-2</v>
          </cell>
        </row>
        <row r="289">
          <cell r="A289" t="str">
            <v>6.1970</v>
          </cell>
          <cell r="B289">
            <v>7.61910159574017E-2</v>
          </cell>
          <cell r="C289">
            <v>7.0735572636266786E-2</v>
          </cell>
        </row>
        <row r="290">
          <cell r="A290" t="str">
            <v>7.1970</v>
          </cell>
          <cell r="B290">
            <v>7.4626026451190722E-2</v>
          </cell>
          <cell r="C290">
            <v>6.9596263557230031E-2</v>
          </cell>
        </row>
        <row r="291">
          <cell r="A291" t="str">
            <v>8.1970</v>
          </cell>
          <cell r="B291">
            <v>7.3320193147514784E-2</v>
          </cell>
          <cell r="C291">
            <v>6.8540259721699096E-2</v>
          </cell>
        </row>
        <row r="292">
          <cell r="A292" t="str">
            <v>9.1970</v>
          </cell>
          <cell r="B292">
            <v>7.0458117322983391E-2</v>
          </cell>
          <cell r="C292">
            <v>6.6104321811967029E-2</v>
          </cell>
        </row>
        <row r="293">
          <cell r="A293" t="str">
            <v>10.1970</v>
          </cell>
          <cell r="B293">
            <v>6.932706984103966E-2</v>
          </cell>
          <cell r="C293">
            <v>6.5133622690782406E-2</v>
          </cell>
        </row>
        <row r="294">
          <cell r="A294" t="str">
            <v>11.1970</v>
          </cell>
          <cell r="B294">
            <v>6.0270905061012819E-2</v>
          </cell>
          <cell r="C294">
            <v>5.7313387162385349E-2</v>
          </cell>
        </row>
        <row r="295">
          <cell r="A295" t="str">
            <v>12.1970</v>
          </cell>
          <cell r="B295">
            <v>5.9610163852712415E-2</v>
          </cell>
          <cell r="C295">
            <v>5.6626155848979974E-2</v>
          </cell>
        </row>
        <row r="296">
          <cell r="A296" t="str">
            <v>1.1971</v>
          </cell>
          <cell r="B296">
            <v>5.791454981010221E-2</v>
          </cell>
          <cell r="C296">
            <v>5.5234044987302638E-2</v>
          </cell>
        </row>
        <row r="297">
          <cell r="A297" t="str">
            <v>2.1971</v>
          </cell>
          <cell r="B297">
            <v>5.4087927028726016E-2</v>
          </cell>
          <cell r="C297">
            <v>5.2008074782686514E-2</v>
          </cell>
        </row>
        <row r="298">
          <cell r="A298" t="str">
            <v>3.1971</v>
          </cell>
          <cell r="B298">
            <v>5.0857590109177113E-2</v>
          </cell>
          <cell r="C298">
            <v>4.8979547094084322E-2</v>
          </cell>
        </row>
        <row r="299">
          <cell r="A299" t="str">
            <v>4.1971</v>
          </cell>
          <cell r="B299">
            <v>5.9906685607778946E-2</v>
          </cell>
          <cell r="C299">
            <v>5.6810389493630202E-2</v>
          </cell>
        </row>
        <row r="300">
          <cell r="A300" t="str">
            <v>5.1971</v>
          </cell>
          <cell r="B300">
            <v>6.0715128528188098E-2</v>
          </cell>
          <cell r="C300">
            <v>5.7692839381218337E-2</v>
          </cell>
        </row>
        <row r="301">
          <cell r="A301" t="str">
            <v>6.1971</v>
          </cell>
          <cell r="B301">
            <v>6.7727085316070926E-2</v>
          </cell>
          <cell r="C301">
            <v>6.3552378221665651E-2</v>
          </cell>
        </row>
        <row r="302">
          <cell r="A302" t="str">
            <v>7.1971</v>
          </cell>
          <cell r="B302">
            <v>6.8783656879713842E-2</v>
          </cell>
          <cell r="C302">
            <v>6.4500924971243045E-2</v>
          </cell>
        </row>
        <row r="303">
          <cell r="A303" t="str">
            <v>8.1971</v>
          </cell>
          <cell r="B303">
            <v>5.9004193993354964E-2</v>
          </cell>
          <cell r="C303">
            <v>5.6068853182096763E-2</v>
          </cell>
        </row>
        <row r="304">
          <cell r="A304" t="str">
            <v>9.1971</v>
          </cell>
          <cell r="B304">
            <v>5.9192344437186191E-2</v>
          </cell>
          <cell r="C304">
            <v>5.6014504678825169E-2</v>
          </cell>
        </row>
        <row r="305">
          <cell r="A305" t="str">
            <v>10.1971</v>
          </cell>
          <cell r="B305">
            <v>5.7002139332012598E-2</v>
          </cell>
          <cell r="C305">
            <v>5.4283358897728354E-2</v>
          </cell>
        </row>
        <row r="306">
          <cell r="A306" t="str">
            <v>11.1971</v>
          </cell>
          <cell r="B306">
            <v>5.779878531021268E-2</v>
          </cell>
          <cell r="C306">
            <v>5.4876381417219462E-2</v>
          </cell>
        </row>
        <row r="307">
          <cell r="A307" t="str">
            <v>12.1971</v>
          </cell>
          <cell r="B307">
            <v>5.4400334156437836E-2</v>
          </cell>
          <cell r="C307">
            <v>5.2080246634170477E-2</v>
          </cell>
        </row>
        <row r="308">
          <cell r="A308" t="str">
            <v>1.1972</v>
          </cell>
          <cell r="B308">
            <v>5.6961257762744487E-2</v>
          </cell>
          <cell r="C308">
            <v>5.4538380221739687E-2</v>
          </cell>
        </row>
        <row r="309">
          <cell r="A309" t="str">
            <v>2.1972</v>
          </cell>
          <cell r="B309">
            <v>5.6213182720271516E-2</v>
          </cell>
          <cell r="C309">
            <v>5.3808548331305911E-2</v>
          </cell>
        </row>
        <row r="310">
          <cell r="A310" t="str">
            <v>3.1972</v>
          </cell>
          <cell r="B310">
            <v>6.0010409077068574E-2</v>
          </cell>
          <cell r="C310">
            <v>5.6878585906504152E-2</v>
          </cell>
        </row>
        <row r="311">
          <cell r="A311" t="str">
            <v>4.1972</v>
          </cell>
          <cell r="B311">
            <v>5.7839858958335669E-2</v>
          </cell>
          <cell r="C311">
            <v>5.5095475669896365E-2</v>
          </cell>
        </row>
        <row r="312">
          <cell r="A312" t="str">
            <v>5.1972</v>
          </cell>
          <cell r="B312">
            <v>5.6795890329373939E-2</v>
          </cell>
          <cell r="C312">
            <v>5.4194909808791596E-2</v>
          </cell>
        </row>
        <row r="313">
          <cell r="A313" t="str">
            <v>6.1972</v>
          </cell>
          <cell r="B313">
            <v>5.9060857776689901E-2</v>
          </cell>
          <cell r="C313">
            <v>5.6090659924053987E-2</v>
          </cell>
        </row>
        <row r="314">
          <cell r="A314" t="str">
            <v>7.1972</v>
          </cell>
          <cell r="B314">
            <v>5.9286195784593911E-2</v>
          </cell>
          <cell r="C314">
            <v>5.640413582888279E-2</v>
          </cell>
        </row>
        <row r="315">
          <cell r="A315" t="str">
            <v>8.1972</v>
          </cell>
          <cell r="B315">
            <v>6.0958432558703701E-2</v>
          </cell>
          <cell r="C315">
            <v>5.7836307116184434E-2</v>
          </cell>
        </row>
        <row r="316">
          <cell r="A316" t="str">
            <v>9.1972</v>
          </cell>
          <cell r="B316">
            <v>6.0709239491588941E-2</v>
          </cell>
          <cell r="C316">
            <v>5.7656347368272562E-2</v>
          </cell>
        </row>
        <row r="317">
          <cell r="A317" t="str">
            <v>10.1972</v>
          </cell>
          <cell r="B317">
            <v>6.078223471338659E-2</v>
          </cell>
          <cell r="C317">
            <v>5.7613174576880734E-2</v>
          </cell>
        </row>
        <row r="318">
          <cell r="A318" t="str">
            <v>11.1972</v>
          </cell>
          <cell r="B318">
            <v>5.968104629298146E-2</v>
          </cell>
          <cell r="C318">
            <v>5.6631541619526507E-2</v>
          </cell>
        </row>
        <row r="319">
          <cell r="A319" t="str">
            <v>12.1972</v>
          </cell>
          <cell r="B319">
            <v>6.1028391558068655E-2</v>
          </cell>
          <cell r="C319">
            <v>5.7775410867092064E-2</v>
          </cell>
        </row>
        <row r="320">
          <cell r="A320" t="str">
            <v>1.1973</v>
          </cell>
          <cell r="B320">
            <v>6.3345663316661069E-2</v>
          </cell>
          <cell r="C320">
            <v>5.966738974208699E-2</v>
          </cell>
        </row>
        <row r="321">
          <cell r="A321" t="str">
            <v>2.1973</v>
          </cell>
          <cell r="B321">
            <v>6.6189063820261781E-2</v>
          </cell>
          <cell r="C321">
            <v>6.2034866876488674E-2</v>
          </cell>
        </row>
        <row r="322">
          <cell r="A322" t="str">
            <v>3.1973</v>
          </cell>
          <cell r="B322">
            <v>6.6617175730726674E-2</v>
          </cell>
          <cell r="C322">
            <v>6.2363703007880272E-2</v>
          </cell>
        </row>
        <row r="323">
          <cell r="A323" t="str">
            <v>4.1973</v>
          </cell>
          <cell r="B323">
            <v>6.6129668375910805E-2</v>
          </cell>
          <cell r="C323">
            <v>6.1988697137526527E-2</v>
          </cell>
        </row>
        <row r="324">
          <cell r="A324" t="str">
            <v>5.1973</v>
          </cell>
          <cell r="B324">
            <v>6.6670653838122096E-2</v>
          </cell>
          <cell r="C324">
            <v>6.2562084141223315E-2</v>
          </cell>
        </row>
        <row r="325">
          <cell r="A325" t="str">
            <v>6.1973</v>
          </cell>
          <cell r="B325">
            <v>6.7850076514650554E-2</v>
          </cell>
          <cell r="C325">
            <v>6.3468321965717597E-2</v>
          </cell>
        </row>
        <row r="326">
          <cell r="A326" t="str">
            <v>7.1973</v>
          </cell>
          <cell r="B326">
            <v>7.6428190265959733E-2</v>
          </cell>
          <cell r="C326">
            <v>7.0620840666548682E-2</v>
          </cell>
        </row>
        <row r="327">
          <cell r="A327" t="str">
            <v>8.1973</v>
          </cell>
          <cell r="B327">
            <v>7.1122675202524202E-2</v>
          </cell>
          <cell r="C327">
            <v>6.6195188131535881E-2</v>
          </cell>
        </row>
        <row r="328">
          <cell r="A328" t="str">
            <v>9.1973</v>
          </cell>
          <cell r="B328">
            <v>6.6441973255482081E-2</v>
          </cell>
          <cell r="C328">
            <v>6.2311469668951264E-2</v>
          </cell>
        </row>
        <row r="329">
          <cell r="A329" t="str">
            <v>10.1973</v>
          </cell>
          <cell r="B329">
            <v>6.8482714241921358E-2</v>
          </cell>
          <cell r="C329">
            <v>6.4099037248679783E-2</v>
          </cell>
        </row>
        <row r="330">
          <cell r="A330" t="str">
            <v>11.1973</v>
          </cell>
          <cell r="B330">
            <v>6.6855890029202295E-2</v>
          </cell>
          <cell r="C330">
            <v>6.2693559791144035E-2</v>
          </cell>
        </row>
        <row r="331">
          <cell r="A331" t="str">
            <v>12.1973</v>
          </cell>
          <cell r="B331">
            <v>6.643584255372352E-2</v>
          </cell>
          <cell r="C331">
            <v>6.2359463492788543E-2</v>
          </cell>
        </row>
        <row r="332">
          <cell r="A332" t="str">
            <v>1.1974</v>
          </cell>
          <cell r="B332">
            <v>6.7712802763496269E-2</v>
          </cell>
          <cell r="C332">
            <v>6.3577572520610665E-2</v>
          </cell>
        </row>
        <row r="333">
          <cell r="A333" t="str">
            <v>2.1974</v>
          </cell>
          <cell r="B333">
            <v>6.8467081542732011E-2</v>
          </cell>
          <cell r="C333">
            <v>6.4263767494633833E-2</v>
          </cell>
        </row>
        <row r="334">
          <cell r="A334" t="str">
            <v>3.1974</v>
          </cell>
          <cell r="B334">
            <v>7.5790268217672721E-2</v>
          </cell>
          <cell r="C334">
            <v>7.0301691291859189E-2</v>
          </cell>
        </row>
        <row r="335">
          <cell r="A335" t="str">
            <v>4.1974</v>
          </cell>
          <cell r="B335">
            <v>8.0626784560610482E-2</v>
          </cell>
          <cell r="C335">
            <v>7.4386158998362442E-2</v>
          </cell>
        </row>
        <row r="336">
          <cell r="A336" t="str">
            <v>5.1974</v>
          </cell>
          <cell r="B336">
            <v>7.9154126707277964E-2</v>
          </cell>
          <cell r="C336">
            <v>7.3212289295939467E-2</v>
          </cell>
        </row>
        <row r="337">
          <cell r="A337" t="str">
            <v>6.1974</v>
          </cell>
          <cell r="B337">
            <v>8.1357312444383115E-2</v>
          </cell>
          <cell r="C337">
            <v>7.493105868039128E-2</v>
          </cell>
        </row>
        <row r="338">
          <cell r="A338" t="str">
            <v>7.1974</v>
          </cell>
          <cell r="B338">
            <v>8.3051312156553272E-2</v>
          </cell>
          <cell r="C338">
            <v>7.6377710707369595E-2</v>
          </cell>
        </row>
        <row r="339">
          <cell r="A339" t="str">
            <v>8.1974</v>
          </cell>
          <cell r="B339">
            <v>8.4434724530409289E-2</v>
          </cell>
          <cell r="C339">
            <v>7.7605761296657222E-2</v>
          </cell>
        </row>
        <row r="340">
          <cell r="A340" t="str">
            <v>9.1974</v>
          </cell>
          <cell r="B340">
            <v>7.9167585530549034E-2</v>
          </cell>
          <cell r="C340">
            <v>7.3293490237974476E-2</v>
          </cell>
        </row>
        <row r="341">
          <cell r="A341" t="str">
            <v>10.1974</v>
          </cell>
          <cell r="B341">
            <v>7.8033426149083984E-2</v>
          </cell>
          <cell r="C341">
            <v>7.2334316060509038E-2</v>
          </cell>
        </row>
        <row r="342">
          <cell r="A342" t="str">
            <v>11.1974</v>
          </cell>
          <cell r="B342">
            <v>7.5059020669157595E-2</v>
          </cell>
          <cell r="C342">
            <v>7.0005063028588027E-2</v>
          </cell>
        </row>
        <row r="343">
          <cell r="A343" t="str">
            <v>12.1974</v>
          </cell>
          <cell r="B343">
            <v>7.1740562493075699E-2</v>
          </cell>
          <cell r="C343">
            <v>6.7115678646532548E-2</v>
          </cell>
        </row>
        <row r="344">
          <cell r="A344" t="str">
            <v>1.1975</v>
          </cell>
          <cell r="B344">
            <v>7.1918589407135677E-2</v>
          </cell>
          <cell r="C344">
            <v>6.7442747209442391E-2</v>
          </cell>
        </row>
        <row r="345">
          <cell r="A345" t="str">
            <v>2.1975</v>
          </cell>
          <cell r="B345">
            <v>6.9915655865219001E-2</v>
          </cell>
          <cell r="C345">
            <v>6.5904223849772695E-2</v>
          </cell>
        </row>
        <row r="346">
          <cell r="A346" t="str">
            <v>3.1975</v>
          </cell>
          <cell r="B346">
            <v>7.3341289613397101E-2</v>
          </cell>
          <cell r="C346">
            <v>6.8957825292311981E-2</v>
          </cell>
        </row>
        <row r="347">
          <cell r="A347" t="str">
            <v>4.1975</v>
          </cell>
          <cell r="B347">
            <v>7.9266309436195559E-2</v>
          </cell>
          <cell r="C347">
            <v>7.3720167233533973E-2</v>
          </cell>
        </row>
        <row r="348">
          <cell r="A348" t="str">
            <v>5.1975</v>
          </cell>
          <cell r="B348">
            <v>7.4912805110628172E-2</v>
          </cell>
          <cell r="C348">
            <v>7.0243296207687517E-2</v>
          </cell>
        </row>
        <row r="349">
          <cell r="A349" t="str">
            <v>6.1975</v>
          </cell>
          <cell r="B349">
            <v>7.6578601712586555E-2</v>
          </cell>
          <cell r="C349">
            <v>7.1409707000567438E-2</v>
          </cell>
        </row>
        <row r="350">
          <cell r="A350" t="str">
            <v>7.1975</v>
          </cell>
          <cell r="B350">
            <v>7.9127745521696338E-2</v>
          </cell>
          <cell r="C350">
            <v>7.3490729986496431E-2</v>
          </cell>
        </row>
        <row r="351">
          <cell r="A351" t="str">
            <v>8.1975</v>
          </cell>
          <cell r="B351">
            <v>7.9932790525209838E-2</v>
          </cell>
          <cell r="C351">
            <v>7.4164116325968921E-2</v>
          </cell>
        </row>
        <row r="352">
          <cell r="A352" t="str">
            <v>9.1975</v>
          </cell>
          <cell r="B352">
            <v>8.2547551964419916E-2</v>
          </cell>
          <cell r="C352">
            <v>7.6411633832625434E-2</v>
          </cell>
        </row>
        <row r="353">
          <cell r="A353" t="str">
            <v>10.1975</v>
          </cell>
          <cell r="B353">
            <v>7.4916290566903326E-2</v>
          </cell>
          <cell r="C353">
            <v>7.0187720247488483E-2</v>
          </cell>
        </row>
        <row r="354">
          <cell r="A354" t="str">
            <v>11.1975</v>
          </cell>
          <cell r="B354">
            <v>7.7578289447131438E-2</v>
          </cell>
          <cell r="C354">
            <v>7.2517894094782945E-2</v>
          </cell>
        </row>
        <row r="355">
          <cell r="A355" t="str">
            <v>12.1975</v>
          </cell>
          <cell r="B355">
            <v>7.3538369289154651E-2</v>
          </cell>
          <cell r="C355">
            <v>6.901906347045432E-2</v>
          </cell>
        </row>
        <row r="356">
          <cell r="A356" t="str">
            <v>1.1976</v>
          </cell>
          <cell r="B356">
            <v>7.3543507582307585E-2</v>
          </cell>
          <cell r="C356">
            <v>6.9171007053159289E-2</v>
          </cell>
        </row>
        <row r="357">
          <cell r="A357" t="str">
            <v>2.1976</v>
          </cell>
          <cell r="B357">
            <v>7.3679762811253949E-2</v>
          </cell>
          <cell r="C357">
            <v>6.9119967807760224E-2</v>
          </cell>
        </row>
        <row r="358">
          <cell r="A358" t="str">
            <v>3.1976</v>
          </cell>
          <cell r="B358">
            <v>7.2680693189913992E-2</v>
          </cell>
          <cell r="C358">
            <v>6.8243497026735114E-2</v>
          </cell>
        </row>
        <row r="359">
          <cell r="A359" t="str">
            <v>4.1976</v>
          </cell>
          <cell r="B359">
            <v>7.2151996198404331E-2</v>
          </cell>
          <cell r="C359">
            <v>6.7829960478771475E-2</v>
          </cell>
        </row>
        <row r="360">
          <cell r="A360" t="str">
            <v>5.1976</v>
          </cell>
          <cell r="B360">
            <v>7.6364671949072135E-2</v>
          </cell>
          <cell r="C360">
            <v>7.1260426125584253E-2</v>
          </cell>
        </row>
        <row r="361">
          <cell r="A361" t="str">
            <v>6.1976</v>
          </cell>
          <cell r="B361">
            <v>7.4349914233755324E-2</v>
          </cell>
          <cell r="C361">
            <v>6.9639809056639648E-2</v>
          </cell>
        </row>
        <row r="362">
          <cell r="A362" t="str">
            <v>7.1976</v>
          </cell>
          <cell r="B362">
            <v>7.3217795844004577E-2</v>
          </cell>
          <cell r="C362">
            <v>6.8806836698474066E-2</v>
          </cell>
        </row>
        <row r="363">
          <cell r="A363" t="str">
            <v>8.1976</v>
          </cell>
          <cell r="B363">
            <v>7.0435549411064405E-2</v>
          </cell>
          <cell r="C363">
            <v>6.6438579190454969E-2</v>
          </cell>
        </row>
        <row r="364">
          <cell r="A364" t="str">
            <v>9.1976</v>
          </cell>
          <cell r="B364">
            <v>6.9416164258684951E-2</v>
          </cell>
          <cell r="C364">
            <v>6.5552451035223405E-2</v>
          </cell>
        </row>
        <row r="365">
          <cell r="A365" t="str">
            <v>10.1976</v>
          </cell>
          <cell r="B365">
            <v>6.6646664764576882E-2</v>
          </cell>
          <cell r="C365">
            <v>6.3231553494352E-2</v>
          </cell>
        </row>
        <row r="366">
          <cell r="A366" t="str">
            <v>11.1976</v>
          </cell>
          <cell r="B366">
            <v>5.9595638151876532E-2</v>
          </cell>
          <cell r="C366">
            <v>5.7133384818190192E-2</v>
          </cell>
        </row>
        <row r="367">
          <cell r="A367" t="str">
            <v>12.1976</v>
          </cell>
          <cell r="B367">
            <v>6.050511524735671E-2</v>
          </cell>
          <cell r="C367">
            <v>5.7749068094195957E-2</v>
          </cell>
        </row>
        <row r="368">
          <cell r="A368" t="str">
            <v>1.1977</v>
          </cell>
          <cell r="B368">
            <v>6.843105679043919E-2</v>
          </cell>
          <cell r="C368">
            <v>6.4625819459565706E-2</v>
          </cell>
        </row>
        <row r="369">
          <cell r="A369" t="str">
            <v>2.1977</v>
          </cell>
          <cell r="B369">
            <v>6.9031677296436958E-2</v>
          </cell>
          <cell r="C369">
            <v>6.5181223658448431E-2</v>
          </cell>
        </row>
        <row r="370">
          <cell r="A370" t="str">
            <v>3.1977</v>
          </cell>
          <cell r="B370">
            <v>6.8310101316774646E-2</v>
          </cell>
          <cell r="C370">
            <v>6.4591193107501499E-2</v>
          </cell>
        </row>
        <row r="371">
          <cell r="A371" t="str">
            <v>4.1977</v>
          </cell>
          <cell r="B371">
            <v>6.8451038949593812E-2</v>
          </cell>
          <cell r="C371">
            <v>6.4714498188580202E-2</v>
          </cell>
        </row>
        <row r="372">
          <cell r="A372" t="str">
            <v>5.1977</v>
          </cell>
          <cell r="B372">
            <v>6.7769473392004453E-2</v>
          </cell>
          <cell r="C372">
            <v>6.4087082956707911E-2</v>
          </cell>
        </row>
        <row r="373">
          <cell r="A373" t="str">
            <v>6.1977</v>
          </cell>
          <cell r="B373">
            <v>6.6704758608800069E-2</v>
          </cell>
          <cell r="C373">
            <v>6.3129743032080729E-2</v>
          </cell>
        </row>
        <row r="374">
          <cell r="A374" t="str">
            <v>7.1977</v>
          </cell>
          <cell r="B374">
            <v>6.9391210111682131E-2</v>
          </cell>
          <cell r="C374">
            <v>6.5353534430451735E-2</v>
          </cell>
        </row>
        <row r="375">
          <cell r="A375" t="str">
            <v>8.1977</v>
          </cell>
          <cell r="B375">
            <v>6.8547165902317214E-2</v>
          </cell>
          <cell r="C375">
            <v>6.4535832743391641E-2</v>
          </cell>
        </row>
        <row r="376">
          <cell r="A376" t="str">
            <v>9.1977</v>
          </cell>
          <cell r="B376">
            <v>7.0312324943924157E-2</v>
          </cell>
          <cell r="C376">
            <v>6.5993763819863785E-2</v>
          </cell>
        </row>
        <row r="377">
          <cell r="A377" t="str">
            <v>10.1977</v>
          </cell>
          <cell r="B377">
            <v>7.3995901654735324E-2</v>
          </cell>
          <cell r="C377">
            <v>6.9068211102315383E-2</v>
          </cell>
        </row>
        <row r="378">
          <cell r="A378" t="str">
            <v>11.1977</v>
          </cell>
          <cell r="B378">
            <v>7.2614719387660093E-2</v>
          </cell>
          <cell r="C378">
            <v>6.793607503604128E-2</v>
          </cell>
        </row>
        <row r="379">
          <cell r="A379" t="str">
            <v>12.1977</v>
          </cell>
          <cell r="B379">
            <v>7.4187960384043627E-2</v>
          </cell>
          <cell r="C379">
            <v>6.9348102728094413E-2</v>
          </cell>
        </row>
        <row r="380">
          <cell r="A380" t="str">
            <v>1.1978</v>
          </cell>
          <cell r="B380">
            <v>7.5798255108582235E-2</v>
          </cell>
          <cell r="C380">
            <v>7.0716581545389887E-2</v>
          </cell>
        </row>
        <row r="381">
          <cell r="A381" t="str">
            <v>2.1978</v>
          </cell>
          <cell r="B381">
            <v>7.7286831013285012E-2</v>
          </cell>
          <cell r="C381">
            <v>7.1975243646348039E-2</v>
          </cell>
        </row>
        <row r="382">
          <cell r="A382" t="str">
            <v>3.1978</v>
          </cell>
          <cell r="B382">
            <v>7.8219395328818594E-2</v>
          </cell>
          <cell r="C382">
            <v>7.2774969484663846E-2</v>
          </cell>
        </row>
        <row r="383">
          <cell r="A383" t="str">
            <v>4.1978</v>
          </cell>
          <cell r="B383">
            <v>7.9111988987736054E-2</v>
          </cell>
          <cell r="C383">
            <v>7.3510560213142326E-2</v>
          </cell>
        </row>
        <row r="384">
          <cell r="A384" t="str">
            <v>5.1978</v>
          </cell>
          <cell r="B384">
            <v>8.110244096292446E-2</v>
          </cell>
          <cell r="C384">
            <v>7.5197534741192604E-2</v>
          </cell>
        </row>
        <row r="385">
          <cell r="A385" t="str">
            <v>6.1978</v>
          </cell>
          <cell r="B385">
            <v>8.3093042210935483E-2</v>
          </cell>
          <cell r="C385">
            <v>7.6833501875557847E-2</v>
          </cell>
        </row>
        <row r="386">
          <cell r="A386" t="str">
            <v>7.1978</v>
          </cell>
          <cell r="B386">
            <v>8.286843132665371E-2</v>
          </cell>
          <cell r="C386">
            <v>7.6618080617694651E-2</v>
          </cell>
        </row>
        <row r="387">
          <cell r="A387" t="str">
            <v>8.1978</v>
          </cell>
          <cell r="B387">
            <v>8.2056316459410528E-2</v>
          </cell>
          <cell r="C387">
            <v>7.5814303925766477E-2</v>
          </cell>
        </row>
        <row r="388">
          <cell r="A388" t="str">
            <v>9.1978</v>
          </cell>
          <cell r="B388">
            <v>8.3011861142069113E-2</v>
          </cell>
          <cell r="C388">
            <v>7.6723591902520497E-2</v>
          </cell>
        </row>
        <row r="389">
          <cell r="A389" t="str">
            <v>10.1978</v>
          </cell>
          <cell r="B389">
            <v>8.8780803513772641E-2</v>
          </cell>
          <cell r="C389">
            <v>8.123748409293885E-2</v>
          </cell>
        </row>
        <row r="390">
          <cell r="A390" t="str">
            <v>11.1978</v>
          </cell>
          <cell r="B390">
            <v>8.6860074612971697E-2</v>
          </cell>
          <cell r="C390">
            <v>7.9720589518656626E-2</v>
          </cell>
        </row>
        <row r="391">
          <cell r="A391" t="str">
            <v>12.1978</v>
          </cell>
          <cell r="B391">
            <v>9.0841083821397647E-2</v>
          </cell>
          <cell r="C391">
            <v>8.290181223033169E-2</v>
          </cell>
        </row>
        <row r="392">
          <cell r="A392" t="str">
            <v>1.1979</v>
          </cell>
          <cell r="B392">
            <v>8.7241859072961128E-2</v>
          </cell>
          <cell r="C392">
            <v>8.010007326721931E-2</v>
          </cell>
        </row>
        <row r="393">
          <cell r="A393" t="str">
            <v>2.1979</v>
          </cell>
          <cell r="B393">
            <v>8.9579079389833505E-2</v>
          </cell>
          <cell r="C393">
            <v>8.2054785639062169E-2</v>
          </cell>
        </row>
        <row r="394">
          <cell r="A394" t="str">
            <v>3.1979</v>
          </cell>
          <cell r="B394">
            <v>8.9416028348127757E-2</v>
          </cell>
          <cell r="C394">
            <v>8.1913022238373004E-2</v>
          </cell>
        </row>
        <row r="395">
          <cell r="A395" t="str">
            <v>4.1979</v>
          </cell>
          <cell r="B395">
            <v>9.1239916960102307E-2</v>
          </cell>
          <cell r="C395">
            <v>8.3499623490883385E-2</v>
          </cell>
        </row>
        <row r="396">
          <cell r="A396" t="str">
            <v>5.1979</v>
          </cell>
          <cell r="B396">
            <v>8.801541717182329E-2</v>
          </cell>
          <cell r="C396">
            <v>8.0847572990655078E-2</v>
          </cell>
        </row>
        <row r="397">
          <cell r="A397" t="str">
            <v>6.1979</v>
          </cell>
          <cell r="B397">
            <v>8.5215051922403473E-2</v>
          </cell>
          <cell r="C397">
            <v>7.8557019228592317E-2</v>
          </cell>
        </row>
        <row r="398">
          <cell r="A398" t="str">
            <v>7.1979</v>
          </cell>
          <cell r="B398">
            <v>8.7674675574333935E-2</v>
          </cell>
          <cell r="C398">
            <v>8.0581702801714616E-2</v>
          </cell>
        </row>
        <row r="399">
          <cell r="A399" t="str">
            <v>8.1979</v>
          </cell>
          <cell r="B399">
            <v>9.1509990778586237E-2</v>
          </cell>
          <cell r="C399">
            <v>8.3575302971134691E-2</v>
          </cell>
        </row>
        <row r="400">
          <cell r="A400" t="str">
            <v>9.1979</v>
          </cell>
          <cell r="B400">
            <v>9.2820547724710864E-2</v>
          </cell>
          <cell r="C400">
            <v>8.4680752130802575E-2</v>
          </cell>
        </row>
        <row r="401">
          <cell r="A401" t="str">
            <v>10.1979</v>
          </cell>
          <cell r="B401">
            <v>0.10884101246913387</v>
          </cell>
          <cell r="C401">
            <v>9.737774847640876E-2</v>
          </cell>
        </row>
        <row r="402">
          <cell r="A402" t="str">
            <v>11.1979</v>
          </cell>
          <cell r="B402">
            <v>0.1026786125068867</v>
          </cell>
          <cell r="C402">
            <v>9.2845213495447415E-2</v>
          </cell>
        </row>
        <row r="403">
          <cell r="A403" t="str">
            <v>12.1979</v>
          </cell>
          <cell r="B403">
            <v>0.1011849370114377</v>
          </cell>
          <cell r="C403">
            <v>9.1597418487562213E-2</v>
          </cell>
        </row>
        <row r="404">
          <cell r="A404" t="str">
            <v>1.1980</v>
          </cell>
          <cell r="B404">
            <v>0.10780392394919347</v>
          </cell>
          <cell r="C404">
            <v>9.7293491196986243E-2</v>
          </cell>
        </row>
        <row r="405">
          <cell r="A405" t="str">
            <v>2.1980</v>
          </cell>
          <cell r="B405">
            <v>0.13118359281254</v>
          </cell>
          <cell r="C405">
            <v>0.11475493391518163</v>
          </cell>
        </row>
        <row r="406">
          <cell r="A406" t="str">
            <v>3.1980</v>
          </cell>
          <cell r="B406">
            <v>0.12628150774844424</v>
          </cell>
          <cell r="C406">
            <v>0.11105426030057576</v>
          </cell>
        </row>
        <row r="407">
          <cell r="A407" t="str">
            <v>4.1980</v>
          </cell>
          <cell r="B407">
            <v>0.10448215449843354</v>
          </cell>
          <cell r="C407">
            <v>9.481699106262928E-2</v>
          </cell>
        </row>
        <row r="408">
          <cell r="A408" t="str">
            <v>5.1980</v>
          </cell>
          <cell r="B408">
            <v>9.6096837444265434E-2</v>
          </cell>
          <cell r="C408">
            <v>8.8400077708963284E-2</v>
          </cell>
        </row>
        <row r="409">
          <cell r="A409" t="str">
            <v>6.1980</v>
          </cell>
          <cell r="B409">
            <v>9.3553003351728378E-2</v>
          </cell>
          <cell r="C409">
            <v>8.62700189066231E-2</v>
          </cell>
        </row>
        <row r="410">
          <cell r="A410" t="str">
            <v>7.1980</v>
          </cell>
          <cell r="B410">
            <v>0.10041051779833285</v>
          </cell>
          <cell r="C410">
            <v>9.1984390619434142E-2</v>
          </cell>
        </row>
        <row r="411">
          <cell r="A411" t="str">
            <v>8.1980</v>
          </cell>
          <cell r="B411">
            <v>0.11444939190891655</v>
          </cell>
          <cell r="C411">
            <v>0.10253562601602609</v>
          </cell>
        </row>
        <row r="412">
          <cell r="A412" t="str">
            <v>9.1980</v>
          </cell>
          <cell r="B412">
            <v>0.11616860898781424</v>
          </cell>
          <cell r="C412">
            <v>0.10396095729619176</v>
          </cell>
        </row>
        <row r="413">
          <cell r="A413" t="str">
            <v>10.1980</v>
          </cell>
          <cell r="B413">
            <v>0.12417391848086269</v>
          </cell>
          <cell r="C413">
            <v>0.10993302007801067</v>
          </cell>
        </row>
        <row r="414">
          <cell r="A414" t="str">
            <v>11.1980</v>
          </cell>
          <cell r="B414">
            <v>0.12808975620699897</v>
          </cell>
          <cell r="C414">
            <v>0.11252907289404834</v>
          </cell>
        </row>
        <row r="415">
          <cell r="A415" t="str">
            <v>12.1980</v>
          </cell>
          <cell r="B415">
            <v>0.1216485856363296</v>
          </cell>
          <cell r="C415">
            <v>0.10811336781124925</v>
          </cell>
        </row>
        <row r="416">
          <cell r="A416" t="str">
            <v>1.1981</v>
          </cell>
          <cell r="B416">
            <v>0.12428190184376464</v>
          </cell>
          <cell r="C416">
            <v>0.11018333513652347</v>
          </cell>
        </row>
        <row r="417">
          <cell r="A417" t="str">
            <v>2.1981</v>
          </cell>
          <cell r="B417">
            <v>0.13342197881010173</v>
          </cell>
          <cell r="C417">
            <v>0.1171940011377041</v>
          </cell>
        </row>
        <row r="418">
          <cell r="A418" t="str">
            <v>3.1981</v>
          </cell>
          <cell r="B418">
            <v>0.12989146069953064</v>
          </cell>
          <cell r="C418">
            <v>0.11470095030612219</v>
          </cell>
        </row>
        <row r="419">
          <cell r="A419" t="str">
            <v>4.1981</v>
          </cell>
          <cell r="B419">
            <v>0.13970105226697799</v>
          </cell>
          <cell r="C419">
            <v>0.12198568586169975</v>
          </cell>
        </row>
        <row r="420">
          <cell r="A420" t="str">
            <v>5.1981</v>
          </cell>
          <cell r="B420">
            <v>0.13449235402182297</v>
          </cell>
          <cell r="C420">
            <v>0.11774514769489097</v>
          </cell>
        </row>
        <row r="421">
          <cell r="A421" t="str">
            <v>6.1981</v>
          </cell>
          <cell r="B421">
            <v>0.13809650572595725</v>
          </cell>
          <cell r="C421">
            <v>0.12069894263522815</v>
          </cell>
        </row>
        <row r="422">
          <cell r="A422" t="str">
            <v>7.1981</v>
          </cell>
          <cell r="B422">
            <v>0.147842294904453</v>
          </cell>
          <cell r="C422">
            <v>0.12768499232676683</v>
          </cell>
        </row>
        <row r="423">
          <cell r="A423" t="str">
            <v>8.1981</v>
          </cell>
          <cell r="B423">
            <v>0.15556594368199445</v>
          </cell>
          <cell r="C423">
            <v>0.13349717508403688</v>
          </cell>
        </row>
        <row r="424">
          <cell r="A424" t="str">
            <v>9.1981</v>
          </cell>
          <cell r="B424">
            <v>0.15756010498471917</v>
          </cell>
          <cell r="C424">
            <v>0.13531083887577045</v>
          </cell>
        </row>
        <row r="425">
          <cell r="A425" t="str">
            <v>10.1981</v>
          </cell>
          <cell r="B425">
            <v>0.14353785518848106</v>
          </cell>
          <cell r="C425">
            <v>0.12543222795194903</v>
          </cell>
        </row>
        <row r="426">
          <cell r="A426" t="str">
            <v>11.1981</v>
          </cell>
          <cell r="B426">
            <v>0.1263962121593929</v>
          </cell>
          <cell r="C426">
            <v>0.11265941683374259</v>
          </cell>
        </row>
        <row r="427">
          <cell r="A427" t="str">
            <v>12.1981</v>
          </cell>
          <cell r="B427">
            <v>0.13724598039476404</v>
          </cell>
          <cell r="C427">
            <v>0.12070341798196582</v>
          </cell>
        </row>
        <row r="428">
          <cell r="A428" t="str">
            <v>1.1982</v>
          </cell>
          <cell r="B428">
            <v>0.13898548681977199</v>
          </cell>
          <cell r="C428">
            <v>0.12192904393143336</v>
          </cell>
        </row>
        <row r="429">
          <cell r="A429" t="str">
            <v>2.1982</v>
          </cell>
          <cell r="B429">
            <v>0.13735732425250247</v>
          </cell>
          <cell r="C429">
            <v>0.12056969985935131</v>
          </cell>
        </row>
        <row r="430">
          <cell r="A430" t="str">
            <v>3.1982</v>
          </cell>
          <cell r="B430">
            <v>0.13961662505942607</v>
          </cell>
          <cell r="C430">
            <v>0.12215187657724726</v>
          </cell>
        </row>
        <row r="431">
          <cell r="A431" t="str">
            <v>4.1982</v>
          </cell>
          <cell r="B431">
            <v>0.13481677275784143</v>
          </cell>
          <cell r="C431">
            <v>0.11859220025930531</v>
          </cell>
        </row>
        <row r="432">
          <cell r="A432" t="str">
            <v>5.1982</v>
          </cell>
          <cell r="B432">
            <v>0.13445762187597182</v>
          </cell>
          <cell r="C432">
            <v>0.11845162872722849</v>
          </cell>
        </row>
        <row r="433">
          <cell r="A433" t="str">
            <v>6.1982</v>
          </cell>
          <cell r="B433">
            <v>0.14289509501474243</v>
          </cell>
          <cell r="C433">
            <v>0.12454117105590121</v>
          </cell>
        </row>
        <row r="434">
          <cell r="A434" t="str">
            <v>7.1982</v>
          </cell>
          <cell r="B434">
            <v>0.13303371371392894</v>
          </cell>
          <cell r="C434">
            <v>0.11747066812063624</v>
          </cell>
        </row>
        <row r="435">
          <cell r="A435" t="str">
            <v>8.1982</v>
          </cell>
          <cell r="B435">
            <v>0.12381516125290705</v>
          </cell>
          <cell r="C435">
            <v>0.11039406984952616</v>
          </cell>
        </row>
        <row r="436">
          <cell r="A436" t="str">
            <v>9.1982</v>
          </cell>
          <cell r="B436">
            <v>0.11588140569319663</v>
          </cell>
          <cell r="C436">
            <v>0.10411315013831519</v>
          </cell>
        </row>
        <row r="437">
          <cell r="A437" t="str">
            <v>10.1982</v>
          </cell>
          <cell r="B437">
            <v>0.10664128696629287</v>
          </cell>
          <cell r="C437">
            <v>9.6735411082126022E-2</v>
          </cell>
        </row>
        <row r="438">
          <cell r="A438" t="str">
            <v>11.1982</v>
          </cell>
          <cell r="B438">
            <v>0.10605481517743835</v>
          </cell>
          <cell r="C438">
            <v>9.6439373400544981E-2</v>
          </cell>
        </row>
        <row r="439">
          <cell r="A439" t="str">
            <v>12.1982</v>
          </cell>
          <cell r="B439">
            <v>0.10225580630577601</v>
          </cell>
          <cell r="C439">
            <v>9.33247527528836E-2</v>
          </cell>
        </row>
        <row r="440">
          <cell r="A440" t="str">
            <v>1.1983</v>
          </cell>
          <cell r="B440">
            <v>0.10431776987086272</v>
          </cell>
          <cell r="C440">
            <v>9.5264695153812015E-2</v>
          </cell>
        </row>
        <row r="441">
          <cell r="A441" t="str">
            <v>2.1983</v>
          </cell>
          <cell r="B441">
            <v>9.7935066486959252E-2</v>
          </cell>
          <cell r="C441">
            <v>8.9846203789680223E-2</v>
          </cell>
        </row>
        <row r="442">
          <cell r="A442" t="str">
            <v>3.1983</v>
          </cell>
          <cell r="B442">
            <v>0.10237022845596987</v>
          </cell>
          <cell r="C442">
            <v>9.3384680537414264E-2</v>
          </cell>
        </row>
        <row r="443">
          <cell r="A443" t="str">
            <v>4.1983</v>
          </cell>
          <cell r="B443">
            <v>9.8847753907951308E-2</v>
          </cell>
          <cell r="C443">
            <v>9.0531314730908502E-2</v>
          </cell>
        </row>
        <row r="444">
          <cell r="A444" t="str">
            <v>5.1983</v>
          </cell>
          <cell r="B444">
            <v>0.10435974941165958</v>
          </cell>
          <cell r="C444">
            <v>9.5061929674895601E-2</v>
          </cell>
        </row>
        <row r="445">
          <cell r="A445" t="str">
            <v>6.1983</v>
          </cell>
          <cell r="B445">
            <v>0.10615348013777941</v>
          </cell>
          <cell r="C445">
            <v>9.6475160050183348E-2</v>
          </cell>
        </row>
        <row r="446">
          <cell r="A446" t="str">
            <v>7.1983</v>
          </cell>
          <cell r="B446">
            <v>0.11439084551311109</v>
          </cell>
          <cell r="C446">
            <v>0.10314931031051845</v>
          </cell>
        </row>
        <row r="447">
          <cell r="A447" t="str">
            <v>8.1983</v>
          </cell>
          <cell r="B447">
            <v>0.11593501550560317</v>
          </cell>
          <cell r="C447">
            <v>0.1042658494170092</v>
          </cell>
        </row>
        <row r="448">
          <cell r="A448" t="str">
            <v>9.1983</v>
          </cell>
          <cell r="B448">
            <v>0.11018223465109167</v>
          </cell>
          <cell r="C448">
            <v>9.9810796813453728E-2</v>
          </cell>
        </row>
        <row r="449">
          <cell r="A449" t="str">
            <v>10.1983</v>
          </cell>
          <cell r="B449">
            <v>0.11166443507115929</v>
          </cell>
          <cell r="C449">
            <v>0.10113715343708073</v>
          </cell>
        </row>
        <row r="450">
          <cell r="A450" t="str">
            <v>11.1983</v>
          </cell>
          <cell r="B450">
            <v>0.11143399176847631</v>
          </cell>
          <cell r="C450">
            <v>0.10080174666274103</v>
          </cell>
        </row>
        <row r="451">
          <cell r="A451" t="str">
            <v>12.1983</v>
          </cell>
          <cell r="B451">
            <v>0.11311535345429861</v>
          </cell>
          <cell r="C451">
            <v>0.10218325444451494</v>
          </cell>
        </row>
        <row r="452">
          <cell r="A452" t="str">
            <v>1.1984</v>
          </cell>
          <cell r="B452">
            <v>0.11082754274318284</v>
          </cell>
          <cell r="C452">
            <v>0.10042305749773968</v>
          </cell>
        </row>
        <row r="453">
          <cell r="A453" t="str">
            <v>2.1984</v>
          </cell>
          <cell r="B453">
            <v>0.1148189336277407</v>
          </cell>
          <cell r="C453">
            <v>0.10359170419171809</v>
          </cell>
        </row>
        <row r="454">
          <cell r="A454" t="str">
            <v>3.1984</v>
          </cell>
          <cell r="B454">
            <v>0.11950885258259614</v>
          </cell>
          <cell r="C454">
            <v>0.10731961760153744</v>
          </cell>
        </row>
        <row r="455">
          <cell r="A455" t="str">
            <v>4.1984</v>
          </cell>
          <cell r="B455">
            <v>0.12217744539109487</v>
          </cell>
          <cell r="C455">
            <v>0.10946925164732342</v>
          </cell>
        </row>
        <row r="456">
          <cell r="A456" t="str">
            <v>5.1984</v>
          </cell>
          <cell r="B456">
            <v>0.13333589950949218</v>
          </cell>
          <cell r="C456">
            <v>0.11811234049660997</v>
          </cell>
        </row>
        <row r="457">
          <cell r="A457" t="str">
            <v>6.1984</v>
          </cell>
          <cell r="B457">
            <v>0.13299658887866508</v>
          </cell>
          <cell r="C457">
            <v>0.11776350412193616</v>
          </cell>
        </row>
        <row r="458">
          <cell r="A458" t="str">
            <v>7.1984</v>
          </cell>
          <cell r="B458">
            <v>0.12465771531550496</v>
          </cell>
          <cell r="C458">
            <v>0.11111873716153589</v>
          </cell>
        </row>
        <row r="459">
          <cell r="A459" t="str">
            <v>8.1984</v>
          </cell>
          <cell r="B459">
            <v>0.12433424625351934</v>
          </cell>
          <cell r="C459">
            <v>0.11072469827217815</v>
          </cell>
        </row>
        <row r="460">
          <cell r="A460" t="str">
            <v>9.1984</v>
          </cell>
          <cell r="B460">
            <v>0.12138875502726888</v>
          </cell>
          <cell r="C460">
            <v>0.10839379183122831</v>
          </cell>
        </row>
        <row r="461">
          <cell r="A461" t="str">
            <v>10.1984</v>
          </cell>
          <cell r="B461">
            <v>0.11312562733361625</v>
          </cell>
          <cell r="C461">
            <v>0.10200692987833812</v>
          </cell>
        </row>
        <row r="462">
          <cell r="A462" t="str">
            <v>11.1984</v>
          </cell>
          <cell r="B462">
            <v>0.1109544792164867</v>
          </cell>
          <cell r="C462">
            <v>0.1004572484518939</v>
          </cell>
        </row>
        <row r="463">
          <cell r="A463" t="str">
            <v>12.1984</v>
          </cell>
          <cell r="B463">
            <v>0.10945202968163879</v>
          </cell>
          <cell r="C463">
            <v>9.9465334880718279E-2</v>
          </cell>
        </row>
        <row r="464">
          <cell r="A464" t="str">
            <v>1.1985</v>
          </cell>
          <cell r="B464">
            <v>0.10644182714007498</v>
          </cell>
          <cell r="C464">
            <v>9.6921074982345271E-2</v>
          </cell>
        </row>
        <row r="465">
          <cell r="A465" t="str">
            <v>2.1985</v>
          </cell>
          <cell r="B465">
            <v>0.11351961813362708</v>
          </cell>
          <cell r="C465">
            <v>0.10271470623613597</v>
          </cell>
        </row>
        <row r="466">
          <cell r="A466" t="str">
            <v>3.1985</v>
          </cell>
          <cell r="B466">
            <v>0.11136025675131535</v>
          </cell>
          <cell r="C466">
            <v>0.10091390588618114</v>
          </cell>
        </row>
        <row r="467">
          <cell r="A467" t="str">
            <v>4.1985</v>
          </cell>
          <cell r="B467">
            <v>0.10748042310081773</v>
          </cell>
          <cell r="C467">
            <v>9.7959916559160476E-2</v>
          </cell>
        </row>
        <row r="468">
          <cell r="A468" t="str">
            <v>5.1985</v>
          </cell>
          <cell r="B468">
            <v>9.732905643906456E-2</v>
          </cell>
          <cell r="C468">
            <v>8.9505624839734316E-2</v>
          </cell>
        </row>
        <row r="469">
          <cell r="A469" t="str">
            <v>6.1985</v>
          </cell>
          <cell r="B469">
            <v>9.7021212995748701E-2</v>
          </cell>
          <cell r="C469">
            <v>8.9288492816456927E-2</v>
          </cell>
        </row>
        <row r="470">
          <cell r="A470" t="str">
            <v>7.1985</v>
          </cell>
          <cell r="B470">
            <v>0.10022343294484608</v>
          </cell>
          <cell r="C470">
            <v>9.1975002229356104E-2</v>
          </cell>
        </row>
        <row r="471">
          <cell r="A471" t="str">
            <v>8.1985</v>
          </cell>
          <cell r="B471">
            <v>9.6820353246014249E-2</v>
          </cell>
          <cell r="C471">
            <v>8.9106016763366575E-2</v>
          </cell>
        </row>
        <row r="472">
          <cell r="A472" t="str">
            <v>9.1985</v>
          </cell>
          <cell r="B472">
            <v>9.7159011809487369E-2</v>
          </cell>
          <cell r="C472">
            <v>8.9506379080822165E-2</v>
          </cell>
        </row>
        <row r="473">
          <cell r="A473" t="str">
            <v>10.1985</v>
          </cell>
          <cell r="B473">
            <v>9.4115371506403644E-2</v>
          </cell>
          <cell r="C473">
            <v>8.6868744735172226E-2</v>
          </cell>
        </row>
        <row r="474">
          <cell r="A474" t="str">
            <v>11.1985</v>
          </cell>
          <cell r="B474">
            <v>9.13016056531753E-2</v>
          </cell>
          <cell r="C474">
            <v>8.4315228423395172E-2</v>
          </cell>
        </row>
        <row r="475">
          <cell r="A475" t="str">
            <v>12.1985</v>
          </cell>
          <cell r="B475">
            <v>8.4915165927215805E-2</v>
          </cell>
          <cell r="C475">
            <v>7.887222026080451E-2</v>
          </cell>
        </row>
        <row r="476">
          <cell r="A476" t="str">
            <v>1.1986</v>
          </cell>
          <cell r="B476">
            <v>8.5785325779464044E-2</v>
          </cell>
          <cell r="C476">
            <v>7.9784384531202068E-2</v>
          </cell>
        </row>
        <row r="477">
          <cell r="A477" t="str">
            <v>2.1986</v>
          </cell>
          <cell r="B477">
            <v>7.9782506943548534E-2</v>
          </cell>
          <cell r="C477">
            <v>7.4110595314427499E-2</v>
          </cell>
        </row>
        <row r="478">
          <cell r="A478" t="str">
            <v>3.1986</v>
          </cell>
          <cell r="B478">
            <v>7.2843288300837389E-2</v>
          </cell>
          <cell r="C478">
            <v>6.8106779284080612E-2</v>
          </cell>
        </row>
        <row r="479">
          <cell r="A479" t="str">
            <v>4.1986</v>
          </cell>
          <cell r="B479">
            <v>7.2712417427168149E-2</v>
          </cell>
          <cell r="C479">
            <v>6.8048555224806795E-2</v>
          </cell>
        </row>
        <row r="480">
          <cell r="A480" t="str">
            <v>5.1986</v>
          </cell>
          <cell r="B480">
            <v>7.9663158196580749E-2</v>
          </cell>
          <cell r="C480">
            <v>7.4119722565534368E-2</v>
          </cell>
        </row>
        <row r="481">
          <cell r="A481" t="str">
            <v>6.1986</v>
          </cell>
          <cell r="B481">
            <v>7.3273094248235415E-2</v>
          </cell>
          <cell r="C481">
            <v>6.8512437753739511E-2</v>
          </cell>
        </row>
        <row r="482">
          <cell r="A482" t="str">
            <v>7.1986</v>
          </cell>
          <cell r="B482">
            <v>7.1671592289242997E-2</v>
          </cell>
          <cell r="C482">
            <v>6.7376085094197902E-2</v>
          </cell>
        </row>
        <row r="483">
          <cell r="A483" t="str">
            <v>8.1986</v>
          </cell>
          <cell r="B483">
            <v>6.5945505904178955E-2</v>
          </cell>
          <cell r="C483">
            <v>6.2555700991073229E-2</v>
          </cell>
        </row>
        <row r="484">
          <cell r="A484" t="str">
            <v>9.1986</v>
          </cell>
          <cell r="B484">
            <v>7.1683169125953794E-2</v>
          </cell>
          <cell r="C484">
            <v>6.7598620979692561E-2</v>
          </cell>
        </row>
        <row r="485">
          <cell r="A485" t="str">
            <v>10.1986</v>
          </cell>
          <cell r="B485">
            <v>6.8670874409048996E-2</v>
          </cell>
          <cell r="C485">
            <v>6.499226647080944E-2</v>
          </cell>
        </row>
        <row r="486">
          <cell r="A486" t="str">
            <v>11.1986</v>
          </cell>
          <cell r="B486">
            <v>6.6892917880300926E-2</v>
          </cell>
          <cell r="C486">
            <v>6.3263713708615235E-2</v>
          </cell>
        </row>
        <row r="487">
          <cell r="A487" t="str">
            <v>12.1986</v>
          </cell>
          <cell r="B487">
            <v>6.7761610333714653E-2</v>
          </cell>
          <cell r="C487">
            <v>6.3953676724183089E-2</v>
          </cell>
        </row>
        <row r="488">
          <cell r="A488" t="str">
            <v>1.1987</v>
          </cell>
          <cell r="B488">
            <v>6.7334745683266431E-2</v>
          </cell>
          <cell r="C488">
            <v>6.3658887532803785E-2</v>
          </cell>
        </row>
        <row r="489">
          <cell r="A489" t="str">
            <v>2.1987</v>
          </cell>
          <cell r="B489">
            <v>6.71857646879781E-2</v>
          </cell>
          <cell r="C489">
            <v>6.3467121834445056E-2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4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40" sqref="N4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0BE1-D57A-4B7F-94DE-EC7F94B270E9}">
  <sheetPr codeName="Sheet2"/>
  <dimension ref="A1:R508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O29" sqref="O29"/>
    </sheetView>
  </sheetViews>
  <sheetFormatPr defaultRowHeight="13.2" x14ac:dyDescent="0.25"/>
  <cols>
    <col min="1" max="16384" width="8.88671875" style="3"/>
  </cols>
  <sheetData>
    <row r="1" spans="1:18" ht="45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8" x14ac:dyDescent="0.25">
      <c r="A2" s="4"/>
    </row>
    <row r="3" spans="1:18" ht="13.5" customHeight="1" x14ac:dyDescent="0.25">
      <c r="A3" s="4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</row>
    <row r="4" spans="1:18" x14ac:dyDescent="0.25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  <c r="I4" s="4" t="s">
        <v>9</v>
      </c>
      <c r="J4" s="4" t="s">
        <v>10</v>
      </c>
      <c r="K4" s="4" t="s">
        <v>11</v>
      </c>
      <c r="L4" s="4" t="s">
        <v>12</v>
      </c>
      <c r="M4" s="4" t="s">
        <v>13</v>
      </c>
      <c r="N4" s="4" t="s">
        <v>14</v>
      </c>
      <c r="O4" s="4" t="s">
        <v>15</v>
      </c>
      <c r="P4" s="4" t="s">
        <v>16</v>
      </c>
      <c r="Q4" s="4" t="s">
        <v>17</v>
      </c>
      <c r="R4" s="4" t="s">
        <v>18</v>
      </c>
    </row>
    <row r="5" spans="1:18" x14ac:dyDescent="0.25">
      <c r="A5" s="4" t="s">
        <v>19</v>
      </c>
      <c r="B5" s="3">
        <v>0.18</v>
      </c>
      <c r="C5" s="3">
        <v>0.32</v>
      </c>
      <c r="D5" s="3">
        <v>0.42</v>
      </c>
      <c r="E5" s="3">
        <v>0.48</v>
      </c>
      <c r="F5" s="3">
        <v>0.52</v>
      </c>
      <c r="G5" s="3">
        <v>0.55000000000000004</v>
      </c>
      <c r="H5" s="3">
        <v>0.57999999999999996</v>
      </c>
      <c r="I5" s="3">
        <v>0.65</v>
      </c>
      <c r="J5" s="3">
        <v>0.72</v>
      </c>
      <c r="K5" s="3">
        <v>0.95</v>
      </c>
      <c r="L5" s="3">
        <v>1.1499999999999999</v>
      </c>
      <c r="M5" s="3">
        <v>1.3</v>
      </c>
      <c r="N5" s="3">
        <v>1.41</v>
      </c>
      <c r="O5" s="3">
        <v>1.82</v>
      </c>
      <c r="P5" s="3">
        <v>2.16</v>
      </c>
      <c r="Q5" s="3">
        <v>2.3199999999999998</v>
      </c>
    </row>
    <row r="6" spans="1:18" x14ac:dyDescent="0.25">
      <c r="A6" s="4" t="s">
        <v>20</v>
      </c>
      <c r="B6" s="3">
        <v>0.16</v>
      </c>
      <c r="C6" s="3">
        <v>0.32</v>
      </c>
      <c r="D6" s="3">
        <v>0.43</v>
      </c>
      <c r="E6" s="3">
        <v>0.49</v>
      </c>
      <c r="F6" s="3">
        <v>0.52</v>
      </c>
      <c r="G6" s="3">
        <v>0.56000000000000005</v>
      </c>
      <c r="H6" s="3">
        <v>0.57999999999999996</v>
      </c>
      <c r="I6" s="3">
        <v>0.65</v>
      </c>
      <c r="J6" s="3">
        <v>0.72</v>
      </c>
      <c r="K6" s="3">
        <v>0.94</v>
      </c>
      <c r="L6" s="3">
        <v>1.1200000000000001</v>
      </c>
      <c r="M6" s="3">
        <v>1.27</v>
      </c>
      <c r="N6" s="3">
        <v>1.39</v>
      </c>
      <c r="O6" s="3">
        <v>1.82</v>
      </c>
      <c r="P6" s="3">
        <v>2.16</v>
      </c>
      <c r="Q6" s="3">
        <v>2.33</v>
      </c>
    </row>
    <row r="7" spans="1:18" x14ac:dyDescent="0.25">
      <c r="A7" s="4" t="s">
        <v>21</v>
      </c>
      <c r="B7" s="3">
        <v>0.19</v>
      </c>
      <c r="C7" s="3">
        <v>0.33</v>
      </c>
      <c r="D7" s="3">
        <v>0.42</v>
      </c>
      <c r="E7" s="3">
        <v>0.47</v>
      </c>
      <c r="F7" s="3">
        <v>0.51</v>
      </c>
      <c r="G7" s="3">
        <v>0.54</v>
      </c>
      <c r="H7" s="3">
        <v>0.56999999999999995</v>
      </c>
      <c r="I7" s="3">
        <v>0.65</v>
      </c>
      <c r="J7" s="3">
        <v>0.71</v>
      </c>
      <c r="K7" s="3">
        <v>0.95</v>
      </c>
      <c r="L7" s="3">
        <v>1.1399999999999999</v>
      </c>
      <c r="M7" s="3">
        <v>1.29</v>
      </c>
      <c r="N7" s="3">
        <v>1.41</v>
      </c>
      <c r="O7" s="3">
        <v>1.82</v>
      </c>
      <c r="P7" s="3">
        <v>2.14</v>
      </c>
      <c r="Q7" s="3">
        <v>2.3199999999999998</v>
      </c>
    </row>
    <row r="8" spans="1:18" x14ac:dyDescent="0.25">
      <c r="A8" s="4" t="s">
        <v>22</v>
      </c>
      <c r="B8" s="3">
        <v>0.13</v>
      </c>
      <c r="C8" s="3">
        <v>0.32</v>
      </c>
      <c r="D8" s="3">
        <v>0.44</v>
      </c>
      <c r="E8" s="3">
        <v>0.51</v>
      </c>
      <c r="F8" s="3">
        <v>0.55000000000000004</v>
      </c>
      <c r="G8" s="3">
        <v>0.57999999999999996</v>
      </c>
      <c r="H8" s="3">
        <v>0.61</v>
      </c>
      <c r="I8" s="3">
        <v>0.68</v>
      </c>
      <c r="J8" s="3">
        <v>0.74</v>
      </c>
      <c r="K8" s="3">
        <v>0.94</v>
      </c>
      <c r="L8" s="3">
        <v>1.1000000000000001</v>
      </c>
      <c r="M8" s="3">
        <v>1.25</v>
      </c>
      <c r="N8" s="3">
        <v>1.36</v>
      </c>
      <c r="O8" s="3">
        <v>1.8</v>
      </c>
      <c r="P8" s="3">
        <v>2.13</v>
      </c>
      <c r="Q8" s="3">
        <v>2.31</v>
      </c>
    </row>
    <row r="9" spans="1:18" x14ac:dyDescent="0.25">
      <c r="A9" s="4" t="s">
        <v>23</v>
      </c>
      <c r="B9" s="3">
        <v>0.08</v>
      </c>
      <c r="C9" s="3">
        <v>0.3</v>
      </c>
      <c r="D9" s="3">
        <v>0.44</v>
      </c>
      <c r="E9" s="3">
        <v>0.52</v>
      </c>
      <c r="F9" s="3">
        <v>0.56999999999999995</v>
      </c>
      <c r="G9" s="3">
        <v>0.61</v>
      </c>
      <c r="H9" s="3">
        <v>0.64</v>
      </c>
      <c r="I9" s="3">
        <v>0.71</v>
      </c>
      <c r="J9" s="3">
        <v>0.78</v>
      </c>
      <c r="K9" s="3">
        <v>1</v>
      </c>
      <c r="L9" s="3">
        <v>1.17</v>
      </c>
      <c r="M9" s="3">
        <v>1.31</v>
      </c>
      <c r="N9" s="3">
        <v>1.42</v>
      </c>
      <c r="O9" s="3">
        <v>1.81</v>
      </c>
      <c r="P9" s="3">
        <v>2.14</v>
      </c>
      <c r="Q9" s="3">
        <v>2.3199999999999998</v>
      </c>
    </row>
    <row r="10" spans="1:18" x14ac:dyDescent="0.25">
      <c r="A10" s="4" t="s">
        <v>24</v>
      </c>
      <c r="B10" s="3">
        <v>0</v>
      </c>
      <c r="C10" s="3">
        <v>0.28999999999999998</v>
      </c>
      <c r="D10" s="3">
        <v>0.47</v>
      </c>
      <c r="E10" s="3">
        <v>0.56999999999999995</v>
      </c>
      <c r="F10" s="3">
        <v>0.63</v>
      </c>
      <c r="G10" s="3">
        <v>0.67</v>
      </c>
      <c r="H10" s="3">
        <v>0.7</v>
      </c>
      <c r="I10" s="3">
        <v>0.77</v>
      </c>
      <c r="J10" s="3">
        <v>0.83</v>
      </c>
      <c r="K10" s="3">
        <v>1.02</v>
      </c>
      <c r="L10" s="3">
        <v>1.17</v>
      </c>
      <c r="M10" s="3">
        <v>1.3</v>
      </c>
      <c r="N10" s="3">
        <v>1.4</v>
      </c>
      <c r="O10" s="3">
        <v>1.81</v>
      </c>
      <c r="P10" s="3">
        <v>2.14</v>
      </c>
      <c r="Q10" s="3">
        <v>2.31</v>
      </c>
    </row>
    <row r="11" spans="1:18" x14ac:dyDescent="0.25">
      <c r="A11" s="4" t="s">
        <v>25</v>
      </c>
      <c r="B11" s="3">
        <v>0.08</v>
      </c>
      <c r="C11" s="3">
        <v>0.33</v>
      </c>
      <c r="D11" s="3">
        <v>0.49</v>
      </c>
      <c r="E11" s="3">
        <v>0.56999999999999995</v>
      </c>
      <c r="F11" s="3">
        <v>0.62</v>
      </c>
      <c r="G11" s="3">
        <v>0.65</v>
      </c>
      <c r="H11" s="3">
        <v>0.68</v>
      </c>
      <c r="I11" s="3">
        <v>0.76</v>
      </c>
      <c r="J11" s="3">
        <v>0.82</v>
      </c>
      <c r="K11" s="3">
        <v>1.02</v>
      </c>
      <c r="L11" s="3">
        <v>1.19</v>
      </c>
      <c r="M11" s="3">
        <v>1.32</v>
      </c>
      <c r="N11" s="3">
        <v>1.43</v>
      </c>
      <c r="O11" s="3">
        <v>1.85</v>
      </c>
      <c r="P11" s="3">
        <v>2.19</v>
      </c>
      <c r="Q11" s="3">
        <v>2.34</v>
      </c>
    </row>
    <row r="12" spans="1:18" x14ac:dyDescent="0.25">
      <c r="A12" s="4" t="s">
        <v>26</v>
      </c>
      <c r="B12" s="3">
        <v>0.06</v>
      </c>
      <c r="C12" s="3">
        <v>0.38</v>
      </c>
      <c r="D12" s="3">
        <v>0.57999999999999996</v>
      </c>
      <c r="E12" s="3">
        <v>0.67</v>
      </c>
      <c r="F12" s="3">
        <v>0.73</v>
      </c>
      <c r="G12" s="3">
        <v>0.77</v>
      </c>
      <c r="H12" s="3">
        <v>0.8</v>
      </c>
      <c r="I12" s="3">
        <v>0.87</v>
      </c>
      <c r="J12" s="3">
        <v>0.93</v>
      </c>
      <c r="K12" s="3">
        <v>1.1000000000000001</v>
      </c>
      <c r="L12" s="3">
        <v>1.23</v>
      </c>
      <c r="M12" s="3">
        <v>1.34</v>
      </c>
      <c r="N12" s="3">
        <v>1.43</v>
      </c>
      <c r="O12" s="3">
        <v>1.83</v>
      </c>
      <c r="P12" s="3">
        <v>2.21</v>
      </c>
      <c r="Q12" s="3">
        <v>2.33</v>
      </c>
    </row>
    <row r="13" spans="1:18" x14ac:dyDescent="0.25">
      <c r="A13" s="4" t="s">
        <v>27</v>
      </c>
      <c r="B13" s="3">
        <v>0.16</v>
      </c>
      <c r="C13" s="3">
        <v>0.53</v>
      </c>
      <c r="D13" s="3">
        <v>0.75</v>
      </c>
      <c r="E13" s="3">
        <v>0.86</v>
      </c>
      <c r="F13" s="3">
        <v>0.92</v>
      </c>
      <c r="G13" s="3">
        <v>0.95</v>
      </c>
      <c r="H13" s="3">
        <v>0.98</v>
      </c>
      <c r="I13" s="3">
        <v>1.02</v>
      </c>
      <c r="J13" s="3">
        <v>1.05</v>
      </c>
      <c r="K13" s="3">
        <v>1.1200000000000001</v>
      </c>
      <c r="L13" s="3">
        <v>1.19</v>
      </c>
      <c r="M13" s="3">
        <v>1.26</v>
      </c>
      <c r="N13" s="3">
        <v>1.35</v>
      </c>
      <c r="O13" s="3">
        <v>1.81</v>
      </c>
      <c r="P13" s="3">
        <v>2.19</v>
      </c>
      <c r="Q13" s="3">
        <v>2.2999999999999998</v>
      </c>
    </row>
    <row r="14" spans="1:18" x14ac:dyDescent="0.25">
      <c r="A14" s="4" t="s">
        <v>28</v>
      </c>
      <c r="B14" s="3">
        <v>0.52</v>
      </c>
      <c r="C14" s="3">
        <v>0.74</v>
      </c>
      <c r="D14" s="3">
        <v>0.88</v>
      </c>
      <c r="E14" s="3">
        <v>0.95</v>
      </c>
      <c r="F14" s="3">
        <v>0.99</v>
      </c>
      <c r="G14" s="3">
        <v>1.01</v>
      </c>
      <c r="H14" s="3">
        <v>1.02</v>
      </c>
      <c r="I14" s="3">
        <v>1.06</v>
      </c>
      <c r="J14" s="3">
        <v>1.08</v>
      </c>
      <c r="K14" s="3">
        <v>1.1499999999999999</v>
      </c>
      <c r="L14" s="3">
        <v>1.22</v>
      </c>
      <c r="M14" s="3">
        <v>1.31</v>
      </c>
      <c r="N14" s="3">
        <v>1.4</v>
      </c>
      <c r="O14" s="3">
        <v>1.85</v>
      </c>
      <c r="P14" s="3">
        <v>2.21</v>
      </c>
      <c r="Q14" s="3">
        <v>2.3199999999999998</v>
      </c>
    </row>
    <row r="15" spans="1:18" x14ac:dyDescent="0.25">
      <c r="A15" s="4" t="s">
        <v>29</v>
      </c>
      <c r="B15" s="3">
        <v>0.45</v>
      </c>
      <c r="C15" s="3">
        <v>0.73</v>
      </c>
      <c r="D15" s="3">
        <v>0.91</v>
      </c>
      <c r="E15" s="3">
        <v>1</v>
      </c>
      <c r="F15" s="3">
        <v>1.05</v>
      </c>
      <c r="G15" s="3">
        <v>1.08</v>
      </c>
      <c r="H15" s="3">
        <v>1.1000000000000001</v>
      </c>
      <c r="I15" s="3">
        <v>1.1499999999999999</v>
      </c>
      <c r="J15" s="3">
        <v>1.18</v>
      </c>
      <c r="K15" s="3">
        <v>1.28</v>
      </c>
      <c r="L15" s="3">
        <v>1.37</v>
      </c>
      <c r="M15" s="3">
        <v>1.45</v>
      </c>
      <c r="N15" s="3">
        <v>1.54</v>
      </c>
      <c r="O15" s="3">
        <v>1.95</v>
      </c>
      <c r="P15" s="3">
        <v>2.2999999999999998</v>
      </c>
      <c r="Q15" s="3">
        <v>2.37</v>
      </c>
    </row>
    <row r="16" spans="1:18" x14ac:dyDescent="0.25">
      <c r="A16" s="4" t="s">
        <v>30</v>
      </c>
      <c r="B16" s="3">
        <v>0.6</v>
      </c>
      <c r="C16" s="3">
        <v>0.81</v>
      </c>
      <c r="D16" s="3">
        <v>0.95</v>
      </c>
      <c r="E16" s="3">
        <v>1.02</v>
      </c>
      <c r="F16" s="3">
        <v>1.06</v>
      </c>
      <c r="G16" s="3">
        <v>1.0900000000000001</v>
      </c>
      <c r="H16" s="3">
        <v>1.1100000000000001</v>
      </c>
      <c r="I16" s="3">
        <v>1.1599999999999999</v>
      </c>
      <c r="J16" s="3">
        <v>1.2</v>
      </c>
      <c r="K16" s="3">
        <v>1.32</v>
      </c>
      <c r="L16" s="3">
        <v>1.43</v>
      </c>
      <c r="M16" s="3">
        <v>1.53</v>
      </c>
      <c r="N16" s="3">
        <v>1.63</v>
      </c>
      <c r="O16" s="3">
        <v>2.06</v>
      </c>
      <c r="P16" s="3">
        <v>2.36</v>
      </c>
      <c r="Q16" s="3">
        <v>2.4300000000000002</v>
      </c>
    </row>
    <row r="17" spans="1:16" x14ac:dyDescent="0.25">
      <c r="A17" s="4" t="s">
        <v>31</v>
      </c>
      <c r="B17" s="3">
        <v>0.93</v>
      </c>
      <c r="C17" s="3">
        <v>0.9</v>
      </c>
      <c r="D17" s="3">
        <v>0.9</v>
      </c>
      <c r="E17" s="3">
        <v>0.91</v>
      </c>
      <c r="F17" s="3">
        <v>0.93</v>
      </c>
      <c r="G17" s="3">
        <v>0.95</v>
      </c>
      <c r="H17" s="3">
        <v>0.98</v>
      </c>
      <c r="I17" s="3">
        <v>1.04</v>
      </c>
      <c r="J17" s="3">
        <v>1.1100000000000001</v>
      </c>
      <c r="K17" s="3">
        <v>1.34</v>
      </c>
      <c r="L17" s="3">
        <v>1.52</v>
      </c>
      <c r="M17" s="3">
        <v>1.66</v>
      </c>
      <c r="N17" s="3">
        <v>1.78</v>
      </c>
      <c r="O17" s="3">
        <v>2.1800000000000002</v>
      </c>
      <c r="P17" s="3">
        <v>2.41</v>
      </c>
    </row>
    <row r="18" spans="1:16" x14ac:dyDescent="0.25">
      <c r="A18" s="4" t="s">
        <v>32</v>
      </c>
      <c r="B18" s="3">
        <v>1.04</v>
      </c>
      <c r="C18" s="3">
        <v>0.96</v>
      </c>
      <c r="D18" s="3">
        <v>0.92</v>
      </c>
      <c r="E18" s="3">
        <v>0.91</v>
      </c>
      <c r="F18" s="3">
        <v>0.92</v>
      </c>
      <c r="G18" s="3">
        <v>0.94</v>
      </c>
      <c r="H18" s="3">
        <v>0.96</v>
      </c>
      <c r="I18" s="3">
        <v>1.02</v>
      </c>
      <c r="J18" s="3">
        <v>1.08</v>
      </c>
      <c r="K18" s="3">
        <v>1.32</v>
      </c>
      <c r="L18" s="3">
        <v>1.52</v>
      </c>
      <c r="M18" s="3">
        <v>1.66</v>
      </c>
      <c r="N18" s="3">
        <v>1.78</v>
      </c>
      <c r="O18" s="3">
        <v>2.19</v>
      </c>
      <c r="P18" s="3">
        <v>2.41</v>
      </c>
    </row>
    <row r="19" spans="1:16" x14ac:dyDescent="0.25">
      <c r="A19" s="4" t="s">
        <v>33</v>
      </c>
      <c r="B19" s="3">
        <v>1.02</v>
      </c>
      <c r="C19" s="3">
        <v>0.97</v>
      </c>
      <c r="D19" s="3">
        <v>0.94</v>
      </c>
      <c r="E19" s="3">
        <v>0.95</v>
      </c>
      <c r="F19" s="3">
        <v>0.96</v>
      </c>
      <c r="G19" s="3">
        <v>0.97</v>
      </c>
      <c r="H19" s="3">
        <v>0.99</v>
      </c>
      <c r="I19" s="3">
        <v>1.05</v>
      </c>
      <c r="J19" s="3">
        <v>1.1100000000000001</v>
      </c>
      <c r="K19" s="3">
        <v>1.33</v>
      </c>
      <c r="L19" s="3">
        <v>1.51</v>
      </c>
      <c r="M19" s="3">
        <v>1.64</v>
      </c>
      <c r="N19" s="3">
        <v>1.76</v>
      </c>
      <c r="O19" s="3">
        <v>2.17</v>
      </c>
      <c r="P19" s="3">
        <v>2.41</v>
      </c>
    </row>
    <row r="20" spans="1:16" x14ac:dyDescent="0.25">
      <c r="A20" s="4" t="s">
        <v>34</v>
      </c>
      <c r="B20" s="3">
        <v>1</v>
      </c>
      <c r="C20" s="3">
        <v>0.98</v>
      </c>
      <c r="D20" s="3">
        <v>0.97</v>
      </c>
      <c r="E20" s="3">
        <v>0.98</v>
      </c>
      <c r="F20" s="3">
        <v>1</v>
      </c>
      <c r="G20" s="3">
        <v>1.01</v>
      </c>
      <c r="H20" s="3">
        <v>1.03</v>
      </c>
      <c r="I20" s="3">
        <v>1.08</v>
      </c>
      <c r="J20" s="3">
        <v>1.1399999999999999</v>
      </c>
      <c r="K20" s="3">
        <v>1.33</v>
      </c>
      <c r="L20" s="3">
        <v>1.5</v>
      </c>
      <c r="M20" s="3">
        <v>1.63</v>
      </c>
      <c r="N20" s="3">
        <v>1.74</v>
      </c>
      <c r="O20" s="3">
        <v>2.17</v>
      </c>
      <c r="P20" s="3">
        <v>2.4300000000000002</v>
      </c>
    </row>
    <row r="21" spans="1:16" x14ac:dyDescent="0.25">
      <c r="A21" s="4" t="s">
        <v>35</v>
      </c>
      <c r="B21" s="3">
        <v>0.98</v>
      </c>
      <c r="C21" s="3">
        <v>0.98</v>
      </c>
      <c r="D21" s="3">
        <v>0.99</v>
      </c>
      <c r="E21" s="3">
        <v>1.01</v>
      </c>
      <c r="F21" s="3">
        <v>1.02</v>
      </c>
      <c r="G21" s="3">
        <v>1.04</v>
      </c>
      <c r="H21" s="3">
        <v>1.05</v>
      </c>
      <c r="I21" s="3">
        <v>1.1000000000000001</v>
      </c>
      <c r="J21" s="3">
        <v>1.1499999999999999</v>
      </c>
      <c r="K21" s="3">
        <v>1.33</v>
      </c>
      <c r="L21" s="3">
        <v>1.48</v>
      </c>
      <c r="M21" s="3">
        <v>1.6</v>
      </c>
      <c r="N21" s="3">
        <v>1.72</v>
      </c>
      <c r="O21" s="3">
        <v>2.16</v>
      </c>
      <c r="P21" s="3">
        <v>2.4500000000000002</v>
      </c>
    </row>
    <row r="22" spans="1:16" x14ac:dyDescent="0.25">
      <c r="A22" s="4" t="s">
        <v>36</v>
      </c>
      <c r="B22" s="3">
        <v>0.97</v>
      </c>
      <c r="C22" s="3">
        <v>0.99</v>
      </c>
      <c r="D22" s="3">
        <v>1</v>
      </c>
      <c r="E22" s="3">
        <v>1.02</v>
      </c>
      <c r="F22" s="3">
        <v>1.03</v>
      </c>
      <c r="G22" s="3">
        <v>1.04</v>
      </c>
      <c r="H22" s="3">
        <v>1.05</v>
      </c>
      <c r="I22" s="3">
        <v>1.0900000000000001</v>
      </c>
      <c r="J22" s="3">
        <v>1.1200000000000001</v>
      </c>
      <c r="K22" s="3">
        <v>1.25</v>
      </c>
      <c r="L22" s="3">
        <v>1.37</v>
      </c>
      <c r="M22" s="3">
        <v>1.48</v>
      </c>
      <c r="N22" s="3">
        <v>1.6</v>
      </c>
      <c r="O22" s="3">
        <v>2.08</v>
      </c>
      <c r="P22" s="3">
        <v>2.4</v>
      </c>
    </row>
    <row r="23" spans="1:16" x14ac:dyDescent="0.25">
      <c r="A23" s="4" t="s">
        <v>37</v>
      </c>
      <c r="B23" s="3">
        <v>0.95</v>
      </c>
      <c r="C23" s="3">
        <v>0.98</v>
      </c>
      <c r="D23" s="3">
        <v>1</v>
      </c>
      <c r="E23" s="3">
        <v>1.02</v>
      </c>
      <c r="F23" s="3">
        <v>1.03</v>
      </c>
      <c r="G23" s="3">
        <v>1.05</v>
      </c>
      <c r="H23" s="3">
        <v>1.06</v>
      </c>
      <c r="I23" s="3">
        <v>1.1100000000000001</v>
      </c>
      <c r="J23" s="3">
        <v>1.1499999999999999</v>
      </c>
      <c r="K23" s="3">
        <v>1.32</v>
      </c>
      <c r="L23" s="3">
        <v>1.46</v>
      </c>
      <c r="M23" s="3">
        <v>1.58</v>
      </c>
      <c r="N23" s="3">
        <v>1.7</v>
      </c>
      <c r="O23" s="3">
        <v>2.1800000000000002</v>
      </c>
      <c r="P23" s="3">
        <v>2.4500000000000002</v>
      </c>
    </row>
    <row r="24" spans="1:16" x14ac:dyDescent="0.25">
      <c r="A24" s="4" t="s">
        <v>38</v>
      </c>
      <c r="B24" s="3">
        <v>1.02</v>
      </c>
      <c r="C24" s="3">
        <v>0.99</v>
      </c>
      <c r="D24" s="3">
        <v>0.98</v>
      </c>
      <c r="E24" s="3">
        <v>0.99</v>
      </c>
      <c r="F24" s="3">
        <v>1.01</v>
      </c>
      <c r="G24" s="3">
        <v>1.02</v>
      </c>
      <c r="H24" s="3">
        <v>1.04</v>
      </c>
      <c r="I24" s="3">
        <v>1.1000000000000001</v>
      </c>
      <c r="J24" s="3">
        <v>1.1599999999999999</v>
      </c>
      <c r="K24" s="3">
        <v>1.37</v>
      </c>
      <c r="L24" s="3">
        <v>1.53</v>
      </c>
      <c r="M24" s="3">
        <v>1.65</v>
      </c>
      <c r="N24" s="3">
        <v>1.77</v>
      </c>
      <c r="O24" s="3">
        <v>2.19</v>
      </c>
      <c r="P24" s="3">
        <v>2.4300000000000002</v>
      </c>
    </row>
    <row r="25" spans="1:16" x14ac:dyDescent="0.25">
      <c r="A25" s="4" t="s">
        <v>39</v>
      </c>
      <c r="B25" s="3">
        <v>1.1299999999999999</v>
      </c>
      <c r="C25" s="3">
        <v>1.06</v>
      </c>
      <c r="D25" s="3">
        <v>1.03</v>
      </c>
      <c r="E25" s="3">
        <v>1.03</v>
      </c>
      <c r="F25" s="3">
        <v>1.05</v>
      </c>
      <c r="G25" s="3">
        <v>1.07</v>
      </c>
      <c r="H25" s="3">
        <v>1.0900000000000001</v>
      </c>
      <c r="I25" s="3">
        <v>1.1499999999999999</v>
      </c>
      <c r="J25" s="3">
        <v>1.21</v>
      </c>
      <c r="K25" s="3">
        <v>1.43</v>
      </c>
      <c r="L25" s="3">
        <v>1.59</v>
      </c>
      <c r="M25" s="3">
        <v>1.71</v>
      </c>
      <c r="N25" s="3">
        <v>1.81</v>
      </c>
      <c r="O25" s="3">
        <v>2.2000000000000002</v>
      </c>
      <c r="P25" s="3">
        <v>2.4300000000000002</v>
      </c>
    </row>
    <row r="26" spans="1:16" x14ac:dyDescent="0.25">
      <c r="A26" s="4" t="s">
        <v>40</v>
      </c>
      <c r="B26" s="3">
        <v>1.0900000000000001</v>
      </c>
      <c r="C26" s="3">
        <v>1.08</v>
      </c>
      <c r="D26" s="3">
        <v>1.0900000000000001</v>
      </c>
      <c r="E26" s="3">
        <v>1.1000000000000001</v>
      </c>
      <c r="F26" s="3">
        <v>1.1200000000000001</v>
      </c>
      <c r="G26" s="3">
        <v>1.1399999999999999</v>
      </c>
      <c r="H26" s="3">
        <v>1.1599999999999999</v>
      </c>
      <c r="I26" s="3">
        <v>1.22</v>
      </c>
      <c r="J26" s="3">
        <v>1.28</v>
      </c>
      <c r="K26" s="3">
        <v>1.48</v>
      </c>
      <c r="L26" s="3">
        <v>1.62</v>
      </c>
      <c r="M26" s="3">
        <v>1.73</v>
      </c>
      <c r="N26" s="3">
        <v>1.82</v>
      </c>
      <c r="O26" s="3">
        <v>2.19</v>
      </c>
      <c r="P26" s="3">
        <v>2.4300000000000002</v>
      </c>
    </row>
    <row r="27" spans="1:16" x14ac:dyDescent="0.25">
      <c r="A27" s="4" t="s">
        <v>41</v>
      </c>
      <c r="B27" s="3">
        <v>1.1100000000000001</v>
      </c>
      <c r="C27" s="3">
        <v>1.08</v>
      </c>
      <c r="D27" s="3">
        <v>1.08</v>
      </c>
      <c r="E27" s="3">
        <v>1.0900000000000001</v>
      </c>
      <c r="F27" s="3">
        <v>1.1100000000000001</v>
      </c>
      <c r="G27" s="3">
        <v>1.1299999999999999</v>
      </c>
      <c r="H27" s="3">
        <v>1.1599999999999999</v>
      </c>
      <c r="I27" s="3">
        <v>1.22</v>
      </c>
      <c r="J27" s="3">
        <v>1.29</v>
      </c>
      <c r="K27" s="3">
        <v>1.51</v>
      </c>
      <c r="L27" s="3">
        <v>1.65</v>
      </c>
      <c r="M27" s="3">
        <v>1.77</v>
      </c>
      <c r="N27" s="3">
        <v>1.86</v>
      </c>
      <c r="O27" s="3">
        <v>2.2200000000000002</v>
      </c>
      <c r="P27" s="3">
        <v>2.4300000000000002</v>
      </c>
    </row>
    <row r="28" spans="1:16" x14ac:dyDescent="0.25">
      <c r="A28" s="4" t="s">
        <v>42</v>
      </c>
      <c r="B28" s="3">
        <v>1.1000000000000001</v>
      </c>
      <c r="C28" s="3">
        <v>1.1000000000000001</v>
      </c>
      <c r="D28" s="3">
        <v>1.1100000000000001</v>
      </c>
      <c r="E28" s="3">
        <v>1.1200000000000001</v>
      </c>
      <c r="F28" s="3">
        <v>1.1399999999999999</v>
      </c>
      <c r="G28" s="3">
        <v>1.1499999999999999</v>
      </c>
      <c r="H28" s="3">
        <v>1.17</v>
      </c>
      <c r="I28" s="3">
        <v>1.23</v>
      </c>
      <c r="J28" s="3">
        <v>1.28</v>
      </c>
      <c r="K28" s="3">
        <v>1.46</v>
      </c>
      <c r="L28" s="3">
        <v>1.59</v>
      </c>
      <c r="M28" s="3">
        <v>1.7</v>
      </c>
      <c r="N28" s="3">
        <v>1.8</v>
      </c>
      <c r="O28" s="3">
        <v>2.2000000000000002</v>
      </c>
      <c r="P28" s="3">
        <v>2.46</v>
      </c>
    </row>
    <row r="29" spans="1:16" x14ac:dyDescent="0.25">
      <c r="A29" s="4" t="s">
        <v>43</v>
      </c>
      <c r="B29" s="3">
        <v>1.06</v>
      </c>
      <c r="C29" s="3">
        <v>1.1100000000000001</v>
      </c>
      <c r="D29" s="3">
        <v>1.1399999999999999</v>
      </c>
      <c r="E29" s="3">
        <v>1.1599999999999999</v>
      </c>
      <c r="F29" s="3">
        <v>1.18</v>
      </c>
      <c r="G29" s="3">
        <v>1.19</v>
      </c>
      <c r="H29" s="3">
        <v>1.21</v>
      </c>
      <c r="I29" s="3">
        <v>1.24</v>
      </c>
      <c r="J29" s="3">
        <v>1.28</v>
      </c>
      <c r="K29" s="3">
        <v>1.4</v>
      </c>
      <c r="L29" s="3">
        <v>1.52</v>
      </c>
      <c r="M29" s="3">
        <v>1.63</v>
      </c>
      <c r="N29" s="3">
        <v>1.74</v>
      </c>
      <c r="O29" s="3">
        <v>2.1800000000000002</v>
      </c>
      <c r="P29" s="3">
        <v>2.44</v>
      </c>
    </row>
    <row r="30" spans="1:16" x14ac:dyDescent="0.25">
      <c r="A30" s="4" t="s">
        <v>44</v>
      </c>
      <c r="B30" s="3">
        <v>1.0900000000000001</v>
      </c>
      <c r="C30" s="3">
        <v>1.1299999999999999</v>
      </c>
      <c r="D30" s="3">
        <v>1.1499999999999999</v>
      </c>
      <c r="E30" s="3">
        <v>1.17</v>
      </c>
      <c r="F30" s="3">
        <v>1.18</v>
      </c>
      <c r="G30" s="3">
        <v>1.19</v>
      </c>
      <c r="H30" s="3">
        <v>1.2</v>
      </c>
      <c r="I30" s="3">
        <v>1.22</v>
      </c>
      <c r="J30" s="3">
        <v>1.25</v>
      </c>
      <c r="K30" s="3">
        <v>1.35</v>
      </c>
      <c r="L30" s="3">
        <v>1.46</v>
      </c>
      <c r="M30" s="3">
        <v>1.57</v>
      </c>
      <c r="N30" s="3">
        <v>1.68</v>
      </c>
      <c r="O30" s="3">
        <v>2.14</v>
      </c>
      <c r="P30" s="3">
        <v>2.4300000000000002</v>
      </c>
    </row>
    <row r="31" spans="1:16" x14ac:dyDescent="0.25">
      <c r="A31" s="4" t="s">
        <v>45</v>
      </c>
      <c r="B31" s="3">
        <v>1.1599999999999999</v>
      </c>
      <c r="C31" s="3">
        <v>1.1399999999999999</v>
      </c>
      <c r="D31" s="3">
        <v>1.1299999999999999</v>
      </c>
      <c r="E31" s="3">
        <v>1.1399999999999999</v>
      </c>
      <c r="F31" s="3">
        <v>1.1399999999999999</v>
      </c>
      <c r="G31" s="3">
        <v>1.1499999999999999</v>
      </c>
      <c r="H31" s="3">
        <v>1.1599999999999999</v>
      </c>
      <c r="I31" s="3">
        <v>1.2</v>
      </c>
      <c r="J31" s="3">
        <v>1.23</v>
      </c>
      <c r="K31" s="3">
        <v>1.36</v>
      </c>
      <c r="L31" s="3">
        <v>1.48</v>
      </c>
      <c r="M31" s="3">
        <v>1.59</v>
      </c>
      <c r="N31" s="3">
        <v>1.69</v>
      </c>
      <c r="O31" s="3">
        <v>2.13</v>
      </c>
      <c r="P31" s="3">
        <v>2.4</v>
      </c>
    </row>
    <row r="32" spans="1:16" x14ac:dyDescent="0.25">
      <c r="A32" s="4" t="s">
        <v>46</v>
      </c>
      <c r="B32" s="3">
        <v>1.03</v>
      </c>
      <c r="C32" s="3">
        <v>1.1100000000000001</v>
      </c>
      <c r="D32" s="3">
        <v>1.1599999999999999</v>
      </c>
      <c r="E32" s="3">
        <v>1.19</v>
      </c>
      <c r="F32" s="3">
        <v>1.2</v>
      </c>
      <c r="G32" s="3">
        <v>1.21</v>
      </c>
      <c r="H32" s="3">
        <v>1.22</v>
      </c>
      <c r="I32" s="3">
        <v>1.24</v>
      </c>
      <c r="J32" s="3">
        <v>1.26</v>
      </c>
      <c r="K32" s="3">
        <v>1.34</v>
      </c>
      <c r="L32" s="3">
        <v>1.43</v>
      </c>
      <c r="M32" s="3">
        <v>1.53</v>
      </c>
      <c r="N32" s="3">
        <v>1.64</v>
      </c>
      <c r="O32" s="3">
        <v>2.1</v>
      </c>
      <c r="P32" s="3">
        <v>2.41</v>
      </c>
    </row>
    <row r="33" spans="1:16" x14ac:dyDescent="0.25">
      <c r="A33" s="4" t="s">
        <v>47</v>
      </c>
      <c r="B33" s="3">
        <v>1.1000000000000001</v>
      </c>
      <c r="C33" s="3">
        <v>1.1200000000000001</v>
      </c>
      <c r="D33" s="3">
        <v>1.1399999999999999</v>
      </c>
      <c r="E33" s="3">
        <v>1.1499999999999999</v>
      </c>
      <c r="F33" s="3">
        <v>1.1599999999999999</v>
      </c>
      <c r="G33" s="3">
        <v>1.17</v>
      </c>
      <c r="H33" s="3">
        <v>1.18</v>
      </c>
      <c r="I33" s="3">
        <v>1.2</v>
      </c>
      <c r="J33" s="3">
        <v>1.23</v>
      </c>
      <c r="K33" s="3">
        <v>1.33</v>
      </c>
      <c r="L33" s="3">
        <v>1.43</v>
      </c>
      <c r="M33" s="3">
        <v>1.54</v>
      </c>
      <c r="N33" s="3">
        <v>1.64</v>
      </c>
      <c r="O33" s="3">
        <v>2.1</v>
      </c>
      <c r="P33" s="3">
        <v>2.42</v>
      </c>
    </row>
    <row r="34" spans="1:16" x14ac:dyDescent="0.25">
      <c r="A34" s="4" t="s">
        <v>48</v>
      </c>
      <c r="B34" s="3">
        <v>1</v>
      </c>
      <c r="C34" s="3">
        <v>1.0900000000000001</v>
      </c>
      <c r="D34" s="3">
        <v>1.1499999999999999</v>
      </c>
      <c r="E34" s="3">
        <v>1.18</v>
      </c>
      <c r="F34" s="3">
        <v>1.19</v>
      </c>
      <c r="G34" s="3">
        <v>1.2</v>
      </c>
      <c r="H34" s="3">
        <v>1.21</v>
      </c>
      <c r="I34" s="3">
        <v>1.23</v>
      </c>
      <c r="J34" s="3">
        <v>1.24</v>
      </c>
      <c r="K34" s="3">
        <v>1.31</v>
      </c>
      <c r="L34" s="3">
        <v>1.4</v>
      </c>
      <c r="M34" s="3">
        <v>1.5</v>
      </c>
      <c r="N34" s="3">
        <v>1.6</v>
      </c>
      <c r="O34" s="3">
        <v>2.09</v>
      </c>
      <c r="P34" s="3">
        <v>2.42</v>
      </c>
    </row>
    <row r="35" spans="1:16" x14ac:dyDescent="0.25">
      <c r="A35" s="4" t="s">
        <v>49</v>
      </c>
      <c r="B35" s="3">
        <v>0.81</v>
      </c>
      <c r="C35" s="3">
        <v>1.02</v>
      </c>
      <c r="D35" s="3">
        <v>1.1299999999999999</v>
      </c>
      <c r="E35" s="3">
        <v>1.18</v>
      </c>
      <c r="F35" s="3">
        <v>1.19</v>
      </c>
      <c r="G35" s="3">
        <v>1.2</v>
      </c>
      <c r="H35" s="3">
        <v>1.2</v>
      </c>
      <c r="I35" s="3">
        <v>1.19</v>
      </c>
      <c r="J35" s="3">
        <v>1.18</v>
      </c>
      <c r="K35" s="3">
        <v>1.17</v>
      </c>
      <c r="L35" s="3">
        <v>1.24</v>
      </c>
      <c r="M35" s="3">
        <v>1.34</v>
      </c>
      <c r="N35" s="3">
        <v>1.46</v>
      </c>
      <c r="O35" s="3">
        <v>2</v>
      </c>
      <c r="P35" s="3">
        <v>2.35</v>
      </c>
    </row>
    <row r="36" spans="1:16" x14ac:dyDescent="0.25">
      <c r="A36" s="4" t="s">
        <v>50</v>
      </c>
      <c r="B36" s="3">
        <v>0.8</v>
      </c>
      <c r="C36" s="3">
        <v>0.96</v>
      </c>
      <c r="D36" s="3">
        <v>1.05</v>
      </c>
      <c r="E36" s="3">
        <v>1.08</v>
      </c>
      <c r="F36" s="3">
        <v>1.1000000000000001</v>
      </c>
      <c r="G36" s="3">
        <v>1.1000000000000001</v>
      </c>
      <c r="H36" s="3">
        <v>1.1000000000000001</v>
      </c>
      <c r="I36" s="3">
        <v>1.1000000000000001</v>
      </c>
      <c r="J36" s="3">
        <v>1.0900000000000001</v>
      </c>
      <c r="K36" s="3">
        <v>1.1000000000000001</v>
      </c>
      <c r="L36" s="3">
        <v>1.19</v>
      </c>
      <c r="M36" s="3">
        <v>1.31</v>
      </c>
      <c r="N36" s="3">
        <v>1.43</v>
      </c>
      <c r="O36" s="3">
        <v>1.98</v>
      </c>
      <c r="P36" s="3">
        <v>2.2999999999999998</v>
      </c>
    </row>
    <row r="37" spans="1:16" x14ac:dyDescent="0.25">
      <c r="A37" s="4" t="s">
        <v>51</v>
      </c>
      <c r="B37" s="3">
        <v>0.86</v>
      </c>
      <c r="C37" s="3">
        <v>0.98</v>
      </c>
      <c r="D37" s="3">
        <v>1.05</v>
      </c>
      <c r="E37" s="3">
        <v>1.08</v>
      </c>
      <c r="F37" s="3">
        <v>1.0900000000000001</v>
      </c>
      <c r="G37" s="3">
        <v>1.0900000000000001</v>
      </c>
      <c r="H37" s="3">
        <v>1.1000000000000001</v>
      </c>
      <c r="I37" s="3">
        <v>1.1000000000000001</v>
      </c>
      <c r="J37" s="3">
        <v>1.1000000000000001</v>
      </c>
      <c r="K37" s="3">
        <v>1.1200000000000001</v>
      </c>
      <c r="L37" s="3">
        <v>1.2</v>
      </c>
      <c r="M37" s="3">
        <v>1.3</v>
      </c>
      <c r="N37" s="3">
        <v>1.4</v>
      </c>
      <c r="O37" s="3">
        <v>1.91</v>
      </c>
      <c r="P37" s="3">
        <v>2.2599999999999998</v>
      </c>
    </row>
    <row r="38" spans="1:16" x14ac:dyDescent="0.25">
      <c r="A38" s="4" t="s">
        <v>52</v>
      </c>
      <c r="B38" s="3">
        <v>0.88</v>
      </c>
      <c r="C38" s="3">
        <v>1.01</v>
      </c>
      <c r="D38" s="3">
        <v>1.08</v>
      </c>
      <c r="E38" s="3">
        <v>1.1000000000000001</v>
      </c>
      <c r="F38" s="3">
        <v>1.1100000000000001</v>
      </c>
      <c r="G38" s="3">
        <v>1.1100000000000001</v>
      </c>
      <c r="H38" s="3">
        <v>1.1100000000000001</v>
      </c>
      <c r="I38" s="3">
        <v>1.1000000000000001</v>
      </c>
      <c r="J38" s="3">
        <v>1.0900000000000001</v>
      </c>
      <c r="K38" s="3">
        <v>1.1000000000000001</v>
      </c>
      <c r="L38" s="3">
        <v>1.18</v>
      </c>
      <c r="M38" s="3">
        <v>1.29</v>
      </c>
      <c r="N38" s="3">
        <v>1.4</v>
      </c>
      <c r="O38" s="3">
        <v>1.92</v>
      </c>
      <c r="P38" s="3">
        <v>2.23</v>
      </c>
    </row>
    <row r="39" spans="1:16" x14ac:dyDescent="0.25">
      <c r="A39" s="4" t="s">
        <v>53</v>
      </c>
      <c r="B39" s="3">
        <v>0.82</v>
      </c>
      <c r="C39" s="3">
        <v>0.99</v>
      </c>
      <c r="D39" s="3">
        <v>1.07</v>
      </c>
      <c r="E39" s="3">
        <v>1.1000000000000001</v>
      </c>
      <c r="F39" s="3">
        <v>1.1100000000000001</v>
      </c>
      <c r="G39" s="3">
        <v>1.1100000000000001</v>
      </c>
      <c r="H39" s="3">
        <v>1.1100000000000001</v>
      </c>
      <c r="I39" s="3">
        <v>1.1100000000000001</v>
      </c>
      <c r="J39" s="3">
        <v>1.1100000000000001</v>
      </c>
      <c r="K39" s="3">
        <v>1.1200000000000001</v>
      </c>
      <c r="L39" s="3">
        <v>1.2</v>
      </c>
      <c r="M39" s="3">
        <v>1.31</v>
      </c>
      <c r="N39" s="3">
        <v>1.42</v>
      </c>
      <c r="O39" s="3">
        <v>1.92</v>
      </c>
      <c r="P39" s="3">
        <v>2.23</v>
      </c>
    </row>
    <row r="40" spans="1:16" x14ac:dyDescent="0.25">
      <c r="A40" s="4" t="s">
        <v>54</v>
      </c>
      <c r="B40" s="3">
        <v>0.82</v>
      </c>
      <c r="C40" s="3">
        <v>1.01</v>
      </c>
      <c r="D40" s="3">
        <v>1.1200000000000001</v>
      </c>
      <c r="E40" s="3">
        <v>1.1599999999999999</v>
      </c>
      <c r="F40" s="3">
        <v>1.17</v>
      </c>
      <c r="G40" s="3">
        <v>1.18</v>
      </c>
      <c r="H40" s="3">
        <v>1.17</v>
      </c>
      <c r="I40" s="3">
        <v>1.1599999999999999</v>
      </c>
      <c r="J40" s="3">
        <v>1.1499999999999999</v>
      </c>
      <c r="K40" s="3">
        <v>1.1399999999999999</v>
      </c>
      <c r="L40" s="3">
        <v>1.21</v>
      </c>
      <c r="M40" s="3">
        <v>1.31</v>
      </c>
      <c r="N40" s="3">
        <v>1.42</v>
      </c>
      <c r="O40" s="3">
        <v>1.91</v>
      </c>
      <c r="P40" s="3">
        <v>2.23</v>
      </c>
    </row>
    <row r="41" spans="1:16" x14ac:dyDescent="0.25">
      <c r="A41" s="4" t="s">
        <v>55</v>
      </c>
      <c r="B41" s="3">
        <v>0.93</v>
      </c>
      <c r="C41" s="3">
        <v>1.03</v>
      </c>
      <c r="D41" s="3">
        <v>1.0900000000000001</v>
      </c>
      <c r="E41" s="3">
        <v>1.1100000000000001</v>
      </c>
      <c r="F41" s="3">
        <v>1.1200000000000001</v>
      </c>
      <c r="G41" s="3">
        <v>1.1200000000000001</v>
      </c>
      <c r="H41" s="3">
        <v>1.1200000000000001</v>
      </c>
      <c r="I41" s="3">
        <v>1.1200000000000001</v>
      </c>
      <c r="J41" s="3">
        <v>1.1200000000000001</v>
      </c>
      <c r="K41" s="3">
        <v>1.1399999999999999</v>
      </c>
      <c r="L41" s="3">
        <v>1.22</v>
      </c>
      <c r="M41" s="3">
        <v>1.31</v>
      </c>
      <c r="N41" s="3">
        <v>1.4</v>
      </c>
      <c r="O41" s="3">
        <v>1.87</v>
      </c>
      <c r="P41" s="3">
        <v>2.19</v>
      </c>
    </row>
    <row r="42" spans="1:16" x14ac:dyDescent="0.25">
      <c r="A42" s="4" t="s">
        <v>56</v>
      </c>
      <c r="B42" s="3">
        <v>0.97</v>
      </c>
      <c r="C42" s="3">
        <v>1.07</v>
      </c>
      <c r="D42" s="3">
        <v>1.1299999999999999</v>
      </c>
      <c r="E42" s="3">
        <v>1.1499999999999999</v>
      </c>
      <c r="F42" s="3">
        <v>1.1599999999999999</v>
      </c>
      <c r="G42" s="3">
        <v>1.1599999999999999</v>
      </c>
      <c r="H42" s="3">
        <v>1.1599999999999999</v>
      </c>
      <c r="I42" s="3">
        <v>1.1499999999999999</v>
      </c>
      <c r="J42" s="3">
        <v>1.1499999999999999</v>
      </c>
      <c r="K42" s="3">
        <v>1.1599999999999999</v>
      </c>
      <c r="L42" s="3">
        <v>1.25</v>
      </c>
      <c r="M42" s="3">
        <v>1.36</v>
      </c>
      <c r="N42" s="3">
        <v>1.47</v>
      </c>
      <c r="O42" s="3">
        <v>1.96</v>
      </c>
      <c r="P42" s="3">
        <v>2.25</v>
      </c>
    </row>
    <row r="43" spans="1:16" x14ac:dyDescent="0.25">
      <c r="A43" s="4" t="s">
        <v>57</v>
      </c>
      <c r="B43" s="3">
        <v>1</v>
      </c>
      <c r="C43" s="3">
        <v>1.1000000000000001</v>
      </c>
      <c r="D43" s="3">
        <v>1.1599999999999999</v>
      </c>
      <c r="E43" s="3">
        <v>1.18</v>
      </c>
      <c r="F43" s="3">
        <v>1.19</v>
      </c>
      <c r="G43" s="3">
        <v>1.19</v>
      </c>
      <c r="H43" s="3">
        <v>1.19</v>
      </c>
      <c r="I43" s="3">
        <v>1.18</v>
      </c>
      <c r="J43" s="3">
        <v>1.17</v>
      </c>
      <c r="K43" s="3">
        <v>1.17</v>
      </c>
      <c r="L43" s="3">
        <v>1.25</v>
      </c>
      <c r="M43" s="3">
        <v>1.36</v>
      </c>
      <c r="N43" s="3">
        <v>1.48</v>
      </c>
      <c r="O43" s="3">
        <v>1.99</v>
      </c>
      <c r="P43" s="3">
        <v>2.2799999999999998</v>
      </c>
    </row>
    <row r="44" spans="1:16" x14ac:dyDescent="0.25">
      <c r="A44" s="4" t="s">
        <v>58</v>
      </c>
      <c r="B44" s="3">
        <v>0.89</v>
      </c>
      <c r="C44" s="3">
        <v>1.08</v>
      </c>
      <c r="D44" s="3">
        <v>1.19</v>
      </c>
      <c r="E44" s="3">
        <v>1.23</v>
      </c>
      <c r="F44" s="3">
        <v>1.24</v>
      </c>
      <c r="G44" s="3">
        <v>1.24</v>
      </c>
      <c r="H44" s="3">
        <v>1.24</v>
      </c>
      <c r="I44" s="3">
        <v>1.23</v>
      </c>
      <c r="J44" s="3">
        <v>1.21</v>
      </c>
      <c r="K44" s="3">
        <v>1.2</v>
      </c>
      <c r="L44" s="3">
        <v>1.28</v>
      </c>
      <c r="M44" s="3">
        <v>1.39</v>
      </c>
      <c r="N44" s="3">
        <v>1.51</v>
      </c>
      <c r="O44" s="3">
        <v>2.02</v>
      </c>
      <c r="P44" s="3">
        <v>2.31</v>
      </c>
    </row>
    <row r="45" spans="1:16" x14ac:dyDescent="0.25">
      <c r="A45" s="4" t="s">
        <v>59</v>
      </c>
      <c r="B45" s="3">
        <v>0.92</v>
      </c>
      <c r="C45" s="3">
        <v>1.1100000000000001</v>
      </c>
      <c r="D45" s="3">
        <v>1.22</v>
      </c>
      <c r="E45" s="3">
        <v>1.25</v>
      </c>
      <c r="F45" s="3">
        <v>1.27</v>
      </c>
      <c r="G45" s="3">
        <v>1.27</v>
      </c>
      <c r="H45" s="3">
        <v>1.27</v>
      </c>
      <c r="I45" s="3">
        <v>1.26</v>
      </c>
      <c r="J45" s="3">
        <v>1.26</v>
      </c>
      <c r="K45" s="3">
        <v>1.26</v>
      </c>
      <c r="L45" s="3">
        <v>1.34</v>
      </c>
      <c r="M45" s="3">
        <v>1.45</v>
      </c>
      <c r="N45" s="3">
        <v>1.56</v>
      </c>
      <c r="O45" s="3">
        <v>2.0499999999999998</v>
      </c>
      <c r="P45" s="3">
        <v>2.34</v>
      </c>
    </row>
    <row r="46" spans="1:16" x14ac:dyDescent="0.25">
      <c r="A46" s="4" t="s">
        <v>60</v>
      </c>
      <c r="B46" s="3">
        <v>0.93</v>
      </c>
      <c r="C46" s="3">
        <v>1.1399999999999999</v>
      </c>
      <c r="D46" s="3">
        <v>1.25</v>
      </c>
      <c r="E46" s="3">
        <v>1.29</v>
      </c>
      <c r="F46" s="3">
        <v>1.31</v>
      </c>
      <c r="G46" s="3">
        <v>1.31</v>
      </c>
      <c r="H46" s="3">
        <v>1.3</v>
      </c>
      <c r="I46" s="3">
        <v>1.28</v>
      </c>
      <c r="J46" s="3">
        <v>1.27</v>
      </c>
      <c r="K46" s="3">
        <v>1.24</v>
      </c>
      <c r="L46" s="3">
        <v>1.32</v>
      </c>
      <c r="M46" s="3">
        <v>1.43</v>
      </c>
      <c r="N46" s="3">
        <v>1.55</v>
      </c>
      <c r="O46" s="3">
        <v>2.0699999999999998</v>
      </c>
      <c r="P46" s="3">
        <v>2.36</v>
      </c>
    </row>
    <row r="47" spans="1:16" x14ac:dyDescent="0.25">
      <c r="A47" s="4" t="s">
        <v>61</v>
      </c>
      <c r="B47" s="3">
        <v>0.9</v>
      </c>
      <c r="C47" s="3">
        <v>1.1299999999999999</v>
      </c>
      <c r="D47" s="3">
        <v>1.25</v>
      </c>
      <c r="E47" s="3">
        <v>1.29</v>
      </c>
      <c r="F47" s="3">
        <v>1.3</v>
      </c>
      <c r="G47" s="3">
        <v>1.31</v>
      </c>
      <c r="H47" s="3">
        <v>1.31</v>
      </c>
      <c r="I47" s="3">
        <v>1.3</v>
      </c>
      <c r="J47" s="3">
        <v>1.29</v>
      </c>
      <c r="K47" s="3">
        <v>1.3</v>
      </c>
      <c r="L47" s="3">
        <v>1.39</v>
      </c>
      <c r="M47" s="3">
        <v>1.49</v>
      </c>
      <c r="N47" s="3">
        <v>1.6</v>
      </c>
      <c r="O47" s="3">
        <v>2.1</v>
      </c>
      <c r="P47" s="3">
        <v>2.36</v>
      </c>
    </row>
    <row r="48" spans="1:16" x14ac:dyDescent="0.25">
      <c r="A48" s="4" t="s">
        <v>62</v>
      </c>
      <c r="B48" s="3">
        <v>0.86</v>
      </c>
      <c r="C48" s="3">
        <v>1.1599999999999999</v>
      </c>
      <c r="D48" s="3">
        <v>1.31</v>
      </c>
      <c r="E48" s="3">
        <v>1.36</v>
      </c>
      <c r="F48" s="3">
        <v>1.37</v>
      </c>
      <c r="G48" s="3">
        <v>1.37</v>
      </c>
      <c r="H48" s="3">
        <v>1.36</v>
      </c>
      <c r="I48" s="3">
        <v>1.33</v>
      </c>
      <c r="J48" s="3">
        <v>1.29</v>
      </c>
      <c r="K48" s="3">
        <v>1.25</v>
      </c>
      <c r="L48" s="3">
        <v>1.33</v>
      </c>
      <c r="M48" s="3">
        <v>1.44</v>
      </c>
      <c r="N48" s="3">
        <v>1.56</v>
      </c>
      <c r="O48" s="3">
        <v>2.11</v>
      </c>
      <c r="P48" s="3">
        <v>2.39</v>
      </c>
    </row>
    <row r="49" spans="1:17" x14ac:dyDescent="0.25">
      <c r="A49" s="4" t="s">
        <v>63</v>
      </c>
      <c r="B49" s="3">
        <v>1</v>
      </c>
      <c r="C49" s="3">
        <v>1.25</v>
      </c>
      <c r="D49" s="3">
        <v>1.37</v>
      </c>
      <c r="E49" s="3">
        <v>1.41</v>
      </c>
      <c r="F49" s="3">
        <v>1.43</v>
      </c>
      <c r="G49" s="3">
        <v>1.42</v>
      </c>
      <c r="H49" s="3">
        <v>1.42</v>
      </c>
      <c r="I49" s="3">
        <v>1.39</v>
      </c>
      <c r="J49" s="3">
        <v>1.36</v>
      </c>
      <c r="K49" s="3">
        <v>1.34</v>
      </c>
      <c r="L49" s="3">
        <v>1.41</v>
      </c>
      <c r="M49" s="3">
        <v>1.51</v>
      </c>
      <c r="N49" s="3">
        <v>1.62</v>
      </c>
      <c r="O49" s="3">
        <v>2.12</v>
      </c>
      <c r="P49" s="3">
        <v>2.39</v>
      </c>
    </row>
    <row r="50" spans="1:17" x14ac:dyDescent="0.25">
      <c r="A50" s="4" t="s">
        <v>64</v>
      </c>
      <c r="B50" s="3">
        <v>1.1000000000000001</v>
      </c>
      <c r="C50" s="3">
        <v>1.29</v>
      </c>
      <c r="D50" s="3">
        <v>1.4</v>
      </c>
      <c r="E50" s="3">
        <v>1.43</v>
      </c>
      <c r="F50" s="3">
        <v>1.44</v>
      </c>
      <c r="G50" s="3">
        <v>1.45</v>
      </c>
      <c r="H50" s="3">
        <v>1.45</v>
      </c>
      <c r="I50" s="3">
        <v>1.44</v>
      </c>
      <c r="J50" s="3">
        <v>1.43</v>
      </c>
      <c r="K50" s="3">
        <v>1.44</v>
      </c>
      <c r="L50" s="3">
        <v>1.52</v>
      </c>
      <c r="M50" s="3">
        <v>1.61</v>
      </c>
      <c r="N50" s="3">
        <v>1.7</v>
      </c>
      <c r="O50" s="3">
        <v>2.15</v>
      </c>
      <c r="P50" s="3">
        <v>2.42</v>
      </c>
    </row>
    <row r="51" spans="1:17" x14ac:dyDescent="0.25">
      <c r="A51" s="4" t="s">
        <v>65</v>
      </c>
      <c r="B51" s="3">
        <v>0.83</v>
      </c>
      <c r="C51" s="3">
        <v>1.18</v>
      </c>
      <c r="D51" s="3">
        <v>1.37</v>
      </c>
      <c r="E51" s="3">
        <v>1.44</v>
      </c>
      <c r="F51" s="3">
        <v>1.48</v>
      </c>
      <c r="G51" s="3">
        <v>1.49</v>
      </c>
      <c r="H51" s="3">
        <v>1.5</v>
      </c>
      <c r="I51" s="3">
        <v>1.52</v>
      </c>
      <c r="J51" s="3">
        <v>1.52</v>
      </c>
      <c r="K51" s="3">
        <v>1.56</v>
      </c>
      <c r="L51" s="3">
        <v>1.64</v>
      </c>
      <c r="M51" s="3">
        <v>1.72</v>
      </c>
      <c r="N51" s="3">
        <v>1.8</v>
      </c>
      <c r="O51" s="3">
        <v>2.19</v>
      </c>
      <c r="P51" s="3">
        <v>2.42</v>
      </c>
    </row>
    <row r="52" spans="1:17" x14ac:dyDescent="0.25">
      <c r="A52" s="4" t="s">
        <v>66</v>
      </c>
      <c r="B52" s="3">
        <v>1.07</v>
      </c>
      <c r="C52" s="3">
        <v>1.31</v>
      </c>
      <c r="D52" s="3">
        <v>1.43</v>
      </c>
      <c r="E52" s="3">
        <v>1.48</v>
      </c>
      <c r="F52" s="3">
        <v>1.49</v>
      </c>
      <c r="G52" s="3">
        <v>1.5</v>
      </c>
      <c r="H52" s="3">
        <v>1.5</v>
      </c>
      <c r="I52" s="3">
        <v>1.49</v>
      </c>
      <c r="J52" s="3">
        <v>1.49</v>
      </c>
      <c r="K52" s="3">
        <v>1.52</v>
      </c>
      <c r="L52" s="3">
        <v>1.6</v>
      </c>
      <c r="M52" s="3">
        <v>1.7</v>
      </c>
      <c r="N52" s="3">
        <v>1.8</v>
      </c>
      <c r="O52" s="3">
        <v>2.2200000000000002</v>
      </c>
      <c r="P52" s="3">
        <v>2.4300000000000002</v>
      </c>
    </row>
    <row r="53" spans="1:17" x14ac:dyDescent="0.25">
      <c r="A53" s="4" t="s">
        <v>67</v>
      </c>
      <c r="B53" s="3">
        <v>0.79</v>
      </c>
      <c r="C53" s="3">
        <v>1.25</v>
      </c>
      <c r="D53" s="3">
        <v>1.49</v>
      </c>
      <c r="E53" s="3">
        <v>1.57</v>
      </c>
      <c r="F53" s="3">
        <v>1.6</v>
      </c>
      <c r="G53" s="3">
        <v>1.61</v>
      </c>
      <c r="H53" s="3">
        <v>1.61</v>
      </c>
      <c r="I53" s="3">
        <v>1.58</v>
      </c>
      <c r="J53" s="3">
        <v>1.55</v>
      </c>
      <c r="K53" s="3">
        <v>1.52</v>
      </c>
      <c r="L53" s="3">
        <v>1.59</v>
      </c>
      <c r="M53" s="3">
        <v>1.68</v>
      </c>
      <c r="N53" s="3">
        <v>1.78</v>
      </c>
      <c r="O53" s="3">
        <v>2.23</v>
      </c>
      <c r="P53" s="3">
        <v>2.4500000000000002</v>
      </c>
    </row>
    <row r="54" spans="1:17" x14ac:dyDescent="0.25">
      <c r="A54" s="4" t="s">
        <v>68</v>
      </c>
      <c r="B54" s="3">
        <v>0.8</v>
      </c>
      <c r="C54" s="3">
        <v>1.21</v>
      </c>
      <c r="D54" s="3">
        <v>1.44</v>
      </c>
      <c r="E54" s="3">
        <v>1.54</v>
      </c>
      <c r="F54" s="3">
        <v>1.57</v>
      </c>
      <c r="G54" s="3">
        <v>1.59</v>
      </c>
      <c r="H54" s="3">
        <v>1.6</v>
      </c>
      <c r="I54" s="3">
        <v>1.59</v>
      </c>
      <c r="J54" s="3">
        <v>1.57</v>
      </c>
      <c r="K54" s="3">
        <v>1.57</v>
      </c>
      <c r="L54" s="3">
        <v>1.63</v>
      </c>
      <c r="M54" s="3">
        <v>1.7</v>
      </c>
      <c r="N54" s="3">
        <v>1.77</v>
      </c>
      <c r="O54" s="3">
        <v>2.1800000000000002</v>
      </c>
      <c r="P54" s="3">
        <v>2.44</v>
      </c>
    </row>
    <row r="55" spans="1:17" x14ac:dyDescent="0.25">
      <c r="A55" s="4" t="s">
        <v>69</v>
      </c>
      <c r="B55" s="3">
        <v>0.78</v>
      </c>
      <c r="C55" s="3">
        <v>1.21</v>
      </c>
      <c r="D55" s="3">
        <v>1.45</v>
      </c>
      <c r="E55" s="3">
        <v>1.55</v>
      </c>
      <c r="F55" s="3">
        <v>1.58</v>
      </c>
      <c r="G55" s="3">
        <v>1.59</v>
      </c>
      <c r="H55" s="3">
        <v>1.59</v>
      </c>
      <c r="I55" s="3">
        <v>1.57</v>
      </c>
      <c r="J55" s="3">
        <v>1.55</v>
      </c>
      <c r="K55" s="3">
        <v>1.55</v>
      </c>
      <c r="L55" s="3">
        <v>1.62</v>
      </c>
      <c r="M55" s="3">
        <v>1.71</v>
      </c>
      <c r="N55" s="3">
        <v>1.81</v>
      </c>
      <c r="O55" s="3">
        <v>2.25</v>
      </c>
      <c r="P55" s="3">
        <v>2.46</v>
      </c>
    </row>
    <row r="56" spans="1:17" x14ac:dyDescent="0.25">
      <c r="A56" s="4" t="s">
        <v>70</v>
      </c>
      <c r="B56" s="3">
        <v>1.24</v>
      </c>
      <c r="C56" s="3">
        <v>1.44</v>
      </c>
      <c r="D56" s="3">
        <v>1.56</v>
      </c>
      <c r="E56" s="3">
        <v>1.61</v>
      </c>
      <c r="F56" s="3">
        <v>1.64</v>
      </c>
      <c r="G56" s="3">
        <v>1.66</v>
      </c>
      <c r="H56" s="3">
        <v>1.68</v>
      </c>
      <c r="I56" s="3">
        <v>1.73</v>
      </c>
      <c r="J56" s="3">
        <v>1.76</v>
      </c>
      <c r="K56" s="3">
        <v>1.87</v>
      </c>
      <c r="L56" s="3">
        <v>1.96</v>
      </c>
      <c r="M56" s="3">
        <v>2.0299999999999998</v>
      </c>
      <c r="N56" s="3">
        <v>2.08</v>
      </c>
      <c r="O56" s="3">
        <v>2.31</v>
      </c>
      <c r="P56" s="3">
        <v>2.48</v>
      </c>
      <c r="Q56" s="3">
        <v>2.58</v>
      </c>
    </row>
    <row r="57" spans="1:17" x14ac:dyDescent="0.25">
      <c r="A57" s="4" t="s">
        <v>71</v>
      </c>
      <c r="B57" s="3">
        <v>0.93</v>
      </c>
      <c r="C57" s="3">
        <v>1.33</v>
      </c>
      <c r="D57" s="3">
        <v>1.55</v>
      </c>
      <c r="E57" s="3">
        <v>1.63</v>
      </c>
      <c r="F57" s="3">
        <v>1.68</v>
      </c>
      <c r="G57" s="3">
        <v>1.7</v>
      </c>
      <c r="H57" s="3">
        <v>1.72</v>
      </c>
      <c r="I57" s="3">
        <v>1.75</v>
      </c>
      <c r="J57" s="3">
        <v>1.77</v>
      </c>
      <c r="K57" s="3">
        <v>1.85</v>
      </c>
      <c r="L57" s="3">
        <v>1.92</v>
      </c>
      <c r="M57" s="3">
        <v>2</v>
      </c>
      <c r="N57" s="3">
        <v>2.0699999999999998</v>
      </c>
      <c r="O57" s="3">
        <v>2.4</v>
      </c>
      <c r="P57" s="3">
        <v>2.61</v>
      </c>
      <c r="Q57" s="3">
        <v>2.7</v>
      </c>
    </row>
    <row r="58" spans="1:17" x14ac:dyDescent="0.25">
      <c r="A58" s="4" t="s">
        <v>72</v>
      </c>
      <c r="B58" s="3">
        <v>0.96</v>
      </c>
      <c r="C58" s="3">
        <v>1.34</v>
      </c>
      <c r="D58" s="3">
        <v>1.56</v>
      </c>
      <c r="E58" s="3">
        <v>1.65</v>
      </c>
      <c r="F58" s="3">
        <v>1.69</v>
      </c>
      <c r="G58" s="3">
        <v>1.72</v>
      </c>
      <c r="H58" s="3">
        <v>1.74</v>
      </c>
      <c r="I58" s="3">
        <v>1.78</v>
      </c>
      <c r="J58" s="3">
        <v>1.81</v>
      </c>
      <c r="K58" s="3">
        <v>1.89</v>
      </c>
      <c r="L58" s="3">
        <v>1.97</v>
      </c>
      <c r="M58" s="3">
        <v>2.06</v>
      </c>
      <c r="N58" s="3">
        <v>2.16</v>
      </c>
      <c r="O58" s="3">
        <v>2.56</v>
      </c>
      <c r="P58" s="3">
        <v>2.76</v>
      </c>
      <c r="Q58" s="3">
        <v>2.71</v>
      </c>
    </row>
    <row r="59" spans="1:17" x14ac:dyDescent="0.25">
      <c r="A59" s="4" t="s">
        <v>73</v>
      </c>
      <c r="B59" s="3">
        <v>0.9</v>
      </c>
      <c r="C59" s="3">
        <v>1.38</v>
      </c>
      <c r="D59" s="3">
        <v>1.64</v>
      </c>
      <c r="E59" s="3">
        <v>1.73</v>
      </c>
      <c r="F59" s="3">
        <v>1.77</v>
      </c>
      <c r="G59" s="3">
        <v>1.79</v>
      </c>
      <c r="H59" s="3">
        <v>1.81</v>
      </c>
      <c r="I59" s="3">
        <v>1.81</v>
      </c>
      <c r="J59" s="3">
        <v>1.81</v>
      </c>
      <c r="K59" s="3">
        <v>1.84</v>
      </c>
      <c r="L59" s="3">
        <v>1.93</v>
      </c>
      <c r="M59" s="3">
        <v>2.02</v>
      </c>
      <c r="N59" s="3">
        <v>2.11</v>
      </c>
      <c r="O59" s="3">
        <v>2.5099999999999998</v>
      </c>
      <c r="P59" s="3">
        <v>2.71</v>
      </c>
      <c r="Q59" s="3">
        <v>2.7</v>
      </c>
    </row>
    <row r="60" spans="1:17" x14ac:dyDescent="0.25">
      <c r="A60" s="4" t="s">
        <v>74</v>
      </c>
      <c r="B60" s="3">
        <v>1.29</v>
      </c>
      <c r="C60" s="3">
        <v>1.49</v>
      </c>
      <c r="D60" s="3">
        <v>1.61</v>
      </c>
      <c r="E60" s="3">
        <v>1.65</v>
      </c>
      <c r="F60" s="3">
        <v>1.67</v>
      </c>
      <c r="G60" s="3">
        <v>1.68</v>
      </c>
      <c r="H60" s="3">
        <v>1.69</v>
      </c>
      <c r="I60" s="3">
        <v>1.7</v>
      </c>
      <c r="J60" s="3">
        <v>1.7</v>
      </c>
      <c r="K60" s="3">
        <v>1.77</v>
      </c>
      <c r="L60" s="3">
        <v>1.85</v>
      </c>
      <c r="M60" s="3">
        <v>1.94</v>
      </c>
      <c r="N60" s="3">
        <v>2.02</v>
      </c>
      <c r="O60" s="3">
        <v>2.4</v>
      </c>
      <c r="P60" s="3">
        <v>2.64</v>
      </c>
      <c r="Q60" s="3">
        <v>2.68</v>
      </c>
    </row>
    <row r="61" spans="1:17" x14ac:dyDescent="0.25">
      <c r="A61" s="4" t="s">
        <v>75</v>
      </c>
      <c r="B61" s="3">
        <v>1.32</v>
      </c>
      <c r="C61" s="3">
        <v>1.54</v>
      </c>
      <c r="D61" s="3">
        <v>1.65</v>
      </c>
      <c r="E61" s="3">
        <v>1.68</v>
      </c>
      <c r="F61" s="3">
        <v>1.69</v>
      </c>
      <c r="G61" s="3">
        <v>1.7</v>
      </c>
      <c r="H61" s="3">
        <v>1.7</v>
      </c>
      <c r="I61" s="3">
        <v>1.69</v>
      </c>
      <c r="J61" s="3">
        <v>1.68</v>
      </c>
      <c r="K61" s="3">
        <v>1.73</v>
      </c>
      <c r="L61" s="3">
        <v>1.81</v>
      </c>
      <c r="M61" s="3">
        <v>1.9</v>
      </c>
      <c r="N61" s="3">
        <v>1.99</v>
      </c>
      <c r="O61" s="3">
        <v>2.35</v>
      </c>
      <c r="P61" s="3">
        <v>2.5299999999999998</v>
      </c>
      <c r="Q61" s="3">
        <v>2.6</v>
      </c>
    </row>
    <row r="62" spans="1:17" x14ac:dyDescent="0.25">
      <c r="A62" s="4" t="s">
        <v>76</v>
      </c>
      <c r="B62" s="3">
        <v>1.49</v>
      </c>
      <c r="C62" s="3">
        <v>1.6</v>
      </c>
      <c r="D62" s="3">
        <v>1.66</v>
      </c>
      <c r="E62" s="3">
        <v>1.69</v>
      </c>
      <c r="F62" s="3">
        <v>1.71</v>
      </c>
      <c r="G62" s="3">
        <v>1.73</v>
      </c>
      <c r="H62" s="3">
        <v>1.75</v>
      </c>
      <c r="I62" s="3">
        <v>1.78</v>
      </c>
      <c r="J62" s="3">
        <v>1.82</v>
      </c>
      <c r="K62" s="3">
        <v>1.92</v>
      </c>
      <c r="L62" s="3">
        <v>2</v>
      </c>
      <c r="M62" s="3">
        <v>2.0699999999999998</v>
      </c>
      <c r="N62" s="3">
        <v>2.14</v>
      </c>
      <c r="O62" s="3">
        <v>2.4300000000000002</v>
      </c>
      <c r="P62" s="3">
        <v>2.63</v>
      </c>
      <c r="Q62" s="3">
        <v>2.65</v>
      </c>
    </row>
    <row r="63" spans="1:17" x14ac:dyDescent="0.25">
      <c r="A63" s="4" t="s">
        <v>77</v>
      </c>
      <c r="B63" s="3">
        <v>0.81</v>
      </c>
      <c r="C63" s="3">
        <v>1.26</v>
      </c>
      <c r="D63" s="3">
        <v>1.53</v>
      </c>
      <c r="E63" s="3">
        <v>1.65</v>
      </c>
      <c r="F63" s="3">
        <v>1.71</v>
      </c>
      <c r="G63" s="3">
        <v>1.74</v>
      </c>
      <c r="H63" s="3">
        <v>1.76</v>
      </c>
      <c r="I63" s="3">
        <v>1.8</v>
      </c>
      <c r="J63" s="3">
        <v>1.82</v>
      </c>
      <c r="K63" s="3">
        <v>1.91</v>
      </c>
      <c r="L63" s="3">
        <v>2.0099999999999998</v>
      </c>
      <c r="M63" s="3">
        <v>2.09</v>
      </c>
      <c r="N63" s="3">
        <v>2.17</v>
      </c>
      <c r="O63" s="3">
        <v>2.5099999999999998</v>
      </c>
      <c r="P63" s="3">
        <v>2.7</v>
      </c>
      <c r="Q63" s="3">
        <v>2.68</v>
      </c>
    </row>
    <row r="64" spans="1:17" x14ac:dyDescent="0.25">
      <c r="A64" s="4" t="s">
        <v>78</v>
      </c>
      <c r="B64" s="3">
        <v>1.05</v>
      </c>
      <c r="C64" s="3">
        <v>1.39</v>
      </c>
      <c r="D64" s="3">
        <v>1.58</v>
      </c>
      <c r="E64" s="3">
        <v>1.66</v>
      </c>
      <c r="F64" s="3">
        <v>1.7</v>
      </c>
      <c r="G64" s="3">
        <v>1.72</v>
      </c>
      <c r="H64" s="3">
        <v>1.73</v>
      </c>
      <c r="I64" s="3">
        <v>1.76</v>
      </c>
      <c r="J64" s="3">
        <v>1.78</v>
      </c>
      <c r="K64" s="3">
        <v>1.88</v>
      </c>
      <c r="L64" s="3">
        <v>1.98</v>
      </c>
      <c r="M64" s="3">
        <v>2.0699999999999998</v>
      </c>
      <c r="N64" s="3">
        <v>2.16</v>
      </c>
      <c r="O64" s="3">
        <v>2.5299999999999998</v>
      </c>
      <c r="P64" s="3">
        <v>2.72</v>
      </c>
      <c r="Q64" s="3">
        <v>2.73</v>
      </c>
    </row>
    <row r="65" spans="1:17" x14ac:dyDescent="0.25">
      <c r="A65" s="4" t="s">
        <v>79</v>
      </c>
      <c r="B65" s="3">
        <v>1.55</v>
      </c>
      <c r="C65" s="3">
        <v>1.7</v>
      </c>
      <c r="D65" s="3">
        <v>1.79</v>
      </c>
      <c r="E65" s="3">
        <v>1.87</v>
      </c>
      <c r="F65" s="3">
        <v>1.86</v>
      </c>
      <c r="G65" s="3">
        <v>1.88</v>
      </c>
      <c r="H65" s="3">
        <v>1.89</v>
      </c>
      <c r="I65" s="3">
        <v>1.92</v>
      </c>
      <c r="J65" s="3">
        <v>1.94</v>
      </c>
      <c r="K65" s="3">
        <v>2.02</v>
      </c>
      <c r="L65" s="3">
        <v>2.09</v>
      </c>
      <c r="M65" s="3">
        <v>2.17</v>
      </c>
      <c r="N65" s="3">
        <v>2.2400000000000002</v>
      </c>
      <c r="O65" s="3">
        <v>2.54</v>
      </c>
      <c r="P65" s="3">
        <v>2.7</v>
      </c>
      <c r="Q65" s="3">
        <v>2.75</v>
      </c>
    </row>
    <row r="66" spans="1:17" x14ac:dyDescent="0.25">
      <c r="A66" s="4" t="s">
        <v>80</v>
      </c>
      <c r="B66" s="3">
        <v>0.94</v>
      </c>
      <c r="C66" s="3">
        <v>1.33</v>
      </c>
      <c r="D66" s="3">
        <v>1.54</v>
      </c>
      <c r="E66" s="3">
        <v>1.62</v>
      </c>
      <c r="F66" s="3">
        <v>1.66</v>
      </c>
      <c r="G66" s="3">
        <v>1.69</v>
      </c>
      <c r="H66" s="3">
        <v>1.72</v>
      </c>
      <c r="I66" s="3">
        <v>1.76</v>
      </c>
      <c r="J66" s="3">
        <v>1.79</v>
      </c>
      <c r="K66" s="3">
        <v>1.88</v>
      </c>
      <c r="L66" s="3">
        <v>1.94</v>
      </c>
      <c r="M66" s="3">
        <v>2.06</v>
      </c>
      <c r="N66" s="3">
        <v>2.14</v>
      </c>
      <c r="O66" s="3">
        <v>2.4900000000000002</v>
      </c>
      <c r="P66" s="3">
        <v>2.7</v>
      </c>
      <c r="Q66" s="3">
        <v>2.74</v>
      </c>
    </row>
    <row r="67" spans="1:17" x14ac:dyDescent="0.25">
      <c r="A67" s="4" t="s">
        <v>81</v>
      </c>
      <c r="B67" s="3">
        <v>0.9</v>
      </c>
      <c r="C67" s="3">
        <v>1.34</v>
      </c>
      <c r="D67" s="3">
        <v>1.56</v>
      </c>
      <c r="E67" s="3">
        <v>1.65</v>
      </c>
      <c r="F67" s="3">
        <v>1.7</v>
      </c>
      <c r="G67" s="3">
        <v>1.73</v>
      </c>
      <c r="H67" s="3">
        <v>1.75</v>
      </c>
      <c r="I67" s="3">
        <v>1.81</v>
      </c>
      <c r="J67" s="3">
        <v>1.85</v>
      </c>
      <c r="K67" s="3">
        <v>1.97</v>
      </c>
      <c r="L67" s="3">
        <v>2.08</v>
      </c>
      <c r="M67" s="3">
        <v>2.1800000000000002</v>
      </c>
      <c r="N67" s="3">
        <v>2.2799999999999998</v>
      </c>
      <c r="O67" s="3">
        <v>2.64</v>
      </c>
      <c r="P67" s="3">
        <v>2.79</v>
      </c>
      <c r="Q67" s="3">
        <v>2.78</v>
      </c>
    </row>
    <row r="68" spans="1:17" x14ac:dyDescent="0.25">
      <c r="A68" s="4" t="s">
        <v>82</v>
      </c>
      <c r="B68" s="3">
        <v>1.1000000000000001</v>
      </c>
      <c r="C68" s="3">
        <v>1.37</v>
      </c>
      <c r="D68" s="3">
        <v>1.52</v>
      </c>
      <c r="E68" s="3">
        <v>1.59</v>
      </c>
      <c r="F68" s="3">
        <v>1.63</v>
      </c>
      <c r="G68" s="3">
        <v>1.66</v>
      </c>
      <c r="H68" s="3">
        <v>1.68</v>
      </c>
      <c r="I68" s="3">
        <v>1.73</v>
      </c>
      <c r="J68" s="3">
        <v>1.77</v>
      </c>
      <c r="K68" s="3">
        <v>1.9</v>
      </c>
      <c r="L68" s="3">
        <v>2.0099999999999998</v>
      </c>
      <c r="M68" s="3">
        <v>2.1</v>
      </c>
      <c r="N68" s="3">
        <v>2.1800000000000002</v>
      </c>
      <c r="O68" s="3">
        <v>2.52</v>
      </c>
      <c r="P68" s="3">
        <v>2.74</v>
      </c>
      <c r="Q68" s="3">
        <v>2.79</v>
      </c>
    </row>
    <row r="69" spans="1:17" x14ac:dyDescent="0.25">
      <c r="A69" s="4" t="s">
        <v>83</v>
      </c>
      <c r="B69" s="3">
        <v>1.39</v>
      </c>
      <c r="C69" s="3">
        <v>1.58</v>
      </c>
      <c r="D69" s="3">
        <v>1.68</v>
      </c>
      <c r="E69" s="3">
        <v>1.72</v>
      </c>
      <c r="F69" s="3">
        <v>1.75</v>
      </c>
      <c r="G69" s="3">
        <v>1.76</v>
      </c>
      <c r="H69" s="3">
        <v>1.77</v>
      </c>
      <c r="I69" s="3">
        <v>1.8</v>
      </c>
      <c r="J69" s="3">
        <v>1.81</v>
      </c>
      <c r="K69" s="3">
        <v>1.87</v>
      </c>
      <c r="L69" s="3">
        <v>1.94</v>
      </c>
      <c r="M69" s="3">
        <v>2.02</v>
      </c>
      <c r="N69" s="3">
        <v>2.1</v>
      </c>
      <c r="O69" s="3">
        <v>2.44</v>
      </c>
      <c r="P69" s="3">
        <v>2.61</v>
      </c>
      <c r="Q69" s="3">
        <v>2.63</v>
      </c>
    </row>
    <row r="70" spans="1:17" x14ac:dyDescent="0.25">
      <c r="A70" s="4" t="s">
        <v>84</v>
      </c>
      <c r="B70" s="3">
        <v>1.43</v>
      </c>
      <c r="C70" s="3">
        <v>1.64</v>
      </c>
      <c r="D70" s="3">
        <v>1.75</v>
      </c>
      <c r="E70" s="3">
        <v>1.79</v>
      </c>
      <c r="F70" s="3">
        <v>1.82</v>
      </c>
      <c r="G70" s="3">
        <v>1.83</v>
      </c>
      <c r="H70" s="3">
        <v>1.84</v>
      </c>
      <c r="I70" s="3">
        <v>1.87</v>
      </c>
      <c r="J70" s="3">
        <v>1.89</v>
      </c>
      <c r="K70" s="3">
        <v>1.95</v>
      </c>
      <c r="L70" s="3">
        <v>2</v>
      </c>
      <c r="M70" s="3">
        <v>2.06</v>
      </c>
      <c r="N70" s="3">
        <v>2.12</v>
      </c>
      <c r="O70" s="3">
        <v>2.39</v>
      </c>
      <c r="P70" s="3">
        <v>2.58</v>
      </c>
      <c r="Q70" s="3">
        <v>2.65</v>
      </c>
    </row>
    <row r="71" spans="1:17" x14ac:dyDescent="0.25">
      <c r="A71" s="4" t="s">
        <v>85</v>
      </c>
      <c r="B71" s="3">
        <v>1.65</v>
      </c>
      <c r="C71" s="3">
        <v>1.75</v>
      </c>
      <c r="D71" s="3">
        <v>1.8</v>
      </c>
      <c r="E71" s="3">
        <v>1.83</v>
      </c>
      <c r="F71" s="3">
        <v>1.85</v>
      </c>
      <c r="G71" s="3">
        <v>1.87</v>
      </c>
      <c r="H71" s="3">
        <v>1.88</v>
      </c>
      <c r="I71" s="3">
        <v>1.92</v>
      </c>
      <c r="J71" s="3">
        <v>1.95</v>
      </c>
      <c r="K71" s="3">
        <v>2.0499999999999998</v>
      </c>
      <c r="L71" s="3">
        <v>2.13</v>
      </c>
      <c r="M71" s="3">
        <v>2.19</v>
      </c>
      <c r="N71" s="3">
        <v>2.2400000000000002</v>
      </c>
      <c r="O71" s="3">
        <v>2.42</v>
      </c>
      <c r="P71" s="3">
        <v>2.61</v>
      </c>
      <c r="Q71" s="3">
        <v>2.68</v>
      </c>
    </row>
    <row r="72" spans="1:17" x14ac:dyDescent="0.25">
      <c r="A72" s="4" t="s">
        <v>86</v>
      </c>
      <c r="B72" s="3">
        <v>1.72</v>
      </c>
      <c r="C72" s="3">
        <v>1.8</v>
      </c>
      <c r="D72" s="3">
        <v>1.86</v>
      </c>
      <c r="E72" s="3">
        <v>1.89</v>
      </c>
      <c r="F72" s="3">
        <v>1.91</v>
      </c>
      <c r="G72" s="3">
        <v>1.92</v>
      </c>
      <c r="H72" s="3">
        <v>1.94</v>
      </c>
      <c r="I72" s="3">
        <v>1.98</v>
      </c>
      <c r="J72" s="3">
        <v>2.0099999999999998</v>
      </c>
      <c r="K72" s="3">
        <v>2.13</v>
      </c>
      <c r="L72" s="3">
        <v>2.2200000000000002</v>
      </c>
      <c r="M72" s="3">
        <v>2.2799999999999998</v>
      </c>
      <c r="N72" s="3">
        <v>2.3199999999999998</v>
      </c>
      <c r="O72" s="3">
        <v>2.4700000000000002</v>
      </c>
      <c r="P72" s="3">
        <v>2.61</v>
      </c>
      <c r="Q72" s="3">
        <v>2.68</v>
      </c>
    </row>
    <row r="73" spans="1:17" x14ac:dyDescent="0.25">
      <c r="A73" s="4" t="s">
        <v>87</v>
      </c>
      <c r="B73" s="3">
        <v>1.46</v>
      </c>
      <c r="C73" s="3">
        <v>1.71</v>
      </c>
      <c r="D73" s="3">
        <v>1.85</v>
      </c>
      <c r="E73" s="3">
        <v>1.91</v>
      </c>
      <c r="F73" s="3">
        <v>1.95</v>
      </c>
      <c r="G73" s="3">
        <v>1.98</v>
      </c>
      <c r="H73" s="3">
        <v>2</v>
      </c>
      <c r="I73" s="3">
        <v>2.0499999999999998</v>
      </c>
      <c r="J73" s="3">
        <v>2.09</v>
      </c>
      <c r="K73" s="3">
        <v>2.21</v>
      </c>
      <c r="L73" s="3">
        <v>2.2999999999999998</v>
      </c>
      <c r="M73" s="3">
        <v>2.36</v>
      </c>
      <c r="N73" s="3">
        <v>2.41</v>
      </c>
      <c r="O73" s="3">
        <v>2.56</v>
      </c>
      <c r="P73" s="3">
        <v>2.69</v>
      </c>
      <c r="Q73" s="3">
        <v>2.74</v>
      </c>
    </row>
    <row r="74" spans="1:17" x14ac:dyDescent="0.25">
      <c r="A74" s="4" t="s">
        <v>88</v>
      </c>
      <c r="B74" s="3">
        <v>1.06</v>
      </c>
      <c r="C74" s="3">
        <v>1.46</v>
      </c>
      <c r="D74" s="3">
        <v>1.7</v>
      </c>
      <c r="E74" s="3">
        <v>1.81</v>
      </c>
      <c r="F74" s="3">
        <v>1.87</v>
      </c>
      <c r="G74" s="3">
        <v>1.91</v>
      </c>
      <c r="H74" s="3">
        <v>1.94</v>
      </c>
      <c r="I74" s="3">
        <v>2</v>
      </c>
      <c r="J74" s="3">
        <v>2.04</v>
      </c>
      <c r="K74" s="3">
        <v>2.17</v>
      </c>
      <c r="L74" s="3">
        <v>2.27</v>
      </c>
      <c r="M74" s="3">
        <v>2.35</v>
      </c>
      <c r="N74" s="3">
        <v>2.4300000000000002</v>
      </c>
      <c r="O74" s="3">
        <v>2.7</v>
      </c>
      <c r="P74" s="3">
        <v>2.83</v>
      </c>
      <c r="Q74" s="3">
        <v>2.83</v>
      </c>
    </row>
    <row r="75" spans="1:17" x14ac:dyDescent="0.25">
      <c r="A75" s="4" t="s">
        <v>89</v>
      </c>
      <c r="B75" s="3">
        <v>1.32</v>
      </c>
      <c r="C75" s="3">
        <v>1.59</v>
      </c>
      <c r="D75" s="3">
        <v>1.75</v>
      </c>
      <c r="E75" s="3">
        <v>1.82</v>
      </c>
      <c r="F75" s="3">
        <v>1.86</v>
      </c>
      <c r="G75" s="3">
        <v>1.89</v>
      </c>
      <c r="H75" s="3">
        <v>1.92</v>
      </c>
      <c r="I75" s="3">
        <v>1.94</v>
      </c>
      <c r="J75" s="3">
        <v>2.0099999999999998</v>
      </c>
      <c r="K75" s="3">
        <v>2.13</v>
      </c>
      <c r="L75" s="3">
        <v>2.2200000000000002</v>
      </c>
      <c r="M75" s="3">
        <v>2.2799999999999998</v>
      </c>
      <c r="N75" s="3">
        <v>2.34</v>
      </c>
      <c r="O75" s="3">
        <v>2.54</v>
      </c>
      <c r="P75" s="3">
        <v>2.69</v>
      </c>
      <c r="Q75" s="3">
        <v>2.75</v>
      </c>
    </row>
    <row r="76" spans="1:17" x14ac:dyDescent="0.25">
      <c r="A76" s="4" t="s">
        <v>90</v>
      </c>
      <c r="B76" s="3">
        <v>1.55</v>
      </c>
      <c r="C76" s="3">
        <v>1.78</v>
      </c>
      <c r="D76" s="3">
        <v>1.92</v>
      </c>
      <c r="E76" s="3">
        <v>1.99</v>
      </c>
      <c r="F76" s="3">
        <v>2.02</v>
      </c>
      <c r="G76" s="3">
        <v>2.0499999999999998</v>
      </c>
      <c r="H76" s="3">
        <v>2.0699999999999998</v>
      </c>
      <c r="I76" s="3">
        <v>2.11</v>
      </c>
      <c r="J76" s="3">
        <v>2.13</v>
      </c>
      <c r="K76" s="3">
        <v>2.21</v>
      </c>
      <c r="L76" s="3">
        <v>2.27</v>
      </c>
      <c r="M76" s="3">
        <v>2.31</v>
      </c>
      <c r="N76" s="3">
        <v>2.35</v>
      </c>
      <c r="O76" s="3">
        <v>2.52</v>
      </c>
      <c r="P76" s="3">
        <v>2.69</v>
      </c>
      <c r="Q76" s="3">
        <v>2.77</v>
      </c>
    </row>
    <row r="77" spans="1:17" x14ac:dyDescent="0.25">
      <c r="A77" s="4" t="s">
        <v>91</v>
      </c>
      <c r="B77" s="3">
        <v>1.82</v>
      </c>
      <c r="C77" s="3">
        <v>1.94</v>
      </c>
      <c r="D77" s="3">
        <v>2.02</v>
      </c>
      <c r="E77" s="3">
        <v>2.06</v>
      </c>
      <c r="F77" s="3">
        <v>2.08</v>
      </c>
      <c r="G77" s="3">
        <v>2.09</v>
      </c>
      <c r="H77" s="3">
        <v>2.11</v>
      </c>
      <c r="I77" s="3">
        <v>2.14</v>
      </c>
      <c r="J77" s="3">
        <v>2.16</v>
      </c>
      <c r="K77" s="3">
        <v>2.2400000000000002</v>
      </c>
      <c r="L77" s="3">
        <v>2.2999999999999998</v>
      </c>
      <c r="M77" s="3">
        <v>2.34</v>
      </c>
      <c r="N77" s="3">
        <v>2.38</v>
      </c>
      <c r="O77" s="3">
        <v>2.56</v>
      </c>
      <c r="P77" s="3">
        <v>2.76</v>
      </c>
    </row>
    <row r="78" spans="1:17" x14ac:dyDescent="0.25">
      <c r="A78" s="4" t="s">
        <v>92</v>
      </c>
      <c r="B78" s="3">
        <v>1.63</v>
      </c>
      <c r="C78" s="3">
        <v>1.82</v>
      </c>
      <c r="D78" s="3">
        <v>1.93</v>
      </c>
      <c r="E78" s="3">
        <v>1.97</v>
      </c>
      <c r="F78" s="3">
        <v>2</v>
      </c>
      <c r="G78" s="3">
        <v>2.02</v>
      </c>
      <c r="H78" s="3">
        <v>2.0299999999999998</v>
      </c>
      <c r="I78" s="3">
        <v>2.06</v>
      </c>
      <c r="J78" s="3">
        <v>2.09</v>
      </c>
      <c r="K78" s="3">
        <v>2.1800000000000002</v>
      </c>
      <c r="L78" s="3">
        <v>2.2599999999999998</v>
      </c>
      <c r="M78" s="3">
        <v>2.33</v>
      </c>
      <c r="N78" s="3">
        <v>2.4</v>
      </c>
      <c r="O78" s="3">
        <v>2.66</v>
      </c>
      <c r="P78" s="3">
        <v>2.8</v>
      </c>
    </row>
    <row r="79" spans="1:17" x14ac:dyDescent="0.25">
      <c r="A79" s="4" t="s">
        <v>93</v>
      </c>
      <c r="B79" s="3">
        <v>1.86</v>
      </c>
      <c r="C79" s="3">
        <v>2.02</v>
      </c>
      <c r="D79" s="3">
        <v>2.11</v>
      </c>
      <c r="E79" s="3">
        <v>2.15</v>
      </c>
      <c r="F79" s="3">
        <v>2.16</v>
      </c>
      <c r="G79" s="3">
        <v>2.1800000000000002</v>
      </c>
      <c r="H79" s="3">
        <v>2.19</v>
      </c>
      <c r="I79" s="3">
        <v>2.2000000000000002</v>
      </c>
      <c r="J79" s="3">
        <v>2.2200000000000002</v>
      </c>
      <c r="K79" s="3">
        <v>2.2599999999999998</v>
      </c>
      <c r="L79" s="3">
        <v>2.31</v>
      </c>
      <c r="M79" s="3">
        <v>2.37</v>
      </c>
      <c r="N79" s="3">
        <v>2.44</v>
      </c>
      <c r="O79" s="3">
        <v>2.73</v>
      </c>
      <c r="P79" s="3">
        <v>2.9</v>
      </c>
    </row>
    <row r="80" spans="1:17" x14ac:dyDescent="0.25">
      <c r="A80" s="4" t="s">
        <v>94</v>
      </c>
      <c r="B80" s="3">
        <v>1.95</v>
      </c>
      <c r="C80" s="3">
        <v>1.99</v>
      </c>
      <c r="D80" s="3">
        <v>2.0099999999999998</v>
      </c>
      <c r="E80" s="3">
        <v>2.0299999999999998</v>
      </c>
      <c r="F80" s="3">
        <v>2.0499999999999998</v>
      </c>
      <c r="G80" s="3">
        <v>2.06</v>
      </c>
      <c r="H80" s="3">
        <v>2.0699999999999998</v>
      </c>
      <c r="I80" s="3">
        <v>2.1</v>
      </c>
      <c r="J80" s="3">
        <v>2.13</v>
      </c>
      <c r="K80" s="3">
        <v>2.2400000000000002</v>
      </c>
      <c r="L80" s="3">
        <v>2.33</v>
      </c>
      <c r="M80" s="3">
        <v>2.41</v>
      </c>
      <c r="N80" s="3">
        <v>2.48</v>
      </c>
      <c r="O80" s="3">
        <v>2.76</v>
      </c>
      <c r="P80" s="3">
        <v>2.92</v>
      </c>
    </row>
    <row r="81" spans="1:18" x14ac:dyDescent="0.25">
      <c r="A81" s="4" t="s">
        <v>95</v>
      </c>
      <c r="B81" s="3">
        <v>1.78</v>
      </c>
      <c r="C81" s="3">
        <v>2.06</v>
      </c>
      <c r="D81" s="3">
        <v>2.23</v>
      </c>
      <c r="E81" s="3">
        <v>2.2999999999999998</v>
      </c>
      <c r="F81" s="3">
        <v>2.34</v>
      </c>
      <c r="G81" s="3">
        <v>2.37</v>
      </c>
      <c r="H81" s="3">
        <v>2.39</v>
      </c>
      <c r="I81" s="3">
        <v>2.4300000000000002</v>
      </c>
      <c r="J81" s="3">
        <v>2.46</v>
      </c>
      <c r="K81" s="3">
        <v>2.5499999999999998</v>
      </c>
      <c r="L81" s="3">
        <v>2.63</v>
      </c>
      <c r="M81" s="3">
        <v>2.7</v>
      </c>
      <c r="N81" s="3">
        <v>2.76</v>
      </c>
      <c r="O81" s="3">
        <v>3</v>
      </c>
      <c r="P81" s="3">
        <v>3.1</v>
      </c>
      <c r="Q81" s="3">
        <v>3.14</v>
      </c>
      <c r="R81" s="3">
        <v>3.19</v>
      </c>
    </row>
    <row r="82" spans="1:18" x14ac:dyDescent="0.25">
      <c r="A82" s="4" t="s">
        <v>96</v>
      </c>
      <c r="B82" s="3">
        <v>1.43</v>
      </c>
      <c r="C82" s="3">
        <v>1.94</v>
      </c>
      <c r="D82" s="3">
        <v>2.23</v>
      </c>
      <c r="E82" s="3">
        <v>2.35</v>
      </c>
      <c r="F82" s="3">
        <v>2.42</v>
      </c>
      <c r="G82" s="3">
        <v>2.4700000000000002</v>
      </c>
      <c r="H82" s="3">
        <v>2.5</v>
      </c>
      <c r="I82" s="3">
        <v>2.58</v>
      </c>
      <c r="J82" s="3">
        <v>2.63</v>
      </c>
      <c r="K82" s="3">
        <v>2.79</v>
      </c>
      <c r="L82" s="3">
        <v>2.91</v>
      </c>
      <c r="M82" s="3">
        <v>3.01</v>
      </c>
      <c r="N82" s="3">
        <v>3.09</v>
      </c>
      <c r="O82" s="3">
        <v>3.31</v>
      </c>
      <c r="P82" s="3">
        <v>3.29</v>
      </c>
      <c r="Q82" s="3">
        <v>3.22</v>
      </c>
      <c r="R82" s="3">
        <v>3.19</v>
      </c>
    </row>
    <row r="83" spans="1:18" x14ac:dyDescent="0.25">
      <c r="A83" s="4" t="s">
        <v>97</v>
      </c>
      <c r="B83" s="3">
        <v>1.18</v>
      </c>
      <c r="C83" s="3">
        <v>1.61</v>
      </c>
      <c r="D83" s="3">
        <v>1.89</v>
      </c>
      <c r="E83" s="3">
        <v>2.0299999999999998</v>
      </c>
      <c r="F83" s="3">
        <v>2.11</v>
      </c>
      <c r="G83" s="3">
        <v>2.17</v>
      </c>
      <c r="H83" s="3">
        <v>2.2000000000000002</v>
      </c>
      <c r="I83" s="3">
        <v>2.2799999999999998</v>
      </c>
      <c r="J83" s="3">
        <v>2.33</v>
      </c>
      <c r="K83" s="3">
        <v>2.48</v>
      </c>
      <c r="L83" s="3">
        <v>2.59</v>
      </c>
      <c r="M83" s="3">
        <v>2.69</v>
      </c>
      <c r="N83" s="3">
        <v>2.76</v>
      </c>
      <c r="O83" s="3">
        <v>3.01</v>
      </c>
      <c r="P83" s="3">
        <v>3.06</v>
      </c>
      <c r="Q83" s="3">
        <v>3.06</v>
      </c>
      <c r="R83" s="3">
        <v>3.12</v>
      </c>
    </row>
    <row r="84" spans="1:18" x14ac:dyDescent="0.25">
      <c r="A84" s="4" t="s">
        <v>98</v>
      </c>
      <c r="B84" s="3">
        <v>1.72</v>
      </c>
      <c r="C84" s="3">
        <v>1.94</v>
      </c>
      <c r="D84" s="3">
        <v>2.06</v>
      </c>
      <c r="E84" s="3">
        <v>2.12</v>
      </c>
      <c r="F84" s="3">
        <v>2.16</v>
      </c>
      <c r="G84" s="3">
        <v>2.19</v>
      </c>
      <c r="H84" s="3">
        <v>2.21</v>
      </c>
      <c r="I84" s="3">
        <v>2.2599999999999998</v>
      </c>
      <c r="J84" s="3">
        <v>2.31</v>
      </c>
      <c r="K84" s="3">
        <v>2.4500000000000002</v>
      </c>
      <c r="L84" s="3">
        <v>2.57</v>
      </c>
      <c r="M84" s="3">
        <v>2.66</v>
      </c>
      <c r="N84" s="3">
        <v>2.74</v>
      </c>
      <c r="O84" s="3">
        <v>2.99</v>
      </c>
      <c r="P84" s="3">
        <v>3.05</v>
      </c>
      <c r="Q84" s="3">
        <v>3.11</v>
      </c>
    </row>
    <row r="85" spans="1:18" x14ac:dyDescent="0.25">
      <c r="A85" s="4" t="s">
        <v>99</v>
      </c>
      <c r="B85" s="3">
        <v>1.62</v>
      </c>
      <c r="C85" s="3">
        <v>1.79</v>
      </c>
      <c r="D85" s="3">
        <v>1.89</v>
      </c>
      <c r="E85" s="3">
        <v>1.95</v>
      </c>
      <c r="F85" s="3">
        <v>1.99</v>
      </c>
      <c r="G85" s="3">
        <v>2.0299999999999998</v>
      </c>
      <c r="H85" s="3">
        <v>2.06</v>
      </c>
      <c r="I85" s="3">
        <v>2.14</v>
      </c>
      <c r="J85" s="3">
        <v>2.21</v>
      </c>
      <c r="K85" s="3">
        <v>2.4500000000000002</v>
      </c>
      <c r="L85" s="3">
        <v>2.64</v>
      </c>
      <c r="M85" s="3">
        <v>2.77</v>
      </c>
      <c r="N85" s="3">
        <v>2.86</v>
      </c>
      <c r="O85" s="3">
        <v>3.09</v>
      </c>
      <c r="P85" s="3">
        <v>3.13</v>
      </c>
      <c r="Q85" s="3">
        <v>3.15</v>
      </c>
    </row>
    <row r="86" spans="1:18" x14ac:dyDescent="0.25">
      <c r="A86" s="4" t="s">
        <v>100</v>
      </c>
      <c r="B86" s="3">
        <v>0.86</v>
      </c>
      <c r="C86" s="3">
        <v>1.22</v>
      </c>
      <c r="D86" s="3">
        <v>1.46</v>
      </c>
      <c r="E86" s="3">
        <v>1.59</v>
      </c>
      <c r="F86" s="3">
        <v>1.67</v>
      </c>
      <c r="G86" s="3">
        <v>1.72</v>
      </c>
      <c r="H86" s="3">
        <v>1.77</v>
      </c>
      <c r="I86" s="3">
        <v>1.87</v>
      </c>
      <c r="J86" s="3">
        <v>1.95</v>
      </c>
      <c r="K86" s="3">
        <v>2.1800000000000002</v>
      </c>
      <c r="L86" s="3">
        <v>2.34</v>
      </c>
      <c r="M86" s="3">
        <v>2.4300000000000002</v>
      </c>
      <c r="N86" s="3">
        <v>2.4900000000000002</v>
      </c>
      <c r="O86" s="3">
        <v>2.65</v>
      </c>
      <c r="P86" s="3">
        <v>2.8</v>
      </c>
      <c r="Q86" s="3">
        <v>2.98</v>
      </c>
    </row>
    <row r="87" spans="1:18" x14ac:dyDescent="0.25">
      <c r="A87" s="4" t="s">
        <v>101</v>
      </c>
      <c r="B87" s="3">
        <v>0.65</v>
      </c>
      <c r="C87" s="3">
        <v>0.98</v>
      </c>
      <c r="D87" s="3">
        <v>1.19</v>
      </c>
      <c r="E87" s="3">
        <v>1.31</v>
      </c>
      <c r="F87" s="3">
        <v>1.39</v>
      </c>
      <c r="G87" s="3">
        <v>1.44</v>
      </c>
      <c r="H87" s="3">
        <v>1.49</v>
      </c>
      <c r="I87" s="3">
        <v>1.6</v>
      </c>
      <c r="J87" s="3">
        <v>1.7</v>
      </c>
      <c r="K87" s="3">
        <v>1.99</v>
      </c>
      <c r="L87" s="3">
        <v>2.2000000000000002</v>
      </c>
      <c r="M87" s="3">
        <v>2.34</v>
      </c>
      <c r="N87" s="3">
        <v>2.44</v>
      </c>
      <c r="O87" s="3">
        <v>2.71</v>
      </c>
      <c r="P87" s="3">
        <v>2.88</v>
      </c>
      <c r="Q87" s="3">
        <v>2.99</v>
      </c>
    </row>
    <row r="88" spans="1:18" x14ac:dyDescent="0.25">
      <c r="A88" s="4" t="s">
        <v>102</v>
      </c>
      <c r="B88" s="3">
        <v>1.36</v>
      </c>
      <c r="C88" s="3">
        <v>1.44</v>
      </c>
      <c r="D88" s="3">
        <v>1.49</v>
      </c>
      <c r="E88" s="3">
        <v>1.53</v>
      </c>
      <c r="F88" s="3">
        <v>1.56</v>
      </c>
      <c r="G88" s="3">
        <v>1.59</v>
      </c>
      <c r="H88" s="3">
        <v>1.62</v>
      </c>
      <c r="I88" s="3">
        <v>1.69</v>
      </c>
      <c r="J88" s="3">
        <v>1.76</v>
      </c>
      <c r="K88" s="3">
        <v>1.98</v>
      </c>
      <c r="L88" s="3">
        <v>2.16</v>
      </c>
      <c r="M88" s="3">
        <v>2.2999999999999998</v>
      </c>
      <c r="N88" s="3">
        <v>2.4</v>
      </c>
      <c r="O88" s="3">
        <v>2.75</v>
      </c>
      <c r="P88" s="3">
        <v>2.95</v>
      </c>
      <c r="Q88" s="3">
        <v>3.04</v>
      </c>
    </row>
    <row r="89" spans="1:18" x14ac:dyDescent="0.25">
      <c r="A89" s="4" t="s">
        <v>103</v>
      </c>
      <c r="B89" s="3">
        <v>1.0900000000000001</v>
      </c>
      <c r="C89" s="3">
        <v>1.25</v>
      </c>
      <c r="D89" s="3">
        <v>1.35</v>
      </c>
      <c r="E89" s="3">
        <v>1.42</v>
      </c>
      <c r="F89" s="3">
        <v>1.46</v>
      </c>
      <c r="G89" s="3">
        <v>1.49</v>
      </c>
      <c r="H89" s="3">
        <v>1.52</v>
      </c>
      <c r="I89" s="3">
        <v>1.6</v>
      </c>
      <c r="J89" s="3">
        <v>1.66</v>
      </c>
      <c r="K89" s="3">
        <v>1.88</v>
      </c>
      <c r="L89" s="3">
        <v>2.0299999999999998</v>
      </c>
      <c r="M89" s="3">
        <v>2.13</v>
      </c>
      <c r="N89" s="3">
        <v>2.21</v>
      </c>
      <c r="O89" s="3">
        <v>2.48</v>
      </c>
      <c r="P89" s="3">
        <v>2.71</v>
      </c>
      <c r="Q89" s="3">
        <v>2.88</v>
      </c>
    </row>
    <row r="90" spans="1:18" x14ac:dyDescent="0.25">
      <c r="A90" s="4" t="s">
        <v>104</v>
      </c>
      <c r="B90" s="3">
        <v>1.05</v>
      </c>
      <c r="C90" s="3">
        <v>0.96</v>
      </c>
      <c r="D90" s="3">
        <v>0.92</v>
      </c>
      <c r="E90" s="3">
        <v>0.93</v>
      </c>
      <c r="F90" s="3">
        <v>0.95</v>
      </c>
      <c r="G90" s="3">
        <v>0.97</v>
      </c>
      <c r="H90" s="3">
        <v>1</v>
      </c>
      <c r="I90" s="3">
        <v>1.1000000000000001</v>
      </c>
      <c r="J90" s="3">
        <v>1.19</v>
      </c>
      <c r="K90" s="3">
        <v>1.53</v>
      </c>
      <c r="L90" s="3">
        <v>1.78</v>
      </c>
      <c r="M90" s="3">
        <v>1.95</v>
      </c>
      <c r="N90" s="3">
        <v>2.09</v>
      </c>
      <c r="O90" s="3">
        <v>2.4900000000000002</v>
      </c>
      <c r="P90" s="3">
        <v>2.69</v>
      </c>
      <c r="Q90" s="3">
        <v>2.82</v>
      </c>
    </row>
    <row r="91" spans="1:18" x14ac:dyDescent="0.25">
      <c r="A91" s="4" t="s">
        <v>105</v>
      </c>
      <c r="B91" s="3">
        <v>0.84</v>
      </c>
      <c r="C91" s="3">
        <v>0.89</v>
      </c>
      <c r="D91" s="3">
        <v>0.92</v>
      </c>
      <c r="E91" s="3">
        <v>0.94</v>
      </c>
      <c r="F91" s="3">
        <v>0.97</v>
      </c>
      <c r="G91" s="3">
        <v>0.99</v>
      </c>
      <c r="H91" s="3">
        <v>1.01</v>
      </c>
      <c r="I91" s="3">
        <v>1.06</v>
      </c>
      <c r="J91" s="3">
        <v>1.1200000000000001</v>
      </c>
      <c r="K91" s="3">
        <v>1.34</v>
      </c>
      <c r="L91" s="3">
        <v>1.56</v>
      </c>
      <c r="M91" s="3">
        <v>1.78</v>
      </c>
      <c r="N91" s="3">
        <v>1.98</v>
      </c>
      <c r="O91" s="3">
        <v>2.4700000000000002</v>
      </c>
      <c r="P91" s="3">
        <v>2.5299999999999998</v>
      </c>
      <c r="Q91" s="3">
        <v>2.61</v>
      </c>
    </row>
    <row r="92" spans="1:18" x14ac:dyDescent="0.25">
      <c r="A92" s="4" t="s">
        <v>106</v>
      </c>
      <c r="B92" s="3">
        <v>0.99</v>
      </c>
      <c r="C92" s="3">
        <v>0.99</v>
      </c>
      <c r="D92" s="3">
        <v>0.99</v>
      </c>
      <c r="E92" s="3">
        <v>1</v>
      </c>
      <c r="F92" s="3">
        <v>1.01</v>
      </c>
      <c r="G92" s="3">
        <v>1.02</v>
      </c>
      <c r="H92" s="3">
        <v>1.04</v>
      </c>
      <c r="I92" s="3">
        <v>1.0900000000000001</v>
      </c>
      <c r="J92" s="3">
        <v>1.1399999999999999</v>
      </c>
      <c r="K92" s="3">
        <v>1.34</v>
      </c>
      <c r="L92" s="3">
        <v>1.55</v>
      </c>
      <c r="M92" s="3">
        <v>1.75</v>
      </c>
      <c r="N92" s="3">
        <v>1.93</v>
      </c>
      <c r="O92" s="3">
        <v>2.42</v>
      </c>
      <c r="P92" s="3">
        <v>2.54</v>
      </c>
      <c r="Q92" s="3">
        <v>2.63</v>
      </c>
    </row>
    <row r="93" spans="1:18" x14ac:dyDescent="0.25">
      <c r="A93" s="4" t="s">
        <v>107</v>
      </c>
      <c r="B93" s="3">
        <v>0.62</v>
      </c>
      <c r="C93" s="3">
        <v>0.67</v>
      </c>
      <c r="D93" s="3">
        <v>0.71</v>
      </c>
      <c r="E93" s="3">
        <v>0.75</v>
      </c>
      <c r="F93" s="3">
        <v>0.78</v>
      </c>
      <c r="G93" s="3">
        <v>0.81</v>
      </c>
      <c r="H93" s="3">
        <v>0.83</v>
      </c>
      <c r="I93" s="3">
        <v>0.91</v>
      </c>
      <c r="J93" s="3">
        <v>0.99</v>
      </c>
      <c r="K93" s="3">
        <v>1.23</v>
      </c>
      <c r="L93" s="3">
        <v>1.42</v>
      </c>
      <c r="M93" s="3">
        <v>1.6</v>
      </c>
      <c r="N93" s="3">
        <v>1.77</v>
      </c>
      <c r="O93" s="3">
        <v>2.34</v>
      </c>
      <c r="P93" s="3">
        <v>2.5099999999999998</v>
      </c>
      <c r="Q93" s="3">
        <v>2.6</v>
      </c>
    </row>
    <row r="94" spans="1:18" x14ac:dyDescent="0.25">
      <c r="A94" s="4" t="s">
        <v>108</v>
      </c>
      <c r="B94" s="3">
        <v>0.51</v>
      </c>
      <c r="C94" s="3">
        <v>0.6</v>
      </c>
      <c r="D94" s="3">
        <v>0.66</v>
      </c>
      <c r="E94" s="3">
        <v>0.69</v>
      </c>
      <c r="F94" s="3">
        <v>0.73</v>
      </c>
      <c r="G94" s="3">
        <v>0.76</v>
      </c>
      <c r="H94" s="3">
        <v>0.79</v>
      </c>
      <c r="I94" s="3">
        <v>0.87</v>
      </c>
      <c r="J94" s="3">
        <v>0.96</v>
      </c>
      <c r="K94" s="3">
        <v>1.28</v>
      </c>
      <c r="L94" s="3">
        <v>1.58</v>
      </c>
      <c r="M94" s="3">
        <v>1.84</v>
      </c>
      <c r="N94" s="3">
        <v>2.0299999999999998</v>
      </c>
      <c r="O94" s="3">
        <v>2.5099999999999998</v>
      </c>
      <c r="P94" s="3">
        <v>2.61</v>
      </c>
      <c r="Q94" s="3">
        <v>2.67</v>
      </c>
    </row>
    <row r="95" spans="1:18" x14ac:dyDescent="0.25">
      <c r="A95" s="4" t="s">
        <v>109</v>
      </c>
      <c r="B95" s="3">
        <v>0.67</v>
      </c>
      <c r="C95" s="3">
        <v>0.62</v>
      </c>
      <c r="D95" s="3">
        <v>0.6</v>
      </c>
      <c r="E95" s="3">
        <v>0.62</v>
      </c>
      <c r="F95" s="3">
        <v>0.63</v>
      </c>
      <c r="G95" s="3">
        <v>0.66</v>
      </c>
      <c r="H95" s="3">
        <v>0.69</v>
      </c>
      <c r="I95" s="3">
        <v>0.77</v>
      </c>
      <c r="J95" s="3">
        <v>0.85</v>
      </c>
      <c r="K95" s="3">
        <v>1.1499999999999999</v>
      </c>
      <c r="L95" s="3">
        <v>1.41</v>
      </c>
      <c r="M95" s="3">
        <v>1.65</v>
      </c>
      <c r="N95" s="3">
        <v>1.85</v>
      </c>
      <c r="O95" s="3">
        <v>2.4300000000000002</v>
      </c>
      <c r="P95" s="3">
        <v>2.5099999999999998</v>
      </c>
      <c r="Q95" s="3">
        <v>2.56</v>
      </c>
    </row>
    <row r="96" spans="1:18" x14ac:dyDescent="0.25">
      <c r="A96" s="4" t="s">
        <v>110</v>
      </c>
      <c r="B96" s="3">
        <v>0.64</v>
      </c>
      <c r="C96" s="3">
        <v>0.68</v>
      </c>
      <c r="D96" s="3">
        <v>0.71</v>
      </c>
      <c r="E96" s="3">
        <v>0.73</v>
      </c>
      <c r="F96" s="3">
        <v>0.75</v>
      </c>
      <c r="G96" s="3">
        <v>0.77</v>
      </c>
      <c r="H96" s="3">
        <v>0.79</v>
      </c>
      <c r="I96" s="3">
        <v>0.84</v>
      </c>
      <c r="J96" s="3">
        <v>0.9</v>
      </c>
      <c r="K96" s="3">
        <v>1.1599999999999999</v>
      </c>
      <c r="L96" s="3">
        <v>1.44</v>
      </c>
      <c r="M96" s="3">
        <v>1.69</v>
      </c>
      <c r="N96" s="3">
        <v>1.89</v>
      </c>
      <c r="O96" s="3">
        <v>2.39</v>
      </c>
      <c r="P96" s="3">
        <v>2.48</v>
      </c>
      <c r="Q96" s="3">
        <v>2.5299999999999998</v>
      </c>
    </row>
    <row r="97" spans="1:18" x14ac:dyDescent="0.25">
      <c r="A97" s="4" t="s">
        <v>111</v>
      </c>
      <c r="B97" s="3">
        <v>1.3</v>
      </c>
      <c r="C97" s="3">
        <v>1.1100000000000001</v>
      </c>
      <c r="D97" s="3">
        <v>1</v>
      </c>
      <c r="E97" s="3">
        <v>0.96</v>
      </c>
      <c r="F97" s="3">
        <v>0.95</v>
      </c>
      <c r="G97" s="3">
        <v>0.95</v>
      </c>
      <c r="H97" s="3">
        <v>0.96</v>
      </c>
      <c r="I97" s="3">
        <v>0.99</v>
      </c>
      <c r="J97" s="3">
        <v>1.04</v>
      </c>
      <c r="K97" s="3">
        <v>1.25</v>
      </c>
      <c r="L97" s="3">
        <v>1.49</v>
      </c>
      <c r="M97" s="3">
        <v>1.71</v>
      </c>
      <c r="N97" s="3">
        <v>1.91</v>
      </c>
      <c r="O97" s="3">
        <v>2.46</v>
      </c>
      <c r="P97" s="3">
        <v>2.5099999999999998</v>
      </c>
      <c r="Q97" s="3">
        <v>2.54</v>
      </c>
    </row>
    <row r="98" spans="1:18" x14ac:dyDescent="0.25">
      <c r="A98" s="4" t="s">
        <v>112</v>
      </c>
      <c r="B98" s="3">
        <v>0.9</v>
      </c>
      <c r="C98" s="3">
        <v>0.9</v>
      </c>
      <c r="D98" s="3">
        <v>0.92</v>
      </c>
      <c r="E98" s="3">
        <v>0.94</v>
      </c>
      <c r="F98" s="3">
        <v>0.97</v>
      </c>
      <c r="G98" s="3">
        <v>1</v>
      </c>
      <c r="H98" s="3">
        <v>1.03</v>
      </c>
      <c r="I98" s="3">
        <v>1.1200000000000001</v>
      </c>
      <c r="J98" s="3">
        <v>1.2</v>
      </c>
      <c r="K98" s="3">
        <v>1.45</v>
      </c>
      <c r="L98" s="3">
        <v>1.64</v>
      </c>
      <c r="M98" s="3">
        <v>1.81</v>
      </c>
      <c r="N98" s="3">
        <v>1.98</v>
      </c>
      <c r="O98" s="3">
        <v>2.46</v>
      </c>
      <c r="P98" s="3">
        <v>2.5</v>
      </c>
      <c r="Q98" s="3">
        <v>2.5499999999999998</v>
      </c>
    </row>
    <row r="99" spans="1:18" x14ac:dyDescent="0.25">
      <c r="A99" s="4" t="s">
        <v>113</v>
      </c>
      <c r="B99" s="3">
        <v>0.72</v>
      </c>
      <c r="C99" s="3">
        <v>0.85</v>
      </c>
      <c r="D99" s="3">
        <v>0.93</v>
      </c>
      <c r="E99" s="3">
        <v>0.98</v>
      </c>
      <c r="F99" s="3">
        <v>1.02</v>
      </c>
      <c r="G99" s="3">
        <v>1.06</v>
      </c>
      <c r="H99" s="3">
        <v>1.0900000000000001</v>
      </c>
      <c r="I99" s="3">
        <v>1.18</v>
      </c>
      <c r="J99" s="3">
        <v>1.26</v>
      </c>
      <c r="K99" s="3">
        <v>1.55</v>
      </c>
      <c r="L99" s="3">
        <v>1.79</v>
      </c>
      <c r="M99" s="3">
        <v>1.98</v>
      </c>
      <c r="N99" s="3">
        <v>2.12</v>
      </c>
      <c r="O99" s="3">
        <v>2.44</v>
      </c>
      <c r="P99" s="3">
        <v>2.52</v>
      </c>
      <c r="Q99" s="3">
        <v>2.59</v>
      </c>
    </row>
    <row r="100" spans="1:18" x14ac:dyDescent="0.25">
      <c r="A100" s="4" t="s">
        <v>114</v>
      </c>
      <c r="B100" s="3">
        <v>0.86</v>
      </c>
      <c r="C100" s="3">
        <v>0.93</v>
      </c>
      <c r="D100" s="3">
        <v>0.98</v>
      </c>
      <c r="E100" s="3">
        <v>1.02</v>
      </c>
      <c r="F100" s="3">
        <v>1.05</v>
      </c>
      <c r="G100" s="3">
        <v>1.08</v>
      </c>
      <c r="H100" s="3">
        <v>1.1000000000000001</v>
      </c>
      <c r="I100" s="3">
        <v>1.18</v>
      </c>
      <c r="J100" s="3">
        <v>1.25</v>
      </c>
      <c r="K100" s="3">
        <v>1.53</v>
      </c>
      <c r="L100" s="3">
        <v>1.79</v>
      </c>
      <c r="M100" s="3">
        <v>1.99</v>
      </c>
      <c r="N100" s="3">
        <v>2.14</v>
      </c>
      <c r="O100" s="3">
        <v>2.4900000000000002</v>
      </c>
      <c r="P100" s="3">
        <v>2.63</v>
      </c>
      <c r="Q100" s="3">
        <v>2.68</v>
      </c>
    </row>
    <row r="101" spans="1:18" x14ac:dyDescent="0.25">
      <c r="A101" s="4" t="s">
        <v>115</v>
      </c>
      <c r="B101" s="3">
        <v>0.92</v>
      </c>
      <c r="C101" s="3">
        <v>0.95</v>
      </c>
      <c r="D101" s="3">
        <v>0.98</v>
      </c>
      <c r="E101" s="3">
        <v>1.01</v>
      </c>
      <c r="F101" s="3">
        <v>1.04</v>
      </c>
      <c r="G101" s="3">
        <v>1.07</v>
      </c>
      <c r="H101" s="3">
        <v>1.1000000000000001</v>
      </c>
      <c r="I101" s="3">
        <v>1.2</v>
      </c>
      <c r="J101" s="3">
        <v>1.29</v>
      </c>
      <c r="K101" s="3">
        <v>1.61</v>
      </c>
      <c r="L101" s="3">
        <v>1.88</v>
      </c>
      <c r="M101" s="3">
        <v>2.08</v>
      </c>
      <c r="N101" s="3">
        <v>2.21</v>
      </c>
      <c r="O101" s="3">
        <v>2.5099999999999998</v>
      </c>
      <c r="P101" s="3">
        <v>2.64</v>
      </c>
      <c r="Q101" s="3">
        <v>2.69</v>
      </c>
    </row>
    <row r="102" spans="1:18" x14ac:dyDescent="0.25">
      <c r="A102" s="4" t="s">
        <v>116</v>
      </c>
      <c r="B102" s="3">
        <v>1.19</v>
      </c>
      <c r="C102" s="3">
        <v>1.1000000000000001</v>
      </c>
      <c r="D102" s="3">
        <v>1.07</v>
      </c>
      <c r="E102" s="3">
        <v>1.0900000000000001</v>
      </c>
      <c r="F102" s="3">
        <v>1.1299999999999999</v>
      </c>
      <c r="G102" s="3">
        <v>1.17</v>
      </c>
      <c r="H102" s="3">
        <v>1.22</v>
      </c>
      <c r="I102" s="3">
        <v>1.35</v>
      </c>
      <c r="J102" s="3">
        <v>1.47</v>
      </c>
      <c r="K102" s="3">
        <v>1.85</v>
      </c>
      <c r="L102" s="3">
        <v>2.0499999999999998</v>
      </c>
      <c r="M102" s="3">
        <v>2.19</v>
      </c>
      <c r="N102" s="3">
        <v>2.29</v>
      </c>
      <c r="O102" s="3">
        <v>2.65</v>
      </c>
      <c r="P102" s="3">
        <v>2.79</v>
      </c>
      <c r="Q102" s="3">
        <v>2.82</v>
      </c>
      <c r="R102" s="3">
        <v>2.82</v>
      </c>
    </row>
    <row r="103" spans="1:18" x14ac:dyDescent="0.25">
      <c r="A103" s="4" t="s">
        <v>117</v>
      </c>
      <c r="B103" s="3">
        <v>0.91</v>
      </c>
      <c r="C103" s="3">
        <v>1.1399999999999999</v>
      </c>
      <c r="D103" s="3">
        <v>1.29</v>
      </c>
      <c r="E103" s="3">
        <v>1.38</v>
      </c>
      <c r="F103" s="3">
        <v>1.45</v>
      </c>
      <c r="G103" s="3">
        <v>1.51</v>
      </c>
      <c r="H103" s="3">
        <v>1.56</v>
      </c>
      <c r="I103" s="3">
        <v>1.7</v>
      </c>
      <c r="J103" s="3">
        <v>1.82</v>
      </c>
      <c r="K103" s="3">
        <v>2.16</v>
      </c>
      <c r="L103" s="3">
        <v>2.3199999999999998</v>
      </c>
      <c r="M103" s="3">
        <v>2.4</v>
      </c>
      <c r="N103" s="3">
        <v>2.4700000000000002</v>
      </c>
      <c r="O103" s="3">
        <v>2.71</v>
      </c>
      <c r="P103" s="3">
        <v>2.83</v>
      </c>
      <c r="Q103" s="3">
        <v>2.88</v>
      </c>
      <c r="R103" s="3">
        <v>2.9</v>
      </c>
    </row>
    <row r="104" spans="1:18" x14ac:dyDescent="0.25">
      <c r="A104" s="4" t="s">
        <v>118</v>
      </c>
      <c r="B104" s="3">
        <v>1.33</v>
      </c>
      <c r="C104" s="3">
        <v>1.33</v>
      </c>
      <c r="D104" s="3">
        <v>1.35</v>
      </c>
      <c r="E104" s="3">
        <v>1.39</v>
      </c>
      <c r="F104" s="3">
        <v>1.43</v>
      </c>
      <c r="G104" s="3">
        <v>1.48</v>
      </c>
      <c r="H104" s="3">
        <v>1.52</v>
      </c>
      <c r="I104" s="3">
        <v>1.65</v>
      </c>
      <c r="J104" s="3">
        <v>1.78</v>
      </c>
      <c r="K104" s="3">
        <v>2.13</v>
      </c>
      <c r="L104" s="3">
        <v>2.2999999999999998</v>
      </c>
      <c r="M104" s="3">
        <v>2.4</v>
      </c>
      <c r="N104" s="3">
        <v>2.4700000000000002</v>
      </c>
      <c r="O104" s="3">
        <v>2.7</v>
      </c>
      <c r="P104" s="3">
        <v>2.8</v>
      </c>
      <c r="Q104" s="3">
        <v>2.84</v>
      </c>
      <c r="R104" s="3">
        <v>2.85</v>
      </c>
    </row>
    <row r="105" spans="1:18" x14ac:dyDescent="0.25">
      <c r="A105" s="4" t="s">
        <v>119</v>
      </c>
      <c r="B105" s="3">
        <v>1.44</v>
      </c>
      <c r="C105" s="3">
        <v>1.5</v>
      </c>
      <c r="D105" s="3">
        <v>1.55</v>
      </c>
      <c r="E105" s="3">
        <v>1.6</v>
      </c>
      <c r="F105" s="3">
        <v>1.65</v>
      </c>
      <c r="G105" s="3">
        <v>1.69</v>
      </c>
      <c r="H105" s="3">
        <v>1.73</v>
      </c>
      <c r="I105" s="3">
        <v>1.85</v>
      </c>
      <c r="J105" s="3">
        <v>1.95</v>
      </c>
      <c r="K105" s="3">
        <v>2.25</v>
      </c>
      <c r="L105" s="3">
        <v>2.38</v>
      </c>
      <c r="M105" s="3">
        <v>2.46</v>
      </c>
      <c r="N105" s="3">
        <v>2.5299999999999998</v>
      </c>
      <c r="O105" s="3">
        <v>2.76</v>
      </c>
      <c r="P105" s="3">
        <v>2.86</v>
      </c>
      <c r="Q105" s="3">
        <v>2.86</v>
      </c>
      <c r="R105" s="3">
        <v>2.85</v>
      </c>
    </row>
    <row r="106" spans="1:18" x14ac:dyDescent="0.25">
      <c r="A106" s="4" t="s">
        <v>120</v>
      </c>
      <c r="B106" s="3">
        <v>0.91</v>
      </c>
      <c r="C106" s="3">
        <v>1.1499999999999999</v>
      </c>
      <c r="D106" s="3">
        <v>1.32</v>
      </c>
      <c r="E106" s="3">
        <v>1.43</v>
      </c>
      <c r="F106" s="3">
        <v>1.51</v>
      </c>
      <c r="G106" s="3">
        <v>1.57</v>
      </c>
      <c r="H106" s="3">
        <v>1.62</v>
      </c>
      <c r="I106" s="3">
        <v>1.76</v>
      </c>
      <c r="J106" s="3">
        <v>1.87</v>
      </c>
      <c r="K106" s="3">
        <v>2.19</v>
      </c>
      <c r="L106" s="3">
        <v>2.35</v>
      </c>
      <c r="M106" s="3">
        <v>2.46</v>
      </c>
      <c r="N106" s="3">
        <v>2.5299999999999998</v>
      </c>
      <c r="O106" s="3">
        <v>2.73</v>
      </c>
      <c r="P106" s="3">
        <v>2.8</v>
      </c>
      <c r="Q106" s="3">
        <v>2.82</v>
      </c>
      <c r="R106" s="3">
        <v>2.83</v>
      </c>
    </row>
    <row r="107" spans="1:18" x14ac:dyDescent="0.25">
      <c r="A107" s="4" t="s">
        <v>121</v>
      </c>
      <c r="B107" s="3">
        <v>1.04</v>
      </c>
      <c r="C107" s="3">
        <v>1.27</v>
      </c>
      <c r="D107" s="3">
        <v>1.43</v>
      </c>
      <c r="E107" s="3">
        <v>1.53</v>
      </c>
      <c r="F107" s="3">
        <v>1.6</v>
      </c>
      <c r="G107" s="3">
        <v>1.66</v>
      </c>
      <c r="H107" s="3">
        <v>1.71</v>
      </c>
      <c r="I107" s="3">
        <v>1.85</v>
      </c>
      <c r="J107" s="3">
        <v>1.96</v>
      </c>
      <c r="K107" s="3">
        <v>2.29</v>
      </c>
      <c r="L107" s="3">
        <v>2.4700000000000002</v>
      </c>
      <c r="M107" s="3">
        <v>2.58</v>
      </c>
      <c r="N107" s="3">
        <v>2.66</v>
      </c>
      <c r="O107" s="3">
        <v>2.86</v>
      </c>
      <c r="P107" s="3">
        <v>2.9</v>
      </c>
      <c r="Q107" s="3">
        <v>2.88</v>
      </c>
      <c r="R107" s="3">
        <v>2.85</v>
      </c>
    </row>
    <row r="108" spans="1:18" x14ac:dyDescent="0.25">
      <c r="A108" s="4" t="s">
        <v>122</v>
      </c>
      <c r="B108" s="3">
        <v>1.56</v>
      </c>
      <c r="C108" s="3">
        <v>1.67</v>
      </c>
      <c r="D108" s="3">
        <v>1.75</v>
      </c>
      <c r="E108" s="3">
        <v>1.82</v>
      </c>
      <c r="F108" s="3">
        <v>1.87</v>
      </c>
      <c r="G108" s="3">
        <v>1.92</v>
      </c>
      <c r="H108" s="3">
        <v>1.96</v>
      </c>
      <c r="I108" s="3">
        <v>2.08</v>
      </c>
      <c r="J108" s="3">
        <v>2.19</v>
      </c>
      <c r="K108" s="3">
        <v>2.4900000000000002</v>
      </c>
      <c r="L108" s="3">
        <v>2.66</v>
      </c>
      <c r="M108" s="3">
        <v>2.76</v>
      </c>
      <c r="N108" s="3">
        <v>2.83</v>
      </c>
      <c r="O108" s="3">
        <v>2.99</v>
      </c>
      <c r="P108" s="3">
        <v>3.01</v>
      </c>
      <c r="Q108" s="3">
        <v>2.97</v>
      </c>
      <c r="R108" s="3">
        <v>2.93</v>
      </c>
    </row>
    <row r="109" spans="1:18" x14ac:dyDescent="0.25">
      <c r="A109" s="4" t="s">
        <v>123</v>
      </c>
      <c r="B109" s="3">
        <v>1.83</v>
      </c>
      <c r="C109" s="3">
        <v>1.95</v>
      </c>
      <c r="D109" s="3">
        <v>2.04</v>
      </c>
      <c r="E109" s="3">
        <v>2.1</v>
      </c>
      <c r="F109" s="3">
        <v>2.15</v>
      </c>
      <c r="G109" s="3">
        <v>2.19</v>
      </c>
      <c r="H109" s="3">
        <v>2.23</v>
      </c>
      <c r="I109" s="3">
        <v>2.33</v>
      </c>
      <c r="J109" s="3">
        <v>2.41</v>
      </c>
      <c r="K109" s="3">
        <v>2.66</v>
      </c>
      <c r="L109" s="3">
        <v>2.78</v>
      </c>
      <c r="M109" s="3">
        <v>2.85</v>
      </c>
      <c r="N109" s="3">
        <v>2.9</v>
      </c>
      <c r="O109" s="3">
        <v>2.96</v>
      </c>
      <c r="P109" s="3">
        <v>2.96</v>
      </c>
      <c r="Q109" s="3">
        <v>2.94</v>
      </c>
      <c r="R109" s="3">
        <v>2.94</v>
      </c>
    </row>
    <row r="110" spans="1:18" x14ac:dyDescent="0.25">
      <c r="A110" s="4" t="s">
        <v>124</v>
      </c>
      <c r="B110" s="3">
        <v>2.16</v>
      </c>
      <c r="C110" s="3">
        <v>2.15</v>
      </c>
      <c r="D110" s="3">
        <v>2.14</v>
      </c>
      <c r="E110" s="3">
        <v>2.15</v>
      </c>
      <c r="F110" s="3">
        <v>2.16</v>
      </c>
      <c r="G110" s="3">
        <v>2.17</v>
      </c>
      <c r="H110" s="3">
        <v>2.19</v>
      </c>
      <c r="I110" s="3">
        <v>2.23</v>
      </c>
      <c r="J110" s="3">
        <v>2.2799999999999998</v>
      </c>
      <c r="K110" s="3">
        <v>2.46</v>
      </c>
      <c r="L110" s="3">
        <v>2.62</v>
      </c>
      <c r="M110" s="3">
        <v>2.72</v>
      </c>
      <c r="N110" s="3">
        <v>2.79</v>
      </c>
      <c r="O110" s="3">
        <v>2.89</v>
      </c>
      <c r="P110" s="3">
        <v>2.91</v>
      </c>
      <c r="Q110" s="3">
        <v>2.92</v>
      </c>
      <c r="R110" s="3">
        <v>2.93</v>
      </c>
    </row>
    <row r="111" spans="1:18" x14ac:dyDescent="0.25">
      <c r="A111" s="4" t="s">
        <v>125</v>
      </c>
      <c r="B111" s="3">
        <v>2.0299999999999998</v>
      </c>
      <c r="C111" s="3">
        <v>2.0499999999999998</v>
      </c>
      <c r="D111" s="3">
        <v>2.0699999999999998</v>
      </c>
      <c r="E111" s="3">
        <v>2.1</v>
      </c>
      <c r="F111" s="3">
        <v>2.13</v>
      </c>
      <c r="G111" s="3">
        <v>2.15</v>
      </c>
      <c r="H111" s="3">
        <v>2.1800000000000002</v>
      </c>
      <c r="I111" s="3">
        <v>2.25</v>
      </c>
      <c r="J111" s="3">
        <v>2.31</v>
      </c>
      <c r="K111" s="3">
        <v>2.5</v>
      </c>
      <c r="L111" s="3">
        <v>2.6</v>
      </c>
      <c r="M111" s="3">
        <v>2.66</v>
      </c>
      <c r="N111" s="3">
        <v>2.7</v>
      </c>
      <c r="O111" s="3">
        <v>2.81</v>
      </c>
      <c r="P111" s="3">
        <v>2.85</v>
      </c>
      <c r="Q111" s="3">
        <v>2.86</v>
      </c>
      <c r="R111" s="3">
        <v>2.88</v>
      </c>
    </row>
    <row r="112" spans="1:18" x14ac:dyDescent="0.25">
      <c r="A112" s="4" t="s">
        <v>126</v>
      </c>
      <c r="B112" s="3">
        <v>1.8</v>
      </c>
      <c r="C112" s="3">
        <v>2.11</v>
      </c>
      <c r="D112" s="3">
        <v>2.31</v>
      </c>
      <c r="E112" s="3">
        <v>2.41</v>
      </c>
      <c r="F112" s="3">
        <v>2.4700000000000002</v>
      </c>
      <c r="G112" s="3">
        <v>2.5099999999999998</v>
      </c>
      <c r="H112" s="3">
        <v>2.5499999999999998</v>
      </c>
      <c r="I112" s="3">
        <v>2.63</v>
      </c>
      <c r="J112" s="3">
        <v>2.69</v>
      </c>
      <c r="K112" s="3">
        <v>2.81</v>
      </c>
      <c r="L112" s="3">
        <v>2.83</v>
      </c>
      <c r="M112" s="3">
        <v>2.84</v>
      </c>
      <c r="N112" s="3">
        <v>2.85</v>
      </c>
      <c r="O112" s="3">
        <v>2.89</v>
      </c>
      <c r="P112" s="3">
        <v>2.92</v>
      </c>
      <c r="Q112" s="3">
        <v>2.93</v>
      </c>
      <c r="R112" s="3">
        <v>2.95</v>
      </c>
    </row>
    <row r="113" spans="1:18" x14ac:dyDescent="0.25">
      <c r="A113" s="4" t="s">
        <v>127</v>
      </c>
      <c r="B113" s="3">
        <v>2.34</v>
      </c>
      <c r="C113" s="3">
        <v>2.42</v>
      </c>
      <c r="D113" s="3">
        <v>2.4900000000000002</v>
      </c>
      <c r="E113" s="3">
        <v>2.5299999999999998</v>
      </c>
      <c r="F113" s="3">
        <v>2.56</v>
      </c>
      <c r="G113" s="3">
        <v>2.59</v>
      </c>
      <c r="H113" s="3">
        <v>2.61</v>
      </c>
      <c r="I113" s="3">
        <v>2.68</v>
      </c>
      <c r="J113" s="3">
        <v>2.73</v>
      </c>
      <c r="K113" s="3">
        <v>2.84</v>
      </c>
      <c r="L113" s="3">
        <v>2.86</v>
      </c>
      <c r="M113" s="3">
        <v>2.87</v>
      </c>
      <c r="N113" s="3">
        <v>2.88</v>
      </c>
      <c r="O113" s="3">
        <v>2.92</v>
      </c>
      <c r="P113" s="3">
        <v>2.92</v>
      </c>
      <c r="Q113" s="3">
        <v>2.9</v>
      </c>
      <c r="R113" s="3">
        <v>2.89</v>
      </c>
    </row>
    <row r="114" spans="1:18" x14ac:dyDescent="0.25">
      <c r="A114" s="4" t="s">
        <v>128</v>
      </c>
      <c r="B114" s="3">
        <v>2.2400000000000002</v>
      </c>
      <c r="C114" s="3">
        <v>2.2799999999999998</v>
      </c>
      <c r="D114" s="3">
        <v>2.31</v>
      </c>
      <c r="E114" s="3">
        <v>2.33</v>
      </c>
      <c r="F114" s="3">
        <v>2.35</v>
      </c>
      <c r="G114" s="3">
        <v>2.36</v>
      </c>
      <c r="H114" s="3">
        <v>2.38</v>
      </c>
      <c r="I114" s="3">
        <v>2.41</v>
      </c>
      <c r="J114" s="3">
        <v>2.4500000000000002</v>
      </c>
      <c r="K114" s="3">
        <v>2.56</v>
      </c>
      <c r="L114" s="3">
        <v>2.64</v>
      </c>
      <c r="M114" s="3">
        <v>2.69</v>
      </c>
      <c r="N114" s="3">
        <v>2.73</v>
      </c>
      <c r="O114" s="3">
        <v>2.81</v>
      </c>
      <c r="P114" s="3">
        <v>2.84</v>
      </c>
      <c r="Q114" s="3">
        <v>2.85</v>
      </c>
      <c r="R114" s="3">
        <v>2.86</v>
      </c>
    </row>
    <row r="115" spans="1:18" x14ac:dyDescent="0.25">
      <c r="A115" s="4" t="s">
        <v>129</v>
      </c>
      <c r="B115" s="3">
        <v>1.6</v>
      </c>
      <c r="C115" s="3">
        <v>1.97</v>
      </c>
      <c r="D115" s="3">
        <v>2.1800000000000002</v>
      </c>
      <c r="E115" s="3">
        <v>2.2799999999999998</v>
      </c>
      <c r="F115" s="3">
        <v>2.34</v>
      </c>
      <c r="G115" s="3">
        <v>2.38</v>
      </c>
      <c r="H115" s="3">
        <v>2.41</v>
      </c>
      <c r="I115" s="3">
        <v>2.4900000000000002</v>
      </c>
      <c r="J115" s="3">
        <v>2.5499999999999998</v>
      </c>
      <c r="K115" s="3">
        <v>2.66</v>
      </c>
      <c r="L115" s="3">
        <v>2.71</v>
      </c>
      <c r="M115" s="3">
        <v>2.74</v>
      </c>
      <c r="N115" s="3">
        <v>2.77</v>
      </c>
      <c r="O115" s="3">
        <v>2.84</v>
      </c>
      <c r="P115" s="3">
        <v>2.87</v>
      </c>
      <c r="Q115" s="3">
        <v>2.88</v>
      </c>
      <c r="R115" s="3">
        <v>2.88</v>
      </c>
    </row>
    <row r="116" spans="1:18" x14ac:dyDescent="0.25">
      <c r="A116" s="4" t="s">
        <v>130</v>
      </c>
      <c r="B116" s="3">
        <v>2.13</v>
      </c>
      <c r="C116" s="3">
        <v>2.2000000000000002</v>
      </c>
      <c r="D116" s="3">
        <v>2.2599999999999998</v>
      </c>
      <c r="E116" s="3">
        <v>2.3199999999999998</v>
      </c>
      <c r="F116" s="3">
        <v>2.38</v>
      </c>
      <c r="G116" s="3">
        <v>2.4300000000000002</v>
      </c>
      <c r="H116" s="3">
        <v>2.48</v>
      </c>
      <c r="I116" s="3">
        <v>2.62</v>
      </c>
      <c r="J116" s="3">
        <v>2.73</v>
      </c>
      <c r="K116" s="3">
        <v>2.98</v>
      </c>
      <c r="L116" s="3">
        <v>3.04</v>
      </c>
      <c r="M116" s="3">
        <v>3.05</v>
      </c>
      <c r="N116" s="3">
        <v>3.06</v>
      </c>
      <c r="O116" s="3">
        <v>3.07</v>
      </c>
      <c r="P116" s="3">
        <v>3.04</v>
      </c>
      <c r="Q116" s="3">
        <v>2.99</v>
      </c>
      <c r="R116" s="3">
        <v>2.95</v>
      </c>
    </row>
    <row r="117" spans="1:18" x14ac:dyDescent="0.25">
      <c r="A117" s="4" t="s">
        <v>131</v>
      </c>
      <c r="B117" s="3">
        <v>2.61</v>
      </c>
      <c r="C117" s="3">
        <v>2.63</v>
      </c>
      <c r="D117" s="3">
        <v>2.66</v>
      </c>
      <c r="E117" s="3">
        <v>2.7</v>
      </c>
      <c r="F117" s="3">
        <v>2.74</v>
      </c>
      <c r="G117" s="3">
        <v>2.78</v>
      </c>
      <c r="H117" s="3">
        <v>2.83</v>
      </c>
      <c r="I117" s="3">
        <v>2.94</v>
      </c>
      <c r="J117" s="3">
        <v>3.04</v>
      </c>
      <c r="K117" s="3">
        <v>3.23</v>
      </c>
      <c r="L117" s="3">
        <v>3.21</v>
      </c>
      <c r="M117" s="3">
        <v>3.16</v>
      </c>
      <c r="N117" s="3">
        <v>3.13</v>
      </c>
      <c r="O117" s="3">
        <v>3.06</v>
      </c>
      <c r="P117" s="3">
        <v>3.04</v>
      </c>
      <c r="Q117" s="3">
        <v>3.05</v>
      </c>
      <c r="R117" s="3">
        <v>3.06</v>
      </c>
    </row>
    <row r="118" spans="1:18" x14ac:dyDescent="0.25">
      <c r="A118" s="4" t="s">
        <v>132</v>
      </c>
      <c r="B118" s="3">
        <v>2.13</v>
      </c>
      <c r="C118" s="3">
        <v>2.37</v>
      </c>
      <c r="D118" s="3">
        <v>2.5299999999999998</v>
      </c>
      <c r="E118" s="3">
        <v>2.62</v>
      </c>
      <c r="F118" s="3">
        <v>2.67</v>
      </c>
      <c r="G118" s="3">
        <v>2.71</v>
      </c>
      <c r="H118" s="3">
        <v>2.74</v>
      </c>
      <c r="I118" s="3">
        <v>2.81</v>
      </c>
      <c r="J118" s="3">
        <v>2.86</v>
      </c>
      <c r="K118" s="3">
        <v>2.95</v>
      </c>
      <c r="L118" s="3">
        <v>2.96</v>
      </c>
      <c r="M118" s="3">
        <v>2.95</v>
      </c>
      <c r="N118" s="3">
        <v>2.94</v>
      </c>
      <c r="O118" s="3">
        <v>2.89</v>
      </c>
      <c r="P118" s="3">
        <v>2.9</v>
      </c>
      <c r="Q118" s="3">
        <v>2.93</v>
      </c>
      <c r="R118" s="3">
        <v>2.97</v>
      </c>
    </row>
    <row r="119" spans="1:18" x14ac:dyDescent="0.25">
      <c r="A119" s="4" t="s">
        <v>133</v>
      </c>
      <c r="B119" s="3">
        <v>2.2400000000000002</v>
      </c>
      <c r="C119" s="3">
        <v>2.33</v>
      </c>
      <c r="D119" s="3">
        <v>2.4</v>
      </c>
      <c r="E119" s="3">
        <v>2.4500000000000002</v>
      </c>
      <c r="F119" s="3">
        <v>2.48</v>
      </c>
      <c r="G119" s="3">
        <v>2.52</v>
      </c>
      <c r="H119" s="3">
        <v>2.5499999999999998</v>
      </c>
      <c r="I119" s="3">
        <v>2.63</v>
      </c>
      <c r="J119" s="3">
        <v>2.69</v>
      </c>
      <c r="K119" s="3">
        <v>2.85</v>
      </c>
      <c r="L119" s="3">
        <v>2.92</v>
      </c>
      <c r="M119" s="3">
        <v>2.96</v>
      </c>
      <c r="N119" s="3">
        <v>2.97</v>
      </c>
      <c r="O119" s="3">
        <v>2.97</v>
      </c>
      <c r="P119" s="3">
        <v>2.94</v>
      </c>
      <c r="Q119" s="3">
        <v>2.93</v>
      </c>
      <c r="R119" s="3">
        <v>2.93</v>
      </c>
    </row>
    <row r="120" spans="1:18" x14ac:dyDescent="0.25">
      <c r="A120" s="4" t="s">
        <v>134</v>
      </c>
      <c r="B120" s="3">
        <v>1.88</v>
      </c>
      <c r="C120" s="3">
        <v>2.08</v>
      </c>
      <c r="D120" s="3">
        <v>2.2400000000000002</v>
      </c>
      <c r="E120" s="3">
        <v>2.35</v>
      </c>
      <c r="F120" s="3">
        <v>2.44</v>
      </c>
      <c r="G120" s="3">
        <v>2.5299999999999998</v>
      </c>
      <c r="H120" s="3">
        <v>2.6</v>
      </c>
      <c r="I120" s="3">
        <v>2.79</v>
      </c>
      <c r="J120" s="3">
        <v>2.94</v>
      </c>
      <c r="K120" s="3">
        <v>3.2</v>
      </c>
      <c r="L120" s="3">
        <v>3.27</v>
      </c>
      <c r="M120" s="3">
        <v>3.28</v>
      </c>
      <c r="N120" s="3">
        <v>3.27</v>
      </c>
      <c r="O120" s="3">
        <v>3.19</v>
      </c>
      <c r="P120" s="3">
        <v>3.11</v>
      </c>
      <c r="Q120" s="3">
        <v>3.06</v>
      </c>
      <c r="R120" s="3">
        <v>3.04</v>
      </c>
    </row>
    <row r="121" spans="1:18" x14ac:dyDescent="0.25">
      <c r="A121" s="4" t="s">
        <v>135</v>
      </c>
      <c r="B121" s="3">
        <v>2.12</v>
      </c>
      <c r="C121" s="3">
        <v>2.4</v>
      </c>
      <c r="D121" s="3">
        <v>2.58</v>
      </c>
      <c r="E121" s="3">
        <v>2.69</v>
      </c>
      <c r="F121" s="3">
        <v>2.78</v>
      </c>
      <c r="G121" s="3">
        <v>2.86</v>
      </c>
      <c r="H121" s="3">
        <v>2.93</v>
      </c>
      <c r="I121" s="3">
        <v>3.1</v>
      </c>
      <c r="J121" s="3">
        <v>3.24</v>
      </c>
      <c r="K121" s="3">
        <v>3.48</v>
      </c>
      <c r="L121" s="3">
        <v>3.54</v>
      </c>
      <c r="M121" s="3">
        <v>3.55</v>
      </c>
      <c r="N121" s="3">
        <v>3.54</v>
      </c>
      <c r="O121" s="3">
        <v>3.4</v>
      </c>
      <c r="P121" s="3">
        <v>3.29</v>
      </c>
      <c r="Q121" s="3">
        <v>3.22</v>
      </c>
      <c r="R121" s="3">
        <v>3.17</v>
      </c>
    </row>
    <row r="122" spans="1:18" x14ac:dyDescent="0.25">
      <c r="A122" s="4" t="s">
        <v>136</v>
      </c>
      <c r="B122" s="3">
        <v>2.5</v>
      </c>
      <c r="C122" s="3">
        <v>2.7</v>
      </c>
      <c r="D122" s="3">
        <v>2.84</v>
      </c>
      <c r="E122" s="3">
        <v>2.93</v>
      </c>
      <c r="F122" s="3">
        <v>3</v>
      </c>
      <c r="G122" s="3">
        <v>3.06</v>
      </c>
      <c r="H122" s="3">
        <v>3.11</v>
      </c>
      <c r="I122" s="3">
        <v>3.23</v>
      </c>
      <c r="J122" s="3">
        <v>3.34</v>
      </c>
      <c r="K122" s="3">
        <v>3.51</v>
      </c>
      <c r="L122" s="3">
        <v>3.49</v>
      </c>
      <c r="M122" s="3">
        <v>3.45</v>
      </c>
      <c r="N122" s="3">
        <v>3.42</v>
      </c>
      <c r="O122" s="3">
        <v>3.34</v>
      </c>
      <c r="P122" s="3">
        <v>3.24</v>
      </c>
      <c r="Q122" s="3">
        <v>3.14</v>
      </c>
      <c r="R122" s="3">
        <v>3.07</v>
      </c>
    </row>
    <row r="123" spans="1:18" x14ac:dyDescent="0.25">
      <c r="A123" s="4" t="s">
        <v>137</v>
      </c>
      <c r="B123" s="3">
        <v>2.27</v>
      </c>
      <c r="C123" s="3">
        <v>2.56</v>
      </c>
      <c r="D123" s="3">
        <v>2.76</v>
      </c>
      <c r="E123" s="3">
        <v>2.89</v>
      </c>
      <c r="F123" s="3">
        <v>2.98</v>
      </c>
      <c r="G123" s="3">
        <v>3.05</v>
      </c>
      <c r="H123" s="3">
        <v>3.11</v>
      </c>
      <c r="I123" s="3">
        <v>3.24</v>
      </c>
      <c r="J123" s="3">
        <v>3.34</v>
      </c>
      <c r="K123" s="3">
        <v>3.46</v>
      </c>
      <c r="L123" s="3">
        <v>3.48</v>
      </c>
      <c r="M123" s="3">
        <v>3.5</v>
      </c>
      <c r="N123" s="3">
        <v>3.51</v>
      </c>
      <c r="O123" s="3">
        <v>3.47</v>
      </c>
      <c r="P123" s="3">
        <v>3.33</v>
      </c>
      <c r="Q123" s="3">
        <v>3.22</v>
      </c>
      <c r="R123" s="3">
        <v>3.21</v>
      </c>
    </row>
    <row r="124" spans="1:18" x14ac:dyDescent="0.25">
      <c r="A124" s="4" t="s">
        <v>138</v>
      </c>
      <c r="B124" s="3">
        <v>2.5299999999999998</v>
      </c>
      <c r="C124" s="3">
        <v>2.81</v>
      </c>
      <c r="D124" s="3">
        <v>3.01</v>
      </c>
      <c r="E124" s="3">
        <v>3.15</v>
      </c>
      <c r="F124" s="3">
        <v>3.27</v>
      </c>
      <c r="G124" s="3">
        <v>3.36</v>
      </c>
      <c r="H124" s="3">
        <v>3.44</v>
      </c>
      <c r="I124" s="3">
        <v>3.62</v>
      </c>
      <c r="J124" s="3">
        <v>3.69</v>
      </c>
      <c r="K124" s="3">
        <v>3.74</v>
      </c>
      <c r="L124" s="3">
        <v>3.7</v>
      </c>
      <c r="M124" s="3">
        <v>3.66</v>
      </c>
      <c r="N124" s="3">
        <v>3.63</v>
      </c>
      <c r="O124" s="3">
        <v>3.49</v>
      </c>
      <c r="P124" s="3">
        <v>3.39</v>
      </c>
      <c r="Q124" s="3">
        <v>3.31</v>
      </c>
      <c r="R124" s="3">
        <v>3.28</v>
      </c>
    </row>
    <row r="125" spans="1:18" x14ac:dyDescent="0.25">
      <c r="A125" s="4" t="s">
        <v>139</v>
      </c>
      <c r="B125" s="3">
        <v>3.1</v>
      </c>
      <c r="C125" s="3">
        <v>3.08</v>
      </c>
      <c r="D125" s="3">
        <v>3.15</v>
      </c>
      <c r="E125" s="3">
        <v>3.29</v>
      </c>
      <c r="F125" s="3">
        <v>3.43</v>
      </c>
      <c r="G125" s="3">
        <v>3.54</v>
      </c>
      <c r="H125" s="3">
        <v>3.63</v>
      </c>
      <c r="I125" s="3">
        <v>3.76</v>
      </c>
      <c r="J125" s="3">
        <v>3.8</v>
      </c>
      <c r="K125" s="3">
        <v>3.77</v>
      </c>
      <c r="L125" s="3">
        <v>3.72</v>
      </c>
      <c r="M125" s="3">
        <v>3.71</v>
      </c>
      <c r="N125" s="3">
        <v>3.71</v>
      </c>
      <c r="O125" s="3">
        <v>3.71</v>
      </c>
      <c r="P125" s="3">
        <v>3.63</v>
      </c>
      <c r="Q125" s="3">
        <v>3.52</v>
      </c>
      <c r="R125" s="3">
        <v>3.42</v>
      </c>
    </row>
    <row r="126" spans="1:18" x14ac:dyDescent="0.25">
      <c r="A126" s="4" t="s">
        <v>140</v>
      </c>
      <c r="B126" s="3">
        <v>3.05</v>
      </c>
      <c r="C126" s="3">
        <v>3.06</v>
      </c>
      <c r="D126" s="3">
        <v>3.1</v>
      </c>
      <c r="E126" s="3">
        <v>3.14</v>
      </c>
      <c r="F126" s="3">
        <v>3.18</v>
      </c>
      <c r="G126" s="3">
        <v>3.21</v>
      </c>
      <c r="H126" s="3">
        <v>3.23</v>
      </c>
      <c r="I126" s="3">
        <v>3.26</v>
      </c>
      <c r="J126" s="3">
        <v>3.27</v>
      </c>
      <c r="K126" s="3">
        <v>3.26</v>
      </c>
      <c r="L126" s="3">
        <v>3.24</v>
      </c>
      <c r="M126" s="3">
        <v>3.24</v>
      </c>
      <c r="N126" s="3">
        <v>3.25</v>
      </c>
      <c r="O126" s="3">
        <v>3.21</v>
      </c>
      <c r="P126" s="3">
        <v>3.14</v>
      </c>
      <c r="Q126" s="3">
        <v>3.12</v>
      </c>
      <c r="R126" s="3">
        <v>3.23</v>
      </c>
    </row>
    <row r="127" spans="1:18" x14ac:dyDescent="0.25">
      <c r="A127" s="4" t="s">
        <v>141</v>
      </c>
      <c r="B127" s="3">
        <v>2.39</v>
      </c>
      <c r="C127" s="3">
        <v>2.94</v>
      </c>
      <c r="D127" s="3">
        <v>3.19</v>
      </c>
      <c r="E127" s="3">
        <v>3.29</v>
      </c>
      <c r="F127" s="3">
        <v>3.35</v>
      </c>
      <c r="G127" s="3">
        <v>3.39</v>
      </c>
      <c r="H127" s="3">
        <v>3.42</v>
      </c>
      <c r="I127" s="3">
        <v>3.46</v>
      </c>
      <c r="J127" s="3">
        <v>3.47</v>
      </c>
      <c r="K127" s="3">
        <v>3.45</v>
      </c>
      <c r="L127" s="3">
        <v>3.42</v>
      </c>
      <c r="M127" s="3">
        <v>3.4</v>
      </c>
      <c r="N127" s="3">
        <v>3.39</v>
      </c>
      <c r="O127" s="3">
        <v>3.36</v>
      </c>
      <c r="P127" s="3">
        <v>3.3</v>
      </c>
      <c r="Q127" s="3">
        <v>3.25</v>
      </c>
      <c r="R127" s="3">
        <v>3.23</v>
      </c>
    </row>
    <row r="128" spans="1:18" x14ac:dyDescent="0.25">
      <c r="A128" s="4" t="s">
        <v>142</v>
      </c>
      <c r="B128" s="3">
        <v>2.81</v>
      </c>
      <c r="C128" s="3">
        <v>2.89</v>
      </c>
      <c r="D128" s="3">
        <v>2.95</v>
      </c>
      <c r="E128" s="3">
        <v>3.01</v>
      </c>
      <c r="F128" s="3">
        <v>3.07</v>
      </c>
      <c r="G128" s="3">
        <v>3.11</v>
      </c>
      <c r="H128" s="3">
        <v>3.16</v>
      </c>
      <c r="I128" s="3">
        <v>3.28</v>
      </c>
      <c r="J128" s="3">
        <v>3.36</v>
      </c>
      <c r="K128" s="3">
        <v>3.45</v>
      </c>
      <c r="L128" s="3">
        <v>3.44</v>
      </c>
      <c r="M128" s="3">
        <v>3.43</v>
      </c>
      <c r="N128" s="3">
        <v>3.42</v>
      </c>
      <c r="O128" s="3">
        <v>3.37</v>
      </c>
      <c r="P128" s="3">
        <v>3.25</v>
      </c>
      <c r="Q128" s="3">
        <v>3.19</v>
      </c>
      <c r="R128" s="3">
        <v>3.25</v>
      </c>
    </row>
    <row r="129" spans="1:18" x14ac:dyDescent="0.25">
      <c r="A129" s="4" t="s">
        <v>143</v>
      </c>
      <c r="B129" s="3">
        <v>3.05</v>
      </c>
      <c r="C129" s="3">
        <v>3.02</v>
      </c>
      <c r="D129" s="3">
        <v>3.03</v>
      </c>
      <c r="E129" s="3">
        <v>3.07</v>
      </c>
      <c r="F129" s="3">
        <v>3.12</v>
      </c>
      <c r="G129" s="3">
        <v>3.17</v>
      </c>
      <c r="H129" s="3">
        <v>3.21</v>
      </c>
      <c r="I129" s="3">
        <v>3.34</v>
      </c>
      <c r="J129" s="3">
        <v>3.43</v>
      </c>
      <c r="K129" s="3">
        <v>3.54</v>
      </c>
      <c r="L129" s="3">
        <v>3.56</v>
      </c>
      <c r="M129" s="3">
        <v>3.56</v>
      </c>
      <c r="N129" s="3">
        <v>3.57</v>
      </c>
      <c r="O129" s="3">
        <v>3.53</v>
      </c>
      <c r="P129" s="3">
        <v>3.38</v>
      </c>
      <c r="Q129" s="3">
        <v>3.3</v>
      </c>
      <c r="R129" s="3">
        <v>3.39</v>
      </c>
    </row>
    <row r="130" spans="1:18" x14ac:dyDescent="0.25">
      <c r="A130" s="4" t="s">
        <v>144</v>
      </c>
      <c r="B130" s="3">
        <v>3.14</v>
      </c>
      <c r="C130" s="3">
        <v>3.21</v>
      </c>
      <c r="D130" s="3">
        <v>3.26</v>
      </c>
      <c r="E130" s="3">
        <v>3.3</v>
      </c>
      <c r="F130" s="3">
        <v>3.33</v>
      </c>
      <c r="G130" s="3">
        <v>3.36</v>
      </c>
      <c r="H130" s="3">
        <v>3.38</v>
      </c>
      <c r="I130" s="3">
        <v>3.44</v>
      </c>
      <c r="J130" s="3">
        <v>3.49</v>
      </c>
      <c r="K130" s="3">
        <v>3.56</v>
      </c>
      <c r="L130" s="3">
        <v>3.6</v>
      </c>
      <c r="M130" s="3">
        <v>3.64</v>
      </c>
      <c r="N130" s="3">
        <v>3.68</v>
      </c>
      <c r="O130" s="3">
        <v>3.68</v>
      </c>
      <c r="P130" s="3">
        <v>3.49</v>
      </c>
      <c r="Q130" s="3">
        <v>3.35</v>
      </c>
      <c r="R130" s="3">
        <v>3.4</v>
      </c>
    </row>
    <row r="131" spans="1:18" x14ac:dyDescent="0.25">
      <c r="A131" s="4" t="s">
        <v>145</v>
      </c>
      <c r="B131" s="3">
        <v>2.81</v>
      </c>
      <c r="C131" s="3">
        <v>3.08</v>
      </c>
      <c r="D131" s="3">
        <v>3.26</v>
      </c>
      <c r="E131" s="3">
        <v>3.36</v>
      </c>
      <c r="F131" s="3">
        <v>3.44</v>
      </c>
      <c r="G131" s="3">
        <v>3.49</v>
      </c>
      <c r="H131" s="3">
        <v>3.54</v>
      </c>
      <c r="I131" s="3">
        <v>3.65</v>
      </c>
      <c r="J131" s="3">
        <v>3.71</v>
      </c>
      <c r="K131" s="3">
        <v>3.75</v>
      </c>
      <c r="L131" s="3">
        <v>3.74</v>
      </c>
      <c r="M131" s="3">
        <v>3.77</v>
      </c>
      <c r="N131" s="3">
        <v>3.83</v>
      </c>
      <c r="O131" s="3">
        <v>3.9</v>
      </c>
      <c r="P131" s="3">
        <v>3.63</v>
      </c>
      <c r="Q131" s="3">
        <v>3.42</v>
      </c>
      <c r="R131" s="3">
        <v>3.49</v>
      </c>
    </row>
    <row r="132" spans="1:18" x14ac:dyDescent="0.25">
      <c r="A132" s="4" t="s">
        <v>146</v>
      </c>
      <c r="B132" s="3">
        <v>2.66</v>
      </c>
      <c r="C132" s="3">
        <v>3.06</v>
      </c>
      <c r="D132" s="3">
        <v>3.3</v>
      </c>
      <c r="E132" s="3">
        <v>3.42</v>
      </c>
      <c r="F132" s="3">
        <v>3.51</v>
      </c>
      <c r="G132" s="3">
        <v>3.57</v>
      </c>
      <c r="H132" s="3">
        <v>3.63</v>
      </c>
      <c r="I132" s="3">
        <v>3.74</v>
      </c>
      <c r="J132" s="3">
        <v>3.8</v>
      </c>
      <c r="K132" s="3">
        <v>3.84</v>
      </c>
      <c r="L132" s="3">
        <v>3.84</v>
      </c>
      <c r="M132" s="3">
        <v>3.87</v>
      </c>
      <c r="N132" s="3">
        <v>3.92</v>
      </c>
      <c r="O132" s="3">
        <v>3.88</v>
      </c>
      <c r="P132" s="3">
        <v>3.59</v>
      </c>
      <c r="Q132" s="3">
        <v>3.41</v>
      </c>
      <c r="R132" s="3">
        <v>3.54</v>
      </c>
    </row>
    <row r="133" spans="1:18" x14ac:dyDescent="0.25">
      <c r="A133" s="4" t="s">
        <v>147</v>
      </c>
      <c r="B133" s="3">
        <v>2.5</v>
      </c>
      <c r="C133" s="3">
        <v>3.07</v>
      </c>
      <c r="D133" s="3">
        <v>3.4</v>
      </c>
      <c r="E133" s="3">
        <v>3.58</v>
      </c>
      <c r="F133" s="3">
        <v>3.71</v>
      </c>
      <c r="G133" s="3">
        <v>3.82</v>
      </c>
      <c r="H133" s="3">
        <v>3.9</v>
      </c>
      <c r="I133" s="3">
        <v>4.0599999999999996</v>
      </c>
      <c r="J133" s="3">
        <v>4.1100000000000003</v>
      </c>
      <c r="K133" s="3">
        <v>3.99</v>
      </c>
      <c r="L133" s="3">
        <v>3.84</v>
      </c>
      <c r="M133" s="3">
        <v>3.8</v>
      </c>
      <c r="N133" s="3">
        <v>3.82</v>
      </c>
      <c r="O133" s="3">
        <v>3.8</v>
      </c>
      <c r="P133" s="3">
        <v>3.57</v>
      </c>
      <c r="Q133" s="3">
        <v>3.44</v>
      </c>
      <c r="R133" s="3">
        <v>3.59</v>
      </c>
    </row>
    <row r="134" spans="1:18" x14ac:dyDescent="0.25">
      <c r="A134" s="4" t="s">
        <v>148</v>
      </c>
      <c r="B134" s="3">
        <v>2.78</v>
      </c>
      <c r="C134" s="3">
        <v>3.23</v>
      </c>
      <c r="D134" s="3">
        <v>3.53</v>
      </c>
      <c r="E134" s="3">
        <v>3.7</v>
      </c>
      <c r="F134" s="3">
        <v>3.81</v>
      </c>
      <c r="G134" s="3">
        <v>3.89</v>
      </c>
      <c r="H134" s="3">
        <v>3.95</v>
      </c>
      <c r="I134" s="3">
        <v>4.0999999999999996</v>
      </c>
      <c r="J134" s="3">
        <v>4.1900000000000004</v>
      </c>
      <c r="K134" s="3">
        <v>4.21</v>
      </c>
      <c r="L134" s="3">
        <v>4.0999999999999996</v>
      </c>
      <c r="M134" s="3">
        <v>4.0199999999999996</v>
      </c>
      <c r="N134" s="3">
        <v>4</v>
      </c>
      <c r="O134" s="3">
        <v>4.01</v>
      </c>
      <c r="P134" s="3">
        <v>3.8</v>
      </c>
      <c r="Q134" s="3">
        <v>3.59</v>
      </c>
      <c r="R134" s="3">
        <v>3.58</v>
      </c>
    </row>
    <row r="135" spans="1:18" x14ac:dyDescent="0.25">
      <c r="A135" s="4" t="s">
        <v>149</v>
      </c>
      <c r="B135" s="3">
        <v>3.1</v>
      </c>
      <c r="C135" s="3">
        <v>3.36</v>
      </c>
      <c r="D135" s="3">
        <v>3.54</v>
      </c>
      <c r="E135" s="3">
        <v>3.65</v>
      </c>
      <c r="F135" s="3">
        <v>3.72</v>
      </c>
      <c r="G135" s="3">
        <v>3.78</v>
      </c>
      <c r="H135" s="3">
        <v>3.83</v>
      </c>
      <c r="I135" s="3">
        <v>3.94</v>
      </c>
      <c r="J135" s="3">
        <v>4.01</v>
      </c>
      <c r="K135" s="3">
        <v>4.05</v>
      </c>
      <c r="L135" s="3">
        <v>4.01</v>
      </c>
      <c r="M135" s="3">
        <v>3.97</v>
      </c>
      <c r="N135" s="3">
        <v>3.95</v>
      </c>
      <c r="O135" s="3">
        <v>3.91</v>
      </c>
      <c r="P135" s="3">
        <v>3.79</v>
      </c>
      <c r="Q135" s="3">
        <v>3.67</v>
      </c>
      <c r="R135" s="3">
        <v>3.64</v>
      </c>
    </row>
    <row r="136" spans="1:18" x14ac:dyDescent="0.25">
      <c r="A136" s="4" t="s">
        <v>150</v>
      </c>
      <c r="B136" s="3">
        <v>2.06</v>
      </c>
      <c r="C136" s="3">
        <v>2.64</v>
      </c>
      <c r="D136" s="3">
        <v>3.01</v>
      </c>
      <c r="E136" s="3">
        <v>3.19</v>
      </c>
      <c r="F136" s="3">
        <v>3.28</v>
      </c>
      <c r="G136" s="3">
        <v>3.34</v>
      </c>
      <c r="H136" s="3">
        <v>3.37</v>
      </c>
      <c r="I136" s="3">
        <v>3.43</v>
      </c>
      <c r="J136" s="3">
        <v>3.46</v>
      </c>
      <c r="K136" s="3">
        <v>3.48</v>
      </c>
      <c r="L136" s="3">
        <v>3.48</v>
      </c>
      <c r="M136" s="3">
        <v>3.45</v>
      </c>
      <c r="N136" s="3">
        <v>3.42</v>
      </c>
      <c r="O136" s="3">
        <v>3.34</v>
      </c>
      <c r="P136" s="3">
        <v>3.57</v>
      </c>
      <c r="Q136" s="3">
        <v>3.72</v>
      </c>
      <c r="R136" s="3">
        <v>3.45</v>
      </c>
    </row>
    <row r="137" spans="1:18" x14ac:dyDescent="0.25">
      <c r="A137" s="4" t="s">
        <v>151</v>
      </c>
      <c r="B137" s="3">
        <v>2.66</v>
      </c>
      <c r="C137" s="3">
        <v>2.71</v>
      </c>
      <c r="D137" s="3">
        <v>2.77</v>
      </c>
      <c r="E137" s="3">
        <v>2.78</v>
      </c>
      <c r="F137" s="3">
        <v>2.79</v>
      </c>
      <c r="G137" s="3">
        <v>2.79</v>
      </c>
      <c r="H137" s="3">
        <v>2.79</v>
      </c>
      <c r="I137" s="3">
        <v>2.78</v>
      </c>
      <c r="J137" s="3">
        <v>2.77</v>
      </c>
      <c r="K137" s="3">
        <v>2.77</v>
      </c>
      <c r="L137" s="3">
        <v>2.78</v>
      </c>
      <c r="M137" s="3">
        <v>2.81</v>
      </c>
      <c r="N137" s="3">
        <v>2.85</v>
      </c>
      <c r="O137" s="3">
        <v>3.06</v>
      </c>
      <c r="P137" s="3">
        <v>3.2</v>
      </c>
      <c r="Q137" s="3">
        <v>3.28</v>
      </c>
    </row>
    <row r="138" spans="1:18" x14ac:dyDescent="0.25">
      <c r="A138" s="4" t="s">
        <v>152</v>
      </c>
      <c r="B138" s="3">
        <v>1.53</v>
      </c>
      <c r="C138" s="3">
        <v>1.46</v>
      </c>
      <c r="D138" s="3">
        <v>1.44</v>
      </c>
      <c r="E138" s="3">
        <v>1.49</v>
      </c>
      <c r="F138" s="3">
        <v>1.56</v>
      </c>
      <c r="G138" s="3">
        <v>1.64</v>
      </c>
      <c r="H138" s="3">
        <v>1.72</v>
      </c>
      <c r="I138" s="3">
        <v>1.95</v>
      </c>
      <c r="J138" s="3">
        <v>2.14</v>
      </c>
      <c r="K138" s="3">
        <v>2.54</v>
      </c>
      <c r="L138" s="3">
        <v>2.7</v>
      </c>
      <c r="M138" s="3">
        <v>2.8</v>
      </c>
      <c r="N138" s="3">
        <v>2.89</v>
      </c>
      <c r="O138" s="3">
        <v>3.17</v>
      </c>
      <c r="P138" s="3">
        <v>3.27</v>
      </c>
      <c r="Q138" s="3">
        <v>3.3</v>
      </c>
      <c r="R138" s="3">
        <v>3.35</v>
      </c>
    </row>
    <row r="139" spans="1:18" x14ac:dyDescent="0.25">
      <c r="A139" s="4" t="s">
        <v>153</v>
      </c>
      <c r="B139" s="3">
        <v>1.1000000000000001</v>
      </c>
      <c r="C139" s="3">
        <v>1.1399999999999999</v>
      </c>
      <c r="D139" s="3">
        <v>1.2</v>
      </c>
      <c r="E139" s="3">
        <v>1.27</v>
      </c>
      <c r="F139" s="3">
        <v>1.34</v>
      </c>
      <c r="G139" s="3">
        <v>1.41</v>
      </c>
      <c r="H139" s="3">
        <v>1.48</v>
      </c>
      <c r="I139" s="3">
        <v>1.66</v>
      </c>
      <c r="J139" s="3">
        <v>1.81</v>
      </c>
      <c r="K139" s="3">
        <v>2.15</v>
      </c>
      <c r="L139" s="3">
        <v>2.36</v>
      </c>
      <c r="M139" s="3">
        <v>2.52</v>
      </c>
      <c r="N139" s="3">
        <v>2.65</v>
      </c>
      <c r="O139" s="3">
        <v>3.06</v>
      </c>
      <c r="P139" s="3">
        <v>3.21</v>
      </c>
      <c r="Q139" s="3">
        <v>3.26</v>
      </c>
      <c r="R139" s="3">
        <v>3.3</v>
      </c>
    </row>
    <row r="140" spans="1:18" x14ac:dyDescent="0.25">
      <c r="A140" s="4" t="s">
        <v>154</v>
      </c>
      <c r="B140" s="3">
        <v>0.94</v>
      </c>
      <c r="C140" s="3">
        <v>0.99</v>
      </c>
      <c r="D140" s="3">
        <v>1.05</v>
      </c>
      <c r="E140" s="3">
        <v>1.1100000000000001</v>
      </c>
      <c r="F140" s="3">
        <v>1.18</v>
      </c>
      <c r="G140" s="3">
        <v>1.25</v>
      </c>
      <c r="H140" s="3">
        <v>1.31</v>
      </c>
      <c r="I140" s="3">
        <v>1.49</v>
      </c>
      <c r="J140" s="3">
        <v>1.66</v>
      </c>
      <c r="K140" s="3">
        <v>2.1</v>
      </c>
      <c r="L140" s="3">
        <v>2.3199999999999998</v>
      </c>
      <c r="M140" s="3">
        <v>2.4700000000000002</v>
      </c>
      <c r="N140" s="3">
        <v>2.58</v>
      </c>
      <c r="O140" s="3">
        <v>2.92</v>
      </c>
      <c r="P140" s="3">
        <v>3.13</v>
      </c>
      <c r="Q140" s="3">
        <v>3.28</v>
      </c>
      <c r="R140" s="3">
        <v>3.37</v>
      </c>
    </row>
    <row r="141" spans="1:18" x14ac:dyDescent="0.25">
      <c r="A141" s="4" t="s">
        <v>155</v>
      </c>
      <c r="B141" s="3">
        <v>1.18</v>
      </c>
      <c r="C141" s="3">
        <v>1.1499999999999999</v>
      </c>
      <c r="D141" s="3">
        <v>1.1599999999999999</v>
      </c>
      <c r="E141" s="3">
        <v>1.18</v>
      </c>
      <c r="F141" s="3">
        <v>1.21</v>
      </c>
      <c r="G141" s="3">
        <v>1.24</v>
      </c>
      <c r="H141" s="3">
        <v>1.27</v>
      </c>
      <c r="I141" s="3">
        <v>1.37</v>
      </c>
      <c r="J141" s="3">
        <v>1.46</v>
      </c>
      <c r="K141" s="3">
        <v>1.8</v>
      </c>
      <c r="L141" s="3">
        <v>2.06</v>
      </c>
      <c r="M141" s="3">
        <v>2.2599999999999998</v>
      </c>
      <c r="N141" s="3">
        <v>2.41</v>
      </c>
      <c r="O141" s="3">
        <v>2.84</v>
      </c>
      <c r="P141" s="3">
        <v>3.05</v>
      </c>
      <c r="Q141" s="3">
        <v>3.17</v>
      </c>
      <c r="R141" s="3">
        <v>3.24</v>
      </c>
    </row>
    <row r="142" spans="1:18" x14ac:dyDescent="0.25">
      <c r="A142" s="4" t="s">
        <v>156</v>
      </c>
      <c r="B142" s="3">
        <v>0</v>
      </c>
      <c r="C142" s="3">
        <v>0.25</v>
      </c>
      <c r="D142" s="3">
        <v>0.49</v>
      </c>
      <c r="E142" s="3">
        <v>0.63</v>
      </c>
      <c r="F142" s="3">
        <v>0.74</v>
      </c>
      <c r="G142" s="3">
        <v>0.83</v>
      </c>
      <c r="H142" s="3">
        <v>0.92</v>
      </c>
      <c r="I142" s="3">
        <v>1.1399999999999999</v>
      </c>
      <c r="J142" s="3">
        <v>1.32</v>
      </c>
      <c r="K142" s="3">
        <v>1.77</v>
      </c>
      <c r="L142" s="3">
        <v>2</v>
      </c>
      <c r="M142" s="3">
        <v>2.1800000000000002</v>
      </c>
      <c r="N142" s="3">
        <v>2.34</v>
      </c>
      <c r="O142" s="3">
        <v>2.92</v>
      </c>
      <c r="P142" s="3">
        <v>3.12</v>
      </c>
      <c r="Q142" s="3">
        <v>3.16</v>
      </c>
      <c r="R142" s="3">
        <v>3.17</v>
      </c>
    </row>
    <row r="143" spans="1:18" x14ac:dyDescent="0.25">
      <c r="A143" s="4" t="s">
        <v>157</v>
      </c>
      <c r="B143" s="3">
        <v>0.84</v>
      </c>
      <c r="C143" s="3">
        <v>0.75</v>
      </c>
      <c r="D143" s="3">
        <v>0.72</v>
      </c>
      <c r="E143" s="3">
        <v>0.74</v>
      </c>
      <c r="F143" s="3">
        <v>0.79</v>
      </c>
      <c r="G143" s="3">
        <v>0.85</v>
      </c>
      <c r="H143" s="3">
        <v>0.92</v>
      </c>
      <c r="I143" s="3">
        <v>1.1100000000000001</v>
      </c>
      <c r="J143" s="3">
        <v>1.3</v>
      </c>
      <c r="K143" s="3">
        <v>1.9</v>
      </c>
      <c r="L143" s="3">
        <v>2.23</v>
      </c>
      <c r="M143" s="3">
        <v>2.41</v>
      </c>
      <c r="N143" s="3">
        <v>2.5499999999999998</v>
      </c>
      <c r="O143" s="3">
        <v>3.02</v>
      </c>
      <c r="P143" s="3">
        <v>3.21</v>
      </c>
      <c r="Q143" s="3">
        <v>3.28</v>
      </c>
      <c r="R143" s="3">
        <v>3.3</v>
      </c>
    </row>
    <row r="144" spans="1:18" x14ac:dyDescent="0.25">
      <c r="A144" s="4" t="s">
        <v>158</v>
      </c>
      <c r="B144" s="3">
        <v>0.54</v>
      </c>
      <c r="C144" s="3">
        <v>0.7</v>
      </c>
      <c r="D144" s="3">
        <v>0.83</v>
      </c>
      <c r="E144" s="3">
        <v>0.92</v>
      </c>
      <c r="F144" s="3">
        <v>1</v>
      </c>
      <c r="G144" s="3">
        <v>1.07</v>
      </c>
      <c r="H144" s="3">
        <v>1.1299999999999999</v>
      </c>
      <c r="I144" s="3">
        <v>1.31</v>
      </c>
      <c r="J144" s="3">
        <v>1.47</v>
      </c>
      <c r="K144" s="3">
        <v>2.02</v>
      </c>
      <c r="L144" s="3">
        <v>2.4500000000000002</v>
      </c>
      <c r="M144" s="3">
        <v>2.74</v>
      </c>
      <c r="N144" s="3">
        <v>2.91</v>
      </c>
      <c r="O144" s="3">
        <v>3.19</v>
      </c>
      <c r="P144" s="3">
        <v>3.4</v>
      </c>
      <c r="Q144" s="3">
        <v>3.57</v>
      </c>
      <c r="R144" s="3">
        <v>3.66</v>
      </c>
    </row>
    <row r="145" spans="1:18" x14ac:dyDescent="0.25">
      <c r="A145" s="4" t="s">
        <v>159</v>
      </c>
      <c r="B145" s="3">
        <v>1.35</v>
      </c>
      <c r="C145" s="3">
        <v>1.87</v>
      </c>
      <c r="D145" s="3">
        <v>2.2000000000000002</v>
      </c>
      <c r="E145" s="3">
        <v>2.38</v>
      </c>
      <c r="F145" s="3">
        <v>2.4900000000000002</v>
      </c>
      <c r="G145" s="3">
        <v>2.58</v>
      </c>
      <c r="H145" s="3">
        <v>2.65</v>
      </c>
      <c r="I145" s="3">
        <v>2.82</v>
      </c>
      <c r="J145" s="3">
        <v>2.96</v>
      </c>
      <c r="K145" s="3">
        <v>3.36</v>
      </c>
      <c r="L145" s="3">
        <v>3.55</v>
      </c>
      <c r="M145" s="3">
        <v>3.65</v>
      </c>
      <c r="N145" s="3">
        <v>3.7</v>
      </c>
      <c r="O145" s="3">
        <v>3.76</v>
      </c>
      <c r="P145" s="3">
        <v>3.74</v>
      </c>
      <c r="Q145" s="3">
        <v>3.73</v>
      </c>
      <c r="R145" s="3">
        <v>3.72</v>
      </c>
    </row>
    <row r="146" spans="1:18" x14ac:dyDescent="0.25">
      <c r="A146" s="4" t="s">
        <v>160</v>
      </c>
      <c r="B146" s="3">
        <v>1</v>
      </c>
      <c r="C146" s="3">
        <v>1.95</v>
      </c>
      <c r="D146" s="3">
        <v>2.57</v>
      </c>
      <c r="E146" s="3">
        <v>2.89</v>
      </c>
      <c r="F146" s="3">
        <v>3.04</v>
      </c>
      <c r="G146" s="3">
        <v>3.14</v>
      </c>
      <c r="H146" s="3">
        <v>3.2</v>
      </c>
      <c r="I146" s="3">
        <v>3.31</v>
      </c>
      <c r="J146" s="3">
        <v>3.36</v>
      </c>
      <c r="K146" s="3">
        <v>3.5</v>
      </c>
      <c r="L146" s="3">
        <v>3.62</v>
      </c>
      <c r="M146" s="3">
        <v>3.71</v>
      </c>
      <c r="N146" s="3">
        <v>3.75</v>
      </c>
      <c r="O146" s="3">
        <v>3.75</v>
      </c>
      <c r="P146" s="3">
        <v>3.72</v>
      </c>
      <c r="Q146" s="3">
        <v>3.72</v>
      </c>
      <c r="R146" s="3">
        <v>3.76</v>
      </c>
    </row>
    <row r="147" spans="1:18" x14ac:dyDescent="0.25">
      <c r="A147" s="4" t="s">
        <v>161</v>
      </c>
      <c r="B147" s="3">
        <v>1.08</v>
      </c>
      <c r="C147" s="3">
        <v>1.82</v>
      </c>
      <c r="D147" s="3">
        <v>2.2999999999999998</v>
      </c>
      <c r="E147" s="3">
        <v>2.5299999999999998</v>
      </c>
      <c r="F147" s="3">
        <v>2.67</v>
      </c>
      <c r="G147" s="3">
        <v>2.76</v>
      </c>
      <c r="H147" s="3">
        <v>2.83</v>
      </c>
      <c r="I147" s="3">
        <v>2.98</v>
      </c>
      <c r="J147" s="3">
        <v>3.09</v>
      </c>
      <c r="K147" s="3">
        <v>3.38</v>
      </c>
      <c r="L147" s="3">
        <v>3.54</v>
      </c>
      <c r="M147" s="3">
        <v>3.64</v>
      </c>
      <c r="N147" s="3">
        <v>3.68</v>
      </c>
      <c r="O147" s="3">
        <v>3.71</v>
      </c>
      <c r="P147" s="3">
        <v>3.69</v>
      </c>
      <c r="Q147" s="3">
        <v>3.68</v>
      </c>
      <c r="R147" s="3">
        <v>3.71</v>
      </c>
    </row>
    <row r="148" spans="1:18" x14ac:dyDescent="0.25">
      <c r="A148" s="4" t="s">
        <v>162</v>
      </c>
      <c r="B148" s="3">
        <v>0.83</v>
      </c>
      <c r="C148" s="3">
        <v>1.9</v>
      </c>
      <c r="D148" s="3">
        <v>2.58</v>
      </c>
      <c r="E148" s="3">
        <v>2.91</v>
      </c>
      <c r="F148" s="3">
        <v>3.07</v>
      </c>
      <c r="G148" s="3">
        <v>3.16</v>
      </c>
      <c r="H148" s="3">
        <v>3.23</v>
      </c>
      <c r="I148" s="3">
        <v>3.33</v>
      </c>
      <c r="J148" s="3">
        <v>3.38</v>
      </c>
      <c r="K148" s="3">
        <v>3.48</v>
      </c>
      <c r="L148" s="3">
        <v>3.55</v>
      </c>
      <c r="M148" s="3">
        <v>3.6</v>
      </c>
      <c r="N148" s="3">
        <v>3.63</v>
      </c>
      <c r="O148" s="3">
        <v>3.64</v>
      </c>
      <c r="P148" s="3">
        <v>3.65</v>
      </c>
      <c r="Q148" s="3">
        <v>3.68</v>
      </c>
      <c r="R148" s="3">
        <v>3.71</v>
      </c>
    </row>
    <row r="149" spans="1:18" x14ac:dyDescent="0.25">
      <c r="A149" s="4" t="s">
        <v>163</v>
      </c>
      <c r="B149" s="3">
        <v>2.13</v>
      </c>
      <c r="C149" s="3">
        <v>2.42</v>
      </c>
      <c r="D149" s="3">
        <v>2.62</v>
      </c>
      <c r="E149" s="3">
        <v>2.74</v>
      </c>
      <c r="F149" s="3">
        <v>2.84</v>
      </c>
      <c r="G149" s="3">
        <v>2.91</v>
      </c>
      <c r="H149" s="3">
        <v>2.97</v>
      </c>
      <c r="I149" s="3">
        <v>3.1</v>
      </c>
      <c r="J149" s="3">
        <v>3.19</v>
      </c>
      <c r="K149" s="3">
        <v>3.46</v>
      </c>
      <c r="L149" s="3">
        <v>3.64</v>
      </c>
      <c r="M149" s="3">
        <v>3.75</v>
      </c>
      <c r="N149" s="3">
        <v>3.82</v>
      </c>
      <c r="O149" s="3">
        <v>3.9</v>
      </c>
      <c r="P149" s="3">
        <v>3.85</v>
      </c>
      <c r="Q149" s="3">
        <v>3.78</v>
      </c>
      <c r="R149" s="3">
        <v>3.77</v>
      </c>
    </row>
    <row r="150" spans="1:18" x14ac:dyDescent="0.25">
      <c r="A150" s="4" t="s">
        <v>164</v>
      </c>
      <c r="B150" s="3">
        <v>2.3199999999999998</v>
      </c>
      <c r="C150" s="3">
        <v>2.4700000000000002</v>
      </c>
      <c r="D150" s="3">
        <v>2.61</v>
      </c>
      <c r="E150" s="3">
        <v>2.76</v>
      </c>
      <c r="F150" s="3">
        <v>2.9</v>
      </c>
      <c r="G150" s="3">
        <v>3.01</v>
      </c>
      <c r="H150" s="3">
        <v>3.09</v>
      </c>
      <c r="I150" s="3">
        <v>3.27</v>
      </c>
      <c r="J150" s="3">
        <v>3.4</v>
      </c>
      <c r="K150" s="3">
        <v>3.74</v>
      </c>
      <c r="L150" s="3">
        <v>3.9</v>
      </c>
      <c r="M150" s="3">
        <v>3.97</v>
      </c>
      <c r="N150" s="3">
        <v>4</v>
      </c>
      <c r="O150" s="3">
        <v>3.99</v>
      </c>
      <c r="P150" s="3">
        <v>4</v>
      </c>
      <c r="Q150" s="3">
        <v>4.0199999999999996</v>
      </c>
      <c r="R150" s="3">
        <v>4.0199999999999996</v>
      </c>
    </row>
    <row r="151" spans="1:18" x14ac:dyDescent="0.25">
      <c r="A151" s="4" t="s">
        <v>165</v>
      </c>
      <c r="B151" s="3">
        <v>2.04</v>
      </c>
      <c r="C151" s="3">
        <v>2.38</v>
      </c>
      <c r="D151" s="3">
        <v>2.64</v>
      </c>
      <c r="E151" s="3">
        <v>2.83</v>
      </c>
      <c r="F151" s="3">
        <v>2.97</v>
      </c>
      <c r="G151" s="3">
        <v>3.07</v>
      </c>
      <c r="H151" s="3">
        <v>3.15</v>
      </c>
      <c r="I151" s="3">
        <v>3.29</v>
      </c>
      <c r="J151" s="3">
        <v>3.38</v>
      </c>
      <c r="K151" s="3">
        <v>3.6</v>
      </c>
      <c r="L151" s="3">
        <v>3.72</v>
      </c>
      <c r="M151" s="3">
        <v>3.77</v>
      </c>
      <c r="N151" s="3">
        <v>3.79</v>
      </c>
      <c r="O151" s="3">
        <v>3.8</v>
      </c>
      <c r="P151" s="3">
        <v>3.9</v>
      </c>
      <c r="Q151" s="3">
        <v>4.0199999999999996</v>
      </c>
      <c r="R151" s="3">
        <v>4.07</v>
      </c>
    </row>
    <row r="152" spans="1:18" x14ac:dyDescent="0.25">
      <c r="A152" s="4" t="s">
        <v>166</v>
      </c>
      <c r="B152" s="3">
        <v>2.44</v>
      </c>
      <c r="C152" s="3">
        <v>2.57</v>
      </c>
      <c r="D152" s="3">
        <v>2.72</v>
      </c>
      <c r="E152" s="3">
        <v>2.89</v>
      </c>
      <c r="F152" s="3">
        <v>3.06</v>
      </c>
      <c r="G152" s="3">
        <v>3.19</v>
      </c>
      <c r="H152" s="3">
        <v>3.29</v>
      </c>
      <c r="I152" s="3">
        <v>3.48</v>
      </c>
      <c r="J152" s="3">
        <v>3.59</v>
      </c>
      <c r="K152" s="3">
        <v>3.83</v>
      </c>
      <c r="L152" s="3">
        <v>3.92</v>
      </c>
      <c r="M152" s="3">
        <v>3.97</v>
      </c>
      <c r="N152" s="3">
        <v>3.98</v>
      </c>
      <c r="O152" s="3">
        <v>3.97</v>
      </c>
      <c r="P152" s="3">
        <v>3.97</v>
      </c>
      <c r="Q152" s="3">
        <v>3.98</v>
      </c>
      <c r="R152" s="3">
        <v>3.99</v>
      </c>
    </row>
    <row r="153" spans="1:18" x14ac:dyDescent="0.25">
      <c r="A153" s="4" t="s">
        <v>167</v>
      </c>
      <c r="B153" s="3">
        <v>2.78</v>
      </c>
      <c r="C153" s="3">
        <v>2.74</v>
      </c>
      <c r="D153" s="3">
        <v>2.8</v>
      </c>
      <c r="E153" s="3">
        <v>2.94</v>
      </c>
      <c r="F153" s="3">
        <v>3.1</v>
      </c>
      <c r="G153" s="3">
        <v>3.23</v>
      </c>
      <c r="H153" s="3">
        <v>3.32</v>
      </c>
      <c r="I153" s="3">
        <v>3.49</v>
      </c>
      <c r="J153" s="3">
        <v>3.61</v>
      </c>
      <c r="K153" s="3">
        <v>3.88</v>
      </c>
      <c r="L153" s="3">
        <v>4.04</v>
      </c>
      <c r="M153" s="3">
        <v>4.13</v>
      </c>
      <c r="N153" s="3">
        <v>4.18</v>
      </c>
      <c r="O153" s="3">
        <v>4.2</v>
      </c>
      <c r="P153" s="3">
        <v>4.12</v>
      </c>
      <c r="Q153" s="3">
        <v>4.0199999999999996</v>
      </c>
      <c r="R153" s="3">
        <v>3.97</v>
      </c>
    </row>
    <row r="154" spans="1:18" x14ac:dyDescent="0.25">
      <c r="A154" s="4" t="s">
        <v>168</v>
      </c>
      <c r="B154" s="3">
        <v>2.8</v>
      </c>
      <c r="C154" s="3">
        <v>2.75</v>
      </c>
      <c r="D154" s="3">
        <v>2.82</v>
      </c>
      <c r="E154" s="3">
        <v>3.03</v>
      </c>
      <c r="F154" s="3">
        <v>3.27</v>
      </c>
      <c r="G154" s="3">
        <v>3.47</v>
      </c>
      <c r="H154" s="3">
        <v>3.6</v>
      </c>
      <c r="I154" s="3">
        <v>3.79</v>
      </c>
      <c r="J154" s="3">
        <v>3.86</v>
      </c>
      <c r="K154" s="3">
        <v>3.98</v>
      </c>
      <c r="L154" s="3">
        <v>4.0999999999999996</v>
      </c>
      <c r="M154" s="3">
        <v>4.18</v>
      </c>
      <c r="N154" s="3">
        <v>4.21</v>
      </c>
      <c r="O154" s="3">
        <v>4.18</v>
      </c>
      <c r="P154" s="3">
        <v>4.1100000000000003</v>
      </c>
      <c r="Q154" s="3">
        <v>4.05</v>
      </c>
      <c r="R154" s="3">
        <v>4.0199999999999996</v>
      </c>
    </row>
    <row r="155" spans="1:18" x14ac:dyDescent="0.25">
      <c r="A155" s="4" t="s">
        <v>169</v>
      </c>
      <c r="B155" s="3">
        <v>2.7</v>
      </c>
      <c r="C155" s="3">
        <v>2.77</v>
      </c>
      <c r="D155" s="3">
        <v>2.93</v>
      </c>
      <c r="E155" s="3">
        <v>3.16</v>
      </c>
      <c r="F155" s="3">
        <v>3.42</v>
      </c>
      <c r="G155" s="3">
        <v>3.62</v>
      </c>
      <c r="H155" s="3">
        <v>3.75</v>
      </c>
      <c r="I155" s="3">
        <v>3.91</v>
      </c>
      <c r="J155" s="3">
        <v>3.94</v>
      </c>
      <c r="K155" s="3">
        <v>4.1399999999999997</v>
      </c>
      <c r="L155" s="3">
        <v>4.33</v>
      </c>
      <c r="M155" s="3">
        <v>4.41</v>
      </c>
      <c r="N155" s="3">
        <v>4.41</v>
      </c>
      <c r="O155" s="3">
        <v>4.2300000000000004</v>
      </c>
      <c r="P155" s="3">
        <v>4.1399999999999997</v>
      </c>
      <c r="Q155" s="3">
        <v>4.0999999999999996</v>
      </c>
      <c r="R155" s="3">
        <v>4.07</v>
      </c>
    </row>
    <row r="156" spans="1:18" x14ac:dyDescent="0.25">
      <c r="A156" s="4" t="s">
        <v>170</v>
      </c>
      <c r="B156" s="3">
        <v>1.97</v>
      </c>
      <c r="C156" s="3">
        <v>2.4</v>
      </c>
      <c r="D156" s="3">
        <v>2.75</v>
      </c>
      <c r="E156" s="3">
        <v>3.04</v>
      </c>
      <c r="F156" s="3">
        <v>3.31</v>
      </c>
      <c r="G156" s="3">
        <v>3.56</v>
      </c>
      <c r="H156" s="3">
        <v>3.79</v>
      </c>
      <c r="I156" s="3">
        <v>4.26</v>
      </c>
      <c r="J156" s="3">
        <v>4.41</v>
      </c>
      <c r="K156" s="3">
        <v>4.34</v>
      </c>
      <c r="L156" s="3">
        <v>4.4000000000000004</v>
      </c>
      <c r="M156" s="3">
        <v>4.53</v>
      </c>
      <c r="N156" s="3">
        <v>4.58</v>
      </c>
      <c r="O156" s="3">
        <v>4.41</v>
      </c>
      <c r="P156" s="3">
        <v>4.2</v>
      </c>
      <c r="Q156" s="3">
        <v>4.05</v>
      </c>
      <c r="R156" s="3">
        <v>3.98</v>
      </c>
    </row>
    <row r="157" spans="1:18" x14ac:dyDescent="0.25">
      <c r="A157" s="4" t="s">
        <v>171</v>
      </c>
      <c r="B157" s="3">
        <v>3.14</v>
      </c>
      <c r="C157" s="3">
        <v>3.48</v>
      </c>
      <c r="D157" s="3">
        <v>3.74</v>
      </c>
      <c r="E157" s="3">
        <v>3.95</v>
      </c>
      <c r="F157" s="3">
        <v>4.13</v>
      </c>
      <c r="G157" s="3">
        <v>4.2699999999999996</v>
      </c>
      <c r="H157" s="3">
        <v>4.3899999999999997</v>
      </c>
      <c r="I157" s="3">
        <v>4.55</v>
      </c>
      <c r="J157" s="3">
        <v>4.5599999999999996</v>
      </c>
      <c r="K157" s="3">
        <v>4.4400000000000004</v>
      </c>
      <c r="L157" s="3">
        <v>4.5199999999999996</v>
      </c>
      <c r="M157" s="3">
        <v>4.63</v>
      </c>
      <c r="N157" s="3">
        <v>4.67</v>
      </c>
      <c r="O157" s="3">
        <v>4.49</v>
      </c>
      <c r="P157" s="3">
        <v>4.25</v>
      </c>
      <c r="Q157" s="3">
        <v>4.07</v>
      </c>
      <c r="R157" s="3">
        <v>4</v>
      </c>
    </row>
    <row r="158" spans="1:18" x14ac:dyDescent="0.25">
      <c r="A158" s="4" t="s">
        <v>172</v>
      </c>
      <c r="B158" s="3">
        <v>3.43</v>
      </c>
      <c r="C158" s="3">
        <v>3.64</v>
      </c>
      <c r="D158" s="3">
        <v>3.9</v>
      </c>
      <c r="E158" s="3">
        <v>4.22</v>
      </c>
      <c r="F158" s="3">
        <v>4.53</v>
      </c>
      <c r="G158" s="3">
        <v>4.7699999999999996</v>
      </c>
      <c r="H158" s="3">
        <v>4.9000000000000004</v>
      </c>
      <c r="I158" s="3">
        <v>4.99</v>
      </c>
      <c r="J158" s="3">
        <v>4.93</v>
      </c>
      <c r="K158" s="3">
        <v>4.6900000000000004</v>
      </c>
      <c r="L158" s="3">
        <v>4.7</v>
      </c>
      <c r="M158" s="3">
        <v>4.71</v>
      </c>
      <c r="N158" s="3">
        <v>4.6900000000000004</v>
      </c>
      <c r="O158" s="3">
        <v>4.47</v>
      </c>
      <c r="P158" s="3">
        <v>4.26</v>
      </c>
      <c r="Q158" s="3">
        <v>4.09</v>
      </c>
      <c r="R158" s="3">
        <v>4</v>
      </c>
    </row>
    <row r="159" spans="1:18" x14ac:dyDescent="0.25">
      <c r="A159" s="4" t="s">
        <v>173</v>
      </c>
      <c r="B159" s="3">
        <v>2.14</v>
      </c>
      <c r="C159" s="3">
        <v>3.17</v>
      </c>
      <c r="D159" s="3">
        <v>3.79</v>
      </c>
      <c r="E159" s="3">
        <v>4.0599999999999996</v>
      </c>
      <c r="F159" s="3">
        <v>4.2</v>
      </c>
      <c r="G159" s="3">
        <v>4.32</v>
      </c>
      <c r="H159" s="3">
        <v>4.42</v>
      </c>
      <c r="I159" s="3">
        <v>4.5599999999999996</v>
      </c>
      <c r="J159" s="3">
        <v>4.55</v>
      </c>
      <c r="K159" s="3">
        <v>4.3600000000000003</v>
      </c>
      <c r="L159" s="3">
        <v>4.4400000000000004</v>
      </c>
      <c r="M159" s="3">
        <v>4.6100000000000003</v>
      </c>
      <c r="N159" s="3">
        <v>4.6900000000000004</v>
      </c>
      <c r="O159" s="3">
        <v>4.4800000000000004</v>
      </c>
      <c r="P159" s="3">
        <v>4.2300000000000004</v>
      </c>
      <c r="Q159" s="3">
        <v>4.0599999999999996</v>
      </c>
      <c r="R159" s="3">
        <v>3.98</v>
      </c>
    </row>
    <row r="160" spans="1:18" x14ac:dyDescent="0.25">
      <c r="A160" s="4" t="s">
        <v>174</v>
      </c>
      <c r="B160" s="3">
        <v>2.31</v>
      </c>
      <c r="C160" s="3">
        <v>3.53</v>
      </c>
      <c r="D160" s="3">
        <v>4.2300000000000004</v>
      </c>
      <c r="E160" s="3">
        <v>4.5199999999999996</v>
      </c>
      <c r="F160" s="3">
        <v>4.68</v>
      </c>
      <c r="G160" s="3">
        <v>4.7699999999999996</v>
      </c>
      <c r="H160" s="3">
        <v>4.84</v>
      </c>
      <c r="I160" s="3">
        <v>4.93</v>
      </c>
      <c r="J160" s="3">
        <v>4.95</v>
      </c>
      <c r="K160" s="3">
        <v>4.87</v>
      </c>
      <c r="L160" s="3">
        <v>4.8099999999999996</v>
      </c>
      <c r="M160" s="3">
        <v>4.7699999999999996</v>
      </c>
      <c r="N160" s="3">
        <v>4.83</v>
      </c>
      <c r="O160" s="3">
        <v>4.5199999999999996</v>
      </c>
      <c r="P160" s="3">
        <v>4.3099999999999996</v>
      </c>
      <c r="Q160" s="3">
        <v>4.1399999999999997</v>
      </c>
      <c r="R160" s="3">
        <v>4.0599999999999996</v>
      </c>
    </row>
    <row r="161" spans="1:18" x14ac:dyDescent="0.25">
      <c r="A161" s="4" t="s">
        <v>175</v>
      </c>
      <c r="B161" s="3">
        <v>4.0199999999999996</v>
      </c>
      <c r="C161" s="3">
        <v>4.08</v>
      </c>
      <c r="D161" s="3">
        <v>4.28</v>
      </c>
      <c r="E161" s="3">
        <v>4.5599999999999996</v>
      </c>
      <c r="F161" s="3">
        <v>4.7699999999999996</v>
      </c>
      <c r="G161" s="3">
        <v>4.88</v>
      </c>
      <c r="H161" s="3">
        <v>4.9400000000000004</v>
      </c>
      <c r="I161" s="3">
        <v>5.01</v>
      </c>
      <c r="J161" s="3">
        <v>5.0199999999999996</v>
      </c>
      <c r="K161" s="3">
        <v>4.95</v>
      </c>
      <c r="L161" s="3">
        <v>4.88</v>
      </c>
      <c r="M161" s="3">
        <v>4.83</v>
      </c>
      <c r="N161" s="3">
        <v>4.8099999999999996</v>
      </c>
      <c r="O161" s="3">
        <v>4.7</v>
      </c>
      <c r="P161" s="3">
        <v>4.51</v>
      </c>
      <c r="Q161" s="3">
        <v>4.3</v>
      </c>
      <c r="R161" s="3">
        <v>4.2</v>
      </c>
    </row>
    <row r="162" spans="1:18" x14ac:dyDescent="0.25">
      <c r="A162" s="4" t="s">
        <v>176</v>
      </c>
      <c r="B162" s="3">
        <v>3.28</v>
      </c>
      <c r="C162" s="3">
        <v>3.54</v>
      </c>
      <c r="D162" s="3">
        <v>3.82</v>
      </c>
      <c r="E162" s="3">
        <v>4.1100000000000003</v>
      </c>
      <c r="F162" s="3">
        <v>4.33</v>
      </c>
      <c r="G162" s="3">
        <v>4.47</v>
      </c>
      <c r="H162" s="3">
        <v>4.5599999999999996</v>
      </c>
      <c r="I162" s="3">
        <v>4.68</v>
      </c>
      <c r="J162" s="3">
        <v>4.71</v>
      </c>
      <c r="K162" s="3">
        <v>4.6900000000000004</v>
      </c>
      <c r="L162" s="3">
        <v>4.72</v>
      </c>
      <c r="M162" s="3">
        <v>4.74</v>
      </c>
      <c r="N162" s="3">
        <v>4.76</v>
      </c>
      <c r="O162" s="3">
        <v>4.63</v>
      </c>
      <c r="P162" s="3">
        <v>4.3600000000000003</v>
      </c>
      <c r="Q162" s="3">
        <v>4.34</v>
      </c>
    </row>
    <row r="163" spans="1:18" x14ac:dyDescent="0.25">
      <c r="A163" s="4" t="s">
        <v>177</v>
      </c>
      <c r="B163" s="3">
        <v>3.58</v>
      </c>
      <c r="C163" s="3">
        <v>3.81</v>
      </c>
      <c r="D163" s="3">
        <v>4.05</v>
      </c>
      <c r="E163" s="3">
        <v>4.25</v>
      </c>
      <c r="F163" s="3">
        <v>4.3499999999999996</v>
      </c>
      <c r="G163" s="3">
        <v>4.38</v>
      </c>
      <c r="H163" s="3">
        <v>4.38</v>
      </c>
      <c r="I163" s="3">
        <v>4.38</v>
      </c>
      <c r="J163" s="3">
        <v>4.4000000000000004</v>
      </c>
      <c r="K163" s="3">
        <v>4.49</v>
      </c>
      <c r="L163" s="3">
        <v>4.57</v>
      </c>
      <c r="M163" s="3">
        <v>4.6100000000000003</v>
      </c>
      <c r="N163" s="3">
        <v>4.5999999999999996</v>
      </c>
      <c r="O163" s="3">
        <v>4.4000000000000004</v>
      </c>
      <c r="P163" s="3">
        <v>4.25</v>
      </c>
      <c r="Q163" s="3">
        <v>4.16</v>
      </c>
      <c r="R163" s="3">
        <v>4.16</v>
      </c>
    </row>
    <row r="164" spans="1:18" x14ac:dyDescent="0.25">
      <c r="A164" s="4" t="s">
        <v>178</v>
      </c>
      <c r="B164" s="3">
        <v>2.4</v>
      </c>
      <c r="C164" s="3">
        <v>2.68</v>
      </c>
      <c r="D164" s="3">
        <v>2.91</v>
      </c>
      <c r="E164" s="3">
        <v>3.1</v>
      </c>
      <c r="F164" s="3">
        <v>3.23</v>
      </c>
      <c r="G164" s="3">
        <v>3.34</v>
      </c>
      <c r="H164" s="3">
        <v>3.41</v>
      </c>
      <c r="I164" s="3">
        <v>3.55</v>
      </c>
      <c r="J164" s="3">
        <v>3.63</v>
      </c>
      <c r="K164" s="3">
        <v>3.79</v>
      </c>
      <c r="L164" s="3">
        <v>3.91</v>
      </c>
      <c r="M164" s="3">
        <v>3.99</v>
      </c>
      <c r="N164" s="3">
        <v>4.03</v>
      </c>
      <c r="O164" s="3">
        <v>4.07</v>
      </c>
      <c r="P164" s="3">
        <v>4.0599999999999996</v>
      </c>
      <c r="Q164" s="3">
        <v>4.05</v>
      </c>
      <c r="R164" s="3">
        <v>4.03</v>
      </c>
    </row>
    <row r="165" spans="1:18" x14ac:dyDescent="0.25">
      <c r="A165" s="4" t="s">
        <v>179</v>
      </c>
      <c r="B165" s="3">
        <v>2.89</v>
      </c>
      <c r="C165" s="3">
        <v>2.97</v>
      </c>
      <c r="D165" s="3">
        <v>3.02</v>
      </c>
      <c r="E165" s="3">
        <v>3.07</v>
      </c>
      <c r="F165" s="3">
        <v>3.18</v>
      </c>
      <c r="G165" s="3">
        <v>3.34</v>
      </c>
      <c r="H165" s="3">
        <v>3.53</v>
      </c>
      <c r="I165" s="3">
        <v>3.98</v>
      </c>
      <c r="J165" s="3">
        <v>4.16</v>
      </c>
      <c r="K165" s="3">
        <v>4.25</v>
      </c>
      <c r="L165" s="3">
        <v>4.3600000000000003</v>
      </c>
      <c r="M165" s="3">
        <v>4.46</v>
      </c>
      <c r="N165" s="3">
        <v>4.49</v>
      </c>
      <c r="O165" s="3">
        <v>4.34</v>
      </c>
      <c r="P165" s="3">
        <v>4.2699999999999996</v>
      </c>
      <c r="Q165" s="3">
        <v>4.25</v>
      </c>
      <c r="R165" s="3">
        <v>4.2300000000000004</v>
      </c>
    </row>
    <row r="166" spans="1:18" x14ac:dyDescent="0.25">
      <c r="A166" s="4" t="s">
        <v>180</v>
      </c>
      <c r="B166" s="3">
        <v>1.82</v>
      </c>
      <c r="C166" s="3">
        <v>2.6</v>
      </c>
      <c r="D166" s="3">
        <v>3.02</v>
      </c>
      <c r="E166" s="3">
        <v>3.16</v>
      </c>
      <c r="F166" s="3">
        <v>3.24</v>
      </c>
      <c r="G166" s="3">
        <v>3.34</v>
      </c>
      <c r="H166" s="3">
        <v>3.45</v>
      </c>
      <c r="I166" s="3">
        <v>3.76</v>
      </c>
      <c r="J166" s="3">
        <v>3.93</v>
      </c>
      <c r="K166" s="3">
        <v>4.1399999999999997</v>
      </c>
      <c r="L166" s="3">
        <v>4.25</v>
      </c>
      <c r="M166" s="3">
        <v>4.3099999999999996</v>
      </c>
      <c r="N166" s="3">
        <v>4.3099999999999996</v>
      </c>
      <c r="O166" s="3">
        <v>4.1500000000000004</v>
      </c>
      <c r="P166" s="3">
        <v>4.16</v>
      </c>
      <c r="Q166" s="3">
        <v>4.2</v>
      </c>
      <c r="R166" s="3">
        <v>4.18</v>
      </c>
    </row>
    <row r="167" spans="1:18" x14ac:dyDescent="0.25">
      <c r="A167" s="4" t="s">
        <v>181</v>
      </c>
      <c r="B167" s="3">
        <v>1.25</v>
      </c>
      <c r="C167" s="3">
        <v>1.65</v>
      </c>
      <c r="D167" s="3">
        <v>1.97</v>
      </c>
      <c r="E167" s="3">
        <v>2.2000000000000002</v>
      </c>
      <c r="F167" s="3">
        <v>2.38</v>
      </c>
      <c r="G167" s="3">
        <v>2.52</v>
      </c>
      <c r="H167" s="3">
        <v>2.65</v>
      </c>
      <c r="I167" s="3">
        <v>2.95</v>
      </c>
      <c r="J167" s="3">
        <v>3.18</v>
      </c>
      <c r="K167" s="3">
        <v>3.7</v>
      </c>
      <c r="L167" s="3">
        <v>3.89</v>
      </c>
      <c r="M167" s="3">
        <v>3.94</v>
      </c>
      <c r="N167" s="3">
        <v>3.99</v>
      </c>
      <c r="O167" s="3">
        <v>4.2</v>
      </c>
      <c r="P167" s="3">
        <v>4.0999999999999996</v>
      </c>
      <c r="Q167" s="3">
        <v>3.93</v>
      </c>
      <c r="R167" s="3">
        <v>3.84</v>
      </c>
    </row>
    <row r="168" spans="1:18" x14ac:dyDescent="0.25">
      <c r="A168" s="4" t="s">
        <v>182</v>
      </c>
      <c r="B168" s="3">
        <v>1.65</v>
      </c>
      <c r="C168" s="3">
        <v>1.83</v>
      </c>
      <c r="D168" s="3">
        <v>2.02</v>
      </c>
      <c r="E168" s="3">
        <v>2.21</v>
      </c>
      <c r="F168" s="3">
        <v>2.38</v>
      </c>
      <c r="G168" s="3">
        <v>2.5</v>
      </c>
      <c r="H168" s="3">
        <v>2.6</v>
      </c>
      <c r="I168" s="3">
        <v>2.79</v>
      </c>
      <c r="J168" s="3">
        <v>2.91</v>
      </c>
      <c r="K168" s="3">
        <v>3.17</v>
      </c>
      <c r="L168" s="3">
        <v>3.28</v>
      </c>
      <c r="M168" s="3">
        <v>3.37</v>
      </c>
      <c r="N168" s="3">
        <v>3.47</v>
      </c>
      <c r="O168" s="3">
        <v>3.82</v>
      </c>
      <c r="P168" s="3">
        <v>3.83</v>
      </c>
      <c r="Q168" s="3">
        <v>3.75</v>
      </c>
      <c r="R168" s="3">
        <v>3.7</v>
      </c>
    </row>
    <row r="169" spans="1:18" x14ac:dyDescent="0.25">
      <c r="A169" s="4" t="s">
        <v>183</v>
      </c>
      <c r="B169" s="3">
        <v>1.45</v>
      </c>
      <c r="C169" s="3">
        <v>1.97</v>
      </c>
      <c r="D169" s="3">
        <v>2.36</v>
      </c>
      <c r="E169" s="3">
        <v>2.61</v>
      </c>
      <c r="F169" s="3">
        <v>2.77</v>
      </c>
      <c r="G169" s="3">
        <v>2.85</v>
      </c>
      <c r="H169" s="3">
        <v>2.87</v>
      </c>
      <c r="I169" s="3">
        <v>2.85</v>
      </c>
      <c r="J169" s="3">
        <v>2.88</v>
      </c>
      <c r="K169" s="3">
        <v>3.14</v>
      </c>
      <c r="L169" s="3">
        <v>3.32</v>
      </c>
      <c r="M169" s="3">
        <v>3.45</v>
      </c>
      <c r="N169" s="3">
        <v>3.56</v>
      </c>
      <c r="O169" s="3">
        <v>3.87</v>
      </c>
      <c r="P169" s="3">
        <v>3.88</v>
      </c>
      <c r="Q169" s="3">
        <v>3.82</v>
      </c>
      <c r="R169" s="3">
        <v>3.81</v>
      </c>
    </row>
    <row r="170" spans="1:18" x14ac:dyDescent="0.25">
      <c r="A170" s="4" t="s">
        <v>184</v>
      </c>
      <c r="B170" s="3">
        <v>2.69</v>
      </c>
      <c r="C170" s="3">
        <v>2.34</v>
      </c>
      <c r="D170" s="3">
        <v>2.31</v>
      </c>
      <c r="E170" s="3">
        <v>2.5299999999999998</v>
      </c>
      <c r="F170" s="3">
        <v>2.75</v>
      </c>
      <c r="G170" s="3">
        <v>2.86</v>
      </c>
      <c r="H170" s="3">
        <v>2.89</v>
      </c>
      <c r="I170" s="3">
        <v>2.83</v>
      </c>
      <c r="J170" s="3">
        <v>2.8</v>
      </c>
      <c r="K170" s="3">
        <v>3.05</v>
      </c>
      <c r="L170" s="3">
        <v>3.3</v>
      </c>
      <c r="M170" s="3">
        <v>3.48</v>
      </c>
      <c r="N170" s="3">
        <v>3.59</v>
      </c>
      <c r="O170" s="3">
        <v>3.81</v>
      </c>
      <c r="P170" s="3">
        <v>3.86</v>
      </c>
      <c r="Q170" s="3">
        <v>3.86</v>
      </c>
      <c r="R170" s="3">
        <v>3.86</v>
      </c>
    </row>
    <row r="171" spans="1:18" x14ac:dyDescent="0.25">
      <c r="A171" s="4" t="s">
        <v>185</v>
      </c>
      <c r="B171" s="3">
        <v>1.22</v>
      </c>
      <c r="C171" s="3">
        <v>1.61</v>
      </c>
      <c r="D171" s="3">
        <v>1.93</v>
      </c>
      <c r="E171" s="3">
        <v>2.19</v>
      </c>
      <c r="F171" s="3">
        <v>2.38</v>
      </c>
      <c r="G171" s="3">
        <v>2.52</v>
      </c>
      <c r="H171" s="3">
        <v>2.61</v>
      </c>
      <c r="I171" s="3">
        <v>2.76</v>
      </c>
      <c r="J171" s="3">
        <v>2.85</v>
      </c>
      <c r="K171" s="3">
        <v>3.14</v>
      </c>
      <c r="L171" s="3">
        <v>3.36</v>
      </c>
      <c r="M171" s="3">
        <v>3.54</v>
      </c>
      <c r="N171" s="3">
        <v>3.66</v>
      </c>
      <c r="O171" s="3">
        <v>3.9</v>
      </c>
      <c r="P171" s="3">
        <v>3.93</v>
      </c>
      <c r="Q171" s="3">
        <v>3.91</v>
      </c>
      <c r="R171" s="3">
        <v>3.88</v>
      </c>
    </row>
    <row r="172" spans="1:18" x14ac:dyDescent="0.25">
      <c r="A172" s="4" t="s">
        <v>186</v>
      </c>
      <c r="B172" s="3">
        <v>1.24</v>
      </c>
      <c r="C172" s="3">
        <v>1.79</v>
      </c>
      <c r="D172" s="3">
        <v>2.19</v>
      </c>
      <c r="E172" s="3">
        <v>2.44</v>
      </c>
      <c r="F172" s="3">
        <v>2.59</v>
      </c>
      <c r="G172" s="3">
        <v>2.69</v>
      </c>
      <c r="H172" s="3">
        <v>2.77</v>
      </c>
      <c r="I172" s="3">
        <v>2.91</v>
      </c>
      <c r="J172" s="3">
        <v>3.01</v>
      </c>
      <c r="K172" s="3">
        <v>3.31</v>
      </c>
      <c r="L172" s="3">
        <v>3.53</v>
      </c>
      <c r="M172" s="3">
        <v>3.7</v>
      </c>
      <c r="N172" s="3">
        <v>3.81</v>
      </c>
      <c r="O172" s="3">
        <v>4</v>
      </c>
      <c r="P172" s="3">
        <v>4.0199999999999996</v>
      </c>
      <c r="Q172" s="3">
        <v>3.98</v>
      </c>
      <c r="R172" s="3">
        <v>3.94</v>
      </c>
    </row>
    <row r="173" spans="1:18" x14ac:dyDescent="0.25">
      <c r="A173" s="4" t="s">
        <v>187</v>
      </c>
      <c r="B173" s="3">
        <v>1.87</v>
      </c>
      <c r="C173" s="3">
        <v>2.0299999999999998</v>
      </c>
      <c r="D173" s="3">
        <v>2.16</v>
      </c>
      <c r="E173" s="3">
        <v>2.27</v>
      </c>
      <c r="F173" s="3">
        <v>2.36</v>
      </c>
      <c r="G173" s="3">
        <v>2.41</v>
      </c>
      <c r="H173" s="3">
        <v>2.44</v>
      </c>
      <c r="I173" s="3">
        <v>2.5099999999999998</v>
      </c>
      <c r="J173" s="3">
        <v>2.58</v>
      </c>
      <c r="K173" s="3">
        <v>2.87</v>
      </c>
      <c r="L173" s="3">
        <v>3.12</v>
      </c>
      <c r="M173" s="3">
        <v>3.3</v>
      </c>
      <c r="N173" s="3">
        <v>3.44</v>
      </c>
      <c r="O173" s="3">
        <v>3.75</v>
      </c>
      <c r="P173" s="3">
        <v>3.83</v>
      </c>
      <c r="Q173" s="3">
        <v>3.85</v>
      </c>
      <c r="R173" s="3">
        <v>3.85</v>
      </c>
    </row>
    <row r="174" spans="1:18" x14ac:dyDescent="0.25">
      <c r="A174" s="4" t="s">
        <v>188</v>
      </c>
      <c r="B174" s="3">
        <v>1.88</v>
      </c>
      <c r="C174" s="3">
        <v>2.04</v>
      </c>
      <c r="D174" s="3">
        <v>2.1800000000000002</v>
      </c>
      <c r="E174" s="3">
        <v>2.2999999999999998</v>
      </c>
      <c r="F174" s="3">
        <v>2.4</v>
      </c>
      <c r="G174" s="3">
        <v>2.4700000000000002</v>
      </c>
      <c r="H174" s="3">
        <v>2.52</v>
      </c>
      <c r="I174" s="3">
        <v>2.64</v>
      </c>
      <c r="J174" s="3">
        <v>2.76</v>
      </c>
      <c r="K174" s="3">
        <v>3.15</v>
      </c>
      <c r="L174" s="3">
        <v>3.4</v>
      </c>
      <c r="M174" s="3">
        <v>3.55</v>
      </c>
      <c r="N174" s="3">
        <v>3.65</v>
      </c>
      <c r="O174" s="3">
        <v>3.85</v>
      </c>
      <c r="P174" s="3">
        <v>3.91</v>
      </c>
      <c r="Q174" s="3">
        <v>3.93</v>
      </c>
      <c r="R174" s="3">
        <v>3.93</v>
      </c>
    </row>
    <row r="175" spans="1:18" x14ac:dyDescent="0.25">
      <c r="A175" s="4" t="s">
        <v>189</v>
      </c>
      <c r="B175" s="3">
        <v>2.4700000000000002</v>
      </c>
      <c r="C175" s="3">
        <v>2.48</v>
      </c>
      <c r="D175" s="3">
        <v>2.54</v>
      </c>
      <c r="E175" s="3">
        <v>2.62</v>
      </c>
      <c r="F175" s="3">
        <v>2.69</v>
      </c>
      <c r="G175" s="3">
        <v>2.75</v>
      </c>
      <c r="H175" s="3">
        <v>2.8</v>
      </c>
      <c r="I175" s="3">
        <v>2.9</v>
      </c>
      <c r="J175" s="3">
        <v>2.97</v>
      </c>
      <c r="K175" s="3">
        <v>3.19</v>
      </c>
      <c r="L175" s="3">
        <v>3.34</v>
      </c>
      <c r="M175" s="3">
        <v>3.46</v>
      </c>
      <c r="N175" s="3">
        <v>3.53</v>
      </c>
      <c r="O175" s="3">
        <v>3.73</v>
      </c>
      <c r="P175" s="3">
        <v>3.8</v>
      </c>
      <c r="Q175" s="3">
        <v>3.83</v>
      </c>
      <c r="R175" s="3">
        <v>3.84</v>
      </c>
    </row>
    <row r="176" spans="1:18" x14ac:dyDescent="0.25">
      <c r="A176" s="4" t="s">
        <v>190</v>
      </c>
      <c r="B176" s="3">
        <v>2.02</v>
      </c>
      <c r="C176" s="3">
        <v>2.19</v>
      </c>
      <c r="D176" s="3">
        <v>2.3199999999999998</v>
      </c>
      <c r="E176" s="3">
        <v>2.42</v>
      </c>
      <c r="F176" s="3">
        <v>2.5</v>
      </c>
      <c r="G176" s="3">
        <v>2.57</v>
      </c>
      <c r="H176" s="3">
        <v>2.64</v>
      </c>
      <c r="I176" s="3">
        <v>2.78</v>
      </c>
      <c r="J176" s="3">
        <v>2.86</v>
      </c>
      <c r="K176" s="3">
        <v>3.05</v>
      </c>
      <c r="L176" s="3">
        <v>3.25</v>
      </c>
      <c r="M176" s="3">
        <v>3.43</v>
      </c>
      <c r="N176" s="3">
        <v>3.56</v>
      </c>
      <c r="O176" s="3">
        <v>3.82</v>
      </c>
      <c r="P176" s="3">
        <v>3.87</v>
      </c>
      <c r="Q176" s="3">
        <v>3.85</v>
      </c>
      <c r="R176" s="3">
        <v>3.82</v>
      </c>
    </row>
    <row r="177" spans="1:18" x14ac:dyDescent="0.25">
      <c r="A177" s="4" t="s">
        <v>191</v>
      </c>
      <c r="B177" s="3">
        <v>1.42</v>
      </c>
      <c r="C177" s="3">
        <v>1.93</v>
      </c>
      <c r="D177" s="3">
        <v>2.2000000000000002</v>
      </c>
      <c r="E177" s="3">
        <v>2.27</v>
      </c>
      <c r="F177" s="3">
        <v>2.2999999999999998</v>
      </c>
      <c r="G177" s="3">
        <v>2.38</v>
      </c>
      <c r="H177" s="3">
        <v>2.48</v>
      </c>
      <c r="I177" s="3">
        <v>2.73</v>
      </c>
      <c r="J177" s="3">
        <v>2.85</v>
      </c>
      <c r="K177" s="3">
        <v>3.04</v>
      </c>
      <c r="L177" s="3">
        <v>3.2</v>
      </c>
      <c r="M177" s="3">
        <v>3.35</v>
      </c>
      <c r="N177" s="3">
        <v>3.47</v>
      </c>
      <c r="O177" s="3">
        <v>3.76</v>
      </c>
      <c r="P177" s="3">
        <v>3.82</v>
      </c>
      <c r="Q177" s="3">
        <v>3.8</v>
      </c>
      <c r="R177" s="3">
        <v>3.77</v>
      </c>
    </row>
    <row r="178" spans="1:18" x14ac:dyDescent="0.25">
      <c r="A178" s="4" t="s">
        <v>192</v>
      </c>
      <c r="B178" s="3">
        <v>2.1</v>
      </c>
      <c r="C178" s="3">
        <v>2.2400000000000002</v>
      </c>
      <c r="D178" s="3">
        <v>2.34</v>
      </c>
      <c r="E178" s="3">
        <v>2.4</v>
      </c>
      <c r="F178" s="3">
        <v>2.46</v>
      </c>
      <c r="G178" s="3">
        <v>2.5299999999999998</v>
      </c>
      <c r="H178" s="3">
        <v>2.6</v>
      </c>
      <c r="I178" s="3">
        <v>2.79</v>
      </c>
      <c r="J178" s="3">
        <v>2.92</v>
      </c>
      <c r="K178" s="3">
        <v>3.2</v>
      </c>
      <c r="L178" s="3">
        <v>3.37</v>
      </c>
      <c r="M178" s="3">
        <v>3.5</v>
      </c>
      <c r="N178" s="3">
        <v>3.59</v>
      </c>
      <c r="O178" s="3">
        <v>3.83</v>
      </c>
      <c r="P178" s="3">
        <v>3.85</v>
      </c>
      <c r="Q178" s="3">
        <v>3.8</v>
      </c>
      <c r="R178" s="3">
        <v>3.74</v>
      </c>
    </row>
    <row r="179" spans="1:18" x14ac:dyDescent="0.25">
      <c r="A179" s="4" t="s">
        <v>193</v>
      </c>
      <c r="B179" s="3">
        <v>1.8</v>
      </c>
      <c r="C179" s="3">
        <v>2.08</v>
      </c>
      <c r="D179" s="3">
        <v>2.2400000000000002</v>
      </c>
      <c r="E179" s="3">
        <v>2.31</v>
      </c>
      <c r="F179" s="3">
        <v>2.37</v>
      </c>
      <c r="G179" s="3">
        <v>2.4500000000000002</v>
      </c>
      <c r="H179" s="3">
        <v>2.54</v>
      </c>
      <c r="I179" s="3">
        <v>2.75</v>
      </c>
      <c r="J179" s="3">
        <v>2.9</v>
      </c>
      <c r="K179" s="3">
        <v>3.28</v>
      </c>
      <c r="L179" s="3">
        <v>3.5</v>
      </c>
      <c r="M179" s="3">
        <v>3.64</v>
      </c>
      <c r="N179" s="3">
        <v>3.73</v>
      </c>
      <c r="O179" s="3">
        <v>3.9</v>
      </c>
      <c r="P179" s="3">
        <v>3.94</v>
      </c>
      <c r="Q179" s="3">
        <v>3.93</v>
      </c>
      <c r="R179" s="3">
        <v>3.9</v>
      </c>
    </row>
    <row r="180" spans="1:18" x14ac:dyDescent="0.25">
      <c r="A180" s="4" t="s">
        <v>194</v>
      </c>
      <c r="B180" s="3">
        <v>1.1200000000000001</v>
      </c>
      <c r="C180" s="3">
        <v>1.74</v>
      </c>
      <c r="D180" s="3">
        <v>2.1</v>
      </c>
      <c r="E180" s="3">
        <v>2.2400000000000002</v>
      </c>
      <c r="F180" s="3">
        <v>2.3199999999999998</v>
      </c>
      <c r="G180" s="3">
        <v>2.41</v>
      </c>
      <c r="H180" s="3">
        <v>2.5</v>
      </c>
      <c r="I180" s="3">
        <v>2.73</v>
      </c>
      <c r="J180" s="3">
        <v>2.88</v>
      </c>
      <c r="K180" s="3">
        <v>3.26</v>
      </c>
      <c r="L180" s="3">
        <v>3.56</v>
      </c>
      <c r="M180" s="3">
        <v>3.76</v>
      </c>
      <c r="N180" s="3">
        <v>3.87</v>
      </c>
      <c r="O180" s="3">
        <v>4</v>
      </c>
      <c r="P180" s="3">
        <v>3.99</v>
      </c>
      <c r="Q180" s="3">
        <v>3.95</v>
      </c>
      <c r="R180" s="3">
        <v>3.91</v>
      </c>
    </row>
    <row r="181" spans="1:18" x14ac:dyDescent="0.25">
      <c r="A181" s="4" t="s">
        <v>195</v>
      </c>
      <c r="B181" s="3">
        <v>1.74</v>
      </c>
      <c r="C181" s="3">
        <v>2.0499999999999998</v>
      </c>
      <c r="D181" s="3">
        <v>2.2400000000000002</v>
      </c>
      <c r="E181" s="3">
        <v>2.36</v>
      </c>
      <c r="F181" s="3">
        <v>2.48</v>
      </c>
      <c r="G181" s="3">
        <v>2.6</v>
      </c>
      <c r="H181" s="3">
        <v>2.71</v>
      </c>
      <c r="I181" s="3">
        <v>2.93</v>
      </c>
      <c r="J181" s="3">
        <v>3.05</v>
      </c>
      <c r="K181" s="3">
        <v>3.37</v>
      </c>
      <c r="L181" s="3">
        <v>3.61</v>
      </c>
      <c r="M181" s="3">
        <v>3.77</v>
      </c>
      <c r="N181" s="3">
        <v>3.87</v>
      </c>
      <c r="O181" s="3">
        <v>4.01</v>
      </c>
      <c r="P181" s="3">
        <v>4.01</v>
      </c>
      <c r="Q181" s="3">
        <v>4</v>
      </c>
      <c r="R181" s="3">
        <v>4.0199999999999996</v>
      </c>
    </row>
    <row r="182" spans="1:18" x14ac:dyDescent="0.25">
      <c r="A182" s="4" t="s">
        <v>196</v>
      </c>
      <c r="B182" s="3">
        <v>1.89</v>
      </c>
      <c r="C182" s="3">
        <v>1.99</v>
      </c>
      <c r="D182" s="3">
        <v>2.15</v>
      </c>
      <c r="E182" s="3">
        <v>2.34</v>
      </c>
      <c r="F182" s="3">
        <v>2.5</v>
      </c>
      <c r="G182" s="3">
        <v>2.62</v>
      </c>
      <c r="H182" s="3">
        <v>2.7</v>
      </c>
      <c r="I182" s="3">
        <v>2.88</v>
      </c>
      <c r="J182" s="3">
        <v>3</v>
      </c>
      <c r="K182" s="3">
        <v>3.32</v>
      </c>
      <c r="L182" s="3">
        <v>3.53</v>
      </c>
      <c r="M182" s="3">
        <v>3.66</v>
      </c>
      <c r="N182" s="3">
        <v>3.74</v>
      </c>
      <c r="O182" s="3">
        <v>3.87</v>
      </c>
      <c r="P182" s="3">
        <v>3.93</v>
      </c>
      <c r="Q182" s="3">
        <v>3.98</v>
      </c>
      <c r="R182" s="3">
        <v>4.0599999999999996</v>
      </c>
    </row>
    <row r="183" spans="1:18" x14ac:dyDescent="0.25">
      <c r="A183" s="4" t="s">
        <v>197</v>
      </c>
      <c r="B183" s="3">
        <v>1.74</v>
      </c>
      <c r="C183" s="3">
        <v>1.96</v>
      </c>
      <c r="D183" s="3">
        <v>2.15</v>
      </c>
      <c r="E183" s="3">
        <v>2.3199999999999998</v>
      </c>
      <c r="F183" s="3">
        <v>2.4700000000000002</v>
      </c>
      <c r="G183" s="3">
        <v>2.58</v>
      </c>
      <c r="H183" s="3">
        <v>2.67</v>
      </c>
      <c r="I183" s="3">
        <v>2.85</v>
      </c>
      <c r="J183" s="3">
        <v>2.96</v>
      </c>
      <c r="K183" s="3">
        <v>3.24</v>
      </c>
      <c r="L183" s="3">
        <v>3.46</v>
      </c>
      <c r="M183" s="3">
        <v>3.61</v>
      </c>
      <c r="N183" s="3">
        <v>3.71</v>
      </c>
      <c r="O183" s="3">
        <v>3.9</v>
      </c>
      <c r="P183" s="3">
        <v>3.92</v>
      </c>
      <c r="Q183" s="3">
        <v>3.93</v>
      </c>
      <c r="R183" s="3">
        <v>4</v>
      </c>
    </row>
    <row r="184" spans="1:18" x14ac:dyDescent="0.25">
      <c r="A184" s="4" t="s">
        <v>198</v>
      </c>
      <c r="B184" s="3">
        <v>2</v>
      </c>
      <c r="C184" s="3">
        <v>2.2799999999999998</v>
      </c>
      <c r="D184" s="3">
        <v>2.4700000000000002</v>
      </c>
      <c r="E184" s="3">
        <v>2.6</v>
      </c>
      <c r="F184" s="3">
        <v>2.68</v>
      </c>
      <c r="G184" s="3">
        <v>2.75</v>
      </c>
      <c r="H184" s="3">
        <v>2.8</v>
      </c>
      <c r="I184" s="3">
        <v>2.93</v>
      </c>
      <c r="J184" s="3">
        <v>3.03</v>
      </c>
      <c r="K184" s="3">
        <v>3.33</v>
      </c>
      <c r="L184" s="3">
        <v>3.53</v>
      </c>
      <c r="M184" s="3">
        <v>3.68</v>
      </c>
      <c r="N184" s="3">
        <v>3.8</v>
      </c>
      <c r="O184" s="3">
        <v>4.04</v>
      </c>
      <c r="P184" s="3">
        <v>4.01</v>
      </c>
      <c r="Q184" s="3">
        <v>3.96</v>
      </c>
      <c r="R184" s="3">
        <v>4</v>
      </c>
    </row>
    <row r="185" spans="1:18" x14ac:dyDescent="0.25">
      <c r="A185" s="4" t="s">
        <v>199</v>
      </c>
      <c r="B185" s="3">
        <v>2.3199999999999998</v>
      </c>
      <c r="C185" s="3">
        <v>2.48</v>
      </c>
      <c r="D185" s="3">
        <v>2.63</v>
      </c>
      <c r="E185" s="3">
        <v>2.75</v>
      </c>
      <c r="F185" s="3">
        <v>2.84</v>
      </c>
      <c r="G185" s="3">
        <v>2.9</v>
      </c>
      <c r="H185" s="3">
        <v>2.94</v>
      </c>
      <c r="I185" s="3">
        <v>3.06</v>
      </c>
      <c r="J185" s="3">
        <v>3.15</v>
      </c>
      <c r="K185" s="3">
        <v>3.42</v>
      </c>
      <c r="L185" s="3">
        <v>3.59</v>
      </c>
      <c r="M185" s="3">
        <v>3.73</v>
      </c>
      <c r="N185" s="3">
        <v>3.84</v>
      </c>
      <c r="O185" s="3">
        <v>4.09</v>
      </c>
      <c r="P185" s="3">
        <v>4.07</v>
      </c>
      <c r="Q185" s="3">
        <v>4.01</v>
      </c>
      <c r="R185" s="3">
        <v>4.04</v>
      </c>
    </row>
    <row r="186" spans="1:18" x14ac:dyDescent="0.25">
      <c r="A186" s="4" t="s">
        <v>200</v>
      </c>
      <c r="B186" s="3">
        <v>2.2000000000000002</v>
      </c>
      <c r="C186" s="3">
        <v>2.48</v>
      </c>
      <c r="D186" s="3">
        <v>2.66</v>
      </c>
      <c r="E186" s="3">
        <v>2.75</v>
      </c>
      <c r="F186" s="3">
        <v>2.82</v>
      </c>
      <c r="G186" s="3">
        <v>2.89</v>
      </c>
      <c r="H186" s="3">
        <v>2.95</v>
      </c>
      <c r="I186" s="3">
        <v>3.1</v>
      </c>
      <c r="J186" s="3">
        <v>3.21</v>
      </c>
      <c r="K186" s="3">
        <v>3.52</v>
      </c>
      <c r="L186" s="3">
        <v>3.72</v>
      </c>
      <c r="M186" s="3">
        <v>3.85</v>
      </c>
      <c r="N186" s="3">
        <v>3.95</v>
      </c>
      <c r="O186" s="3">
        <v>4.1500000000000004</v>
      </c>
      <c r="P186" s="3">
        <v>4.12</v>
      </c>
      <c r="Q186" s="3">
        <v>4.0599999999999996</v>
      </c>
      <c r="R186" s="3">
        <v>4.0599999999999996</v>
      </c>
    </row>
    <row r="187" spans="1:18" x14ac:dyDescent="0.25">
      <c r="A187" s="4" t="s">
        <v>201</v>
      </c>
      <c r="B187" s="3">
        <v>2.2400000000000002</v>
      </c>
      <c r="C187" s="3">
        <v>2.48</v>
      </c>
      <c r="D187" s="3">
        <v>2.65</v>
      </c>
      <c r="E187" s="3">
        <v>2.76</v>
      </c>
      <c r="F187" s="3">
        <v>2.84</v>
      </c>
      <c r="G187" s="3">
        <v>2.89</v>
      </c>
      <c r="H187" s="3">
        <v>2.93</v>
      </c>
      <c r="I187" s="3">
        <v>3.02</v>
      </c>
      <c r="J187" s="3">
        <v>3.09</v>
      </c>
      <c r="K187" s="3">
        <v>3.3</v>
      </c>
      <c r="L187" s="3">
        <v>3.47</v>
      </c>
      <c r="M187" s="3">
        <v>3.62</v>
      </c>
      <c r="N187" s="3">
        <v>3.75</v>
      </c>
      <c r="O187" s="3">
        <v>4.1100000000000003</v>
      </c>
      <c r="P187" s="3">
        <v>4.1399999999999997</v>
      </c>
      <c r="Q187" s="3">
        <v>4.0999999999999996</v>
      </c>
      <c r="R187" s="3">
        <v>4.12</v>
      </c>
    </row>
    <row r="188" spans="1:18" x14ac:dyDescent="0.25">
      <c r="A188" s="4" t="s">
        <v>202</v>
      </c>
      <c r="B188" s="3">
        <v>2.65</v>
      </c>
      <c r="C188" s="3">
        <v>2.63</v>
      </c>
      <c r="D188" s="3">
        <v>2.7</v>
      </c>
      <c r="E188" s="3">
        <v>2.83</v>
      </c>
      <c r="F188" s="3">
        <v>2.9</v>
      </c>
      <c r="G188" s="3">
        <v>2.9</v>
      </c>
      <c r="H188" s="3">
        <v>2.87</v>
      </c>
      <c r="I188" s="3">
        <v>2.85</v>
      </c>
      <c r="J188" s="3">
        <v>2.89</v>
      </c>
      <c r="K188" s="3">
        <v>3.15</v>
      </c>
      <c r="L188" s="3">
        <v>3.35</v>
      </c>
      <c r="M188" s="3">
        <v>3.51</v>
      </c>
      <c r="N188" s="3">
        <v>3.62</v>
      </c>
      <c r="O188" s="3">
        <v>3.91</v>
      </c>
      <c r="P188" s="3">
        <v>3.99</v>
      </c>
      <c r="Q188" s="3">
        <v>4</v>
      </c>
      <c r="R188" s="3">
        <v>3.99</v>
      </c>
    </row>
    <row r="189" spans="1:18" x14ac:dyDescent="0.25">
      <c r="A189" s="4" t="s">
        <v>203</v>
      </c>
      <c r="B189" s="3">
        <v>2.67</v>
      </c>
      <c r="C189" s="3">
        <v>2.69</v>
      </c>
      <c r="D189" s="3">
        <v>2.73</v>
      </c>
      <c r="E189" s="3">
        <v>2.78</v>
      </c>
      <c r="F189" s="3">
        <v>2.82</v>
      </c>
      <c r="G189" s="3">
        <v>2.85</v>
      </c>
      <c r="H189" s="3">
        <v>2.87</v>
      </c>
      <c r="I189" s="3">
        <v>2.93</v>
      </c>
      <c r="J189" s="3">
        <v>3</v>
      </c>
      <c r="K189" s="3">
        <v>3.26</v>
      </c>
      <c r="L189" s="3">
        <v>3.42</v>
      </c>
      <c r="M189" s="3">
        <v>3.54</v>
      </c>
      <c r="N189" s="3">
        <v>3.64</v>
      </c>
      <c r="O189" s="3">
        <v>3.93</v>
      </c>
      <c r="P189" s="3">
        <v>3.98</v>
      </c>
      <c r="Q189" s="3">
        <v>3.96</v>
      </c>
      <c r="R189" s="3">
        <v>3.94</v>
      </c>
    </row>
    <row r="190" spans="1:18" x14ac:dyDescent="0.25">
      <c r="A190" s="4" t="s">
        <v>204</v>
      </c>
      <c r="B190" s="3">
        <v>2.1</v>
      </c>
      <c r="C190" s="3">
        <v>2.4500000000000002</v>
      </c>
      <c r="D190" s="3">
        <v>2.66</v>
      </c>
      <c r="E190" s="3">
        <v>2.72</v>
      </c>
      <c r="F190" s="3">
        <v>2.74</v>
      </c>
      <c r="G190" s="3">
        <v>2.76</v>
      </c>
      <c r="H190" s="3">
        <v>2.79</v>
      </c>
      <c r="I190" s="3">
        <v>2.88</v>
      </c>
      <c r="J190" s="3">
        <v>2.94</v>
      </c>
      <c r="K190" s="3">
        <v>3.11</v>
      </c>
      <c r="L190" s="3">
        <v>3.32</v>
      </c>
      <c r="M190" s="3">
        <v>3.52</v>
      </c>
      <c r="N190" s="3">
        <v>3.66</v>
      </c>
      <c r="O190" s="3">
        <v>3.94</v>
      </c>
      <c r="P190" s="3">
        <v>3.98</v>
      </c>
      <c r="Q190" s="3">
        <v>3.96</v>
      </c>
      <c r="R190" s="3">
        <v>3.93</v>
      </c>
    </row>
    <row r="191" spans="1:18" x14ac:dyDescent="0.25">
      <c r="A191" s="4" t="s">
        <v>205</v>
      </c>
      <c r="B191" s="3">
        <v>2.98</v>
      </c>
      <c r="C191" s="3">
        <v>2.93</v>
      </c>
      <c r="D191" s="3">
        <v>2.92</v>
      </c>
      <c r="E191" s="3">
        <v>2.95</v>
      </c>
      <c r="F191" s="3">
        <v>2.98</v>
      </c>
      <c r="G191" s="3">
        <v>2.99</v>
      </c>
      <c r="H191" s="3">
        <v>2.99</v>
      </c>
      <c r="I191" s="3">
        <v>3</v>
      </c>
      <c r="J191" s="3">
        <v>3.03</v>
      </c>
      <c r="K191" s="3">
        <v>3.28</v>
      </c>
      <c r="L191" s="3">
        <v>3.49</v>
      </c>
      <c r="M191" s="3">
        <v>3.65</v>
      </c>
      <c r="N191" s="3">
        <v>3.77</v>
      </c>
      <c r="O191" s="3">
        <v>3.99</v>
      </c>
      <c r="P191" s="3">
        <v>4.0199999999999996</v>
      </c>
      <c r="Q191" s="3">
        <v>4</v>
      </c>
      <c r="R191" s="3">
        <v>3.97</v>
      </c>
    </row>
    <row r="192" spans="1:18" x14ac:dyDescent="0.25">
      <c r="A192" s="4" t="s">
        <v>206</v>
      </c>
      <c r="B192" s="3">
        <v>2.5299999999999998</v>
      </c>
      <c r="C192" s="3">
        <v>2.69</v>
      </c>
      <c r="D192" s="3">
        <v>2.81</v>
      </c>
      <c r="E192" s="3">
        <v>2.9</v>
      </c>
      <c r="F192" s="3">
        <v>2.97</v>
      </c>
      <c r="G192" s="3">
        <v>3.03</v>
      </c>
      <c r="H192" s="3">
        <v>3.08</v>
      </c>
      <c r="I192" s="3">
        <v>3.19</v>
      </c>
      <c r="J192" s="3">
        <v>3.26</v>
      </c>
      <c r="K192" s="3">
        <v>3.42</v>
      </c>
      <c r="L192" s="3">
        <v>3.6</v>
      </c>
      <c r="M192" s="3">
        <v>3.75</v>
      </c>
      <c r="N192" s="3">
        <v>3.86</v>
      </c>
      <c r="O192" s="3">
        <v>4.07</v>
      </c>
      <c r="P192" s="3">
        <v>4.09</v>
      </c>
      <c r="Q192" s="3">
        <v>4.09</v>
      </c>
      <c r="R192" s="3">
        <v>4.18</v>
      </c>
    </row>
    <row r="193" spans="1:18" x14ac:dyDescent="0.25">
      <c r="A193" s="4" t="s">
        <v>207</v>
      </c>
      <c r="B193" s="3">
        <v>2.52</v>
      </c>
      <c r="C193" s="3">
        <v>2.66</v>
      </c>
      <c r="D193" s="3">
        <v>2.77</v>
      </c>
      <c r="E193" s="3">
        <v>2.85</v>
      </c>
      <c r="F193" s="3">
        <v>2.92</v>
      </c>
      <c r="G193" s="3">
        <v>2.98</v>
      </c>
      <c r="H193" s="3">
        <v>3.02</v>
      </c>
      <c r="I193" s="3">
        <v>3.09</v>
      </c>
      <c r="J193" s="3">
        <v>3.11</v>
      </c>
      <c r="K193" s="3">
        <v>3.15</v>
      </c>
      <c r="L193" s="3">
        <v>3.34</v>
      </c>
      <c r="M193" s="3">
        <v>3.54</v>
      </c>
      <c r="N193" s="3">
        <v>3.68</v>
      </c>
      <c r="O193" s="3">
        <v>3.98</v>
      </c>
      <c r="P193" s="3">
        <v>4.03</v>
      </c>
      <c r="Q193" s="3">
        <v>4.0199999999999996</v>
      </c>
      <c r="R193" s="3">
        <v>4.03</v>
      </c>
    </row>
    <row r="194" spans="1:18" x14ac:dyDescent="0.25">
      <c r="A194" s="4" t="s">
        <v>208</v>
      </c>
      <c r="B194" s="3">
        <v>2.68</v>
      </c>
      <c r="C194" s="3">
        <v>2.69</v>
      </c>
      <c r="D194" s="3">
        <v>2.74</v>
      </c>
      <c r="E194" s="3">
        <v>2.84</v>
      </c>
      <c r="F194" s="3">
        <v>2.91</v>
      </c>
      <c r="G194" s="3">
        <v>2.93</v>
      </c>
      <c r="H194" s="3">
        <v>2.93</v>
      </c>
      <c r="I194" s="3">
        <v>2.92</v>
      </c>
      <c r="J194" s="3">
        <v>2.93</v>
      </c>
      <c r="K194" s="3">
        <v>3.09</v>
      </c>
      <c r="L194" s="3">
        <v>3.32</v>
      </c>
      <c r="M194" s="3">
        <v>3.53</v>
      </c>
      <c r="N194" s="3">
        <v>3.68</v>
      </c>
      <c r="O194" s="3">
        <v>3.97</v>
      </c>
      <c r="P194" s="3">
        <v>4.01</v>
      </c>
      <c r="Q194" s="3">
        <v>3.99</v>
      </c>
      <c r="R194" s="3">
        <v>3.99</v>
      </c>
    </row>
    <row r="195" spans="1:18" x14ac:dyDescent="0.25">
      <c r="A195" s="4" t="s">
        <v>209</v>
      </c>
      <c r="B195" s="3">
        <v>2.38</v>
      </c>
      <c r="C195" s="3">
        <v>2.5299999999999998</v>
      </c>
      <c r="D195" s="3">
        <v>2.65</v>
      </c>
      <c r="E195" s="3">
        <v>2.74</v>
      </c>
      <c r="F195" s="3">
        <v>2.81</v>
      </c>
      <c r="G195" s="3">
        <v>2.84</v>
      </c>
      <c r="H195" s="3">
        <v>2.85</v>
      </c>
      <c r="I195" s="3">
        <v>2.85</v>
      </c>
      <c r="J195" s="3">
        <v>2.88</v>
      </c>
      <c r="K195" s="3">
        <v>3.1</v>
      </c>
      <c r="L195" s="3">
        <v>3.32</v>
      </c>
      <c r="M195" s="3">
        <v>3.5</v>
      </c>
      <c r="N195" s="3">
        <v>3.64</v>
      </c>
      <c r="O195" s="3">
        <v>3.97</v>
      </c>
      <c r="P195" s="3">
        <v>3.99</v>
      </c>
      <c r="Q195" s="3">
        <v>3.95</v>
      </c>
      <c r="R195" s="3">
        <v>3.94</v>
      </c>
    </row>
    <row r="196" spans="1:18" x14ac:dyDescent="0.25">
      <c r="A196" s="4" t="s">
        <v>210</v>
      </c>
      <c r="B196" s="3">
        <v>2.35</v>
      </c>
      <c r="C196" s="3">
        <v>2.67</v>
      </c>
      <c r="D196" s="3">
        <v>2.86</v>
      </c>
      <c r="E196" s="3">
        <v>2.93</v>
      </c>
      <c r="F196" s="3">
        <v>2.95</v>
      </c>
      <c r="G196" s="3">
        <v>2.96</v>
      </c>
      <c r="H196" s="3">
        <v>2.97</v>
      </c>
      <c r="I196" s="3">
        <v>2.98</v>
      </c>
      <c r="J196" s="3">
        <v>3.01</v>
      </c>
      <c r="K196" s="3">
        <v>3.17</v>
      </c>
      <c r="L196" s="3">
        <v>3.32</v>
      </c>
      <c r="M196" s="3">
        <v>3.46</v>
      </c>
      <c r="N196" s="3">
        <v>3.59</v>
      </c>
      <c r="O196" s="3">
        <v>3.96</v>
      </c>
      <c r="P196" s="3">
        <v>3.98</v>
      </c>
      <c r="Q196" s="3">
        <v>3.93</v>
      </c>
      <c r="R196" s="3">
        <v>3.95</v>
      </c>
    </row>
    <row r="197" spans="1:18" x14ac:dyDescent="0.25">
      <c r="A197" s="4" t="s">
        <v>211</v>
      </c>
      <c r="B197" s="3">
        <v>2.98</v>
      </c>
      <c r="C197" s="3">
        <v>2.94</v>
      </c>
      <c r="D197" s="3">
        <v>2.94</v>
      </c>
      <c r="E197" s="3">
        <v>2.97</v>
      </c>
      <c r="F197" s="3">
        <v>3</v>
      </c>
      <c r="G197" s="3">
        <v>3.01</v>
      </c>
      <c r="H197" s="3">
        <v>3</v>
      </c>
      <c r="I197" s="3">
        <v>2.98</v>
      </c>
      <c r="J197" s="3">
        <v>3.01</v>
      </c>
      <c r="K197" s="3">
        <v>3.22</v>
      </c>
      <c r="L197" s="3">
        <v>3.35</v>
      </c>
      <c r="M197" s="3">
        <v>3.44</v>
      </c>
      <c r="N197" s="3">
        <v>3.53</v>
      </c>
      <c r="O197" s="3">
        <v>3.92</v>
      </c>
      <c r="P197" s="3">
        <v>3.94</v>
      </c>
      <c r="Q197" s="3">
        <v>3.9</v>
      </c>
      <c r="R197" s="3">
        <v>3.95</v>
      </c>
    </row>
    <row r="198" spans="1:18" x14ac:dyDescent="0.25">
      <c r="A198" s="4" t="s">
        <v>212</v>
      </c>
      <c r="B198" s="3">
        <v>2.95</v>
      </c>
      <c r="C198" s="3">
        <v>2.93</v>
      </c>
      <c r="D198" s="3">
        <v>2.94</v>
      </c>
      <c r="E198" s="3">
        <v>2.98</v>
      </c>
      <c r="F198" s="3">
        <v>3.02</v>
      </c>
      <c r="G198" s="3">
        <v>3.02</v>
      </c>
      <c r="H198" s="3">
        <v>3.01</v>
      </c>
      <c r="I198" s="3">
        <v>2.98</v>
      </c>
      <c r="J198" s="3">
        <v>2.99</v>
      </c>
      <c r="K198" s="3">
        <v>3.15</v>
      </c>
      <c r="L198" s="3">
        <v>3.33</v>
      </c>
      <c r="M198" s="3">
        <v>3.5</v>
      </c>
      <c r="N198" s="3">
        <v>3.63</v>
      </c>
      <c r="O198" s="3">
        <v>3.92</v>
      </c>
      <c r="P198" s="3">
        <v>3.95</v>
      </c>
      <c r="Q198" s="3">
        <v>3.94</v>
      </c>
      <c r="R198" s="3">
        <v>4</v>
      </c>
    </row>
    <row r="199" spans="1:18" x14ac:dyDescent="0.25">
      <c r="A199" s="4" t="s">
        <v>213</v>
      </c>
      <c r="B199" s="3">
        <v>2.82</v>
      </c>
      <c r="C199" s="3">
        <v>2.84</v>
      </c>
      <c r="D199" s="3">
        <v>2.88</v>
      </c>
      <c r="E199" s="3">
        <v>2.94</v>
      </c>
      <c r="F199" s="3">
        <v>2.97</v>
      </c>
      <c r="G199" s="3">
        <v>2.97</v>
      </c>
      <c r="H199" s="3">
        <v>2.95</v>
      </c>
      <c r="I199" s="3">
        <v>2.92</v>
      </c>
      <c r="J199" s="3">
        <v>2.94</v>
      </c>
      <c r="K199" s="3">
        <v>3.16</v>
      </c>
      <c r="L199" s="3">
        <v>3.38</v>
      </c>
      <c r="M199" s="3">
        <v>3.55</v>
      </c>
      <c r="N199" s="3">
        <v>3.69</v>
      </c>
      <c r="O199" s="3">
        <v>3.99</v>
      </c>
      <c r="P199" s="3">
        <v>4.04</v>
      </c>
      <c r="Q199" s="3">
        <v>4.03</v>
      </c>
      <c r="R199" s="3">
        <v>4.01</v>
      </c>
    </row>
    <row r="200" spans="1:18" x14ac:dyDescent="0.25">
      <c r="A200" s="4" t="s">
        <v>214</v>
      </c>
      <c r="B200" s="3">
        <v>1.83</v>
      </c>
      <c r="C200" s="3">
        <v>2.2000000000000002</v>
      </c>
      <c r="D200" s="3">
        <v>2.5499999999999998</v>
      </c>
      <c r="E200" s="3">
        <v>2.85</v>
      </c>
      <c r="F200" s="3">
        <v>3.04</v>
      </c>
      <c r="G200" s="3">
        <v>3.12</v>
      </c>
      <c r="H200" s="3">
        <v>3.12</v>
      </c>
      <c r="I200" s="3">
        <v>3.03</v>
      </c>
      <c r="J200" s="3">
        <v>2.99</v>
      </c>
      <c r="K200" s="3">
        <v>3.15</v>
      </c>
      <c r="L200" s="3">
        <v>3.38</v>
      </c>
      <c r="M200" s="3">
        <v>3.56</v>
      </c>
      <c r="N200" s="3">
        <v>3.7</v>
      </c>
      <c r="O200" s="3">
        <v>4.0199999999999996</v>
      </c>
      <c r="P200" s="3">
        <v>4.0599999999999996</v>
      </c>
      <c r="Q200" s="3">
        <v>4.04</v>
      </c>
      <c r="R200" s="3">
        <v>4.03</v>
      </c>
    </row>
    <row r="201" spans="1:18" x14ac:dyDescent="0.25">
      <c r="A201" s="4" t="s">
        <v>215</v>
      </c>
      <c r="B201" s="3">
        <v>2.83</v>
      </c>
      <c r="C201" s="3">
        <v>2.85</v>
      </c>
      <c r="D201" s="3">
        <v>2.89</v>
      </c>
      <c r="E201" s="3">
        <v>2.94</v>
      </c>
      <c r="F201" s="3">
        <v>2.99</v>
      </c>
      <c r="G201" s="3">
        <v>3.02</v>
      </c>
      <c r="H201" s="3">
        <v>3.03</v>
      </c>
      <c r="I201" s="3">
        <v>3.05</v>
      </c>
      <c r="J201" s="3">
        <v>3.08</v>
      </c>
      <c r="K201" s="3">
        <v>3.28</v>
      </c>
      <c r="L201" s="3">
        <v>3.46</v>
      </c>
      <c r="M201" s="3">
        <v>3.6</v>
      </c>
      <c r="N201" s="3">
        <v>3.71</v>
      </c>
      <c r="O201" s="3">
        <v>4</v>
      </c>
      <c r="P201" s="3">
        <v>4.08</v>
      </c>
      <c r="Q201" s="3">
        <v>4.09</v>
      </c>
      <c r="R201" s="3">
        <v>4.09</v>
      </c>
    </row>
    <row r="202" spans="1:18" x14ac:dyDescent="0.25">
      <c r="A202" s="4" t="s">
        <v>216</v>
      </c>
      <c r="B202" s="3">
        <v>2.91</v>
      </c>
      <c r="C202" s="3">
        <v>2.95</v>
      </c>
      <c r="D202" s="3">
        <v>3</v>
      </c>
      <c r="E202" s="3">
        <v>3.06</v>
      </c>
      <c r="F202" s="3">
        <v>3.1</v>
      </c>
      <c r="G202" s="3">
        <v>3.12</v>
      </c>
      <c r="H202" s="3">
        <v>3.12</v>
      </c>
      <c r="I202" s="3">
        <v>3.1</v>
      </c>
      <c r="J202" s="3">
        <v>3.11</v>
      </c>
      <c r="K202" s="3">
        <v>3.31</v>
      </c>
      <c r="L202" s="3">
        <v>3.51</v>
      </c>
      <c r="M202" s="3">
        <v>3.65</v>
      </c>
      <c r="N202" s="3">
        <v>3.76</v>
      </c>
      <c r="O202" s="3">
        <v>4</v>
      </c>
      <c r="P202" s="3">
        <v>4.0599999999999996</v>
      </c>
      <c r="Q202" s="3">
        <v>4.0599999999999996</v>
      </c>
      <c r="R202" s="3">
        <v>4.0599999999999996</v>
      </c>
    </row>
    <row r="203" spans="1:18" x14ac:dyDescent="0.25">
      <c r="A203" s="4" t="s">
        <v>217</v>
      </c>
      <c r="B203" s="3">
        <v>2.99</v>
      </c>
      <c r="C203" s="3">
        <v>2.98</v>
      </c>
      <c r="D203" s="3">
        <v>3</v>
      </c>
      <c r="E203" s="3">
        <v>3.05</v>
      </c>
      <c r="F203" s="3">
        <v>3.1</v>
      </c>
      <c r="G203" s="3">
        <v>3.12</v>
      </c>
      <c r="H203" s="3">
        <v>3.12</v>
      </c>
      <c r="I203" s="3">
        <v>3.11</v>
      </c>
      <c r="J203" s="3">
        <v>3.13</v>
      </c>
      <c r="K203" s="3">
        <v>3.33</v>
      </c>
      <c r="L203" s="3">
        <v>3.53</v>
      </c>
      <c r="M203" s="3">
        <v>3.69</v>
      </c>
      <c r="N203" s="3">
        <v>3.81</v>
      </c>
      <c r="O203" s="3">
        <v>4.0199999999999996</v>
      </c>
      <c r="P203" s="3">
        <v>4.0599999999999996</v>
      </c>
      <c r="Q203" s="3">
        <v>4.0599999999999996</v>
      </c>
      <c r="R203" s="3">
        <v>4.05</v>
      </c>
    </row>
    <row r="204" spans="1:18" x14ac:dyDescent="0.25">
      <c r="A204" s="4" t="s">
        <v>218</v>
      </c>
      <c r="B204" s="3">
        <v>2.88</v>
      </c>
      <c r="C204" s="3">
        <v>3.05</v>
      </c>
      <c r="D204" s="3">
        <v>3.19</v>
      </c>
      <c r="E204" s="3">
        <v>3.29</v>
      </c>
      <c r="F204" s="3">
        <v>3.36</v>
      </c>
      <c r="G204" s="3">
        <v>3.4</v>
      </c>
      <c r="H204" s="3">
        <v>3.42</v>
      </c>
      <c r="I204" s="3">
        <v>3.44</v>
      </c>
      <c r="J204" s="3">
        <v>3.46</v>
      </c>
      <c r="K204" s="3">
        <v>3.58</v>
      </c>
      <c r="L204" s="3">
        <v>3.7</v>
      </c>
      <c r="M204" s="3">
        <v>3.81</v>
      </c>
      <c r="N204" s="3">
        <v>3.88</v>
      </c>
      <c r="O204" s="3">
        <v>4.01</v>
      </c>
      <c r="P204" s="3">
        <v>4.03</v>
      </c>
      <c r="Q204" s="3">
        <v>4.0199999999999996</v>
      </c>
      <c r="R204" s="3">
        <v>4.01</v>
      </c>
    </row>
    <row r="205" spans="1:18" x14ac:dyDescent="0.25">
      <c r="A205" s="4" t="s">
        <v>219</v>
      </c>
      <c r="B205" s="3">
        <v>3.08</v>
      </c>
      <c r="C205" s="3">
        <v>3.26</v>
      </c>
      <c r="D205" s="3">
        <v>3.38</v>
      </c>
      <c r="E205" s="3">
        <v>3.44</v>
      </c>
      <c r="F205" s="3">
        <v>3.48</v>
      </c>
      <c r="G205" s="3">
        <v>3.5</v>
      </c>
      <c r="H205" s="3">
        <v>3.53</v>
      </c>
      <c r="I205" s="3">
        <v>3.58</v>
      </c>
      <c r="J205" s="3">
        <v>3.6</v>
      </c>
      <c r="K205" s="3">
        <v>3.63</v>
      </c>
      <c r="L205" s="3">
        <v>3.71</v>
      </c>
      <c r="M205" s="3">
        <v>3.83</v>
      </c>
      <c r="N205" s="3">
        <v>3.92</v>
      </c>
      <c r="O205" s="3">
        <v>4.04</v>
      </c>
      <c r="P205" s="3">
        <v>4.04</v>
      </c>
      <c r="Q205" s="3">
        <v>4.0199999999999996</v>
      </c>
      <c r="R205" s="3">
        <v>4.01</v>
      </c>
    </row>
    <row r="206" spans="1:18" x14ac:dyDescent="0.25">
      <c r="A206" s="4" t="s">
        <v>220</v>
      </c>
      <c r="B206" s="3">
        <v>3.53</v>
      </c>
      <c r="C206" s="3">
        <v>3.44</v>
      </c>
      <c r="D206" s="3">
        <v>3.42</v>
      </c>
      <c r="E206" s="3">
        <v>3.47</v>
      </c>
      <c r="F206" s="3">
        <v>3.52</v>
      </c>
      <c r="G206" s="3">
        <v>3.56</v>
      </c>
      <c r="H206" s="3">
        <v>3.57</v>
      </c>
      <c r="I206" s="3">
        <v>3.59</v>
      </c>
      <c r="J206" s="3">
        <v>3.59</v>
      </c>
      <c r="K206" s="3">
        <v>3.65</v>
      </c>
      <c r="L206" s="3">
        <v>3.75</v>
      </c>
      <c r="M206" s="3">
        <v>3.86</v>
      </c>
      <c r="N206" s="3">
        <v>3.94</v>
      </c>
      <c r="O206" s="3">
        <v>4.0999999999999996</v>
      </c>
      <c r="P206" s="3">
        <v>4.0999999999999996</v>
      </c>
      <c r="Q206" s="3">
        <v>4.0599999999999996</v>
      </c>
      <c r="R206" s="3">
        <v>4.07</v>
      </c>
    </row>
    <row r="207" spans="1:18" x14ac:dyDescent="0.25">
      <c r="A207" s="4" t="s">
        <v>221</v>
      </c>
      <c r="B207" s="3">
        <v>3.25</v>
      </c>
      <c r="C207" s="3">
        <v>3.36</v>
      </c>
      <c r="D207" s="3">
        <v>3.46</v>
      </c>
      <c r="E207" s="3">
        <v>3.54</v>
      </c>
      <c r="F207" s="3">
        <v>3.6</v>
      </c>
      <c r="G207" s="3">
        <v>3.64</v>
      </c>
      <c r="H207" s="3">
        <v>3.65</v>
      </c>
      <c r="I207" s="3">
        <v>3.66</v>
      </c>
      <c r="J207" s="3">
        <v>3.67</v>
      </c>
      <c r="K207" s="3">
        <v>3.75</v>
      </c>
      <c r="L207" s="3">
        <v>3.85</v>
      </c>
      <c r="M207" s="3">
        <v>3.94</v>
      </c>
      <c r="N207" s="3">
        <v>4.01</v>
      </c>
      <c r="O207" s="3">
        <v>4.1900000000000004</v>
      </c>
      <c r="P207" s="3">
        <v>4.16</v>
      </c>
      <c r="Q207" s="3">
        <v>4.1100000000000003</v>
      </c>
      <c r="R207" s="3">
        <v>4.09</v>
      </c>
    </row>
    <row r="208" spans="1:18" x14ac:dyDescent="0.25">
      <c r="A208" s="4" t="s">
        <v>222</v>
      </c>
      <c r="B208" s="3">
        <v>3.01</v>
      </c>
      <c r="C208" s="3">
        <v>3.27</v>
      </c>
      <c r="D208" s="3">
        <v>3.46</v>
      </c>
      <c r="E208" s="3">
        <v>3.57</v>
      </c>
      <c r="F208" s="3">
        <v>3.64</v>
      </c>
      <c r="G208" s="3">
        <v>3.67</v>
      </c>
      <c r="H208" s="3">
        <v>3.7</v>
      </c>
      <c r="I208" s="3">
        <v>3.72</v>
      </c>
      <c r="J208" s="3">
        <v>3.74</v>
      </c>
      <c r="K208" s="3">
        <v>3.79</v>
      </c>
      <c r="L208" s="3">
        <v>3.85</v>
      </c>
      <c r="M208" s="3">
        <v>3.92</v>
      </c>
      <c r="N208" s="3">
        <v>3.98</v>
      </c>
      <c r="O208" s="3">
        <v>4.13</v>
      </c>
      <c r="P208" s="3">
        <v>4.1399999999999997</v>
      </c>
      <c r="Q208" s="3">
        <v>4.13</v>
      </c>
      <c r="R208" s="3">
        <v>4.13</v>
      </c>
    </row>
    <row r="209" spans="1:18" x14ac:dyDescent="0.25">
      <c r="A209" s="4" t="s">
        <v>223</v>
      </c>
      <c r="B209" s="3">
        <v>3.52</v>
      </c>
      <c r="C209" s="3">
        <v>3.51</v>
      </c>
      <c r="D209" s="3">
        <v>3.53</v>
      </c>
      <c r="E209" s="3">
        <v>3.59</v>
      </c>
      <c r="F209" s="3">
        <v>3.64</v>
      </c>
      <c r="G209" s="3">
        <v>3.69</v>
      </c>
      <c r="H209" s="3">
        <v>3.72</v>
      </c>
      <c r="I209" s="3">
        <v>3.78</v>
      </c>
      <c r="J209" s="3">
        <v>3.81</v>
      </c>
      <c r="K209" s="3">
        <v>3.91</v>
      </c>
      <c r="L209" s="3">
        <v>3.97</v>
      </c>
      <c r="M209" s="3">
        <v>4.03</v>
      </c>
      <c r="N209" s="3">
        <v>4.07</v>
      </c>
      <c r="O209" s="3">
        <v>4.18</v>
      </c>
      <c r="P209" s="3">
        <v>4.2</v>
      </c>
      <c r="Q209" s="3">
        <v>4.1900000000000004</v>
      </c>
      <c r="R209" s="3">
        <v>4.18</v>
      </c>
    </row>
    <row r="210" spans="1:18" x14ac:dyDescent="0.25">
      <c r="A210" s="4" t="s">
        <v>224</v>
      </c>
      <c r="B210" s="3">
        <v>3.35</v>
      </c>
      <c r="C210" s="3">
        <v>3.42</v>
      </c>
      <c r="D210" s="3">
        <v>3.49</v>
      </c>
      <c r="E210" s="3">
        <v>3.55</v>
      </c>
      <c r="F210" s="3">
        <v>3.6</v>
      </c>
      <c r="G210" s="3">
        <v>3.64</v>
      </c>
      <c r="H210" s="3">
        <v>3.67</v>
      </c>
      <c r="I210" s="3">
        <v>3.73</v>
      </c>
      <c r="J210" s="3">
        <v>3.78</v>
      </c>
      <c r="K210" s="3">
        <v>3.88</v>
      </c>
      <c r="L210" s="3">
        <v>3.94</v>
      </c>
      <c r="M210" s="3">
        <v>4</v>
      </c>
      <c r="N210" s="3">
        <v>4.05</v>
      </c>
      <c r="O210" s="3">
        <v>4.21</v>
      </c>
      <c r="P210" s="3">
        <v>4.21</v>
      </c>
      <c r="Q210" s="3">
        <v>4.17</v>
      </c>
      <c r="R210" s="3">
        <v>4.1399999999999997</v>
      </c>
    </row>
    <row r="211" spans="1:18" x14ac:dyDescent="0.25">
      <c r="A211" s="4" t="s">
        <v>225</v>
      </c>
      <c r="B211" s="3">
        <v>3.51</v>
      </c>
      <c r="C211" s="3">
        <v>3.53</v>
      </c>
      <c r="D211" s="3">
        <v>3.58</v>
      </c>
      <c r="E211" s="3">
        <v>3.65</v>
      </c>
      <c r="F211" s="3">
        <v>3.72</v>
      </c>
      <c r="G211" s="3">
        <v>3.77</v>
      </c>
      <c r="H211" s="3">
        <v>3.8</v>
      </c>
      <c r="I211" s="3">
        <v>3.86</v>
      </c>
      <c r="J211" s="3">
        <v>3.9</v>
      </c>
      <c r="K211" s="3">
        <v>3.98</v>
      </c>
      <c r="L211" s="3">
        <v>4.03</v>
      </c>
      <c r="M211" s="3">
        <v>4.07</v>
      </c>
      <c r="N211" s="3">
        <v>4.1100000000000003</v>
      </c>
      <c r="O211" s="3">
        <v>4.24</v>
      </c>
      <c r="P211" s="3">
        <v>4.22</v>
      </c>
      <c r="Q211" s="3">
        <v>4.18</v>
      </c>
      <c r="R211" s="3">
        <v>4.1399999999999997</v>
      </c>
    </row>
    <row r="212" spans="1:18" x14ac:dyDescent="0.25">
      <c r="A212" s="4" t="s">
        <v>226</v>
      </c>
      <c r="B212" s="3">
        <v>3.57</v>
      </c>
      <c r="C212" s="3">
        <v>3.51</v>
      </c>
      <c r="D212" s="3">
        <v>3.52</v>
      </c>
      <c r="E212" s="3">
        <v>3.6</v>
      </c>
      <c r="F212" s="3">
        <v>3.68</v>
      </c>
      <c r="G212" s="3">
        <v>3.73</v>
      </c>
      <c r="H212" s="3">
        <v>3.77</v>
      </c>
      <c r="I212" s="3">
        <v>3.85</v>
      </c>
      <c r="J212" s="3">
        <v>3.91</v>
      </c>
      <c r="K212" s="3">
        <v>4.07</v>
      </c>
      <c r="L212" s="3">
        <v>4.1399999999999997</v>
      </c>
      <c r="M212" s="3">
        <v>4.18</v>
      </c>
      <c r="N212" s="3">
        <v>4.2</v>
      </c>
      <c r="O212" s="3">
        <v>4.26</v>
      </c>
      <c r="P212" s="3">
        <v>4.25</v>
      </c>
      <c r="Q212" s="3">
        <v>4.22</v>
      </c>
      <c r="R212" s="3">
        <v>4.1900000000000004</v>
      </c>
    </row>
    <row r="213" spans="1:18" x14ac:dyDescent="0.25">
      <c r="A213" s="4" t="s">
        <v>227</v>
      </c>
      <c r="B213" s="3">
        <v>3.18</v>
      </c>
      <c r="C213" s="3">
        <v>3.32</v>
      </c>
      <c r="D213" s="3">
        <v>3.43</v>
      </c>
      <c r="E213" s="3">
        <v>3.51</v>
      </c>
      <c r="F213" s="3">
        <v>3.57</v>
      </c>
      <c r="G213" s="3">
        <v>3.62</v>
      </c>
      <c r="H213" s="3">
        <v>3.66</v>
      </c>
      <c r="I213" s="3">
        <v>3.75</v>
      </c>
      <c r="J213" s="3">
        <v>3.81</v>
      </c>
      <c r="K213" s="3">
        <v>3.97</v>
      </c>
      <c r="L213" s="3">
        <v>4.0599999999999996</v>
      </c>
      <c r="M213" s="3">
        <v>4.13</v>
      </c>
      <c r="N213" s="3">
        <v>4.17</v>
      </c>
      <c r="O213" s="3">
        <v>4.21</v>
      </c>
      <c r="P213" s="3">
        <v>4.21</v>
      </c>
      <c r="Q213" s="3">
        <v>4.21</v>
      </c>
      <c r="R213" s="3">
        <v>4.2</v>
      </c>
    </row>
    <row r="214" spans="1:18" x14ac:dyDescent="0.25">
      <c r="A214" s="4" t="s">
        <v>228</v>
      </c>
      <c r="B214" s="3">
        <v>3</v>
      </c>
      <c r="C214" s="3">
        <v>3.29</v>
      </c>
      <c r="D214" s="3">
        <v>3.46</v>
      </c>
      <c r="E214" s="3">
        <v>3.52</v>
      </c>
      <c r="F214" s="3">
        <v>3.55</v>
      </c>
      <c r="G214" s="3">
        <v>3.6</v>
      </c>
      <c r="H214" s="3">
        <v>3.64</v>
      </c>
      <c r="I214" s="3">
        <v>3.76</v>
      </c>
      <c r="J214" s="3">
        <v>3.82</v>
      </c>
      <c r="K214" s="3">
        <v>3.92</v>
      </c>
      <c r="L214" s="3">
        <v>3.98</v>
      </c>
      <c r="M214" s="3">
        <v>4.03</v>
      </c>
      <c r="N214" s="3">
        <v>4.07</v>
      </c>
      <c r="O214" s="3">
        <v>4.2</v>
      </c>
      <c r="P214" s="3">
        <v>4.1900000000000004</v>
      </c>
      <c r="Q214" s="3">
        <v>4.1500000000000004</v>
      </c>
      <c r="R214" s="3">
        <v>4.13</v>
      </c>
    </row>
    <row r="215" spans="1:18" x14ac:dyDescent="0.25">
      <c r="A215" s="4" t="s">
        <v>229</v>
      </c>
      <c r="B215" s="3">
        <v>3.28</v>
      </c>
      <c r="C215" s="3">
        <v>3.46</v>
      </c>
      <c r="D215" s="3">
        <v>3.54</v>
      </c>
      <c r="E215" s="3">
        <v>3.55</v>
      </c>
      <c r="F215" s="3">
        <v>3.55</v>
      </c>
      <c r="G215" s="3">
        <v>3.59</v>
      </c>
      <c r="H215" s="3">
        <v>3.63</v>
      </c>
      <c r="I215" s="3">
        <v>3.72</v>
      </c>
      <c r="J215" s="3">
        <v>3.75</v>
      </c>
      <c r="K215" s="3">
        <v>3.83</v>
      </c>
      <c r="L215" s="3">
        <v>3.92</v>
      </c>
      <c r="M215" s="3">
        <v>4</v>
      </c>
      <c r="N215" s="3">
        <v>4.0599999999999996</v>
      </c>
      <c r="O215" s="3">
        <v>4.16</v>
      </c>
      <c r="P215" s="3">
        <v>4.16</v>
      </c>
      <c r="Q215" s="3">
        <v>4.1399999999999997</v>
      </c>
      <c r="R215" s="3">
        <v>4.13</v>
      </c>
    </row>
    <row r="216" spans="1:18" x14ac:dyDescent="0.25">
      <c r="A216" s="4" t="s">
        <v>230</v>
      </c>
      <c r="B216" s="3">
        <v>3.02</v>
      </c>
      <c r="C216" s="3">
        <v>3.32</v>
      </c>
      <c r="D216" s="3">
        <v>3.46</v>
      </c>
      <c r="E216" s="3">
        <v>3.51</v>
      </c>
      <c r="F216" s="3">
        <v>3.54</v>
      </c>
      <c r="G216" s="3">
        <v>3.6</v>
      </c>
      <c r="H216" s="3">
        <v>3.65</v>
      </c>
      <c r="I216" s="3">
        <v>3.73</v>
      </c>
      <c r="J216" s="3">
        <v>3.74</v>
      </c>
      <c r="K216" s="3">
        <v>3.75</v>
      </c>
      <c r="L216" s="3">
        <v>3.88</v>
      </c>
      <c r="M216" s="3">
        <v>4</v>
      </c>
      <c r="N216" s="3">
        <v>4.08</v>
      </c>
      <c r="O216" s="3">
        <v>4.21</v>
      </c>
      <c r="P216" s="3">
        <v>4.21</v>
      </c>
      <c r="Q216" s="3">
        <v>4.1900000000000004</v>
      </c>
      <c r="R216" s="3">
        <v>4.18</v>
      </c>
    </row>
    <row r="217" spans="1:18" x14ac:dyDescent="0.25">
      <c r="A217" s="4" t="s">
        <v>231</v>
      </c>
      <c r="B217" s="3">
        <v>3.21</v>
      </c>
      <c r="C217" s="3">
        <v>3.4</v>
      </c>
      <c r="D217" s="3">
        <v>3.51</v>
      </c>
      <c r="E217" s="3">
        <v>3.56</v>
      </c>
      <c r="F217" s="3">
        <v>3.6</v>
      </c>
      <c r="G217" s="3">
        <v>3.65</v>
      </c>
      <c r="H217" s="3">
        <v>3.69</v>
      </c>
      <c r="I217" s="3">
        <v>3.77</v>
      </c>
      <c r="J217" s="3">
        <v>3.79</v>
      </c>
      <c r="K217" s="3">
        <v>3.84</v>
      </c>
      <c r="L217" s="3">
        <v>3.93</v>
      </c>
      <c r="M217" s="3">
        <v>4.0199999999999996</v>
      </c>
      <c r="N217" s="3">
        <v>4.08</v>
      </c>
      <c r="O217" s="3">
        <v>4.2300000000000004</v>
      </c>
      <c r="P217" s="3">
        <v>4.2300000000000004</v>
      </c>
      <c r="Q217" s="3">
        <v>4.21</v>
      </c>
      <c r="R217" s="3">
        <v>4.18</v>
      </c>
    </row>
    <row r="218" spans="1:18" x14ac:dyDescent="0.25">
      <c r="A218" s="4" t="s">
        <v>232</v>
      </c>
      <c r="B218" s="3">
        <v>3.5</v>
      </c>
      <c r="C218" s="3">
        <v>3.53</v>
      </c>
      <c r="D218" s="3">
        <v>3.57</v>
      </c>
      <c r="E218" s="3">
        <v>3.63</v>
      </c>
      <c r="F218" s="3">
        <v>3.69</v>
      </c>
      <c r="G218" s="3">
        <v>3.74</v>
      </c>
      <c r="H218" s="3">
        <v>3.78</v>
      </c>
      <c r="I218" s="3">
        <v>3.85</v>
      </c>
      <c r="J218" s="3">
        <v>3.87</v>
      </c>
      <c r="K218" s="3">
        <v>3.89</v>
      </c>
      <c r="L218" s="3">
        <v>3.95</v>
      </c>
      <c r="M218" s="3">
        <v>4.01</v>
      </c>
      <c r="N218" s="3">
        <v>4.0599999999999996</v>
      </c>
      <c r="O218" s="3">
        <v>4.1900000000000004</v>
      </c>
      <c r="P218" s="3">
        <v>4.21</v>
      </c>
      <c r="Q218" s="3">
        <v>4.2</v>
      </c>
      <c r="R218" s="3">
        <v>4.18</v>
      </c>
    </row>
    <row r="219" spans="1:18" x14ac:dyDescent="0.25">
      <c r="A219" s="4" t="s">
        <v>233</v>
      </c>
      <c r="B219" s="3">
        <v>3.39</v>
      </c>
      <c r="C219" s="3">
        <v>3.45</v>
      </c>
      <c r="D219" s="3">
        <v>3.53</v>
      </c>
      <c r="E219" s="3">
        <v>3.62</v>
      </c>
      <c r="F219" s="3">
        <v>3.7</v>
      </c>
      <c r="G219" s="3">
        <v>3.75</v>
      </c>
      <c r="H219" s="3">
        <v>3.79</v>
      </c>
      <c r="I219" s="3">
        <v>3.85</v>
      </c>
      <c r="J219" s="3">
        <v>3.88</v>
      </c>
      <c r="K219" s="3">
        <v>3.92</v>
      </c>
      <c r="L219" s="3">
        <v>3.97</v>
      </c>
      <c r="M219" s="3">
        <v>4.0199999999999996</v>
      </c>
      <c r="N219" s="3">
        <v>4.0599999999999996</v>
      </c>
      <c r="O219" s="3">
        <v>4.17</v>
      </c>
      <c r="P219" s="3">
        <v>4.1900000000000004</v>
      </c>
      <c r="Q219" s="3">
        <v>4.17</v>
      </c>
      <c r="R219" s="3">
        <v>4.16</v>
      </c>
    </row>
    <row r="220" spans="1:18" x14ac:dyDescent="0.25">
      <c r="A220" s="4" t="s">
        <v>234</v>
      </c>
      <c r="B220" s="3">
        <v>3.37</v>
      </c>
      <c r="C220" s="3">
        <v>3.63</v>
      </c>
      <c r="D220" s="3">
        <v>3.81</v>
      </c>
      <c r="E220" s="3">
        <v>3.9</v>
      </c>
      <c r="F220" s="3">
        <v>3.97</v>
      </c>
      <c r="G220" s="3">
        <v>4.03</v>
      </c>
      <c r="H220" s="3">
        <v>4.08</v>
      </c>
      <c r="I220" s="3">
        <v>4.1399999999999997</v>
      </c>
      <c r="J220" s="3">
        <v>4.1500000000000004</v>
      </c>
      <c r="K220" s="3">
        <v>4.13</v>
      </c>
      <c r="L220" s="3">
        <v>4.13</v>
      </c>
      <c r="M220" s="3">
        <v>4.1399999999999997</v>
      </c>
      <c r="N220" s="3">
        <v>4.1500000000000004</v>
      </c>
      <c r="O220" s="3">
        <v>4.1900000000000004</v>
      </c>
      <c r="P220" s="3">
        <v>4.2</v>
      </c>
      <c r="Q220" s="3">
        <v>4.2</v>
      </c>
      <c r="R220" s="3">
        <v>4.18</v>
      </c>
    </row>
    <row r="221" spans="1:18" x14ac:dyDescent="0.25">
      <c r="A221" s="4" t="s">
        <v>235</v>
      </c>
      <c r="B221" s="3">
        <v>3.13</v>
      </c>
      <c r="C221" s="3">
        <v>3.56</v>
      </c>
      <c r="D221" s="3">
        <v>3.8</v>
      </c>
      <c r="E221" s="3">
        <v>3.89</v>
      </c>
      <c r="F221" s="3">
        <v>3.94</v>
      </c>
      <c r="G221" s="3">
        <v>3.98</v>
      </c>
      <c r="H221" s="3">
        <v>4</v>
      </c>
      <c r="I221" s="3">
        <v>4.0199999999999996</v>
      </c>
      <c r="J221" s="3">
        <v>4</v>
      </c>
      <c r="K221" s="3">
        <v>3.99</v>
      </c>
      <c r="L221" s="3">
        <v>4.04</v>
      </c>
      <c r="M221" s="3">
        <v>4.08</v>
      </c>
      <c r="N221" s="3">
        <v>4.12</v>
      </c>
      <c r="O221" s="3">
        <v>4.22</v>
      </c>
      <c r="P221" s="3">
        <v>4.2300000000000004</v>
      </c>
      <c r="Q221" s="3">
        <v>4.22</v>
      </c>
      <c r="R221" s="3">
        <v>4.1900000000000004</v>
      </c>
    </row>
    <row r="222" spans="1:18" x14ac:dyDescent="0.25">
      <c r="A222" s="4" t="s">
        <v>236</v>
      </c>
      <c r="B222" s="3">
        <v>3.81</v>
      </c>
      <c r="C222" s="3">
        <v>3.85</v>
      </c>
      <c r="D222" s="3">
        <v>3.89</v>
      </c>
      <c r="E222" s="3">
        <v>3.93</v>
      </c>
      <c r="F222" s="3">
        <v>3.97</v>
      </c>
      <c r="G222" s="3">
        <v>4.0199999999999996</v>
      </c>
      <c r="H222" s="3">
        <v>4.0599999999999996</v>
      </c>
      <c r="I222" s="3">
        <v>4.0599999999999996</v>
      </c>
      <c r="J222" s="3">
        <v>4.03</v>
      </c>
      <c r="K222" s="3">
        <v>3.98</v>
      </c>
      <c r="L222" s="3">
        <v>4.0199999999999996</v>
      </c>
      <c r="M222" s="3">
        <v>4.0599999999999996</v>
      </c>
      <c r="N222" s="3">
        <v>4.0999999999999996</v>
      </c>
      <c r="O222" s="3">
        <v>4.1900000000000004</v>
      </c>
      <c r="P222" s="3">
        <v>4.21</v>
      </c>
      <c r="Q222" s="3">
        <v>4.2</v>
      </c>
      <c r="R222" s="3">
        <v>4.1900000000000004</v>
      </c>
    </row>
    <row r="223" spans="1:18" x14ac:dyDescent="0.25">
      <c r="A223" s="4" t="s">
        <v>237</v>
      </c>
      <c r="B223" s="3">
        <v>3.61</v>
      </c>
      <c r="C223" s="3">
        <v>3.87</v>
      </c>
      <c r="D223" s="3">
        <v>4</v>
      </c>
      <c r="E223" s="3">
        <v>4.04</v>
      </c>
      <c r="F223" s="3">
        <v>4.07</v>
      </c>
      <c r="G223" s="3">
        <v>4.1100000000000003</v>
      </c>
      <c r="H223" s="3">
        <v>4.13</v>
      </c>
      <c r="I223" s="3">
        <v>4.1500000000000004</v>
      </c>
      <c r="J223" s="3">
        <v>4.1399999999999997</v>
      </c>
      <c r="K223" s="3">
        <v>4.09</v>
      </c>
      <c r="L223" s="3">
        <v>4.08</v>
      </c>
      <c r="M223" s="3">
        <v>4.0999999999999996</v>
      </c>
      <c r="N223" s="3">
        <v>4.13</v>
      </c>
      <c r="O223" s="3">
        <v>4.2300000000000004</v>
      </c>
      <c r="P223" s="3">
        <v>4.2300000000000004</v>
      </c>
      <c r="Q223" s="3">
        <v>4.2</v>
      </c>
      <c r="R223" s="3">
        <v>4.18</v>
      </c>
    </row>
    <row r="224" spans="1:18" x14ac:dyDescent="0.25">
      <c r="A224" s="4" t="s">
        <v>238</v>
      </c>
      <c r="B224" s="3">
        <v>3.6</v>
      </c>
      <c r="C224" s="3">
        <v>3.82</v>
      </c>
      <c r="D224" s="3">
        <v>3.94</v>
      </c>
      <c r="E224" s="3">
        <v>3.98</v>
      </c>
      <c r="F224" s="3">
        <v>4.01</v>
      </c>
      <c r="G224" s="3">
        <v>4.05</v>
      </c>
      <c r="H224" s="3">
        <v>4.07</v>
      </c>
      <c r="I224" s="3">
        <v>4.0999999999999996</v>
      </c>
      <c r="J224" s="3">
        <v>4.09</v>
      </c>
      <c r="K224" s="3">
        <v>4.07</v>
      </c>
      <c r="L224" s="3">
        <v>4.09</v>
      </c>
      <c r="M224" s="3">
        <v>4.12</v>
      </c>
      <c r="N224" s="3">
        <v>4.1399999999999997</v>
      </c>
      <c r="O224" s="3">
        <v>4.2</v>
      </c>
      <c r="P224" s="3">
        <v>4.21</v>
      </c>
      <c r="Q224" s="3">
        <v>4.2</v>
      </c>
      <c r="R224" s="3">
        <v>4.1900000000000004</v>
      </c>
    </row>
    <row r="225" spans="1:18" x14ac:dyDescent="0.25">
      <c r="A225" s="4" t="s">
        <v>239</v>
      </c>
      <c r="B225" s="3">
        <v>3.82</v>
      </c>
      <c r="C225" s="3">
        <v>3.89</v>
      </c>
      <c r="D225" s="3">
        <v>3.94</v>
      </c>
      <c r="E225" s="3">
        <v>3.99</v>
      </c>
      <c r="F225" s="3">
        <v>4.0199999999999996</v>
      </c>
      <c r="G225" s="3">
        <v>4.05</v>
      </c>
      <c r="H225" s="3">
        <v>4.07</v>
      </c>
      <c r="I225" s="3">
        <v>4.08</v>
      </c>
      <c r="J225" s="3">
        <v>4.07</v>
      </c>
      <c r="K225" s="3">
        <v>4.07</v>
      </c>
      <c r="L225" s="3">
        <v>4.0999999999999996</v>
      </c>
      <c r="M225" s="3">
        <v>4.12</v>
      </c>
      <c r="N225" s="3">
        <v>4.1399999999999997</v>
      </c>
      <c r="O225" s="3">
        <v>4.2</v>
      </c>
      <c r="P225" s="3">
        <v>4.21</v>
      </c>
      <c r="Q225" s="3">
        <v>4.2</v>
      </c>
      <c r="R225" s="3">
        <v>4.1900000000000004</v>
      </c>
    </row>
    <row r="226" spans="1:18" x14ac:dyDescent="0.25">
      <c r="A226" s="4" t="s">
        <v>240</v>
      </c>
      <c r="B226" s="3">
        <v>3.74</v>
      </c>
      <c r="C226" s="3">
        <v>3.86</v>
      </c>
      <c r="D226" s="3">
        <v>3.93</v>
      </c>
      <c r="E226" s="3">
        <v>3.95</v>
      </c>
      <c r="F226" s="3">
        <v>3.98</v>
      </c>
      <c r="G226" s="3">
        <v>4</v>
      </c>
      <c r="H226" s="3">
        <v>4.03</v>
      </c>
      <c r="I226" s="3">
        <v>4.0599999999999996</v>
      </c>
      <c r="J226" s="3">
        <v>4.07</v>
      </c>
      <c r="K226" s="3">
        <v>4.07</v>
      </c>
      <c r="L226" s="3">
        <v>4.08</v>
      </c>
      <c r="M226" s="3">
        <v>4.1100000000000003</v>
      </c>
      <c r="N226" s="3">
        <v>4.1399999999999997</v>
      </c>
      <c r="O226" s="3">
        <v>4.2300000000000004</v>
      </c>
      <c r="P226" s="3">
        <v>4.2300000000000004</v>
      </c>
      <c r="Q226" s="3">
        <v>4.21</v>
      </c>
      <c r="R226" s="3">
        <v>4.1900000000000004</v>
      </c>
    </row>
    <row r="227" spans="1:18" x14ac:dyDescent="0.25">
      <c r="A227" s="4" t="s">
        <v>241</v>
      </c>
      <c r="B227" s="3">
        <v>3.71</v>
      </c>
      <c r="C227" s="3">
        <v>3.79</v>
      </c>
      <c r="D227" s="3">
        <v>3.84</v>
      </c>
      <c r="E227" s="3">
        <v>3.87</v>
      </c>
      <c r="F227" s="3">
        <v>3.89</v>
      </c>
      <c r="G227" s="3">
        <v>3.92</v>
      </c>
      <c r="H227" s="3">
        <v>3.93</v>
      </c>
      <c r="I227" s="3">
        <v>3.94</v>
      </c>
      <c r="J227" s="3">
        <v>3.93</v>
      </c>
      <c r="K227" s="3">
        <v>3.95</v>
      </c>
      <c r="L227" s="3">
        <v>4.0199999999999996</v>
      </c>
      <c r="M227" s="3">
        <v>4.07</v>
      </c>
      <c r="N227" s="3">
        <v>4.1100000000000003</v>
      </c>
      <c r="O227" s="3">
        <v>4.2</v>
      </c>
      <c r="P227" s="3">
        <v>4.22</v>
      </c>
      <c r="Q227" s="3">
        <v>4.2</v>
      </c>
      <c r="R227" s="3">
        <v>4.1900000000000004</v>
      </c>
    </row>
    <row r="228" spans="1:18" x14ac:dyDescent="0.25">
      <c r="A228" s="4" t="s">
        <v>242</v>
      </c>
      <c r="B228" s="3">
        <v>3.81</v>
      </c>
      <c r="C228" s="3">
        <v>3.81</v>
      </c>
      <c r="D228" s="3">
        <v>3.84</v>
      </c>
      <c r="E228" s="3">
        <v>3.89</v>
      </c>
      <c r="F228" s="3">
        <v>3.93</v>
      </c>
      <c r="G228" s="3">
        <v>3.96</v>
      </c>
      <c r="H228" s="3">
        <v>3.98</v>
      </c>
      <c r="I228" s="3">
        <v>3.99</v>
      </c>
      <c r="J228" s="3">
        <v>4</v>
      </c>
      <c r="K228" s="3">
        <v>4.0599999999999996</v>
      </c>
      <c r="L228" s="3">
        <v>4.1100000000000003</v>
      </c>
      <c r="M228" s="3">
        <v>4.1500000000000004</v>
      </c>
      <c r="N228" s="3">
        <v>4.17</v>
      </c>
      <c r="O228" s="3">
        <v>4.22</v>
      </c>
      <c r="P228" s="3">
        <v>4.2300000000000004</v>
      </c>
      <c r="Q228" s="3">
        <v>4.22</v>
      </c>
      <c r="R228" s="3">
        <v>4.21</v>
      </c>
    </row>
    <row r="229" spans="1:18" x14ac:dyDescent="0.25">
      <c r="A229" s="4" t="s">
        <v>243</v>
      </c>
      <c r="B229" s="3">
        <v>3.7</v>
      </c>
      <c r="C229" s="3">
        <v>3.81</v>
      </c>
      <c r="D229" s="3">
        <v>3.88</v>
      </c>
      <c r="E229" s="3">
        <v>3.93</v>
      </c>
      <c r="F229" s="3">
        <v>3.98</v>
      </c>
      <c r="G229" s="3">
        <v>4.04</v>
      </c>
      <c r="H229" s="3">
        <v>4.09</v>
      </c>
      <c r="I229" s="3">
        <v>4.12</v>
      </c>
      <c r="J229" s="3">
        <v>4.0999999999999996</v>
      </c>
      <c r="K229" s="3">
        <v>4.13</v>
      </c>
      <c r="L229" s="3">
        <v>4.17</v>
      </c>
      <c r="M229" s="3">
        <v>4.2</v>
      </c>
      <c r="N229" s="3">
        <v>4.2300000000000004</v>
      </c>
      <c r="O229" s="3">
        <v>4.28</v>
      </c>
      <c r="P229" s="3">
        <v>4.2699999999999996</v>
      </c>
      <c r="Q229" s="3">
        <v>4.25</v>
      </c>
      <c r="R229" s="3">
        <v>4.24</v>
      </c>
    </row>
    <row r="230" spans="1:18" x14ac:dyDescent="0.25">
      <c r="A230" s="4" t="s">
        <v>244</v>
      </c>
      <c r="B230" s="3">
        <v>3.93</v>
      </c>
      <c r="C230" s="3">
        <v>3.95</v>
      </c>
      <c r="D230" s="3">
        <v>4.01</v>
      </c>
      <c r="E230" s="3">
        <v>4.1100000000000003</v>
      </c>
      <c r="F230" s="3">
        <v>4.1900000000000004</v>
      </c>
      <c r="G230" s="3">
        <v>4.24</v>
      </c>
      <c r="H230" s="3">
        <v>4.28</v>
      </c>
      <c r="I230" s="3">
        <v>4.33</v>
      </c>
      <c r="J230" s="3">
        <v>4.3499999999999996</v>
      </c>
      <c r="K230" s="3">
        <v>4.34</v>
      </c>
      <c r="L230" s="3">
        <v>4.33</v>
      </c>
      <c r="M230" s="3">
        <v>4.34</v>
      </c>
      <c r="N230" s="3">
        <v>4.3600000000000003</v>
      </c>
      <c r="O230" s="3">
        <v>4.41</v>
      </c>
      <c r="P230" s="3">
        <v>4.37</v>
      </c>
      <c r="Q230" s="3">
        <v>4.3099999999999996</v>
      </c>
      <c r="R230" s="3">
        <v>4.28</v>
      </c>
    </row>
    <row r="231" spans="1:18" x14ac:dyDescent="0.25">
      <c r="A231" s="4" t="s">
        <v>245</v>
      </c>
      <c r="B231" s="3">
        <v>3.85</v>
      </c>
      <c r="C231" s="3">
        <v>3.92</v>
      </c>
      <c r="D231" s="3">
        <v>4.0199999999999996</v>
      </c>
      <c r="E231" s="3">
        <v>4.13</v>
      </c>
      <c r="F231" s="3">
        <v>4.22</v>
      </c>
      <c r="G231" s="3">
        <v>4.26</v>
      </c>
      <c r="H231" s="3">
        <v>4.29</v>
      </c>
      <c r="I231" s="3">
        <v>4.33</v>
      </c>
      <c r="J231" s="3">
        <v>4.3499999999999996</v>
      </c>
      <c r="K231" s="3">
        <v>4.38</v>
      </c>
      <c r="L231" s="3">
        <v>4.4000000000000004</v>
      </c>
      <c r="M231" s="3">
        <v>4.43</v>
      </c>
      <c r="N231" s="3">
        <v>4.4400000000000004</v>
      </c>
      <c r="O231" s="3">
        <v>4.46</v>
      </c>
      <c r="P231" s="3">
        <v>4.4000000000000004</v>
      </c>
      <c r="Q231" s="3">
        <v>4.33</v>
      </c>
      <c r="R231" s="3">
        <v>4.29</v>
      </c>
    </row>
    <row r="232" spans="1:18" x14ac:dyDescent="0.25">
      <c r="A232" s="4" t="s">
        <v>246</v>
      </c>
      <c r="B232" s="3">
        <v>3.67</v>
      </c>
      <c r="C232" s="3">
        <v>3.93</v>
      </c>
      <c r="D232" s="3">
        <v>4.09</v>
      </c>
      <c r="E232" s="3">
        <v>4.18</v>
      </c>
      <c r="F232" s="3">
        <v>4.25</v>
      </c>
      <c r="G232" s="3">
        <v>4.32</v>
      </c>
      <c r="H232" s="3">
        <v>4.37</v>
      </c>
      <c r="I232" s="3">
        <v>4.42</v>
      </c>
      <c r="J232" s="3">
        <v>4.4400000000000004</v>
      </c>
      <c r="K232" s="3">
        <v>4.5</v>
      </c>
      <c r="L232" s="3">
        <v>4.54</v>
      </c>
      <c r="M232" s="3">
        <v>4.55</v>
      </c>
      <c r="N232" s="3">
        <v>4.5599999999999996</v>
      </c>
      <c r="O232" s="3">
        <v>4.54</v>
      </c>
      <c r="P232" s="3">
        <v>4.49</v>
      </c>
      <c r="Q232" s="3">
        <v>4.4400000000000004</v>
      </c>
      <c r="R232" s="3">
        <v>4.37</v>
      </c>
    </row>
    <row r="233" spans="1:18" x14ac:dyDescent="0.25">
      <c r="A233" s="4" t="s">
        <v>247</v>
      </c>
      <c r="B233" s="3">
        <v>4.3099999999999996</v>
      </c>
      <c r="C233" s="3">
        <v>4.4400000000000004</v>
      </c>
      <c r="D233" s="3">
        <v>4.5199999999999996</v>
      </c>
      <c r="E233" s="3">
        <v>4.57</v>
      </c>
      <c r="F233" s="3">
        <v>4.66</v>
      </c>
      <c r="G233" s="3">
        <v>4.75</v>
      </c>
      <c r="H233" s="3">
        <v>4.82</v>
      </c>
      <c r="I233" s="3">
        <v>4.92</v>
      </c>
      <c r="J233" s="3">
        <v>4.96</v>
      </c>
      <c r="K233" s="3">
        <v>5.08</v>
      </c>
      <c r="L233" s="3">
        <v>5.0999999999999996</v>
      </c>
      <c r="M233" s="3">
        <v>5.04</v>
      </c>
      <c r="N233" s="3">
        <v>4.97</v>
      </c>
      <c r="O233" s="3">
        <v>4.7</v>
      </c>
      <c r="P233" s="3">
        <v>4.59</v>
      </c>
      <c r="Q233" s="3">
        <v>4.51</v>
      </c>
      <c r="R233" s="3">
        <v>4.45</v>
      </c>
    </row>
    <row r="234" spans="1:18" x14ac:dyDescent="0.25">
      <c r="A234" s="4" t="s">
        <v>248</v>
      </c>
      <c r="B234" s="3">
        <v>4.5</v>
      </c>
      <c r="C234" s="3">
        <v>4.5199999999999996</v>
      </c>
      <c r="D234" s="3">
        <v>4.6100000000000003</v>
      </c>
      <c r="E234" s="3">
        <v>4.72</v>
      </c>
      <c r="F234" s="3">
        <v>4.79</v>
      </c>
      <c r="G234" s="3">
        <v>4.82</v>
      </c>
      <c r="H234" s="3">
        <v>4.84</v>
      </c>
      <c r="I234" s="3">
        <v>4.87</v>
      </c>
      <c r="J234" s="3">
        <v>4.9000000000000004</v>
      </c>
      <c r="K234" s="3">
        <v>5.04</v>
      </c>
      <c r="L234" s="3">
        <v>5.0999999999999996</v>
      </c>
      <c r="M234" s="3">
        <v>5.08</v>
      </c>
      <c r="N234" s="3">
        <v>5.0199999999999996</v>
      </c>
      <c r="O234" s="3">
        <v>4.79</v>
      </c>
      <c r="P234" s="3">
        <v>4.6399999999999997</v>
      </c>
      <c r="Q234" s="3">
        <v>4.54</v>
      </c>
      <c r="R234" s="3">
        <v>4.5</v>
      </c>
    </row>
    <row r="235" spans="1:18" x14ac:dyDescent="0.25">
      <c r="A235" s="4" t="s">
        <v>249</v>
      </c>
      <c r="B235" s="3">
        <v>4.24</v>
      </c>
      <c r="C235" s="3">
        <v>4.5</v>
      </c>
      <c r="D235" s="3">
        <v>4.6500000000000004</v>
      </c>
      <c r="E235" s="3">
        <v>4.74</v>
      </c>
      <c r="F235" s="3">
        <v>4.82</v>
      </c>
      <c r="G235" s="3">
        <v>4.9000000000000004</v>
      </c>
      <c r="H235" s="3">
        <v>4.97</v>
      </c>
      <c r="I235" s="3">
        <v>5.08</v>
      </c>
      <c r="J235" s="3">
        <v>5.13</v>
      </c>
      <c r="K235" s="3">
        <v>5.18</v>
      </c>
      <c r="L235" s="3">
        <v>5.21</v>
      </c>
      <c r="M235" s="3">
        <v>5.25</v>
      </c>
      <c r="N235" s="3">
        <v>5.28</v>
      </c>
      <c r="O235" s="3">
        <v>5.2</v>
      </c>
      <c r="P235" s="3">
        <v>4.9400000000000004</v>
      </c>
      <c r="Q235" s="3">
        <v>4.72</v>
      </c>
      <c r="R235" s="3">
        <v>4.66</v>
      </c>
    </row>
    <row r="236" spans="1:18" x14ac:dyDescent="0.25">
      <c r="A236" s="4" t="s">
        <v>250</v>
      </c>
      <c r="B236" s="3">
        <v>4.1900000000000004</v>
      </c>
      <c r="C236" s="3">
        <v>4.4000000000000004</v>
      </c>
      <c r="D236" s="3">
        <v>4.53</v>
      </c>
      <c r="E236" s="3">
        <v>4.6100000000000003</v>
      </c>
      <c r="F236" s="3">
        <v>4.7</v>
      </c>
      <c r="G236" s="3">
        <v>4.79</v>
      </c>
      <c r="H236" s="3">
        <v>4.8499999999999996</v>
      </c>
      <c r="I236" s="3">
        <v>4.9400000000000004</v>
      </c>
      <c r="J236" s="3">
        <v>4.97</v>
      </c>
      <c r="K236" s="3">
        <v>5.0199999999999996</v>
      </c>
      <c r="L236" s="3">
        <v>5.01</v>
      </c>
      <c r="M236" s="3">
        <v>4.99</v>
      </c>
      <c r="N236" s="3">
        <v>4.96</v>
      </c>
      <c r="O236" s="3">
        <v>4.82</v>
      </c>
      <c r="P236" s="3">
        <v>4.7</v>
      </c>
      <c r="Q236" s="3">
        <v>4.6100000000000003</v>
      </c>
      <c r="R236" s="3">
        <v>4.57</v>
      </c>
    </row>
    <row r="237" spans="1:18" x14ac:dyDescent="0.25">
      <c r="A237" s="4" t="s">
        <v>251</v>
      </c>
      <c r="B237" s="3">
        <v>4.4400000000000004</v>
      </c>
      <c r="C237" s="3">
        <v>4.63</v>
      </c>
      <c r="D237" s="3">
        <v>4.6900000000000004</v>
      </c>
      <c r="E237" s="3">
        <v>4.7</v>
      </c>
      <c r="F237" s="3">
        <v>4.74</v>
      </c>
      <c r="G237" s="3">
        <v>4.82</v>
      </c>
      <c r="H237" s="3">
        <v>4.87</v>
      </c>
      <c r="I237" s="3">
        <v>4.93</v>
      </c>
      <c r="J237" s="3">
        <v>4.95</v>
      </c>
      <c r="K237" s="3">
        <v>5.04</v>
      </c>
      <c r="L237" s="3">
        <v>5.04</v>
      </c>
      <c r="M237" s="3">
        <v>5.0199999999999996</v>
      </c>
      <c r="N237" s="3">
        <v>5.0199999999999996</v>
      </c>
      <c r="O237" s="3">
        <v>4.95</v>
      </c>
      <c r="P237" s="3">
        <v>4.8099999999999996</v>
      </c>
      <c r="Q237" s="3">
        <v>4.67</v>
      </c>
      <c r="R237" s="3">
        <v>4.5999999999999996</v>
      </c>
    </row>
    <row r="238" spans="1:18" x14ac:dyDescent="0.25">
      <c r="A238" s="4" t="s">
        <v>252</v>
      </c>
      <c r="B238" s="3">
        <v>4.21</v>
      </c>
      <c r="C238" s="3">
        <v>4.49</v>
      </c>
      <c r="D238" s="3">
        <v>4.6500000000000004</v>
      </c>
      <c r="E238" s="3">
        <v>4.6900000000000004</v>
      </c>
      <c r="F238" s="3">
        <v>4.75</v>
      </c>
      <c r="G238" s="3">
        <v>4.8600000000000003</v>
      </c>
      <c r="H238" s="3">
        <v>4.95</v>
      </c>
      <c r="I238" s="3">
        <v>5.0199999999999996</v>
      </c>
      <c r="J238" s="3">
        <v>5.0599999999999996</v>
      </c>
      <c r="K238" s="3">
        <v>5.25</v>
      </c>
      <c r="L238" s="3">
        <v>5.26</v>
      </c>
      <c r="M238" s="3">
        <v>5.18</v>
      </c>
      <c r="N238" s="3">
        <v>5.1100000000000003</v>
      </c>
      <c r="O238" s="3">
        <v>4.9400000000000004</v>
      </c>
      <c r="P238" s="3">
        <v>4.82</v>
      </c>
      <c r="Q238" s="3">
        <v>4.7300000000000004</v>
      </c>
      <c r="R238" s="3">
        <v>4.68</v>
      </c>
    </row>
    <row r="239" spans="1:18" x14ac:dyDescent="0.25">
      <c r="A239" s="4" t="s">
        <v>253</v>
      </c>
      <c r="B239" s="3">
        <v>4.22</v>
      </c>
      <c r="C239" s="3">
        <v>4.49</v>
      </c>
      <c r="D239" s="3">
        <v>4.5999999999999996</v>
      </c>
      <c r="E239" s="3">
        <v>4.62</v>
      </c>
      <c r="F239" s="3">
        <v>4.6900000000000004</v>
      </c>
      <c r="G239" s="3">
        <v>4.8</v>
      </c>
      <c r="H239" s="3">
        <v>4.87</v>
      </c>
      <c r="I239" s="3">
        <v>4.95</v>
      </c>
      <c r="J239" s="3">
        <v>5.0199999999999996</v>
      </c>
      <c r="K239" s="3">
        <v>5.36</v>
      </c>
      <c r="L239" s="3">
        <v>5.39</v>
      </c>
      <c r="M239" s="3">
        <v>5.31</v>
      </c>
      <c r="N239" s="3">
        <v>5.26</v>
      </c>
      <c r="O239" s="3">
        <v>5.1100000000000003</v>
      </c>
      <c r="P239" s="3">
        <v>4.97</v>
      </c>
      <c r="Q239" s="3">
        <v>4.83</v>
      </c>
      <c r="R239" s="3">
        <v>4.7300000000000004</v>
      </c>
    </row>
    <row r="240" spans="1:18" x14ac:dyDescent="0.25">
      <c r="A240" s="4" t="s">
        <v>254</v>
      </c>
      <c r="B240" s="3">
        <v>4.09</v>
      </c>
      <c r="C240" s="3">
        <v>4.58</v>
      </c>
      <c r="D240" s="3">
        <v>4.78</v>
      </c>
      <c r="E240" s="3">
        <v>4.8099999999999996</v>
      </c>
      <c r="F240" s="3">
        <v>4.9000000000000004</v>
      </c>
      <c r="G240" s="3">
        <v>5.01</v>
      </c>
      <c r="H240" s="3">
        <v>5.09</v>
      </c>
      <c r="I240" s="3">
        <v>5.17</v>
      </c>
      <c r="J240" s="3">
        <v>5.21</v>
      </c>
      <c r="K240" s="3">
        <v>5.4</v>
      </c>
      <c r="L240" s="3">
        <v>5.48</v>
      </c>
      <c r="M240" s="3">
        <v>5.48</v>
      </c>
      <c r="N240" s="3">
        <v>5.46</v>
      </c>
      <c r="O240" s="3">
        <v>5.26</v>
      </c>
      <c r="P240" s="3">
        <v>5.01</v>
      </c>
      <c r="Q240" s="3">
        <v>4.8</v>
      </c>
      <c r="R240" s="3">
        <v>4.71</v>
      </c>
    </row>
    <row r="241" spans="1:18" x14ac:dyDescent="0.25">
      <c r="A241" s="4" t="s">
        <v>255</v>
      </c>
      <c r="B241" s="3">
        <v>4.21</v>
      </c>
      <c r="C241" s="3">
        <v>4.79</v>
      </c>
      <c r="D241" s="3">
        <v>5.0599999999999996</v>
      </c>
      <c r="E241" s="3">
        <v>5.12</v>
      </c>
      <c r="F241" s="3">
        <v>5.28</v>
      </c>
      <c r="G241" s="3">
        <v>5.56</v>
      </c>
      <c r="H241" s="3">
        <v>5.76</v>
      </c>
      <c r="I241" s="3">
        <v>5.89</v>
      </c>
      <c r="J241" s="3">
        <v>5.94</v>
      </c>
      <c r="K241" s="3">
        <v>6.3</v>
      </c>
      <c r="L241" s="3">
        <v>6.28</v>
      </c>
      <c r="M241" s="3">
        <v>6.14</v>
      </c>
      <c r="N241" s="3">
        <v>6.01</v>
      </c>
      <c r="O241" s="3">
        <v>5.57</v>
      </c>
      <c r="P241" s="3">
        <v>5.29</v>
      </c>
      <c r="Q241" s="3">
        <v>5.08</v>
      </c>
      <c r="R241" s="3">
        <v>4.97</v>
      </c>
    </row>
    <row r="242" spans="1:18" x14ac:dyDescent="0.25">
      <c r="A242" s="4" t="s">
        <v>256</v>
      </c>
      <c r="B242" s="3">
        <v>5</v>
      </c>
      <c r="C242" s="3">
        <v>5.2</v>
      </c>
      <c r="D242" s="3">
        <v>5.35</v>
      </c>
      <c r="E242" s="3">
        <v>5.48</v>
      </c>
      <c r="F242" s="3">
        <v>5.61</v>
      </c>
      <c r="G242" s="3">
        <v>5.74</v>
      </c>
      <c r="H242" s="3">
        <v>5.83</v>
      </c>
      <c r="I242" s="3">
        <v>5.92</v>
      </c>
      <c r="J242" s="3">
        <v>5.91</v>
      </c>
      <c r="K242" s="3">
        <v>5.79</v>
      </c>
      <c r="L242" s="3">
        <v>5.68</v>
      </c>
      <c r="M242" s="3">
        <v>5.56</v>
      </c>
      <c r="N242" s="3">
        <v>5.42</v>
      </c>
      <c r="O242" s="3">
        <v>5.07</v>
      </c>
      <c r="P242" s="3">
        <v>4.96</v>
      </c>
      <c r="Q242" s="3">
        <v>4.8899999999999997</v>
      </c>
      <c r="R242" s="3">
        <v>4.7699999999999996</v>
      </c>
    </row>
    <row r="243" spans="1:18" x14ac:dyDescent="0.25">
      <c r="A243" s="4" t="s">
        <v>257</v>
      </c>
      <c r="B243" s="3">
        <v>4.24</v>
      </c>
      <c r="C243" s="3">
        <v>4.8499999999999996</v>
      </c>
      <c r="D243" s="3">
        <v>5.19</v>
      </c>
      <c r="E243" s="3">
        <v>5.36</v>
      </c>
      <c r="F243" s="3">
        <v>5.5</v>
      </c>
      <c r="G243" s="3">
        <v>5.62</v>
      </c>
      <c r="H243" s="3">
        <v>5.7</v>
      </c>
      <c r="I243" s="3">
        <v>5.74</v>
      </c>
      <c r="J243" s="3">
        <v>5.72</v>
      </c>
      <c r="K243" s="3">
        <v>5.61</v>
      </c>
      <c r="L243" s="3">
        <v>5.53</v>
      </c>
      <c r="M243" s="3">
        <v>5.46</v>
      </c>
      <c r="N243" s="3">
        <v>5.38</v>
      </c>
      <c r="O243" s="3">
        <v>5.08</v>
      </c>
      <c r="P243" s="3">
        <v>4.8600000000000003</v>
      </c>
      <c r="Q243" s="3">
        <v>4.71</v>
      </c>
      <c r="R243" s="3">
        <v>4.6500000000000004</v>
      </c>
    </row>
    <row r="244" spans="1:18" x14ac:dyDescent="0.25">
      <c r="A244" s="4" t="s">
        <v>258</v>
      </c>
      <c r="B244" s="3">
        <v>3.66</v>
      </c>
      <c r="C244" s="3">
        <v>4.62</v>
      </c>
      <c r="D244" s="3">
        <v>5.15</v>
      </c>
      <c r="E244" s="3">
        <v>5.28</v>
      </c>
      <c r="F244" s="3">
        <v>5.32</v>
      </c>
      <c r="G244" s="3">
        <v>5.37</v>
      </c>
      <c r="H244" s="3">
        <v>5.41</v>
      </c>
      <c r="I244" s="3">
        <v>5.43</v>
      </c>
      <c r="J244" s="3">
        <v>5.48</v>
      </c>
      <c r="K244" s="3">
        <v>5.68</v>
      </c>
      <c r="L244" s="3">
        <v>5.55</v>
      </c>
      <c r="M244" s="3">
        <v>5.41</v>
      </c>
      <c r="N244" s="3">
        <v>5.37</v>
      </c>
      <c r="O244" s="3">
        <v>5.27</v>
      </c>
      <c r="P244" s="3">
        <v>5.05</v>
      </c>
      <c r="Q244" s="3">
        <v>4.8600000000000003</v>
      </c>
      <c r="R244" s="3">
        <v>4.76</v>
      </c>
    </row>
    <row r="245" spans="1:18" x14ac:dyDescent="0.25">
      <c r="A245" s="4" t="s">
        <v>259</v>
      </c>
      <c r="B245" s="3">
        <v>4.5999999999999996</v>
      </c>
      <c r="C245" s="3">
        <v>4.7</v>
      </c>
      <c r="D245" s="3">
        <v>4.82</v>
      </c>
      <c r="E245" s="3">
        <v>4.9400000000000004</v>
      </c>
      <c r="F245" s="3">
        <v>5.0199999999999996</v>
      </c>
      <c r="G245" s="3">
        <v>5.07</v>
      </c>
      <c r="H245" s="3">
        <v>5.08</v>
      </c>
      <c r="I245" s="3">
        <v>5.05</v>
      </c>
      <c r="J245" s="3">
        <v>5.03</v>
      </c>
      <c r="K245" s="3">
        <v>5.0199999999999996</v>
      </c>
      <c r="L245" s="3">
        <v>4.9800000000000004</v>
      </c>
      <c r="M245" s="3">
        <v>4.93</v>
      </c>
      <c r="N245" s="3">
        <v>4.87</v>
      </c>
      <c r="O245" s="3">
        <v>4.72</v>
      </c>
      <c r="P245" s="3">
        <v>4.67</v>
      </c>
      <c r="Q245" s="3">
        <v>4.63</v>
      </c>
      <c r="R245" s="3">
        <v>4.59</v>
      </c>
    </row>
    <row r="246" spans="1:18" x14ac:dyDescent="0.25">
      <c r="A246" s="4" t="s">
        <v>260</v>
      </c>
      <c r="B246" s="3">
        <v>4.37</v>
      </c>
      <c r="C246" s="3">
        <v>4.54</v>
      </c>
      <c r="D246" s="3">
        <v>4.6100000000000003</v>
      </c>
      <c r="E246" s="3">
        <v>4.6100000000000003</v>
      </c>
      <c r="F246" s="3">
        <v>4.6100000000000003</v>
      </c>
      <c r="G246" s="3">
        <v>4.63</v>
      </c>
      <c r="H246" s="3">
        <v>4.6399999999999997</v>
      </c>
      <c r="I246" s="3">
        <v>4.63</v>
      </c>
      <c r="J246" s="3">
        <v>4.63</v>
      </c>
      <c r="K246" s="3">
        <v>4.68</v>
      </c>
      <c r="L246" s="3">
        <v>4.7</v>
      </c>
      <c r="M246" s="3">
        <v>4.7</v>
      </c>
      <c r="N246" s="3">
        <v>4.6900000000000004</v>
      </c>
      <c r="O246" s="3">
        <v>4.62</v>
      </c>
      <c r="P246" s="3">
        <v>4.5599999999999996</v>
      </c>
      <c r="Q246" s="3">
        <v>4.51</v>
      </c>
      <c r="R246" s="3">
        <v>4.4800000000000004</v>
      </c>
    </row>
    <row r="247" spans="1:18" x14ac:dyDescent="0.25">
      <c r="A247" s="4" t="s">
        <v>261</v>
      </c>
      <c r="B247" s="3">
        <v>3.77</v>
      </c>
      <c r="C247" s="3">
        <v>4.37</v>
      </c>
      <c r="D247" s="3">
        <v>4.59</v>
      </c>
      <c r="E247" s="3">
        <v>4.5999999999999996</v>
      </c>
      <c r="F247" s="3">
        <v>4.6100000000000003</v>
      </c>
      <c r="G247" s="3">
        <v>4.6399999999999997</v>
      </c>
      <c r="H247" s="3">
        <v>4.66</v>
      </c>
      <c r="I247" s="3">
        <v>4.6399999999999997</v>
      </c>
      <c r="J247" s="3">
        <v>4.68</v>
      </c>
      <c r="K247" s="3">
        <v>4.91</v>
      </c>
      <c r="L247" s="3">
        <v>4.8600000000000003</v>
      </c>
      <c r="M247" s="3">
        <v>4.79</v>
      </c>
      <c r="N247" s="3">
        <v>4.8</v>
      </c>
      <c r="O247" s="3">
        <v>4.87</v>
      </c>
      <c r="P247" s="3">
        <v>4.83</v>
      </c>
      <c r="Q247" s="3">
        <v>4.75</v>
      </c>
      <c r="R247" s="3">
        <v>4.68</v>
      </c>
    </row>
    <row r="248" spans="1:18" x14ac:dyDescent="0.25">
      <c r="A248" s="4" t="s">
        <v>262</v>
      </c>
      <c r="B248" s="3">
        <v>3.91</v>
      </c>
      <c r="C248" s="3">
        <v>4.01</v>
      </c>
      <c r="D248" s="3">
        <v>4.0999999999999996</v>
      </c>
      <c r="E248" s="3">
        <v>4.16</v>
      </c>
      <c r="F248" s="3">
        <v>4.18</v>
      </c>
      <c r="G248" s="3">
        <v>4.17</v>
      </c>
      <c r="H248" s="3">
        <v>4.16</v>
      </c>
      <c r="I248" s="3">
        <v>4.1399999999999997</v>
      </c>
      <c r="J248" s="3">
        <v>4.1399999999999997</v>
      </c>
      <c r="K248" s="3">
        <v>4.24</v>
      </c>
      <c r="L248" s="3">
        <v>4.3</v>
      </c>
      <c r="M248" s="3">
        <v>4.3499999999999996</v>
      </c>
      <c r="N248" s="3">
        <v>4.42</v>
      </c>
      <c r="O248" s="3">
        <v>4.5999999999999996</v>
      </c>
      <c r="P248" s="3">
        <v>4.6399999999999997</v>
      </c>
      <c r="Q248" s="3">
        <v>4.63</v>
      </c>
      <c r="R248" s="3">
        <v>4.5999999999999996</v>
      </c>
    </row>
    <row r="249" spans="1:18" x14ac:dyDescent="0.25">
      <c r="A249" s="4" t="s">
        <v>263</v>
      </c>
      <c r="B249" s="3">
        <v>3.01</v>
      </c>
      <c r="C249" s="3">
        <v>3.54</v>
      </c>
      <c r="D249" s="3">
        <v>3.74</v>
      </c>
      <c r="E249" s="3">
        <v>3.77</v>
      </c>
      <c r="F249" s="3">
        <v>3.82</v>
      </c>
      <c r="G249" s="3">
        <v>3.89</v>
      </c>
      <c r="H249" s="3">
        <v>3.93</v>
      </c>
      <c r="I249" s="3">
        <v>3.99</v>
      </c>
      <c r="J249" s="3">
        <v>4.0599999999999996</v>
      </c>
      <c r="K249" s="3">
        <v>4.4400000000000004</v>
      </c>
      <c r="L249" s="3">
        <v>4.57</v>
      </c>
      <c r="M249" s="3">
        <v>4.63</v>
      </c>
      <c r="N249" s="3">
        <v>4.72</v>
      </c>
      <c r="O249" s="3">
        <v>4.9400000000000004</v>
      </c>
      <c r="P249" s="3">
        <v>4.96</v>
      </c>
      <c r="Q249" s="3">
        <v>4.9000000000000004</v>
      </c>
      <c r="R249" s="3">
        <v>4.8</v>
      </c>
    </row>
    <row r="250" spans="1:18" x14ac:dyDescent="0.25">
      <c r="A250" s="4" t="s">
        <v>264</v>
      </c>
      <c r="B250" s="3">
        <v>3.2</v>
      </c>
      <c r="C250" s="3">
        <v>3.35</v>
      </c>
      <c r="D250" s="3">
        <v>3.43</v>
      </c>
      <c r="E250" s="3">
        <v>3.49</v>
      </c>
      <c r="F250" s="3">
        <v>3.61</v>
      </c>
      <c r="G250" s="3">
        <v>3.74</v>
      </c>
      <c r="H250" s="3">
        <v>3.84</v>
      </c>
      <c r="I250" s="3">
        <v>3.95</v>
      </c>
      <c r="J250" s="3">
        <v>4.04</v>
      </c>
      <c r="K250" s="3">
        <v>4.53</v>
      </c>
      <c r="L250" s="3">
        <v>4.6399999999999997</v>
      </c>
      <c r="M250" s="3">
        <v>4.62</v>
      </c>
      <c r="N250" s="3">
        <v>4.71</v>
      </c>
      <c r="O250" s="3">
        <v>4.96</v>
      </c>
      <c r="P250" s="3">
        <v>4.97</v>
      </c>
      <c r="Q250" s="3">
        <v>4.92</v>
      </c>
      <c r="R250" s="3">
        <v>4.88</v>
      </c>
    </row>
    <row r="251" spans="1:18" x14ac:dyDescent="0.25">
      <c r="A251" s="4" t="s">
        <v>265</v>
      </c>
      <c r="B251" s="3">
        <v>3.32</v>
      </c>
      <c r="C251" s="3">
        <v>3.75</v>
      </c>
      <c r="D251" s="3">
        <v>3.96</v>
      </c>
      <c r="E251" s="3">
        <v>4.05</v>
      </c>
      <c r="F251" s="3">
        <v>4.17</v>
      </c>
      <c r="G251" s="3">
        <v>4.3499999999999996</v>
      </c>
      <c r="H251" s="3">
        <v>4.54</v>
      </c>
      <c r="I251" s="3">
        <v>4.93</v>
      </c>
      <c r="J251" s="3">
        <v>5.08</v>
      </c>
      <c r="K251" s="3">
        <v>5.22</v>
      </c>
      <c r="L251" s="3">
        <v>5.25</v>
      </c>
      <c r="M251" s="3">
        <v>5.33</v>
      </c>
      <c r="N251" s="3">
        <v>5.42</v>
      </c>
      <c r="O251" s="3">
        <v>5.44</v>
      </c>
      <c r="P251" s="3">
        <v>5.23</v>
      </c>
      <c r="Q251" s="3">
        <v>5.0599999999999996</v>
      </c>
      <c r="R251" s="3">
        <v>5.0599999999999996</v>
      </c>
    </row>
    <row r="252" spans="1:18" x14ac:dyDescent="0.25">
      <c r="A252" s="4" t="s">
        <v>266</v>
      </c>
      <c r="B252" s="3">
        <v>3.29</v>
      </c>
      <c r="C252" s="3">
        <v>3.79</v>
      </c>
      <c r="D252" s="3">
        <v>4.04</v>
      </c>
      <c r="E252" s="3">
        <v>4.18</v>
      </c>
      <c r="F252" s="3">
        <v>4.38</v>
      </c>
      <c r="G252" s="3">
        <v>4.5999999999999996</v>
      </c>
      <c r="H252" s="3">
        <v>4.78</v>
      </c>
      <c r="I252" s="3">
        <v>5.0599999999999996</v>
      </c>
      <c r="J252" s="3">
        <v>5.16</v>
      </c>
      <c r="K252" s="3">
        <v>5.14</v>
      </c>
      <c r="L252" s="3">
        <v>5.08</v>
      </c>
      <c r="M252" s="3">
        <v>5.1100000000000003</v>
      </c>
      <c r="N252" s="3">
        <v>5.2</v>
      </c>
      <c r="O252" s="3">
        <v>5.35</v>
      </c>
      <c r="P252" s="3">
        <v>5.25</v>
      </c>
      <c r="Q252" s="3">
        <v>5.13</v>
      </c>
      <c r="R252" s="3">
        <v>5.08</v>
      </c>
    </row>
    <row r="253" spans="1:18" x14ac:dyDescent="0.25">
      <c r="A253" s="4" t="s">
        <v>267</v>
      </c>
      <c r="B253" s="3">
        <v>3.49</v>
      </c>
      <c r="C253" s="3">
        <v>3.93</v>
      </c>
      <c r="D253" s="3">
        <v>4.26</v>
      </c>
      <c r="E253" s="3">
        <v>4.49</v>
      </c>
      <c r="F253" s="3">
        <v>4.67</v>
      </c>
      <c r="G253" s="3">
        <v>4.82</v>
      </c>
      <c r="H253" s="3">
        <v>4.95</v>
      </c>
      <c r="I253" s="3">
        <v>5.21</v>
      </c>
      <c r="J253" s="3">
        <v>5.31</v>
      </c>
      <c r="K253" s="3">
        <v>5.39</v>
      </c>
      <c r="L253" s="3">
        <v>5.38</v>
      </c>
      <c r="M253" s="3">
        <v>5.4</v>
      </c>
      <c r="N253" s="3">
        <v>5.44</v>
      </c>
      <c r="O253" s="3">
        <v>5.42</v>
      </c>
      <c r="P253" s="3">
        <v>5.29</v>
      </c>
      <c r="Q253" s="3">
        <v>5.18</v>
      </c>
      <c r="R253" s="3">
        <v>5.19</v>
      </c>
    </row>
    <row r="254" spans="1:18" x14ac:dyDescent="0.25">
      <c r="A254" s="4" t="s">
        <v>268</v>
      </c>
      <c r="B254" s="3">
        <v>4.34</v>
      </c>
      <c r="C254" s="3">
        <v>4.25</v>
      </c>
      <c r="D254" s="3">
        <v>4.3499999999999996</v>
      </c>
      <c r="E254" s="3">
        <v>4.59</v>
      </c>
      <c r="F254" s="3">
        <v>4.83</v>
      </c>
      <c r="G254" s="3">
        <v>5.0199999999999996</v>
      </c>
      <c r="H254" s="3">
        <v>5.16</v>
      </c>
      <c r="I254" s="3">
        <v>5.36</v>
      </c>
      <c r="J254" s="3">
        <v>5.4</v>
      </c>
      <c r="K254" s="3">
        <v>5.39</v>
      </c>
      <c r="L254" s="3">
        <v>5.4</v>
      </c>
      <c r="M254" s="3">
        <v>5.45</v>
      </c>
      <c r="N254" s="3">
        <v>5.51</v>
      </c>
      <c r="O254" s="3">
        <v>5.52</v>
      </c>
      <c r="P254" s="3">
        <v>5.39</v>
      </c>
      <c r="Q254" s="3">
        <v>5.27</v>
      </c>
      <c r="R254" s="3">
        <v>5.22</v>
      </c>
    </row>
    <row r="255" spans="1:18" x14ac:dyDescent="0.25">
      <c r="A255" s="4" t="s">
        <v>269</v>
      </c>
      <c r="B255" s="3">
        <v>3.8</v>
      </c>
      <c r="C255" s="3">
        <v>4.1900000000000004</v>
      </c>
      <c r="D255" s="3">
        <v>4.45</v>
      </c>
      <c r="E255" s="3">
        <v>4.63</v>
      </c>
      <c r="F255" s="3">
        <v>4.82</v>
      </c>
      <c r="G255" s="3">
        <v>5.04</v>
      </c>
      <c r="H255" s="3">
        <v>5.22</v>
      </c>
      <c r="I255" s="3">
        <v>5.44</v>
      </c>
      <c r="J255" s="3">
        <v>5.5</v>
      </c>
      <c r="K255" s="3">
        <v>5.61</v>
      </c>
      <c r="L255" s="3">
        <v>5.63</v>
      </c>
      <c r="M255" s="3">
        <v>5.64</v>
      </c>
      <c r="N255" s="3">
        <v>5.68</v>
      </c>
      <c r="O255" s="3">
        <v>5.71</v>
      </c>
      <c r="P255" s="3">
        <v>5.6</v>
      </c>
      <c r="Q255" s="3">
        <v>5.5</v>
      </c>
      <c r="R255" s="3">
        <v>5.49</v>
      </c>
    </row>
    <row r="256" spans="1:18" x14ac:dyDescent="0.25">
      <c r="A256" s="4" t="s">
        <v>270</v>
      </c>
      <c r="B256" s="3">
        <v>3.57</v>
      </c>
      <c r="C256" s="3">
        <v>4.2699999999999996</v>
      </c>
      <c r="D256" s="3">
        <v>4.76</v>
      </c>
      <c r="E256" s="3">
        <v>5.04</v>
      </c>
      <c r="F256" s="3">
        <v>5.23</v>
      </c>
      <c r="G256" s="3">
        <v>5.43</v>
      </c>
      <c r="H256" s="3">
        <v>5.6</v>
      </c>
      <c r="I256" s="3">
        <v>5.81</v>
      </c>
      <c r="J256" s="3">
        <v>5.75</v>
      </c>
      <c r="K256" s="3">
        <v>5.62</v>
      </c>
      <c r="L256" s="3">
        <v>5.67</v>
      </c>
      <c r="M256" s="3">
        <v>5.73</v>
      </c>
      <c r="N256" s="3">
        <v>5.78</v>
      </c>
      <c r="O256" s="3">
        <v>5.82</v>
      </c>
      <c r="P256" s="3">
        <v>5.77</v>
      </c>
      <c r="Q256" s="3">
        <v>5.72</v>
      </c>
    </row>
    <row r="257" spans="1:18" x14ac:dyDescent="0.25">
      <c r="A257" s="4" t="s">
        <v>271</v>
      </c>
      <c r="B257" s="3">
        <v>3.9</v>
      </c>
      <c r="C257" s="3">
        <v>4.43</v>
      </c>
      <c r="D257" s="3">
        <v>4.8499999999999996</v>
      </c>
      <c r="E257" s="3">
        <v>5.16</v>
      </c>
      <c r="F257" s="3">
        <v>5.4</v>
      </c>
      <c r="G257" s="3">
        <v>5.59</v>
      </c>
      <c r="H257" s="3">
        <v>5.72</v>
      </c>
      <c r="I257" s="3">
        <v>5.9</v>
      </c>
      <c r="J257" s="3">
        <v>5.9</v>
      </c>
      <c r="K257" s="3">
        <v>5.88</v>
      </c>
      <c r="L257" s="3">
        <v>5.89</v>
      </c>
      <c r="M257" s="3">
        <v>5.84</v>
      </c>
      <c r="N257" s="3">
        <v>5.79</v>
      </c>
      <c r="O257" s="3">
        <v>5.77</v>
      </c>
      <c r="P257" s="3">
        <v>5.81</v>
      </c>
      <c r="Q257" s="3">
        <v>5.78</v>
      </c>
      <c r="R257" s="3">
        <v>5.58</v>
      </c>
    </row>
    <row r="258" spans="1:18" x14ac:dyDescent="0.25">
      <c r="A258" s="4" t="s">
        <v>272</v>
      </c>
      <c r="B258" s="3">
        <v>4.6399999999999997</v>
      </c>
      <c r="C258" s="3">
        <v>4.74</v>
      </c>
      <c r="D258" s="3">
        <v>4.84</v>
      </c>
      <c r="E258" s="3">
        <v>4.95</v>
      </c>
      <c r="F258" s="3">
        <v>5.04</v>
      </c>
      <c r="G258" s="3">
        <v>5.1100000000000003</v>
      </c>
      <c r="H258" s="3">
        <v>5.17</v>
      </c>
      <c r="I258" s="3">
        <v>5.33</v>
      </c>
      <c r="J258" s="3">
        <v>5.45</v>
      </c>
      <c r="K258" s="3">
        <v>5.58</v>
      </c>
      <c r="L258" s="3">
        <v>5.59</v>
      </c>
      <c r="M258" s="3">
        <v>5.63</v>
      </c>
      <c r="N258" s="3">
        <v>5.68</v>
      </c>
      <c r="O258" s="3">
        <v>5.73</v>
      </c>
      <c r="P258" s="3">
        <v>5.68</v>
      </c>
      <c r="Q258" s="3">
        <v>5.56</v>
      </c>
      <c r="R258" s="3">
        <v>5.41</v>
      </c>
    </row>
    <row r="259" spans="1:18" x14ac:dyDescent="0.25">
      <c r="A259" s="4" t="s">
        <v>273</v>
      </c>
      <c r="B259" s="3">
        <v>4.37</v>
      </c>
      <c r="C259" s="3">
        <v>4.79</v>
      </c>
      <c r="D259" s="3">
        <v>5.01</v>
      </c>
      <c r="E259" s="3">
        <v>5.12</v>
      </c>
      <c r="F259" s="3">
        <v>5.21</v>
      </c>
      <c r="G259" s="3">
        <v>5.28</v>
      </c>
      <c r="H259" s="3">
        <v>5.34</v>
      </c>
      <c r="I259" s="3">
        <v>5.45</v>
      </c>
      <c r="J259" s="3">
        <v>5.51</v>
      </c>
      <c r="K259" s="3">
        <v>5.65</v>
      </c>
      <c r="L259" s="3">
        <v>5.71</v>
      </c>
      <c r="M259" s="3">
        <v>5.72</v>
      </c>
      <c r="N259" s="3">
        <v>5.7</v>
      </c>
      <c r="O259" s="3">
        <v>5.69</v>
      </c>
      <c r="P259" s="3">
        <v>5.69</v>
      </c>
      <c r="Q259" s="3">
        <v>5.63</v>
      </c>
    </row>
    <row r="260" spans="1:18" x14ac:dyDescent="0.25">
      <c r="A260" s="4" t="s">
        <v>274</v>
      </c>
      <c r="B260" s="3">
        <v>4.5199999999999996</v>
      </c>
      <c r="C260" s="3">
        <v>4.9400000000000004</v>
      </c>
      <c r="D260" s="3">
        <v>5.18</v>
      </c>
      <c r="E260" s="3">
        <v>5.28</v>
      </c>
      <c r="F260" s="3">
        <v>5.34</v>
      </c>
      <c r="G260" s="3">
        <v>5.41</v>
      </c>
      <c r="H260" s="3">
        <v>5.47</v>
      </c>
      <c r="I260" s="3">
        <v>5.6</v>
      </c>
      <c r="J260" s="3">
        <v>5.69</v>
      </c>
      <c r="K260" s="3">
        <v>5.86</v>
      </c>
      <c r="L260" s="3">
        <v>5.92</v>
      </c>
      <c r="M260" s="3">
        <v>5.91</v>
      </c>
      <c r="N260" s="3">
        <v>5.9</v>
      </c>
      <c r="O260" s="3">
        <v>5.97</v>
      </c>
      <c r="P260" s="3">
        <v>6.02</v>
      </c>
      <c r="Q260" s="3">
        <v>5.94</v>
      </c>
    </row>
    <row r="261" spans="1:18" x14ac:dyDescent="0.25">
      <c r="A261" s="4" t="s">
        <v>275</v>
      </c>
      <c r="B261" s="3">
        <v>5.0599999999999996</v>
      </c>
      <c r="C261" s="3">
        <v>5.34</v>
      </c>
      <c r="D261" s="3">
        <v>5.51</v>
      </c>
      <c r="E261" s="3">
        <v>5.61</v>
      </c>
      <c r="F261" s="3">
        <v>5.68</v>
      </c>
      <c r="G261" s="3">
        <v>5.75</v>
      </c>
      <c r="H261" s="3">
        <v>5.8</v>
      </c>
      <c r="I261" s="3">
        <v>5.9</v>
      </c>
      <c r="J261" s="3">
        <v>5.94</v>
      </c>
      <c r="K261" s="3">
        <v>6.02</v>
      </c>
      <c r="L261" s="3">
        <v>6.06</v>
      </c>
      <c r="M261" s="3">
        <v>6.06</v>
      </c>
      <c r="N261" s="3">
        <v>6.03</v>
      </c>
      <c r="O261" s="3">
        <v>5.93</v>
      </c>
      <c r="P261" s="3">
        <v>5.81</v>
      </c>
      <c r="Q261" s="3">
        <v>5.68</v>
      </c>
      <c r="R261" s="3">
        <v>5.56</v>
      </c>
    </row>
    <row r="262" spans="1:18" x14ac:dyDescent="0.25">
      <c r="A262" s="4" t="s">
        <v>276</v>
      </c>
      <c r="B262" s="3">
        <v>5.2</v>
      </c>
      <c r="C262" s="3">
        <v>5.57</v>
      </c>
      <c r="D262" s="3">
        <v>5.76</v>
      </c>
      <c r="E262" s="3">
        <v>5.84</v>
      </c>
      <c r="F262" s="3">
        <v>5.92</v>
      </c>
      <c r="G262" s="3">
        <v>6.01</v>
      </c>
      <c r="H262" s="3">
        <v>6.08</v>
      </c>
      <c r="I262" s="3">
        <v>6.15</v>
      </c>
      <c r="J262" s="3">
        <v>6.17</v>
      </c>
      <c r="K262" s="3">
        <v>6.17</v>
      </c>
      <c r="L262" s="3">
        <v>6.03</v>
      </c>
      <c r="M262" s="3">
        <v>5.93</v>
      </c>
      <c r="N262" s="3">
        <v>5.94</v>
      </c>
      <c r="O262" s="3">
        <v>5.98</v>
      </c>
      <c r="P262" s="3">
        <v>5.89</v>
      </c>
      <c r="Q262" s="3">
        <v>5.72</v>
      </c>
      <c r="R262" s="3">
        <v>5.49</v>
      </c>
    </row>
    <row r="263" spans="1:18" x14ac:dyDescent="0.25">
      <c r="A263" s="4" t="s">
        <v>277</v>
      </c>
      <c r="B263" s="3">
        <v>5.27</v>
      </c>
      <c r="C263" s="3">
        <v>5.29</v>
      </c>
      <c r="D263" s="3">
        <v>5.34</v>
      </c>
      <c r="E263" s="3">
        <v>5.42</v>
      </c>
      <c r="F263" s="3">
        <v>5.51</v>
      </c>
      <c r="G263" s="3">
        <v>5.6</v>
      </c>
      <c r="H263" s="3">
        <v>5.69</v>
      </c>
      <c r="I263" s="3">
        <v>5.87</v>
      </c>
      <c r="J263" s="3">
        <v>5.94</v>
      </c>
      <c r="K263" s="3">
        <v>5.94</v>
      </c>
      <c r="L263" s="3">
        <v>5.86</v>
      </c>
      <c r="M263" s="3">
        <v>5.83</v>
      </c>
      <c r="N263" s="3">
        <v>5.82</v>
      </c>
      <c r="O263" s="3">
        <v>5.75</v>
      </c>
      <c r="P263" s="3">
        <v>5.66</v>
      </c>
      <c r="Q263" s="3">
        <v>5.55</v>
      </c>
      <c r="R263" s="3">
        <v>5.44</v>
      </c>
    </row>
    <row r="264" spans="1:18" x14ac:dyDescent="0.25">
      <c r="A264" s="4" t="s">
        <v>278</v>
      </c>
      <c r="B264" s="3">
        <v>4.92</v>
      </c>
      <c r="C264" s="3">
        <v>5.0999999999999996</v>
      </c>
      <c r="D264" s="3">
        <v>5.19</v>
      </c>
      <c r="E264" s="3">
        <v>5.23</v>
      </c>
      <c r="F264" s="3">
        <v>5.3</v>
      </c>
      <c r="G264" s="3">
        <v>5.38</v>
      </c>
      <c r="H264" s="3">
        <v>5.44</v>
      </c>
      <c r="I264" s="3">
        <v>5.46</v>
      </c>
      <c r="J264" s="3">
        <v>5.46</v>
      </c>
      <c r="K264" s="3">
        <v>5.5</v>
      </c>
      <c r="L264" s="3">
        <v>5.51</v>
      </c>
      <c r="M264" s="3">
        <v>5.51</v>
      </c>
      <c r="N264" s="3">
        <v>5.52</v>
      </c>
      <c r="O264" s="3">
        <v>5.53</v>
      </c>
      <c r="P264" s="3">
        <v>5.49</v>
      </c>
      <c r="Q264" s="3">
        <v>5.43</v>
      </c>
      <c r="R264" s="3">
        <v>5.35</v>
      </c>
    </row>
    <row r="265" spans="1:18" x14ac:dyDescent="0.25">
      <c r="A265" s="4" t="s">
        <v>279</v>
      </c>
      <c r="B265" s="3">
        <v>4.5999999999999996</v>
      </c>
      <c r="C265" s="3">
        <v>5.05</v>
      </c>
      <c r="D265" s="3">
        <v>5.24</v>
      </c>
      <c r="E265" s="3">
        <v>5.26</v>
      </c>
      <c r="F265" s="3">
        <v>5.29</v>
      </c>
      <c r="G265" s="3">
        <v>5.36</v>
      </c>
      <c r="H265" s="3">
        <v>5.41</v>
      </c>
      <c r="I265" s="3">
        <v>5.43</v>
      </c>
      <c r="J265" s="3">
        <v>5.41</v>
      </c>
      <c r="K265" s="3">
        <v>5.37</v>
      </c>
      <c r="L265" s="3">
        <v>5.41</v>
      </c>
      <c r="M265" s="3">
        <v>5.47</v>
      </c>
      <c r="N265" s="3">
        <v>5.51</v>
      </c>
      <c r="O265" s="3">
        <v>5.56</v>
      </c>
      <c r="P265" s="3">
        <v>5.5</v>
      </c>
      <c r="Q265" s="3">
        <v>5.41</v>
      </c>
      <c r="R265" s="3">
        <v>5.33</v>
      </c>
    </row>
    <row r="266" spans="1:18" x14ac:dyDescent="0.25">
      <c r="A266" s="4" t="s">
        <v>280</v>
      </c>
      <c r="B266" s="3">
        <v>5.13</v>
      </c>
      <c r="C266" s="3">
        <v>5.2</v>
      </c>
      <c r="D266" s="3">
        <v>5.24</v>
      </c>
      <c r="E266" s="3">
        <v>5.28</v>
      </c>
      <c r="F266" s="3">
        <v>5.33</v>
      </c>
      <c r="G266" s="3">
        <v>5.4</v>
      </c>
      <c r="H266" s="3">
        <v>5.45</v>
      </c>
      <c r="I266" s="3">
        <v>5.44</v>
      </c>
      <c r="J266" s="3">
        <v>5.41</v>
      </c>
      <c r="K266" s="3">
        <v>5.46</v>
      </c>
      <c r="L266" s="3">
        <v>5.47</v>
      </c>
      <c r="M266" s="3">
        <v>5.49</v>
      </c>
      <c r="N266" s="3">
        <v>5.53</v>
      </c>
      <c r="O266" s="3">
        <v>5.65</v>
      </c>
      <c r="P266" s="3">
        <v>5.68</v>
      </c>
      <c r="Q266" s="3">
        <v>5.62</v>
      </c>
      <c r="R266" s="3">
        <v>5.45</v>
      </c>
    </row>
    <row r="267" spans="1:18" x14ac:dyDescent="0.25">
      <c r="A267" s="4" t="s">
        <v>281</v>
      </c>
      <c r="B267" s="3">
        <v>5.25</v>
      </c>
      <c r="C267" s="3">
        <v>5.34</v>
      </c>
      <c r="D267" s="3">
        <v>5.46</v>
      </c>
      <c r="E267" s="3">
        <v>5.59</v>
      </c>
      <c r="F267" s="3">
        <v>5.64</v>
      </c>
      <c r="G267" s="3">
        <v>5.66</v>
      </c>
      <c r="H267" s="3">
        <v>5.67</v>
      </c>
      <c r="I267" s="3">
        <v>5.7</v>
      </c>
      <c r="J267" s="3">
        <v>5.7</v>
      </c>
      <c r="K267" s="3">
        <v>5.63</v>
      </c>
      <c r="L267" s="3">
        <v>5.61</v>
      </c>
      <c r="M267" s="3">
        <v>5.63</v>
      </c>
      <c r="N267" s="3">
        <v>5.65</v>
      </c>
      <c r="O267" s="3">
        <v>5.79</v>
      </c>
      <c r="P267" s="3">
        <v>5.87</v>
      </c>
      <c r="Q267" s="3">
        <v>5.83</v>
      </c>
      <c r="R267" s="3">
        <v>5.61</v>
      </c>
    </row>
    <row r="268" spans="1:18" x14ac:dyDescent="0.25">
      <c r="A268" s="4" t="s">
        <v>282</v>
      </c>
      <c r="B268" s="3">
        <v>4.32</v>
      </c>
      <c r="C268" s="3">
        <v>5.07</v>
      </c>
      <c r="D268" s="3">
        <v>5.47</v>
      </c>
      <c r="E268" s="3">
        <v>5.6</v>
      </c>
      <c r="F268" s="3">
        <v>5.67</v>
      </c>
      <c r="G268" s="3">
        <v>5.73</v>
      </c>
      <c r="H268" s="3">
        <v>5.78</v>
      </c>
      <c r="I268" s="3">
        <v>5.87</v>
      </c>
      <c r="J268" s="3">
        <v>5.86</v>
      </c>
      <c r="K268" s="3">
        <v>5.65</v>
      </c>
      <c r="L268" s="3">
        <v>5.66</v>
      </c>
      <c r="M268" s="3">
        <v>5.7</v>
      </c>
      <c r="N268" s="3">
        <v>5.74</v>
      </c>
      <c r="O268" s="3">
        <v>5.95</v>
      </c>
      <c r="P268" s="3">
        <v>6.08</v>
      </c>
      <c r="Q268" s="3">
        <v>6.02</v>
      </c>
      <c r="R268" s="3">
        <v>5.64</v>
      </c>
    </row>
    <row r="269" spans="1:18" x14ac:dyDescent="0.25">
      <c r="A269" s="4" t="s">
        <v>283</v>
      </c>
      <c r="B269" s="3">
        <v>5.98</v>
      </c>
      <c r="C269" s="3">
        <v>6.14</v>
      </c>
      <c r="D269" s="3">
        <v>6.24</v>
      </c>
      <c r="E269" s="3">
        <v>6.31</v>
      </c>
      <c r="F269" s="3">
        <v>6.39</v>
      </c>
      <c r="G269" s="3">
        <v>6.49</v>
      </c>
      <c r="H269" s="3">
        <v>6.56</v>
      </c>
      <c r="I269" s="3">
        <v>6.63</v>
      </c>
      <c r="J269" s="3">
        <v>6.62</v>
      </c>
      <c r="K269" s="3">
        <v>6.59</v>
      </c>
      <c r="L269" s="3">
        <v>6.55</v>
      </c>
      <c r="M269" s="3">
        <v>6.48</v>
      </c>
      <c r="N269" s="3">
        <v>6.43</v>
      </c>
      <c r="O269" s="3">
        <v>6.42</v>
      </c>
      <c r="P269" s="3">
        <v>6.47</v>
      </c>
      <c r="Q269" s="3">
        <v>6.41</v>
      </c>
    </row>
    <row r="270" spans="1:18" x14ac:dyDescent="0.25">
      <c r="A270" s="4" t="s">
        <v>284</v>
      </c>
      <c r="B270" s="3">
        <v>5.87</v>
      </c>
      <c r="C270" s="3">
        <v>5.95</v>
      </c>
      <c r="D270" s="3">
        <v>6.1</v>
      </c>
      <c r="E270" s="3">
        <v>6.29</v>
      </c>
      <c r="F270" s="3">
        <v>6.41</v>
      </c>
      <c r="G270" s="3">
        <v>6.48</v>
      </c>
      <c r="H270" s="3">
        <v>6.51</v>
      </c>
      <c r="I270" s="3">
        <v>6.52</v>
      </c>
      <c r="J270" s="3">
        <v>6.48</v>
      </c>
      <c r="K270" s="3">
        <v>6.39</v>
      </c>
      <c r="L270" s="3">
        <v>6.32</v>
      </c>
      <c r="M270" s="3">
        <v>6.27</v>
      </c>
      <c r="N270" s="3">
        <v>6.24</v>
      </c>
      <c r="O270" s="3">
        <v>6.34</v>
      </c>
      <c r="P270" s="3">
        <v>6.5</v>
      </c>
      <c r="Q270" s="3">
        <v>6.55</v>
      </c>
    </row>
    <row r="271" spans="1:18" x14ac:dyDescent="0.25">
      <c r="A271" s="4" t="s">
        <v>285</v>
      </c>
      <c r="B271" s="3">
        <v>5.34</v>
      </c>
      <c r="C271" s="3">
        <v>5.89</v>
      </c>
      <c r="D271" s="3">
        <v>6.18</v>
      </c>
      <c r="E271" s="3">
        <v>6.3</v>
      </c>
      <c r="F271" s="3">
        <v>6.39</v>
      </c>
      <c r="G271" s="3">
        <v>6.49</v>
      </c>
      <c r="H271" s="3">
        <v>6.55</v>
      </c>
      <c r="I271" s="3">
        <v>6.56</v>
      </c>
      <c r="J271" s="3">
        <v>6.51</v>
      </c>
      <c r="K271" s="3">
        <v>6.59</v>
      </c>
      <c r="L271" s="3">
        <v>6.68</v>
      </c>
      <c r="M271" s="3">
        <v>6.57</v>
      </c>
      <c r="N271" s="3">
        <v>6.45</v>
      </c>
      <c r="O271" s="3">
        <v>6.37</v>
      </c>
      <c r="P271" s="3">
        <v>6.48</v>
      </c>
      <c r="Q271" s="3">
        <v>6.47</v>
      </c>
    </row>
    <row r="272" spans="1:18" x14ac:dyDescent="0.25">
      <c r="A272" s="4" t="s">
        <v>286</v>
      </c>
      <c r="B272" s="3">
        <v>4.66</v>
      </c>
      <c r="C272" s="3">
        <v>5.64</v>
      </c>
      <c r="D272" s="3">
        <v>6.08</v>
      </c>
      <c r="E272" s="3">
        <v>6.12</v>
      </c>
      <c r="F272" s="3">
        <v>6.12</v>
      </c>
      <c r="G272" s="3">
        <v>6.19</v>
      </c>
      <c r="H272" s="3">
        <v>6.27</v>
      </c>
      <c r="I272" s="3">
        <v>6.34</v>
      </c>
      <c r="J272" s="3">
        <v>6.31</v>
      </c>
      <c r="K272" s="3">
        <v>6.26</v>
      </c>
      <c r="L272" s="3">
        <v>6.27</v>
      </c>
      <c r="M272" s="3">
        <v>6.28</v>
      </c>
      <c r="N272" s="3">
        <v>6.29</v>
      </c>
      <c r="O272" s="3">
        <v>6.42</v>
      </c>
      <c r="P272" s="3">
        <v>6.51</v>
      </c>
      <c r="Q272" s="3">
        <v>6.46</v>
      </c>
      <c r="R272" s="3">
        <v>6.17</v>
      </c>
    </row>
    <row r="273" spans="1:18" x14ac:dyDescent="0.25">
      <c r="A273" s="4" t="s">
        <v>287</v>
      </c>
      <c r="B273" s="3">
        <v>6.51</v>
      </c>
      <c r="C273" s="3">
        <v>6.11</v>
      </c>
      <c r="D273" s="3">
        <v>5.97</v>
      </c>
      <c r="E273" s="3">
        <v>6.01</v>
      </c>
      <c r="F273" s="3">
        <v>6.08</v>
      </c>
      <c r="G273" s="3">
        <v>6.12</v>
      </c>
      <c r="H273" s="3">
        <v>6.15</v>
      </c>
      <c r="I273" s="3">
        <v>6.2</v>
      </c>
      <c r="J273" s="3">
        <v>6.24</v>
      </c>
      <c r="K273" s="3">
        <v>6.36</v>
      </c>
      <c r="L273" s="3">
        <v>6.43</v>
      </c>
      <c r="M273" s="3">
        <v>6.41</v>
      </c>
      <c r="N273" s="3">
        <v>6.39</v>
      </c>
      <c r="O273" s="3">
        <v>6.34</v>
      </c>
      <c r="P273" s="3">
        <v>6.3</v>
      </c>
      <c r="Q273" s="3">
        <v>6.23</v>
      </c>
      <c r="R273" s="3">
        <v>6.1</v>
      </c>
    </row>
    <row r="274" spans="1:18" x14ac:dyDescent="0.25">
      <c r="A274" s="4" t="s">
        <v>288</v>
      </c>
      <c r="B274" s="3">
        <v>5.83</v>
      </c>
      <c r="C274" s="3">
        <v>5.97</v>
      </c>
      <c r="D274" s="3">
        <v>6.09</v>
      </c>
      <c r="E274" s="3">
        <v>6.2</v>
      </c>
      <c r="F274" s="3">
        <v>6.31</v>
      </c>
      <c r="G274" s="3">
        <v>6.4</v>
      </c>
      <c r="H274" s="3">
        <v>6.48</v>
      </c>
      <c r="I274" s="3">
        <v>6.58</v>
      </c>
      <c r="J274" s="3">
        <v>6.6</v>
      </c>
      <c r="K274" s="3">
        <v>6.74</v>
      </c>
      <c r="L274" s="3">
        <v>6.82</v>
      </c>
      <c r="M274" s="3">
        <v>6.73</v>
      </c>
      <c r="N274" s="3">
        <v>6.63</v>
      </c>
      <c r="O274" s="3">
        <v>6.57</v>
      </c>
      <c r="P274" s="3">
        <v>6.67</v>
      </c>
      <c r="Q274" s="3">
        <v>6.63</v>
      </c>
    </row>
    <row r="275" spans="1:18" x14ac:dyDescent="0.25">
      <c r="A275" s="4" t="s">
        <v>289</v>
      </c>
      <c r="B275" s="3">
        <v>5.89</v>
      </c>
      <c r="C275" s="3">
        <v>6.26</v>
      </c>
      <c r="D275" s="3">
        <v>6.44</v>
      </c>
      <c r="E275" s="3">
        <v>6.49</v>
      </c>
      <c r="F275" s="3">
        <v>6.63</v>
      </c>
      <c r="G275" s="3">
        <v>6.9</v>
      </c>
      <c r="H275" s="3">
        <v>7.2</v>
      </c>
      <c r="I275" s="3">
        <v>7.66</v>
      </c>
      <c r="J275" s="3">
        <v>7.67</v>
      </c>
      <c r="K275" s="3">
        <v>7.49</v>
      </c>
      <c r="L275" s="3">
        <v>7.35</v>
      </c>
      <c r="M275" s="3">
        <v>7.15</v>
      </c>
      <c r="N275" s="3">
        <v>6.97</v>
      </c>
      <c r="O275" s="3">
        <v>6.59</v>
      </c>
      <c r="P275" s="3">
        <v>6.43</v>
      </c>
      <c r="Q275" s="3">
        <v>6.33</v>
      </c>
    </row>
    <row r="276" spans="1:18" x14ac:dyDescent="0.25">
      <c r="A276" s="4" t="s">
        <v>290</v>
      </c>
      <c r="B276" s="3">
        <v>5.54</v>
      </c>
      <c r="C276" s="3">
        <v>6.55</v>
      </c>
      <c r="D276" s="3">
        <v>7.05</v>
      </c>
      <c r="E276" s="3">
        <v>7.19</v>
      </c>
      <c r="F276" s="3">
        <v>7.27</v>
      </c>
      <c r="G276" s="3">
        <v>7.37</v>
      </c>
      <c r="H276" s="3">
        <v>7.47</v>
      </c>
      <c r="I276" s="3">
        <v>7.62</v>
      </c>
      <c r="J276" s="3">
        <v>7.65</v>
      </c>
      <c r="K276" s="3">
        <v>7.55</v>
      </c>
      <c r="L276" s="3">
        <v>7.31</v>
      </c>
      <c r="M276" s="3">
        <v>7.04</v>
      </c>
      <c r="N276" s="3">
        <v>6.84</v>
      </c>
      <c r="O276" s="3">
        <v>6.48</v>
      </c>
      <c r="P276" s="3">
        <v>6.36</v>
      </c>
      <c r="Q276" s="3">
        <v>6.24</v>
      </c>
    </row>
    <row r="277" spans="1:18" x14ac:dyDescent="0.25">
      <c r="A277" s="4" t="s">
        <v>291</v>
      </c>
      <c r="B277" s="3">
        <v>6.84</v>
      </c>
      <c r="C277" s="3">
        <v>7.05</v>
      </c>
      <c r="D277" s="3">
        <v>7.1</v>
      </c>
      <c r="E277" s="3">
        <v>7.07</v>
      </c>
      <c r="F277" s="3">
        <v>7.12</v>
      </c>
      <c r="G277" s="3">
        <v>7.25</v>
      </c>
      <c r="H277" s="3">
        <v>7.39</v>
      </c>
      <c r="I277" s="3">
        <v>7.54</v>
      </c>
      <c r="J277" s="3">
        <v>7.53</v>
      </c>
      <c r="K277" s="3">
        <v>7.42</v>
      </c>
      <c r="L277" s="3">
        <v>7.26</v>
      </c>
      <c r="M277" s="3">
        <v>7.09</v>
      </c>
      <c r="N277" s="3">
        <v>6.95</v>
      </c>
      <c r="O277" s="3">
        <v>6.54</v>
      </c>
      <c r="P277" s="3">
        <v>6.26</v>
      </c>
      <c r="Q277" s="3">
        <v>6.1</v>
      </c>
    </row>
    <row r="278" spans="1:18" x14ac:dyDescent="0.25">
      <c r="A278" s="4" t="s">
        <v>292</v>
      </c>
      <c r="B278" s="3">
        <v>7.1</v>
      </c>
      <c r="C278" s="3">
        <v>7.03</v>
      </c>
      <c r="D278" s="3">
        <v>7.07</v>
      </c>
      <c r="E278" s="3">
        <v>7.19</v>
      </c>
      <c r="F278" s="3">
        <v>7.33</v>
      </c>
      <c r="G278" s="3">
        <v>7.45</v>
      </c>
      <c r="H278" s="3">
        <v>7.54</v>
      </c>
      <c r="I278" s="3">
        <v>7.72</v>
      </c>
      <c r="J278" s="3">
        <v>7.81</v>
      </c>
      <c r="K278" s="3">
        <v>7.9</v>
      </c>
      <c r="L278" s="3">
        <v>7.8</v>
      </c>
      <c r="M278" s="3">
        <v>7.72</v>
      </c>
      <c r="N278" s="3">
        <v>7.66</v>
      </c>
      <c r="O278" s="3">
        <v>7.2</v>
      </c>
      <c r="P278" s="3">
        <v>6.62</v>
      </c>
      <c r="Q278" s="3">
        <v>6.24</v>
      </c>
    </row>
    <row r="279" spans="1:18" x14ac:dyDescent="0.25">
      <c r="A279" s="4" t="s">
        <v>293</v>
      </c>
      <c r="B279" s="3">
        <v>6.22</v>
      </c>
      <c r="C279" s="3">
        <v>6.69</v>
      </c>
      <c r="D279" s="3">
        <v>6.93</v>
      </c>
      <c r="E279" s="3">
        <v>7.05</v>
      </c>
      <c r="F279" s="3">
        <v>7.22</v>
      </c>
      <c r="G279" s="3">
        <v>7.41</v>
      </c>
      <c r="H279" s="3">
        <v>7.52</v>
      </c>
      <c r="I279" s="3">
        <v>7.53</v>
      </c>
      <c r="J279" s="3">
        <v>7.4</v>
      </c>
      <c r="K279" s="3">
        <v>7.2</v>
      </c>
      <c r="L279" s="3">
        <v>7.31</v>
      </c>
      <c r="M279" s="3">
        <v>7.2</v>
      </c>
      <c r="N279" s="3">
        <v>7.04</v>
      </c>
      <c r="O279" s="3">
        <v>6.72</v>
      </c>
      <c r="P279" s="3">
        <v>6.57</v>
      </c>
      <c r="Q279" s="3">
        <v>6.4</v>
      </c>
    </row>
    <row r="280" spans="1:18" x14ac:dyDescent="0.25">
      <c r="A280" s="4" t="s">
        <v>294</v>
      </c>
      <c r="B280" s="3">
        <v>6</v>
      </c>
      <c r="C280" s="3">
        <v>6.89</v>
      </c>
      <c r="D280" s="3">
        <v>7.41</v>
      </c>
      <c r="E280" s="3">
        <v>7.67</v>
      </c>
      <c r="F280" s="3">
        <v>7.85</v>
      </c>
      <c r="G280" s="3">
        <v>7.99</v>
      </c>
      <c r="H280" s="3">
        <v>8.06</v>
      </c>
      <c r="I280" s="3">
        <v>8.02</v>
      </c>
      <c r="J280" s="3">
        <v>7.84</v>
      </c>
      <c r="K280" s="3">
        <v>7.52</v>
      </c>
      <c r="L280" s="3">
        <v>7.55</v>
      </c>
      <c r="M280" s="3">
        <v>7.42</v>
      </c>
      <c r="N280" s="3">
        <v>7.27</v>
      </c>
      <c r="O280" s="3">
        <v>7.02</v>
      </c>
      <c r="P280" s="3">
        <v>6.91</v>
      </c>
      <c r="Q280" s="3">
        <v>6.66</v>
      </c>
    </row>
    <row r="281" spans="1:18" x14ac:dyDescent="0.25">
      <c r="A281" s="4" t="s">
        <v>295</v>
      </c>
      <c r="B281" s="3">
        <v>5.9</v>
      </c>
      <c r="C281" s="3">
        <v>7.28</v>
      </c>
      <c r="D281" s="3">
        <v>8</v>
      </c>
      <c r="E281" s="3">
        <v>8.14</v>
      </c>
      <c r="F281" s="3">
        <v>8.15</v>
      </c>
      <c r="G281" s="3">
        <v>8.2200000000000006</v>
      </c>
      <c r="H281" s="3">
        <v>8.27</v>
      </c>
      <c r="I281" s="3">
        <v>8.14</v>
      </c>
      <c r="J281" s="3">
        <v>7.94</v>
      </c>
      <c r="K281" s="3">
        <v>8.06</v>
      </c>
      <c r="L281" s="3">
        <v>8.16</v>
      </c>
      <c r="M281" s="3">
        <v>7.97</v>
      </c>
      <c r="N281" s="3">
        <v>7.78</v>
      </c>
      <c r="O281" s="3">
        <v>7.32</v>
      </c>
      <c r="P281" s="3">
        <v>6.99</v>
      </c>
      <c r="Q281" s="3">
        <v>6.63</v>
      </c>
    </row>
    <row r="282" spans="1:18" x14ac:dyDescent="0.25">
      <c r="A282" s="4" t="s">
        <v>296</v>
      </c>
      <c r="B282" s="3">
        <v>6.95</v>
      </c>
      <c r="C282" s="3">
        <v>7.62</v>
      </c>
      <c r="D282" s="3">
        <v>7.93</v>
      </c>
      <c r="E282" s="3">
        <v>8.01</v>
      </c>
      <c r="F282" s="3">
        <v>8.0500000000000007</v>
      </c>
      <c r="G282" s="3">
        <v>8.07</v>
      </c>
      <c r="H282" s="3">
        <v>8.06</v>
      </c>
      <c r="I282" s="3">
        <v>7.99</v>
      </c>
      <c r="J282" s="3">
        <v>7.96</v>
      </c>
      <c r="K282" s="3">
        <v>7.97</v>
      </c>
      <c r="L282" s="3">
        <v>7.96</v>
      </c>
      <c r="M282" s="3">
        <v>7.95</v>
      </c>
      <c r="N282" s="3">
        <v>7.92</v>
      </c>
      <c r="O282" s="3">
        <v>7.44</v>
      </c>
      <c r="P282" s="3">
        <v>6.77</v>
      </c>
      <c r="Q282" s="3">
        <v>6.43</v>
      </c>
    </row>
    <row r="283" spans="1:18" x14ac:dyDescent="0.25">
      <c r="A283" s="4" t="s">
        <v>297</v>
      </c>
      <c r="B283" s="3">
        <v>6.1</v>
      </c>
      <c r="C283" s="3">
        <v>6.68</v>
      </c>
      <c r="D283" s="3">
        <v>6.94</v>
      </c>
      <c r="E283" s="3">
        <v>7.01</v>
      </c>
      <c r="F283" s="3">
        <v>7.02</v>
      </c>
      <c r="G283" s="3">
        <v>7.01</v>
      </c>
      <c r="H283" s="3">
        <v>6.98</v>
      </c>
      <c r="I283" s="3">
        <v>6.9</v>
      </c>
      <c r="J283" s="3">
        <v>6.89</v>
      </c>
      <c r="K283" s="3">
        <v>7.07</v>
      </c>
      <c r="L283" s="3">
        <v>7.18</v>
      </c>
      <c r="M283" s="3">
        <v>7.17</v>
      </c>
      <c r="N283" s="3">
        <v>7.13</v>
      </c>
      <c r="O283" s="3">
        <v>6.81</v>
      </c>
      <c r="P283" s="3">
        <v>6.44</v>
      </c>
      <c r="Q283" s="3">
        <v>6.22</v>
      </c>
    </row>
    <row r="284" spans="1:18" x14ac:dyDescent="0.25">
      <c r="A284" s="4" t="s">
        <v>298</v>
      </c>
      <c r="B284" s="3">
        <v>6.64</v>
      </c>
      <c r="C284" s="3">
        <v>6.43</v>
      </c>
      <c r="D284" s="3">
        <v>6.39</v>
      </c>
      <c r="E284" s="3">
        <v>6.48</v>
      </c>
      <c r="F284" s="3">
        <v>6.57</v>
      </c>
      <c r="G284" s="3">
        <v>6.59</v>
      </c>
      <c r="H284" s="3">
        <v>6.59</v>
      </c>
      <c r="I284" s="3">
        <v>6.61</v>
      </c>
      <c r="J284" s="3">
        <v>6.65</v>
      </c>
      <c r="K284" s="3">
        <v>6.85</v>
      </c>
      <c r="L284" s="3">
        <v>7</v>
      </c>
      <c r="M284" s="3">
        <v>7.09</v>
      </c>
      <c r="N284" s="3">
        <v>7.11</v>
      </c>
      <c r="O284" s="3">
        <v>6.84</v>
      </c>
      <c r="P284" s="3">
        <v>6.8</v>
      </c>
    </row>
    <row r="285" spans="1:18" x14ac:dyDescent="0.25">
      <c r="A285" s="4" t="s">
        <v>299</v>
      </c>
      <c r="B285" s="3">
        <v>6.29</v>
      </c>
      <c r="C285" s="3">
        <v>6.52</v>
      </c>
      <c r="D285" s="3">
        <v>6.78</v>
      </c>
      <c r="E285" s="3">
        <v>7.03</v>
      </c>
      <c r="F285" s="3">
        <v>7.2</v>
      </c>
      <c r="G285" s="3">
        <v>7.28</v>
      </c>
      <c r="H285" s="3">
        <v>7.33</v>
      </c>
      <c r="I285" s="3">
        <v>7.44</v>
      </c>
      <c r="J285" s="3">
        <v>7.53</v>
      </c>
      <c r="K285" s="3">
        <v>7.71</v>
      </c>
      <c r="L285" s="3">
        <v>7.79</v>
      </c>
      <c r="M285" s="3">
        <v>7.82</v>
      </c>
      <c r="N285" s="3">
        <v>7.83</v>
      </c>
      <c r="O285" s="3">
        <v>7.71</v>
      </c>
      <c r="P285" s="3">
        <v>7.35</v>
      </c>
      <c r="Q285" s="3">
        <v>6.83</v>
      </c>
    </row>
    <row r="286" spans="1:18" x14ac:dyDescent="0.25">
      <c r="A286" s="4" t="s">
        <v>300</v>
      </c>
      <c r="B286" s="3">
        <v>6.28</v>
      </c>
      <c r="C286" s="3">
        <v>6.56</v>
      </c>
      <c r="D286" s="3">
        <v>6.82</v>
      </c>
      <c r="E286" s="3">
        <v>7.04</v>
      </c>
      <c r="F286" s="3">
        <v>7.16</v>
      </c>
      <c r="G286" s="3">
        <v>7.19</v>
      </c>
      <c r="H286" s="3">
        <v>7.21</v>
      </c>
      <c r="I286" s="3">
        <v>7.32</v>
      </c>
      <c r="J286" s="3">
        <v>7.45</v>
      </c>
      <c r="K286" s="3">
        <v>7.73</v>
      </c>
      <c r="L286" s="3">
        <v>7.73</v>
      </c>
      <c r="M286" s="3">
        <v>7.64</v>
      </c>
      <c r="N286" s="3">
        <v>7.59</v>
      </c>
      <c r="O286" s="3">
        <v>7.7</v>
      </c>
    </row>
    <row r="287" spans="1:18" x14ac:dyDescent="0.25">
      <c r="A287" s="4" t="s">
        <v>301</v>
      </c>
      <c r="B287" s="3">
        <v>5.46</v>
      </c>
      <c r="C287" s="3">
        <v>6.12</v>
      </c>
      <c r="D287" s="3">
        <v>6.45</v>
      </c>
      <c r="E287" s="3">
        <v>6.52</v>
      </c>
      <c r="F287" s="3">
        <v>6.58</v>
      </c>
      <c r="G287" s="3">
        <v>6.68</v>
      </c>
      <c r="H287" s="3">
        <v>6.8</v>
      </c>
      <c r="I287" s="3">
        <v>7.06</v>
      </c>
      <c r="J287" s="3">
        <v>7.22</v>
      </c>
      <c r="K287" s="3">
        <v>7.52</v>
      </c>
      <c r="L287" s="3">
        <v>7.61</v>
      </c>
      <c r="M287" s="3">
        <v>7.63</v>
      </c>
      <c r="N287" s="3">
        <v>7.63</v>
      </c>
      <c r="O287" s="3">
        <v>7.5</v>
      </c>
    </row>
    <row r="288" spans="1:18" x14ac:dyDescent="0.25">
      <c r="A288" s="4" t="s">
        <v>302</v>
      </c>
      <c r="B288" s="3">
        <v>4.32</v>
      </c>
      <c r="C288" s="3">
        <v>5.92</v>
      </c>
      <c r="D288" s="3">
        <v>6.5</v>
      </c>
      <c r="E288" s="3">
        <v>6.43</v>
      </c>
      <c r="F288" s="3">
        <v>6.38</v>
      </c>
      <c r="G288" s="3">
        <v>6.5</v>
      </c>
      <c r="H288" s="3">
        <v>6.66</v>
      </c>
      <c r="I288" s="3">
        <v>6.86</v>
      </c>
      <c r="J288" s="3">
        <v>6.89</v>
      </c>
      <c r="K288" s="3">
        <v>7.29</v>
      </c>
      <c r="L288" s="3">
        <v>7.45</v>
      </c>
      <c r="M288" s="3">
        <v>7.46</v>
      </c>
      <c r="N288" s="3">
        <v>7.48</v>
      </c>
      <c r="O288" s="3">
        <v>7.6</v>
      </c>
    </row>
    <row r="289" spans="1:17" x14ac:dyDescent="0.25">
      <c r="A289" s="4" t="s">
        <v>303</v>
      </c>
      <c r="B289" s="3">
        <v>6.07</v>
      </c>
      <c r="C289" s="3">
        <v>6.24</v>
      </c>
      <c r="D289" s="3">
        <v>6.33</v>
      </c>
      <c r="E289" s="3">
        <v>6.38</v>
      </c>
      <c r="F289" s="3">
        <v>6.45</v>
      </c>
      <c r="G289" s="3">
        <v>6.56</v>
      </c>
      <c r="H289" s="3">
        <v>6.67</v>
      </c>
      <c r="I289" s="3">
        <v>6.79</v>
      </c>
      <c r="J289" s="3">
        <v>6.78</v>
      </c>
      <c r="K289" s="3">
        <v>7.15</v>
      </c>
      <c r="L289" s="3">
        <v>7.31</v>
      </c>
      <c r="M289" s="3">
        <v>7.32</v>
      </c>
      <c r="N289" s="3">
        <v>7.35</v>
      </c>
      <c r="O289" s="3">
        <v>7.57</v>
      </c>
    </row>
    <row r="290" spans="1:17" x14ac:dyDescent="0.25">
      <c r="A290" s="4" t="s">
        <v>304</v>
      </c>
      <c r="B290" s="3">
        <v>5.61</v>
      </c>
      <c r="C290" s="3">
        <v>5.56</v>
      </c>
      <c r="D290" s="3">
        <v>5.71</v>
      </c>
      <c r="E290" s="3">
        <v>6.03</v>
      </c>
      <c r="F290" s="3">
        <v>6.32</v>
      </c>
      <c r="G290" s="3">
        <v>6.48</v>
      </c>
      <c r="H290" s="3">
        <v>6.54</v>
      </c>
      <c r="I290" s="3">
        <v>6.59</v>
      </c>
      <c r="J290" s="3">
        <v>6.6</v>
      </c>
      <c r="K290" s="3">
        <v>6.68</v>
      </c>
      <c r="L290" s="3">
        <v>6.82</v>
      </c>
      <c r="M290" s="3">
        <v>6.97</v>
      </c>
      <c r="N290" s="3">
        <v>7.08</v>
      </c>
      <c r="O290" s="3">
        <v>7.3</v>
      </c>
    </row>
    <row r="291" spans="1:17" x14ac:dyDescent="0.25">
      <c r="A291" s="4" t="s">
        <v>305</v>
      </c>
      <c r="B291" s="3">
        <v>5.05</v>
      </c>
      <c r="C291" s="3">
        <v>5.45</v>
      </c>
      <c r="D291" s="3">
        <v>5.79</v>
      </c>
      <c r="E291" s="3">
        <v>5.96</v>
      </c>
      <c r="F291" s="3">
        <v>6.09</v>
      </c>
      <c r="G291" s="3">
        <v>6.17</v>
      </c>
      <c r="H291" s="3">
        <v>6.23</v>
      </c>
      <c r="I291" s="3">
        <v>6.3</v>
      </c>
      <c r="J291" s="3">
        <v>6.34</v>
      </c>
      <c r="K291" s="3">
        <v>6.52</v>
      </c>
      <c r="L291" s="3">
        <v>6.71</v>
      </c>
      <c r="M291" s="3">
        <v>6.86</v>
      </c>
      <c r="N291" s="3">
        <v>6.97</v>
      </c>
      <c r="O291" s="3">
        <v>7.2</v>
      </c>
    </row>
    <row r="292" spans="1:17" x14ac:dyDescent="0.25">
      <c r="A292" s="4" t="s">
        <v>306</v>
      </c>
      <c r="B292" s="3">
        <v>4.4000000000000004</v>
      </c>
      <c r="C292" s="3">
        <v>4.75</v>
      </c>
      <c r="D292" s="3">
        <v>4.97</v>
      </c>
      <c r="E292" s="3">
        <v>5.07</v>
      </c>
      <c r="F292" s="3">
        <v>5.08</v>
      </c>
      <c r="G292" s="3">
        <v>5.0599999999999996</v>
      </c>
      <c r="H292" s="3">
        <v>5.05</v>
      </c>
      <c r="I292" s="3">
        <v>5.0999999999999996</v>
      </c>
      <c r="J292" s="3">
        <v>5.16</v>
      </c>
      <c r="K292" s="3">
        <v>5.39</v>
      </c>
      <c r="L292" s="3">
        <v>5.62</v>
      </c>
      <c r="M292" s="3">
        <v>5.88</v>
      </c>
      <c r="N292" s="3">
        <v>6.08</v>
      </c>
      <c r="O292" s="3">
        <v>6.49</v>
      </c>
      <c r="P292" s="3">
        <v>6.52</v>
      </c>
      <c r="Q292" s="3">
        <v>6.32</v>
      </c>
    </row>
    <row r="293" spans="1:17" x14ac:dyDescent="0.25">
      <c r="A293" s="4" t="s">
        <v>307</v>
      </c>
      <c r="B293" s="3">
        <v>3.98</v>
      </c>
      <c r="C293" s="3">
        <v>4.57</v>
      </c>
      <c r="D293" s="3">
        <v>4.84</v>
      </c>
      <c r="E293" s="3">
        <v>4.9000000000000004</v>
      </c>
      <c r="F293" s="3">
        <v>4.92</v>
      </c>
      <c r="G293" s="3">
        <v>4.93</v>
      </c>
      <c r="H293" s="3">
        <v>4.91</v>
      </c>
      <c r="I293" s="3">
        <v>4.8899999999999997</v>
      </c>
      <c r="J293" s="3">
        <v>4.99</v>
      </c>
      <c r="K293" s="3">
        <v>5.47</v>
      </c>
      <c r="L293" s="3">
        <v>5.74</v>
      </c>
      <c r="M293" s="3">
        <v>5.89</v>
      </c>
      <c r="N293" s="3">
        <v>6</v>
      </c>
      <c r="O293" s="3">
        <v>6.34</v>
      </c>
      <c r="P293" s="3">
        <v>6.51</v>
      </c>
      <c r="Q293" s="3">
        <v>6.39</v>
      </c>
    </row>
    <row r="294" spans="1:17" x14ac:dyDescent="0.25">
      <c r="A294" s="4" t="s">
        <v>308</v>
      </c>
      <c r="B294" s="3">
        <v>3.99</v>
      </c>
      <c r="C294" s="3">
        <v>4.1100000000000003</v>
      </c>
      <c r="D294" s="3">
        <v>4.1500000000000004</v>
      </c>
      <c r="E294" s="3">
        <v>4.17</v>
      </c>
      <c r="F294" s="3">
        <v>4.22</v>
      </c>
      <c r="G294" s="3">
        <v>4.25</v>
      </c>
      <c r="H294" s="3">
        <v>4.25</v>
      </c>
      <c r="I294" s="3">
        <v>4.1900000000000004</v>
      </c>
      <c r="J294" s="3">
        <v>4.24</v>
      </c>
      <c r="K294" s="3">
        <v>4.7300000000000004</v>
      </c>
      <c r="L294" s="3">
        <v>5.23</v>
      </c>
      <c r="M294" s="3">
        <v>5.62</v>
      </c>
      <c r="N294" s="3">
        <v>5.87</v>
      </c>
      <c r="O294" s="3">
        <v>6.17</v>
      </c>
      <c r="P294" s="3">
        <v>6.04</v>
      </c>
      <c r="Q294" s="3">
        <v>5.98</v>
      </c>
    </row>
    <row r="295" spans="1:17" x14ac:dyDescent="0.25">
      <c r="A295" s="4" t="s">
        <v>309</v>
      </c>
      <c r="B295" s="3">
        <v>3.13</v>
      </c>
      <c r="C295" s="3">
        <v>3.25</v>
      </c>
      <c r="D295" s="3">
        <v>3.35</v>
      </c>
      <c r="E295" s="3">
        <v>3.43</v>
      </c>
      <c r="F295" s="3">
        <v>3.5</v>
      </c>
      <c r="G295" s="3">
        <v>3.56</v>
      </c>
      <c r="H295" s="3">
        <v>3.61</v>
      </c>
      <c r="I295" s="3">
        <v>3.69</v>
      </c>
      <c r="J295" s="3">
        <v>3.75</v>
      </c>
      <c r="K295" s="3">
        <v>4.2300000000000004</v>
      </c>
      <c r="L295" s="3">
        <v>4.78</v>
      </c>
      <c r="M295" s="3">
        <v>5.2</v>
      </c>
      <c r="N295" s="3">
        <v>5.49</v>
      </c>
      <c r="O295" s="3">
        <v>6.12</v>
      </c>
      <c r="P295" s="3">
        <v>6.32</v>
      </c>
      <c r="Q295" s="3">
        <v>6.32</v>
      </c>
    </row>
    <row r="296" spans="1:17" x14ac:dyDescent="0.25">
      <c r="A296" s="4" t="s">
        <v>310</v>
      </c>
      <c r="B296" s="3">
        <v>3.46</v>
      </c>
      <c r="C296" s="3">
        <v>3.46</v>
      </c>
      <c r="D296" s="3">
        <v>3.54</v>
      </c>
      <c r="E296" s="3">
        <v>3.64</v>
      </c>
      <c r="F296" s="3">
        <v>3.69</v>
      </c>
      <c r="G296" s="3">
        <v>3.69</v>
      </c>
      <c r="H296" s="3">
        <v>3.69</v>
      </c>
      <c r="I296" s="3">
        <v>3.74</v>
      </c>
      <c r="J296" s="3">
        <v>3.81</v>
      </c>
      <c r="K296" s="3">
        <v>4.1500000000000004</v>
      </c>
      <c r="L296" s="3">
        <v>4.5199999999999996</v>
      </c>
      <c r="M296" s="3">
        <v>4.8600000000000003</v>
      </c>
      <c r="N296" s="3">
        <v>5.15</v>
      </c>
      <c r="O296" s="3">
        <v>5.72</v>
      </c>
      <c r="P296" s="3">
        <v>5.85</v>
      </c>
      <c r="Q296" s="3">
        <v>5.91</v>
      </c>
    </row>
    <row r="297" spans="1:17" x14ac:dyDescent="0.25">
      <c r="A297" s="4" t="s">
        <v>311</v>
      </c>
      <c r="B297" s="3">
        <v>3.49</v>
      </c>
      <c r="C297" s="3">
        <v>3.81</v>
      </c>
      <c r="D297" s="3">
        <v>3.97</v>
      </c>
      <c r="E297" s="3">
        <v>4.04</v>
      </c>
      <c r="F297" s="3">
        <v>4.1399999999999997</v>
      </c>
      <c r="G297" s="3">
        <v>4.24</v>
      </c>
      <c r="H297" s="3">
        <v>4.33</v>
      </c>
      <c r="I297" s="3">
        <v>4.51</v>
      </c>
      <c r="J297" s="3">
        <v>4.6399999999999997</v>
      </c>
      <c r="K297" s="3">
        <v>5.2</v>
      </c>
      <c r="L297" s="3">
        <v>5.63</v>
      </c>
      <c r="M297" s="3">
        <v>5.9</v>
      </c>
      <c r="N297" s="3">
        <v>6.05</v>
      </c>
      <c r="O297" s="3">
        <v>6.15</v>
      </c>
    </row>
    <row r="298" spans="1:17" x14ac:dyDescent="0.25">
      <c r="A298" s="4" t="s">
        <v>312</v>
      </c>
      <c r="B298" s="3">
        <v>3.92</v>
      </c>
      <c r="C298" s="3">
        <v>4.2</v>
      </c>
      <c r="D298" s="3">
        <v>4.3499999999999996</v>
      </c>
      <c r="E298" s="3">
        <v>4.38</v>
      </c>
      <c r="F298" s="3">
        <v>4.4000000000000004</v>
      </c>
      <c r="G298" s="3">
        <v>4.4400000000000004</v>
      </c>
      <c r="H298" s="3">
        <v>4.51</v>
      </c>
      <c r="I298" s="3">
        <v>4.75</v>
      </c>
      <c r="J298" s="3">
        <v>4.97</v>
      </c>
      <c r="K298" s="3">
        <v>5.49</v>
      </c>
      <c r="L298" s="3">
        <v>5.78</v>
      </c>
      <c r="M298" s="3">
        <v>5.97</v>
      </c>
      <c r="N298" s="3">
        <v>6.12</v>
      </c>
      <c r="O298" s="3">
        <v>6.53</v>
      </c>
    </row>
    <row r="299" spans="1:17" x14ac:dyDescent="0.25">
      <c r="A299" s="4" t="s">
        <v>313</v>
      </c>
      <c r="B299" s="3">
        <v>4.5199999999999996</v>
      </c>
      <c r="C299" s="3">
        <v>4.95</v>
      </c>
      <c r="D299" s="3">
        <v>5.13</v>
      </c>
      <c r="E299" s="3">
        <v>5.12</v>
      </c>
      <c r="F299" s="3">
        <v>5.15</v>
      </c>
      <c r="G299" s="3">
        <v>5.29</v>
      </c>
      <c r="H299" s="3">
        <v>5.47</v>
      </c>
      <c r="I299" s="3">
        <v>5.83</v>
      </c>
      <c r="J299" s="3">
        <v>6.06</v>
      </c>
      <c r="K299" s="3">
        <v>6.49</v>
      </c>
      <c r="L299" s="3">
        <v>6.66</v>
      </c>
      <c r="M299" s="3">
        <v>6.74</v>
      </c>
      <c r="N299" s="3">
        <v>6.8</v>
      </c>
      <c r="O299" s="3">
        <v>6.83</v>
      </c>
    </row>
    <row r="300" spans="1:17" x14ac:dyDescent="0.25">
      <c r="A300" s="4" t="s">
        <v>314</v>
      </c>
      <c r="B300" s="3">
        <v>4.78</v>
      </c>
      <c r="C300" s="3">
        <v>5.21</v>
      </c>
      <c r="D300" s="3">
        <v>5.33</v>
      </c>
      <c r="E300" s="3">
        <v>5.31</v>
      </c>
      <c r="F300" s="3">
        <v>5.42</v>
      </c>
      <c r="G300" s="3">
        <v>5.64</v>
      </c>
      <c r="H300" s="3">
        <v>5.82</v>
      </c>
      <c r="I300" s="3">
        <v>6.02</v>
      </c>
      <c r="J300" s="3">
        <v>6.06</v>
      </c>
      <c r="K300" s="3">
        <v>6.5</v>
      </c>
      <c r="L300" s="3">
        <v>6.77</v>
      </c>
      <c r="M300" s="3">
        <v>6.86</v>
      </c>
      <c r="N300" s="3">
        <v>6.91</v>
      </c>
      <c r="O300" s="3">
        <v>6.95</v>
      </c>
    </row>
    <row r="301" spans="1:17" x14ac:dyDescent="0.25">
      <c r="A301" s="4" t="s">
        <v>315</v>
      </c>
      <c r="B301" s="3">
        <v>4.49</v>
      </c>
      <c r="C301" s="3">
        <v>4.46</v>
      </c>
      <c r="D301" s="3">
        <v>4.42</v>
      </c>
      <c r="E301" s="3">
        <v>4.4000000000000004</v>
      </c>
      <c r="F301" s="3">
        <v>4.47</v>
      </c>
      <c r="G301" s="3">
        <v>4.6399999999999997</v>
      </c>
      <c r="H301" s="3">
        <v>4.82</v>
      </c>
      <c r="I301" s="3">
        <v>5.12</v>
      </c>
      <c r="J301" s="3">
        <v>5.27</v>
      </c>
      <c r="K301" s="3">
        <v>5.55</v>
      </c>
      <c r="L301" s="3">
        <v>5.7</v>
      </c>
      <c r="M301" s="3">
        <v>5.82</v>
      </c>
      <c r="N301" s="3">
        <v>5.93</v>
      </c>
      <c r="O301" s="3">
        <v>6.3</v>
      </c>
    </row>
    <row r="302" spans="1:17" x14ac:dyDescent="0.25">
      <c r="A302" s="4" t="s">
        <v>316</v>
      </c>
      <c r="B302" s="3">
        <v>4.55</v>
      </c>
      <c r="C302" s="3">
        <v>4.47</v>
      </c>
      <c r="D302" s="3">
        <v>4.5199999999999996</v>
      </c>
      <c r="E302" s="3">
        <v>4.6500000000000004</v>
      </c>
      <c r="F302" s="3">
        <v>4.78</v>
      </c>
      <c r="G302" s="3">
        <v>4.8899999999999997</v>
      </c>
      <c r="H302" s="3">
        <v>4.99</v>
      </c>
      <c r="I302" s="3">
        <v>5.17</v>
      </c>
      <c r="J302" s="3">
        <v>5.27</v>
      </c>
      <c r="K302" s="3">
        <v>5.51</v>
      </c>
      <c r="L302" s="3">
        <v>5.7</v>
      </c>
      <c r="M302" s="3">
        <v>5.87</v>
      </c>
      <c r="N302" s="3">
        <v>5.95</v>
      </c>
      <c r="O302" s="3">
        <v>5.97</v>
      </c>
    </row>
    <row r="303" spans="1:17" x14ac:dyDescent="0.25">
      <c r="A303" s="4" t="s">
        <v>317</v>
      </c>
      <c r="B303" s="3">
        <v>3.56</v>
      </c>
      <c r="C303" s="3">
        <v>4.0599999999999996</v>
      </c>
      <c r="D303" s="3">
        <v>4.29</v>
      </c>
      <c r="E303" s="3">
        <v>4.37</v>
      </c>
      <c r="F303" s="3">
        <v>4.4400000000000004</v>
      </c>
      <c r="G303" s="3">
        <v>4.47</v>
      </c>
      <c r="H303" s="3">
        <v>4.4800000000000004</v>
      </c>
      <c r="I303" s="3">
        <v>4.49</v>
      </c>
      <c r="J303" s="3">
        <v>4.5999999999999996</v>
      </c>
      <c r="K303" s="3">
        <v>5.0599999999999996</v>
      </c>
      <c r="L303" s="3">
        <v>5.19</v>
      </c>
      <c r="M303" s="3">
        <v>5.49</v>
      </c>
      <c r="N303" s="3">
        <v>5.76</v>
      </c>
      <c r="O303" s="3">
        <v>5.96</v>
      </c>
      <c r="P303" s="3">
        <v>6.12</v>
      </c>
    </row>
    <row r="304" spans="1:17" x14ac:dyDescent="0.25">
      <c r="A304" s="4" t="s">
        <v>318</v>
      </c>
      <c r="B304" s="3">
        <v>3.67</v>
      </c>
      <c r="C304" s="3">
        <v>4.0599999999999996</v>
      </c>
      <c r="D304" s="3">
        <v>4.28</v>
      </c>
      <c r="E304" s="3">
        <v>4.3499999999999996</v>
      </c>
      <c r="F304" s="3">
        <v>4.3899999999999997</v>
      </c>
      <c r="G304" s="3">
        <v>4.45</v>
      </c>
      <c r="H304" s="3">
        <v>4.5</v>
      </c>
      <c r="I304" s="3">
        <v>4.63</v>
      </c>
      <c r="J304" s="3">
        <v>4.75</v>
      </c>
      <c r="K304" s="3">
        <v>5.07</v>
      </c>
      <c r="L304" s="3">
        <v>5.27</v>
      </c>
      <c r="M304" s="3">
        <v>5.6</v>
      </c>
      <c r="N304" s="3">
        <v>5.84</v>
      </c>
      <c r="O304" s="3">
        <v>5.85</v>
      </c>
    </row>
    <row r="305" spans="1:17" x14ac:dyDescent="0.25">
      <c r="A305" s="4" t="s">
        <v>319</v>
      </c>
      <c r="B305" s="3">
        <v>3.24</v>
      </c>
      <c r="C305" s="3">
        <v>3.33</v>
      </c>
      <c r="D305" s="3">
        <v>3.51</v>
      </c>
      <c r="E305" s="3">
        <v>3.7</v>
      </c>
      <c r="F305" s="3">
        <v>3.87</v>
      </c>
      <c r="G305" s="3">
        <v>3.99</v>
      </c>
      <c r="H305" s="3">
        <v>4.03</v>
      </c>
      <c r="I305" s="3">
        <v>4.1100000000000003</v>
      </c>
      <c r="J305" s="3">
        <v>4.29</v>
      </c>
      <c r="K305" s="3">
        <v>4.84</v>
      </c>
      <c r="L305" s="3">
        <v>5.04</v>
      </c>
      <c r="M305" s="3">
        <v>5.29</v>
      </c>
      <c r="N305" s="3">
        <v>5.49</v>
      </c>
      <c r="O305" s="3">
        <v>5.97</v>
      </c>
    </row>
    <row r="306" spans="1:17" x14ac:dyDescent="0.25">
      <c r="A306" s="4" t="s">
        <v>320</v>
      </c>
      <c r="B306" s="3">
        <v>2.41</v>
      </c>
      <c r="C306" s="3">
        <v>3.02</v>
      </c>
      <c r="D306" s="3">
        <v>3.28</v>
      </c>
      <c r="E306" s="3">
        <v>3.38</v>
      </c>
      <c r="F306" s="3">
        <v>3.53</v>
      </c>
      <c r="G306" s="3">
        <v>3.68</v>
      </c>
      <c r="H306" s="3">
        <v>3.78</v>
      </c>
      <c r="I306" s="3">
        <v>3.99</v>
      </c>
      <c r="J306" s="3">
        <v>4.18</v>
      </c>
      <c r="K306" s="3">
        <v>4.84</v>
      </c>
      <c r="L306" s="3">
        <v>5.29</v>
      </c>
      <c r="M306" s="3">
        <v>5.56</v>
      </c>
      <c r="N306" s="3">
        <v>5.76</v>
      </c>
      <c r="O306" s="3">
        <v>6.4</v>
      </c>
    </row>
    <row r="307" spans="1:17" x14ac:dyDescent="0.25">
      <c r="A307" s="4" t="s">
        <v>321</v>
      </c>
      <c r="B307" s="3">
        <v>3.36</v>
      </c>
      <c r="C307" s="3">
        <v>3.25</v>
      </c>
      <c r="D307" s="3">
        <v>3.29</v>
      </c>
      <c r="E307" s="3">
        <v>3.44</v>
      </c>
      <c r="F307" s="3">
        <v>3.6</v>
      </c>
      <c r="G307" s="3">
        <v>3.72</v>
      </c>
      <c r="H307" s="3">
        <v>3.82</v>
      </c>
      <c r="I307" s="3">
        <v>4.05</v>
      </c>
      <c r="J307" s="3">
        <v>4.24</v>
      </c>
      <c r="K307" s="3">
        <v>4.83</v>
      </c>
      <c r="L307" s="3">
        <v>5.23</v>
      </c>
      <c r="M307" s="3">
        <v>5.49</v>
      </c>
      <c r="N307" s="3">
        <v>5.68</v>
      </c>
      <c r="O307" s="3">
        <v>6.26</v>
      </c>
    </row>
    <row r="308" spans="1:17" x14ac:dyDescent="0.25">
      <c r="A308" s="4" t="s">
        <v>322</v>
      </c>
      <c r="B308" s="3">
        <v>3.32</v>
      </c>
      <c r="C308" s="3">
        <v>3.42</v>
      </c>
      <c r="D308" s="3">
        <v>3.64</v>
      </c>
      <c r="E308" s="3">
        <v>3.93</v>
      </c>
      <c r="F308" s="3">
        <v>4.16</v>
      </c>
      <c r="G308" s="3">
        <v>4.33</v>
      </c>
      <c r="H308" s="3">
        <v>4.47</v>
      </c>
      <c r="I308" s="3">
        <v>4.78</v>
      </c>
      <c r="J308" s="3">
        <v>5</v>
      </c>
      <c r="K308" s="3">
        <v>5.52</v>
      </c>
      <c r="L308" s="3">
        <v>5.78</v>
      </c>
      <c r="M308" s="3">
        <v>5.94</v>
      </c>
      <c r="N308" s="3">
        <v>6.04</v>
      </c>
      <c r="O308" s="3">
        <v>6.22</v>
      </c>
    </row>
    <row r="309" spans="1:17" x14ac:dyDescent="0.25">
      <c r="A309" s="4" t="s">
        <v>323</v>
      </c>
      <c r="B309" s="3">
        <v>3.3</v>
      </c>
      <c r="C309" s="3">
        <v>3.28</v>
      </c>
      <c r="D309" s="3">
        <v>3.44</v>
      </c>
      <c r="E309" s="3">
        <v>3.67</v>
      </c>
      <c r="F309" s="3">
        <v>3.86</v>
      </c>
      <c r="G309" s="3">
        <v>4.01</v>
      </c>
      <c r="H309" s="3">
        <v>4.12</v>
      </c>
      <c r="I309" s="3">
        <v>4.34</v>
      </c>
      <c r="J309" s="3">
        <v>4.5</v>
      </c>
      <c r="K309" s="3">
        <v>5.15</v>
      </c>
      <c r="L309" s="3">
        <v>5.55</v>
      </c>
      <c r="M309" s="3">
        <v>5.72</v>
      </c>
      <c r="N309" s="3">
        <v>5.83</v>
      </c>
      <c r="O309" s="3">
        <v>6.21</v>
      </c>
    </row>
    <row r="310" spans="1:17" x14ac:dyDescent="0.25">
      <c r="A310" s="4" t="s">
        <v>324</v>
      </c>
      <c r="B310" s="3">
        <v>3.31</v>
      </c>
      <c r="C310" s="3">
        <v>3.5</v>
      </c>
      <c r="D310" s="3">
        <v>3.67</v>
      </c>
      <c r="E310" s="3">
        <v>3.81</v>
      </c>
      <c r="F310" s="3">
        <v>3.95</v>
      </c>
      <c r="G310" s="3">
        <v>4.09</v>
      </c>
      <c r="H310" s="3">
        <v>4.21</v>
      </c>
      <c r="I310" s="3">
        <v>4.43</v>
      </c>
      <c r="J310" s="3">
        <v>4.5599999999999996</v>
      </c>
      <c r="K310" s="3">
        <v>5</v>
      </c>
      <c r="L310" s="3">
        <v>5.34</v>
      </c>
      <c r="M310" s="3">
        <v>5.56</v>
      </c>
      <c r="N310" s="3">
        <v>5.73</v>
      </c>
      <c r="O310" s="3">
        <v>6.14</v>
      </c>
    </row>
    <row r="311" spans="1:17" x14ac:dyDescent="0.25">
      <c r="A311" s="4" t="s">
        <v>325</v>
      </c>
      <c r="B311" s="3">
        <v>3.39</v>
      </c>
      <c r="C311" s="3">
        <v>3.68</v>
      </c>
      <c r="D311" s="3">
        <v>3.91</v>
      </c>
      <c r="E311" s="3">
        <v>4.1100000000000003</v>
      </c>
      <c r="F311" s="3">
        <v>4.3099999999999996</v>
      </c>
      <c r="G311" s="3">
        <v>4.51</v>
      </c>
      <c r="H311" s="3">
        <v>4.6900000000000004</v>
      </c>
      <c r="I311" s="3">
        <v>5.0199999999999996</v>
      </c>
      <c r="J311" s="3">
        <v>5.17</v>
      </c>
      <c r="K311" s="3">
        <v>5.48</v>
      </c>
      <c r="L311" s="3">
        <v>5.68</v>
      </c>
      <c r="M311" s="3">
        <v>5.83</v>
      </c>
      <c r="N311" s="3">
        <v>5.94</v>
      </c>
      <c r="O311" s="3">
        <v>6.24</v>
      </c>
    </row>
    <row r="312" spans="1:17" x14ac:dyDescent="0.25">
      <c r="A312" s="4" t="s">
        <v>326</v>
      </c>
      <c r="B312" s="3">
        <v>3.41</v>
      </c>
      <c r="C312" s="3">
        <v>3.56</v>
      </c>
      <c r="D312" s="3">
        <v>3.7</v>
      </c>
      <c r="E312" s="3">
        <v>3.86</v>
      </c>
      <c r="F312" s="3">
        <v>4.04</v>
      </c>
      <c r="G312" s="3">
        <v>4.25</v>
      </c>
      <c r="H312" s="3">
        <v>4.43</v>
      </c>
      <c r="I312" s="3">
        <v>4.74</v>
      </c>
      <c r="J312" s="3">
        <v>4.88</v>
      </c>
      <c r="K312" s="3">
        <v>5.36</v>
      </c>
      <c r="L312" s="3">
        <v>5.72</v>
      </c>
      <c r="M312" s="3">
        <v>5.86</v>
      </c>
      <c r="N312" s="3">
        <v>5.97</v>
      </c>
      <c r="O312" s="3">
        <v>6.4</v>
      </c>
    </row>
    <row r="313" spans="1:17" x14ac:dyDescent="0.25">
      <c r="A313" s="4" t="s">
        <v>327</v>
      </c>
      <c r="B313" s="3">
        <v>4.2699999999999996</v>
      </c>
      <c r="C313" s="3">
        <v>4.3499999999999996</v>
      </c>
      <c r="D313" s="3">
        <v>4.42</v>
      </c>
      <c r="E313" s="3">
        <v>4.51</v>
      </c>
      <c r="F313" s="3">
        <v>4.6500000000000004</v>
      </c>
      <c r="G313" s="3">
        <v>4.8499999999999996</v>
      </c>
      <c r="H313" s="3">
        <v>5.0199999999999996</v>
      </c>
      <c r="I313" s="3">
        <v>5.28</v>
      </c>
      <c r="J313" s="3">
        <v>5.37</v>
      </c>
      <c r="K313" s="3">
        <v>5.67</v>
      </c>
      <c r="L313" s="3">
        <v>5.89</v>
      </c>
      <c r="M313" s="3">
        <v>6.02</v>
      </c>
      <c r="N313" s="3">
        <v>6.13</v>
      </c>
      <c r="O313" s="3">
        <v>6.51</v>
      </c>
    </row>
    <row r="314" spans="1:17" x14ac:dyDescent="0.25">
      <c r="A314" s="4" t="s">
        <v>328</v>
      </c>
      <c r="B314" s="3">
        <v>4.6500000000000004</v>
      </c>
      <c r="C314" s="3">
        <v>4.4800000000000004</v>
      </c>
      <c r="D314" s="3">
        <v>4.5199999999999996</v>
      </c>
      <c r="E314" s="3">
        <v>4.74</v>
      </c>
      <c r="F314" s="3">
        <v>4.9800000000000004</v>
      </c>
      <c r="G314" s="3">
        <v>5.17</v>
      </c>
      <c r="H314" s="3">
        <v>5.31</v>
      </c>
      <c r="I314" s="3">
        <v>5.53</v>
      </c>
      <c r="J314" s="3">
        <v>5.63</v>
      </c>
      <c r="K314" s="3">
        <v>5.86</v>
      </c>
      <c r="L314" s="3">
        <v>5.97</v>
      </c>
      <c r="M314" s="3">
        <v>6.01</v>
      </c>
      <c r="N314" s="3">
        <v>6.09</v>
      </c>
      <c r="O314" s="3">
        <v>6.62</v>
      </c>
    </row>
    <row r="315" spans="1:17" x14ac:dyDescent="0.25">
      <c r="A315" s="4" t="s">
        <v>329</v>
      </c>
      <c r="B315" s="3">
        <v>4.49</v>
      </c>
      <c r="C315" s="3">
        <v>4.54</v>
      </c>
      <c r="D315" s="3">
        <v>4.6500000000000004</v>
      </c>
      <c r="E315" s="3">
        <v>4.82</v>
      </c>
      <c r="F315" s="3">
        <v>4.97</v>
      </c>
      <c r="G315" s="3">
        <v>5.0999999999999996</v>
      </c>
      <c r="H315" s="3">
        <v>5.19</v>
      </c>
      <c r="I315" s="3">
        <v>5.36</v>
      </c>
      <c r="J315" s="3">
        <v>5.48</v>
      </c>
      <c r="K315" s="3">
        <v>5.81</v>
      </c>
      <c r="L315" s="3">
        <v>5.98</v>
      </c>
      <c r="M315" s="3">
        <v>6.04</v>
      </c>
      <c r="N315" s="3">
        <v>6.1</v>
      </c>
      <c r="O315" s="3">
        <v>6.45</v>
      </c>
    </row>
    <row r="316" spans="1:17" x14ac:dyDescent="0.25">
      <c r="A316" s="4" t="s">
        <v>330</v>
      </c>
      <c r="B316" s="3">
        <v>4.82</v>
      </c>
      <c r="C316" s="3">
        <v>4.79</v>
      </c>
      <c r="D316" s="3">
        <v>4.83</v>
      </c>
      <c r="E316" s="3">
        <v>4.92</v>
      </c>
      <c r="F316" s="3">
        <v>5.04</v>
      </c>
      <c r="G316" s="3">
        <v>5.16</v>
      </c>
      <c r="H316" s="3">
        <v>5.26</v>
      </c>
      <c r="I316" s="3">
        <v>5.36</v>
      </c>
      <c r="J316" s="3">
        <v>5.36</v>
      </c>
      <c r="K316" s="3">
        <v>5.67</v>
      </c>
      <c r="L316" s="3">
        <v>5.88</v>
      </c>
      <c r="M316" s="3">
        <v>5.93</v>
      </c>
      <c r="N316" s="3">
        <v>5.99</v>
      </c>
      <c r="O316" s="3">
        <v>6.34</v>
      </c>
    </row>
    <row r="317" spans="1:17" x14ac:dyDescent="0.25">
      <c r="A317" s="4" t="s">
        <v>331</v>
      </c>
      <c r="B317" s="3">
        <v>4.7699999999999996</v>
      </c>
      <c r="C317" s="3">
        <v>4.93</v>
      </c>
      <c r="D317" s="3">
        <v>5.08</v>
      </c>
      <c r="E317" s="3">
        <v>5.22</v>
      </c>
      <c r="F317" s="3">
        <v>5.34</v>
      </c>
      <c r="G317" s="3">
        <v>5.43</v>
      </c>
      <c r="H317" s="3">
        <v>5.48</v>
      </c>
      <c r="I317" s="3">
        <v>5.56</v>
      </c>
      <c r="J317" s="3">
        <v>5.59</v>
      </c>
      <c r="K317" s="3">
        <v>5.9</v>
      </c>
      <c r="L317" s="3">
        <v>6.04</v>
      </c>
      <c r="M317" s="3">
        <v>6.07</v>
      </c>
      <c r="N317" s="3">
        <v>6.12</v>
      </c>
      <c r="O317" s="3">
        <v>6.41</v>
      </c>
    </row>
    <row r="318" spans="1:17" x14ac:dyDescent="0.25">
      <c r="A318" s="4" t="s">
        <v>332</v>
      </c>
      <c r="B318" s="3">
        <v>5.22</v>
      </c>
      <c r="C318" s="3">
        <v>5.44</v>
      </c>
      <c r="D318" s="3">
        <v>5.62</v>
      </c>
      <c r="E318" s="3">
        <v>5.77</v>
      </c>
      <c r="F318" s="3">
        <v>5.87</v>
      </c>
      <c r="G318" s="3">
        <v>5.93</v>
      </c>
      <c r="H318" s="3">
        <v>5.97</v>
      </c>
      <c r="I318" s="3">
        <v>6.02</v>
      </c>
      <c r="J318" s="3">
        <v>6.06</v>
      </c>
      <c r="K318" s="3">
        <v>6.26</v>
      </c>
      <c r="L318" s="3">
        <v>6.35</v>
      </c>
      <c r="M318" s="3">
        <v>6.34</v>
      </c>
      <c r="N318" s="3">
        <v>6.34</v>
      </c>
      <c r="O318" s="3">
        <v>6.45</v>
      </c>
      <c r="P318" s="3">
        <v>6.65</v>
      </c>
      <c r="Q318" s="3">
        <v>6.94</v>
      </c>
    </row>
    <row r="319" spans="1:17" x14ac:dyDescent="0.25">
      <c r="A319" s="4" t="s">
        <v>333</v>
      </c>
      <c r="B319" s="3">
        <v>5.49</v>
      </c>
      <c r="C319" s="3">
        <v>5.59</v>
      </c>
      <c r="D319" s="3">
        <v>5.73</v>
      </c>
      <c r="E319" s="3">
        <v>5.9</v>
      </c>
      <c r="F319" s="3">
        <v>6.03</v>
      </c>
      <c r="G319" s="3">
        <v>6.11</v>
      </c>
      <c r="H319" s="3">
        <v>6.16</v>
      </c>
      <c r="I319" s="3">
        <v>6.29</v>
      </c>
      <c r="J319" s="3">
        <v>6.39</v>
      </c>
      <c r="K319" s="3">
        <v>6.61</v>
      </c>
      <c r="L319" s="3">
        <v>6.66</v>
      </c>
      <c r="M319" s="3">
        <v>6.64</v>
      </c>
      <c r="N319" s="3">
        <v>6.62</v>
      </c>
      <c r="O319" s="3">
        <v>6.55</v>
      </c>
      <c r="P319" s="3">
        <v>6.6</v>
      </c>
    </row>
    <row r="320" spans="1:17" x14ac:dyDescent="0.25">
      <c r="A320" s="4" t="s">
        <v>334</v>
      </c>
      <c r="B320" s="3">
        <v>5.77</v>
      </c>
      <c r="C320" s="3">
        <v>6.08</v>
      </c>
      <c r="D320" s="3">
        <v>6.34</v>
      </c>
      <c r="E320" s="3">
        <v>6.53</v>
      </c>
      <c r="F320" s="3">
        <v>6.7</v>
      </c>
      <c r="G320" s="3">
        <v>6.82</v>
      </c>
      <c r="H320" s="3">
        <v>6.91</v>
      </c>
      <c r="I320" s="3">
        <v>6.99</v>
      </c>
      <c r="J320" s="3">
        <v>6.96</v>
      </c>
      <c r="K320" s="3">
        <v>6.79</v>
      </c>
      <c r="L320" s="3">
        <v>6.71</v>
      </c>
      <c r="M320" s="3">
        <v>6.68</v>
      </c>
      <c r="N320" s="3">
        <v>6.65</v>
      </c>
      <c r="O320" s="3">
        <v>6.58</v>
      </c>
      <c r="P320" s="3">
        <v>6.6</v>
      </c>
    </row>
    <row r="321" spans="1:17" x14ac:dyDescent="0.25">
      <c r="A321" s="4" t="s">
        <v>335</v>
      </c>
      <c r="B321" s="3">
        <v>5.95</v>
      </c>
      <c r="C321" s="3">
        <v>6.01</v>
      </c>
      <c r="D321" s="3">
        <v>6.17</v>
      </c>
      <c r="E321" s="3">
        <v>6.39</v>
      </c>
      <c r="F321" s="3">
        <v>6.55</v>
      </c>
      <c r="G321" s="3">
        <v>6.64</v>
      </c>
      <c r="H321" s="3">
        <v>6.68</v>
      </c>
      <c r="I321" s="3">
        <v>6.73</v>
      </c>
      <c r="J321" s="3">
        <v>6.72</v>
      </c>
      <c r="K321" s="3">
        <v>6.65</v>
      </c>
      <c r="L321" s="3">
        <v>6.62</v>
      </c>
      <c r="M321" s="3">
        <v>6.61</v>
      </c>
      <c r="N321" s="3">
        <v>6.61</v>
      </c>
      <c r="O321" s="3">
        <v>6.57</v>
      </c>
      <c r="P321" s="3">
        <v>6.61</v>
      </c>
    </row>
    <row r="322" spans="1:17" x14ac:dyDescent="0.25">
      <c r="A322" s="4" t="s">
        <v>336</v>
      </c>
      <c r="B322" s="3">
        <v>6</v>
      </c>
      <c r="C322" s="3">
        <v>6.53</v>
      </c>
      <c r="D322" s="3">
        <v>6.86</v>
      </c>
      <c r="E322" s="3">
        <v>7.01</v>
      </c>
      <c r="F322" s="3">
        <v>7.07</v>
      </c>
      <c r="G322" s="3">
        <v>7.1</v>
      </c>
      <c r="H322" s="3">
        <v>7.1</v>
      </c>
      <c r="I322" s="3">
        <v>7.09</v>
      </c>
      <c r="J322" s="3">
        <v>7.05</v>
      </c>
      <c r="K322" s="3">
        <v>6.8</v>
      </c>
      <c r="L322" s="3">
        <v>6.64</v>
      </c>
      <c r="M322" s="3">
        <v>6.63</v>
      </c>
      <c r="N322" s="3">
        <v>6.66</v>
      </c>
      <c r="O322" s="3">
        <v>6.78</v>
      </c>
      <c r="P322" s="3">
        <v>6.86</v>
      </c>
      <c r="Q322" s="3">
        <v>6.94</v>
      </c>
    </row>
    <row r="323" spans="1:17" x14ac:dyDescent="0.25">
      <c r="A323" s="4" t="s">
        <v>337</v>
      </c>
      <c r="B323" s="3">
        <v>7.3</v>
      </c>
      <c r="C323" s="3">
        <v>7.45</v>
      </c>
      <c r="D323" s="3">
        <v>7.56</v>
      </c>
      <c r="E323" s="3">
        <v>7.62</v>
      </c>
      <c r="F323" s="3">
        <v>7.69</v>
      </c>
      <c r="G323" s="3">
        <v>7.76</v>
      </c>
      <c r="H323" s="3">
        <v>7.81</v>
      </c>
      <c r="I323" s="3">
        <v>7.79</v>
      </c>
      <c r="J323" s="3">
        <v>7.59</v>
      </c>
      <c r="K323" s="3">
        <v>7.04</v>
      </c>
      <c r="L323" s="3">
        <v>6.87</v>
      </c>
      <c r="M323" s="3">
        <v>6.79</v>
      </c>
      <c r="N323" s="3">
        <v>6.76</v>
      </c>
      <c r="O323" s="3">
        <v>6.79</v>
      </c>
      <c r="P323" s="3">
        <v>6.91</v>
      </c>
      <c r="Q323" s="3">
        <v>7.04</v>
      </c>
    </row>
    <row r="324" spans="1:17" x14ac:dyDescent="0.25">
      <c r="A324" s="4" t="s">
        <v>338</v>
      </c>
      <c r="B324" s="3">
        <v>7.96</v>
      </c>
      <c r="C324" s="3">
        <v>8.2899999999999991</v>
      </c>
      <c r="D324" s="3">
        <v>8.39</v>
      </c>
      <c r="E324" s="3">
        <v>8.36</v>
      </c>
      <c r="F324" s="3">
        <v>8.39</v>
      </c>
      <c r="G324" s="3">
        <v>8.52</v>
      </c>
      <c r="H324" s="3">
        <v>8.65</v>
      </c>
      <c r="I324" s="3">
        <v>8.77</v>
      </c>
      <c r="J324" s="3">
        <v>8.66</v>
      </c>
      <c r="K324" s="3">
        <v>8.17</v>
      </c>
      <c r="L324" s="3">
        <v>7.88</v>
      </c>
      <c r="M324" s="3">
        <v>7.7</v>
      </c>
      <c r="N324" s="3">
        <v>7.59</v>
      </c>
      <c r="O324" s="3">
        <v>7.34</v>
      </c>
      <c r="P324" s="3">
        <v>7.25</v>
      </c>
      <c r="Q324" s="3">
        <v>7.32</v>
      </c>
    </row>
    <row r="325" spans="1:17" x14ac:dyDescent="0.25">
      <c r="A325" s="4" t="s">
        <v>339</v>
      </c>
      <c r="B325" s="3">
        <v>8.41</v>
      </c>
      <c r="C325" s="3">
        <v>8.64</v>
      </c>
      <c r="D325" s="3">
        <v>8.7100000000000009</v>
      </c>
      <c r="E325" s="3">
        <v>8.68</v>
      </c>
      <c r="F325" s="3">
        <v>8.67</v>
      </c>
      <c r="G325" s="3">
        <v>8.6999999999999993</v>
      </c>
      <c r="H325" s="3">
        <v>8.74</v>
      </c>
      <c r="I325" s="3">
        <v>8.67</v>
      </c>
      <c r="J325" s="3">
        <v>8.4700000000000006</v>
      </c>
      <c r="K325" s="3">
        <v>7.71</v>
      </c>
      <c r="L325" s="3">
        <v>7.3</v>
      </c>
      <c r="M325" s="3">
        <v>7.13</v>
      </c>
      <c r="N325" s="3">
        <v>7.06</v>
      </c>
      <c r="O325" s="3">
        <v>7.04</v>
      </c>
      <c r="P325" s="3">
        <v>7.13</v>
      </c>
      <c r="Q325" s="3">
        <v>7.22</v>
      </c>
    </row>
    <row r="326" spans="1:17" x14ac:dyDescent="0.25">
      <c r="A326" s="4" t="s">
        <v>340</v>
      </c>
      <c r="B326" s="3">
        <v>7.59</v>
      </c>
      <c r="C326" s="3">
        <v>7.13</v>
      </c>
      <c r="D326" s="3">
        <v>7.04</v>
      </c>
      <c r="E326" s="3">
        <v>7.25</v>
      </c>
      <c r="F326" s="3">
        <v>7.49</v>
      </c>
      <c r="G326" s="3">
        <v>7.67</v>
      </c>
      <c r="H326" s="3">
        <v>7.78</v>
      </c>
      <c r="I326" s="3">
        <v>7.77</v>
      </c>
      <c r="J326" s="3">
        <v>7.58</v>
      </c>
      <c r="K326" s="3">
        <v>6.93</v>
      </c>
      <c r="L326" s="3">
        <v>6.69</v>
      </c>
      <c r="M326" s="3">
        <v>6.62</v>
      </c>
      <c r="N326" s="3">
        <v>6.62</v>
      </c>
      <c r="O326" s="3">
        <v>6.76</v>
      </c>
      <c r="P326" s="3">
        <v>6.91</v>
      </c>
      <c r="Q326" s="3">
        <v>7.01</v>
      </c>
    </row>
    <row r="327" spans="1:17" x14ac:dyDescent="0.25">
      <c r="A327" s="4" t="s">
        <v>341</v>
      </c>
      <c r="B327" s="3">
        <v>6.74</v>
      </c>
      <c r="C327" s="3">
        <v>7.15</v>
      </c>
      <c r="D327" s="3">
        <v>7.36</v>
      </c>
      <c r="E327" s="3">
        <v>7.41</v>
      </c>
      <c r="F327" s="3">
        <v>7.48</v>
      </c>
      <c r="G327" s="3">
        <v>7.63</v>
      </c>
      <c r="H327" s="3">
        <v>7.69</v>
      </c>
      <c r="I327" s="3">
        <v>7.35</v>
      </c>
      <c r="J327" s="3">
        <v>6.98</v>
      </c>
      <c r="K327" s="3">
        <v>6.82</v>
      </c>
      <c r="L327" s="3">
        <v>6.93</v>
      </c>
      <c r="M327" s="3">
        <v>6.91</v>
      </c>
      <c r="N327" s="3">
        <v>6.84</v>
      </c>
      <c r="O327" s="3">
        <v>6.89</v>
      </c>
      <c r="P327" s="3">
        <v>7.21</v>
      </c>
      <c r="Q327" s="3">
        <v>7.41</v>
      </c>
    </row>
    <row r="328" spans="1:17" x14ac:dyDescent="0.25">
      <c r="A328" s="4" t="s">
        <v>342</v>
      </c>
      <c r="B328" s="3">
        <v>7.85</v>
      </c>
      <c r="C328" s="3">
        <v>7.49</v>
      </c>
      <c r="D328" s="3">
        <v>7.43</v>
      </c>
      <c r="E328" s="3">
        <v>7.62</v>
      </c>
      <c r="F328" s="3">
        <v>7.85</v>
      </c>
      <c r="G328" s="3">
        <v>8.02</v>
      </c>
      <c r="H328" s="3">
        <v>8.07</v>
      </c>
      <c r="I328" s="3">
        <v>7.8</v>
      </c>
      <c r="J328" s="3">
        <v>7.43</v>
      </c>
      <c r="K328" s="3">
        <v>6.73</v>
      </c>
      <c r="L328" s="3">
        <v>6.72</v>
      </c>
      <c r="M328" s="3">
        <v>6.7</v>
      </c>
      <c r="N328" s="3">
        <v>6.67</v>
      </c>
      <c r="O328" s="3">
        <v>6.79</v>
      </c>
      <c r="P328" s="3">
        <v>7.06</v>
      </c>
      <c r="Q328" s="3">
        <v>7.25</v>
      </c>
    </row>
    <row r="329" spans="1:17" x14ac:dyDescent="0.25">
      <c r="A329" s="4" t="s">
        <v>343</v>
      </c>
      <c r="B329" s="3">
        <v>7.13</v>
      </c>
      <c r="C329" s="3">
        <v>7.29</v>
      </c>
      <c r="D329" s="3">
        <v>7.45</v>
      </c>
      <c r="E329" s="3">
        <v>7.57</v>
      </c>
      <c r="F329" s="3">
        <v>7.64</v>
      </c>
      <c r="G329" s="3">
        <v>7.63</v>
      </c>
      <c r="H329" s="3">
        <v>7.59</v>
      </c>
      <c r="I329" s="3">
        <v>7.34</v>
      </c>
      <c r="J329" s="3">
        <v>7.11</v>
      </c>
      <c r="K329" s="3">
        <v>6.72</v>
      </c>
      <c r="L329" s="3">
        <v>6.7</v>
      </c>
      <c r="M329" s="3">
        <v>6.67</v>
      </c>
      <c r="N329" s="3">
        <v>6.63</v>
      </c>
      <c r="O329" s="3">
        <v>6.79</v>
      </c>
      <c r="P329" s="3">
        <v>7.19</v>
      </c>
      <c r="Q329" s="3">
        <v>7.49</v>
      </c>
    </row>
    <row r="330" spans="1:17" x14ac:dyDescent="0.25">
      <c r="A330" s="4" t="s">
        <v>344</v>
      </c>
      <c r="B330" s="3">
        <v>7.36</v>
      </c>
      <c r="C330" s="3">
        <v>7.52</v>
      </c>
      <c r="D330" s="3">
        <v>7.62</v>
      </c>
      <c r="E330" s="3">
        <v>7.66</v>
      </c>
      <c r="F330" s="3">
        <v>7.63</v>
      </c>
      <c r="G330" s="3">
        <v>7.55</v>
      </c>
      <c r="H330" s="3">
        <v>7.47</v>
      </c>
      <c r="I330" s="3">
        <v>7.23</v>
      </c>
      <c r="J330" s="3">
        <v>7.02</v>
      </c>
      <c r="K330" s="3">
        <v>6.73</v>
      </c>
      <c r="L330" s="3">
        <v>6.75</v>
      </c>
      <c r="M330" s="3">
        <v>6.76</v>
      </c>
      <c r="N330" s="3">
        <v>6.77</v>
      </c>
      <c r="O330" s="3">
        <v>7</v>
      </c>
      <c r="P330" s="3">
        <v>7.32</v>
      </c>
      <c r="Q330" s="3">
        <v>7.53</v>
      </c>
    </row>
    <row r="331" spans="1:17" x14ac:dyDescent="0.25">
      <c r="A331" s="4" t="s">
        <v>345</v>
      </c>
      <c r="B331" s="3">
        <v>7.18</v>
      </c>
      <c r="C331" s="3">
        <v>7.58</v>
      </c>
      <c r="D331" s="3">
        <v>7.65</v>
      </c>
      <c r="E331" s="3">
        <v>7.59</v>
      </c>
      <c r="F331" s="3">
        <v>7.56</v>
      </c>
      <c r="G331" s="3">
        <v>7.54</v>
      </c>
      <c r="H331" s="3">
        <v>7.48</v>
      </c>
      <c r="I331" s="3">
        <v>7.19</v>
      </c>
      <c r="J331" s="3">
        <v>6.99</v>
      </c>
      <c r="K331" s="3">
        <v>6.76</v>
      </c>
      <c r="L331" s="3">
        <v>6.8</v>
      </c>
      <c r="M331" s="3">
        <v>6.83</v>
      </c>
      <c r="N331" s="3">
        <v>6.85</v>
      </c>
      <c r="O331" s="3">
        <v>7.09</v>
      </c>
      <c r="P331" s="3">
        <v>7.41</v>
      </c>
      <c r="Q331" s="3">
        <v>7.62</v>
      </c>
    </row>
    <row r="332" spans="1:17" x14ac:dyDescent="0.25">
      <c r="A332" s="4" t="s">
        <v>346</v>
      </c>
      <c r="B332" s="3">
        <v>8.01</v>
      </c>
      <c r="C332" s="3">
        <v>8.51</v>
      </c>
      <c r="D332" s="3">
        <v>8.65</v>
      </c>
      <c r="E332" s="3">
        <v>8.64</v>
      </c>
      <c r="F332" s="3">
        <v>8.61</v>
      </c>
      <c r="G332" s="3">
        <v>8.58</v>
      </c>
      <c r="H332" s="3">
        <v>8.56</v>
      </c>
      <c r="I332" s="3">
        <v>8.4499999999999993</v>
      </c>
      <c r="J332" s="3">
        <v>8.2899999999999991</v>
      </c>
      <c r="K332" s="3">
        <v>7.82</v>
      </c>
      <c r="L332" s="3">
        <v>7.69</v>
      </c>
      <c r="M332" s="3">
        <v>7.61</v>
      </c>
      <c r="N332" s="3">
        <v>7.55</v>
      </c>
      <c r="O332" s="3">
        <v>7.49</v>
      </c>
      <c r="P332" s="3">
        <v>7.58</v>
      </c>
      <c r="Q332" s="3">
        <v>7.74</v>
      </c>
    </row>
    <row r="333" spans="1:17" x14ac:dyDescent="0.25">
      <c r="A333" s="4" t="s">
        <v>347</v>
      </c>
      <c r="B333" s="3">
        <v>8.52</v>
      </c>
      <c r="C333" s="3">
        <v>8.73</v>
      </c>
      <c r="D333" s="3">
        <v>8.9</v>
      </c>
      <c r="E333" s="3">
        <v>9.01</v>
      </c>
      <c r="F333" s="3">
        <v>9.01</v>
      </c>
      <c r="G333" s="3">
        <v>8.98</v>
      </c>
      <c r="H333" s="3">
        <v>8.99</v>
      </c>
      <c r="I333" s="3">
        <v>9.06</v>
      </c>
      <c r="J333" s="3">
        <v>8.94</v>
      </c>
      <c r="K333" s="3">
        <v>8.2799999999999994</v>
      </c>
      <c r="L333" s="3">
        <v>8.16</v>
      </c>
      <c r="M333" s="3">
        <v>8.09</v>
      </c>
      <c r="N333" s="3">
        <v>8.0299999999999994</v>
      </c>
      <c r="O333" s="3">
        <v>7.89</v>
      </c>
      <c r="P333" s="3">
        <v>7.86</v>
      </c>
      <c r="Q333" s="3">
        <v>7.94</v>
      </c>
    </row>
    <row r="334" spans="1:17" x14ac:dyDescent="0.25">
      <c r="A334" s="4" t="s">
        <v>348</v>
      </c>
      <c r="B334" s="3">
        <v>7.55</v>
      </c>
      <c r="C334" s="3">
        <v>7.66</v>
      </c>
      <c r="D334" s="3">
        <v>7.95</v>
      </c>
      <c r="E334" s="3">
        <v>8.2899999999999991</v>
      </c>
      <c r="F334" s="3">
        <v>8.4600000000000009</v>
      </c>
      <c r="G334" s="3">
        <v>8.4700000000000006</v>
      </c>
      <c r="H334" s="3">
        <v>8.51</v>
      </c>
      <c r="I334" s="3">
        <v>8.75</v>
      </c>
      <c r="J334" s="3">
        <v>8.73</v>
      </c>
      <c r="K334" s="3">
        <v>8.02</v>
      </c>
      <c r="L334" s="3">
        <v>7.98</v>
      </c>
      <c r="M334" s="3">
        <v>7.95</v>
      </c>
      <c r="N334" s="3">
        <v>7.89</v>
      </c>
      <c r="O334" s="3">
        <v>7.83</v>
      </c>
      <c r="P334" s="3">
        <v>7.91</v>
      </c>
      <c r="Q334" s="3">
        <v>8.02</v>
      </c>
    </row>
    <row r="335" spans="1:17" x14ac:dyDescent="0.25">
      <c r="A335" s="4" t="s">
        <v>349</v>
      </c>
      <c r="B335" s="3">
        <v>7.95</v>
      </c>
      <c r="C335" s="3">
        <v>7.95</v>
      </c>
      <c r="D335" s="3">
        <v>7.69</v>
      </c>
      <c r="E335" s="3">
        <v>7.79</v>
      </c>
      <c r="F335" s="3">
        <v>7.88</v>
      </c>
      <c r="G335" s="3">
        <v>8.0399999999999991</v>
      </c>
      <c r="H335" s="3">
        <v>8.2100000000000009</v>
      </c>
      <c r="I335" s="3">
        <v>8.6199999999999992</v>
      </c>
      <c r="J335" s="3">
        <v>8.68</v>
      </c>
      <c r="K335" s="3">
        <v>8.19</v>
      </c>
      <c r="L335" s="3">
        <v>8.27</v>
      </c>
      <c r="M335" s="3">
        <v>8.2200000000000006</v>
      </c>
      <c r="N335" s="3">
        <v>8.11</v>
      </c>
      <c r="O335" s="3">
        <v>7.84</v>
      </c>
      <c r="P335" s="3">
        <v>7.8</v>
      </c>
      <c r="Q335" s="3">
        <v>7.86</v>
      </c>
    </row>
    <row r="336" spans="1:17" x14ac:dyDescent="0.25">
      <c r="A336" s="4" t="s">
        <v>350</v>
      </c>
      <c r="B336" s="3">
        <v>7.04</v>
      </c>
      <c r="C336" s="3">
        <v>7.55</v>
      </c>
      <c r="D336" s="3">
        <v>7.74</v>
      </c>
      <c r="E336" s="3">
        <v>7.74</v>
      </c>
      <c r="F336" s="3">
        <v>7.86</v>
      </c>
      <c r="G336" s="3">
        <v>8.07</v>
      </c>
      <c r="H336" s="3">
        <v>8.26</v>
      </c>
      <c r="I336" s="3">
        <v>8.61</v>
      </c>
      <c r="J336" s="3">
        <v>8.65</v>
      </c>
      <c r="K336" s="3">
        <v>8.42</v>
      </c>
      <c r="L336" s="3">
        <v>8.4499999999999993</v>
      </c>
      <c r="M336" s="3">
        <v>8.39</v>
      </c>
      <c r="N336" s="3">
        <v>8.2799999999999994</v>
      </c>
      <c r="O336" s="3">
        <v>8.01</v>
      </c>
      <c r="P336" s="3">
        <v>7.91</v>
      </c>
      <c r="Q336" s="3">
        <v>7.97</v>
      </c>
    </row>
    <row r="337" spans="1:18" x14ac:dyDescent="0.25">
      <c r="A337" s="4" t="s">
        <v>351</v>
      </c>
      <c r="B337" s="3">
        <v>9.17</v>
      </c>
      <c r="C337" s="3">
        <v>9.1999999999999993</v>
      </c>
      <c r="D337" s="3">
        <v>9.23</v>
      </c>
      <c r="E337" s="3">
        <v>9.3000000000000007</v>
      </c>
      <c r="F337" s="3">
        <v>9.43</v>
      </c>
      <c r="G337" s="3">
        <v>9.59</v>
      </c>
      <c r="H337" s="3">
        <v>9.73</v>
      </c>
      <c r="I337" s="3">
        <v>9.92</v>
      </c>
      <c r="J337" s="3">
        <v>9.74</v>
      </c>
      <c r="K337" s="3">
        <v>8.76</v>
      </c>
      <c r="L337" s="3">
        <v>8.51</v>
      </c>
      <c r="M337" s="3">
        <v>8.44</v>
      </c>
      <c r="N337" s="3">
        <v>8.4</v>
      </c>
      <c r="O337" s="3">
        <v>8.27</v>
      </c>
      <c r="P337" s="3">
        <v>8.11</v>
      </c>
      <c r="Q337" s="3">
        <v>8.16</v>
      </c>
    </row>
    <row r="338" spans="1:18" x14ac:dyDescent="0.25">
      <c r="A338" s="4" t="s">
        <v>352</v>
      </c>
      <c r="B338" s="3">
        <v>6.26</v>
      </c>
      <c r="C338" s="3">
        <v>6.06</v>
      </c>
      <c r="D338" s="3">
        <v>6.07</v>
      </c>
      <c r="E338" s="3">
        <v>6.32</v>
      </c>
      <c r="F338" s="3">
        <v>6.79</v>
      </c>
      <c r="G338" s="3">
        <v>7.31</v>
      </c>
      <c r="H338" s="3">
        <v>7.7</v>
      </c>
      <c r="I338" s="3">
        <v>8.24</v>
      </c>
      <c r="J338" s="3">
        <v>8.2899999999999991</v>
      </c>
      <c r="K338" s="3">
        <v>7.95</v>
      </c>
      <c r="L338" s="3">
        <v>8.01</v>
      </c>
      <c r="M338" s="3">
        <v>7.97</v>
      </c>
      <c r="N338" s="3">
        <v>7.9</v>
      </c>
      <c r="O338" s="3">
        <v>7.89</v>
      </c>
      <c r="P338" s="3">
        <v>8.11</v>
      </c>
      <c r="Q338" s="3">
        <v>8.43</v>
      </c>
    </row>
    <row r="339" spans="1:18" x14ac:dyDescent="0.25">
      <c r="A339" s="4" t="s">
        <v>353</v>
      </c>
      <c r="B339" s="3">
        <v>6.37</v>
      </c>
      <c r="C339" s="3">
        <v>7.12</v>
      </c>
      <c r="D339" s="3">
        <v>7.7</v>
      </c>
      <c r="E339" s="3">
        <v>8.09</v>
      </c>
      <c r="F339" s="3">
        <v>8.17</v>
      </c>
      <c r="G339" s="3">
        <v>8.09</v>
      </c>
      <c r="H339" s="3">
        <v>8.02</v>
      </c>
      <c r="I339" s="3">
        <v>7.94</v>
      </c>
      <c r="J339" s="3">
        <v>7.86</v>
      </c>
      <c r="K339" s="3">
        <v>7.72</v>
      </c>
      <c r="L339" s="3">
        <v>7.85</v>
      </c>
      <c r="M339" s="3">
        <v>7.85</v>
      </c>
      <c r="N339" s="3">
        <v>7.8</v>
      </c>
      <c r="O339" s="3">
        <v>7.75</v>
      </c>
      <c r="P339" s="3">
        <v>7.85</v>
      </c>
      <c r="Q339" s="3">
        <v>8.0500000000000007</v>
      </c>
    </row>
    <row r="340" spans="1:18" x14ac:dyDescent="0.25">
      <c r="A340" s="4" t="s">
        <v>354</v>
      </c>
      <c r="B340" s="3">
        <v>7.44</v>
      </c>
      <c r="C340" s="3">
        <v>7.45</v>
      </c>
      <c r="D340" s="3">
        <v>7.52</v>
      </c>
      <c r="E340" s="3">
        <v>7.63</v>
      </c>
      <c r="F340" s="3">
        <v>7.73</v>
      </c>
      <c r="G340" s="3">
        <v>7.81</v>
      </c>
      <c r="H340" s="3">
        <v>7.83</v>
      </c>
      <c r="I340" s="3">
        <v>7.69</v>
      </c>
      <c r="J340" s="3">
        <v>7.51</v>
      </c>
      <c r="K340" s="3">
        <v>7.26</v>
      </c>
      <c r="L340" s="3">
        <v>7.41</v>
      </c>
      <c r="M340" s="3">
        <v>7.49</v>
      </c>
      <c r="N340" s="3">
        <v>7.52</v>
      </c>
      <c r="O340" s="3">
        <v>7.7</v>
      </c>
      <c r="P340" s="3">
        <v>7.89</v>
      </c>
      <c r="Q340" s="3">
        <v>7.97</v>
      </c>
    </row>
    <row r="341" spans="1:18" x14ac:dyDescent="0.25">
      <c r="A341" s="4" t="s">
        <v>355</v>
      </c>
      <c r="B341" s="3">
        <v>6.51</v>
      </c>
      <c r="C341" s="3">
        <v>6.77</v>
      </c>
      <c r="D341" s="3">
        <v>7</v>
      </c>
      <c r="E341" s="3">
        <v>7.18</v>
      </c>
      <c r="F341" s="3">
        <v>7.26</v>
      </c>
      <c r="G341" s="3">
        <v>7.26</v>
      </c>
      <c r="H341" s="3">
        <v>7.23</v>
      </c>
      <c r="I341" s="3">
        <v>7.16</v>
      </c>
      <c r="J341" s="3">
        <v>7.13</v>
      </c>
      <c r="K341" s="3">
        <v>7.18</v>
      </c>
      <c r="L341" s="3">
        <v>7.23</v>
      </c>
      <c r="M341" s="3">
        <v>7.21</v>
      </c>
      <c r="N341" s="3">
        <v>7.17</v>
      </c>
      <c r="O341" s="3">
        <v>7.43</v>
      </c>
      <c r="P341" s="3">
        <v>7.9</v>
      </c>
      <c r="Q341" s="3">
        <v>8.1</v>
      </c>
    </row>
    <row r="342" spans="1:18" x14ac:dyDescent="0.25">
      <c r="A342" s="4" t="s">
        <v>356</v>
      </c>
      <c r="B342" s="3">
        <v>5.47</v>
      </c>
      <c r="C342" s="3">
        <v>5.53</v>
      </c>
      <c r="D342" s="3">
        <v>5.67</v>
      </c>
      <c r="E342" s="3">
        <v>5.84</v>
      </c>
      <c r="F342" s="3">
        <v>5.94</v>
      </c>
      <c r="G342" s="3">
        <v>6</v>
      </c>
      <c r="H342" s="3">
        <v>6.02</v>
      </c>
      <c r="I342" s="3">
        <v>6.05</v>
      </c>
      <c r="J342" s="3">
        <v>6.15</v>
      </c>
      <c r="K342" s="3">
        <v>6.71</v>
      </c>
      <c r="L342" s="3">
        <v>6.98</v>
      </c>
      <c r="M342" s="3">
        <v>7.13</v>
      </c>
      <c r="N342" s="3">
        <v>7.24</v>
      </c>
      <c r="O342" s="3">
        <v>7.48</v>
      </c>
      <c r="P342" s="3">
        <v>7.58</v>
      </c>
      <c r="Q342" s="3">
        <v>7.71</v>
      </c>
      <c r="R342" s="3">
        <v>8.11</v>
      </c>
    </row>
    <row r="343" spans="1:18" x14ac:dyDescent="0.25">
      <c r="A343" s="4" t="s">
        <v>357</v>
      </c>
      <c r="B343" s="3">
        <v>4.4800000000000004</v>
      </c>
      <c r="C343" s="3">
        <v>4.9800000000000004</v>
      </c>
      <c r="D343" s="3">
        <v>5.33</v>
      </c>
      <c r="E343" s="3">
        <v>5.55</v>
      </c>
      <c r="F343" s="3">
        <v>5.67</v>
      </c>
      <c r="G343" s="3">
        <v>5.73</v>
      </c>
      <c r="H343" s="3">
        <v>5.77</v>
      </c>
      <c r="I343" s="3">
        <v>5.85</v>
      </c>
      <c r="J343" s="3">
        <v>5.92</v>
      </c>
      <c r="K343" s="3">
        <v>6.26</v>
      </c>
      <c r="L343" s="3">
        <v>6.59</v>
      </c>
      <c r="M343" s="3">
        <v>6.85</v>
      </c>
      <c r="N343" s="3">
        <v>7.06</v>
      </c>
      <c r="O343" s="3">
        <v>7.49</v>
      </c>
      <c r="P343" s="3">
        <v>7.59</v>
      </c>
      <c r="Q343" s="3">
        <v>7.68</v>
      </c>
    </row>
    <row r="344" spans="1:18" x14ac:dyDescent="0.25">
      <c r="A344" s="4" t="s">
        <v>358</v>
      </c>
      <c r="B344" s="3">
        <v>5.0599999999999996</v>
      </c>
      <c r="C344" s="3">
        <v>5.27</v>
      </c>
      <c r="D344" s="3">
        <v>5.48</v>
      </c>
      <c r="E344" s="3">
        <v>5.66</v>
      </c>
      <c r="F344" s="3">
        <v>5.76</v>
      </c>
      <c r="G344" s="3">
        <v>5.82</v>
      </c>
      <c r="H344" s="3">
        <v>5.86</v>
      </c>
      <c r="I344" s="3">
        <v>6.01</v>
      </c>
      <c r="J344" s="3">
        <v>6.16</v>
      </c>
      <c r="K344" s="3">
        <v>6.7</v>
      </c>
      <c r="L344" s="3">
        <v>7</v>
      </c>
      <c r="M344" s="3">
        <v>7.22</v>
      </c>
      <c r="N344" s="3">
        <v>7.4</v>
      </c>
      <c r="O344" s="3">
        <v>7.93</v>
      </c>
      <c r="P344" s="3">
        <v>8.2100000000000009</v>
      </c>
      <c r="Q344" s="3">
        <v>8.31</v>
      </c>
    </row>
    <row r="345" spans="1:18" x14ac:dyDescent="0.25">
      <c r="A345" s="4" t="s">
        <v>359</v>
      </c>
      <c r="B345" s="3">
        <v>4.7699999999999996</v>
      </c>
      <c r="C345" s="3">
        <v>5.15</v>
      </c>
      <c r="D345" s="3">
        <v>5.41</v>
      </c>
      <c r="E345" s="3">
        <v>5.6</v>
      </c>
      <c r="F345" s="3">
        <v>5.8</v>
      </c>
      <c r="G345" s="3">
        <v>6.01</v>
      </c>
      <c r="H345" s="3">
        <v>6.2</v>
      </c>
      <c r="I345" s="3">
        <v>6.58</v>
      </c>
      <c r="J345" s="3">
        <v>6.86</v>
      </c>
      <c r="K345" s="3">
        <v>7.59</v>
      </c>
      <c r="L345" s="3">
        <v>7.79</v>
      </c>
      <c r="M345" s="3">
        <v>7.89</v>
      </c>
      <c r="N345" s="3">
        <v>7.97</v>
      </c>
      <c r="O345" s="3">
        <v>8.1300000000000008</v>
      </c>
      <c r="P345" s="3">
        <v>8.16</v>
      </c>
      <c r="Q345" s="3">
        <v>8.25</v>
      </c>
    </row>
    <row r="346" spans="1:18" x14ac:dyDescent="0.25">
      <c r="A346" s="4" t="s">
        <v>360</v>
      </c>
      <c r="B346" s="3">
        <v>4.66</v>
      </c>
      <c r="C346" s="3">
        <v>4.9400000000000004</v>
      </c>
      <c r="D346" s="3">
        <v>5.14</v>
      </c>
      <c r="E346" s="3">
        <v>5.28</v>
      </c>
      <c r="F346" s="3">
        <v>5.4</v>
      </c>
      <c r="G346" s="3">
        <v>5.5</v>
      </c>
      <c r="H346" s="3">
        <v>5.6</v>
      </c>
      <c r="I346" s="3">
        <v>5.85</v>
      </c>
      <c r="J346" s="3">
        <v>6.07</v>
      </c>
      <c r="K346" s="3">
        <v>6.84</v>
      </c>
      <c r="L346" s="3">
        <v>7.2</v>
      </c>
      <c r="M346" s="3">
        <v>7.41</v>
      </c>
      <c r="N346" s="3">
        <v>7.56</v>
      </c>
      <c r="O346" s="3">
        <v>7.97</v>
      </c>
      <c r="P346" s="3">
        <v>8.15</v>
      </c>
      <c r="Q346" s="3">
        <v>8.18</v>
      </c>
      <c r="R346" s="3">
        <v>8.0299999999999994</v>
      </c>
    </row>
    <row r="347" spans="1:18" x14ac:dyDescent="0.25">
      <c r="A347" s="4" t="s">
        <v>361</v>
      </c>
      <c r="B347" s="3">
        <v>5.59</v>
      </c>
      <c r="C347" s="3">
        <v>5.67</v>
      </c>
      <c r="D347" s="3">
        <v>5.83</v>
      </c>
      <c r="E347" s="3">
        <v>6.04</v>
      </c>
      <c r="F347" s="3">
        <v>6.18</v>
      </c>
      <c r="G347" s="3">
        <v>6.26</v>
      </c>
      <c r="H347" s="3">
        <v>6.32</v>
      </c>
      <c r="I347" s="3">
        <v>6.62</v>
      </c>
      <c r="J347" s="3">
        <v>6.85</v>
      </c>
      <c r="K347" s="3">
        <v>7.21</v>
      </c>
      <c r="L347" s="3">
        <v>7.48</v>
      </c>
      <c r="M347" s="3">
        <v>7.63</v>
      </c>
      <c r="N347" s="3">
        <v>7.7</v>
      </c>
      <c r="O347" s="3">
        <v>7.87</v>
      </c>
      <c r="P347" s="3">
        <v>7.96</v>
      </c>
      <c r="Q347" s="3">
        <v>8.0399999999999991</v>
      </c>
    </row>
    <row r="348" spans="1:18" x14ac:dyDescent="0.25">
      <c r="A348" s="4" t="s">
        <v>362</v>
      </c>
      <c r="B348" s="3">
        <v>5.97</v>
      </c>
      <c r="C348" s="3">
        <v>6</v>
      </c>
      <c r="D348" s="3">
        <v>6.13</v>
      </c>
      <c r="E348" s="3">
        <v>6.34</v>
      </c>
      <c r="F348" s="3">
        <v>6.56</v>
      </c>
      <c r="G348" s="3">
        <v>6.75</v>
      </c>
      <c r="H348" s="3">
        <v>6.9</v>
      </c>
      <c r="I348" s="3">
        <v>7.13</v>
      </c>
      <c r="J348" s="3">
        <v>7.26</v>
      </c>
      <c r="K348" s="3">
        <v>7.65</v>
      </c>
      <c r="L348" s="3">
        <v>7.83</v>
      </c>
      <c r="M348" s="3">
        <v>7.91</v>
      </c>
      <c r="N348" s="3">
        <v>7.94</v>
      </c>
      <c r="O348" s="3">
        <v>8.0299999999999994</v>
      </c>
      <c r="P348" s="3">
        <v>8.1199999999999992</v>
      </c>
      <c r="Q348" s="3">
        <v>8.18</v>
      </c>
      <c r="R348" s="3">
        <v>8.24</v>
      </c>
    </row>
    <row r="349" spans="1:18" x14ac:dyDescent="0.25">
      <c r="A349" s="4" t="s">
        <v>363</v>
      </c>
      <c r="B349" s="3">
        <v>5.73</v>
      </c>
      <c r="C349" s="3">
        <v>5.98</v>
      </c>
      <c r="D349" s="3">
        <v>6.24</v>
      </c>
      <c r="E349" s="3">
        <v>6.5</v>
      </c>
      <c r="F349" s="3">
        <v>6.74</v>
      </c>
      <c r="G349" s="3">
        <v>6.93</v>
      </c>
      <c r="H349" s="3">
        <v>7.08</v>
      </c>
      <c r="I349" s="3">
        <v>7.34</v>
      </c>
      <c r="J349" s="3">
        <v>7.46</v>
      </c>
      <c r="K349" s="3">
        <v>7.7</v>
      </c>
      <c r="L349" s="3">
        <v>7.89</v>
      </c>
      <c r="M349" s="3">
        <v>8</v>
      </c>
      <c r="N349" s="3">
        <v>8.02</v>
      </c>
      <c r="O349" s="3">
        <v>8.09</v>
      </c>
      <c r="P349" s="3">
        <v>8.23</v>
      </c>
      <c r="Q349" s="3">
        <v>8.36</v>
      </c>
      <c r="R349" s="3">
        <v>8.44</v>
      </c>
    </row>
    <row r="350" spans="1:18" x14ac:dyDescent="0.25">
      <c r="A350" s="4" t="s">
        <v>364</v>
      </c>
      <c r="B350" s="3">
        <v>6.24</v>
      </c>
      <c r="C350" s="3">
        <v>6.31</v>
      </c>
      <c r="D350" s="3">
        <v>6.47</v>
      </c>
      <c r="E350" s="3">
        <v>6.69</v>
      </c>
      <c r="F350" s="3">
        <v>6.91</v>
      </c>
      <c r="G350" s="3">
        <v>7.09</v>
      </c>
      <c r="H350" s="3">
        <v>7.23</v>
      </c>
      <c r="I350" s="3">
        <v>7.46</v>
      </c>
      <c r="J350" s="3">
        <v>7.62</v>
      </c>
      <c r="K350" s="3">
        <v>8.0299999999999994</v>
      </c>
      <c r="L350" s="3">
        <v>8.19</v>
      </c>
      <c r="M350" s="3">
        <v>8.26</v>
      </c>
      <c r="N350" s="3">
        <v>8.2799999999999994</v>
      </c>
      <c r="O350" s="3">
        <v>8.3699999999999992</v>
      </c>
      <c r="P350" s="3">
        <v>8.49</v>
      </c>
      <c r="Q350" s="3">
        <v>8.56</v>
      </c>
      <c r="R350" s="3">
        <v>8.59</v>
      </c>
    </row>
    <row r="351" spans="1:18" x14ac:dyDescent="0.25">
      <c r="A351" s="4" t="s">
        <v>365</v>
      </c>
      <c r="B351" s="3">
        <v>5.25</v>
      </c>
      <c r="C351" s="3">
        <v>5.36</v>
      </c>
      <c r="D351" s="3">
        <v>5.49</v>
      </c>
      <c r="E351" s="3">
        <v>5.63</v>
      </c>
      <c r="F351" s="3">
        <v>5.73</v>
      </c>
      <c r="G351" s="3">
        <v>5.81</v>
      </c>
      <c r="H351" s="3">
        <v>5.86</v>
      </c>
      <c r="I351" s="3">
        <v>6.07</v>
      </c>
      <c r="J351" s="3">
        <v>6.29</v>
      </c>
      <c r="K351" s="3">
        <v>6.96</v>
      </c>
      <c r="L351" s="3">
        <v>7.24</v>
      </c>
      <c r="M351" s="3">
        <v>7.41</v>
      </c>
      <c r="N351" s="3">
        <v>7.55</v>
      </c>
      <c r="O351" s="3">
        <v>7.93</v>
      </c>
      <c r="P351" s="3">
        <v>8.1</v>
      </c>
      <c r="Q351" s="3">
        <v>8.18</v>
      </c>
    </row>
    <row r="352" spans="1:18" x14ac:dyDescent="0.25">
      <c r="A352" s="4" t="s">
        <v>366</v>
      </c>
      <c r="B352" s="3">
        <v>4.67</v>
      </c>
      <c r="C352" s="3">
        <v>5.13</v>
      </c>
      <c r="D352" s="3">
        <v>5.46</v>
      </c>
      <c r="E352" s="3">
        <v>5.68</v>
      </c>
      <c r="F352" s="3">
        <v>5.86</v>
      </c>
      <c r="G352" s="3">
        <v>6.02</v>
      </c>
      <c r="H352" s="3">
        <v>6.15</v>
      </c>
      <c r="I352" s="3">
        <v>6.38</v>
      </c>
      <c r="J352" s="3">
        <v>6.57</v>
      </c>
      <c r="K352" s="3">
        <v>7.23</v>
      </c>
      <c r="L352" s="3">
        <v>7.49</v>
      </c>
      <c r="M352" s="3">
        <v>7.66</v>
      </c>
      <c r="N352" s="3">
        <v>7.82</v>
      </c>
      <c r="O352" s="3">
        <v>8.2200000000000006</v>
      </c>
      <c r="P352" s="3">
        <v>8.32</v>
      </c>
      <c r="Q352" s="3">
        <v>8.32</v>
      </c>
      <c r="R352" s="3">
        <v>8.32</v>
      </c>
    </row>
    <row r="353" spans="1:18" x14ac:dyDescent="0.25">
      <c r="A353" s="4" t="s">
        <v>367</v>
      </c>
      <c r="B353" s="3">
        <v>4.9800000000000004</v>
      </c>
      <c r="C353" s="3">
        <v>5.0599999999999996</v>
      </c>
      <c r="D353" s="3">
        <v>5.16</v>
      </c>
      <c r="E353" s="3">
        <v>5.29</v>
      </c>
      <c r="F353" s="3">
        <v>5.42</v>
      </c>
      <c r="G353" s="3">
        <v>5.53</v>
      </c>
      <c r="H353" s="3">
        <v>5.63</v>
      </c>
      <c r="I353" s="3">
        <v>5.89</v>
      </c>
      <c r="J353" s="3">
        <v>6.1</v>
      </c>
      <c r="K353" s="3">
        <v>6.68</v>
      </c>
      <c r="L353" s="3">
        <v>7.04</v>
      </c>
      <c r="M353" s="3">
        <v>7.27</v>
      </c>
      <c r="N353" s="3">
        <v>7.42</v>
      </c>
      <c r="O353" s="3">
        <v>7.8</v>
      </c>
      <c r="P353" s="3">
        <v>7.98</v>
      </c>
      <c r="Q353" s="3">
        <v>8.08</v>
      </c>
    </row>
    <row r="354" spans="1:18" x14ac:dyDescent="0.25">
      <c r="A354" s="4" t="s">
        <v>368</v>
      </c>
      <c r="B354" s="3">
        <v>4.5199999999999996</v>
      </c>
      <c r="C354" s="3">
        <v>4.5199999999999996</v>
      </c>
      <c r="D354" s="3">
        <v>4.63</v>
      </c>
      <c r="E354" s="3">
        <v>4.79</v>
      </c>
      <c r="F354" s="3">
        <v>4.92</v>
      </c>
      <c r="G354" s="3">
        <v>5.0199999999999996</v>
      </c>
      <c r="H354" s="3">
        <v>5.1100000000000003</v>
      </c>
      <c r="I354" s="3">
        <v>5.33</v>
      </c>
      <c r="J354" s="3">
        <v>5.56</v>
      </c>
      <c r="K354" s="3">
        <v>6.39</v>
      </c>
      <c r="L354" s="3">
        <v>6.9</v>
      </c>
      <c r="M354" s="3">
        <v>7.23</v>
      </c>
      <c r="N354" s="3">
        <v>7.45</v>
      </c>
      <c r="O354" s="3">
        <v>7.89</v>
      </c>
      <c r="P354" s="3">
        <v>7.97</v>
      </c>
      <c r="Q354" s="3">
        <v>7.98</v>
      </c>
    </row>
    <row r="355" spans="1:18" x14ac:dyDescent="0.25">
      <c r="A355" s="4" t="s">
        <v>369</v>
      </c>
      <c r="B355" s="3">
        <v>4.46</v>
      </c>
      <c r="C355" s="3">
        <v>4.67</v>
      </c>
      <c r="D355" s="3">
        <v>4.8899999999999997</v>
      </c>
      <c r="E355" s="3">
        <v>5.0999999999999996</v>
      </c>
      <c r="F355" s="3">
        <v>5.29</v>
      </c>
      <c r="G355" s="3">
        <v>5.47</v>
      </c>
      <c r="H355" s="3">
        <v>5.61</v>
      </c>
      <c r="I355" s="3">
        <v>5.9</v>
      </c>
      <c r="J355" s="3">
        <v>6.11</v>
      </c>
      <c r="K355" s="3">
        <v>6.76</v>
      </c>
      <c r="L355" s="3">
        <v>7.09</v>
      </c>
      <c r="M355" s="3">
        <v>7.29</v>
      </c>
      <c r="N355" s="3">
        <v>7.43</v>
      </c>
      <c r="O355" s="3">
        <v>7.8</v>
      </c>
      <c r="P355" s="3">
        <v>7.96</v>
      </c>
      <c r="Q355" s="3">
        <v>8.0399999999999991</v>
      </c>
    </row>
    <row r="356" spans="1:18" x14ac:dyDescent="0.25">
      <c r="A356" s="4" t="s">
        <v>370</v>
      </c>
      <c r="B356" s="3">
        <v>4.7699999999999996</v>
      </c>
      <c r="C356" s="3">
        <v>4.78</v>
      </c>
      <c r="D356" s="3">
        <v>4.8899999999999997</v>
      </c>
      <c r="E356" s="3">
        <v>5.05</v>
      </c>
      <c r="F356" s="3">
        <v>5.22</v>
      </c>
      <c r="G356" s="3">
        <v>5.37</v>
      </c>
      <c r="H356" s="3">
        <v>5.5</v>
      </c>
      <c r="I356" s="3">
        <v>5.8</v>
      </c>
      <c r="J356" s="3">
        <v>6.04</v>
      </c>
      <c r="K356" s="3">
        <v>6.65</v>
      </c>
      <c r="L356" s="3">
        <v>6.98</v>
      </c>
      <c r="M356" s="3">
        <v>7.18</v>
      </c>
      <c r="N356" s="3">
        <v>7.33</v>
      </c>
      <c r="O356" s="3">
        <v>7.69</v>
      </c>
      <c r="P356" s="3">
        <v>7.82</v>
      </c>
      <c r="Q356" s="3">
        <v>7.89</v>
      </c>
    </row>
    <row r="357" spans="1:18" x14ac:dyDescent="0.25">
      <c r="A357" s="4" t="s">
        <v>371</v>
      </c>
      <c r="B357" s="3">
        <v>4.8600000000000003</v>
      </c>
      <c r="C357" s="3">
        <v>4.7</v>
      </c>
      <c r="D357" s="3">
        <v>4.8</v>
      </c>
      <c r="E357" s="3">
        <v>4.99</v>
      </c>
      <c r="F357" s="3">
        <v>5.17</v>
      </c>
      <c r="G357" s="3">
        <v>5.31</v>
      </c>
      <c r="H357" s="3">
        <v>5.43</v>
      </c>
      <c r="I357" s="3">
        <v>5.74</v>
      </c>
      <c r="J357" s="3">
        <v>6.01</v>
      </c>
      <c r="K357" s="3">
        <v>6.58</v>
      </c>
      <c r="L357" s="3">
        <v>6.88</v>
      </c>
      <c r="M357" s="3">
        <v>7.11</v>
      </c>
      <c r="N357" s="3">
        <v>7.28</v>
      </c>
      <c r="O357" s="3">
        <v>7.69</v>
      </c>
      <c r="P357" s="3">
        <v>7.87</v>
      </c>
      <c r="Q357" s="3">
        <v>7.95</v>
      </c>
    </row>
    <row r="358" spans="1:18" x14ac:dyDescent="0.25">
      <c r="A358" s="4" t="s">
        <v>372</v>
      </c>
      <c r="B358" s="3">
        <v>4.8600000000000003</v>
      </c>
      <c r="C358" s="3">
        <v>5.24</v>
      </c>
      <c r="D358" s="3">
        <v>5.48</v>
      </c>
      <c r="E358" s="3">
        <v>5.61</v>
      </c>
      <c r="F358" s="3">
        <v>5.78</v>
      </c>
      <c r="G358" s="3">
        <v>5.96</v>
      </c>
      <c r="H358" s="3">
        <v>6.11</v>
      </c>
      <c r="I358" s="3">
        <v>6.4</v>
      </c>
      <c r="J358" s="3">
        <v>6.66</v>
      </c>
      <c r="K358" s="3">
        <v>7.25</v>
      </c>
      <c r="L358" s="3">
        <v>7.46</v>
      </c>
      <c r="M358" s="3">
        <v>7.6</v>
      </c>
      <c r="N358" s="3">
        <v>7.68</v>
      </c>
      <c r="O358" s="3">
        <v>7.89</v>
      </c>
      <c r="P358" s="3">
        <v>8.0399999999999991</v>
      </c>
      <c r="Q358" s="3">
        <v>8.1300000000000008</v>
      </c>
    </row>
    <row r="359" spans="1:18" x14ac:dyDescent="0.25">
      <c r="A359" s="4" t="s">
        <v>373</v>
      </c>
      <c r="B359" s="3">
        <v>5.26</v>
      </c>
      <c r="C359" s="3">
        <v>5.3</v>
      </c>
      <c r="D359" s="3">
        <v>5.36</v>
      </c>
      <c r="E359" s="3">
        <v>5.48</v>
      </c>
      <c r="F359" s="3">
        <v>5.63</v>
      </c>
      <c r="G359" s="3">
        <v>5.8</v>
      </c>
      <c r="H359" s="3">
        <v>5.93</v>
      </c>
      <c r="I359" s="3">
        <v>6.15</v>
      </c>
      <c r="J359" s="3">
        <v>6.36</v>
      </c>
      <c r="K359" s="3">
        <v>6.91</v>
      </c>
      <c r="L359" s="3">
        <v>7.18</v>
      </c>
      <c r="M359" s="3">
        <v>7.36</v>
      </c>
      <c r="N359" s="3">
        <v>7.49</v>
      </c>
      <c r="O359" s="3">
        <v>7.81</v>
      </c>
      <c r="P359" s="3">
        <v>7.94</v>
      </c>
      <c r="Q359" s="3">
        <v>8.02</v>
      </c>
    </row>
    <row r="360" spans="1:18" x14ac:dyDescent="0.25">
      <c r="A360" s="4" t="s">
        <v>374</v>
      </c>
      <c r="B360" s="3">
        <v>5.09</v>
      </c>
      <c r="C360" s="3">
        <v>5.0999999999999996</v>
      </c>
      <c r="D360" s="3">
        <v>5.16</v>
      </c>
      <c r="E360" s="3">
        <v>5.27</v>
      </c>
      <c r="F360" s="3">
        <v>5.41</v>
      </c>
      <c r="G360" s="3">
        <v>5.55</v>
      </c>
      <c r="H360" s="3">
        <v>5.65</v>
      </c>
      <c r="I360" s="3">
        <v>5.85</v>
      </c>
      <c r="J360" s="3">
        <v>6.08</v>
      </c>
      <c r="K360" s="3">
        <v>6.69</v>
      </c>
      <c r="L360" s="3">
        <v>6.97</v>
      </c>
      <c r="M360" s="3">
        <v>7.2</v>
      </c>
      <c r="N360" s="3">
        <v>7.39</v>
      </c>
      <c r="O360" s="3">
        <v>7.85</v>
      </c>
      <c r="P360" s="3">
        <v>7.97</v>
      </c>
      <c r="Q360" s="3">
        <v>8.02</v>
      </c>
    </row>
    <row r="361" spans="1:18" x14ac:dyDescent="0.25">
      <c r="A361" s="4" t="s">
        <v>375</v>
      </c>
      <c r="B361" s="3">
        <v>4.8</v>
      </c>
      <c r="C361" s="3">
        <v>4.9800000000000004</v>
      </c>
      <c r="D361" s="3">
        <v>5.09</v>
      </c>
      <c r="E361" s="3">
        <v>5.17</v>
      </c>
      <c r="F361" s="3">
        <v>5.28</v>
      </c>
      <c r="G361" s="3">
        <v>5.41</v>
      </c>
      <c r="H361" s="3">
        <v>5.5</v>
      </c>
      <c r="I361" s="3">
        <v>5.65</v>
      </c>
      <c r="J361" s="3">
        <v>5.83</v>
      </c>
      <c r="K361" s="3">
        <v>6.43</v>
      </c>
      <c r="L361" s="3">
        <v>6.67</v>
      </c>
      <c r="M361" s="3">
        <v>6.9</v>
      </c>
      <c r="N361" s="3">
        <v>7.11</v>
      </c>
      <c r="O361" s="3">
        <v>7.66</v>
      </c>
      <c r="P361" s="3">
        <v>7.82</v>
      </c>
      <c r="Q361" s="3">
        <v>7.88</v>
      </c>
    </row>
    <row r="362" spans="1:18" x14ac:dyDescent="0.25">
      <c r="A362" s="4" t="s">
        <v>376</v>
      </c>
      <c r="B362" s="3">
        <v>5.13</v>
      </c>
      <c r="C362" s="3">
        <v>5.07</v>
      </c>
      <c r="D362" s="3">
        <v>5.09</v>
      </c>
      <c r="E362" s="3">
        <v>5.18</v>
      </c>
      <c r="F362" s="3">
        <v>5.28</v>
      </c>
      <c r="G362" s="3">
        <v>5.38</v>
      </c>
      <c r="H362" s="3">
        <v>5.47</v>
      </c>
      <c r="I362" s="3">
        <v>5.59</v>
      </c>
      <c r="J362" s="3">
        <v>5.73</v>
      </c>
      <c r="K362" s="3">
        <v>6.27</v>
      </c>
      <c r="L362" s="3">
        <v>6.54</v>
      </c>
      <c r="M362" s="3">
        <v>6.8</v>
      </c>
      <c r="N362" s="3">
        <v>7.01</v>
      </c>
      <c r="O362" s="3">
        <v>7.56</v>
      </c>
      <c r="P362" s="3">
        <v>7.74</v>
      </c>
      <c r="Q362" s="3">
        <v>7.82</v>
      </c>
    </row>
    <row r="363" spans="1:18" x14ac:dyDescent="0.25">
      <c r="A363" s="4" t="s">
        <v>377</v>
      </c>
      <c r="B363" s="3">
        <v>4.6900000000000004</v>
      </c>
      <c r="C363" s="3">
        <v>4.74</v>
      </c>
      <c r="D363" s="3">
        <v>4.8499999999999996</v>
      </c>
      <c r="E363" s="3">
        <v>4.9800000000000004</v>
      </c>
      <c r="F363" s="3">
        <v>5.08</v>
      </c>
      <c r="G363" s="3">
        <v>5.15</v>
      </c>
      <c r="H363" s="3">
        <v>5.2</v>
      </c>
      <c r="I363" s="3">
        <v>5.3</v>
      </c>
      <c r="J363" s="3">
        <v>5.46</v>
      </c>
      <c r="K363" s="3">
        <v>6.02</v>
      </c>
      <c r="L363" s="3">
        <v>6.27</v>
      </c>
      <c r="M363" s="3">
        <v>6.5</v>
      </c>
      <c r="N363" s="3">
        <v>6.73</v>
      </c>
      <c r="O363" s="3">
        <v>7.46</v>
      </c>
      <c r="P363" s="3">
        <v>7.72</v>
      </c>
      <c r="Q363" s="3">
        <v>7.82</v>
      </c>
    </row>
    <row r="364" spans="1:18" x14ac:dyDescent="0.25">
      <c r="A364" s="4" t="s">
        <v>378</v>
      </c>
      <c r="B364" s="3">
        <v>4.37</v>
      </c>
      <c r="C364" s="3">
        <v>4.41</v>
      </c>
      <c r="D364" s="3">
        <v>4.46</v>
      </c>
      <c r="E364" s="3">
        <v>4.51</v>
      </c>
      <c r="F364" s="3">
        <v>4.5599999999999996</v>
      </c>
      <c r="G364" s="3">
        <v>4.63</v>
      </c>
      <c r="H364" s="3">
        <v>4.68</v>
      </c>
      <c r="I364" s="3">
        <v>4.7699999999999996</v>
      </c>
      <c r="J364" s="3">
        <v>4.88</v>
      </c>
      <c r="K364" s="3">
        <v>5.39</v>
      </c>
      <c r="L364" s="3">
        <v>5.66</v>
      </c>
      <c r="M364" s="3">
        <v>5.79</v>
      </c>
      <c r="N364" s="3">
        <v>6.01</v>
      </c>
      <c r="O364" s="3">
        <v>7.09</v>
      </c>
      <c r="P364" s="3">
        <v>7.64</v>
      </c>
      <c r="Q364" s="3">
        <v>7.8</v>
      </c>
    </row>
    <row r="365" spans="1:18" x14ac:dyDescent="0.25">
      <c r="A365" s="4" t="s">
        <v>379</v>
      </c>
      <c r="B365" s="3">
        <v>4.22</v>
      </c>
      <c r="C365" s="3">
        <v>4.26</v>
      </c>
      <c r="D365" s="3">
        <v>4.34</v>
      </c>
      <c r="E365" s="3">
        <v>4.45</v>
      </c>
      <c r="F365" s="3">
        <v>4.53</v>
      </c>
      <c r="G365" s="3">
        <v>4.59</v>
      </c>
      <c r="H365" s="3">
        <v>4.63</v>
      </c>
      <c r="I365" s="3">
        <v>4.72</v>
      </c>
      <c r="J365" s="3">
        <v>4.84</v>
      </c>
      <c r="K365" s="3">
        <v>5.35</v>
      </c>
      <c r="L365" s="3">
        <v>5.66</v>
      </c>
      <c r="M365" s="3">
        <v>5.9</v>
      </c>
      <c r="N365" s="3">
        <v>6.11</v>
      </c>
      <c r="O365" s="3">
        <v>6.83</v>
      </c>
      <c r="P365" s="3">
        <v>7.15</v>
      </c>
      <c r="Q365" s="3">
        <v>7.32</v>
      </c>
    </row>
    <row r="366" spans="1:18" x14ac:dyDescent="0.25">
      <c r="A366" s="4" t="s">
        <v>380</v>
      </c>
      <c r="B366" s="3">
        <v>4.58</v>
      </c>
      <c r="C366" s="3">
        <v>4.57</v>
      </c>
      <c r="D366" s="3">
        <v>4.66</v>
      </c>
      <c r="E366" s="3">
        <v>4.8099999999999996</v>
      </c>
      <c r="F366" s="3">
        <v>4.95</v>
      </c>
      <c r="G366" s="3">
        <v>5.0599999999999996</v>
      </c>
      <c r="H366" s="3">
        <v>5.15</v>
      </c>
      <c r="I366" s="3">
        <v>5.34</v>
      </c>
      <c r="J366" s="3">
        <v>5.55</v>
      </c>
      <c r="K366" s="3">
        <v>6.17</v>
      </c>
      <c r="L366" s="3">
        <v>6.46</v>
      </c>
      <c r="M366" s="3">
        <v>6.72</v>
      </c>
      <c r="N366" s="3">
        <v>6.91</v>
      </c>
      <c r="O366" s="3">
        <v>7.38</v>
      </c>
      <c r="P366" s="3">
        <v>7.62</v>
      </c>
      <c r="Q366" s="3">
        <v>7.73</v>
      </c>
    </row>
    <row r="367" spans="1:18" x14ac:dyDescent="0.25">
      <c r="A367" s="4" t="s">
        <v>381</v>
      </c>
      <c r="B367" s="3">
        <v>4.41</v>
      </c>
      <c r="C367" s="3">
        <v>4.5199999999999996</v>
      </c>
      <c r="D367" s="3">
        <v>4.6500000000000004</v>
      </c>
      <c r="E367" s="3">
        <v>4.78</v>
      </c>
      <c r="F367" s="3">
        <v>4.9000000000000004</v>
      </c>
      <c r="G367" s="3">
        <v>4.99</v>
      </c>
      <c r="H367" s="3">
        <v>5.07</v>
      </c>
      <c r="I367" s="3">
        <v>5.3</v>
      </c>
      <c r="J367" s="3">
        <v>5.52</v>
      </c>
      <c r="K367" s="3">
        <v>6.11</v>
      </c>
      <c r="L367" s="3">
        <v>6.46</v>
      </c>
      <c r="M367" s="3">
        <v>6.76</v>
      </c>
      <c r="N367" s="3">
        <v>6.98</v>
      </c>
      <c r="O367" s="3">
        <v>7.44</v>
      </c>
      <c r="P367" s="3">
        <v>7.69</v>
      </c>
      <c r="Q367" s="3">
        <v>7.86</v>
      </c>
      <c r="R367" s="3">
        <v>7.94</v>
      </c>
    </row>
    <row r="368" spans="1:18" x14ac:dyDescent="0.25">
      <c r="A368" s="4" t="s">
        <v>382</v>
      </c>
      <c r="B368" s="3">
        <v>4.54</v>
      </c>
      <c r="C368" s="3">
        <v>4.51</v>
      </c>
      <c r="D368" s="3">
        <v>4.55</v>
      </c>
      <c r="E368" s="3">
        <v>4.6500000000000004</v>
      </c>
      <c r="F368" s="3">
        <v>4.75</v>
      </c>
      <c r="G368" s="3">
        <v>4.83</v>
      </c>
      <c r="H368" s="3">
        <v>4.91</v>
      </c>
      <c r="I368" s="3">
        <v>5.17</v>
      </c>
      <c r="J368" s="3">
        <v>5.41</v>
      </c>
      <c r="K368" s="3">
        <v>5.97</v>
      </c>
      <c r="L368" s="3">
        <v>6.38</v>
      </c>
      <c r="M368" s="3">
        <v>6.69</v>
      </c>
      <c r="N368" s="3">
        <v>6.91</v>
      </c>
      <c r="O368" s="3">
        <v>7.42</v>
      </c>
      <c r="P368" s="3">
        <v>7.68</v>
      </c>
      <c r="Q368" s="3">
        <v>7.82</v>
      </c>
      <c r="R368" s="3">
        <v>7.85</v>
      </c>
    </row>
    <row r="369" spans="1:18" x14ac:dyDescent="0.25">
      <c r="A369" s="4" t="s">
        <v>383</v>
      </c>
      <c r="B369" s="3">
        <v>4.33</v>
      </c>
      <c r="C369" s="3">
        <v>4.4400000000000004</v>
      </c>
      <c r="D369" s="3">
        <v>4.58</v>
      </c>
      <c r="E369" s="3">
        <v>4.72</v>
      </c>
      <c r="F369" s="3">
        <v>4.8499999999999996</v>
      </c>
      <c r="G369" s="3">
        <v>4.95</v>
      </c>
      <c r="H369" s="3">
        <v>5.05</v>
      </c>
      <c r="I369" s="3">
        <v>5.3</v>
      </c>
      <c r="J369" s="3">
        <v>5.51</v>
      </c>
      <c r="K369" s="3">
        <v>6.07</v>
      </c>
      <c r="L369" s="3">
        <v>6.4</v>
      </c>
      <c r="M369" s="3">
        <v>6.7</v>
      </c>
      <c r="N369" s="3">
        <v>6.92</v>
      </c>
      <c r="O369" s="3">
        <v>7.45</v>
      </c>
      <c r="P369" s="3">
        <v>7.67</v>
      </c>
      <c r="Q369" s="3">
        <v>7.77</v>
      </c>
      <c r="R369" s="3">
        <v>7.79</v>
      </c>
    </row>
    <row r="370" spans="1:18" x14ac:dyDescent="0.25">
      <c r="A370" s="4" t="s">
        <v>384</v>
      </c>
      <c r="B370" s="3">
        <v>4.8</v>
      </c>
      <c r="C370" s="3">
        <v>4.9000000000000004</v>
      </c>
      <c r="D370" s="3">
        <v>5</v>
      </c>
      <c r="E370" s="3">
        <v>5.1100000000000003</v>
      </c>
      <c r="F370" s="3">
        <v>5.21</v>
      </c>
      <c r="G370" s="3">
        <v>5.3</v>
      </c>
      <c r="H370" s="3">
        <v>5.37</v>
      </c>
      <c r="I370" s="3">
        <v>5.55</v>
      </c>
      <c r="J370" s="3">
        <v>5.7</v>
      </c>
      <c r="K370" s="3">
        <v>6.13</v>
      </c>
      <c r="L370" s="3">
        <v>6.38</v>
      </c>
      <c r="M370" s="3">
        <v>6.64</v>
      </c>
      <c r="N370" s="3">
        <v>6.84</v>
      </c>
      <c r="O370" s="3">
        <v>7.39</v>
      </c>
      <c r="P370" s="3">
        <v>7.64</v>
      </c>
      <c r="Q370" s="3">
        <v>7.76</v>
      </c>
      <c r="R370" s="3">
        <v>7.76</v>
      </c>
    </row>
    <row r="371" spans="1:18" x14ac:dyDescent="0.25">
      <c r="A371" s="4" t="s">
        <v>385</v>
      </c>
      <c r="B371" s="3">
        <v>4.9800000000000004</v>
      </c>
      <c r="C371" s="3">
        <v>4.96</v>
      </c>
      <c r="D371" s="3">
        <v>5.01</v>
      </c>
      <c r="E371" s="3">
        <v>5.12</v>
      </c>
      <c r="F371" s="3">
        <v>5.23</v>
      </c>
      <c r="G371" s="3">
        <v>5.32</v>
      </c>
      <c r="H371" s="3">
        <v>5.39</v>
      </c>
      <c r="I371" s="3">
        <v>5.52</v>
      </c>
      <c r="J371" s="3">
        <v>5.64</v>
      </c>
      <c r="K371" s="3">
        <v>6.06</v>
      </c>
      <c r="L371" s="3">
        <v>6.29</v>
      </c>
      <c r="M371" s="3">
        <v>6.53</v>
      </c>
      <c r="N371" s="3">
        <v>6.73</v>
      </c>
      <c r="O371" s="3">
        <v>7.27</v>
      </c>
      <c r="P371" s="3">
        <v>7.45</v>
      </c>
      <c r="Q371" s="3">
        <v>7.56</v>
      </c>
    </row>
    <row r="372" spans="1:18" x14ac:dyDescent="0.25">
      <c r="A372" s="4" t="s">
        <v>386</v>
      </c>
      <c r="B372" s="3">
        <v>5.16</v>
      </c>
      <c r="C372" s="3">
        <v>5.25</v>
      </c>
      <c r="D372" s="3">
        <v>5.36</v>
      </c>
      <c r="E372" s="3">
        <v>5.48</v>
      </c>
      <c r="F372" s="3">
        <v>5.6</v>
      </c>
      <c r="G372" s="3">
        <v>5.72</v>
      </c>
      <c r="H372" s="3">
        <v>5.81</v>
      </c>
      <c r="I372" s="3">
        <v>5.97</v>
      </c>
      <c r="J372" s="3">
        <v>6.09</v>
      </c>
      <c r="K372" s="3">
        <v>6.41</v>
      </c>
      <c r="L372" s="3">
        <v>6.63</v>
      </c>
      <c r="M372" s="3">
        <v>6.84</v>
      </c>
      <c r="N372" s="3">
        <v>6.99</v>
      </c>
      <c r="O372" s="3">
        <v>7.38</v>
      </c>
      <c r="P372" s="3">
        <v>7.55</v>
      </c>
      <c r="Q372" s="3">
        <v>7.63</v>
      </c>
      <c r="R372" s="3">
        <v>7.69</v>
      </c>
    </row>
    <row r="373" spans="1:18" x14ac:dyDescent="0.25">
      <c r="A373" s="4" t="s">
        <v>387</v>
      </c>
      <c r="B373" s="3">
        <v>5.35</v>
      </c>
      <c r="C373" s="3">
        <v>5.38</v>
      </c>
      <c r="D373" s="3">
        <v>5.49</v>
      </c>
      <c r="E373" s="3">
        <v>5.65</v>
      </c>
      <c r="F373" s="3">
        <v>5.82</v>
      </c>
      <c r="G373" s="3">
        <v>5.94</v>
      </c>
      <c r="H373" s="3">
        <v>6.03</v>
      </c>
      <c r="I373" s="3">
        <v>6.18</v>
      </c>
      <c r="J373" s="3">
        <v>6.26</v>
      </c>
      <c r="K373" s="3">
        <v>6.47</v>
      </c>
      <c r="L373" s="3">
        <v>6.65</v>
      </c>
      <c r="M373" s="3">
        <v>6.78</v>
      </c>
      <c r="N373" s="3">
        <v>6.89</v>
      </c>
      <c r="O373" s="3">
        <v>7.25</v>
      </c>
      <c r="P373" s="3">
        <v>7.47</v>
      </c>
      <c r="Q373" s="3">
        <v>7.61</v>
      </c>
    </row>
    <row r="374" spans="1:18" x14ac:dyDescent="0.25">
      <c r="A374" s="4" t="s">
        <v>388</v>
      </c>
      <c r="B374" s="3">
        <v>5.75</v>
      </c>
      <c r="C374" s="3">
        <v>5.74</v>
      </c>
      <c r="D374" s="3">
        <v>5.85</v>
      </c>
      <c r="E374" s="3">
        <v>6.04</v>
      </c>
      <c r="F374" s="3">
        <v>6.19</v>
      </c>
      <c r="G374" s="3">
        <v>6.28</v>
      </c>
      <c r="H374" s="3">
        <v>6.34</v>
      </c>
      <c r="I374" s="3">
        <v>6.47</v>
      </c>
      <c r="J374" s="3">
        <v>6.57</v>
      </c>
      <c r="K374" s="3">
        <v>6.75</v>
      </c>
      <c r="L374" s="3">
        <v>6.85</v>
      </c>
      <c r="M374" s="3">
        <v>6.97</v>
      </c>
      <c r="N374" s="3">
        <v>7.06</v>
      </c>
      <c r="O374" s="3">
        <v>7.33</v>
      </c>
      <c r="P374" s="3">
        <v>7.53</v>
      </c>
      <c r="Q374" s="3">
        <v>7.66</v>
      </c>
      <c r="R374" s="3">
        <v>7.73</v>
      </c>
    </row>
    <row r="375" spans="1:18" x14ac:dyDescent="0.25">
      <c r="A375" s="4" t="s">
        <v>389</v>
      </c>
      <c r="B375" s="3">
        <v>6.27</v>
      </c>
      <c r="C375" s="3">
        <v>6.11</v>
      </c>
      <c r="D375" s="3">
        <v>6.16</v>
      </c>
      <c r="E375" s="3">
        <v>6.37</v>
      </c>
      <c r="F375" s="3">
        <v>6.55</v>
      </c>
      <c r="G375" s="3">
        <v>6.65</v>
      </c>
      <c r="H375" s="3">
        <v>6.71</v>
      </c>
      <c r="I375" s="3">
        <v>6.88</v>
      </c>
      <c r="J375" s="3">
        <v>7.01</v>
      </c>
      <c r="K375" s="3">
        <v>7.2</v>
      </c>
      <c r="L375" s="3">
        <v>7.29</v>
      </c>
      <c r="M375" s="3">
        <v>7.38</v>
      </c>
      <c r="N375" s="3">
        <v>7.42</v>
      </c>
      <c r="O375" s="3">
        <v>7.55</v>
      </c>
      <c r="P375" s="3">
        <v>7.72</v>
      </c>
      <c r="Q375" s="3">
        <v>7.86</v>
      </c>
      <c r="R375" s="3">
        <v>7.9</v>
      </c>
    </row>
    <row r="376" spans="1:18" x14ac:dyDescent="0.25">
      <c r="A376" s="4" t="s">
        <v>390</v>
      </c>
      <c r="B376" s="3">
        <v>5.31</v>
      </c>
      <c r="C376" s="3">
        <v>5.67</v>
      </c>
      <c r="D376" s="3">
        <v>5.97</v>
      </c>
      <c r="E376" s="3">
        <v>6.19</v>
      </c>
      <c r="F376" s="3">
        <v>6.36</v>
      </c>
      <c r="G376" s="3">
        <v>6.48</v>
      </c>
      <c r="H376" s="3">
        <v>6.58</v>
      </c>
      <c r="I376" s="3">
        <v>6.76</v>
      </c>
      <c r="J376" s="3">
        <v>6.87</v>
      </c>
      <c r="K376" s="3">
        <v>7.07</v>
      </c>
      <c r="L376" s="3">
        <v>7.18</v>
      </c>
      <c r="M376" s="3">
        <v>7.24</v>
      </c>
      <c r="N376" s="3">
        <v>7.28</v>
      </c>
      <c r="O376" s="3">
        <v>7.51</v>
      </c>
      <c r="P376" s="3">
        <v>7.71</v>
      </c>
      <c r="Q376" s="3">
        <v>7.84</v>
      </c>
      <c r="R376" s="3">
        <v>7.87</v>
      </c>
    </row>
    <row r="377" spans="1:18" x14ac:dyDescent="0.25">
      <c r="A377" s="4" t="s">
        <v>391</v>
      </c>
      <c r="B377" s="3">
        <v>5.38</v>
      </c>
      <c r="C377" s="3">
        <v>5.82</v>
      </c>
      <c r="D377" s="3">
        <v>6.13</v>
      </c>
      <c r="E377" s="3">
        <v>6.32</v>
      </c>
      <c r="F377" s="3">
        <v>6.46</v>
      </c>
      <c r="G377" s="3">
        <v>6.55</v>
      </c>
      <c r="H377" s="3">
        <v>6.63</v>
      </c>
      <c r="I377" s="3">
        <v>6.81</v>
      </c>
      <c r="J377" s="3">
        <v>6.92</v>
      </c>
      <c r="K377" s="3">
        <v>7.1</v>
      </c>
      <c r="L377" s="3">
        <v>7.25</v>
      </c>
      <c r="M377" s="3">
        <v>7.37</v>
      </c>
      <c r="N377" s="3">
        <v>7.45</v>
      </c>
      <c r="O377" s="3">
        <v>7.68</v>
      </c>
      <c r="P377" s="3">
        <v>7.86</v>
      </c>
      <c r="Q377" s="3">
        <v>7.98</v>
      </c>
      <c r="R377" s="3">
        <v>8.0299999999999994</v>
      </c>
    </row>
    <row r="378" spans="1:18" x14ac:dyDescent="0.25">
      <c r="A378" s="4" t="s">
        <v>392</v>
      </c>
      <c r="B378" s="3">
        <v>5.69</v>
      </c>
      <c r="C378" s="3">
        <v>6.07</v>
      </c>
      <c r="D378" s="3">
        <v>6.35</v>
      </c>
      <c r="E378" s="3">
        <v>6.53</v>
      </c>
      <c r="F378" s="3">
        <v>6.67</v>
      </c>
      <c r="G378" s="3">
        <v>6.77</v>
      </c>
      <c r="H378" s="3">
        <v>6.86</v>
      </c>
      <c r="I378" s="3">
        <v>7.02</v>
      </c>
      <c r="J378" s="3">
        <v>7.12</v>
      </c>
      <c r="K378" s="3">
        <v>7.28</v>
      </c>
      <c r="L378" s="3">
        <v>7.42</v>
      </c>
      <c r="M378" s="3">
        <v>7.53</v>
      </c>
      <c r="N378" s="3">
        <v>7.61</v>
      </c>
      <c r="O378" s="3">
        <v>7.81</v>
      </c>
      <c r="P378" s="3">
        <v>8.01</v>
      </c>
      <c r="Q378" s="3">
        <v>8.16</v>
      </c>
      <c r="R378" s="3">
        <v>8.1999999999999993</v>
      </c>
    </row>
    <row r="379" spans="1:18" x14ac:dyDescent="0.25">
      <c r="A379" s="4" t="s">
        <v>393</v>
      </c>
      <c r="B379" s="3">
        <v>5.98</v>
      </c>
      <c r="C379" s="3">
        <v>6.23</v>
      </c>
      <c r="D379" s="3">
        <v>6.41</v>
      </c>
      <c r="E379" s="3">
        <v>6.56</v>
      </c>
      <c r="F379" s="3">
        <v>6.68</v>
      </c>
      <c r="G379" s="3">
        <v>6.81</v>
      </c>
      <c r="H379" s="3">
        <v>6.92</v>
      </c>
      <c r="I379" s="3">
        <v>7.08</v>
      </c>
      <c r="J379" s="3">
        <v>7.16</v>
      </c>
      <c r="K379" s="3">
        <v>7.44</v>
      </c>
      <c r="L379" s="3">
        <v>7.58</v>
      </c>
      <c r="M379" s="3">
        <v>7.69</v>
      </c>
      <c r="N379" s="3">
        <v>7.76</v>
      </c>
      <c r="O379" s="3">
        <v>7.92</v>
      </c>
      <c r="P379" s="3">
        <v>8.09</v>
      </c>
      <c r="Q379" s="3">
        <v>8.2200000000000006</v>
      </c>
      <c r="R379" s="3">
        <v>8.27</v>
      </c>
    </row>
    <row r="380" spans="1:18" x14ac:dyDescent="0.25">
      <c r="A380" s="4" t="s">
        <v>394</v>
      </c>
      <c r="B380" s="3">
        <v>6.84</v>
      </c>
      <c r="C380" s="3">
        <v>6.56</v>
      </c>
      <c r="D380" s="3">
        <v>6.51</v>
      </c>
      <c r="E380" s="3">
        <v>6.62</v>
      </c>
      <c r="F380" s="3">
        <v>6.76</v>
      </c>
      <c r="G380" s="3">
        <v>6.87</v>
      </c>
      <c r="H380" s="3">
        <v>6.97</v>
      </c>
      <c r="I380" s="3">
        <v>7.18</v>
      </c>
      <c r="J380" s="3">
        <v>7.32</v>
      </c>
      <c r="K380" s="3">
        <v>7.58</v>
      </c>
      <c r="L380" s="3">
        <v>7.69</v>
      </c>
      <c r="M380" s="3">
        <v>7.78</v>
      </c>
      <c r="N380" s="3">
        <v>7.85</v>
      </c>
      <c r="O380" s="3">
        <v>8.02</v>
      </c>
      <c r="P380" s="3">
        <v>8.19</v>
      </c>
      <c r="Q380" s="3">
        <v>8.2899999999999991</v>
      </c>
      <c r="R380" s="3">
        <v>8.2899999999999991</v>
      </c>
    </row>
    <row r="381" spans="1:18" x14ac:dyDescent="0.25">
      <c r="A381" s="4" t="s">
        <v>395</v>
      </c>
      <c r="B381" s="3">
        <v>5.86</v>
      </c>
      <c r="C381" s="3">
        <v>6.03</v>
      </c>
      <c r="D381" s="3">
        <v>6.25</v>
      </c>
      <c r="E381" s="3">
        <v>6.51</v>
      </c>
      <c r="F381" s="3">
        <v>6.74</v>
      </c>
      <c r="G381" s="3">
        <v>6.93</v>
      </c>
      <c r="H381" s="3">
        <v>7.09</v>
      </c>
      <c r="I381" s="3">
        <v>7.37</v>
      </c>
      <c r="J381" s="3">
        <v>7.52</v>
      </c>
      <c r="K381" s="3">
        <v>7.78</v>
      </c>
      <c r="L381" s="3">
        <v>7.83</v>
      </c>
      <c r="M381" s="3">
        <v>7.88</v>
      </c>
      <c r="N381" s="3">
        <v>7.93</v>
      </c>
      <c r="O381" s="3">
        <v>8.1</v>
      </c>
      <c r="P381" s="3">
        <v>8.27</v>
      </c>
      <c r="Q381" s="3">
        <v>8.36</v>
      </c>
      <c r="R381" s="3">
        <v>8.32</v>
      </c>
    </row>
    <row r="382" spans="1:18" x14ac:dyDescent="0.25">
      <c r="A382" s="4" t="s">
        <v>396</v>
      </c>
      <c r="B382" s="3">
        <v>6.33</v>
      </c>
      <c r="C382" s="3">
        <v>6.44</v>
      </c>
      <c r="D382" s="3">
        <v>6.6</v>
      </c>
      <c r="E382" s="3">
        <v>6.81</v>
      </c>
      <c r="F382" s="3">
        <v>7.02</v>
      </c>
      <c r="G382" s="3">
        <v>7.21</v>
      </c>
      <c r="H382" s="3">
        <v>7.36</v>
      </c>
      <c r="I382" s="3">
        <v>7.64</v>
      </c>
      <c r="J382" s="3">
        <v>7.78</v>
      </c>
      <c r="K382" s="3">
        <v>7.96</v>
      </c>
      <c r="L382" s="3">
        <v>8.01</v>
      </c>
      <c r="M382" s="3">
        <v>8.08</v>
      </c>
      <c r="N382" s="3">
        <v>8.1300000000000008</v>
      </c>
      <c r="O382" s="3">
        <v>8.27</v>
      </c>
      <c r="P382" s="3">
        <v>8.44</v>
      </c>
      <c r="Q382" s="3">
        <v>8.5</v>
      </c>
      <c r="R382" s="3">
        <v>8.3000000000000007</v>
      </c>
    </row>
    <row r="383" spans="1:18" x14ac:dyDescent="0.25">
      <c r="A383" s="4" t="s">
        <v>397</v>
      </c>
      <c r="B383" s="3">
        <v>6.24</v>
      </c>
      <c r="C383" s="3">
        <v>6.61</v>
      </c>
      <c r="D383" s="3">
        <v>6.95</v>
      </c>
      <c r="E383" s="3">
        <v>7.25</v>
      </c>
      <c r="F383" s="3">
        <v>7.48</v>
      </c>
      <c r="G383" s="3">
        <v>7.63</v>
      </c>
      <c r="H383" s="3">
        <v>7.75</v>
      </c>
      <c r="I383" s="3">
        <v>8.02</v>
      </c>
      <c r="J383" s="3">
        <v>8.1999999999999993</v>
      </c>
      <c r="K383" s="3">
        <v>8.2899999999999991</v>
      </c>
      <c r="L383" s="3">
        <v>8.34</v>
      </c>
      <c r="M383" s="3">
        <v>8.32</v>
      </c>
      <c r="N383" s="3">
        <v>8.31</v>
      </c>
      <c r="O383" s="3">
        <v>8.4499999999999993</v>
      </c>
      <c r="P383" s="3">
        <v>8.56</v>
      </c>
      <c r="Q383" s="3">
        <v>8.5299999999999994</v>
      </c>
      <c r="R383" s="3">
        <v>8.4</v>
      </c>
    </row>
    <row r="384" spans="1:18" x14ac:dyDescent="0.25">
      <c r="A384" s="4" t="s">
        <v>398</v>
      </c>
      <c r="B384" s="3">
        <v>6.4</v>
      </c>
      <c r="C384" s="3">
        <v>6.55</v>
      </c>
      <c r="D384" s="3">
        <v>6.76</v>
      </c>
      <c r="E384" s="3">
        <v>7.01</v>
      </c>
      <c r="F384" s="3">
        <v>7.24</v>
      </c>
      <c r="G384" s="3">
        <v>7.44</v>
      </c>
      <c r="H384" s="3">
        <v>7.62</v>
      </c>
      <c r="I384" s="3">
        <v>8</v>
      </c>
      <c r="J384" s="3">
        <v>8.1999999999999993</v>
      </c>
      <c r="K384" s="3">
        <v>8.26</v>
      </c>
      <c r="L384" s="3">
        <v>8.2899999999999991</v>
      </c>
      <c r="M384" s="3">
        <v>8.2799999999999994</v>
      </c>
      <c r="N384" s="3">
        <v>8.2899999999999991</v>
      </c>
      <c r="O384" s="3">
        <v>8.39</v>
      </c>
      <c r="P384" s="3">
        <v>8.4700000000000006</v>
      </c>
      <c r="Q384" s="3">
        <v>8.4600000000000009</v>
      </c>
      <c r="R384" s="3">
        <v>8.36</v>
      </c>
    </row>
    <row r="385" spans="1:18" x14ac:dyDescent="0.25">
      <c r="A385" s="4" t="s">
        <v>399</v>
      </c>
      <c r="B385" s="3">
        <v>8.0500000000000007</v>
      </c>
      <c r="C385" s="3">
        <v>7.88</v>
      </c>
      <c r="D385" s="3">
        <v>7.76</v>
      </c>
      <c r="E385" s="3">
        <v>7.7</v>
      </c>
      <c r="F385" s="3">
        <v>7.73</v>
      </c>
      <c r="G385" s="3">
        <v>7.84</v>
      </c>
      <c r="H385" s="3">
        <v>7.95</v>
      </c>
      <c r="I385" s="3">
        <v>8.1999999999999993</v>
      </c>
      <c r="J385" s="3">
        <v>8.3000000000000007</v>
      </c>
      <c r="K385" s="3">
        <v>8.26</v>
      </c>
      <c r="L385" s="3">
        <v>8.23</v>
      </c>
      <c r="M385" s="3">
        <v>8.2100000000000009</v>
      </c>
      <c r="N385" s="3">
        <v>8.1999999999999993</v>
      </c>
      <c r="O385" s="3">
        <v>8.1999999999999993</v>
      </c>
      <c r="P385" s="3">
        <v>8.23</v>
      </c>
      <c r="Q385" s="3">
        <v>8.2899999999999991</v>
      </c>
      <c r="R385" s="3">
        <v>8.31</v>
      </c>
    </row>
    <row r="386" spans="1:18" x14ac:dyDescent="0.25">
      <c r="A386" s="4" t="s">
        <v>400</v>
      </c>
      <c r="B386" s="3">
        <v>7.89</v>
      </c>
      <c r="C386" s="3">
        <v>8</v>
      </c>
      <c r="D386" s="3">
        <v>8.15</v>
      </c>
      <c r="E386" s="3">
        <v>8.32</v>
      </c>
      <c r="F386" s="3">
        <v>8.48</v>
      </c>
      <c r="G386" s="3">
        <v>8.59</v>
      </c>
      <c r="H386" s="3">
        <v>8.66</v>
      </c>
      <c r="I386" s="3">
        <v>8.68</v>
      </c>
      <c r="J386" s="3">
        <v>8.66</v>
      </c>
      <c r="K386" s="3">
        <v>8.4499999999999993</v>
      </c>
      <c r="L386" s="3">
        <v>8.3000000000000007</v>
      </c>
      <c r="M386" s="3">
        <v>8.27</v>
      </c>
      <c r="N386" s="3">
        <v>8.2899999999999991</v>
      </c>
      <c r="O386" s="3">
        <v>8.43</v>
      </c>
      <c r="P386" s="3">
        <v>8.51</v>
      </c>
      <c r="Q386" s="3">
        <v>8.48</v>
      </c>
      <c r="R386" s="3">
        <v>8.3800000000000008</v>
      </c>
    </row>
    <row r="387" spans="1:18" x14ac:dyDescent="0.25">
      <c r="A387" s="4" t="s">
        <v>401</v>
      </c>
      <c r="B387" s="3">
        <v>8.35</v>
      </c>
      <c r="C387" s="3">
        <v>8.65</v>
      </c>
      <c r="D387" s="3">
        <v>8.84</v>
      </c>
      <c r="E387" s="3">
        <v>8.94</v>
      </c>
      <c r="F387" s="3">
        <v>9.09</v>
      </c>
      <c r="G387" s="3">
        <v>9.31</v>
      </c>
      <c r="H387" s="3">
        <v>9.5</v>
      </c>
      <c r="I387" s="3">
        <v>9.74</v>
      </c>
      <c r="J387" s="3">
        <v>9.66</v>
      </c>
      <c r="K387" s="3">
        <v>9.25</v>
      </c>
      <c r="L387" s="3">
        <v>9.07</v>
      </c>
      <c r="M387" s="3">
        <v>8.93</v>
      </c>
      <c r="N387" s="3">
        <v>8.83</v>
      </c>
      <c r="O387" s="3">
        <v>8.66</v>
      </c>
      <c r="P387" s="3">
        <v>8.65</v>
      </c>
      <c r="Q387" s="3">
        <v>8.69</v>
      </c>
      <c r="R387" s="3">
        <v>8.67</v>
      </c>
    </row>
    <row r="388" spans="1:18" x14ac:dyDescent="0.25">
      <c r="A388" s="4" t="s">
        <v>402</v>
      </c>
      <c r="B388" s="3">
        <v>8.9499999999999993</v>
      </c>
      <c r="C388" s="3">
        <v>8.99</v>
      </c>
      <c r="D388" s="3">
        <v>9.06</v>
      </c>
      <c r="E388" s="3">
        <v>9.17</v>
      </c>
      <c r="F388" s="3">
        <v>9.31</v>
      </c>
      <c r="G388" s="3">
        <v>9.4499999999999993</v>
      </c>
      <c r="H388" s="3">
        <v>9.58</v>
      </c>
      <c r="I388" s="3">
        <v>9.7899999999999991</v>
      </c>
      <c r="J388" s="3">
        <v>9.76</v>
      </c>
      <c r="K388" s="3">
        <v>9.25</v>
      </c>
      <c r="L388" s="3">
        <v>8.86</v>
      </c>
      <c r="M388" s="3">
        <v>8.68</v>
      </c>
      <c r="N388" s="3">
        <v>8.6300000000000008</v>
      </c>
      <c r="O388" s="3">
        <v>8.6199999999999992</v>
      </c>
      <c r="P388" s="3">
        <v>8.6</v>
      </c>
      <c r="Q388" s="3">
        <v>8.51</v>
      </c>
      <c r="R388" s="3">
        <v>8.41</v>
      </c>
    </row>
    <row r="389" spans="1:18" x14ac:dyDescent="0.25">
      <c r="A389" s="4" t="s">
        <v>403</v>
      </c>
      <c r="B389" s="3">
        <v>7.63</v>
      </c>
      <c r="C389" s="3">
        <v>8.6300000000000008</v>
      </c>
      <c r="D389" s="3">
        <v>9.25</v>
      </c>
      <c r="E389" s="3">
        <v>9.5500000000000007</v>
      </c>
      <c r="F389" s="3">
        <v>9.6999999999999993</v>
      </c>
      <c r="G389" s="3">
        <v>9.77</v>
      </c>
      <c r="H389" s="3">
        <v>9.86</v>
      </c>
      <c r="I389" s="3">
        <v>10.220000000000001</v>
      </c>
      <c r="J389" s="3">
        <v>10.33</v>
      </c>
      <c r="K389" s="3">
        <v>9.7899999999999991</v>
      </c>
      <c r="L389" s="3">
        <v>9.33</v>
      </c>
      <c r="M389" s="3">
        <v>9.09</v>
      </c>
      <c r="N389" s="3">
        <v>9.01</v>
      </c>
      <c r="O389" s="3">
        <v>8.86</v>
      </c>
      <c r="P389" s="3">
        <v>8.75</v>
      </c>
      <c r="Q389" s="3">
        <v>8.65</v>
      </c>
      <c r="R389" s="3">
        <v>8.5299999999999994</v>
      </c>
    </row>
    <row r="390" spans="1:18" x14ac:dyDescent="0.25">
      <c r="A390" s="4" t="s">
        <v>404</v>
      </c>
      <c r="B390" s="3">
        <v>9.64</v>
      </c>
      <c r="C390" s="3">
        <v>9.51</v>
      </c>
      <c r="D390" s="3">
        <v>9.49</v>
      </c>
      <c r="E390" s="3">
        <v>9.56</v>
      </c>
      <c r="F390" s="3">
        <v>9.6300000000000008</v>
      </c>
      <c r="G390" s="3">
        <v>9.68</v>
      </c>
      <c r="H390" s="3">
        <v>9.73</v>
      </c>
      <c r="I390" s="3">
        <v>9.86</v>
      </c>
      <c r="J390" s="3">
        <v>9.8000000000000007</v>
      </c>
      <c r="K390" s="3">
        <v>9.34</v>
      </c>
      <c r="L390" s="3">
        <v>8.8699999999999992</v>
      </c>
      <c r="M390" s="3">
        <v>8.68</v>
      </c>
      <c r="N390" s="3">
        <v>8.67</v>
      </c>
      <c r="O390" s="3">
        <v>8.7200000000000006</v>
      </c>
      <c r="P390" s="3">
        <v>8.67</v>
      </c>
      <c r="Q390" s="3">
        <v>8.6300000000000008</v>
      </c>
      <c r="R390" s="3">
        <v>8.5500000000000007</v>
      </c>
    </row>
    <row r="391" spans="1:18" x14ac:dyDescent="0.25">
      <c r="A391" s="4" t="s">
        <v>405</v>
      </c>
      <c r="B391" s="3">
        <v>9.58</v>
      </c>
      <c r="C391" s="3">
        <v>9.6300000000000008</v>
      </c>
      <c r="D391" s="3">
        <v>9.65</v>
      </c>
      <c r="E391" s="3">
        <v>9.67</v>
      </c>
      <c r="F391" s="3">
        <v>9.73</v>
      </c>
      <c r="G391" s="3">
        <v>9.82</v>
      </c>
      <c r="H391" s="3">
        <v>9.9</v>
      </c>
      <c r="I391" s="3">
        <v>10</v>
      </c>
      <c r="J391" s="3">
        <v>9.9700000000000006</v>
      </c>
      <c r="K391" s="3">
        <v>9.58</v>
      </c>
      <c r="L391" s="3">
        <v>9.1999999999999993</v>
      </c>
      <c r="M391" s="3">
        <v>9.02</v>
      </c>
      <c r="N391" s="3">
        <v>8.89</v>
      </c>
      <c r="O391" s="3">
        <v>8.9700000000000006</v>
      </c>
      <c r="P391" s="3">
        <v>8.9</v>
      </c>
      <c r="Q391" s="3">
        <v>8.7799999999999994</v>
      </c>
      <c r="R391" s="3">
        <v>8.65</v>
      </c>
    </row>
    <row r="392" spans="1:18" x14ac:dyDescent="0.25">
      <c r="A392" s="4" t="s">
        <v>406</v>
      </c>
      <c r="B392" s="3">
        <v>9.5399999999999991</v>
      </c>
      <c r="C392" s="3">
        <v>9.59</v>
      </c>
      <c r="D392" s="3">
        <v>9.65</v>
      </c>
      <c r="E392" s="3">
        <v>9.7100000000000009</v>
      </c>
      <c r="F392" s="3">
        <v>9.76</v>
      </c>
      <c r="G392" s="3">
        <v>9.8000000000000007</v>
      </c>
      <c r="H392" s="3">
        <v>9.83</v>
      </c>
      <c r="I392" s="3">
        <v>9.86</v>
      </c>
      <c r="J392" s="3">
        <v>9.77</v>
      </c>
      <c r="K392" s="3">
        <v>9.49</v>
      </c>
      <c r="L392" s="3">
        <v>9.1199999999999992</v>
      </c>
      <c r="M392" s="3">
        <v>8.93</v>
      </c>
      <c r="N392" s="3">
        <v>8.89</v>
      </c>
      <c r="O392" s="3">
        <v>8.9</v>
      </c>
      <c r="P392" s="3">
        <v>8.86</v>
      </c>
      <c r="Q392" s="3">
        <v>8.7899999999999991</v>
      </c>
      <c r="R392" s="3">
        <v>8.68</v>
      </c>
    </row>
    <row r="393" spans="1:18" x14ac:dyDescent="0.25">
      <c r="A393" s="4" t="s">
        <v>407</v>
      </c>
      <c r="B393" s="3">
        <v>9.5399999999999991</v>
      </c>
      <c r="C393" s="3">
        <v>9.58</v>
      </c>
      <c r="D393" s="3">
        <v>9.67</v>
      </c>
      <c r="E393" s="3">
        <v>9.7799999999999994</v>
      </c>
      <c r="F393" s="3">
        <v>9.86</v>
      </c>
      <c r="G393" s="3">
        <v>9.9</v>
      </c>
      <c r="H393" s="3">
        <v>9.93</v>
      </c>
      <c r="I393" s="3">
        <v>9.99</v>
      </c>
      <c r="J393" s="3">
        <v>9.91</v>
      </c>
      <c r="K393" s="3">
        <v>9.6300000000000008</v>
      </c>
      <c r="L393" s="3">
        <v>9.24</v>
      </c>
      <c r="M393" s="3">
        <v>9.08</v>
      </c>
      <c r="N393" s="3">
        <v>9.08</v>
      </c>
      <c r="O393" s="3">
        <v>9.1199999999999992</v>
      </c>
      <c r="P393" s="3">
        <v>9.06</v>
      </c>
      <c r="Q393" s="3">
        <v>8.9499999999999993</v>
      </c>
      <c r="R393" s="3">
        <v>8.83</v>
      </c>
    </row>
    <row r="394" spans="1:18" x14ac:dyDescent="0.25">
      <c r="A394" s="4" t="s">
        <v>408</v>
      </c>
      <c r="B394" s="3">
        <v>9.8000000000000007</v>
      </c>
      <c r="C394" s="3">
        <v>9.7799999999999994</v>
      </c>
      <c r="D394" s="3">
        <v>9.7799999999999994</v>
      </c>
      <c r="E394" s="3">
        <v>9.8000000000000007</v>
      </c>
      <c r="F394" s="3">
        <v>9.8000000000000007</v>
      </c>
      <c r="G394" s="3">
        <v>9.7899999999999991</v>
      </c>
      <c r="H394" s="3">
        <v>9.7799999999999994</v>
      </c>
      <c r="I394" s="3">
        <v>9.7200000000000006</v>
      </c>
      <c r="J394" s="3">
        <v>9.61</v>
      </c>
      <c r="K394" s="3">
        <v>9.27</v>
      </c>
      <c r="L394" s="3">
        <v>8.91</v>
      </c>
      <c r="M394" s="3">
        <v>8.77</v>
      </c>
      <c r="N394" s="3">
        <v>8.76</v>
      </c>
      <c r="O394" s="3">
        <v>8.8699999999999992</v>
      </c>
      <c r="P394" s="3">
        <v>8.91</v>
      </c>
      <c r="Q394" s="3">
        <v>8.9</v>
      </c>
      <c r="R394" s="3">
        <v>8.8000000000000007</v>
      </c>
    </row>
    <row r="395" spans="1:18" x14ac:dyDescent="0.25">
      <c r="A395" s="4" t="s">
        <v>409</v>
      </c>
      <c r="B395" s="3">
        <v>8.73</v>
      </c>
      <c r="C395" s="3">
        <v>8.98</v>
      </c>
      <c r="D395" s="3">
        <v>9.1300000000000008</v>
      </c>
      <c r="E395" s="3">
        <v>9.19</v>
      </c>
      <c r="F395" s="3">
        <v>9.23</v>
      </c>
      <c r="G395" s="3">
        <v>9.24</v>
      </c>
      <c r="H395" s="3">
        <v>9.25</v>
      </c>
      <c r="I395" s="3">
        <v>9.23</v>
      </c>
      <c r="J395" s="3">
        <v>9.11</v>
      </c>
      <c r="K395" s="3">
        <v>8.7100000000000009</v>
      </c>
      <c r="L395" s="3">
        <v>8.57</v>
      </c>
      <c r="M395" s="3">
        <v>8.5</v>
      </c>
      <c r="N395" s="3">
        <v>8.5</v>
      </c>
      <c r="O395" s="3">
        <v>8.6300000000000008</v>
      </c>
      <c r="P395" s="3">
        <v>8.6999999999999993</v>
      </c>
      <c r="Q395" s="3">
        <v>8.67</v>
      </c>
      <c r="R395" s="3">
        <v>8.5399999999999991</v>
      </c>
    </row>
    <row r="396" spans="1:18" x14ac:dyDescent="0.25">
      <c r="A396" s="4" t="s">
        <v>410</v>
      </c>
      <c r="B396" s="3">
        <v>9.2200000000000006</v>
      </c>
      <c r="C396" s="3">
        <v>9.14</v>
      </c>
      <c r="D396" s="3">
        <v>9.2200000000000006</v>
      </c>
      <c r="E396" s="3">
        <v>9.4</v>
      </c>
      <c r="F396" s="3">
        <v>9.5299999999999994</v>
      </c>
      <c r="G396" s="3">
        <v>9.59</v>
      </c>
      <c r="H396" s="3">
        <v>9.6300000000000008</v>
      </c>
      <c r="I396" s="3">
        <v>9.64</v>
      </c>
      <c r="J396" s="3">
        <v>9.48</v>
      </c>
      <c r="K396" s="3">
        <v>9.02</v>
      </c>
      <c r="L396" s="3">
        <v>8.82</v>
      </c>
      <c r="M396" s="3">
        <v>8.74</v>
      </c>
      <c r="N396" s="3">
        <v>8.74</v>
      </c>
      <c r="O396" s="3">
        <v>8.82</v>
      </c>
      <c r="P396" s="3">
        <v>8.82</v>
      </c>
      <c r="Q396" s="3">
        <v>8.76</v>
      </c>
      <c r="R396" s="3">
        <v>8.6300000000000008</v>
      </c>
    </row>
    <row r="397" spans="1:18" x14ac:dyDescent="0.25">
      <c r="A397" s="4" t="s">
        <v>411</v>
      </c>
      <c r="B397" s="3">
        <v>9.98</v>
      </c>
      <c r="C397" s="3">
        <v>10.11</v>
      </c>
      <c r="D397" s="3">
        <v>10.1</v>
      </c>
      <c r="E397" s="3">
        <v>10.02</v>
      </c>
      <c r="F397" s="3">
        <v>10.02</v>
      </c>
      <c r="G397" s="3">
        <v>10.1</v>
      </c>
      <c r="H397" s="3">
        <v>10.19</v>
      </c>
      <c r="I397" s="3">
        <v>10.3</v>
      </c>
      <c r="J397" s="3">
        <v>10.210000000000001</v>
      </c>
      <c r="K397" s="3">
        <v>9.56</v>
      </c>
      <c r="L397" s="3">
        <v>9.2799999999999994</v>
      </c>
      <c r="M397" s="3">
        <v>9.16</v>
      </c>
      <c r="N397" s="3">
        <v>9.1</v>
      </c>
      <c r="O397" s="3">
        <v>8.99</v>
      </c>
      <c r="P397" s="3">
        <v>8.89</v>
      </c>
      <c r="Q397" s="3">
        <v>8.8000000000000007</v>
      </c>
      <c r="R397" s="3">
        <v>8.68</v>
      </c>
    </row>
    <row r="398" spans="1:18" x14ac:dyDescent="0.25">
      <c r="A398" s="4" t="s">
        <v>412</v>
      </c>
      <c r="B398" s="3">
        <v>9.99</v>
      </c>
      <c r="C398" s="3">
        <v>10.220000000000001</v>
      </c>
      <c r="D398" s="3">
        <v>10.34</v>
      </c>
      <c r="E398" s="3">
        <v>10.39</v>
      </c>
      <c r="F398" s="3">
        <v>10.44</v>
      </c>
      <c r="G398" s="3">
        <v>10.48</v>
      </c>
      <c r="H398" s="3">
        <v>10.52</v>
      </c>
      <c r="I398" s="3">
        <v>10.57</v>
      </c>
      <c r="J398" s="3">
        <v>10.48</v>
      </c>
      <c r="K398" s="3">
        <v>9.7799999999999994</v>
      </c>
      <c r="L398" s="3">
        <v>9.4499999999999993</v>
      </c>
      <c r="M398" s="3">
        <v>9.3000000000000007</v>
      </c>
      <c r="N398" s="3">
        <v>9.2200000000000006</v>
      </c>
      <c r="O398" s="3">
        <v>9.16</v>
      </c>
      <c r="P398" s="3">
        <v>9.11</v>
      </c>
      <c r="Q398" s="3">
        <v>8.8800000000000008</v>
      </c>
      <c r="R398" s="3">
        <v>8.6300000000000008</v>
      </c>
    </row>
    <row r="399" spans="1:18" x14ac:dyDescent="0.25">
      <c r="A399" s="4" t="s">
        <v>413</v>
      </c>
      <c r="B399" s="3">
        <v>11.24</v>
      </c>
      <c r="C399" s="3">
        <v>11.73</v>
      </c>
      <c r="D399" s="3">
        <v>12.15</v>
      </c>
      <c r="E399" s="3">
        <v>12.49</v>
      </c>
      <c r="F399" s="3">
        <v>12.67</v>
      </c>
      <c r="G399" s="3">
        <v>12.72</v>
      </c>
      <c r="H399" s="3">
        <v>12.73</v>
      </c>
      <c r="I399" s="3">
        <v>12.68</v>
      </c>
      <c r="J399" s="3">
        <v>12.44</v>
      </c>
      <c r="K399" s="3">
        <v>11.59</v>
      </c>
      <c r="L399" s="3">
        <v>11.23</v>
      </c>
      <c r="M399" s="3">
        <v>10.96</v>
      </c>
      <c r="N399" s="3">
        <v>10.77</v>
      </c>
      <c r="O399" s="3">
        <v>10.31</v>
      </c>
      <c r="P399" s="3">
        <v>10.02</v>
      </c>
      <c r="Q399" s="3">
        <v>9.74</v>
      </c>
      <c r="R399" s="3">
        <v>9.43</v>
      </c>
    </row>
    <row r="400" spans="1:18" x14ac:dyDescent="0.25">
      <c r="A400" s="4" t="s">
        <v>414</v>
      </c>
      <c r="B400" s="3">
        <v>10.27</v>
      </c>
      <c r="C400" s="3">
        <v>11.23</v>
      </c>
      <c r="D400" s="3">
        <v>11.69</v>
      </c>
      <c r="E400" s="3">
        <v>11.77</v>
      </c>
      <c r="F400" s="3">
        <v>11.83</v>
      </c>
      <c r="G400" s="3">
        <v>11.95</v>
      </c>
      <c r="H400" s="3">
        <v>12.03</v>
      </c>
      <c r="I400" s="3">
        <v>11.72</v>
      </c>
      <c r="J400" s="3">
        <v>11.33</v>
      </c>
      <c r="K400" s="3">
        <v>10.8</v>
      </c>
      <c r="L400" s="3">
        <v>10.34</v>
      </c>
      <c r="M400" s="3">
        <v>10.24</v>
      </c>
      <c r="N400" s="3">
        <v>10.210000000000001</v>
      </c>
      <c r="O400" s="3">
        <v>10.11</v>
      </c>
      <c r="P400" s="3">
        <v>9.86</v>
      </c>
      <c r="Q400" s="3">
        <v>9.69</v>
      </c>
      <c r="R400" s="3">
        <v>9.5</v>
      </c>
    </row>
    <row r="401" spans="1:18" x14ac:dyDescent="0.25">
      <c r="A401" s="4" t="s">
        <v>415</v>
      </c>
      <c r="B401" s="3">
        <v>7.12</v>
      </c>
      <c r="C401" s="3">
        <v>10.27</v>
      </c>
      <c r="D401" s="3">
        <v>11.88</v>
      </c>
      <c r="E401" s="3">
        <v>12.28</v>
      </c>
      <c r="F401" s="3">
        <v>12.35</v>
      </c>
      <c r="G401" s="3">
        <v>12.35</v>
      </c>
      <c r="H401" s="3">
        <v>12.3</v>
      </c>
      <c r="I401" s="3">
        <v>11.82</v>
      </c>
      <c r="J401" s="3">
        <v>11.41</v>
      </c>
      <c r="K401" s="3">
        <v>10.86</v>
      </c>
      <c r="L401" s="3">
        <v>10.39</v>
      </c>
      <c r="M401" s="3">
        <v>10.119999999999999</v>
      </c>
      <c r="N401" s="3">
        <v>10.029999999999999</v>
      </c>
      <c r="O401" s="3">
        <v>10.02</v>
      </c>
      <c r="P401" s="3">
        <v>9.9600000000000009</v>
      </c>
      <c r="Q401" s="3">
        <v>9.7899999999999991</v>
      </c>
      <c r="R401" s="3">
        <v>9.51</v>
      </c>
    </row>
    <row r="402" spans="1:18" x14ac:dyDescent="0.25">
      <c r="A402" s="7" t="s">
        <v>416</v>
      </c>
      <c r="B402" s="8">
        <v>11.03</v>
      </c>
      <c r="C402" s="8">
        <v>11.87</v>
      </c>
      <c r="D402" s="8">
        <v>12.28</v>
      </c>
      <c r="E402" s="8">
        <v>12.36</v>
      </c>
      <c r="F402" s="8">
        <v>12.39</v>
      </c>
      <c r="G402" s="8">
        <v>12.43</v>
      </c>
      <c r="H402" s="8">
        <v>12.43</v>
      </c>
      <c r="I402" s="8">
        <v>12.05</v>
      </c>
      <c r="J402" s="8">
        <v>11.73</v>
      </c>
      <c r="K402" s="8">
        <v>11.31</v>
      </c>
      <c r="L402" s="8">
        <v>10.9</v>
      </c>
      <c r="M402" s="8">
        <v>10.74</v>
      </c>
      <c r="N402" s="8">
        <v>10.72</v>
      </c>
      <c r="O402" s="8">
        <v>10.9</v>
      </c>
      <c r="P402" s="8">
        <v>10.89</v>
      </c>
      <c r="Q402" s="8">
        <v>10.76</v>
      </c>
      <c r="R402" s="8">
        <v>10.52</v>
      </c>
    </row>
    <row r="403" spans="1:18" x14ac:dyDescent="0.25">
      <c r="A403" s="7" t="s">
        <v>417</v>
      </c>
      <c r="B403" s="8">
        <v>13.29</v>
      </c>
      <c r="C403" s="8">
        <v>13.92</v>
      </c>
      <c r="D403" s="8">
        <v>14.26</v>
      </c>
      <c r="E403" s="8">
        <v>14.32</v>
      </c>
      <c r="F403" s="8">
        <v>14.37</v>
      </c>
      <c r="G403" s="8">
        <v>14.54</v>
      </c>
      <c r="H403" s="8">
        <v>14.73</v>
      </c>
      <c r="I403" s="8">
        <v>14.92</v>
      </c>
      <c r="J403" s="8">
        <v>14.9</v>
      </c>
      <c r="K403" s="8">
        <v>14.46</v>
      </c>
      <c r="L403" s="8">
        <v>13.65</v>
      </c>
      <c r="M403" s="8">
        <v>13.19</v>
      </c>
      <c r="N403" s="8">
        <v>12.91</v>
      </c>
      <c r="O403" s="8">
        <v>12.28</v>
      </c>
      <c r="P403" s="8">
        <v>11.93</v>
      </c>
      <c r="Q403" s="8">
        <v>11.47</v>
      </c>
      <c r="R403" s="8">
        <v>10.93</v>
      </c>
    </row>
    <row r="404" spans="1:18" x14ac:dyDescent="0.25">
      <c r="A404" s="7" t="s">
        <v>418</v>
      </c>
      <c r="B404" s="8">
        <v>13.89</v>
      </c>
      <c r="C404" s="8">
        <v>15.07</v>
      </c>
      <c r="D404" s="8">
        <v>15.44</v>
      </c>
      <c r="E404" s="8">
        <v>15.24</v>
      </c>
      <c r="F404" s="8">
        <v>15.19</v>
      </c>
      <c r="G404" s="8">
        <v>15.53</v>
      </c>
      <c r="H404" s="8">
        <v>15.92</v>
      </c>
      <c r="I404" s="8">
        <v>15.85</v>
      </c>
      <c r="J404" s="8">
        <v>15.28</v>
      </c>
      <c r="K404" s="8">
        <v>14.15</v>
      </c>
      <c r="L404" s="8">
        <v>13.25</v>
      </c>
      <c r="M404" s="8">
        <v>12.71</v>
      </c>
      <c r="N404" s="8">
        <v>12.38</v>
      </c>
      <c r="O404" s="8">
        <v>12.02</v>
      </c>
      <c r="P404" s="8">
        <v>12.17</v>
      </c>
      <c r="Q404" s="8">
        <v>11.7</v>
      </c>
      <c r="R404" s="8">
        <v>10.87</v>
      </c>
    </row>
    <row r="405" spans="1:18" x14ac:dyDescent="0.25">
      <c r="A405" s="7" t="s">
        <v>419</v>
      </c>
      <c r="B405" s="8">
        <v>10.28</v>
      </c>
      <c r="C405" s="8">
        <v>10.39</v>
      </c>
      <c r="D405" s="8">
        <v>10.52</v>
      </c>
      <c r="E405" s="8">
        <v>10.68</v>
      </c>
      <c r="F405" s="8">
        <v>10.82</v>
      </c>
      <c r="G405" s="8">
        <v>10.95</v>
      </c>
      <c r="H405" s="8">
        <v>11.04</v>
      </c>
      <c r="I405" s="8">
        <v>11.07</v>
      </c>
      <c r="J405" s="8">
        <v>10.96</v>
      </c>
      <c r="K405" s="8">
        <v>10.5</v>
      </c>
      <c r="L405" s="8">
        <v>10.38</v>
      </c>
      <c r="M405" s="8">
        <v>10.4</v>
      </c>
      <c r="N405" s="8">
        <v>10.44</v>
      </c>
      <c r="O405" s="8">
        <v>10.71</v>
      </c>
      <c r="P405" s="8">
        <v>10.85</v>
      </c>
      <c r="Q405" s="8">
        <v>10.73</v>
      </c>
      <c r="R405" s="8">
        <v>10.4</v>
      </c>
    </row>
    <row r="406" spans="1:18" x14ac:dyDescent="0.25">
      <c r="A406" s="7" t="s">
        <v>420</v>
      </c>
      <c r="B406" s="8">
        <v>8.2200000000000006</v>
      </c>
      <c r="C406" s="8">
        <v>7.85</v>
      </c>
      <c r="D406" s="8">
        <v>7.76</v>
      </c>
      <c r="E406" s="8">
        <v>7.91</v>
      </c>
      <c r="F406" s="8">
        <v>8.1</v>
      </c>
      <c r="G406" s="8">
        <v>8.25</v>
      </c>
      <c r="H406" s="8">
        <v>8.36</v>
      </c>
      <c r="I406" s="8">
        <v>8.52</v>
      </c>
      <c r="J406" s="8">
        <v>8.69</v>
      </c>
      <c r="K406" s="8">
        <v>9.02</v>
      </c>
      <c r="L406" s="8">
        <v>9.14</v>
      </c>
      <c r="M406" s="8">
        <v>9.49</v>
      </c>
      <c r="N406" s="8">
        <v>9.6999999999999993</v>
      </c>
      <c r="O406" s="8">
        <v>10.210000000000001</v>
      </c>
      <c r="P406" s="8">
        <v>10.48</v>
      </c>
      <c r="Q406" s="8">
        <v>10.44</v>
      </c>
      <c r="R406" s="8">
        <v>10.17</v>
      </c>
    </row>
    <row r="407" spans="1:18" x14ac:dyDescent="0.25">
      <c r="A407" s="7" t="s">
        <v>421</v>
      </c>
      <c r="B407" s="8">
        <v>4.09</v>
      </c>
      <c r="C407" s="8">
        <v>6.66</v>
      </c>
      <c r="D407" s="8">
        <v>7.94</v>
      </c>
      <c r="E407" s="8">
        <v>8.16</v>
      </c>
      <c r="F407" s="8">
        <v>8.11</v>
      </c>
      <c r="G407" s="8">
        <v>8.1300000000000008</v>
      </c>
      <c r="H407" s="8">
        <v>8.1999999999999993</v>
      </c>
      <c r="I407" s="8">
        <v>8.34</v>
      </c>
      <c r="J407" s="8">
        <v>8.43</v>
      </c>
      <c r="K407" s="8">
        <v>8.9499999999999993</v>
      </c>
      <c r="L407" s="8">
        <v>9.09</v>
      </c>
      <c r="M407" s="8">
        <v>9.26</v>
      </c>
      <c r="N407" s="8">
        <v>9.42</v>
      </c>
      <c r="O407" s="8">
        <v>10.02</v>
      </c>
      <c r="P407" s="8">
        <v>10.26</v>
      </c>
      <c r="Q407" s="8">
        <v>10.039999999999999</v>
      </c>
      <c r="R407" s="8">
        <v>9.65</v>
      </c>
    </row>
    <row r="408" spans="1:18" x14ac:dyDescent="0.25">
      <c r="A408" s="7" t="s">
        <v>422</v>
      </c>
      <c r="B408" s="8">
        <v>6.47</v>
      </c>
      <c r="C408" s="8">
        <v>7.84</v>
      </c>
      <c r="D408" s="8">
        <v>8.57</v>
      </c>
      <c r="E408" s="8">
        <v>8.8000000000000007</v>
      </c>
      <c r="F408" s="8">
        <v>8.8699999999999992</v>
      </c>
      <c r="G408" s="8">
        <v>8.9</v>
      </c>
      <c r="H408" s="8">
        <v>8.93</v>
      </c>
      <c r="I408" s="8">
        <v>9.01</v>
      </c>
      <c r="J408" s="8">
        <v>9.14</v>
      </c>
      <c r="K408" s="8">
        <v>9.65</v>
      </c>
      <c r="L408" s="8">
        <v>9.77</v>
      </c>
      <c r="M408" s="8">
        <v>9.9499999999999993</v>
      </c>
      <c r="N408" s="8">
        <v>10.11</v>
      </c>
      <c r="O408" s="8">
        <v>10.7</v>
      </c>
      <c r="P408" s="8">
        <v>11</v>
      </c>
      <c r="Q408" s="8">
        <v>10.89</v>
      </c>
      <c r="R408" s="8">
        <v>10.4</v>
      </c>
    </row>
    <row r="409" spans="1:18" x14ac:dyDescent="0.25">
      <c r="A409" s="7" t="s">
        <v>423</v>
      </c>
      <c r="B409" s="8">
        <v>8.27</v>
      </c>
      <c r="C409" s="8">
        <v>9.1999999999999993</v>
      </c>
      <c r="D409" s="8">
        <v>9.86</v>
      </c>
      <c r="E409" s="8">
        <v>10.26</v>
      </c>
      <c r="F409" s="8">
        <v>10.5</v>
      </c>
      <c r="G409" s="8">
        <v>10.64</v>
      </c>
      <c r="H409" s="8">
        <v>10.71</v>
      </c>
      <c r="I409" s="8">
        <v>10.9</v>
      </c>
      <c r="J409" s="8">
        <v>11.14</v>
      </c>
      <c r="K409" s="8">
        <v>11.26</v>
      </c>
      <c r="L409" s="8">
        <v>11.27</v>
      </c>
      <c r="M409" s="8">
        <v>11.43</v>
      </c>
      <c r="N409" s="8">
        <v>11.48</v>
      </c>
      <c r="O409" s="8">
        <v>11.2</v>
      </c>
      <c r="P409" s="8">
        <v>11.28</v>
      </c>
      <c r="Q409" s="8">
        <v>11.06</v>
      </c>
      <c r="R409" s="8">
        <v>10.48</v>
      </c>
    </row>
    <row r="410" spans="1:18" x14ac:dyDescent="0.25">
      <c r="A410" s="7" t="s">
        <v>424</v>
      </c>
      <c r="B410" s="8">
        <v>10.98</v>
      </c>
      <c r="C410" s="8">
        <v>11.2</v>
      </c>
      <c r="D410" s="8">
        <v>11.42</v>
      </c>
      <c r="E410" s="8">
        <v>11.63</v>
      </c>
      <c r="F410" s="8">
        <v>11.79</v>
      </c>
      <c r="G410" s="8">
        <v>11.89</v>
      </c>
      <c r="H410" s="8">
        <v>11.95</v>
      </c>
      <c r="I410" s="8">
        <v>11.96</v>
      </c>
      <c r="J410" s="8">
        <v>11.89</v>
      </c>
      <c r="K410" s="8">
        <v>11.84</v>
      </c>
      <c r="L410" s="8">
        <v>11.68</v>
      </c>
      <c r="M410" s="8">
        <v>11.62</v>
      </c>
      <c r="N410" s="8">
        <v>11.59</v>
      </c>
      <c r="O410" s="8">
        <v>11.55</v>
      </c>
      <c r="P410" s="8">
        <v>11.78</v>
      </c>
      <c r="Q410" s="8">
        <v>11.55</v>
      </c>
      <c r="R410" s="8">
        <v>10.9</v>
      </c>
    </row>
    <row r="411" spans="1:18" x14ac:dyDescent="0.25">
      <c r="A411" s="7" t="s">
        <v>425</v>
      </c>
      <c r="B411" s="8">
        <v>10.23</v>
      </c>
      <c r="C411" s="8">
        <v>11.66</v>
      </c>
      <c r="D411" s="8">
        <v>12.58</v>
      </c>
      <c r="E411" s="8">
        <v>12.99</v>
      </c>
      <c r="F411" s="8">
        <v>13.14</v>
      </c>
      <c r="G411" s="8">
        <v>13.21</v>
      </c>
      <c r="H411" s="8">
        <v>13.27</v>
      </c>
      <c r="I411" s="8">
        <v>13.27</v>
      </c>
      <c r="J411" s="8">
        <v>13.11</v>
      </c>
      <c r="K411" s="8">
        <v>12.69</v>
      </c>
      <c r="L411" s="8">
        <v>12.56</v>
      </c>
      <c r="M411" s="8">
        <v>12.46</v>
      </c>
      <c r="N411" s="8">
        <v>12.36</v>
      </c>
      <c r="O411" s="8">
        <v>11.99</v>
      </c>
      <c r="P411" s="8">
        <v>12.13</v>
      </c>
      <c r="Q411" s="8">
        <v>11.87</v>
      </c>
      <c r="R411" s="8">
        <v>11.24</v>
      </c>
    </row>
    <row r="412" spans="1:18" x14ac:dyDescent="0.25">
      <c r="A412" s="7" t="s">
        <v>426</v>
      </c>
      <c r="B412" s="8">
        <v>13.63</v>
      </c>
      <c r="C412" s="8">
        <v>14.39</v>
      </c>
      <c r="D412" s="8">
        <v>14.8</v>
      </c>
      <c r="E412" s="8">
        <v>14.86</v>
      </c>
      <c r="F412" s="8">
        <v>14.77</v>
      </c>
      <c r="G412" s="8">
        <v>14.75</v>
      </c>
      <c r="H412" s="8">
        <v>14.83</v>
      </c>
      <c r="I412" s="8">
        <v>14.92</v>
      </c>
      <c r="J412" s="8">
        <v>14.45</v>
      </c>
      <c r="K412" s="8">
        <v>13.64</v>
      </c>
      <c r="L412" s="8">
        <v>13.16</v>
      </c>
      <c r="M412" s="8">
        <v>12.87</v>
      </c>
      <c r="N412" s="8">
        <v>12.66</v>
      </c>
      <c r="O412" s="8">
        <v>12.06</v>
      </c>
      <c r="P412" s="8">
        <v>12.19</v>
      </c>
      <c r="Q412" s="8">
        <v>11.84</v>
      </c>
      <c r="R412" s="8">
        <v>11.02</v>
      </c>
    </row>
    <row r="413" spans="1:18" x14ac:dyDescent="0.25">
      <c r="A413" s="7" t="s">
        <v>427</v>
      </c>
      <c r="B413" s="8">
        <v>10.88</v>
      </c>
      <c r="C413" s="8">
        <v>12.9</v>
      </c>
      <c r="D413" s="8">
        <v>14.2</v>
      </c>
      <c r="E413" s="8">
        <v>14.76</v>
      </c>
      <c r="F413" s="8">
        <v>14.75</v>
      </c>
      <c r="G413" s="8">
        <v>14.58</v>
      </c>
      <c r="H413" s="8">
        <v>14.4</v>
      </c>
      <c r="I413" s="8">
        <v>13.84</v>
      </c>
      <c r="J413" s="8">
        <v>13.2</v>
      </c>
      <c r="K413" s="8">
        <v>12.52</v>
      </c>
      <c r="L413" s="8">
        <v>12.27</v>
      </c>
      <c r="M413" s="8">
        <v>12.16</v>
      </c>
      <c r="N413" s="8">
        <v>12.1</v>
      </c>
      <c r="O413" s="8">
        <v>11.94</v>
      </c>
      <c r="P413" s="8">
        <v>11.92</v>
      </c>
      <c r="Q413" s="8">
        <v>11.41</v>
      </c>
      <c r="R413" s="8">
        <v>10.65</v>
      </c>
    </row>
    <row r="414" spans="1:18" x14ac:dyDescent="0.25">
      <c r="A414" s="4" t="s">
        <v>428</v>
      </c>
      <c r="B414" s="3">
        <v>13.97</v>
      </c>
      <c r="C414" s="3">
        <v>14.72</v>
      </c>
      <c r="D414" s="3">
        <v>15.06</v>
      </c>
      <c r="E414" s="3">
        <v>15.02</v>
      </c>
      <c r="F414" s="3">
        <v>14.86</v>
      </c>
      <c r="G414" s="3">
        <v>14.69</v>
      </c>
      <c r="H414" s="3">
        <v>14.54</v>
      </c>
      <c r="I414" s="3">
        <v>14.1</v>
      </c>
      <c r="J414" s="3">
        <v>13.65</v>
      </c>
      <c r="K414" s="3">
        <v>12.8</v>
      </c>
      <c r="L414" s="3">
        <v>12.49</v>
      </c>
      <c r="M414" s="3">
        <v>12.4</v>
      </c>
      <c r="N414" s="3">
        <v>12.36</v>
      </c>
      <c r="O414" s="3">
        <v>12.19</v>
      </c>
      <c r="P414" s="3">
        <v>12.17</v>
      </c>
      <c r="Q414" s="3">
        <v>11.74</v>
      </c>
      <c r="R414" s="3">
        <v>10.96</v>
      </c>
    </row>
    <row r="415" spans="1:18" x14ac:dyDescent="0.25">
      <c r="A415" s="4" t="s">
        <v>429</v>
      </c>
      <c r="B415" s="3">
        <v>13.6</v>
      </c>
      <c r="C415" s="3">
        <v>14.2</v>
      </c>
      <c r="D415" s="3">
        <v>14.56</v>
      </c>
      <c r="E415" s="3">
        <v>14.7</v>
      </c>
      <c r="F415" s="3">
        <v>14.68</v>
      </c>
      <c r="G415" s="3">
        <v>14.62</v>
      </c>
      <c r="H415" s="3">
        <v>14.56</v>
      </c>
      <c r="I415" s="3">
        <v>14.31</v>
      </c>
      <c r="J415" s="3">
        <v>14</v>
      </c>
      <c r="K415" s="3">
        <v>13.52</v>
      </c>
      <c r="L415" s="3">
        <v>13.46</v>
      </c>
      <c r="M415" s="3">
        <v>13.38</v>
      </c>
      <c r="N415" s="3">
        <v>13.29</v>
      </c>
      <c r="O415" s="3">
        <v>12.91</v>
      </c>
      <c r="P415" s="3">
        <v>12.78</v>
      </c>
      <c r="Q415" s="3">
        <v>12.22</v>
      </c>
      <c r="R415" s="3">
        <v>11.43</v>
      </c>
    </row>
    <row r="416" spans="1:18" x14ac:dyDescent="0.25">
      <c r="A416" s="4" t="s">
        <v>430</v>
      </c>
      <c r="B416" s="3">
        <v>13.1</v>
      </c>
      <c r="C416" s="3">
        <v>13.03</v>
      </c>
      <c r="D416" s="3">
        <v>12.94</v>
      </c>
      <c r="E416" s="3">
        <v>12.82</v>
      </c>
      <c r="F416" s="3">
        <v>12.72</v>
      </c>
      <c r="G416" s="3">
        <v>12.66</v>
      </c>
      <c r="H416" s="3">
        <v>12.65</v>
      </c>
      <c r="I416" s="3">
        <v>12.74</v>
      </c>
      <c r="J416" s="3">
        <v>12.86</v>
      </c>
      <c r="K416" s="3">
        <v>12.81</v>
      </c>
      <c r="L416" s="3">
        <v>12.93</v>
      </c>
      <c r="M416" s="3">
        <v>13</v>
      </c>
      <c r="N416" s="3">
        <v>13.01</v>
      </c>
      <c r="O416" s="3">
        <v>12.69</v>
      </c>
      <c r="P416" s="3">
        <v>12.65</v>
      </c>
      <c r="Q416" s="3">
        <v>12.16</v>
      </c>
      <c r="R416" s="3">
        <v>11.14</v>
      </c>
    </row>
    <row r="417" spans="1:18" x14ac:dyDescent="0.25">
      <c r="A417" s="4" t="s">
        <v>431</v>
      </c>
      <c r="B417" s="3">
        <v>12.57</v>
      </c>
      <c r="C417" s="3">
        <v>14.11</v>
      </c>
      <c r="D417" s="3">
        <v>14.99</v>
      </c>
      <c r="E417" s="3">
        <v>15.2</v>
      </c>
      <c r="F417" s="3">
        <v>15.1</v>
      </c>
      <c r="G417" s="3">
        <v>15</v>
      </c>
      <c r="H417" s="3">
        <v>14.96</v>
      </c>
      <c r="I417" s="3">
        <v>14.87</v>
      </c>
      <c r="J417" s="3">
        <v>14.67</v>
      </c>
      <c r="K417" s="3">
        <v>14.3</v>
      </c>
      <c r="L417" s="3">
        <v>14.12</v>
      </c>
      <c r="M417" s="3">
        <v>14</v>
      </c>
      <c r="N417" s="3">
        <v>13.9</v>
      </c>
      <c r="O417" s="3">
        <v>13.5</v>
      </c>
      <c r="P417" s="3">
        <v>13.39</v>
      </c>
      <c r="Q417" s="3">
        <v>12.68</v>
      </c>
      <c r="R417" s="3">
        <v>11.65</v>
      </c>
    </row>
    <row r="418" spans="1:18" x14ac:dyDescent="0.25">
      <c r="A418" s="4" t="s">
        <v>432</v>
      </c>
      <c r="B418" s="3">
        <v>16.27</v>
      </c>
      <c r="C418" s="3">
        <v>16.21</v>
      </c>
      <c r="D418" s="3">
        <v>16.010000000000002</v>
      </c>
      <c r="E418" s="3">
        <v>15.67</v>
      </c>
      <c r="F418" s="3">
        <v>15.31</v>
      </c>
      <c r="G418" s="3">
        <v>15.06</v>
      </c>
      <c r="H418" s="3">
        <v>14.95</v>
      </c>
      <c r="I418" s="3">
        <v>14.86</v>
      </c>
      <c r="J418" s="3">
        <v>14.69</v>
      </c>
      <c r="K418" s="3">
        <v>14.15</v>
      </c>
      <c r="L418" s="3">
        <v>13.82</v>
      </c>
      <c r="M418" s="3">
        <v>13.54</v>
      </c>
      <c r="N418" s="3">
        <v>13.31</v>
      </c>
      <c r="O418" s="3">
        <v>12.89</v>
      </c>
      <c r="P418" s="3">
        <v>12.8</v>
      </c>
      <c r="Q418" s="3">
        <v>12.31</v>
      </c>
      <c r="R418" s="3">
        <v>11.41</v>
      </c>
    </row>
    <row r="419" spans="1:18" x14ac:dyDescent="0.25">
      <c r="A419" s="4" t="s">
        <v>433</v>
      </c>
      <c r="B419" s="3">
        <v>14.03</v>
      </c>
      <c r="C419" s="3">
        <v>14.41</v>
      </c>
      <c r="D419" s="3">
        <v>14.61</v>
      </c>
      <c r="E419" s="3">
        <v>14.65</v>
      </c>
      <c r="F419" s="3">
        <v>14.65</v>
      </c>
      <c r="G419" s="3">
        <v>14.65</v>
      </c>
      <c r="H419" s="3">
        <v>14.66</v>
      </c>
      <c r="I419" s="3">
        <v>14.56</v>
      </c>
      <c r="J419" s="3">
        <v>14.42</v>
      </c>
      <c r="K419" s="3">
        <v>14.19</v>
      </c>
      <c r="L419" s="3">
        <v>13.93</v>
      </c>
      <c r="M419" s="3">
        <v>13.87</v>
      </c>
      <c r="N419" s="3">
        <v>13.74</v>
      </c>
      <c r="O419" s="3">
        <v>13.29</v>
      </c>
      <c r="P419" s="3">
        <v>13.11</v>
      </c>
      <c r="Q419" s="3">
        <v>12.6</v>
      </c>
      <c r="R419" s="3">
        <v>11.57</v>
      </c>
    </row>
    <row r="420" spans="1:18" x14ac:dyDescent="0.25">
      <c r="A420" s="4" t="s">
        <v>434</v>
      </c>
      <c r="B420" s="3">
        <v>14.5</v>
      </c>
      <c r="C420" s="3">
        <v>14.98</v>
      </c>
      <c r="D420" s="3">
        <v>15.27</v>
      </c>
      <c r="E420" s="3">
        <v>15.41</v>
      </c>
      <c r="F420" s="3">
        <v>15.52</v>
      </c>
      <c r="G420" s="3">
        <v>15.67</v>
      </c>
      <c r="H420" s="3">
        <v>15.8</v>
      </c>
      <c r="I420" s="3">
        <v>15.88</v>
      </c>
      <c r="J420" s="3">
        <v>15.75</v>
      </c>
      <c r="K420" s="3">
        <v>15.33</v>
      </c>
      <c r="L420" s="3">
        <v>15.04</v>
      </c>
      <c r="M420" s="3">
        <v>14.9</v>
      </c>
      <c r="N420" s="3">
        <v>14.66</v>
      </c>
      <c r="O420" s="3">
        <v>13.89</v>
      </c>
      <c r="P420" s="3">
        <v>13.67</v>
      </c>
      <c r="Q420" s="3">
        <v>12.93</v>
      </c>
      <c r="R420" s="3">
        <v>11.62</v>
      </c>
    </row>
    <row r="421" spans="1:18" x14ac:dyDescent="0.25">
      <c r="A421" s="4" t="s">
        <v>435</v>
      </c>
      <c r="B421" s="3">
        <v>15.4</v>
      </c>
      <c r="C421" s="3">
        <v>15.64</v>
      </c>
      <c r="D421" s="3">
        <v>15.84</v>
      </c>
      <c r="E421" s="3">
        <v>16</v>
      </c>
      <c r="F421" s="3">
        <v>16.149999999999999</v>
      </c>
      <c r="G421" s="3">
        <v>16.329999999999998</v>
      </c>
      <c r="H421" s="3">
        <v>16.510000000000002</v>
      </c>
      <c r="I421" s="3">
        <v>16.63</v>
      </c>
      <c r="J421" s="3">
        <v>16.350000000000001</v>
      </c>
      <c r="K421" s="3">
        <v>16.149999999999999</v>
      </c>
      <c r="L421" s="3">
        <v>15.6</v>
      </c>
      <c r="M421" s="3">
        <v>15.6</v>
      </c>
      <c r="N421" s="3">
        <v>15.46</v>
      </c>
      <c r="O421" s="3">
        <v>14.61</v>
      </c>
      <c r="P421" s="3">
        <v>14.39</v>
      </c>
      <c r="Q421" s="3">
        <v>13.93</v>
      </c>
      <c r="R421" s="3">
        <v>12.61</v>
      </c>
    </row>
    <row r="422" spans="1:18" x14ac:dyDescent="0.25">
      <c r="A422" s="4" t="s">
        <v>436</v>
      </c>
      <c r="B422" s="3">
        <v>12.64</v>
      </c>
      <c r="C422" s="3">
        <v>13.68</v>
      </c>
      <c r="D422" s="3">
        <v>14.38</v>
      </c>
      <c r="E422" s="3">
        <v>14.76</v>
      </c>
      <c r="F422" s="3">
        <v>15.04</v>
      </c>
      <c r="G422" s="3">
        <v>15.35</v>
      </c>
      <c r="H422" s="3">
        <v>15.65</v>
      </c>
      <c r="I422" s="3">
        <v>16.02</v>
      </c>
      <c r="J422" s="3">
        <v>15.91</v>
      </c>
      <c r="K422" s="3">
        <v>16.11</v>
      </c>
      <c r="L422" s="3">
        <v>15.82</v>
      </c>
      <c r="M422" s="3">
        <v>15.85</v>
      </c>
      <c r="N422" s="3">
        <v>15.7</v>
      </c>
      <c r="O422" s="3">
        <v>15.06</v>
      </c>
      <c r="P422" s="3">
        <v>15.14</v>
      </c>
      <c r="Q422" s="3">
        <v>14.41</v>
      </c>
      <c r="R422" s="3">
        <v>12.43</v>
      </c>
    </row>
    <row r="423" spans="1:18" x14ac:dyDescent="0.25">
      <c r="A423" s="4" t="s">
        <v>437</v>
      </c>
      <c r="B423" s="3">
        <v>12.75</v>
      </c>
      <c r="C423" s="3">
        <v>12.97</v>
      </c>
      <c r="D423" s="3">
        <v>13.09</v>
      </c>
      <c r="E423" s="3">
        <v>13.03</v>
      </c>
      <c r="F423" s="3">
        <v>13.21</v>
      </c>
      <c r="G423" s="3">
        <v>13.42</v>
      </c>
      <c r="H423" s="3">
        <v>13.69</v>
      </c>
      <c r="I423" s="3">
        <v>14.12</v>
      </c>
      <c r="J423" s="3">
        <v>14.1</v>
      </c>
      <c r="K423" s="3">
        <v>14.16</v>
      </c>
      <c r="L423" s="3">
        <v>14.25</v>
      </c>
      <c r="M423" s="3">
        <v>14.35</v>
      </c>
      <c r="N423" s="3">
        <v>14.39</v>
      </c>
      <c r="O423" s="3">
        <v>14.21</v>
      </c>
      <c r="P423" s="3">
        <v>14.21</v>
      </c>
      <c r="Q423" s="3">
        <v>13.61</v>
      </c>
      <c r="R423" s="3">
        <v>12.21</v>
      </c>
    </row>
    <row r="424" spans="1:18" x14ac:dyDescent="0.25">
      <c r="A424" s="4" t="s">
        <v>438</v>
      </c>
      <c r="B424" s="3">
        <v>10.17</v>
      </c>
      <c r="C424" s="3">
        <v>10.24</v>
      </c>
      <c r="D424" s="3">
        <v>10.37</v>
      </c>
      <c r="E424" s="3">
        <v>10.57</v>
      </c>
      <c r="F424" s="3">
        <v>10.78</v>
      </c>
      <c r="G424" s="3">
        <v>10.94</v>
      </c>
      <c r="H424" s="3">
        <v>11.06</v>
      </c>
      <c r="I424" s="3">
        <v>11.31</v>
      </c>
      <c r="J424" s="3">
        <v>11.56</v>
      </c>
      <c r="K424" s="3">
        <v>12.23</v>
      </c>
      <c r="L424" s="3">
        <v>12.53</v>
      </c>
      <c r="M424" s="3">
        <v>12.59</v>
      </c>
      <c r="N424" s="3">
        <v>12.72</v>
      </c>
      <c r="O424" s="3">
        <v>12.95</v>
      </c>
      <c r="P424" s="3">
        <v>12.79</v>
      </c>
      <c r="Q424" s="3">
        <v>12.59</v>
      </c>
      <c r="R424" s="3">
        <v>11.86</v>
      </c>
    </row>
    <row r="425" spans="1:18" x14ac:dyDescent="0.25">
      <c r="A425" s="4" t="s">
        <v>439</v>
      </c>
      <c r="B425" s="3">
        <v>8.26</v>
      </c>
      <c r="C425" s="3">
        <v>9.7100000000000009</v>
      </c>
      <c r="D425" s="3">
        <v>10.79</v>
      </c>
      <c r="E425" s="3">
        <v>11.51</v>
      </c>
      <c r="F425" s="3">
        <v>11.97</v>
      </c>
      <c r="G425" s="3">
        <v>12.3</v>
      </c>
      <c r="H425" s="3">
        <v>12.55</v>
      </c>
      <c r="I425" s="3">
        <v>13.05</v>
      </c>
      <c r="J425" s="3">
        <v>13.33</v>
      </c>
      <c r="K425" s="3">
        <v>13.51</v>
      </c>
      <c r="L425" s="3">
        <v>13.58</v>
      </c>
      <c r="M425" s="3">
        <v>13.72</v>
      </c>
      <c r="N425" s="3">
        <v>13.77</v>
      </c>
      <c r="O425" s="3">
        <v>13.67</v>
      </c>
      <c r="P425" s="3">
        <v>13.7</v>
      </c>
      <c r="Q425" s="3">
        <v>13.27</v>
      </c>
      <c r="R425" s="3">
        <v>11.88</v>
      </c>
    </row>
    <row r="426" spans="1:18" x14ac:dyDescent="0.25">
      <c r="A426" s="4" t="s">
        <v>440</v>
      </c>
      <c r="B426" s="3">
        <v>11.73</v>
      </c>
      <c r="C426" s="3">
        <v>12.14</v>
      </c>
      <c r="D426" s="3">
        <v>12.51</v>
      </c>
      <c r="E426" s="3">
        <v>12.84</v>
      </c>
      <c r="F426" s="3">
        <v>13.11</v>
      </c>
      <c r="G426" s="3">
        <v>13.29</v>
      </c>
      <c r="H426" s="3">
        <v>13.41</v>
      </c>
      <c r="I426" s="3">
        <v>13.64</v>
      </c>
      <c r="J426" s="3">
        <v>13.81</v>
      </c>
      <c r="K426" s="3">
        <v>13.85</v>
      </c>
      <c r="L426" s="3">
        <v>13.91</v>
      </c>
      <c r="M426" s="3">
        <v>13.94</v>
      </c>
      <c r="N426" s="3">
        <v>13.9</v>
      </c>
      <c r="O426" s="3">
        <v>13.8</v>
      </c>
      <c r="P426" s="3">
        <v>13.87</v>
      </c>
      <c r="Q426" s="3">
        <v>13.26</v>
      </c>
      <c r="R426" s="3">
        <v>12.1</v>
      </c>
    </row>
    <row r="427" spans="1:18" x14ac:dyDescent="0.25">
      <c r="A427" s="4" t="s">
        <v>441</v>
      </c>
      <c r="B427" s="3">
        <v>11.85</v>
      </c>
      <c r="C427" s="3">
        <v>11.98</v>
      </c>
      <c r="D427" s="3">
        <v>12.27</v>
      </c>
      <c r="E427" s="3">
        <v>12.72</v>
      </c>
      <c r="F427" s="3">
        <v>13.19</v>
      </c>
      <c r="G427" s="3">
        <v>13.47</v>
      </c>
      <c r="H427" s="3">
        <v>13.56</v>
      </c>
      <c r="I427" s="3">
        <v>13.55</v>
      </c>
      <c r="J427" s="3">
        <v>13.75</v>
      </c>
      <c r="K427" s="3">
        <v>13.88</v>
      </c>
      <c r="L427" s="3">
        <v>13.82</v>
      </c>
      <c r="M427" s="3">
        <v>13.8</v>
      </c>
      <c r="N427" s="3">
        <v>13.71</v>
      </c>
      <c r="O427" s="3">
        <v>13.58</v>
      </c>
      <c r="P427" s="3">
        <v>13.85</v>
      </c>
      <c r="Q427" s="3">
        <v>13.42</v>
      </c>
      <c r="R427" s="3">
        <v>12.35</v>
      </c>
    </row>
    <row r="428" spans="1:18" x14ac:dyDescent="0.25">
      <c r="A428" s="4" t="s">
        <v>442</v>
      </c>
      <c r="B428" s="3">
        <v>14.57</v>
      </c>
      <c r="C428" s="3">
        <v>13.96</v>
      </c>
      <c r="D428" s="3">
        <v>13.66</v>
      </c>
      <c r="E428" s="3">
        <v>13.66</v>
      </c>
      <c r="F428" s="3">
        <v>13.77</v>
      </c>
      <c r="G428" s="3">
        <v>13.84</v>
      </c>
      <c r="H428" s="3">
        <v>13.86</v>
      </c>
      <c r="I428" s="3">
        <v>13.88</v>
      </c>
      <c r="J428" s="3">
        <v>13.95</v>
      </c>
      <c r="K428" s="3">
        <v>14.11</v>
      </c>
      <c r="L428" s="3">
        <v>14.06</v>
      </c>
      <c r="M428" s="3">
        <v>13.98</v>
      </c>
      <c r="N428" s="3">
        <v>13.94</v>
      </c>
      <c r="O428" s="3">
        <v>13.64</v>
      </c>
      <c r="P428" s="3">
        <v>13.51</v>
      </c>
      <c r="Q428" s="3">
        <v>13.19</v>
      </c>
      <c r="R428" s="3">
        <v>12</v>
      </c>
    </row>
    <row r="429" spans="1:18" x14ac:dyDescent="0.25">
      <c r="A429" s="4" t="s">
        <v>443</v>
      </c>
      <c r="B429" s="3">
        <v>12.31</v>
      </c>
      <c r="C429" s="3">
        <v>12.32</v>
      </c>
      <c r="D429" s="3">
        <v>12.46</v>
      </c>
      <c r="E429" s="3">
        <v>12.71</v>
      </c>
      <c r="F429" s="3">
        <v>12.94</v>
      </c>
      <c r="G429" s="3">
        <v>13.09</v>
      </c>
      <c r="H429" s="3">
        <v>13.16</v>
      </c>
      <c r="I429" s="3">
        <v>13.29</v>
      </c>
      <c r="J429" s="3">
        <v>13.46</v>
      </c>
      <c r="K429" s="3">
        <v>13.64</v>
      </c>
      <c r="L429" s="3">
        <v>13.61</v>
      </c>
      <c r="M429" s="3">
        <v>13.48</v>
      </c>
      <c r="N429" s="3">
        <v>13.46</v>
      </c>
      <c r="O429" s="3">
        <v>13.31</v>
      </c>
      <c r="P429" s="3">
        <v>13.04</v>
      </c>
      <c r="Q429" s="3">
        <v>12.76</v>
      </c>
      <c r="R429" s="3">
        <v>12.16</v>
      </c>
    </row>
    <row r="430" spans="1:18" x14ac:dyDescent="0.25">
      <c r="A430" s="4" t="s">
        <v>444</v>
      </c>
      <c r="B430" s="3">
        <v>11.56</v>
      </c>
      <c r="C430" s="3">
        <v>11.62</v>
      </c>
      <c r="D430" s="3">
        <v>11.72</v>
      </c>
      <c r="E430" s="3">
        <v>11.85</v>
      </c>
      <c r="F430" s="3">
        <v>12.01</v>
      </c>
      <c r="G430" s="3">
        <v>12.14</v>
      </c>
      <c r="H430" s="3">
        <v>12.24</v>
      </c>
      <c r="I430" s="3">
        <v>12.55</v>
      </c>
      <c r="J430" s="3">
        <v>12.87</v>
      </c>
      <c r="K430" s="3">
        <v>13.23</v>
      </c>
      <c r="L430" s="3">
        <v>13.37</v>
      </c>
      <c r="M430" s="3">
        <v>13.45</v>
      </c>
      <c r="N430" s="3">
        <v>13.49</v>
      </c>
      <c r="O430" s="3">
        <v>13.3</v>
      </c>
      <c r="P430" s="3">
        <v>13.22</v>
      </c>
      <c r="Q430" s="3">
        <v>12.96</v>
      </c>
      <c r="R430" s="3">
        <v>12.15</v>
      </c>
    </row>
    <row r="431" spans="1:18" x14ac:dyDescent="0.25">
      <c r="A431" s="4" t="s">
        <v>445</v>
      </c>
      <c r="B431" s="3">
        <v>10.65</v>
      </c>
      <c r="C431" s="3">
        <v>11.74</v>
      </c>
      <c r="D431" s="3">
        <v>12.57</v>
      </c>
      <c r="E431" s="3">
        <v>13.12</v>
      </c>
      <c r="F431" s="3">
        <v>13.46</v>
      </c>
      <c r="G431" s="3">
        <v>13.68</v>
      </c>
      <c r="H431" s="3">
        <v>13.81</v>
      </c>
      <c r="I431" s="3">
        <v>14.03</v>
      </c>
      <c r="J431" s="3">
        <v>14.21</v>
      </c>
      <c r="K431" s="3">
        <v>14.32</v>
      </c>
      <c r="L431" s="3">
        <v>14.43</v>
      </c>
      <c r="M431" s="3">
        <v>14.35</v>
      </c>
      <c r="N431" s="3">
        <v>14.27</v>
      </c>
      <c r="O431" s="3">
        <v>13.84</v>
      </c>
      <c r="P431" s="3">
        <v>13.65</v>
      </c>
      <c r="Q431" s="3">
        <v>13.25</v>
      </c>
      <c r="R431" s="3">
        <v>12.07</v>
      </c>
    </row>
    <row r="432" spans="1:18" x14ac:dyDescent="0.25">
      <c r="A432" s="4" t="s">
        <v>446</v>
      </c>
      <c r="B432" s="3">
        <v>8.49</v>
      </c>
      <c r="C432" s="3">
        <v>9.15</v>
      </c>
      <c r="D432" s="3">
        <v>9.82</v>
      </c>
      <c r="E432" s="3">
        <v>10.5</v>
      </c>
      <c r="F432" s="3">
        <v>11.08</v>
      </c>
      <c r="G432" s="3">
        <v>11.5</v>
      </c>
      <c r="H432" s="3">
        <v>11.77</v>
      </c>
      <c r="I432" s="3">
        <v>12.26</v>
      </c>
      <c r="J432" s="3">
        <v>12.65</v>
      </c>
      <c r="K432" s="3">
        <v>12.93</v>
      </c>
      <c r="L432" s="3">
        <v>13.31</v>
      </c>
      <c r="M432" s="3">
        <v>13.34</v>
      </c>
      <c r="N432" s="3">
        <v>13.35</v>
      </c>
      <c r="O432" s="3">
        <v>13.28</v>
      </c>
      <c r="P432" s="3">
        <v>13.27</v>
      </c>
      <c r="Q432" s="3">
        <v>13.05</v>
      </c>
      <c r="R432" s="3">
        <v>12.18</v>
      </c>
    </row>
    <row r="433" spans="1:18" x14ac:dyDescent="0.25">
      <c r="A433" s="4" t="s">
        <v>447</v>
      </c>
      <c r="B433" s="3">
        <v>7.54</v>
      </c>
      <c r="C433" s="3">
        <v>7.51</v>
      </c>
      <c r="D433" s="3">
        <v>7.78</v>
      </c>
      <c r="E433" s="3">
        <v>8.33</v>
      </c>
      <c r="F433" s="3">
        <v>8.9600000000000009</v>
      </c>
      <c r="G433" s="3">
        <v>9.48</v>
      </c>
      <c r="H433" s="3">
        <v>9.84</v>
      </c>
      <c r="I433" s="3">
        <v>10.56</v>
      </c>
      <c r="J433" s="3">
        <v>11.17</v>
      </c>
      <c r="K433" s="3">
        <v>11.89</v>
      </c>
      <c r="L433" s="3">
        <v>12.26</v>
      </c>
      <c r="M433" s="3">
        <v>12.34</v>
      </c>
      <c r="N433" s="3">
        <v>12.47</v>
      </c>
      <c r="O433" s="3">
        <v>12.44</v>
      </c>
      <c r="P433" s="3">
        <v>12.23</v>
      </c>
      <c r="Q433" s="3">
        <v>12.25</v>
      </c>
      <c r="R433" s="3">
        <v>11.79</v>
      </c>
    </row>
    <row r="434" spans="1:18" x14ac:dyDescent="0.25">
      <c r="A434" s="4" t="s">
        <v>448</v>
      </c>
      <c r="B434" s="3">
        <v>6.88</v>
      </c>
      <c r="C434" s="3">
        <v>6.94</v>
      </c>
      <c r="D434" s="3">
        <v>7.24</v>
      </c>
      <c r="E434" s="3">
        <v>7.77</v>
      </c>
      <c r="F434" s="3">
        <v>8.39</v>
      </c>
      <c r="G434" s="3">
        <v>8.9</v>
      </c>
      <c r="H434" s="3">
        <v>9.23</v>
      </c>
      <c r="I434" s="3">
        <v>9.82</v>
      </c>
      <c r="J434" s="3">
        <v>10.37</v>
      </c>
      <c r="K434" s="3">
        <v>11.21</v>
      </c>
      <c r="L434" s="3">
        <v>11.56</v>
      </c>
      <c r="M434" s="3">
        <v>11.61</v>
      </c>
      <c r="N434" s="3">
        <v>11.65</v>
      </c>
      <c r="O434" s="3">
        <v>11.74</v>
      </c>
      <c r="P434" s="3">
        <v>11.59</v>
      </c>
      <c r="Q434" s="3">
        <v>11.4</v>
      </c>
      <c r="R434" s="3">
        <v>11.11</v>
      </c>
    </row>
    <row r="435" spans="1:18" x14ac:dyDescent="0.25">
      <c r="A435" s="4" t="s">
        <v>449</v>
      </c>
      <c r="B435" s="3">
        <v>7.81</v>
      </c>
      <c r="C435" s="3">
        <v>7.72</v>
      </c>
      <c r="D435" s="3">
        <v>7.83</v>
      </c>
      <c r="E435" s="3">
        <v>8.11</v>
      </c>
      <c r="F435" s="3">
        <v>8.41</v>
      </c>
      <c r="G435" s="3">
        <v>8.6300000000000008</v>
      </c>
      <c r="H435" s="3">
        <v>8.73</v>
      </c>
      <c r="I435" s="3">
        <v>8.9700000000000006</v>
      </c>
      <c r="J435" s="3">
        <v>9.4499999999999993</v>
      </c>
      <c r="K435" s="3">
        <v>10.01</v>
      </c>
      <c r="L435" s="3">
        <v>10.52</v>
      </c>
      <c r="M435" s="3">
        <v>10.6</v>
      </c>
      <c r="N435" s="3">
        <v>10.75</v>
      </c>
      <c r="O435" s="3">
        <v>10.87</v>
      </c>
      <c r="P435" s="3">
        <v>10.82</v>
      </c>
      <c r="Q435" s="3">
        <v>10.95</v>
      </c>
      <c r="R435" s="3">
        <v>10.41</v>
      </c>
    </row>
    <row r="436" spans="1:18" x14ac:dyDescent="0.25">
      <c r="A436" s="4" t="s">
        <v>450</v>
      </c>
      <c r="B436" s="3">
        <v>7.67</v>
      </c>
      <c r="C436" s="3">
        <v>7.87</v>
      </c>
      <c r="D436" s="3">
        <v>8.11</v>
      </c>
      <c r="E436" s="3">
        <v>8.39</v>
      </c>
      <c r="F436" s="3">
        <v>8.65</v>
      </c>
      <c r="G436" s="3">
        <v>8.81</v>
      </c>
      <c r="H436" s="3">
        <v>8.8699999999999992</v>
      </c>
      <c r="I436" s="3">
        <v>8.9499999999999993</v>
      </c>
      <c r="J436" s="3">
        <v>9.32</v>
      </c>
      <c r="K436" s="3">
        <v>9.84</v>
      </c>
      <c r="L436" s="3">
        <v>10.33</v>
      </c>
      <c r="M436" s="3">
        <v>10.52</v>
      </c>
      <c r="N436" s="3">
        <v>10.71</v>
      </c>
      <c r="O436" s="3">
        <v>10.97</v>
      </c>
      <c r="P436" s="3">
        <v>10.96</v>
      </c>
      <c r="Q436" s="3">
        <v>11.19</v>
      </c>
      <c r="R436" s="3">
        <v>10.65</v>
      </c>
    </row>
    <row r="437" spans="1:18" x14ac:dyDescent="0.25">
      <c r="A437" s="4" t="s">
        <v>451</v>
      </c>
      <c r="B437" s="3">
        <v>8.0500000000000007</v>
      </c>
      <c r="C437" s="3">
        <v>8.07</v>
      </c>
      <c r="D437" s="3">
        <v>8.11</v>
      </c>
      <c r="E437" s="3">
        <v>8.17</v>
      </c>
      <c r="F437" s="3">
        <v>8.25</v>
      </c>
      <c r="G437" s="3">
        <v>8.31</v>
      </c>
      <c r="H437" s="3">
        <v>8.34</v>
      </c>
      <c r="I437" s="3">
        <v>8.4499999999999993</v>
      </c>
      <c r="J437" s="3">
        <v>8.7899999999999991</v>
      </c>
      <c r="K437" s="3">
        <v>9.4499999999999993</v>
      </c>
      <c r="L437" s="3">
        <v>9.92</v>
      </c>
      <c r="M437" s="3">
        <v>10.17</v>
      </c>
      <c r="N437" s="3">
        <v>10.33</v>
      </c>
      <c r="O437" s="3">
        <v>10.59</v>
      </c>
      <c r="P437" s="3">
        <v>10.67</v>
      </c>
      <c r="Q437" s="3">
        <v>10.79</v>
      </c>
      <c r="R437" s="3">
        <v>10.37</v>
      </c>
    </row>
    <row r="438" spans="1:18" x14ac:dyDescent="0.25">
      <c r="A438" s="4" t="s">
        <v>452</v>
      </c>
      <c r="B438" s="3">
        <v>8.01</v>
      </c>
      <c r="C438" s="3">
        <v>8.07</v>
      </c>
      <c r="D438" s="3">
        <v>8.15</v>
      </c>
      <c r="E438" s="3">
        <v>8.26</v>
      </c>
      <c r="F438" s="3">
        <v>8.3800000000000008</v>
      </c>
      <c r="G438" s="3">
        <v>8.4600000000000009</v>
      </c>
      <c r="H438" s="3">
        <v>8.52</v>
      </c>
      <c r="I438" s="3">
        <v>8.67</v>
      </c>
      <c r="J438" s="3">
        <v>8.9600000000000009</v>
      </c>
      <c r="K438" s="3">
        <v>9.6</v>
      </c>
      <c r="L438" s="3">
        <v>10.09</v>
      </c>
      <c r="M438" s="3">
        <v>10.32</v>
      </c>
      <c r="N438" s="3">
        <v>10.55</v>
      </c>
      <c r="O438" s="3">
        <v>11.04</v>
      </c>
      <c r="P438" s="3">
        <v>11.18</v>
      </c>
      <c r="Q438" s="3">
        <v>11.52</v>
      </c>
      <c r="R438" s="3">
        <v>11.13</v>
      </c>
    </row>
    <row r="439" spans="1:18" x14ac:dyDescent="0.25">
      <c r="A439" s="4" t="s">
        <v>453</v>
      </c>
      <c r="B439" s="3">
        <v>7.9</v>
      </c>
      <c r="C439" s="3">
        <v>7.91</v>
      </c>
      <c r="D439" s="3">
        <v>7.96</v>
      </c>
      <c r="E439" s="3">
        <v>8.06</v>
      </c>
      <c r="F439" s="3">
        <v>8.17</v>
      </c>
      <c r="G439" s="3">
        <v>8.23</v>
      </c>
      <c r="H439" s="3">
        <v>8.24</v>
      </c>
      <c r="I439" s="3">
        <v>8.2799999999999994</v>
      </c>
      <c r="J439" s="3">
        <v>8.61</v>
      </c>
      <c r="K439" s="3">
        <v>9.1999999999999993</v>
      </c>
      <c r="L439" s="3">
        <v>9.6999999999999993</v>
      </c>
      <c r="M439" s="3">
        <v>9.7799999999999994</v>
      </c>
      <c r="N439" s="3">
        <v>9.86</v>
      </c>
      <c r="O439" s="3">
        <v>10.36</v>
      </c>
      <c r="P439" s="3">
        <v>10.63</v>
      </c>
      <c r="Q439" s="3">
        <v>11.08</v>
      </c>
      <c r="R439" s="3">
        <v>10.35</v>
      </c>
    </row>
    <row r="440" spans="1:18" x14ac:dyDescent="0.25">
      <c r="A440" s="4" t="s">
        <v>454</v>
      </c>
      <c r="B440" s="3">
        <v>8.36</v>
      </c>
      <c r="C440" s="3">
        <v>8.56</v>
      </c>
      <c r="D440" s="3">
        <v>8.7200000000000006</v>
      </c>
      <c r="E440" s="3">
        <v>8.86</v>
      </c>
      <c r="F440" s="3">
        <v>8.9499999999999993</v>
      </c>
      <c r="G440" s="3">
        <v>9.01</v>
      </c>
      <c r="H440" s="3">
        <v>9.02</v>
      </c>
      <c r="I440" s="3">
        <v>9.06</v>
      </c>
      <c r="J440" s="3">
        <v>9.25</v>
      </c>
      <c r="K440" s="3">
        <v>9.73</v>
      </c>
      <c r="L440" s="3">
        <v>10.01</v>
      </c>
      <c r="M440" s="3">
        <v>10.18</v>
      </c>
      <c r="N440" s="3">
        <v>10.31</v>
      </c>
      <c r="O440" s="3">
        <v>10.64</v>
      </c>
      <c r="P440" s="3">
        <v>10.83</v>
      </c>
      <c r="Q440" s="3">
        <v>11</v>
      </c>
      <c r="R440" s="3">
        <v>10.45</v>
      </c>
    </row>
    <row r="441" spans="1:18" x14ac:dyDescent="0.25">
      <c r="A441" s="4" t="s">
        <v>455</v>
      </c>
      <c r="B441" s="3">
        <v>8.01</v>
      </c>
      <c r="C441" s="3">
        <v>8.1</v>
      </c>
      <c r="D441" s="3">
        <v>8.19</v>
      </c>
      <c r="E441" s="3">
        <v>8.2799999999999994</v>
      </c>
      <c r="F441" s="3">
        <v>8.35</v>
      </c>
      <c r="G441" s="3">
        <v>8.39</v>
      </c>
      <c r="H441" s="3">
        <v>8.41</v>
      </c>
      <c r="I441" s="3">
        <v>8.49</v>
      </c>
      <c r="J441" s="3">
        <v>8.7200000000000006</v>
      </c>
      <c r="K441" s="3">
        <v>9.23</v>
      </c>
      <c r="L441" s="3">
        <v>9.6300000000000008</v>
      </c>
      <c r="M441" s="3">
        <v>9.81</v>
      </c>
      <c r="N441" s="3">
        <v>9.9700000000000006</v>
      </c>
      <c r="O441" s="3">
        <v>10.32</v>
      </c>
      <c r="P441" s="3">
        <v>10.52</v>
      </c>
      <c r="Q441" s="3">
        <v>10.69</v>
      </c>
      <c r="R441" s="3">
        <v>10.15</v>
      </c>
    </row>
    <row r="442" spans="1:18" x14ac:dyDescent="0.25">
      <c r="A442" s="4" t="s">
        <v>456</v>
      </c>
      <c r="B442" s="3">
        <v>8.3800000000000008</v>
      </c>
      <c r="C442" s="3">
        <v>8.56</v>
      </c>
      <c r="D442" s="3">
        <v>8.7100000000000009</v>
      </c>
      <c r="E442" s="3">
        <v>8.83</v>
      </c>
      <c r="F442" s="3">
        <v>8.93</v>
      </c>
      <c r="G442" s="3">
        <v>9</v>
      </c>
      <c r="H442" s="3">
        <v>9.0500000000000007</v>
      </c>
      <c r="I442" s="3">
        <v>9.16</v>
      </c>
      <c r="J442" s="3">
        <v>9.32</v>
      </c>
      <c r="K442" s="3">
        <v>9.89</v>
      </c>
      <c r="L442" s="3">
        <v>10.18</v>
      </c>
      <c r="M442" s="3">
        <v>10.36</v>
      </c>
      <c r="N442" s="3">
        <v>10.52</v>
      </c>
      <c r="O442" s="3">
        <v>10.86</v>
      </c>
      <c r="P442" s="3">
        <v>11.11</v>
      </c>
      <c r="Q442" s="3">
        <v>11.29</v>
      </c>
      <c r="R442" s="3">
        <v>10.85</v>
      </c>
    </row>
    <row r="443" spans="1:18" x14ac:dyDescent="0.25">
      <c r="A443" s="4" t="s">
        <v>457</v>
      </c>
      <c r="B443" s="3">
        <v>8.25</v>
      </c>
      <c r="C443" s="3">
        <v>8.57</v>
      </c>
      <c r="D443" s="3">
        <v>8.81</v>
      </c>
      <c r="E443" s="3">
        <v>8.98</v>
      </c>
      <c r="F443" s="3">
        <v>9.09</v>
      </c>
      <c r="G443" s="3">
        <v>9.18</v>
      </c>
      <c r="H443" s="3">
        <v>9.24</v>
      </c>
      <c r="I443" s="3">
        <v>9.39</v>
      </c>
      <c r="J443" s="3">
        <v>9.58</v>
      </c>
      <c r="K443" s="3">
        <v>10.130000000000001</v>
      </c>
      <c r="L443" s="3">
        <v>10.4</v>
      </c>
      <c r="M443" s="3">
        <v>10.57</v>
      </c>
      <c r="N443" s="3">
        <v>10.69</v>
      </c>
      <c r="O443" s="3">
        <v>11</v>
      </c>
      <c r="P443" s="3">
        <v>11.21</v>
      </c>
      <c r="Q443" s="3">
        <v>11.22</v>
      </c>
      <c r="R443" s="3">
        <v>10.72</v>
      </c>
    </row>
    <row r="444" spans="1:18" x14ac:dyDescent="0.25">
      <c r="A444" s="4" t="s">
        <v>458</v>
      </c>
      <c r="B444" s="3">
        <v>8.6300000000000008</v>
      </c>
      <c r="C444" s="3">
        <v>8.9499999999999993</v>
      </c>
      <c r="D444" s="3">
        <v>9.2200000000000006</v>
      </c>
      <c r="E444" s="3">
        <v>9.43</v>
      </c>
      <c r="F444" s="3">
        <v>9.6</v>
      </c>
      <c r="G444" s="3">
        <v>9.7200000000000006</v>
      </c>
      <c r="H444" s="3">
        <v>9.81</v>
      </c>
      <c r="I444" s="3">
        <v>10.039999999999999</v>
      </c>
      <c r="J444" s="3">
        <v>10.35</v>
      </c>
      <c r="K444" s="3">
        <v>10.98</v>
      </c>
      <c r="L444" s="3">
        <v>11.16</v>
      </c>
      <c r="M444" s="3">
        <v>11.35</v>
      </c>
      <c r="N444" s="3">
        <v>11.53</v>
      </c>
      <c r="O444" s="3">
        <v>11.78</v>
      </c>
      <c r="P444" s="3">
        <v>11.84</v>
      </c>
      <c r="Q444" s="3">
        <v>11.82</v>
      </c>
      <c r="R444" s="3">
        <v>11.59</v>
      </c>
    </row>
    <row r="445" spans="1:18" x14ac:dyDescent="0.25">
      <c r="A445" s="4" t="s">
        <v>459</v>
      </c>
      <c r="B445" s="3">
        <v>8.74</v>
      </c>
      <c r="C445" s="3">
        <v>9.01</v>
      </c>
      <c r="D445" s="3">
        <v>9.25</v>
      </c>
      <c r="E445" s="3">
        <v>9.4600000000000009</v>
      </c>
      <c r="F445" s="3">
        <v>9.65</v>
      </c>
      <c r="G445" s="3">
        <v>9.8000000000000007</v>
      </c>
      <c r="H445" s="3">
        <v>9.91</v>
      </c>
      <c r="I445" s="3">
        <v>10.130000000000001</v>
      </c>
      <c r="J445" s="3">
        <v>10.36</v>
      </c>
      <c r="K445" s="3">
        <v>11.01</v>
      </c>
      <c r="L445" s="3">
        <v>11.35</v>
      </c>
      <c r="M445" s="3">
        <v>11.56</v>
      </c>
      <c r="N445" s="3">
        <v>11.69</v>
      </c>
      <c r="O445" s="3">
        <v>11.79</v>
      </c>
      <c r="P445" s="3">
        <v>11.89</v>
      </c>
      <c r="Q445" s="3">
        <v>12.08</v>
      </c>
      <c r="R445" s="3">
        <v>11.44</v>
      </c>
    </row>
    <row r="446" spans="1:18" x14ac:dyDescent="0.25">
      <c r="A446" s="4" t="s">
        <v>460</v>
      </c>
      <c r="B446" s="3">
        <v>8.77</v>
      </c>
      <c r="C446" s="3">
        <v>8.77</v>
      </c>
      <c r="D446" s="3">
        <v>8.83</v>
      </c>
      <c r="E446" s="3">
        <v>8.92</v>
      </c>
      <c r="F446" s="3">
        <v>9.0399999999999991</v>
      </c>
      <c r="G446" s="3">
        <v>9.15</v>
      </c>
      <c r="H446" s="3">
        <v>9.24</v>
      </c>
      <c r="I446" s="3">
        <v>9.48</v>
      </c>
      <c r="J446" s="3">
        <v>9.6999999999999993</v>
      </c>
      <c r="K446" s="3">
        <v>10.36</v>
      </c>
      <c r="L446" s="3">
        <v>10.66</v>
      </c>
      <c r="M446" s="3">
        <v>10.92</v>
      </c>
      <c r="N446" s="3">
        <v>11.13</v>
      </c>
      <c r="O446" s="3">
        <v>11.38</v>
      </c>
      <c r="P446" s="3">
        <v>11.43</v>
      </c>
      <c r="Q446" s="3">
        <v>11.53</v>
      </c>
      <c r="R446" s="3">
        <v>10.94</v>
      </c>
    </row>
    <row r="447" spans="1:18" x14ac:dyDescent="0.25">
      <c r="A447" s="4" t="s">
        <v>461</v>
      </c>
      <c r="B447" s="3">
        <v>8.4600000000000009</v>
      </c>
      <c r="C447" s="3">
        <v>8.49</v>
      </c>
      <c r="D447" s="3">
        <v>8.58</v>
      </c>
      <c r="E447" s="3">
        <v>8.7200000000000006</v>
      </c>
      <c r="F447" s="3">
        <v>8.8699999999999992</v>
      </c>
      <c r="G447" s="3">
        <v>9.01</v>
      </c>
      <c r="H447" s="3">
        <v>9.1199999999999992</v>
      </c>
      <c r="I447" s="3">
        <v>9.3800000000000008</v>
      </c>
      <c r="J447" s="3">
        <v>9.6199999999999992</v>
      </c>
      <c r="K447" s="3">
        <v>10.38</v>
      </c>
      <c r="L447" s="3">
        <v>10.83</v>
      </c>
      <c r="M447" s="3">
        <v>11.1</v>
      </c>
      <c r="N447" s="3">
        <v>11.29</v>
      </c>
      <c r="O447" s="3">
        <v>11.64</v>
      </c>
      <c r="P447" s="3">
        <v>11.77</v>
      </c>
      <c r="Q447" s="3">
        <v>11.81</v>
      </c>
      <c r="R447" s="3">
        <v>11.37</v>
      </c>
    </row>
    <row r="448" spans="1:18" x14ac:dyDescent="0.25">
      <c r="A448" s="4" t="s">
        <v>462</v>
      </c>
      <c r="B448" s="3">
        <v>8.17</v>
      </c>
      <c r="C448" s="3">
        <v>8.58</v>
      </c>
      <c r="D448" s="3">
        <v>8.8800000000000008</v>
      </c>
      <c r="E448" s="3">
        <v>9.07</v>
      </c>
      <c r="F448" s="3">
        <v>9.19</v>
      </c>
      <c r="G448" s="3">
        <v>9.2799999999999994</v>
      </c>
      <c r="H448" s="3">
        <v>9.3699999999999992</v>
      </c>
      <c r="I448" s="3">
        <v>9.58</v>
      </c>
      <c r="J448" s="3">
        <v>9.7100000000000009</v>
      </c>
      <c r="K448" s="3">
        <v>10.44</v>
      </c>
      <c r="L448" s="3">
        <v>10.77</v>
      </c>
      <c r="M448" s="3">
        <v>11.09</v>
      </c>
      <c r="N448" s="3">
        <v>11.26</v>
      </c>
      <c r="O448" s="3">
        <v>11.47</v>
      </c>
      <c r="P448" s="3">
        <v>11.55</v>
      </c>
      <c r="Q448" s="3">
        <v>11.62</v>
      </c>
      <c r="R448" s="3">
        <v>11.14</v>
      </c>
    </row>
    <row r="449" spans="1:18" x14ac:dyDescent="0.25">
      <c r="A449" s="4" t="s">
        <v>463</v>
      </c>
      <c r="B449" s="3">
        <v>8.18</v>
      </c>
      <c r="C449" s="3">
        <v>8.6300000000000008</v>
      </c>
      <c r="D449" s="3">
        <v>8.9700000000000006</v>
      </c>
      <c r="E449" s="3">
        <v>9.1999999999999993</v>
      </c>
      <c r="F449" s="3">
        <v>9.33</v>
      </c>
      <c r="G449" s="3">
        <v>9.42</v>
      </c>
      <c r="H449" s="3">
        <v>9.5</v>
      </c>
      <c r="I449" s="3">
        <v>9.7100000000000009</v>
      </c>
      <c r="J449" s="3">
        <v>9.89</v>
      </c>
      <c r="K449" s="3">
        <v>10.63</v>
      </c>
      <c r="L449" s="3">
        <v>10.93</v>
      </c>
      <c r="M449" s="3">
        <v>11.25</v>
      </c>
      <c r="N449" s="3">
        <v>11.43</v>
      </c>
      <c r="O449" s="3">
        <v>11.66</v>
      </c>
      <c r="P449" s="3">
        <v>11.74</v>
      </c>
      <c r="Q449" s="3">
        <v>11.85</v>
      </c>
      <c r="R449" s="3">
        <v>11.36</v>
      </c>
    </row>
    <row r="450" spans="1:18" x14ac:dyDescent="0.25">
      <c r="A450" s="4" t="s">
        <v>464</v>
      </c>
      <c r="B450" s="3">
        <v>8.8699999999999992</v>
      </c>
      <c r="C450" s="3">
        <v>8.94</v>
      </c>
      <c r="D450" s="3">
        <v>9.02</v>
      </c>
      <c r="E450" s="3">
        <v>9.1</v>
      </c>
      <c r="F450" s="3">
        <v>9.18</v>
      </c>
      <c r="G450" s="3">
        <v>9.25</v>
      </c>
      <c r="H450" s="3">
        <v>9.32</v>
      </c>
      <c r="I450" s="3">
        <v>9.49</v>
      </c>
      <c r="J450" s="3">
        <v>9.6300000000000008</v>
      </c>
      <c r="K450" s="3">
        <v>10.39</v>
      </c>
      <c r="L450" s="3">
        <v>10.69</v>
      </c>
      <c r="M450" s="3">
        <v>11.03</v>
      </c>
      <c r="N450" s="3">
        <v>11.2</v>
      </c>
      <c r="O450" s="3">
        <v>11.53</v>
      </c>
      <c r="P450" s="3">
        <v>11.58</v>
      </c>
      <c r="Q450" s="3">
        <v>11.69</v>
      </c>
      <c r="R450" s="3">
        <v>11.45</v>
      </c>
    </row>
    <row r="451" spans="1:18" x14ac:dyDescent="0.25">
      <c r="A451" s="4" t="s">
        <v>465</v>
      </c>
      <c r="B451" s="3">
        <v>8.4499999999999993</v>
      </c>
      <c r="C451" s="3">
        <v>8.86</v>
      </c>
      <c r="D451" s="3">
        <v>9.17</v>
      </c>
      <c r="E451" s="3">
        <v>9.3699999999999992</v>
      </c>
      <c r="F451" s="3">
        <v>9.51</v>
      </c>
      <c r="G451" s="3">
        <v>9.6</v>
      </c>
      <c r="H451" s="3">
        <v>9.68</v>
      </c>
      <c r="I451" s="3">
        <v>9.85</v>
      </c>
      <c r="J451" s="3">
        <v>9.98</v>
      </c>
      <c r="K451" s="3">
        <v>10.77</v>
      </c>
      <c r="L451" s="3">
        <v>11.05</v>
      </c>
      <c r="M451" s="3">
        <v>11.43</v>
      </c>
      <c r="N451" s="3">
        <v>11.61</v>
      </c>
      <c r="O451" s="3">
        <v>11.85</v>
      </c>
      <c r="P451" s="3">
        <v>11.91</v>
      </c>
      <c r="Q451" s="3">
        <v>12.06</v>
      </c>
      <c r="R451" s="3">
        <v>11.85</v>
      </c>
    </row>
    <row r="452" spans="1:18" x14ac:dyDescent="0.25">
      <c r="A452" s="4" t="s">
        <v>466</v>
      </c>
      <c r="B452" s="3">
        <v>9.2200000000000006</v>
      </c>
      <c r="C452" s="3">
        <v>9.5</v>
      </c>
      <c r="D452" s="3">
        <v>9.76</v>
      </c>
      <c r="E452" s="3">
        <v>9.9700000000000006</v>
      </c>
      <c r="F452" s="3">
        <v>10.119999999999999</v>
      </c>
      <c r="G452" s="3">
        <v>10.220000000000001</v>
      </c>
      <c r="H452" s="3">
        <v>10.27</v>
      </c>
      <c r="I452" s="3">
        <v>10.39</v>
      </c>
      <c r="J452" s="3">
        <v>10.61</v>
      </c>
      <c r="K452" s="3">
        <v>11.3</v>
      </c>
      <c r="L452" s="3">
        <v>11.58</v>
      </c>
      <c r="M452" s="3">
        <v>11.91</v>
      </c>
      <c r="N452" s="3">
        <v>12.07</v>
      </c>
      <c r="O452" s="3">
        <v>12.31</v>
      </c>
      <c r="P452" s="3">
        <v>12.21</v>
      </c>
      <c r="Q452" s="3">
        <v>12.29</v>
      </c>
      <c r="R452" s="3">
        <v>12.16</v>
      </c>
    </row>
    <row r="453" spans="1:18" x14ac:dyDescent="0.25">
      <c r="A453" s="4" t="s">
        <v>467</v>
      </c>
      <c r="B453" s="3">
        <v>9.36</v>
      </c>
      <c r="C453" s="3">
        <v>9.49</v>
      </c>
      <c r="D453" s="3">
        <v>9.73</v>
      </c>
      <c r="E453" s="3">
        <v>9.9600000000000009</v>
      </c>
      <c r="F453" s="3">
        <v>10.15</v>
      </c>
      <c r="G453" s="3">
        <v>10.27</v>
      </c>
      <c r="H453" s="3">
        <v>10.34</v>
      </c>
      <c r="I453" s="3">
        <v>10.53</v>
      </c>
      <c r="J453" s="3">
        <v>10.81</v>
      </c>
      <c r="K453" s="3">
        <v>11.56</v>
      </c>
      <c r="L453" s="3">
        <v>11.89</v>
      </c>
      <c r="M453" s="3">
        <v>12.17</v>
      </c>
      <c r="N453" s="3">
        <v>12.34</v>
      </c>
      <c r="O453" s="3">
        <v>12.6</v>
      </c>
      <c r="P453" s="3">
        <v>12.52</v>
      </c>
      <c r="Q453" s="3">
        <v>12.64</v>
      </c>
      <c r="R453" s="3">
        <v>12.44</v>
      </c>
    </row>
    <row r="454" spans="1:18" x14ac:dyDescent="0.25">
      <c r="A454" s="4" t="s">
        <v>468</v>
      </c>
      <c r="B454" s="3">
        <v>9.65</v>
      </c>
      <c r="C454" s="3">
        <v>9.56</v>
      </c>
      <c r="D454" s="3">
        <v>9.69</v>
      </c>
      <c r="E454" s="3">
        <v>10.039999999999999</v>
      </c>
      <c r="F454" s="3">
        <v>10.46</v>
      </c>
      <c r="G454" s="3">
        <v>10.79</v>
      </c>
      <c r="H454" s="3">
        <v>11.01</v>
      </c>
      <c r="I454" s="3">
        <v>11.43</v>
      </c>
      <c r="J454" s="3">
        <v>11.93</v>
      </c>
      <c r="K454" s="3">
        <v>12.69</v>
      </c>
      <c r="L454" s="3">
        <v>13.29</v>
      </c>
      <c r="M454" s="3">
        <v>13.31</v>
      </c>
      <c r="N454" s="3">
        <v>13.44</v>
      </c>
      <c r="O454" s="3">
        <v>13.62</v>
      </c>
      <c r="P454" s="3">
        <v>13.43</v>
      </c>
      <c r="Q454" s="3">
        <v>13.26</v>
      </c>
      <c r="R454" s="3">
        <v>13.25</v>
      </c>
    </row>
    <row r="455" spans="1:18" x14ac:dyDescent="0.25">
      <c r="A455" s="4" t="s">
        <v>469</v>
      </c>
      <c r="B455" s="3">
        <v>8.83</v>
      </c>
      <c r="C455" s="3">
        <v>9.39</v>
      </c>
      <c r="D455" s="3">
        <v>9.84</v>
      </c>
      <c r="E455" s="3">
        <v>10.18</v>
      </c>
      <c r="F455" s="3">
        <v>10.47</v>
      </c>
      <c r="G455" s="3">
        <v>10.73</v>
      </c>
      <c r="H455" s="3">
        <v>10.98</v>
      </c>
      <c r="I455" s="3">
        <v>11.6</v>
      </c>
      <c r="J455" s="3">
        <v>11.99</v>
      </c>
      <c r="K455" s="3">
        <v>12.85</v>
      </c>
      <c r="L455" s="3">
        <v>13.09</v>
      </c>
      <c r="M455" s="3">
        <v>13.31</v>
      </c>
      <c r="N455" s="3">
        <v>13.4</v>
      </c>
      <c r="O455" s="3">
        <v>13.51</v>
      </c>
      <c r="P455" s="3">
        <v>13.26</v>
      </c>
      <c r="Q455" s="3">
        <v>13.23</v>
      </c>
      <c r="R455" s="3">
        <v>13.31</v>
      </c>
    </row>
    <row r="456" spans="1:18" x14ac:dyDescent="0.25">
      <c r="A456" s="4" t="s">
        <v>470</v>
      </c>
      <c r="B456" s="3">
        <v>9.67</v>
      </c>
      <c r="C456" s="3">
        <v>10.029999999999999</v>
      </c>
      <c r="D456" s="3">
        <v>10.33</v>
      </c>
      <c r="E456" s="3">
        <v>10.57</v>
      </c>
      <c r="F456" s="3">
        <v>10.76</v>
      </c>
      <c r="G456" s="3">
        <v>10.91</v>
      </c>
      <c r="H456" s="3">
        <v>11.03</v>
      </c>
      <c r="I456" s="3">
        <v>11.32</v>
      </c>
      <c r="J456" s="3">
        <v>11.63</v>
      </c>
      <c r="K456" s="3">
        <v>12.29</v>
      </c>
      <c r="L456" s="3">
        <v>12.34</v>
      </c>
      <c r="M456" s="3">
        <v>12.44</v>
      </c>
      <c r="N456" s="3">
        <v>12.52</v>
      </c>
      <c r="O456" s="3">
        <v>12.65</v>
      </c>
      <c r="P456" s="3">
        <v>12.56</v>
      </c>
      <c r="Q456" s="3">
        <v>12.59</v>
      </c>
      <c r="R456" s="3">
        <v>12.24</v>
      </c>
    </row>
    <row r="457" spans="1:18" x14ac:dyDescent="0.25">
      <c r="A457" s="4" t="s">
        <v>471</v>
      </c>
      <c r="B457" s="3">
        <v>10.78</v>
      </c>
      <c r="C457" s="3">
        <v>10.74</v>
      </c>
      <c r="D457" s="3">
        <v>10.76</v>
      </c>
      <c r="E457" s="3">
        <v>10.82</v>
      </c>
      <c r="F457" s="3">
        <v>10.92</v>
      </c>
      <c r="G457" s="3">
        <v>11.02</v>
      </c>
      <c r="H457" s="3">
        <v>11.13</v>
      </c>
      <c r="I457" s="3">
        <v>11.41</v>
      </c>
      <c r="J457" s="3">
        <v>11.67</v>
      </c>
      <c r="K457" s="3">
        <v>12.21</v>
      </c>
      <c r="L457" s="3">
        <v>12.28</v>
      </c>
      <c r="M457" s="3">
        <v>12.41</v>
      </c>
      <c r="N457" s="3">
        <v>12.49</v>
      </c>
      <c r="O457" s="3">
        <v>12.47</v>
      </c>
      <c r="P457" s="3">
        <v>12.35</v>
      </c>
      <c r="Q457" s="3">
        <v>12.14</v>
      </c>
      <c r="R457" s="3">
        <v>12.29</v>
      </c>
    </row>
    <row r="458" spans="1:18" x14ac:dyDescent="0.25">
      <c r="A458" s="4" t="s">
        <v>472</v>
      </c>
      <c r="B458" s="3">
        <v>10.52</v>
      </c>
      <c r="C458" s="3">
        <v>10.44</v>
      </c>
      <c r="D458" s="3">
        <v>10.44</v>
      </c>
      <c r="E458" s="3">
        <v>10.5</v>
      </c>
      <c r="F458" s="3">
        <v>10.6</v>
      </c>
      <c r="G458" s="3">
        <v>10.69</v>
      </c>
      <c r="H458" s="3">
        <v>10.76</v>
      </c>
      <c r="I458" s="3">
        <v>10.94</v>
      </c>
      <c r="J458" s="3">
        <v>11.16</v>
      </c>
      <c r="K458" s="3">
        <v>11.77</v>
      </c>
      <c r="L458" s="3">
        <v>11.96</v>
      </c>
      <c r="M458" s="3">
        <v>12.14</v>
      </c>
      <c r="N458" s="3">
        <v>12.21</v>
      </c>
      <c r="O458" s="3">
        <v>12.15</v>
      </c>
      <c r="P458" s="3">
        <v>12</v>
      </c>
      <c r="Q458" s="3">
        <v>11.88</v>
      </c>
      <c r="R458" s="3">
        <v>11.74</v>
      </c>
    </row>
    <row r="459" spans="1:18" x14ac:dyDescent="0.25">
      <c r="A459" s="4" t="s">
        <v>473</v>
      </c>
      <c r="B459" s="3">
        <v>8.07</v>
      </c>
      <c r="C459" s="3">
        <v>8.57</v>
      </c>
      <c r="D459" s="3">
        <v>8.9600000000000009</v>
      </c>
      <c r="E459" s="3">
        <v>9.25</v>
      </c>
      <c r="F459" s="3">
        <v>9.44</v>
      </c>
      <c r="G459" s="3">
        <v>9.57</v>
      </c>
      <c r="H459" s="3">
        <v>9.65</v>
      </c>
      <c r="I459" s="3">
        <v>9.83</v>
      </c>
      <c r="J459" s="3">
        <v>10.15</v>
      </c>
      <c r="K459" s="3">
        <v>10.89</v>
      </c>
      <c r="L459" s="3">
        <v>11.13</v>
      </c>
      <c r="M459" s="3">
        <v>11.28</v>
      </c>
      <c r="N459" s="3">
        <v>11.39</v>
      </c>
      <c r="O459" s="3">
        <v>11.55</v>
      </c>
      <c r="P459" s="3">
        <v>11.48</v>
      </c>
      <c r="Q459" s="3">
        <v>11.41</v>
      </c>
      <c r="R459" s="3">
        <v>11.21</v>
      </c>
    </row>
    <row r="460" spans="1:18" x14ac:dyDescent="0.25">
      <c r="A460" s="4" t="s">
        <v>474</v>
      </c>
      <c r="B460" s="3">
        <v>7.47</v>
      </c>
      <c r="C460" s="3">
        <v>8</v>
      </c>
      <c r="D460" s="3">
        <v>8.3800000000000008</v>
      </c>
      <c r="E460" s="3">
        <v>8.6199999999999992</v>
      </c>
      <c r="F460" s="3">
        <v>8.77</v>
      </c>
      <c r="G460" s="3">
        <v>8.8800000000000008</v>
      </c>
      <c r="H460" s="3">
        <v>8.99</v>
      </c>
      <c r="I460" s="3">
        <v>9.2899999999999991</v>
      </c>
      <c r="J460" s="3">
        <v>9.5299999999999994</v>
      </c>
      <c r="K460" s="3">
        <v>10.31</v>
      </c>
      <c r="L460" s="3">
        <v>10.69</v>
      </c>
      <c r="M460" s="3">
        <v>10.96</v>
      </c>
      <c r="N460" s="3">
        <v>11.23</v>
      </c>
      <c r="O460" s="3">
        <v>11.43</v>
      </c>
      <c r="P460" s="3">
        <v>11.49</v>
      </c>
      <c r="Q460" s="3">
        <v>11.6</v>
      </c>
      <c r="R460" s="3">
        <v>11.2</v>
      </c>
    </row>
    <row r="461" spans="1:18" x14ac:dyDescent="0.25">
      <c r="A461" s="4" t="s">
        <v>475</v>
      </c>
      <c r="B461" s="3">
        <v>6.3</v>
      </c>
      <c r="C461" s="3">
        <v>7.23</v>
      </c>
      <c r="D461" s="3">
        <v>7.84</v>
      </c>
      <c r="E461" s="3">
        <v>8.1300000000000008</v>
      </c>
      <c r="F461" s="3">
        <v>8.19</v>
      </c>
      <c r="G461" s="3">
        <v>8.25</v>
      </c>
      <c r="H461" s="3">
        <v>8.3699999999999992</v>
      </c>
      <c r="I461" s="3">
        <v>8.81</v>
      </c>
      <c r="J461" s="3">
        <v>9.1300000000000008</v>
      </c>
      <c r="K461" s="3">
        <v>9.93</v>
      </c>
      <c r="L461" s="3">
        <v>10.44</v>
      </c>
      <c r="M461" s="3">
        <v>10.76</v>
      </c>
      <c r="N461" s="3">
        <v>11.11</v>
      </c>
      <c r="O461" s="3">
        <v>11.46</v>
      </c>
      <c r="P461" s="3">
        <v>11.55</v>
      </c>
      <c r="Q461" s="3">
        <v>11.59</v>
      </c>
      <c r="R461" s="3">
        <v>11.2</v>
      </c>
    </row>
    <row r="462" spans="1:18" x14ac:dyDescent="0.25">
      <c r="A462" s="4" t="s">
        <v>476</v>
      </c>
      <c r="B462" s="3">
        <v>7.29</v>
      </c>
      <c r="C462" s="3">
        <v>7.73</v>
      </c>
      <c r="D462" s="3">
        <v>8.0299999999999994</v>
      </c>
      <c r="E462" s="3">
        <v>8.19</v>
      </c>
      <c r="F462" s="3">
        <v>8.27</v>
      </c>
      <c r="G462" s="3">
        <v>8.35</v>
      </c>
      <c r="H462" s="3">
        <v>8.44</v>
      </c>
      <c r="I462" s="3">
        <v>8.73</v>
      </c>
      <c r="J462" s="3">
        <v>8.98</v>
      </c>
      <c r="K462" s="3">
        <v>9.76</v>
      </c>
      <c r="L462" s="3">
        <v>10.220000000000001</v>
      </c>
      <c r="M462" s="3">
        <v>10.53</v>
      </c>
      <c r="N462" s="3">
        <v>10.78</v>
      </c>
      <c r="O462" s="3">
        <v>11.12</v>
      </c>
      <c r="P462" s="3">
        <v>11.31</v>
      </c>
      <c r="Q462" s="3">
        <v>11.18</v>
      </c>
      <c r="R462" s="3">
        <v>10.93</v>
      </c>
    </row>
    <row r="463" spans="1:18" x14ac:dyDescent="0.25">
      <c r="A463" s="4" t="s">
        <v>477</v>
      </c>
      <c r="B463" s="3">
        <v>6.77</v>
      </c>
      <c r="C463" s="3">
        <v>7.67</v>
      </c>
      <c r="D463" s="3">
        <v>8.32</v>
      </c>
      <c r="E463" s="3">
        <v>8.7100000000000009</v>
      </c>
      <c r="F463" s="3">
        <v>8.91</v>
      </c>
      <c r="G463" s="3">
        <v>9.0399999999999991</v>
      </c>
      <c r="H463" s="3">
        <v>9.1300000000000008</v>
      </c>
      <c r="I463" s="3">
        <v>9.36</v>
      </c>
      <c r="J463" s="3">
        <v>9.65</v>
      </c>
      <c r="K463" s="3">
        <v>10.46</v>
      </c>
      <c r="L463" s="3">
        <v>10.93</v>
      </c>
      <c r="M463" s="3">
        <v>11.24</v>
      </c>
      <c r="N463" s="3">
        <v>11.5</v>
      </c>
      <c r="O463" s="3">
        <v>11.86</v>
      </c>
      <c r="P463" s="3">
        <v>12.03</v>
      </c>
      <c r="Q463" s="3">
        <v>11.96</v>
      </c>
      <c r="R463" s="3">
        <v>11.87</v>
      </c>
    </row>
    <row r="464" spans="1:18" x14ac:dyDescent="0.25">
      <c r="A464" s="4" t="s">
        <v>478</v>
      </c>
      <c r="B464" s="3">
        <v>7.67</v>
      </c>
      <c r="C464" s="3">
        <v>8.0399999999999991</v>
      </c>
      <c r="D464" s="3">
        <v>8.32</v>
      </c>
      <c r="E464" s="3">
        <v>8.51</v>
      </c>
      <c r="F464" s="3">
        <v>8.66</v>
      </c>
      <c r="G464" s="3">
        <v>8.77</v>
      </c>
      <c r="H464" s="3">
        <v>8.8699999999999992</v>
      </c>
      <c r="I464" s="3">
        <v>9.14</v>
      </c>
      <c r="J464" s="3">
        <v>9.42</v>
      </c>
      <c r="K464" s="3">
        <v>10.3</v>
      </c>
      <c r="L464" s="3">
        <v>10.68</v>
      </c>
      <c r="M464" s="3">
        <v>11.03</v>
      </c>
      <c r="N464" s="3">
        <v>11.28</v>
      </c>
      <c r="O464" s="3">
        <v>11.59</v>
      </c>
      <c r="P464" s="3">
        <v>11.73</v>
      </c>
      <c r="Q464" s="3">
        <v>11.84</v>
      </c>
      <c r="R464" s="3">
        <v>11.39</v>
      </c>
    </row>
    <row r="465" spans="1:18" x14ac:dyDescent="0.25">
      <c r="A465" s="4" t="s">
        <v>479</v>
      </c>
      <c r="B465" s="3">
        <v>7.24</v>
      </c>
      <c r="C465" s="3">
        <v>7.52</v>
      </c>
      <c r="D465" s="3">
        <v>7.76</v>
      </c>
      <c r="E465" s="3">
        <v>7.98</v>
      </c>
      <c r="F465" s="3">
        <v>8.16</v>
      </c>
      <c r="G465" s="3">
        <v>8.3000000000000007</v>
      </c>
      <c r="H465" s="3">
        <v>8.39</v>
      </c>
      <c r="I465" s="3">
        <v>8.6199999999999992</v>
      </c>
      <c r="J465" s="3">
        <v>8.94</v>
      </c>
      <c r="K465" s="3">
        <v>9.7899999999999991</v>
      </c>
      <c r="L465" s="3">
        <v>10.28</v>
      </c>
      <c r="M465" s="3">
        <v>10.6</v>
      </c>
      <c r="N465" s="3">
        <v>10.9</v>
      </c>
      <c r="O465" s="3">
        <v>11.4</v>
      </c>
      <c r="P465" s="3">
        <v>11.61</v>
      </c>
      <c r="Q465" s="3">
        <v>11.71</v>
      </c>
      <c r="R465" s="3">
        <v>11.46</v>
      </c>
    </row>
    <row r="466" spans="1:18" x14ac:dyDescent="0.25">
      <c r="A466" s="4" t="s">
        <v>480</v>
      </c>
      <c r="B466" s="3">
        <v>6.69</v>
      </c>
      <c r="C466" s="3">
        <v>7</v>
      </c>
      <c r="D466" s="3">
        <v>7.2</v>
      </c>
      <c r="E466" s="3">
        <v>7.32</v>
      </c>
      <c r="F466" s="3">
        <v>7.39</v>
      </c>
      <c r="G466" s="3">
        <v>7.43</v>
      </c>
      <c r="H466" s="3">
        <v>7.48</v>
      </c>
      <c r="I466" s="3">
        <v>7.67</v>
      </c>
      <c r="J466" s="3">
        <v>8.01</v>
      </c>
      <c r="K466" s="3">
        <v>8.84</v>
      </c>
      <c r="L466" s="3">
        <v>9.31</v>
      </c>
      <c r="M466" s="3">
        <v>9.58</v>
      </c>
      <c r="N466" s="3">
        <v>9.86</v>
      </c>
      <c r="O466" s="3">
        <v>10.33</v>
      </c>
      <c r="P466" s="3">
        <v>10.82</v>
      </c>
      <c r="Q466" s="3">
        <v>10.8</v>
      </c>
      <c r="R466" s="3">
        <v>10.62</v>
      </c>
    </row>
    <row r="467" spans="1:18" x14ac:dyDescent="0.25">
      <c r="A467" s="4" t="s">
        <v>481</v>
      </c>
      <c r="B467" s="3">
        <v>6.49</v>
      </c>
      <c r="C467" s="3">
        <v>6.72</v>
      </c>
      <c r="D467" s="3">
        <v>6.9</v>
      </c>
      <c r="E467" s="3">
        <v>7.03</v>
      </c>
      <c r="F467" s="3">
        <v>7.13</v>
      </c>
      <c r="G467" s="3">
        <v>7.2</v>
      </c>
      <c r="H467" s="3">
        <v>7.25</v>
      </c>
      <c r="I467" s="3">
        <v>7.45</v>
      </c>
      <c r="J467" s="3">
        <v>7.75</v>
      </c>
      <c r="K467" s="3">
        <v>8.64</v>
      </c>
      <c r="L467" s="3">
        <v>9.16</v>
      </c>
      <c r="M467" s="3">
        <v>9.56</v>
      </c>
      <c r="N467" s="3">
        <v>9.85</v>
      </c>
      <c r="O467" s="3">
        <v>10.29</v>
      </c>
      <c r="P467" s="3">
        <v>10.65</v>
      </c>
      <c r="Q467" s="3">
        <v>10.91</v>
      </c>
      <c r="R467" s="3">
        <v>10.35</v>
      </c>
    </row>
    <row r="468" spans="1:18" x14ac:dyDescent="0.25">
      <c r="A468" s="4" t="s">
        <v>482</v>
      </c>
      <c r="B468" s="3">
        <v>6.82</v>
      </c>
      <c r="C468" s="3">
        <v>7.06</v>
      </c>
      <c r="D468" s="3">
        <v>7.25</v>
      </c>
      <c r="E468" s="3">
        <v>7.4</v>
      </c>
      <c r="F468" s="3">
        <v>7.51</v>
      </c>
      <c r="G468" s="3">
        <v>7.6</v>
      </c>
      <c r="H468" s="3">
        <v>7.66</v>
      </c>
      <c r="I468" s="3">
        <v>7.84</v>
      </c>
      <c r="J468" s="3">
        <v>8.09</v>
      </c>
      <c r="K468" s="3">
        <v>8.98</v>
      </c>
      <c r="L468" s="3">
        <v>9.51</v>
      </c>
      <c r="M468" s="3">
        <v>9.91</v>
      </c>
      <c r="N468" s="3">
        <v>10.17</v>
      </c>
      <c r="O468" s="3">
        <v>10.65</v>
      </c>
      <c r="P468" s="3">
        <v>10.99</v>
      </c>
      <c r="Q468" s="3">
        <v>11.11</v>
      </c>
      <c r="R468" s="3">
        <v>10.67</v>
      </c>
    </row>
    <row r="469" spans="1:18" x14ac:dyDescent="0.25">
      <c r="A469" s="4" t="s">
        <v>483</v>
      </c>
      <c r="B469" s="3">
        <v>7.35</v>
      </c>
      <c r="C469" s="3">
        <v>7.24</v>
      </c>
      <c r="D469" s="3">
        <v>7.22</v>
      </c>
      <c r="E469" s="3">
        <v>7.27</v>
      </c>
      <c r="F469" s="3">
        <v>7.36</v>
      </c>
      <c r="G469" s="3">
        <v>7.46</v>
      </c>
      <c r="H469" s="3">
        <v>7.55</v>
      </c>
      <c r="I469" s="3">
        <v>7.76</v>
      </c>
      <c r="J469" s="3">
        <v>7.93</v>
      </c>
      <c r="K469" s="3">
        <v>8.8000000000000007</v>
      </c>
      <c r="L469" s="3">
        <v>9.33</v>
      </c>
      <c r="M469" s="3">
        <v>9.58</v>
      </c>
      <c r="N469" s="3">
        <v>9.8000000000000007</v>
      </c>
      <c r="O469" s="3">
        <v>10.33</v>
      </c>
      <c r="P469" s="3">
        <v>10.9</v>
      </c>
      <c r="Q469" s="3">
        <v>10.82</v>
      </c>
      <c r="R469" s="3">
        <v>10.07</v>
      </c>
    </row>
    <row r="470" spans="1:18" x14ac:dyDescent="0.25">
      <c r="A470" s="4" t="s">
        <v>484</v>
      </c>
      <c r="B470" s="3">
        <v>7.02</v>
      </c>
      <c r="C470" s="3">
        <v>7.11</v>
      </c>
      <c r="D470" s="3">
        <v>7.19</v>
      </c>
      <c r="E470" s="3">
        <v>7.26</v>
      </c>
      <c r="F470" s="3">
        <v>7.31</v>
      </c>
      <c r="G470" s="3">
        <v>7.38</v>
      </c>
      <c r="H470" s="3">
        <v>7.44</v>
      </c>
      <c r="I470" s="3">
        <v>7.7</v>
      </c>
      <c r="J470" s="3">
        <v>8.02</v>
      </c>
      <c r="K470" s="3">
        <v>8.74</v>
      </c>
      <c r="L470" s="3">
        <v>9.26</v>
      </c>
      <c r="M470" s="3">
        <v>9.5399999999999991</v>
      </c>
      <c r="N470" s="3">
        <v>9.85</v>
      </c>
      <c r="O470" s="3">
        <v>10.46</v>
      </c>
      <c r="P470" s="3">
        <v>11.02</v>
      </c>
      <c r="Q470" s="3">
        <v>10.98</v>
      </c>
      <c r="R470" s="3">
        <v>10.38</v>
      </c>
    </row>
    <row r="471" spans="1:18" x14ac:dyDescent="0.25">
      <c r="A471" s="4" t="s">
        <v>485</v>
      </c>
      <c r="B471" s="3">
        <v>6.95</v>
      </c>
      <c r="C471" s="3">
        <v>7.16</v>
      </c>
      <c r="D471" s="3">
        <v>7.3</v>
      </c>
      <c r="E471" s="3">
        <v>7.35</v>
      </c>
      <c r="F471" s="3">
        <v>7.39</v>
      </c>
      <c r="G471" s="3">
        <v>7.44</v>
      </c>
      <c r="H471" s="3">
        <v>7.51</v>
      </c>
      <c r="I471" s="3">
        <v>7.68</v>
      </c>
      <c r="J471" s="3">
        <v>7.81</v>
      </c>
      <c r="K471" s="3">
        <v>8.58</v>
      </c>
      <c r="L471" s="3">
        <v>9</v>
      </c>
      <c r="M471" s="3">
        <v>9.2200000000000006</v>
      </c>
      <c r="N471" s="3">
        <v>9.5299999999999994</v>
      </c>
      <c r="O471" s="3">
        <v>10.08</v>
      </c>
      <c r="P471" s="3">
        <v>10.73</v>
      </c>
      <c r="Q471" s="3">
        <v>10.47</v>
      </c>
      <c r="R471" s="3">
        <v>9.57</v>
      </c>
    </row>
    <row r="472" spans="1:18" x14ac:dyDescent="0.25">
      <c r="A472" s="4" t="s">
        <v>486</v>
      </c>
      <c r="B472" s="3">
        <v>5.66</v>
      </c>
      <c r="C472" s="3">
        <v>6.59</v>
      </c>
      <c r="D472" s="3">
        <v>7.16</v>
      </c>
      <c r="E472" s="3">
        <v>7.38</v>
      </c>
      <c r="F472" s="3">
        <v>7.4</v>
      </c>
      <c r="G472" s="3">
        <v>7.41</v>
      </c>
      <c r="H472" s="3">
        <v>7.46</v>
      </c>
      <c r="I472" s="3">
        <v>7.65</v>
      </c>
      <c r="J472" s="3">
        <v>7.75</v>
      </c>
      <c r="K472" s="3">
        <v>8.32</v>
      </c>
      <c r="L472" s="3">
        <v>8.65</v>
      </c>
      <c r="M472" s="3">
        <v>8.9700000000000006</v>
      </c>
      <c r="N472" s="3">
        <v>9.24</v>
      </c>
      <c r="O472" s="3">
        <v>9.59</v>
      </c>
      <c r="P472" s="3">
        <v>10.119999999999999</v>
      </c>
      <c r="Q472" s="3">
        <v>10.31</v>
      </c>
      <c r="R472" s="3">
        <v>9.7899999999999991</v>
      </c>
    </row>
    <row r="473" spans="1:18" x14ac:dyDescent="0.25">
      <c r="A473" s="4" t="s">
        <v>487</v>
      </c>
      <c r="B473" s="3">
        <v>5.19</v>
      </c>
      <c r="C473" s="3">
        <v>6.24</v>
      </c>
      <c r="D473" s="3">
        <v>6.9</v>
      </c>
      <c r="E473" s="3">
        <v>7.17</v>
      </c>
      <c r="F473" s="3">
        <v>7.23</v>
      </c>
      <c r="G473" s="3">
        <v>7.26</v>
      </c>
      <c r="H473" s="3">
        <v>7.3</v>
      </c>
      <c r="I473" s="3">
        <v>7.42</v>
      </c>
      <c r="J473" s="3">
        <v>7.5</v>
      </c>
      <c r="K473" s="3">
        <v>7.88</v>
      </c>
      <c r="L473" s="3">
        <v>8.2200000000000006</v>
      </c>
      <c r="M473" s="3">
        <v>8.39</v>
      </c>
      <c r="N473" s="3">
        <v>8.56</v>
      </c>
      <c r="O473" s="3">
        <v>9.02</v>
      </c>
      <c r="P473" s="3">
        <v>9.6</v>
      </c>
      <c r="Q473" s="3">
        <v>9.82</v>
      </c>
      <c r="R473" s="3">
        <v>9.35</v>
      </c>
    </row>
    <row r="474" spans="1:18" x14ac:dyDescent="0.25">
      <c r="A474" s="4" t="s">
        <v>488</v>
      </c>
      <c r="B474" s="3">
        <v>6.38</v>
      </c>
      <c r="C474" s="3">
        <v>6.81</v>
      </c>
      <c r="D474" s="3">
        <v>7.06</v>
      </c>
      <c r="E474" s="3">
        <v>7.16</v>
      </c>
      <c r="F474" s="3">
        <v>7.19</v>
      </c>
      <c r="G474" s="3">
        <v>7.22</v>
      </c>
      <c r="H474" s="3">
        <v>7.27</v>
      </c>
      <c r="I474" s="3">
        <v>7.4</v>
      </c>
      <c r="J474" s="3">
        <v>7.48</v>
      </c>
      <c r="K474" s="3">
        <v>7.92</v>
      </c>
      <c r="L474" s="3">
        <v>8.19</v>
      </c>
      <c r="M474" s="3">
        <v>8.4600000000000009</v>
      </c>
      <c r="N474" s="3">
        <v>8.66</v>
      </c>
      <c r="O474" s="3">
        <v>9.2799999999999994</v>
      </c>
      <c r="P474" s="3">
        <v>9.7799999999999994</v>
      </c>
      <c r="Q474" s="3">
        <v>9.56</v>
      </c>
      <c r="R474" s="3">
        <v>8.9</v>
      </c>
    </row>
    <row r="475" spans="1:18" x14ac:dyDescent="0.25">
      <c r="A475" s="4" t="s">
        <v>489</v>
      </c>
      <c r="B475" s="3">
        <v>6.51</v>
      </c>
      <c r="C475" s="3">
        <v>6.89</v>
      </c>
      <c r="D475" s="3">
        <v>7.12</v>
      </c>
      <c r="E475" s="3">
        <v>7.2</v>
      </c>
      <c r="F475" s="3">
        <v>7.2</v>
      </c>
      <c r="G475" s="3">
        <v>7.2</v>
      </c>
      <c r="H475" s="3">
        <v>7.22</v>
      </c>
      <c r="I475" s="3">
        <v>7.29</v>
      </c>
      <c r="J475" s="3">
        <v>7.33</v>
      </c>
      <c r="K475" s="3">
        <v>7.65</v>
      </c>
      <c r="L475" s="3">
        <v>7.76</v>
      </c>
      <c r="M475" s="3">
        <v>7.9</v>
      </c>
      <c r="N475" s="3">
        <v>8.02</v>
      </c>
      <c r="O475" s="3">
        <v>8.1199999999999992</v>
      </c>
      <c r="P475" s="3">
        <v>8.4700000000000006</v>
      </c>
      <c r="Q475" s="3">
        <v>8.5299999999999994</v>
      </c>
      <c r="R475" s="3">
        <v>8.27</v>
      </c>
    </row>
    <row r="476" spans="1:18" x14ac:dyDescent="0.25">
      <c r="A476" s="4" t="s">
        <v>490</v>
      </c>
      <c r="B476" s="3">
        <v>6.73</v>
      </c>
      <c r="C476" s="3">
        <v>6.58</v>
      </c>
      <c r="D476" s="3">
        <v>6.49</v>
      </c>
      <c r="E476" s="3">
        <v>6.46</v>
      </c>
      <c r="F476" s="3">
        <v>6.47</v>
      </c>
      <c r="G476" s="3">
        <v>6.47</v>
      </c>
      <c r="H476" s="3">
        <v>6.47</v>
      </c>
      <c r="I476" s="3">
        <v>6.56</v>
      </c>
      <c r="J476" s="3">
        <v>6.72</v>
      </c>
      <c r="K476" s="3">
        <v>6.92</v>
      </c>
      <c r="L476" s="3">
        <v>7.06</v>
      </c>
      <c r="M476" s="3">
        <v>7.24</v>
      </c>
      <c r="N476" s="3">
        <v>7.32</v>
      </c>
      <c r="O476" s="3">
        <v>7.43</v>
      </c>
      <c r="P476" s="3">
        <v>7.61</v>
      </c>
      <c r="Q476" s="3">
        <v>7.88</v>
      </c>
      <c r="R476" s="3">
        <v>7.9</v>
      </c>
    </row>
    <row r="477" spans="1:18" x14ac:dyDescent="0.25">
      <c r="A477" s="4" t="s">
        <v>491</v>
      </c>
      <c r="B477" s="3">
        <v>5.82</v>
      </c>
      <c r="C477" s="3">
        <v>5.98</v>
      </c>
      <c r="D477" s="3">
        <v>6.1</v>
      </c>
      <c r="E477" s="3">
        <v>6.18</v>
      </c>
      <c r="F477" s="3">
        <v>6.23</v>
      </c>
      <c r="G477" s="3">
        <v>6.27</v>
      </c>
      <c r="H477" s="3">
        <v>6.3</v>
      </c>
      <c r="I477" s="3">
        <v>6.39</v>
      </c>
      <c r="J477" s="3">
        <v>6.49</v>
      </c>
      <c r="K477" s="3">
        <v>6.91</v>
      </c>
      <c r="L477" s="3">
        <v>7.07</v>
      </c>
      <c r="M477" s="3">
        <v>7.22</v>
      </c>
      <c r="N477" s="3">
        <v>7.31</v>
      </c>
      <c r="O477" s="3">
        <v>7.48</v>
      </c>
      <c r="P477" s="3">
        <v>7.73</v>
      </c>
      <c r="Q477" s="3">
        <v>8.11</v>
      </c>
      <c r="R477" s="3">
        <v>8.11</v>
      </c>
    </row>
    <row r="478" spans="1:18" x14ac:dyDescent="0.25">
      <c r="A478" s="4" t="s">
        <v>492</v>
      </c>
      <c r="B478" s="3">
        <v>6.11</v>
      </c>
      <c r="C478" s="3">
        <v>6.23</v>
      </c>
      <c r="D478" s="3">
        <v>6.34</v>
      </c>
      <c r="E478" s="3">
        <v>6.43</v>
      </c>
      <c r="F478" s="3">
        <v>6.5</v>
      </c>
      <c r="G478" s="3">
        <v>6.55</v>
      </c>
      <c r="H478" s="3">
        <v>6.6</v>
      </c>
      <c r="I478" s="3">
        <v>6.71</v>
      </c>
      <c r="J478" s="3">
        <v>6.87</v>
      </c>
      <c r="K478" s="3">
        <v>7.39</v>
      </c>
      <c r="L478" s="3">
        <v>7.76</v>
      </c>
      <c r="M478" s="3">
        <v>7.98</v>
      </c>
      <c r="N478" s="3">
        <v>8.02</v>
      </c>
      <c r="O478" s="3">
        <v>8.2100000000000009</v>
      </c>
      <c r="P478" s="3">
        <v>8.49</v>
      </c>
      <c r="Q478" s="3">
        <v>9.0299999999999994</v>
      </c>
      <c r="R478" s="3">
        <v>8.9499999999999993</v>
      </c>
    </row>
    <row r="479" spans="1:18" x14ac:dyDescent="0.25">
      <c r="A479" s="4" t="s">
        <v>493</v>
      </c>
      <c r="B479" s="3">
        <v>5.96</v>
      </c>
      <c r="C479" s="3">
        <v>6.01</v>
      </c>
      <c r="D479" s="3">
        <v>6.06</v>
      </c>
      <c r="E479" s="3">
        <v>6.11</v>
      </c>
      <c r="F479" s="3">
        <v>6.15</v>
      </c>
      <c r="G479" s="3">
        <v>6.17</v>
      </c>
      <c r="H479" s="3">
        <v>6.17</v>
      </c>
      <c r="I479" s="3">
        <v>6.23</v>
      </c>
      <c r="J479" s="3">
        <v>6.41</v>
      </c>
      <c r="K479" s="3">
        <v>6.86</v>
      </c>
      <c r="L479" s="3">
        <v>7.15</v>
      </c>
      <c r="M479" s="3">
        <v>7.3</v>
      </c>
      <c r="N479" s="3">
        <v>7.37</v>
      </c>
      <c r="O479" s="3">
        <v>7.49</v>
      </c>
      <c r="P479" s="3">
        <v>7.9</v>
      </c>
      <c r="Q479" s="3">
        <v>8.67</v>
      </c>
      <c r="R479" s="3">
        <v>8.6300000000000008</v>
      </c>
    </row>
    <row r="480" spans="1:18" x14ac:dyDescent="0.25">
      <c r="A480" s="4" t="s">
        <v>494</v>
      </c>
      <c r="B480" s="3">
        <v>5.08</v>
      </c>
      <c r="C480" s="3">
        <v>5.5</v>
      </c>
      <c r="D480" s="3">
        <v>5.77</v>
      </c>
      <c r="E480" s="3">
        <v>5.88</v>
      </c>
      <c r="F480" s="3">
        <v>5.92</v>
      </c>
      <c r="G480" s="3">
        <v>5.93</v>
      </c>
      <c r="H480" s="3">
        <v>5.94</v>
      </c>
      <c r="I480" s="3">
        <v>6.03</v>
      </c>
      <c r="J480" s="3">
        <v>6.18</v>
      </c>
      <c r="K480" s="3">
        <v>6.61</v>
      </c>
      <c r="L480" s="3">
        <v>6.89</v>
      </c>
      <c r="M480" s="3">
        <v>7.1</v>
      </c>
      <c r="N480" s="3">
        <v>7.22</v>
      </c>
      <c r="O480" s="3">
        <v>7.64</v>
      </c>
      <c r="P480" s="3">
        <v>8.2200000000000006</v>
      </c>
      <c r="Q480" s="3">
        <v>8.69</v>
      </c>
      <c r="R480" s="3">
        <v>8.34</v>
      </c>
    </row>
    <row r="481" spans="1:18" x14ac:dyDescent="0.25">
      <c r="A481" s="4" t="s">
        <v>495</v>
      </c>
      <c r="B481" s="3">
        <v>4.37</v>
      </c>
      <c r="C481" s="3">
        <v>4.8600000000000003</v>
      </c>
      <c r="D481" s="3">
        <v>5.15</v>
      </c>
      <c r="E481" s="3">
        <v>5.24</v>
      </c>
      <c r="F481" s="3">
        <v>5.23</v>
      </c>
      <c r="G481" s="3">
        <v>5.23</v>
      </c>
      <c r="H481" s="3">
        <v>5.26</v>
      </c>
      <c r="I481" s="3">
        <v>5.4</v>
      </c>
      <c r="J481" s="3">
        <v>5.48</v>
      </c>
      <c r="K481" s="3">
        <v>5.99</v>
      </c>
      <c r="L481" s="3">
        <v>6.25</v>
      </c>
      <c r="M481" s="3">
        <v>6.51</v>
      </c>
      <c r="N481" s="3">
        <v>6.65</v>
      </c>
      <c r="O481" s="3">
        <v>7.35</v>
      </c>
      <c r="P481" s="3">
        <v>7.79</v>
      </c>
      <c r="Q481" s="3">
        <v>8.11</v>
      </c>
      <c r="R481" s="3">
        <v>7.88</v>
      </c>
    </row>
    <row r="482" spans="1:18" x14ac:dyDescent="0.25">
      <c r="A482" s="4" t="s">
        <v>496</v>
      </c>
      <c r="B482" s="3">
        <v>5.14</v>
      </c>
      <c r="C482" s="3">
        <v>5.2</v>
      </c>
      <c r="D482" s="3">
        <v>5.26</v>
      </c>
      <c r="E482" s="3">
        <v>5.32</v>
      </c>
      <c r="F482" s="3">
        <v>5.38</v>
      </c>
      <c r="G482" s="3">
        <v>5.45</v>
      </c>
      <c r="H482" s="3">
        <v>5.53</v>
      </c>
      <c r="I482" s="3">
        <v>5.7</v>
      </c>
      <c r="J482" s="3">
        <v>5.82</v>
      </c>
      <c r="K482" s="3">
        <v>6.44</v>
      </c>
      <c r="L482" s="3">
        <v>6.79</v>
      </c>
      <c r="M482" s="3">
        <v>7.07</v>
      </c>
      <c r="N482" s="3">
        <v>7.24</v>
      </c>
      <c r="O482" s="3">
        <v>7.86</v>
      </c>
      <c r="P482" s="3">
        <v>8.3800000000000008</v>
      </c>
      <c r="Q482" s="3">
        <v>8.73</v>
      </c>
      <c r="R482" s="3">
        <v>8.4700000000000006</v>
      </c>
    </row>
    <row r="483" spans="1:18" x14ac:dyDescent="0.25">
      <c r="A483" s="4" t="s">
        <v>497</v>
      </c>
      <c r="B483" s="3">
        <v>4.6500000000000004</v>
      </c>
      <c r="C483" s="3">
        <v>5.03</v>
      </c>
      <c r="D483" s="3">
        <v>5.24</v>
      </c>
      <c r="E483" s="3">
        <v>5.3</v>
      </c>
      <c r="F483" s="3">
        <v>5.32</v>
      </c>
      <c r="G483" s="3">
        <v>5.36</v>
      </c>
      <c r="H483" s="3">
        <v>5.41</v>
      </c>
      <c r="I483" s="3">
        <v>5.57</v>
      </c>
      <c r="J483" s="3">
        <v>5.69</v>
      </c>
      <c r="K483" s="3">
        <v>6.2</v>
      </c>
      <c r="L483" s="3">
        <v>6.51</v>
      </c>
      <c r="M483" s="3">
        <v>6.76</v>
      </c>
      <c r="N483" s="3">
        <v>6.93</v>
      </c>
      <c r="O483" s="3">
        <v>7.64</v>
      </c>
      <c r="P483" s="3">
        <v>8.23</v>
      </c>
      <c r="Q483" s="3">
        <v>8.33</v>
      </c>
      <c r="R483" s="3">
        <v>7.84</v>
      </c>
    </row>
    <row r="484" spans="1:18" x14ac:dyDescent="0.25">
      <c r="A484" s="4" t="s">
        <v>498</v>
      </c>
      <c r="B484" s="3">
        <v>5.0599999999999996</v>
      </c>
      <c r="C484" s="3">
        <v>5.24</v>
      </c>
      <c r="D484" s="3">
        <v>5.37</v>
      </c>
      <c r="E484" s="3">
        <v>5.46</v>
      </c>
      <c r="F484" s="3">
        <v>5.51</v>
      </c>
      <c r="G484" s="3">
        <v>5.54</v>
      </c>
      <c r="H484" s="3">
        <v>5.56</v>
      </c>
      <c r="I484" s="3">
        <v>5.61</v>
      </c>
      <c r="J484" s="3">
        <v>5.7</v>
      </c>
      <c r="K484" s="3">
        <v>6.13</v>
      </c>
      <c r="L484" s="3">
        <v>6.4</v>
      </c>
      <c r="M484" s="3">
        <v>6.6</v>
      </c>
      <c r="N484" s="3">
        <v>6.74</v>
      </c>
      <c r="O484" s="3">
        <v>7.28</v>
      </c>
      <c r="P484" s="3">
        <v>8.01</v>
      </c>
      <c r="Q484" s="3">
        <v>8.5299999999999994</v>
      </c>
      <c r="R484" s="3">
        <v>8.16</v>
      </c>
    </row>
    <row r="485" spans="1:18" x14ac:dyDescent="0.25">
      <c r="A485" s="4" t="s">
        <v>499</v>
      </c>
      <c r="B485" s="3">
        <v>4.07</v>
      </c>
      <c r="C485" s="3">
        <v>5</v>
      </c>
      <c r="D485" s="3">
        <v>5.57</v>
      </c>
      <c r="E485" s="3">
        <v>5.8</v>
      </c>
      <c r="F485" s="3">
        <v>5.81</v>
      </c>
      <c r="G485" s="3">
        <v>5.78</v>
      </c>
      <c r="H485" s="3">
        <v>5.77</v>
      </c>
      <c r="I485" s="3">
        <v>5.82</v>
      </c>
      <c r="J485" s="3">
        <v>5.95</v>
      </c>
      <c r="K485" s="3">
        <v>6.37</v>
      </c>
      <c r="L485" s="3">
        <v>6.7</v>
      </c>
      <c r="M485" s="3">
        <v>6.7</v>
      </c>
      <c r="N485" s="3">
        <v>6.81</v>
      </c>
      <c r="O485" s="3">
        <v>7.33</v>
      </c>
      <c r="P485" s="3">
        <v>8.0299999999999994</v>
      </c>
      <c r="Q485" s="3">
        <v>8.6199999999999992</v>
      </c>
      <c r="R485" s="3">
        <v>8.32</v>
      </c>
    </row>
    <row r="486" spans="1:18" x14ac:dyDescent="0.25">
      <c r="A486" s="4" t="s">
        <v>500</v>
      </c>
      <c r="B486" s="3">
        <v>5.23</v>
      </c>
      <c r="C486" s="3">
        <v>5.51</v>
      </c>
      <c r="D486" s="3">
        <v>5.67</v>
      </c>
      <c r="E486" s="3">
        <v>5.7</v>
      </c>
      <c r="F486" s="3">
        <v>5.7</v>
      </c>
      <c r="G486" s="3">
        <v>5.71</v>
      </c>
      <c r="H486" s="3">
        <v>5.74</v>
      </c>
      <c r="I486" s="3">
        <v>5.84</v>
      </c>
      <c r="J486" s="3">
        <v>5.88</v>
      </c>
      <c r="K486" s="3">
        <v>6.25</v>
      </c>
      <c r="L486" s="3">
        <v>6.46</v>
      </c>
      <c r="M486" s="3">
        <v>6.63</v>
      </c>
      <c r="N486" s="3">
        <v>6.78</v>
      </c>
      <c r="O486" s="3">
        <v>7.35</v>
      </c>
      <c r="P486" s="3">
        <v>7.94</v>
      </c>
      <c r="Q486" s="3">
        <v>8.33</v>
      </c>
      <c r="R486" s="3">
        <v>8.0399999999999991</v>
      </c>
    </row>
    <row r="487" spans="1:18" x14ac:dyDescent="0.25">
      <c r="A487" s="4" t="s">
        <v>501</v>
      </c>
      <c r="B487" s="3">
        <v>5.44</v>
      </c>
      <c r="C487" s="3">
        <v>5.49</v>
      </c>
      <c r="D487" s="3">
        <v>5.53</v>
      </c>
      <c r="E487" s="3">
        <v>5.55</v>
      </c>
      <c r="F487" s="3">
        <v>5.58</v>
      </c>
      <c r="G487" s="3">
        <v>5.61</v>
      </c>
      <c r="H487" s="3">
        <v>5.65</v>
      </c>
      <c r="I487" s="3">
        <v>5.77</v>
      </c>
      <c r="J487" s="3">
        <v>5.89</v>
      </c>
      <c r="K487" s="3">
        <v>6.29</v>
      </c>
      <c r="L487" s="3">
        <v>6.48</v>
      </c>
      <c r="M487" s="3">
        <v>6.64</v>
      </c>
      <c r="N487" s="3">
        <v>6.76</v>
      </c>
      <c r="O487" s="3">
        <v>7.27</v>
      </c>
      <c r="P487" s="3">
        <v>7.82</v>
      </c>
      <c r="Q487" s="3">
        <v>8.1999999999999993</v>
      </c>
      <c r="R487" s="3">
        <v>7.98</v>
      </c>
    </row>
    <row r="488" spans="1:18" x14ac:dyDescent="0.25">
      <c r="A488" s="4"/>
    </row>
    <row r="489" spans="1:18" x14ac:dyDescent="0.25">
      <c r="A489" s="4"/>
    </row>
    <row r="490" spans="1:18" x14ac:dyDescent="0.25">
      <c r="A490" s="4"/>
    </row>
    <row r="491" spans="1:18" x14ac:dyDescent="0.25">
      <c r="A491" s="4"/>
    </row>
    <row r="492" spans="1:18" x14ac:dyDescent="0.25">
      <c r="A492" s="4"/>
    </row>
    <row r="493" spans="1:18" x14ac:dyDescent="0.25">
      <c r="A493" s="4"/>
    </row>
    <row r="494" spans="1:18" x14ac:dyDescent="0.25">
      <c r="A494" s="4"/>
    </row>
    <row r="495" spans="1:18" x14ac:dyDescent="0.25">
      <c r="A495" s="4"/>
    </row>
    <row r="496" spans="1:18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</row>
    <row r="497" spans="1:18" x14ac:dyDescent="0.25">
      <c r="A497" s="4"/>
      <c r="R497" s="5"/>
    </row>
    <row r="498" spans="1:18" x14ac:dyDescent="0.25">
      <c r="A498" s="4"/>
      <c r="R498" s="5"/>
    </row>
    <row r="499" spans="1:18" x14ac:dyDescent="0.25">
      <c r="A499" s="4"/>
      <c r="R499" s="5"/>
    </row>
    <row r="500" spans="1:18" x14ac:dyDescent="0.25">
      <c r="A500" s="4"/>
      <c r="R500" s="5"/>
    </row>
    <row r="501" spans="1:18" x14ac:dyDescent="0.25">
      <c r="A501" s="4"/>
      <c r="R501" s="5"/>
    </row>
    <row r="502" spans="1:18" x14ac:dyDescent="0.25">
      <c r="A502" s="4"/>
      <c r="R502" s="5"/>
    </row>
    <row r="503" spans="1:18" x14ac:dyDescent="0.25">
      <c r="A503" s="4"/>
      <c r="R503" s="5"/>
    </row>
    <row r="504" spans="1:18" x14ac:dyDescent="0.25">
      <c r="A504" s="4"/>
      <c r="R504" s="5"/>
    </row>
    <row r="505" spans="1:18" x14ac:dyDescent="0.25">
      <c r="A505" s="4"/>
      <c r="R505" s="5"/>
    </row>
    <row r="506" spans="1:18" x14ac:dyDescent="0.25">
      <c r="A506" s="4"/>
      <c r="R506" s="5"/>
    </row>
    <row r="507" spans="1:18" x14ac:dyDescent="0.25">
      <c r="A507" s="4"/>
      <c r="R507" s="5"/>
    </row>
    <row r="508" spans="1:18" x14ac:dyDescent="0.25">
      <c r="A508" s="4"/>
      <c r="R508" s="5"/>
    </row>
  </sheetData>
  <mergeCells count="1">
    <mergeCell ref="A1:Q1"/>
  </mergeCells>
  <phoneticPr fontId="1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E9AF-1F68-4AC9-A18F-5D3968CEF103}">
  <sheetPr codeName="Sheet4"/>
  <dimension ref="A2:R33"/>
  <sheetViews>
    <sheetView zoomScale="130" zoomScaleNormal="130" workbookViewId="0">
      <selection activeCell="C20" sqref="C20"/>
    </sheetView>
  </sheetViews>
  <sheetFormatPr defaultRowHeight="13.2" x14ac:dyDescent="0.25"/>
  <cols>
    <col min="1" max="16384" width="8.88671875" style="3"/>
  </cols>
  <sheetData>
    <row r="2" spans="1:18" x14ac:dyDescent="0.25">
      <c r="A2" s="6" t="s">
        <v>502</v>
      </c>
    </row>
    <row r="3" spans="1:18" x14ac:dyDescent="0.25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  <c r="I3" s="4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4" t="s">
        <v>15</v>
      </c>
      <c r="P3" s="4" t="s">
        <v>16</v>
      </c>
      <c r="Q3" s="4" t="s">
        <v>17</v>
      </c>
      <c r="R3" s="4" t="s">
        <v>18</v>
      </c>
    </row>
    <row r="4" spans="1:18" x14ac:dyDescent="0.25">
      <c r="A4" s="4" t="s">
        <v>416</v>
      </c>
      <c r="B4" s="3">
        <v>11.03</v>
      </c>
      <c r="C4" s="3">
        <v>11.87</v>
      </c>
      <c r="D4" s="3">
        <v>12.28</v>
      </c>
      <c r="E4" s="3">
        <v>12.36</v>
      </c>
      <c r="F4" s="3">
        <v>12.39</v>
      </c>
      <c r="G4" s="3">
        <v>12.43</v>
      </c>
      <c r="H4" s="3">
        <v>12.43</v>
      </c>
      <c r="I4" s="3">
        <v>12.05</v>
      </c>
      <c r="J4" s="8">
        <v>11.73</v>
      </c>
      <c r="K4" s="8">
        <v>11.31</v>
      </c>
      <c r="L4" s="8">
        <v>10.9</v>
      </c>
      <c r="M4" s="8">
        <v>10.74</v>
      </c>
      <c r="N4" s="8">
        <v>10.72</v>
      </c>
      <c r="O4" s="3">
        <v>10.9</v>
      </c>
      <c r="P4" s="3">
        <v>10.89</v>
      </c>
      <c r="Q4" s="3">
        <v>10.76</v>
      </c>
      <c r="R4" s="3">
        <v>10.52</v>
      </c>
    </row>
    <row r="7" spans="1:18" x14ac:dyDescent="0.25">
      <c r="A7" s="3" t="s">
        <v>503</v>
      </c>
    </row>
    <row r="20" spans="1:3" x14ac:dyDescent="0.25">
      <c r="B20" s="3" t="s">
        <v>504</v>
      </c>
      <c r="C20" s="3">
        <f>(1-1/(1+N4/100)^5)/((1/(1+J4/100))+1/(1+K4/100)^2+1/(1+L4/100)^3+1/(1+M4/100)^4+1/(1+N4/100)^5)</f>
        <v>0.10780392394919347</v>
      </c>
    </row>
    <row r="22" spans="1:3" x14ac:dyDescent="0.25">
      <c r="A22" s="3" t="s">
        <v>505</v>
      </c>
    </row>
    <row r="23" spans="1:3" x14ac:dyDescent="0.25">
      <c r="A23" s="3" t="s">
        <v>506</v>
      </c>
    </row>
    <row r="33" spans="1:1" x14ac:dyDescent="0.25">
      <c r="A33" s="3" t="s">
        <v>507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oleObjects>
    <mc:AlternateContent xmlns:mc="http://schemas.openxmlformats.org/markup-compatibility/2006">
      <mc:Choice Requires="x14">
        <oleObject progId="Equation.2" shapeId="2049" r:id="rId3">
          <objectPr defaultSize="0" autoPict="0" r:id="rId4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4</xdr:col>
                <xdr:colOff>60960</xdr:colOff>
                <xdr:row>17</xdr:row>
                <xdr:rowOff>30480</xdr:rowOff>
              </to>
            </anchor>
          </objectPr>
        </oleObject>
      </mc:Choice>
      <mc:Fallback>
        <oleObject progId="Equation.2" shapeId="2049" r:id="rId3"/>
      </mc:Fallback>
    </mc:AlternateContent>
    <mc:AlternateContent xmlns:mc="http://schemas.openxmlformats.org/markup-compatibility/2006">
      <mc:Choice Requires="x14">
        <oleObject progId="Equation.2" shapeId="2050" r:id="rId5">
          <objectPr defaultSize="0" autoPict="0" r:id="rId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4</xdr:col>
                <xdr:colOff>60960</xdr:colOff>
                <xdr:row>17</xdr:row>
                <xdr:rowOff>30480</xdr:rowOff>
              </to>
            </anchor>
          </objectPr>
        </oleObject>
      </mc:Choice>
      <mc:Fallback>
        <oleObject progId="Equation.2" shapeId="2050" r:id="rId5"/>
      </mc:Fallback>
    </mc:AlternateContent>
    <mc:AlternateContent xmlns:mc="http://schemas.openxmlformats.org/markup-compatibility/2006">
      <mc:Choice Requires="x14">
        <oleObject progId="Equation.2" shapeId="2051" r:id="rId7">
          <objectPr defaultSize="0" autoPict="0" r:id="rId8">
            <anchor moveWithCells="1">
              <from>
                <xdr:col>1</xdr:col>
                <xdr:colOff>22860</xdr:colOff>
                <xdr:row>23</xdr:row>
                <xdr:rowOff>99060</xdr:rowOff>
              </from>
              <to>
                <xdr:col>5</xdr:col>
                <xdr:colOff>441960</xdr:colOff>
                <xdr:row>31</xdr:row>
                <xdr:rowOff>76200</xdr:rowOff>
              </to>
            </anchor>
          </objectPr>
        </oleObject>
      </mc:Choice>
      <mc:Fallback>
        <oleObject progId="Equation.2" shapeId="2051" r:id="rId7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EA03-87B8-4152-9226-24FD57E04394}">
  <sheetPr codeName="Sheet6"/>
  <dimension ref="A1:C510"/>
  <sheetViews>
    <sheetView workbookViewId="0">
      <selection activeCell="N47" sqref="N47"/>
    </sheetView>
  </sheetViews>
  <sheetFormatPr defaultRowHeight="13.2" x14ac:dyDescent="0.25"/>
  <cols>
    <col min="1" max="16384" width="8.88671875" style="3"/>
  </cols>
  <sheetData>
    <row r="1" spans="1:3" x14ac:dyDescent="0.25">
      <c r="A1" s="5"/>
    </row>
    <row r="2" spans="1:3" x14ac:dyDescent="0.25">
      <c r="A2" s="4"/>
    </row>
    <row r="3" spans="1:3" x14ac:dyDescent="0.25">
      <c r="A3" s="4"/>
    </row>
    <row r="4" spans="1:3" x14ac:dyDescent="0.25">
      <c r="A4" s="9"/>
      <c r="B4" s="10" t="s">
        <v>508</v>
      </c>
      <c r="C4" s="11"/>
    </row>
    <row r="5" spans="1:3" x14ac:dyDescent="0.25">
      <c r="A5" s="9"/>
      <c r="B5" s="9" t="s">
        <v>509</v>
      </c>
      <c r="C5" s="6" t="s">
        <v>510</v>
      </c>
    </row>
    <row r="6" spans="1:3" x14ac:dyDescent="0.25">
      <c r="A6" s="9" t="s">
        <v>1</v>
      </c>
      <c r="B6" s="9" t="s">
        <v>511</v>
      </c>
      <c r="C6" s="6" t="s">
        <v>511</v>
      </c>
    </row>
    <row r="7" spans="1:3" ht="13.8" x14ac:dyDescent="0.25">
      <c r="A7" s="4" t="s">
        <v>19</v>
      </c>
      <c r="B7" s="12">
        <f>(1-1/(1+'[1]McCulloch data set'!N5/100)^5)/((1/(1+'[1]McCulloch data set'!J5/100))+1/(1+'[1]McCulloch data set'!K5/100)^2+1/(1+'[1]McCulloch data set'!L5/100)^3+1/(1+'[1]McCulloch data set'!M5/100)^4+1/(1+'[1]McCulloch data set'!N5/100)^5)</f>
        <v>1.4020576426887334E-2</v>
      </c>
      <c r="C7" s="12">
        <f>(1-1/(1+'[1]McCulloch data set'!N5/100)^10)/((1/(1+'[1]McCulloch data set'!J5/100))+1/(1+'[1]McCulloch data set'!K5/100)^2+1/(1+'[1]McCulloch data set'!L5/100)^3+1/(1+'[1]McCulloch data set'!M5/100)^4+1/(1+'[1]McCulloch data set'!N5/100)^5+1/(1+('[1]McCulloch data set'!N5+'[1]McCulloch data set'!O5)/2/100)^6+1/(1+('[1]McCulloch data set'!N5+'[1]McCulloch data set'!O5)/2/100)^7+1/(1+('[1]McCulloch data set'!N5+'[1]McCulloch data set'!O5)/2/100)^8+1/(1+('[1]McCulloch data set'!N5+'[1]McCulloch data set'!O5)/2/100)^9+1/(1+('[1]McCulloch data set'!O5/100)^10))</f>
        <v>1.394378316731909E-2</v>
      </c>
    </row>
    <row r="8" spans="1:3" ht="13.8" x14ac:dyDescent="0.25">
      <c r="A8" s="4" t="s">
        <v>20</v>
      </c>
      <c r="B8" s="12">
        <f>(1-1/(1+'[1]McCulloch data set'!N6/100)^5)/((1/(1+'[1]McCulloch data set'!J6/100))+1/(1+'[1]McCulloch data set'!K6/100)^2+1/(1+'[1]McCulloch data set'!L6/100)^3+1/(1+'[1]McCulloch data set'!M6/100)^4+1/(1+'[1]McCulloch data set'!N6/100)^5)</f>
        <v>1.3820922286360489E-2</v>
      </c>
      <c r="C8" s="12">
        <f>(1-1/(1+'[1]McCulloch data set'!N6/100)^10)/((1/(1+'[1]McCulloch data set'!J6/100))+1/(1+'[1]McCulloch data set'!K6/100)^2+1/(1+'[1]McCulloch data set'!L6/100)^3+1/(1+'[1]McCulloch data set'!M6/100)^4+1/(1+'[1]McCulloch data set'!N6/100)^5+1/(1+('[1]McCulloch data set'!N6+'[1]McCulloch data set'!O6)/2/100)^6+1/(1+('[1]McCulloch data set'!N6+'[1]McCulloch data set'!O6)/2/100)^7+1/(1+('[1]McCulloch data set'!N6+'[1]McCulloch data set'!O6)/2/100)^8+1/(1+('[1]McCulloch data set'!N6+'[1]McCulloch data set'!O6)/2/100)^9+1/(1+('[1]McCulloch data set'!O6/100)^10))</f>
        <v>1.3752222849215527E-2</v>
      </c>
    </row>
    <row r="9" spans="1:3" ht="13.8" x14ac:dyDescent="0.25">
      <c r="A9" s="4" t="s">
        <v>21</v>
      </c>
      <c r="B9" s="12">
        <f>(1-1/(1+'[1]McCulloch data set'!N7/100)^5)/((1/(1+'[1]McCulloch data set'!J7/100))+1/(1+'[1]McCulloch data set'!K7/100)^2+1/(1+'[1]McCulloch data set'!L7/100)^3+1/(1+'[1]McCulloch data set'!M7/100)^4+1/(1+'[1]McCulloch data set'!N7/100)^5)</f>
        <v>1.4018366286138955E-2</v>
      </c>
      <c r="C9" s="12">
        <f>(1-1/(1+'[1]McCulloch data set'!N7/100)^10)/((1/(1+'[1]McCulloch data set'!J7/100))+1/(1+'[1]McCulloch data set'!K7/100)^2+1/(1+'[1]McCulloch data set'!L7/100)^3+1/(1+'[1]McCulloch data set'!M7/100)^4+1/(1+'[1]McCulloch data set'!N7/100)^5+1/(1+('[1]McCulloch data set'!N7+'[1]McCulloch data set'!O7)/2/100)^6+1/(1+('[1]McCulloch data set'!N7+'[1]McCulloch data set'!O7)/2/100)^7+1/(1+('[1]McCulloch data set'!N7+'[1]McCulloch data set'!O7)/2/100)^8+1/(1+('[1]McCulloch data set'!N7+'[1]McCulloch data set'!O7)/2/100)^9+1/(1+('[1]McCulloch data set'!O7/100)^10))</f>
        <v>1.3942651839113331E-2</v>
      </c>
    </row>
    <row r="10" spans="1:3" ht="13.8" x14ac:dyDescent="0.25">
      <c r="A10" s="4" t="s">
        <v>22</v>
      </c>
      <c r="B10" s="12">
        <f>(1-1/(1+'[1]McCulloch data set'!N8/100)^5)/((1/(1+'[1]McCulloch data set'!J8/100))+1/(1+'[1]McCulloch data set'!K8/100)^2+1/(1+'[1]McCulloch data set'!L8/100)^3+1/(1+'[1]McCulloch data set'!M8/100)^4+1/(1+'[1]McCulloch data set'!N8/100)^5)</f>
        <v>1.3527492746611828E-2</v>
      </c>
      <c r="C10" s="12">
        <f>(1-1/(1+'[1]McCulloch data set'!N8/100)^10)/((1/(1+'[1]McCulloch data set'!J8/100))+1/(1+'[1]McCulloch data set'!K8/100)^2+1/(1+'[1]McCulloch data set'!L8/100)^3+1/(1+'[1]McCulloch data set'!M8/100)^4+1/(1+'[1]McCulloch data set'!N8/100)^5+1/(1+('[1]McCulloch data set'!N8+'[1]McCulloch data set'!O8)/2/100)^6+1/(1+('[1]McCulloch data set'!N8+'[1]McCulloch data set'!O8)/2/100)^7+1/(1+('[1]McCulloch data set'!N8+'[1]McCulloch data set'!O8)/2/100)^8+1/(1+('[1]McCulloch data set'!N8+'[1]McCulloch data set'!O8)/2/100)^9+1/(1+('[1]McCulloch data set'!O8/100)^10))</f>
        <v>1.3463882866984451E-2</v>
      </c>
    </row>
    <row r="11" spans="1:3" ht="13.8" x14ac:dyDescent="0.25">
      <c r="A11" s="4" t="s">
        <v>23</v>
      </c>
      <c r="B11" s="12">
        <f>(1-1/(1+'[1]McCulloch data set'!N9/100)^5)/((1/(1+'[1]McCulloch data set'!J9/100))+1/(1+'[1]McCulloch data set'!K9/100)^2+1/(1+'[1]McCulloch data set'!L9/100)^3+1/(1+'[1]McCulloch data set'!M9/100)^4+1/(1+'[1]McCulloch data set'!N9/100)^5)</f>
        <v>1.4124574391272751E-2</v>
      </c>
      <c r="C11" s="12">
        <f>(1-1/(1+'[1]McCulloch data set'!N9/100)^10)/((1/(1+'[1]McCulloch data set'!J9/100))+1/(1+'[1]McCulloch data set'!K9/100)^2+1/(1+'[1]McCulloch data set'!L9/100)^3+1/(1+'[1]McCulloch data set'!M9/100)^4+1/(1+'[1]McCulloch data set'!N9/100)^5+1/(1+('[1]McCulloch data set'!N9+'[1]McCulloch data set'!O9)/2/100)^6+1/(1+('[1]McCulloch data set'!N9+'[1]McCulloch data set'!O9)/2/100)^7+1/(1+('[1]McCulloch data set'!N9+'[1]McCulloch data set'!O9)/2/100)^8+1/(1+('[1]McCulloch data set'!N9+'[1]McCulloch data set'!O9)/2/100)^9+1/(1+('[1]McCulloch data set'!O9/100)^10))</f>
        <v>1.4039671797561092E-2</v>
      </c>
    </row>
    <row r="12" spans="1:3" ht="13.8" x14ac:dyDescent="0.25">
      <c r="A12" s="4" t="s">
        <v>24</v>
      </c>
      <c r="B12" s="12">
        <f>(1-1/(1+'[1]McCulloch data set'!N10/100)^5)/((1/(1+'[1]McCulloch data set'!J10/100))+1/(1+'[1]McCulloch data set'!K10/100)^2+1/(1+'[1]McCulloch data set'!L10/100)^3+1/(1+'[1]McCulloch data set'!M10/100)^4+1/(1+'[1]McCulloch data set'!N10/100)^5)</f>
        <v>1.3932604163596856E-2</v>
      </c>
      <c r="C12" s="12">
        <f>(1-1/(1+'[1]McCulloch data set'!N10/100)^10)/((1/(1+'[1]McCulloch data set'!J10/100))+1/(1+'[1]McCulloch data set'!K10/100)^2+1/(1+'[1]McCulloch data set'!L10/100)^3+1/(1+'[1]McCulloch data set'!M10/100)^4+1/(1+'[1]McCulloch data set'!N10/100)^5+1/(1+('[1]McCulloch data set'!N10+'[1]McCulloch data set'!O10)/2/100)^6+1/(1+('[1]McCulloch data set'!N10+'[1]McCulloch data set'!O10)/2/100)^7+1/(1+('[1]McCulloch data set'!N10+'[1]McCulloch data set'!O10)/2/100)^8+1/(1+('[1]McCulloch data set'!N10+'[1]McCulloch data set'!O10)/2/100)^9+1/(1+('[1]McCulloch data set'!O10/100)^10))</f>
        <v>1.3852160975085294E-2</v>
      </c>
    </row>
    <row r="13" spans="1:3" ht="13.8" x14ac:dyDescent="0.25">
      <c r="A13" s="4" t="s">
        <v>25</v>
      </c>
      <c r="B13" s="12">
        <f>(1-1/(1+'[1]McCulloch data set'!N11/100)^5)/((1/(1+'[1]McCulloch data set'!J11/100))+1/(1+'[1]McCulloch data set'!K11/100)^2+1/(1+'[1]McCulloch data set'!L11/100)^3+1/(1+'[1]McCulloch data set'!M11/100)^4+1/(1+'[1]McCulloch data set'!N11/100)^5)</f>
        <v>1.4226335805955325E-2</v>
      </c>
      <c r="C13" s="12">
        <f>(1-1/(1+'[1]McCulloch data set'!N11/100)^10)/((1/(1+'[1]McCulloch data set'!J11/100))+1/(1+'[1]McCulloch data set'!K11/100)^2+1/(1+'[1]McCulloch data set'!L11/100)^3+1/(1+'[1]McCulloch data set'!M11/100)^4+1/(1+'[1]McCulloch data set'!N11/100)^5+1/(1+('[1]McCulloch data set'!N11+'[1]McCulloch data set'!O11)/2/100)^6+1/(1+('[1]McCulloch data set'!N11+'[1]McCulloch data set'!O11)/2/100)^7+1/(1+('[1]McCulloch data set'!N11+'[1]McCulloch data set'!O11)/2/100)^8+1/(1+('[1]McCulloch data set'!N11+'[1]McCulloch data set'!O11)/2/100)^9+1/(1+('[1]McCulloch data set'!O11/100)^10))</f>
        <v>1.4144192480128574E-2</v>
      </c>
    </row>
    <row r="14" spans="1:3" ht="13.8" x14ac:dyDescent="0.25">
      <c r="A14" s="4" t="s">
        <v>26</v>
      </c>
      <c r="B14" s="12">
        <f>(1-1/(1+'[1]McCulloch data set'!N12/100)^5)/((1/(1+'[1]McCulloch data set'!J12/100))+1/(1+'[1]McCulloch data set'!K12/100)^2+1/(1+'[1]McCulloch data set'!L12/100)^3+1/(1+'[1]McCulloch data set'!M12/100)^4+1/(1+'[1]McCulloch data set'!N12/100)^5)</f>
        <v>1.4239707645398994E-2</v>
      </c>
      <c r="C14" s="12">
        <f>(1-1/(1+'[1]McCulloch data set'!N12/100)^10)/((1/(1+'[1]McCulloch data set'!J12/100))+1/(1+'[1]McCulloch data set'!K12/100)^2+1/(1+'[1]McCulloch data set'!L12/100)^3+1/(1+'[1]McCulloch data set'!M12/100)^4+1/(1+'[1]McCulloch data set'!N12/100)^5+1/(1+('[1]McCulloch data set'!N12+'[1]McCulloch data set'!O12)/2/100)^6+1/(1+('[1]McCulloch data set'!N12+'[1]McCulloch data set'!O12)/2/100)^7+1/(1+('[1]McCulloch data set'!N12+'[1]McCulloch data set'!O12)/2/100)^8+1/(1+('[1]McCulloch data set'!N12+'[1]McCulloch data set'!O12)/2/100)^9+1/(1+('[1]McCulloch data set'!O12/100)^10))</f>
        <v>1.4147089827543716E-2</v>
      </c>
    </row>
    <row r="15" spans="1:3" ht="13.8" x14ac:dyDescent="0.25">
      <c r="A15" s="4" t="s">
        <v>27</v>
      </c>
      <c r="B15" s="12">
        <f>(1-1/(1+'[1]McCulloch data set'!N13/100)^5)/((1/(1+'[1]McCulloch data set'!J13/100))+1/(1+'[1]McCulloch data set'!K13/100)^2+1/(1+'[1]McCulloch data set'!L13/100)^3+1/(1+'[1]McCulloch data set'!M13/100)^4+1/(1+'[1]McCulloch data set'!N13/100)^5)</f>
        <v>1.3457136455664962E-2</v>
      </c>
      <c r="C15" s="12">
        <f>(1-1/(1+'[1]McCulloch data set'!N13/100)^10)/((1/(1+'[1]McCulloch data set'!J13/100))+1/(1+'[1]McCulloch data set'!K13/100)^2+1/(1+'[1]McCulloch data set'!L13/100)^3+1/(1+'[1]McCulloch data set'!M13/100)^4+1/(1+'[1]McCulloch data set'!N13/100)^5+1/(1+('[1]McCulloch data set'!N13+'[1]McCulloch data set'!O13)/2/100)^6+1/(1+('[1]McCulloch data set'!N13+'[1]McCulloch data set'!O13)/2/100)^7+1/(1+('[1]McCulloch data set'!N13+'[1]McCulloch data set'!O13)/2/100)^8+1/(1+('[1]McCulloch data set'!N13+'[1]McCulloch data set'!O13)/2/100)^9+1/(1+('[1]McCulloch data set'!O13/100)^10))</f>
        <v>1.3384871358335014E-2</v>
      </c>
    </row>
    <row r="16" spans="1:3" ht="13.8" x14ac:dyDescent="0.25">
      <c r="A16" s="4" t="s">
        <v>28</v>
      </c>
      <c r="B16" s="12">
        <f>(1-1/(1+'[1]McCulloch data set'!N14/100)^5)/((1/(1+'[1]McCulloch data set'!J14/100))+1/(1+'[1]McCulloch data set'!K14/100)^2+1/(1+'[1]McCulloch data set'!L14/100)^3+1/(1+'[1]McCulloch data set'!M14/100)^4+1/(1+'[1]McCulloch data set'!N14/100)^5)</f>
        <v>1.3952217054990161E-2</v>
      </c>
      <c r="C16" s="12">
        <f>(1-1/(1+'[1]McCulloch data set'!N14/100)^10)/((1/(1+'[1]McCulloch data set'!J14/100))+1/(1+'[1]McCulloch data set'!K14/100)^2+1/(1+'[1]McCulloch data set'!L14/100)^3+1/(1+'[1]McCulloch data set'!M14/100)^4+1/(1+'[1]McCulloch data set'!N14/100)^5+1/(1+('[1]McCulloch data set'!N14+'[1]McCulloch data set'!O14)/2/100)^6+1/(1+('[1]McCulloch data set'!N14+'[1]McCulloch data set'!O14)/2/100)^7+1/(1+('[1]McCulloch data set'!N14+'[1]McCulloch data set'!O14)/2/100)^8+1/(1+('[1]McCulloch data set'!N14+'[1]McCulloch data set'!O14)/2/100)^9+1/(1+('[1]McCulloch data set'!O14/100)^10))</f>
        <v>1.3869921190917206E-2</v>
      </c>
    </row>
    <row r="17" spans="1:3" ht="13.8" x14ac:dyDescent="0.25">
      <c r="A17" s="4" t="s">
        <v>29</v>
      </c>
      <c r="B17" s="12">
        <f>(1-1/(1+'[1]McCulloch data set'!N15/100)^5)/((1/(1+'[1]McCulloch data set'!J15/100))+1/(1+'[1]McCulloch data set'!K15/100)^2+1/(1+'[1]McCulloch data set'!L15/100)^3+1/(1+'[1]McCulloch data set'!M15/100)^4+1/(1+'[1]McCulloch data set'!N15/100)^5)</f>
        <v>1.5346522543699091E-2</v>
      </c>
      <c r="C17" s="12">
        <f>(1-1/(1+'[1]McCulloch data set'!N15/100)^10)/((1/(1+'[1]McCulloch data set'!J15/100))+1/(1+'[1]McCulloch data set'!K15/100)^2+1/(1+'[1]McCulloch data set'!L15/100)^3+1/(1+'[1]McCulloch data set'!M15/100)^4+1/(1+'[1]McCulloch data set'!N15/100)^5+1/(1+('[1]McCulloch data set'!N15+'[1]McCulloch data set'!O15)/2/100)^6+1/(1+('[1]McCulloch data set'!N15+'[1]McCulloch data set'!O15)/2/100)^7+1/(1+('[1]McCulloch data set'!N15+'[1]McCulloch data set'!O15)/2/100)^8+1/(1+('[1]McCulloch data set'!N15+'[1]McCulloch data set'!O15)/2/100)^9+1/(1+('[1]McCulloch data set'!O15/100)^10))</f>
        <v>1.5226343717984765E-2</v>
      </c>
    </row>
    <row r="18" spans="1:3" ht="13.8" x14ac:dyDescent="0.25">
      <c r="A18" s="4" t="s">
        <v>30</v>
      </c>
      <c r="B18" s="12">
        <f>(1-1/(1+'[1]McCulloch data set'!N16/100)^5)/((1/(1+'[1]McCulloch data set'!J16/100))+1/(1+'[1]McCulloch data set'!K16/100)^2+1/(1+'[1]McCulloch data set'!L16/100)^3+1/(1+'[1]McCulloch data set'!M16/100)^4+1/(1+'[1]McCulloch data set'!N16/100)^5)</f>
        <v>1.6233697844139257E-2</v>
      </c>
      <c r="C18" s="12">
        <f>(1-1/(1+'[1]McCulloch data set'!N16/100)^10)/((1/(1+'[1]McCulloch data set'!J16/100))+1/(1+'[1]McCulloch data set'!K16/100)^2+1/(1+'[1]McCulloch data set'!L16/100)^3+1/(1+'[1]McCulloch data set'!M16/100)^4+1/(1+'[1]McCulloch data set'!N16/100)^5+1/(1+('[1]McCulloch data set'!N16+'[1]McCulloch data set'!O16)/2/100)^6+1/(1+('[1]McCulloch data set'!N16+'[1]McCulloch data set'!O16)/2/100)^7+1/(1+('[1]McCulloch data set'!N16+'[1]McCulloch data set'!O16)/2/100)^8+1/(1+('[1]McCulloch data set'!N16+'[1]McCulloch data set'!O16)/2/100)^9+1/(1+('[1]McCulloch data set'!O16/100)^10))</f>
        <v>1.6101026981829827E-2</v>
      </c>
    </row>
    <row r="19" spans="1:3" ht="13.8" x14ac:dyDescent="0.25">
      <c r="A19" s="4" t="s">
        <v>31</v>
      </c>
      <c r="B19" s="12">
        <f>(1-1/(1+'[1]McCulloch data set'!N17/100)^5)/((1/(1+'[1]McCulloch data set'!J17/100))+1/(1+'[1]McCulloch data set'!K17/100)^2+1/(1+'[1]McCulloch data set'!L17/100)^3+1/(1+'[1]McCulloch data set'!M17/100)^4+1/(1+'[1]McCulloch data set'!N17/100)^5)</f>
        <v>1.7700652322318308E-2</v>
      </c>
      <c r="C19" s="12">
        <f>(1-1/(1+'[1]McCulloch data set'!N17/100)^10)/((1/(1+'[1]McCulloch data set'!J17/100))+1/(1+'[1]McCulloch data set'!K17/100)^2+1/(1+'[1]McCulloch data set'!L17/100)^3+1/(1+'[1]McCulloch data set'!M17/100)^4+1/(1+'[1]McCulloch data set'!N17/100)^5+1/(1+('[1]McCulloch data set'!N17+'[1]McCulloch data set'!O17)/2/100)^6+1/(1+('[1]McCulloch data set'!N17+'[1]McCulloch data set'!O17)/2/100)^7+1/(1+('[1]McCulloch data set'!N17+'[1]McCulloch data set'!O17)/2/100)^8+1/(1+('[1]McCulloch data set'!N17+'[1]McCulloch data set'!O17)/2/100)^9+1/(1+('[1]McCulloch data set'!O17/100)^10))</f>
        <v>1.7535043774216909E-2</v>
      </c>
    </row>
    <row r="20" spans="1:3" ht="13.8" x14ac:dyDescent="0.25">
      <c r="A20" s="4" t="s">
        <v>32</v>
      </c>
      <c r="B20" s="12">
        <f>(1-1/(1+'[1]McCulloch data set'!N18/100)^5)/((1/(1+'[1]McCulloch data set'!J18/100))+1/(1+'[1]McCulloch data set'!K18/100)^2+1/(1+'[1]McCulloch data set'!L18/100)^3+1/(1+'[1]McCulloch data set'!M18/100)^4+1/(1+'[1]McCulloch data set'!N18/100)^5)</f>
        <v>1.7698136943851844E-2</v>
      </c>
      <c r="C20" s="12">
        <f>(1-1/(1+'[1]McCulloch data set'!N18/100)^10)/((1/(1+'[1]McCulloch data set'!J18/100))+1/(1+'[1]McCulloch data set'!K18/100)^2+1/(1+'[1]McCulloch data set'!L18/100)^3+1/(1+'[1]McCulloch data set'!M18/100)^4+1/(1+'[1]McCulloch data set'!N18/100)^5+1/(1+('[1]McCulloch data set'!N18+'[1]McCulloch data set'!O18)/2/100)^6+1/(1+('[1]McCulloch data set'!N18+'[1]McCulloch data set'!O18)/2/100)^7+1/(1+('[1]McCulloch data set'!N18+'[1]McCulloch data set'!O18)/2/100)^8+1/(1+('[1]McCulloch data set'!N18+'[1]McCulloch data set'!O18)/2/100)^9+1/(1+('[1]McCulloch data set'!O18/100)^10))</f>
        <v>1.753616092796903E-2</v>
      </c>
    </row>
    <row r="21" spans="1:3" ht="13.8" x14ac:dyDescent="0.25">
      <c r="A21" s="4" t="s">
        <v>33</v>
      </c>
      <c r="B21" s="12">
        <f>(1-1/(1+'[1]McCulloch data set'!N19/100)^5)/((1/(1+'[1]McCulloch data set'!J19/100))+1/(1+'[1]McCulloch data set'!K19/100)^2+1/(1+'[1]McCulloch data set'!L19/100)^3+1/(1+'[1]McCulloch data set'!M19/100)^4+1/(1+'[1]McCulloch data set'!N19/100)^5)</f>
        <v>1.7504219869637783E-2</v>
      </c>
      <c r="C21" s="12">
        <f>(1-1/(1+'[1]McCulloch data set'!N19/100)^10)/((1/(1+'[1]McCulloch data set'!J19/100))+1/(1+'[1]McCulloch data set'!K19/100)^2+1/(1+'[1]McCulloch data set'!L19/100)^3+1/(1+'[1]McCulloch data set'!M19/100)^4+1/(1+'[1]McCulloch data set'!N19/100)^5+1/(1+('[1]McCulloch data set'!N19+'[1]McCulloch data set'!O19)/2/100)^6+1/(1+('[1]McCulloch data set'!N19+'[1]McCulloch data set'!O19)/2/100)^7+1/(1+('[1]McCulloch data set'!N19+'[1]McCulloch data set'!O19)/2/100)^8+1/(1+('[1]McCulloch data set'!N19+'[1]McCulloch data set'!O19)/2/100)^9+1/(1+('[1]McCulloch data set'!O19/100)^10))</f>
        <v>1.734516064005092E-2</v>
      </c>
    </row>
    <row r="22" spans="1:3" ht="13.8" x14ac:dyDescent="0.25">
      <c r="A22" s="4" t="s">
        <v>34</v>
      </c>
      <c r="B22" s="12">
        <f>(1-1/(1+'[1]McCulloch data set'!N20/100)^5)/((1/(1+'[1]McCulloch data set'!J20/100))+1/(1+'[1]McCulloch data set'!K20/100)^2+1/(1+'[1]McCulloch data set'!L20/100)^3+1/(1+'[1]McCulloch data set'!M20/100)^4+1/(1+'[1]McCulloch data set'!N20/100)^5)</f>
        <v>1.7310830297731464E-2</v>
      </c>
      <c r="C22" s="12">
        <f>(1-1/(1+'[1]McCulloch data set'!N20/100)^10)/((1/(1+'[1]McCulloch data set'!J20/100))+1/(1+'[1]McCulloch data set'!K20/100)^2+1/(1+'[1]McCulloch data set'!L20/100)^3+1/(1+'[1]McCulloch data set'!M20/100)^4+1/(1+'[1]McCulloch data set'!N20/100)^5+1/(1+('[1]McCulloch data set'!N20+'[1]McCulloch data set'!O20)/2/100)^6+1/(1+('[1]McCulloch data set'!N20+'[1]McCulloch data set'!O20)/2/100)^7+1/(1+('[1]McCulloch data set'!N20+'[1]McCulloch data set'!O20)/2/100)^8+1/(1+('[1]McCulloch data set'!N20+'[1]McCulloch data set'!O20)/2/100)^9+1/(1+('[1]McCulloch data set'!O20/100)^10))</f>
        <v>1.7159066696603852E-2</v>
      </c>
    </row>
    <row r="23" spans="1:3" ht="13.8" x14ac:dyDescent="0.25">
      <c r="A23" s="4" t="s">
        <v>35</v>
      </c>
      <c r="B23" s="12">
        <f>(1-1/(1+'[1]McCulloch data set'!N21/100)^5)/((1/(1+'[1]McCulloch data set'!J21/100))+1/(1+'[1]McCulloch data set'!K21/100)^2+1/(1+'[1]McCulloch data set'!L21/100)^3+1/(1+'[1]McCulloch data set'!M21/100)^4+1/(1+'[1]McCulloch data set'!N21/100)^5)</f>
        <v>1.7112953421467878E-2</v>
      </c>
      <c r="C23" s="12">
        <f>(1-1/(1+'[1]McCulloch data set'!N21/100)^10)/((1/(1+'[1]McCulloch data set'!J21/100))+1/(1+'[1]McCulloch data set'!K21/100)^2+1/(1+'[1]McCulloch data set'!L21/100)^3+1/(1+'[1]McCulloch data set'!M21/100)^4+1/(1+'[1]McCulloch data set'!N21/100)^5+1/(1+('[1]McCulloch data set'!N21+'[1]McCulloch data set'!O21)/2/100)^6+1/(1+('[1]McCulloch data set'!N21+'[1]McCulloch data set'!O21)/2/100)^7+1/(1+('[1]McCulloch data set'!N21+'[1]McCulloch data set'!O21)/2/100)^8+1/(1+('[1]McCulloch data set'!N21+'[1]McCulloch data set'!O21)/2/100)^9+1/(1+('[1]McCulloch data set'!O21/100)^10))</f>
        <v>1.6968163825557703E-2</v>
      </c>
    </row>
    <row r="24" spans="1:3" ht="13.8" x14ac:dyDescent="0.25">
      <c r="A24" s="4" t="s">
        <v>36</v>
      </c>
      <c r="B24" s="12">
        <f>(1-1/(1+'[1]McCulloch data set'!N22/100)^5)/((1/(1+'[1]McCulloch data set'!J22/100))+1/(1+'[1]McCulloch data set'!K22/100)^2+1/(1+'[1]McCulloch data set'!L22/100)^3+1/(1+'[1]McCulloch data set'!M22/100)^4+1/(1+'[1]McCulloch data set'!N22/100)^5)</f>
        <v>1.592541693338902E-2</v>
      </c>
      <c r="C24" s="12">
        <f>(1-1/(1+'[1]McCulloch data set'!N22/100)^10)/((1/(1+'[1]McCulloch data set'!J22/100))+1/(1+'[1]McCulloch data set'!K22/100)^2+1/(1+'[1]McCulloch data set'!L22/100)^3+1/(1+'[1]McCulloch data set'!M22/100)^4+1/(1+'[1]McCulloch data set'!N22/100)^5+1/(1+('[1]McCulloch data set'!N22+'[1]McCulloch data set'!O22)/2/100)^6+1/(1+('[1]McCulloch data set'!N22+'[1]McCulloch data set'!O22)/2/100)^7+1/(1+('[1]McCulloch data set'!N22+'[1]McCulloch data set'!O22)/2/100)^8+1/(1+('[1]McCulloch data set'!N22+'[1]McCulloch data set'!O22)/2/100)^9+1/(1+('[1]McCulloch data set'!O22/100)^10))</f>
        <v>1.5815545367993841E-2</v>
      </c>
    </row>
    <row r="25" spans="1:3" ht="13.8" x14ac:dyDescent="0.25">
      <c r="A25" s="4" t="s">
        <v>37</v>
      </c>
      <c r="B25" s="12">
        <f>(1-1/(1+'[1]McCulloch data set'!N23/100)^5)/((1/(1+'[1]McCulloch data set'!J23/100))+1/(1+'[1]McCulloch data set'!K23/100)^2+1/(1+'[1]McCulloch data set'!L23/100)^3+1/(1+'[1]McCulloch data set'!M23/100)^4+1/(1+'[1]McCulloch data set'!N23/100)^5)</f>
        <v>1.6915330668247509E-2</v>
      </c>
      <c r="C25" s="12">
        <f>(1-1/(1+'[1]McCulloch data set'!N23/100)^10)/((1/(1+'[1]McCulloch data set'!J23/100))+1/(1+'[1]McCulloch data set'!K23/100)^2+1/(1+'[1]McCulloch data set'!L23/100)^3+1/(1+'[1]McCulloch data set'!M23/100)^4+1/(1+'[1]McCulloch data set'!N23/100)^5+1/(1+('[1]McCulloch data set'!N23+'[1]McCulloch data set'!O23)/2/100)^6+1/(1+('[1]McCulloch data set'!N23+'[1]McCulloch data set'!O23)/2/100)^7+1/(1+('[1]McCulloch data set'!N23+'[1]McCulloch data set'!O23)/2/100)^8+1/(1+('[1]McCulloch data set'!N23+'[1]McCulloch data set'!O23)/2/100)^9+1/(1+('[1]McCulloch data set'!O23/100)^10))</f>
        <v>1.6784184663011383E-2</v>
      </c>
    </row>
    <row r="26" spans="1:3" ht="13.8" x14ac:dyDescent="0.25">
      <c r="A26" s="4" t="s">
        <v>38</v>
      </c>
      <c r="B26" s="12">
        <f>(1-1/(1+'[1]McCulloch data set'!N24/100)^5)/((1/(1+'[1]McCulloch data set'!J24/100))+1/(1+'[1]McCulloch data set'!K24/100)^2+1/(1+'[1]McCulloch data set'!L24/100)^3+1/(1+'[1]McCulloch data set'!M24/100)^4+1/(1+'[1]McCulloch data set'!N24/100)^5)</f>
        <v>1.7608291585724103E-2</v>
      </c>
      <c r="C26" s="12">
        <f>(1-1/(1+'[1]McCulloch data set'!N24/100)^10)/((1/(1+'[1]McCulloch data set'!J24/100))+1/(1+'[1]McCulloch data set'!K24/100)^2+1/(1+'[1]McCulloch data set'!L24/100)^3+1/(1+'[1]McCulloch data set'!M24/100)^4+1/(1+'[1]McCulloch data set'!N24/100)^5+1/(1+('[1]McCulloch data set'!N24+'[1]McCulloch data set'!O24)/2/100)^6+1/(1+('[1]McCulloch data set'!N24+'[1]McCulloch data set'!O24)/2/100)^7+1/(1+('[1]McCulloch data set'!N24+'[1]McCulloch data set'!O24)/2/100)^8+1/(1+('[1]McCulloch data set'!N24+'[1]McCulloch data set'!O24)/2/100)^9+1/(1+('[1]McCulloch data set'!O24/100)^10))</f>
        <v>1.7446709707185835E-2</v>
      </c>
    </row>
    <row r="27" spans="1:3" ht="13.8" x14ac:dyDescent="0.25">
      <c r="A27" s="4" t="s">
        <v>39</v>
      </c>
      <c r="B27" s="12">
        <f>(1-1/(1+'[1]McCulloch data set'!N25/100)^5)/((1/(1+'[1]McCulloch data set'!J25/100))+1/(1+'[1]McCulloch data set'!K25/100)^2+1/(1+'[1]McCulloch data set'!L25/100)^3+1/(1+'[1]McCulloch data set'!M25/100)^4+1/(1+'[1]McCulloch data set'!N25/100)^5)</f>
        <v>1.8012964538746592E-2</v>
      </c>
      <c r="C27" s="12">
        <f>(1-1/(1+'[1]McCulloch data set'!N25/100)^10)/((1/(1+'[1]McCulloch data set'!J25/100))+1/(1+'[1]McCulloch data set'!K25/100)^2+1/(1+'[1]McCulloch data set'!L25/100)^3+1/(1+'[1]McCulloch data set'!M25/100)^4+1/(1+'[1]McCulloch data set'!N25/100)^5+1/(1+('[1]McCulloch data set'!N25+'[1]McCulloch data set'!O25)/2/100)^6+1/(1+('[1]McCulloch data set'!N25+'[1]McCulloch data set'!O25)/2/100)^7+1/(1+('[1]McCulloch data set'!N25+'[1]McCulloch data set'!O25)/2/100)^8+1/(1+('[1]McCulloch data set'!N25+'[1]McCulloch data set'!O25)/2/100)^9+1/(1+('[1]McCulloch data set'!O25/100)^10))</f>
        <v>1.7829896914895671E-2</v>
      </c>
    </row>
    <row r="28" spans="1:3" ht="13.8" x14ac:dyDescent="0.25">
      <c r="A28" s="4" t="s">
        <v>40</v>
      </c>
      <c r="B28" s="12">
        <f>(1-1/(1+'[1]McCulloch data set'!N26/100)^5)/((1/(1+'[1]McCulloch data set'!J26/100))+1/(1+'[1]McCulloch data set'!K26/100)^2+1/(1+'[1]McCulloch data set'!L26/100)^3+1/(1+'[1]McCulloch data set'!M26/100)^4+1/(1+'[1]McCulloch data set'!N26/100)^5)</f>
        <v>1.812116983603685E-2</v>
      </c>
      <c r="C28" s="12">
        <f>(1-1/(1+'[1]McCulloch data set'!N26/100)^10)/((1/(1+'[1]McCulloch data set'!J26/100))+1/(1+'[1]McCulloch data set'!K26/100)^2+1/(1+'[1]McCulloch data set'!L26/100)^3+1/(1+'[1]McCulloch data set'!M26/100)^4+1/(1+'[1]McCulloch data set'!N26/100)^5+1/(1+('[1]McCulloch data set'!N26+'[1]McCulloch data set'!O26)/2/100)^6+1/(1+('[1]McCulloch data set'!N26+'[1]McCulloch data set'!O26)/2/100)^7+1/(1+('[1]McCulloch data set'!N26+'[1]McCulloch data set'!O26)/2/100)^8+1/(1+('[1]McCulloch data set'!N26+'[1]McCulloch data set'!O26)/2/100)^9+1/(1+('[1]McCulloch data set'!O26/100)^10))</f>
        <v>1.7926123545736396E-2</v>
      </c>
    </row>
    <row r="29" spans="1:3" ht="13.8" x14ac:dyDescent="0.25">
      <c r="A29" s="4" t="s">
        <v>41</v>
      </c>
      <c r="B29" s="12">
        <f>(1-1/(1+'[1]McCulloch data set'!N27/100)^5)/((1/(1+'[1]McCulloch data set'!J27/100))+1/(1+'[1]McCulloch data set'!K27/100)^2+1/(1+'[1]McCulloch data set'!L27/100)^3+1/(1+'[1]McCulloch data set'!M27/100)^4+1/(1+'[1]McCulloch data set'!N27/100)^5)</f>
        <v>1.8516471344623912E-2</v>
      </c>
      <c r="C29" s="12">
        <f>(1-1/(1+'[1]McCulloch data set'!N27/100)^10)/((1/(1+'[1]McCulloch data set'!J27/100))+1/(1+'[1]McCulloch data set'!K27/100)^2+1/(1+'[1]McCulloch data set'!L27/100)^3+1/(1+'[1]McCulloch data set'!M27/100)^4+1/(1+'[1]McCulloch data set'!N27/100)^5+1/(1+('[1]McCulloch data set'!N27+'[1]McCulloch data set'!O27)/2/100)^6+1/(1+('[1]McCulloch data set'!N27+'[1]McCulloch data set'!O27)/2/100)^7+1/(1+('[1]McCulloch data set'!N27+'[1]McCulloch data set'!O27)/2/100)^8+1/(1+('[1]McCulloch data set'!N27+'[1]McCulloch data set'!O27)/2/100)^9+1/(1+('[1]McCulloch data set'!O27/100)^10))</f>
        <v>1.8308704936523319E-2</v>
      </c>
    </row>
    <row r="30" spans="1:3" ht="13.8" x14ac:dyDescent="0.25">
      <c r="A30" s="4" t="s">
        <v>42</v>
      </c>
      <c r="B30" s="12">
        <f>(1-1/(1+'[1]McCulloch data set'!N28/100)^5)/((1/(1+'[1]McCulloch data set'!J28/100))+1/(1+'[1]McCulloch data set'!K28/100)^2+1/(1+'[1]McCulloch data set'!L28/100)^3+1/(1+'[1]McCulloch data set'!M28/100)^4+1/(1+'[1]McCulloch data set'!N28/100)^5)</f>
        <v>1.7920321084655366E-2</v>
      </c>
      <c r="C30" s="12">
        <f>(1-1/(1+'[1]McCulloch data set'!N28/100)^10)/((1/(1+'[1]McCulloch data set'!J28/100))+1/(1+'[1]McCulloch data set'!K28/100)^2+1/(1+'[1]McCulloch data set'!L28/100)^3+1/(1+'[1]McCulloch data set'!M28/100)^4+1/(1+'[1]McCulloch data set'!N28/100)^5+1/(1+('[1]McCulloch data set'!N28+'[1]McCulloch data set'!O28)/2/100)^6+1/(1+('[1]McCulloch data set'!N28+'[1]McCulloch data set'!O28)/2/100)^7+1/(1+('[1]McCulloch data set'!N28+'[1]McCulloch data set'!O28)/2/100)^8+1/(1+('[1]McCulloch data set'!N28+'[1]McCulloch data set'!O28)/2/100)^9+1/(1+('[1]McCulloch data set'!O28/100)^10))</f>
        <v>1.7739129787959447E-2</v>
      </c>
    </row>
    <row r="31" spans="1:3" ht="13.8" x14ac:dyDescent="0.25">
      <c r="A31" s="4" t="s">
        <v>43</v>
      </c>
      <c r="B31" s="12">
        <f>(1-1/(1+'[1]McCulloch data set'!N29/100)^5)/((1/(1+'[1]McCulloch data set'!J29/100))+1/(1+'[1]McCulloch data set'!K29/100)^2+1/(1+'[1]McCulloch data set'!L29/100)^3+1/(1+'[1]McCulloch data set'!M29/100)^4+1/(1+'[1]McCulloch data set'!N29/100)^5)</f>
        <v>1.7322718233021304E-2</v>
      </c>
      <c r="C31" s="12">
        <f>(1-1/(1+'[1]McCulloch data set'!N29/100)^10)/((1/(1+'[1]McCulloch data set'!J29/100))+1/(1+'[1]McCulloch data set'!K29/100)^2+1/(1+'[1]McCulloch data set'!L29/100)^3+1/(1+'[1]McCulloch data set'!M29/100)^4+1/(1+'[1]McCulloch data set'!N29/100)^5+1/(1+('[1]McCulloch data set'!N29+'[1]McCulloch data set'!O29)/2/100)^6+1/(1+('[1]McCulloch data set'!N29+'[1]McCulloch data set'!O29)/2/100)^7+1/(1+('[1]McCulloch data set'!N29+'[1]McCulloch data set'!O29)/2/100)^8+1/(1+('[1]McCulloch data set'!N29+'[1]McCulloch data set'!O29)/2/100)^9+1/(1+('[1]McCulloch data set'!O29/100)^10))</f>
        <v>1.7167515449388448E-2</v>
      </c>
    </row>
    <row r="32" spans="1:3" ht="13.8" x14ac:dyDescent="0.25">
      <c r="A32" s="4" t="s">
        <v>44</v>
      </c>
      <c r="B32" s="12">
        <f>(1-1/(1+'[1]McCulloch data set'!N30/100)^5)/((1/(1+'[1]McCulloch data set'!J30/100))+1/(1+'[1]McCulloch data set'!K30/100)^2+1/(1+'[1]McCulloch data set'!L30/100)^3+1/(1+'[1]McCulloch data set'!M30/100)^4+1/(1+'[1]McCulloch data set'!N30/100)^5)</f>
        <v>1.6727058294597884E-2</v>
      </c>
      <c r="C32" s="12">
        <f>(1-1/(1+'[1]McCulloch data set'!N30/100)^10)/((1/(1+'[1]McCulloch data set'!J30/100))+1/(1+'[1]McCulloch data set'!K30/100)^2+1/(1+'[1]McCulloch data set'!L30/100)^3+1/(1+'[1]McCulloch data set'!M30/100)^4+1/(1+'[1]McCulloch data set'!N30/100)^5+1/(1+('[1]McCulloch data set'!N30+'[1]McCulloch data set'!O30)/2/100)^6+1/(1+('[1]McCulloch data set'!N30+'[1]McCulloch data set'!O30)/2/100)^7+1/(1+('[1]McCulloch data set'!N30+'[1]McCulloch data set'!O30)/2/100)^8+1/(1+('[1]McCulloch data set'!N30+'[1]McCulloch data set'!O30)/2/100)^9+1/(1+('[1]McCulloch data set'!O30/100)^10))</f>
        <v>1.6591026724125369E-2</v>
      </c>
    </row>
    <row r="33" spans="1:3" ht="13.8" x14ac:dyDescent="0.25">
      <c r="A33" s="4" t="s">
        <v>45</v>
      </c>
      <c r="B33" s="12">
        <f>(1-1/(1+'[1]McCulloch data set'!N31/100)^5)/((1/(1+'[1]McCulloch data set'!J31/100))+1/(1+'[1]McCulloch data set'!K31/100)^2+1/(1+'[1]McCulloch data set'!L31/100)^3+1/(1+'[1]McCulloch data set'!M31/100)^4+1/(1+'[1]McCulloch data set'!N31/100)^5)</f>
        <v>1.6827896163873916E-2</v>
      </c>
      <c r="C33" s="12">
        <f>(1-1/(1+'[1]McCulloch data set'!N31/100)^10)/((1/(1+'[1]McCulloch data set'!J31/100))+1/(1+'[1]McCulloch data set'!K31/100)^2+1/(1+'[1]McCulloch data set'!L31/100)^3+1/(1+'[1]McCulloch data set'!M31/100)^4+1/(1+'[1]McCulloch data set'!N31/100)^5+1/(1+('[1]McCulloch data set'!N31+'[1]McCulloch data set'!O31)/2/100)^6+1/(1+('[1]McCulloch data set'!N31+'[1]McCulloch data set'!O31)/2/100)^7+1/(1+('[1]McCulloch data set'!N31+'[1]McCulloch data set'!O31)/2/100)^8+1/(1+('[1]McCulloch data set'!N31+'[1]McCulloch data set'!O31)/2/100)^9+1/(1+('[1]McCulloch data set'!O31/100)^10))</f>
        <v>1.6684149414801067E-2</v>
      </c>
    </row>
    <row r="34" spans="1:3" ht="13.8" x14ac:dyDescent="0.25">
      <c r="A34" s="4" t="s">
        <v>46</v>
      </c>
      <c r="B34" s="12">
        <f>(1-1/(1+'[1]McCulloch data set'!N32/100)^5)/((1/(1+'[1]McCulloch data set'!J32/100))+1/(1+'[1]McCulloch data set'!K32/100)^2+1/(1+'[1]McCulloch data set'!L32/100)^3+1/(1+'[1]McCulloch data set'!M32/100)^4+1/(1+'[1]McCulloch data set'!N32/100)^5)</f>
        <v>1.6333383191594893E-2</v>
      </c>
      <c r="C34" s="12">
        <f>(1-1/(1+'[1]McCulloch data set'!N32/100)^10)/((1/(1+'[1]McCulloch data set'!J32/100))+1/(1+'[1]McCulloch data set'!K32/100)^2+1/(1+'[1]McCulloch data set'!L32/100)^3+1/(1+'[1]McCulloch data set'!M32/100)^4+1/(1+'[1]McCulloch data set'!N32/100)^5+1/(1+('[1]McCulloch data set'!N32+'[1]McCulloch data set'!O32)/2/100)^6+1/(1+('[1]McCulloch data set'!N32+'[1]McCulloch data set'!O32)/2/100)^7+1/(1+('[1]McCulloch data set'!N32+'[1]McCulloch data set'!O32)/2/100)^8+1/(1+('[1]McCulloch data set'!N32+'[1]McCulloch data set'!O32)/2/100)^9+1/(1+('[1]McCulloch data set'!O32/100)^10))</f>
        <v>1.6204920651384888E-2</v>
      </c>
    </row>
    <row r="35" spans="1:3" ht="13.8" x14ac:dyDescent="0.25">
      <c r="A35" s="4" t="s">
        <v>47</v>
      </c>
      <c r="B35" s="12">
        <f>(1-1/(1+'[1]McCulloch data set'!N33/100)^5)/((1/(1+'[1]McCulloch data set'!J33/100))+1/(1+'[1]McCulloch data set'!K33/100)^2+1/(1+'[1]McCulloch data set'!L33/100)^3+1/(1+'[1]McCulloch data set'!M33/100)^4+1/(1+'[1]McCulloch data set'!N33/100)^5)</f>
        <v>1.6332993177646943E-2</v>
      </c>
      <c r="C35" s="12">
        <f>(1-1/(1+'[1]McCulloch data set'!N33/100)^10)/((1/(1+'[1]McCulloch data set'!J33/100))+1/(1+'[1]McCulloch data set'!K33/100)^2+1/(1+'[1]McCulloch data set'!L33/100)^3+1/(1+'[1]McCulloch data set'!M33/100)^4+1/(1+'[1]McCulloch data set'!N33/100)^5+1/(1+('[1]McCulloch data set'!N33+'[1]McCulloch data set'!O33)/2/100)^6+1/(1+('[1]McCulloch data set'!N33+'[1]McCulloch data set'!O33)/2/100)^7+1/(1+('[1]McCulloch data set'!N33+'[1]McCulloch data set'!O33)/2/100)^8+1/(1+('[1]McCulloch data set'!N33+'[1]McCulloch data set'!O33)/2/100)^9+1/(1+('[1]McCulloch data set'!O33/100)^10))</f>
        <v>1.6204720895635193E-2</v>
      </c>
    </row>
    <row r="36" spans="1:3" ht="13.8" x14ac:dyDescent="0.25">
      <c r="A36" s="4" t="s">
        <v>48</v>
      </c>
      <c r="B36" s="12">
        <f>(1-1/(1+'[1]McCulloch data set'!N34/100)^5)/((1/(1+'[1]McCulloch data set'!J34/100))+1/(1+'[1]McCulloch data set'!K34/100)^2+1/(1+'[1]McCulloch data set'!L34/100)^3+1/(1+'[1]McCulloch data set'!M34/100)^4+1/(1+'[1]McCulloch data set'!N34/100)^5)</f>
        <v>1.5938464555391964E-2</v>
      </c>
      <c r="C36" s="12">
        <f>(1-1/(1+'[1]McCulloch data set'!N34/100)^10)/((1/(1+'[1]McCulloch data set'!J34/100))+1/(1+'[1]McCulloch data set'!K34/100)^2+1/(1+'[1]McCulloch data set'!L34/100)^3+1/(1+'[1]McCulloch data set'!M34/100)^4+1/(1+'[1]McCulloch data set'!N34/100)^5+1/(1+('[1]McCulloch data set'!N34+'[1]McCulloch data set'!O34)/2/100)^6+1/(1+('[1]McCulloch data set'!N34+'[1]McCulloch data set'!O34)/2/100)^7+1/(1+('[1]McCulloch data set'!N34+'[1]McCulloch data set'!O34)/2/100)^8+1/(1+('[1]McCulloch data set'!N34+'[1]McCulloch data set'!O34)/2/100)^9+1/(1+('[1]McCulloch data set'!O34/100)^10))</f>
        <v>1.5824416761227866E-2</v>
      </c>
    </row>
    <row r="37" spans="1:3" ht="13.8" x14ac:dyDescent="0.25">
      <c r="A37" s="4" t="s">
        <v>49</v>
      </c>
      <c r="B37" s="12">
        <f>(1-1/(1+'[1]McCulloch data set'!N35/100)^5)/((1/(1+'[1]McCulloch data set'!J35/100))+1/(1+'[1]McCulloch data set'!K35/100)^2+1/(1+'[1]McCulloch data set'!L35/100)^3+1/(1+'[1]McCulloch data set'!M35/100)^4+1/(1+'[1]McCulloch data set'!N35/100)^5)</f>
        <v>1.4542181632639132E-2</v>
      </c>
      <c r="C37" s="12">
        <f>(1-1/(1+'[1]McCulloch data set'!N35/100)^10)/((1/(1+'[1]McCulloch data set'!J35/100))+1/(1+'[1]McCulloch data set'!K35/100)^2+1/(1+'[1]McCulloch data set'!L35/100)^3+1/(1+'[1]McCulloch data set'!M35/100)^4+1/(1+'[1]McCulloch data set'!N35/100)^5+1/(1+('[1]McCulloch data set'!N35+'[1]McCulloch data set'!O35)/2/100)^6+1/(1+('[1]McCulloch data set'!N35+'[1]McCulloch data set'!O35)/2/100)^7+1/(1+('[1]McCulloch data set'!N35+'[1]McCulloch data set'!O35)/2/100)^8+1/(1+('[1]McCulloch data set'!N35+'[1]McCulloch data set'!O35)/2/100)^9+1/(1+('[1]McCulloch data set'!O35/100)^10))</f>
        <v>1.4469524753023651E-2</v>
      </c>
    </row>
    <row r="38" spans="1:3" ht="13.8" x14ac:dyDescent="0.25">
      <c r="A38" s="4" t="s">
        <v>50</v>
      </c>
      <c r="B38" s="12">
        <f>(1-1/(1+'[1]McCulloch data set'!N36/100)^5)/((1/(1+'[1]McCulloch data set'!J36/100))+1/(1+'[1]McCulloch data set'!K36/100)^2+1/(1+'[1]McCulloch data set'!L36/100)^3+1/(1+'[1]McCulloch data set'!M36/100)^4+1/(1+'[1]McCulloch data set'!N36/100)^5)</f>
        <v>1.4237639673948619E-2</v>
      </c>
      <c r="C38" s="12">
        <f>(1-1/(1+'[1]McCulloch data set'!N36/100)^10)/((1/(1+'[1]McCulloch data set'!J36/100))+1/(1+'[1]McCulloch data set'!K36/100)^2+1/(1+'[1]McCulloch data set'!L36/100)^3+1/(1+'[1]McCulloch data set'!M36/100)^4+1/(1+'[1]McCulloch data set'!N36/100)^5+1/(1+('[1]McCulloch data set'!N36+'[1]McCulloch data set'!O36)/2/100)^6+1/(1+('[1]McCulloch data set'!N36+'[1]McCulloch data set'!O36)/2/100)^7+1/(1+('[1]McCulloch data set'!N36+'[1]McCulloch data set'!O36)/2/100)^8+1/(1+('[1]McCulloch data set'!N36+'[1]McCulloch data set'!O36)/2/100)^9+1/(1+('[1]McCulloch data set'!O36/100)^10))</f>
        <v>1.4175572537056161E-2</v>
      </c>
    </row>
    <row r="39" spans="1:3" ht="13.8" x14ac:dyDescent="0.25">
      <c r="A39" s="4" t="s">
        <v>51</v>
      </c>
      <c r="B39" s="12">
        <f>(1-1/(1+'[1]McCulloch data set'!N37/100)^5)/((1/(1+'[1]McCulloch data set'!J37/100))+1/(1+'[1]McCulloch data set'!K37/100)^2+1/(1+'[1]McCulloch data set'!L37/100)^3+1/(1+'[1]McCulloch data set'!M37/100)^4+1/(1+'[1]McCulloch data set'!N37/100)^5)</f>
        <v>1.3948359748467377E-2</v>
      </c>
      <c r="C39" s="12">
        <f>(1-1/(1+'[1]McCulloch data set'!N37/100)^10)/((1/(1+'[1]McCulloch data set'!J37/100))+1/(1+'[1]McCulloch data set'!K37/100)^2+1/(1+'[1]McCulloch data set'!L37/100)^3+1/(1+'[1]McCulloch data set'!M37/100)^4+1/(1+'[1]McCulloch data set'!N37/100)^5+1/(1+('[1]McCulloch data set'!N37+'[1]McCulloch data set'!O37)/2/100)^6+1/(1+('[1]McCulloch data set'!N37+'[1]McCulloch data set'!O37)/2/100)^7+1/(1+('[1]McCulloch data set'!N37+'[1]McCulloch data set'!O37)/2/100)^8+1/(1+('[1]McCulloch data set'!N37+'[1]McCulloch data set'!O37)/2/100)^9+1/(1+('[1]McCulloch data set'!O37/100)^10))</f>
        <v>1.3879542057398379E-2</v>
      </c>
    </row>
    <row r="40" spans="1:3" ht="13.8" x14ac:dyDescent="0.25">
      <c r="A40" s="4" t="s">
        <v>52</v>
      </c>
      <c r="B40" s="12">
        <f>(1-1/(1+'[1]McCulloch data set'!N38/100)^5)/((1/(1+'[1]McCulloch data set'!J38/100))+1/(1+'[1]McCulloch data set'!K38/100)^2+1/(1+'[1]McCulloch data set'!L38/100)^3+1/(1+'[1]McCulloch data set'!M38/100)^4+1/(1+'[1]McCulloch data set'!N38/100)^5)</f>
        <v>1.3944211724948015E-2</v>
      </c>
      <c r="C40" s="12">
        <f>(1-1/(1+'[1]McCulloch data set'!N38/100)^10)/((1/(1+'[1]McCulloch data set'!J38/100))+1/(1+'[1]McCulloch data set'!K38/100)^2+1/(1+'[1]McCulloch data set'!L38/100)^3+1/(1+'[1]McCulloch data set'!M38/100)^4+1/(1+'[1]McCulloch data set'!N38/100)^5+1/(1+('[1]McCulloch data set'!N38+'[1]McCulloch data set'!O38)/2/100)^6+1/(1+('[1]McCulloch data set'!N38+'[1]McCulloch data set'!O38)/2/100)^7+1/(1+('[1]McCulloch data set'!N38+'[1]McCulloch data set'!O38)/2/100)^8+1/(1+('[1]McCulloch data set'!N38+'[1]McCulloch data set'!O38)/2/100)^9+1/(1+('[1]McCulloch data set'!O38/100)^10))</f>
        <v>1.3879347440392459E-2</v>
      </c>
    </row>
    <row r="41" spans="1:3" ht="13.8" x14ac:dyDescent="0.25">
      <c r="A41" s="4" t="s">
        <v>53</v>
      </c>
      <c r="B41" s="12">
        <f>(1-1/(1+'[1]McCulloch data set'!N39/100)^5)/((1/(1+'[1]McCulloch data set'!J39/100))+1/(1+'[1]McCulloch data set'!K39/100)^2+1/(1+'[1]McCulloch data set'!L39/100)^3+1/(1+'[1]McCulloch data set'!M39/100)^4+1/(1+'[1]McCulloch data set'!N39/100)^5)</f>
        <v>1.4143421749533501E-2</v>
      </c>
      <c r="C41" s="12">
        <f>(1-1/(1+'[1]McCulloch data set'!N39/100)^10)/((1/(1+'[1]McCulloch data set'!J39/100))+1/(1+'[1]McCulloch data set'!K39/100)^2+1/(1+'[1]McCulloch data set'!L39/100)^3+1/(1+'[1]McCulloch data set'!M39/100)^4+1/(1+'[1]McCulloch data set'!N39/100)^5+1/(1+('[1]McCulloch data set'!N39+'[1]McCulloch data set'!O39)/2/100)^6+1/(1+('[1]McCulloch data set'!N39+'[1]McCulloch data set'!O39)/2/100)^7+1/(1+('[1]McCulloch data set'!N39+'[1]McCulloch data set'!O39)/2/100)^8+1/(1+('[1]McCulloch data set'!N39+'[1]McCulloch data set'!O39)/2/100)^9+1/(1+('[1]McCulloch data set'!O39/100)^10))</f>
        <v>1.4070844355052603E-2</v>
      </c>
    </row>
    <row r="42" spans="1:3" ht="13.8" x14ac:dyDescent="0.25">
      <c r="A42" s="4" t="s">
        <v>54</v>
      </c>
      <c r="B42" s="12">
        <f>(1-1/(1+'[1]McCulloch data set'!N40/100)^5)/((1/(1+'[1]McCulloch data set'!J40/100))+1/(1+'[1]McCulloch data set'!K40/100)^2+1/(1+'[1]McCulloch data set'!L40/100)^3+1/(1+'[1]McCulloch data set'!M40/100)^4+1/(1+'[1]McCulloch data set'!N40/100)^5)</f>
        <v>1.414654853494042E-2</v>
      </c>
      <c r="C42" s="12">
        <f>(1-1/(1+'[1]McCulloch data set'!N40/100)^10)/((1/(1+'[1]McCulloch data set'!J40/100))+1/(1+'[1]McCulloch data set'!K40/100)^2+1/(1+'[1]McCulloch data set'!L40/100)^3+1/(1+'[1]McCulloch data set'!M40/100)^4+1/(1+'[1]McCulloch data set'!N40/100)^5+1/(1+('[1]McCulloch data set'!N40+'[1]McCulloch data set'!O40)/2/100)^6+1/(1+('[1]McCulloch data set'!N40+'[1]McCulloch data set'!O40)/2/100)^7+1/(1+('[1]McCulloch data set'!N40+'[1]McCulloch data set'!O40)/2/100)^8+1/(1+('[1]McCulloch data set'!N40+'[1]McCulloch data set'!O40)/2/100)^9+1/(1+('[1]McCulloch data set'!O40/100)^10))</f>
        <v>1.4070488905962793E-2</v>
      </c>
    </row>
    <row r="43" spans="1:3" ht="13.8" x14ac:dyDescent="0.25">
      <c r="A43" s="4" t="s">
        <v>55</v>
      </c>
      <c r="B43" s="12">
        <f>(1-1/(1+'[1]McCulloch data set'!N41/100)^5)/((1/(1+'[1]McCulloch data set'!J41/100))+1/(1+'[1]McCulloch data set'!K41/100)^2+1/(1+'[1]McCulloch data set'!L41/100)^3+1/(1+'[1]McCulloch data set'!M41/100)^4+1/(1+'[1]McCulloch data set'!N41/100)^5)</f>
        <v>1.3952791211402461E-2</v>
      </c>
      <c r="C43" s="12">
        <f>(1-1/(1+'[1]McCulloch data set'!N41/100)^10)/((1/(1+'[1]McCulloch data set'!J41/100))+1/(1+'[1]McCulloch data set'!K41/100)^2+1/(1+'[1]McCulloch data set'!L41/100)^3+1/(1+'[1]McCulloch data set'!M41/100)^4+1/(1+'[1]McCulloch data set'!N41/100)^5+1/(1+('[1]McCulloch data set'!N41+'[1]McCulloch data set'!O41)/2/100)^6+1/(1+('[1]McCulloch data set'!N41+'[1]McCulloch data set'!O41)/2/100)^7+1/(1+('[1]McCulloch data set'!N41+'[1]McCulloch data set'!O41)/2/100)^8+1/(1+('[1]McCulloch data set'!N41+'[1]McCulloch data set'!O41)/2/100)^9+1/(1+('[1]McCulloch data set'!O41/100)^10))</f>
        <v>1.3874081581316968E-2</v>
      </c>
    </row>
    <row r="44" spans="1:3" ht="13.8" x14ac:dyDescent="0.25">
      <c r="A44" s="4" t="s">
        <v>56</v>
      </c>
      <c r="B44" s="12">
        <f>(1-1/(1+'[1]McCulloch data set'!N42/100)^5)/((1/(1+'[1]McCulloch data set'!J42/100))+1/(1+'[1]McCulloch data set'!K42/100)^2+1/(1+'[1]McCulloch data set'!L42/100)^3+1/(1+'[1]McCulloch data set'!M42/100)^4+1/(1+'[1]McCulloch data set'!N42/100)^5)</f>
        <v>1.464056150281523E-2</v>
      </c>
      <c r="C44" s="12">
        <f>(1-1/(1+'[1]McCulloch data set'!N42/100)^10)/((1/(1+'[1]McCulloch data set'!J42/100))+1/(1+'[1]McCulloch data set'!K42/100)^2+1/(1+'[1]McCulloch data set'!L42/100)^3+1/(1+'[1]McCulloch data set'!M42/100)^4+1/(1+'[1]McCulloch data set'!N42/100)^5+1/(1+('[1]McCulloch data set'!N42+'[1]McCulloch data set'!O42)/2/100)^6+1/(1+('[1]McCulloch data set'!N42+'[1]McCulloch data set'!O42)/2/100)^7+1/(1+('[1]McCulloch data set'!N42+'[1]McCulloch data set'!O42)/2/100)^8+1/(1+('[1]McCulloch data set'!N42+'[1]McCulloch data set'!O42)/2/100)^9+1/(1+('[1]McCulloch data set'!O42/100)^10))</f>
        <v>1.4556418824166461E-2</v>
      </c>
    </row>
    <row r="45" spans="1:3" ht="13.8" x14ac:dyDescent="0.25">
      <c r="A45" s="4" t="s">
        <v>57</v>
      </c>
      <c r="B45" s="12">
        <f>(1-1/(1+'[1]McCulloch data set'!N43/100)^5)/((1/(1+'[1]McCulloch data set'!J43/100))+1/(1+'[1]McCulloch data set'!K43/100)^2+1/(1+'[1]McCulloch data set'!L43/100)^3+1/(1+'[1]McCulloch data set'!M43/100)^4+1/(1+'[1]McCulloch data set'!N43/100)^5)</f>
        <v>1.4738438517940988E-2</v>
      </c>
      <c r="C45" s="12">
        <f>(1-1/(1+'[1]McCulloch data set'!N43/100)^10)/((1/(1+'[1]McCulloch data set'!J43/100))+1/(1+'[1]McCulloch data set'!K43/100)^2+1/(1+'[1]McCulloch data set'!L43/100)^3+1/(1+'[1]McCulloch data set'!M43/100)^4+1/(1+'[1]McCulloch data set'!N43/100)^5+1/(1+('[1]McCulloch data set'!N43+'[1]McCulloch data set'!O43)/2/100)^6+1/(1+('[1]McCulloch data set'!N43+'[1]McCulloch data set'!O43)/2/100)^7+1/(1+('[1]McCulloch data set'!N43+'[1]McCulloch data set'!O43)/2/100)^8+1/(1+('[1]McCulloch data set'!N43+'[1]McCulloch data set'!O43)/2/100)^9+1/(1+('[1]McCulloch data set'!O43/100)^10))</f>
        <v>1.4657135922248982E-2</v>
      </c>
    </row>
    <row r="46" spans="1:3" ht="13.8" x14ac:dyDescent="0.25">
      <c r="A46" s="4" t="s">
        <v>58</v>
      </c>
      <c r="B46" s="12">
        <f>(1-1/(1+'[1]McCulloch data set'!N44/100)^5)/((1/(1+'[1]McCulloch data set'!J44/100))+1/(1+'[1]McCulloch data set'!K44/100)^2+1/(1+'[1]McCulloch data set'!L44/100)^3+1/(1+'[1]McCulloch data set'!M44/100)^4+1/(1+'[1]McCulloch data set'!N44/100)^5)</f>
        <v>1.5037508584196675E-2</v>
      </c>
      <c r="C46" s="12">
        <f>(1-1/(1+'[1]McCulloch data set'!N44/100)^10)/((1/(1+'[1]McCulloch data set'!J44/100))+1/(1+'[1]McCulloch data set'!K44/100)^2+1/(1+'[1]McCulloch data set'!L44/100)^3+1/(1+'[1]McCulloch data set'!M44/100)^4+1/(1+'[1]McCulloch data set'!N44/100)^5+1/(1+('[1]McCulloch data set'!N44+'[1]McCulloch data set'!O44)/2/100)^6+1/(1+('[1]McCulloch data set'!N44+'[1]McCulloch data set'!O44)/2/100)^7+1/(1+('[1]McCulloch data set'!N44+'[1]McCulloch data set'!O44)/2/100)^8+1/(1+('[1]McCulloch data set'!N44+'[1]McCulloch data set'!O44)/2/100)^9+1/(1+('[1]McCulloch data set'!O44/100)^10))</f>
        <v>1.4949835726854491E-2</v>
      </c>
    </row>
    <row r="47" spans="1:3" ht="13.8" x14ac:dyDescent="0.25">
      <c r="A47" s="4" t="s">
        <v>59</v>
      </c>
      <c r="B47" s="12">
        <f>(1-1/(1+'[1]McCulloch data set'!N45/100)^5)/((1/(1+'[1]McCulloch data set'!J45/100))+1/(1+'[1]McCulloch data set'!K45/100)^2+1/(1+'[1]McCulloch data set'!L45/100)^3+1/(1+'[1]McCulloch data set'!M45/100)^4+1/(1+'[1]McCulloch data set'!N45/100)^5)</f>
        <v>1.5538213618494711E-2</v>
      </c>
      <c r="C47" s="12">
        <f>(1-1/(1+'[1]McCulloch data set'!N45/100)^10)/((1/(1+'[1]McCulloch data set'!J45/100))+1/(1+'[1]McCulloch data set'!K45/100)^2+1/(1+'[1]McCulloch data set'!L45/100)^3+1/(1+'[1]McCulloch data set'!M45/100)^4+1/(1+'[1]McCulloch data set'!N45/100)^5+1/(1+('[1]McCulloch data set'!N45+'[1]McCulloch data set'!O45)/2/100)^6+1/(1+('[1]McCulloch data set'!N45+'[1]McCulloch data set'!O45)/2/100)^7+1/(1+('[1]McCulloch data set'!N45+'[1]McCulloch data set'!O45)/2/100)^8+1/(1+('[1]McCulloch data set'!N45+'[1]McCulloch data set'!O45)/2/100)^9+1/(1+('[1]McCulloch data set'!O45/100)^10))</f>
        <v>1.543416050409647E-2</v>
      </c>
    </row>
    <row r="48" spans="1:3" ht="13.8" x14ac:dyDescent="0.25">
      <c r="A48" s="4" t="s">
        <v>60</v>
      </c>
      <c r="B48" s="12">
        <f>(1-1/(1+'[1]McCulloch data set'!N46/100)^5)/((1/(1+'[1]McCulloch data set'!J46/100))+1/(1+'[1]McCulloch data set'!K46/100)^2+1/(1+'[1]McCulloch data set'!L46/100)^3+1/(1+'[1]McCulloch data set'!M46/100)^4+1/(1+'[1]McCulloch data set'!N46/100)^5)</f>
        <v>1.5436497794473892E-2</v>
      </c>
      <c r="C48" s="12">
        <f>(1-1/(1+'[1]McCulloch data set'!N46/100)^10)/((1/(1+'[1]McCulloch data set'!J46/100))+1/(1+'[1]McCulloch data set'!K46/100)^2+1/(1+'[1]McCulloch data set'!L46/100)^3+1/(1+'[1]McCulloch data set'!M46/100)^4+1/(1+'[1]McCulloch data set'!N46/100)^5+1/(1+('[1]McCulloch data set'!N46+'[1]McCulloch data set'!O46)/2/100)^6+1/(1+('[1]McCulloch data set'!N46+'[1]McCulloch data set'!O46)/2/100)^7+1/(1+('[1]McCulloch data set'!N46+'[1]McCulloch data set'!O46)/2/100)^8+1/(1+('[1]McCulloch data set'!N46+'[1]McCulloch data set'!O46)/2/100)^9+1/(1+('[1]McCulloch data set'!O46/100)^10))</f>
        <v>1.5342062447124979E-2</v>
      </c>
    </row>
    <row r="49" spans="1:3" ht="13.8" x14ac:dyDescent="0.25">
      <c r="A49" s="4" t="s">
        <v>61</v>
      </c>
      <c r="B49" s="12">
        <f>(1-1/(1+'[1]McCulloch data set'!N47/100)^5)/((1/(1+'[1]McCulloch data set'!J47/100))+1/(1+'[1]McCulloch data set'!K47/100)^2+1/(1+'[1]McCulloch data set'!L47/100)^3+1/(1+'[1]McCulloch data set'!M47/100)^4+1/(1+'[1]McCulloch data set'!N47/100)^5)</f>
        <v>1.5937266012737428E-2</v>
      </c>
      <c r="C49" s="12">
        <f>(1-1/(1+'[1]McCulloch data set'!N47/100)^10)/((1/(1+'[1]McCulloch data set'!J47/100))+1/(1+'[1]McCulloch data set'!K47/100)^2+1/(1+'[1]McCulloch data set'!L47/100)^3+1/(1+'[1]McCulloch data set'!M47/100)^4+1/(1+'[1]McCulloch data set'!N47/100)^5+1/(1+('[1]McCulloch data set'!N47+'[1]McCulloch data set'!O47)/2/100)^6+1/(1+('[1]McCulloch data set'!N47+'[1]McCulloch data set'!O47)/2/100)^7+1/(1+('[1]McCulloch data set'!N47+'[1]McCulloch data set'!O47)/2/100)^8+1/(1+('[1]McCulloch data set'!N47+'[1]McCulloch data set'!O47)/2/100)^9+1/(1+('[1]McCulloch data set'!O47/100)^10))</f>
        <v>1.5825986835996172E-2</v>
      </c>
    </row>
    <row r="50" spans="1:3" ht="13.8" x14ac:dyDescent="0.25">
      <c r="A50" s="4" t="s">
        <v>62</v>
      </c>
      <c r="B50" s="12">
        <f>(1-1/(1+'[1]McCulloch data set'!N48/100)^5)/((1/(1+'[1]McCulloch data set'!J48/100))+1/(1+'[1]McCulloch data set'!K48/100)^2+1/(1+'[1]McCulloch data set'!L48/100)^3+1/(1+'[1]McCulloch data set'!M48/100)^4+1/(1+'[1]McCulloch data set'!N48/100)^5)</f>
        <v>1.5536408291588269E-2</v>
      </c>
      <c r="C50" s="12">
        <f>(1-1/(1+'[1]McCulloch data set'!N48/100)^10)/((1/(1+'[1]McCulloch data set'!J48/100))+1/(1+'[1]McCulloch data set'!K48/100)^2+1/(1+'[1]McCulloch data set'!L48/100)^3+1/(1+'[1]McCulloch data set'!M48/100)^4+1/(1+'[1]McCulloch data set'!N48/100)^5+1/(1+('[1]McCulloch data set'!N48+'[1]McCulloch data set'!O48)/2/100)^6+1/(1+('[1]McCulloch data set'!N48+'[1]McCulloch data set'!O48)/2/100)^7+1/(1+('[1]McCulloch data set'!N48+'[1]McCulloch data set'!O48)/2/100)^8+1/(1+('[1]McCulloch data set'!N48+'[1]McCulloch data set'!O48)/2/100)^9+1/(1+('[1]McCulloch data set'!O48/100)^10))</f>
        <v>1.5446033246384249E-2</v>
      </c>
    </row>
    <row r="51" spans="1:3" ht="13.8" x14ac:dyDescent="0.25">
      <c r="A51" s="4" t="s">
        <v>63</v>
      </c>
      <c r="B51" s="12">
        <f>(1-1/(1+'[1]McCulloch data set'!N49/100)^5)/((1/(1+'[1]McCulloch data set'!J49/100))+1/(1+'[1]McCulloch data set'!K49/100)^2+1/(1+'[1]McCulloch data set'!L49/100)^3+1/(1+'[1]McCulloch data set'!M49/100)^4+1/(1+'[1]McCulloch data set'!N49/100)^5)</f>
        <v>1.6139428896702095E-2</v>
      </c>
      <c r="C51" s="12">
        <f>(1-1/(1+'[1]McCulloch data set'!N49/100)^10)/((1/(1+'[1]McCulloch data set'!J49/100))+1/(1+'[1]McCulloch data set'!K49/100)^2+1/(1+'[1]McCulloch data set'!L49/100)^3+1/(1+'[1]McCulloch data set'!M49/100)^4+1/(1+'[1]McCulloch data set'!N49/100)^5+1/(1+('[1]McCulloch data set'!N49+'[1]McCulloch data set'!O49)/2/100)^6+1/(1+('[1]McCulloch data set'!N49+'[1]McCulloch data set'!O49)/2/100)^7+1/(1+('[1]McCulloch data set'!N49+'[1]McCulloch data set'!O49)/2/100)^8+1/(1+('[1]McCulloch data set'!N49+'[1]McCulloch data set'!O49)/2/100)^9+1/(1+('[1]McCulloch data set'!O49/100)^10))</f>
        <v>1.6022065887606067E-2</v>
      </c>
    </row>
    <row r="52" spans="1:3" ht="13.8" x14ac:dyDescent="0.25">
      <c r="A52" s="4" t="s">
        <v>64</v>
      </c>
      <c r="B52" s="12">
        <f>(1-1/(1+'[1]McCulloch data set'!N50/100)^5)/((1/(1+'[1]McCulloch data set'!J50/100))+1/(1+'[1]McCulloch data set'!K50/100)^2+1/(1+'[1]McCulloch data set'!L50/100)^3+1/(1+'[1]McCulloch data set'!M50/100)^4+1/(1+'[1]McCulloch data set'!N50/100)^5)</f>
        <v>1.6943120588074675E-2</v>
      </c>
      <c r="C52" s="12">
        <f>(1-1/(1+'[1]McCulloch data set'!N50/100)^10)/((1/(1+'[1]McCulloch data set'!J50/100))+1/(1+'[1]McCulloch data set'!K50/100)^2+1/(1+'[1]McCulloch data set'!L50/100)^3+1/(1+'[1]McCulloch data set'!M50/100)^4+1/(1+'[1]McCulloch data set'!N50/100)^5+1/(1+('[1]McCulloch data set'!N50+'[1]McCulloch data set'!O50)/2/100)^6+1/(1+('[1]McCulloch data set'!N50+'[1]McCulloch data set'!O50)/2/100)^7+1/(1+('[1]McCulloch data set'!N50+'[1]McCulloch data set'!O50)/2/100)^8+1/(1+('[1]McCulloch data set'!N50+'[1]McCulloch data set'!O50)/2/100)^9+1/(1+('[1]McCulloch data set'!O50/100)^10))</f>
        <v>1.6791496708199492E-2</v>
      </c>
    </row>
    <row r="53" spans="1:3" ht="13.8" x14ac:dyDescent="0.25">
      <c r="A53" s="4" t="s">
        <v>65</v>
      </c>
      <c r="B53" s="12">
        <f>(1-1/(1+'[1]McCulloch data set'!N51/100)^5)/((1/(1+'[1]McCulloch data set'!J51/100))+1/(1+'[1]McCulloch data set'!K51/100)^2+1/(1+'[1]McCulloch data set'!L51/100)^3+1/(1+'[1]McCulloch data set'!M51/100)^4+1/(1+'[1]McCulloch data set'!N51/100)^5)</f>
        <v>1.7944392983465104E-2</v>
      </c>
      <c r="C53" s="12">
        <f>(1-1/(1+'[1]McCulloch data set'!N51/100)^10)/((1/(1+'[1]McCulloch data set'!J51/100))+1/(1+'[1]McCulloch data set'!K51/100)^2+1/(1+'[1]McCulloch data set'!L51/100)^3+1/(1+'[1]McCulloch data set'!M51/100)^4+1/(1+'[1]McCulloch data set'!N51/100)^5+1/(1+('[1]McCulloch data set'!N51+'[1]McCulloch data set'!O51)/2/100)^6+1/(1+('[1]McCulloch data set'!N51+'[1]McCulloch data set'!O51)/2/100)^7+1/(1+('[1]McCulloch data set'!N51+'[1]McCulloch data set'!O51)/2/100)^8+1/(1+('[1]McCulloch data set'!N51+'[1]McCulloch data set'!O51)/2/100)^9+1/(1+('[1]McCulloch data set'!O51/100)^10))</f>
        <v>1.7749003821901213E-2</v>
      </c>
    </row>
    <row r="54" spans="1:3" ht="13.8" x14ac:dyDescent="0.25">
      <c r="A54" s="4" t="s">
        <v>66</v>
      </c>
      <c r="B54" s="12">
        <f>(1-1/(1+'[1]McCulloch data set'!N52/100)^5)/((1/(1+'[1]McCulloch data set'!J52/100))+1/(1+'[1]McCulloch data set'!K52/100)^2+1/(1+'[1]McCulloch data set'!L52/100)^3+1/(1+'[1]McCulloch data set'!M52/100)^4+1/(1+'[1]McCulloch data set'!N52/100)^5)</f>
        <v>1.7933398382582535E-2</v>
      </c>
      <c r="C54" s="12">
        <f>(1-1/(1+'[1]McCulloch data set'!N52/100)^10)/((1/(1+'[1]McCulloch data set'!J52/100))+1/(1+'[1]McCulloch data set'!K52/100)^2+1/(1+'[1]McCulloch data set'!L52/100)^3+1/(1+'[1]McCulloch data set'!M52/100)^4+1/(1+'[1]McCulloch data set'!N52/100)^5+1/(1+('[1]McCulloch data set'!N52+'[1]McCulloch data set'!O52)/2/100)^6+1/(1+('[1]McCulloch data set'!N52+'[1]McCulloch data set'!O52)/2/100)^7+1/(1+('[1]McCulloch data set'!N52+'[1]McCulloch data set'!O52)/2/100)^8+1/(1+('[1]McCulloch data set'!N52+'[1]McCulloch data set'!O52)/2/100)^9+1/(1+('[1]McCulloch data set'!O52/100)^10))</f>
        <v>1.7750690754603088E-2</v>
      </c>
    </row>
    <row r="55" spans="1:3" ht="13.8" x14ac:dyDescent="0.25">
      <c r="A55" s="4" t="s">
        <v>67</v>
      </c>
      <c r="B55" s="12">
        <f>(1-1/(1+'[1]McCulloch data set'!N53/100)^5)/((1/(1+'[1]McCulloch data set'!J53/100))+1/(1+'[1]McCulloch data set'!K53/100)^2+1/(1+'[1]McCulloch data set'!L53/100)^3+1/(1+'[1]McCulloch data set'!M53/100)^4+1/(1+'[1]McCulloch data set'!N53/100)^5)</f>
        <v>1.7739497555860136E-2</v>
      </c>
      <c r="C55" s="12">
        <f>(1-1/(1+'[1]McCulloch data set'!N53/100)^10)/((1/(1+'[1]McCulloch data set'!J53/100))+1/(1+'[1]McCulloch data set'!K53/100)^2+1/(1+'[1]McCulloch data set'!L53/100)^3+1/(1+'[1]McCulloch data set'!M53/100)^4+1/(1+'[1]McCulloch data set'!N53/100)^5+1/(1+('[1]McCulloch data set'!N53+'[1]McCulloch data set'!O53)/2/100)^6+1/(1+('[1]McCulloch data set'!N53+'[1]McCulloch data set'!O53)/2/100)^7+1/(1+('[1]McCulloch data set'!N53+'[1]McCulloch data set'!O53)/2/100)^8+1/(1+('[1]McCulloch data set'!N53+'[1]McCulloch data set'!O53)/2/100)^9+1/(1+('[1]McCulloch data set'!O53/100)^10))</f>
        <v>1.7566978832038505E-2</v>
      </c>
    </row>
    <row r="56" spans="1:3" ht="13.8" x14ac:dyDescent="0.25">
      <c r="A56" s="4" t="s">
        <v>68</v>
      </c>
      <c r="B56" s="12">
        <f>(1-1/(1+'[1]McCulloch data set'!N54/100)^5)/((1/(1+'[1]McCulloch data set'!J54/100))+1/(1+'[1]McCulloch data set'!K54/100)^2+1/(1+'[1]McCulloch data set'!L54/100)^3+1/(1+'[1]McCulloch data set'!M54/100)^4+1/(1+'[1]McCulloch data set'!N54/100)^5)</f>
        <v>1.7654473701661233E-2</v>
      </c>
      <c r="C56" s="12">
        <f>(1-1/(1+'[1]McCulloch data set'!N54/100)^10)/((1/(1+'[1]McCulloch data set'!J54/100))+1/(1+'[1]McCulloch data set'!K54/100)^2+1/(1+'[1]McCulloch data set'!L54/100)^3+1/(1+'[1]McCulloch data set'!M54/100)^4+1/(1+'[1]McCulloch data set'!N54/100)^5+1/(1+('[1]McCulloch data set'!N54+'[1]McCulloch data set'!O54)/2/100)^6+1/(1+('[1]McCulloch data set'!N54+'[1]McCulloch data set'!O54)/2/100)^7+1/(1+('[1]McCulloch data set'!N54+'[1]McCulloch data set'!O54)/2/100)^8+1/(1+('[1]McCulloch data set'!N54+'[1]McCulloch data set'!O54)/2/100)^9+1/(1+('[1]McCulloch data set'!O54/100)^10))</f>
        <v>1.7467941560340015E-2</v>
      </c>
    </row>
    <row r="57" spans="1:3" ht="13.8" x14ac:dyDescent="0.25">
      <c r="A57" s="4" t="s">
        <v>69</v>
      </c>
      <c r="B57" s="12">
        <f>(1-1/(1+'[1]McCulloch data set'!N55/100)^5)/((1/(1+'[1]McCulloch data set'!J55/100))+1/(1+'[1]McCulloch data set'!K55/100)^2+1/(1+'[1]McCulloch data set'!L55/100)^3+1/(1+'[1]McCulloch data set'!M55/100)^4+1/(1+'[1]McCulloch data set'!N55/100)^5)</f>
        <v>1.8037387183193792E-2</v>
      </c>
      <c r="C57" s="12">
        <f>(1-1/(1+'[1]McCulloch data set'!N55/100)^10)/((1/(1+'[1]McCulloch data set'!J55/100))+1/(1+'[1]McCulloch data set'!K55/100)^2+1/(1+'[1]McCulloch data set'!L55/100)^3+1/(1+'[1]McCulloch data set'!M55/100)^4+1/(1+'[1]McCulloch data set'!N55/100)^5+1/(1+('[1]McCulloch data set'!N55+'[1]McCulloch data set'!O55)/2/100)^6+1/(1+('[1]McCulloch data set'!N55+'[1]McCulloch data set'!O55)/2/100)^7+1/(1+('[1]McCulloch data set'!N55+'[1]McCulloch data set'!O55)/2/100)^8+1/(1+('[1]McCulloch data set'!N55+'[1]McCulloch data set'!O55)/2/100)^9+1/(1+('[1]McCulloch data set'!O55/100)^10))</f>
        <v>1.7854629348203296E-2</v>
      </c>
    </row>
    <row r="58" spans="1:3" ht="13.8" x14ac:dyDescent="0.25">
      <c r="A58" s="4" t="s">
        <v>70</v>
      </c>
      <c r="B58" s="12">
        <f>(1-1/(1+'[1]McCulloch data set'!N56/100)^5)/((1/(1+'[1]McCulloch data set'!J56/100))+1/(1+'[1]McCulloch data set'!K56/100)^2+1/(1+'[1]McCulloch data set'!L56/100)^3+1/(1+'[1]McCulloch data set'!M56/100)^4+1/(1+'[1]McCulloch data set'!N56/100)^5)</f>
        <v>2.0746304518878867E-2</v>
      </c>
      <c r="C58" s="12">
        <f>(1-1/(1+'[1]McCulloch data set'!N56/100)^10)/((1/(1+'[1]McCulloch data set'!J56/100))+1/(1+'[1]McCulloch data set'!K56/100)^2+1/(1+'[1]McCulloch data set'!L56/100)^3+1/(1+'[1]McCulloch data set'!M56/100)^4+1/(1+'[1]McCulloch data set'!N56/100)^5+1/(1+('[1]McCulloch data set'!N56+'[1]McCulloch data set'!O56)/2/100)^6+1/(1+('[1]McCulloch data set'!N56+'[1]McCulloch data set'!O56)/2/100)^7+1/(1+('[1]McCulloch data set'!N56+'[1]McCulloch data set'!O56)/2/100)^8+1/(1+('[1]McCulloch data set'!N56+'[1]McCulloch data set'!O56)/2/100)^9+1/(1+('[1]McCulloch data set'!O56/100)^10))</f>
        <v>2.041319375296587E-2</v>
      </c>
    </row>
    <row r="59" spans="1:3" ht="13.8" x14ac:dyDescent="0.25">
      <c r="A59" s="4" t="s">
        <v>71</v>
      </c>
      <c r="B59" s="12">
        <f>(1-1/(1+'[1]McCulloch data set'!N57/100)^5)/((1/(1+'[1]McCulloch data set'!J57/100))+1/(1+'[1]McCulloch data set'!K57/100)^2+1/(1+'[1]McCulloch data set'!L57/100)^3+1/(1+'[1]McCulloch data set'!M57/100)^4+1/(1+'[1]McCulloch data set'!N57/100)^5)</f>
        <v>2.0639760004262167E-2</v>
      </c>
      <c r="C59" s="12">
        <f>(1-1/(1+'[1]McCulloch data set'!N57/100)^10)/((1/(1+'[1]McCulloch data set'!J57/100))+1/(1+'[1]McCulloch data set'!K57/100)^2+1/(1+'[1]McCulloch data set'!L57/100)^3+1/(1+'[1]McCulloch data set'!M57/100)^4+1/(1+'[1]McCulloch data set'!N57/100)^5+1/(1+('[1]McCulloch data set'!N57+'[1]McCulloch data set'!O57)/2/100)^6+1/(1+('[1]McCulloch data set'!N57+'[1]McCulloch data set'!O57)/2/100)^7+1/(1+('[1]McCulloch data set'!N57+'[1]McCulloch data set'!O57)/2/100)^8+1/(1+('[1]McCulloch data set'!N57+'[1]McCulloch data set'!O57)/2/100)^9+1/(1+('[1]McCulloch data set'!O57/100)^10))</f>
        <v>2.034130181408754E-2</v>
      </c>
    </row>
    <row r="60" spans="1:3" ht="13.8" x14ac:dyDescent="0.25">
      <c r="A60" s="4" t="s">
        <v>72</v>
      </c>
      <c r="B60" s="12">
        <f>(1-1/(1+'[1]McCulloch data set'!N58/100)^5)/((1/(1+'[1]McCulloch data set'!J58/100))+1/(1+'[1]McCulloch data set'!K58/100)^2+1/(1+'[1]McCulloch data set'!L58/100)^3+1/(1+'[1]McCulloch data set'!M58/100)^4+1/(1+'[1]McCulloch data set'!N58/100)^5)</f>
        <v>2.1520617791459602E-2</v>
      </c>
      <c r="C60" s="12">
        <f>(1-1/(1+'[1]McCulloch data set'!N58/100)^10)/((1/(1+'[1]McCulloch data set'!J58/100))+1/(1+'[1]McCulloch data set'!K58/100)^2+1/(1+'[1]McCulloch data set'!L58/100)^3+1/(1+'[1]McCulloch data set'!M58/100)^4+1/(1+'[1]McCulloch data set'!N58/100)^5+1/(1+('[1]McCulloch data set'!N58+'[1]McCulloch data set'!O58)/2/100)^6+1/(1+('[1]McCulloch data set'!N58+'[1]McCulloch data set'!O58)/2/100)^7+1/(1+('[1]McCulloch data set'!N58+'[1]McCulloch data set'!O58)/2/100)^8+1/(1+('[1]McCulloch data set'!N58+'[1]McCulloch data set'!O58)/2/100)^9+1/(1+('[1]McCulloch data set'!O58/100)^10))</f>
        <v>2.1218253905317987E-2</v>
      </c>
    </row>
    <row r="61" spans="1:3" ht="13.8" x14ac:dyDescent="0.25">
      <c r="A61" s="4" t="s">
        <v>73</v>
      </c>
      <c r="B61" s="12">
        <f>(1-1/(1+'[1]McCulloch data set'!N59/100)^5)/((1/(1+'[1]McCulloch data set'!J59/100))+1/(1+'[1]McCulloch data set'!K59/100)^2+1/(1+'[1]McCulloch data set'!L59/100)^3+1/(1+'[1]McCulloch data set'!M59/100)^4+1/(1+'[1]McCulloch data set'!N59/100)^5)</f>
        <v>2.1027439398564444E-2</v>
      </c>
      <c r="C61" s="12">
        <f>(1-1/(1+'[1]McCulloch data set'!N59/100)^10)/((1/(1+'[1]McCulloch data set'!J59/100))+1/(1+'[1]McCulloch data set'!K59/100)^2+1/(1+'[1]McCulloch data set'!L59/100)^3+1/(1+'[1]McCulloch data set'!M59/100)^4+1/(1+'[1]McCulloch data set'!N59/100)^5+1/(1+('[1]McCulloch data set'!N59+'[1]McCulloch data set'!O59)/2/100)^6+1/(1+('[1]McCulloch data set'!N59+'[1]McCulloch data set'!O59)/2/100)^7+1/(1+('[1]McCulloch data set'!N59+'[1]McCulloch data set'!O59)/2/100)^8+1/(1+('[1]McCulloch data set'!N59+'[1]McCulloch data set'!O59)/2/100)^9+1/(1+('[1]McCulloch data set'!O59/100)^10))</f>
        <v>2.0740056218540717E-2</v>
      </c>
    </row>
    <row r="62" spans="1:3" ht="13.8" x14ac:dyDescent="0.25">
      <c r="A62" s="4" t="s">
        <v>74</v>
      </c>
      <c r="B62" s="12">
        <f>(1-1/(1+'[1]McCulloch data set'!N60/100)^5)/((1/(1+'[1]McCulloch data set'!J60/100))+1/(1+'[1]McCulloch data set'!K60/100)^2+1/(1+'[1]McCulloch data set'!L60/100)^3+1/(1+'[1]McCulloch data set'!M60/100)^4+1/(1+'[1]McCulloch data set'!N60/100)^5)</f>
        <v>2.013402845793278E-2</v>
      </c>
      <c r="C62" s="12">
        <f>(1-1/(1+'[1]McCulloch data set'!N60/100)^10)/((1/(1+'[1]McCulloch data set'!J60/100))+1/(1+'[1]McCulloch data set'!K60/100)^2+1/(1+'[1]McCulloch data set'!L60/100)^3+1/(1+'[1]McCulloch data set'!M60/100)^4+1/(1+'[1]McCulloch data set'!N60/100)^5+1/(1+('[1]McCulloch data set'!N60+'[1]McCulloch data set'!O60)/2/100)^6+1/(1+('[1]McCulloch data set'!N60+'[1]McCulloch data set'!O60)/2/100)^7+1/(1+('[1]McCulloch data set'!N60+'[1]McCulloch data set'!O60)/2/100)^8+1/(1+('[1]McCulloch data set'!N60+'[1]McCulloch data set'!O60)/2/100)^9+1/(1+('[1]McCulloch data set'!O60/100)^10))</f>
        <v>1.9869761002761648E-2</v>
      </c>
    </row>
    <row r="63" spans="1:3" ht="13.8" x14ac:dyDescent="0.25">
      <c r="A63" s="4" t="s">
        <v>75</v>
      </c>
      <c r="B63" s="12">
        <f>(1-1/(1+'[1]McCulloch data set'!N61/100)^5)/((1/(1+'[1]McCulloch data set'!J61/100))+1/(1+'[1]McCulloch data set'!K61/100)^2+1/(1+'[1]McCulloch data set'!L61/100)^3+1/(1+'[1]McCulloch data set'!M61/100)^4+1/(1+'[1]McCulloch data set'!N61/100)^5)</f>
        <v>1.9831910977949719E-2</v>
      </c>
      <c r="C63" s="12">
        <f>(1-1/(1+'[1]McCulloch data set'!N61/100)^10)/((1/(1+'[1]McCulloch data set'!J61/100))+1/(1+'[1]McCulloch data set'!K61/100)^2+1/(1+'[1]McCulloch data set'!L61/100)^3+1/(1+'[1]McCulloch data set'!M61/100)^4+1/(1+'[1]McCulloch data set'!N61/100)^5+1/(1+('[1]McCulloch data set'!N61+'[1]McCulloch data set'!O61)/2/100)^6+1/(1+('[1]McCulloch data set'!N61+'[1]McCulloch data set'!O61)/2/100)^7+1/(1+('[1]McCulloch data set'!N61+'[1]McCulloch data set'!O61)/2/100)^8+1/(1+('[1]McCulloch data set'!N61+'[1]McCulloch data set'!O61)/2/100)^9+1/(1+('[1]McCulloch data set'!O61/100)^10))</f>
        <v>1.9573646028140015E-2</v>
      </c>
    </row>
    <row r="64" spans="1:3" ht="13.8" x14ac:dyDescent="0.25">
      <c r="A64" s="4" t="s">
        <v>76</v>
      </c>
      <c r="B64" s="12">
        <f>(1-1/(1+'[1]McCulloch data set'!N62/100)^5)/((1/(1+'[1]McCulloch data set'!J62/100))+1/(1+'[1]McCulloch data set'!K62/100)^2+1/(1+'[1]McCulloch data set'!L62/100)^3+1/(1+'[1]McCulloch data set'!M62/100)^4+1/(1+'[1]McCulloch data set'!N62/100)^5)</f>
        <v>2.1338126628886813E-2</v>
      </c>
      <c r="C64" s="12">
        <f>(1-1/(1+'[1]McCulloch data set'!N62/100)^10)/((1/(1+'[1]McCulloch data set'!J62/100))+1/(1+'[1]McCulloch data set'!K62/100)^2+1/(1+'[1]McCulloch data set'!L62/100)^3+1/(1+'[1]McCulloch data set'!M62/100)^4+1/(1+'[1]McCulloch data set'!N62/100)^5+1/(1+('[1]McCulloch data set'!N62+'[1]McCulloch data set'!O62)/2/100)^6+1/(1+('[1]McCulloch data set'!N62+'[1]McCulloch data set'!O62)/2/100)^7+1/(1+('[1]McCulloch data set'!N62+'[1]McCulloch data set'!O62)/2/100)^8+1/(1+('[1]McCulloch data set'!N62+'[1]McCulloch data set'!O62)/2/100)^9+1/(1+('[1]McCulloch data set'!O62/100)^10))</f>
        <v>2.1003252480866808E-2</v>
      </c>
    </row>
    <row r="65" spans="1:3" ht="13.8" x14ac:dyDescent="0.25">
      <c r="A65" s="4" t="s">
        <v>77</v>
      </c>
      <c r="B65" s="12">
        <f>(1-1/(1+'[1]McCulloch data set'!N63/100)^5)/((1/(1+'[1]McCulloch data set'!J63/100))+1/(1+'[1]McCulloch data set'!K63/100)^2+1/(1+'[1]McCulloch data set'!L63/100)^3+1/(1+'[1]McCulloch data set'!M63/100)^4+1/(1+'[1]McCulloch data set'!N63/100)^5)</f>
        <v>2.1628259741033162E-2</v>
      </c>
      <c r="C65" s="12">
        <f>(1-1/(1+'[1]McCulloch data set'!N63/100)^10)/((1/(1+'[1]McCulloch data set'!J63/100))+1/(1+'[1]McCulloch data set'!K63/100)^2+1/(1+'[1]McCulloch data set'!L63/100)^3+1/(1+'[1]McCulloch data set'!M63/100)^4+1/(1+'[1]McCulloch data set'!N63/100)^5+1/(1+('[1]McCulloch data set'!N63+'[1]McCulloch data set'!O63)/2/100)^6+1/(1+('[1]McCulloch data set'!N63+'[1]McCulloch data set'!O63)/2/100)^7+1/(1+('[1]McCulloch data set'!N63+'[1]McCulloch data set'!O63)/2/100)^8+1/(1+('[1]McCulloch data set'!N63+'[1]McCulloch data set'!O63)/2/100)^9+1/(1+('[1]McCulloch data set'!O63/100)^10))</f>
        <v>2.1301150665348271E-2</v>
      </c>
    </row>
    <row r="66" spans="1:3" ht="13.8" x14ac:dyDescent="0.25">
      <c r="A66" s="4" t="s">
        <v>78</v>
      </c>
      <c r="B66" s="12">
        <f>(1-1/(1+'[1]McCulloch data set'!N64/100)^5)/((1/(1+'[1]McCulloch data set'!J64/100))+1/(1+'[1]McCulloch data set'!K64/100)^2+1/(1+'[1]McCulloch data set'!L64/100)^3+1/(1+'[1]McCulloch data set'!M64/100)^4+1/(1+'[1]McCulloch data set'!N64/100)^5)</f>
        <v>2.152134880709828E-2</v>
      </c>
      <c r="C66" s="12">
        <f>(1-1/(1+'[1]McCulloch data set'!N64/100)^10)/((1/(1+'[1]McCulloch data set'!J64/100))+1/(1+'[1]McCulloch data set'!K64/100)^2+1/(1+'[1]McCulloch data set'!L64/100)^3+1/(1+'[1]McCulloch data set'!M64/100)^4+1/(1+'[1]McCulloch data set'!N64/100)^5+1/(1+('[1]McCulloch data set'!N64+'[1]McCulloch data set'!O64)/2/100)^6+1/(1+('[1]McCulloch data set'!N64+'[1]McCulloch data set'!O64)/2/100)^7+1/(1+('[1]McCulloch data set'!N64+'[1]McCulloch data set'!O64)/2/100)^8+1/(1+('[1]McCulloch data set'!N64+'[1]McCulloch data set'!O64)/2/100)^9+1/(1+('[1]McCulloch data set'!O64/100)^10))</f>
        <v>2.1210020850962814E-2</v>
      </c>
    </row>
    <row r="67" spans="1:3" ht="13.8" x14ac:dyDescent="0.25">
      <c r="A67" s="4" t="s">
        <v>79</v>
      </c>
      <c r="B67" s="12">
        <f>(1-1/(1+'[1]McCulloch data set'!N65/100)^5)/((1/(1+'[1]McCulloch data set'!J65/100))+1/(1+'[1]McCulloch data set'!K65/100)^2+1/(1+'[1]McCulloch data set'!L65/100)^3+1/(1+'[1]McCulloch data set'!M65/100)^4+1/(1+'[1]McCulloch data set'!N65/100)^5)</f>
        <v>2.2334867455830729E-2</v>
      </c>
      <c r="C67" s="12">
        <f>(1-1/(1+'[1]McCulloch data set'!N65/100)^10)/((1/(1+'[1]McCulloch data set'!J65/100))+1/(1+'[1]McCulloch data set'!K65/100)^2+1/(1+'[1]McCulloch data set'!L65/100)^3+1/(1+'[1]McCulloch data set'!M65/100)^4+1/(1+'[1]McCulloch data set'!N65/100)^5+1/(1+('[1]McCulloch data set'!N65+'[1]McCulloch data set'!O65)/2/100)^6+1/(1+('[1]McCulloch data set'!N65+'[1]McCulloch data set'!O65)/2/100)^7+1/(1+('[1]McCulloch data set'!N65+'[1]McCulloch data set'!O65)/2/100)^8+1/(1+('[1]McCulloch data set'!N65+'[1]McCulloch data set'!O65)/2/100)^9+1/(1+('[1]McCulloch data set'!O65/100)^10))</f>
        <v>2.1965581040144497E-2</v>
      </c>
    </row>
    <row r="68" spans="1:3" ht="13.8" x14ac:dyDescent="0.25">
      <c r="A68" s="4" t="s">
        <v>80</v>
      </c>
      <c r="B68" s="12">
        <f>(1-1/(1+'[1]McCulloch data set'!N66/100)^5)/((1/(1+'[1]McCulloch data set'!J66/100))+1/(1+'[1]McCulloch data set'!K66/100)^2+1/(1+'[1]McCulloch data set'!L66/100)^3+1/(1+'[1]McCulloch data set'!M66/100)^4+1/(1+'[1]McCulloch data set'!N66/100)^5)</f>
        <v>2.1324214395239398E-2</v>
      </c>
      <c r="C68" s="12">
        <f>(1-1/(1+'[1]McCulloch data set'!N66/100)^10)/((1/(1+'[1]McCulloch data set'!J66/100))+1/(1+'[1]McCulloch data set'!K66/100)^2+1/(1+'[1]McCulloch data set'!L66/100)^3+1/(1+'[1]McCulloch data set'!M66/100)^4+1/(1+'[1]McCulloch data set'!N66/100)^5+1/(1+('[1]McCulloch data set'!N66+'[1]McCulloch data set'!O66)/2/100)^6+1/(1+('[1]McCulloch data set'!N66+'[1]McCulloch data set'!O66)/2/100)^7+1/(1+('[1]McCulloch data set'!N66+'[1]McCulloch data set'!O66)/2/100)^8+1/(1+('[1]McCulloch data set'!N66+'[1]McCulloch data set'!O66)/2/100)^9+1/(1+('[1]McCulloch data set'!O66/100)^10))</f>
        <v>2.1013246006992746E-2</v>
      </c>
    </row>
    <row r="69" spans="1:3" ht="13.8" x14ac:dyDescent="0.25">
      <c r="A69" s="4" t="s">
        <v>81</v>
      </c>
      <c r="B69" s="12">
        <f>(1-1/(1+'[1]McCulloch data set'!N67/100)^5)/((1/(1+'[1]McCulloch data set'!J67/100))+1/(1+'[1]McCulloch data set'!K67/100)^2+1/(1+'[1]McCulloch data set'!L67/100)^3+1/(1+'[1]McCulloch data set'!M67/100)^4+1/(1+'[1]McCulloch data set'!N67/100)^5)</f>
        <v>2.2707549180234585E-2</v>
      </c>
      <c r="C69" s="12">
        <f>(1-1/(1+'[1]McCulloch data set'!N67/100)^10)/((1/(1+'[1]McCulloch data set'!J67/100))+1/(1+'[1]McCulloch data set'!K67/100)^2+1/(1+'[1]McCulloch data set'!L67/100)^3+1/(1+'[1]McCulloch data set'!M67/100)^4+1/(1+'[1]McCulloch data set'!N67/100)^5+1/(1+('[1]McCulloch data set'!N67+'[1]McCulloch data set'!O67)/2/100)^6+1/(1+('[1]McCulloch data set'!N67+'[1]McCulloch data set'!O67)/2/100)^7+1/(1+('[1]McCulloch data set'!N67+'[1]McCulloch data set'!O67)/2/100)^8+1/(1+('[1]McCulloch data set'!N67+'[1]McCulloch data set'!O67)/2/100)^9+1/(1+('[1]McCulloch data set'!O67/100)^10))</f>
        <v>2.235361491573758E-2</v>
      </c>
    </row>
    <row r="70" spans="1:3" ht="13.8" x14ac:dyDescent="0.25">
      <c r="A70" s="4" t="s">
        <v>82</v>
      </c>
      <c r="B70" s="12">
        <f>(1-1/(1+'[1]McCulloch data set'!N68/100)^5)/((1/(1+'[1]McCulloch data set'!J68/100))+1/(1+'[1]McCulloch data set'!K68/100)^2+1/(1+'[1]McCulloch data set'!L68/100)^3+1/(1+'[1]McCulloch data set'!M68/100)^4+1/(1+'[1]McCulloch data set'!N68/100)^5)</f>
        <v>2.1722235257210568E-2</v>
      </c>
      <c r="C70" s="12">
        <f>(1-1/(1+'[1]McCulloch data set'!N68/100)^10)/((1/(1+'[1]McCulloch data set'!J68/100))+1/(1+'[1]McCulloch data set'!K68/100)^2+1/(1+'[1]McCulloch data set'!L68/100)^3+1/(1+'[1]McCulloch data set'!M68/100)^4+1/(1+'[1]McCulloch data set'!N68/100)^5+1/(1+('[1]McCulloch data set'!N68+'[1]McCulloch data set'!O68)/2/100)^6+1/(1+('[1]McCulloch data set'!N68+'[1]McCulloch data set'!O68)/2/100)^7+1/(1+('[1]McCulloch data set'!N68+'[1]McCulloch data set'!O68)/2/100)^8+1/(1+('[1]McCulloch data set'!N68+'[1]McCulloch data set'!O68)/2/100)^9+1/(1+('[1]McCulloch data set'!O68/100)^10))</f>
        <v>2.1394261633309514E-2</v>
      </c>
    </row>
    <row r="71" spans="1:3" ht="13.8" x14ac:dyDescent="0.25">
      <c r="A71" s="4" t="s">
        <v>83</v>
      </c>
      <c r="B71" s="12">
        <f>(1-1/(1+'[1]McCulloch data set'!N69/100)^5)/((1/(1+'[1]McCulloch data set'!J69/100))+1/(1+'[1]McCulloch data set'!K69/100)^2+1/(1+'[1]McCulloch data set'!L69/100)^3+1/(1+'[1]McCulloch data set'!M69/100)^4+1/(1+'[1]McCulloch data set'!N69/100)^5)</f>
        <v>2.0935643529599476E-2</v>
      </c>
      <c r="C71" s="12">
        <f>(1-1/(1+'[1]McCulloch data set'!N69/100)^10)/((1/(1+'[1]McCulloch data set'!J69/100))+1/(1+'[1]McCulloch data set'!K69/100)^2+1/(1+'[1]McCulloch data set'!L69/100)^3+1/(1+'[1]McCulloch data set'!M69/100)^4+1/(1+'[1]McCulloch data set'!N69/100)^5+1/(1+('[1]McCulloch data set'!N69+'[1]McCulloch data set'!O69)/2/100)^6+1/(1+('[1]McCulloch data set'!N69+'[1]McCulloch data set'!O69)/2/100)^7+1/(1+('[1]McCulloch data set'!N69+'[1]McCulloch data set'!O69)/2/100)^8+1/(1+('[1]McCulloch data set'!N69+'[1]McCulloch data set'!O69)/2/100)^9+1/(1+('[1]McCulloch data set'!O69/100)^10))</f>
        <v>2.0631055325501874E-2</v>
      </c>
    </row>
    <row r="72" spans="1:3" ht="13.8" x14ac:dyDescent="0.25">
      <c r="A72" s="4" t="s">
        <v>84</v>
      </c>
      <c r="B72" s="12">
        <f>(1-1/(1+'[1]McCulloch data set'!N70/100)^5)/((1/(1+'[1]McCulloch data set'!J70/100))+1/(1+'[1]McCulloch data set'!K70/100)^2+1/(1+'[1]McCulloch data set'!L70/100)^3+1/(1+'[1]McCulloch data set'!M70/100)^4+1/(1+'[1]McCulloch data set'!N70/100)^5)</f>
        <v>2.115094755215504E-2</v>
      </c>
      <c r="C72" s="12">
        <f>(1-1/(1+'[1]McCulloch data set'!N70/100)^10)/((1/(1+'[1]McCulloch data set'!J70/100))+1/(1+'[1]McCulloch data set'!K70/100)^2+1/(1+'[1]McCulloch data set'!L70/100)^3+1/(1+'[1]McCulloch data set'!M70/100)^4+1/(1+'[1]McCulloch data set'!N70/100)^5+1/(1+('[1]McCulloch data set'!N70+'[1]McCulloch data set'!O70)/2/100)^6+1/(1+('[1]McCulloch data set'!N70+'[1]McCulloch data set'!O70)/2/100)^7+1/(1+('[1]McCulloch data set'!N70+'[1]McCulloch data set'!O70)/2/100)^8+1/(1+('[1]McCulloch data set'!N70+'[1]McCulloch data set'!O70)/2/100)^9+1/(1+('[1]McCulloch data set'!O70/100)^10))</f>
        <v>2.0811695042440487E-2</v>
      </c>
    </row>
    <row r="73" spans="1:3" ht="13.8" x14ac:dyDescent="0.25">
      <c r="A73" s="4" t="s">
        <v>85</v>
      </c>
      <c r="B73" s="12">
        <f>(1-1/(1+'[1]McCulloch data set'!N71/100)^5)/((1/(1+'[1]McCulloch data set'!J71/100))+1/(1+'[1]McCulloch data set'!K71/100)^2+1/(1+'[1]McCulloch data set'!L71/100)^3+1/(1+'[1]McCulloch data set'!M71/100)^4+1/(1+'[1]McCulloch data set'!N71/100)^5)</f>
        <v>2.2346687595515814E-2</v>
      </c>
      <c r="C73" s="12">
        <f>(1-1/(1+'[1]McCulloch data set'!N71/100)^10)/((1/(1+'[1]McCulloch data set'!J71/100))+1/(1+'[1]McCulloch data set'!K71/100)^2+1/(1+'[1]McCulloch data set'!L71/100)^3+1/(1+'[1]McCulloch data set'!M71/100)^4+1/(1+'[1]McCulloch data set'!N71/100)^5+1/(1+('[1]McCulloch data set'!N71+'[1]McCulloch data set'!O71)/2/100)^6+1/(1+('[1]McCulloch data set'!N71+'[1]McCulloch data set'!O71)/2/100)^7+1/(1+('[1]McCulloch data set'!N71+'[1]McCulloch data set'!O71)/2/100)^8+1/(1+('[1]McCulloch data set'!N71+'[1]McCulloch data set'!O71)/2/100)^9+1/(1+('[1]McCulloch data set'!O71/100)^10))</f>
        <v>2.1935931769803477E-2</v>
      </c>
    </row>
    <row r="74" spans="1:3" ht="13.8" x14ac:dyDescent="0.25">
      <c r="A74" s="4" t="s">
        <v>86</v>
      </c>
      <c r="B74" s="12">
        <f>(1-1/(1+'[1]McCulloch data set'!N72/100)^5)/((1/(1+'[1]McCulloch data set'!J72/100))+1/(1+'[1]McCulloch data set'!K72/100)^2+1/(1+'[1]McCulloch data set'!L72/100)^3+1/(1+'[1]McCulloch data set'!M72/100)^4+1/(1+'[1]McCulloch data set'!N72/100)^5)</f>
        <v>2.3146976649389115E-2</v>
      </c>
      <c r="C74" s="12">
        <f>(1-1/(1+'[1]McCulloch data set'!N72/100)^10)/((1/(1+'[1]McCulloch data set'!J72/100))+1/(1+'[1]McCulloch data set'!K72/100)^2+1/(1+'[1]McCulloch data set'!L72/100)^3+1/(1+'[1]McCulloch data set'!M72/100)^4+1/(1+'[1]McCulloch data set'!N72/100)^5+1/(1+('[1]McCulloch data set'!N72+'[1]McCulloch data set'!O72)/2/100)^6+1/(1+('[1]McCulloch data set'!N72+'[1]McCulloch data set'!O72)/2/100)^7+1/(1+('[1]McCulloch data set'!N72+'[1]McCulloch data set'!O72)/2/100)^8+1/(1+('[1]McCulloch data set'!N72+'[1]McCulloch data set'!O72)/2/100)^9+1/(1+('[1]McCulloch data set'!O72/100)^10))</f>
        <v>2.269328085680275E-2</v>
      </c>
    </row>
    <row r="75" spans="1:3" ht="13.8" x14ac:dyDescent="0.25">
      <c r="A75" s="4" t="s">
        <v>87</v>
      </c>
      <c r="B75" s="12">
        <f>(1-1/(1+'[1]McCulloch data set'!N73/100)^5)/((1/(1+'[1]McCulloch data set'!J73/100))+1/(1+'[1]McCulloch data set'!K73/100)^2+1/(1+'[1]McCulloch data set'!L73/100)^3+1/(1+'[1]McCulloch data set'!M73/100)^4+1/(1+'[1]McCulloch data set'!N73/100)^5)</f>
        <v>2.4040232750872373E-2</v>
      </c>
      <c r="C75" s="12">
        <f>(1-1/(1+'[1]McCulloch data set'!N73/100)^10)/((1/(1+'[1]McCulloch data set'!J73/100))+1/(1+'[1]McCulloch data set'!K73/100)^2+1/(1+'[1]McCulloch data set'!L73/100)^3+1/(1+'[1]McCulloch data set'!M73/100)^4+1/(1+'[1]McCulloch data set'!N73/100)^5+1/(1+('[1]McCulloch data set'!N73+'[1]McCulloch data set'!O73)/2/100)^6+1/(1+('[1]McCulloch data set'!N73+'[1]McCulloch data set'!O73)/2/100)^7+1/(1+('[1]McCulloch data set'!N73+'[1]McCulloch data set'!O73)/2/100)^8+1/(1+('[1]McCulloch data set'!N73+'[1]McCulloch data set'!O73)/2/100)^9+1/(1+('[1]McCulloch data set'!O73/100)^10))</f>
        <v>2.3550308860862419E-2</v>
      </c>
    </row>
    <row r="76" spans="1:3" ht="13.8" x14ac:dyDescent="0.25">
      <c r="A76" s="4" t="s">
        <v>88</v>
      </c>
      <c r="B76" s="12">
        <f>(1-1/(1+'[1]McCulloch data set'!N74/100)^5)/((1/(1+'[1]McCulloch data set'!J74/100))+1/(1+'[1]McCulloch data set'!K74/100)^2+1/(1+'[1]McCulloch data set'!L74/100)^3+1/(1+'[1]McCulloch data set'!M74/100)^4+1/(1+'[1]McCulloch data set'!N74/100)^5)</f>
        <v>2.4217771673380937E-2</v>
      </c>
      <c r="C76" s="12">
        <f>(1-1/(1+'[1]McCulloch data set'!N74/100)^10)/((1/(1+'[1]McCulloch data set'!J74/100))+1/(1+'[1]McCulloch data set'!K74/100)^2+1/(1+'[1]McCulloch data set'!L74/100)^3+1/(1+'[1]McCulloch data set'!M74/100)^4+1/(1+'[1]McCulloch data set'!N74/100)^5+1/(1+('[1]McCulloch data set'!N74+'[1]McCulloch data set'!O74)/2/100)^6+1/(1+('[1]McCulloch data set'!N74+'[1]McCulloch data set'!O74)/2/100)^7+1/(1+('[1]McCulloch data set'!N74+'[1]McCulloch data set'!O74)/2/100)^8+1/(1+('[1]McCulloch data set'!N74+'[1]McCulloch data set'!O74)/2/100)^9+1/(1+('[1]McCulloch data set'!O74/100)^10))</f>
        <v>2.3768191702646581E-2</v>
      </c>
    </row>
    <row r="77" spans="1:3" ht="13.8" x14ac:dyDescent="0.25">
      <c r="A77" s="4" t="s">
        <v>89</v>
      </c>
      <c r="B77" s="12">
        <f>(1-1/(1+'[1]McCulloch data set'!N75/100)^5)/((1/(1+'[1]McCulloch data set'!J75/100))+1/(1+'[1]McCulloch data set'!K75/100)^2+1/(1+'[1]McCulloch data set'!L75/100)^3+1/(1+'[1]McCulloch data set'!M75/100)^4+1/(1+'[1]McCulloch data set'!N75/100)^5)</f>
        <v>2.3337386970570705E-2</v>
      </c>
      <c r="C77" s="12">
        <f>(1-1/(1+'[1]McCulloch data set'!N75/100)^10)/((1/(1+'[1]McCulloch data set'!J75/100))+1/(1+'[1]McCulloch data set'!K75/100)^2+1/(1+'[1]McCulloch data set'!L75/100)^3+1/(1+'[1]McCulloch data set'!M75/100)^4+1/(1+'[1]McCulloch data set'!N75/100)^5+1/(1+('[1]McCulloch data set'!N75+'[1]McCulloch data set'!O75)/2/100)^6+1/(1+('[1]McCulloch data set'!N75+'[1]McCulloch data set'!O75)/2/100)^7+1/(1+('[1]McCulloch data set'!N75+'[1]McCulloch data set'!O75)/2/100)^8+1/(1+('[1]McCulloch data set'!N75+'[1]McCulloch data set'!O75)/2/100)^9+1/(1+('[1]McCulloch data set'!O75/100)^10))</f>
        <v>2.2895211305286774E-2</v>
      </c>
    </row>
    <row r="78" spans="1:3" ht="13.8" x14ac:dyDescent="0.25">
      <c r="A78" s="4" t="s">
        <v>90</v>
      </c>
      <c r="B78" s="12">
        <f>(1-1/(1+'[1]McCulloch data set'!N76/100)^5)/((1/(1+'[1]McCulloch data set'!J76/100))+1/(1+'[1]McCulloch data set'!K76/100)^2+1/(1+'[1]McCulloch data set'!L76/100)^3+1/(1+'[1]McCulloch data set'!M76/100)^4+1/(1+'[1]McCulloch data set'!N76/100)^5)</f>
        <v>2.3458080815866009E-2</v>
      </c>
      <c r="C78" s="12">
        <f>(1-1/(1+'[1]McCulloch data set'!N76/100)^10)/((1/(1+'[1]McCulloch data set'!J76/100))+1/(1+'[1]McCulloch data set'!K76/100)^2+1/(1+'[1]McCulloch data set'!L76/100)^3+1/(1+'[1]McCulloch data set'!M76/100)^4+1/(1+'[1]McCulloch data set'!N76/100)^5+1/(1+('[1]McCulloch data set'!N76+'[1]McCulloch data set'!O76)/2/100)^6+1/(1+('[1]McCulloch data set'!N76+'[1]McCulloch data set'!O76)/2/100)^7+1/(1+('[1]McCulloch data set'!N76+'[1]McCulloch data set'!O76)/2/100)^8+1/(1+('[1]McCulloch data set'!N76+'[1]McCulloch data set'!O76)/2/100)^9+1/(1+('[1]McCulloch data set'!O76/100)^10))</f>
        <v>2.2992124746246428E-2</v>
      </c>
    </row>
    <row r="79" spans="1:3" ht="13.8" x14ac:dyDescent="0.25">
      <c r="A79" s="4" t="s">
        <v>91</v>
      </c>
      <c r="B79" s="12">
        <f>(1-1/(1+'[1]McCulloch data set'!N77/100)^5)/((1/(1+'[1]McCulloch data set'!J77/100))+1/(1+'[1]McCulloch data set'!K77/100)^2+1/(1+'[1]McCulloch data set'!L77/100)^3+1/(1+'[1]McCulloch data set'!M77/100)^4+1/(1+'[1]McCulloch data set'!N77/100)^5)</f>
        <v>2.3757550653416837E-2</v>
      </c>
      <c r="C79" s="12">
        <f>(1-1/(1+'[1]McCulloch data set'!N77/100)^10)/((1/(1+'[1]McCulloch data set'!J77/100))+1/(1+'[1]McCulloch data set'!K77/100)^2+1/(1+'[1]McCulloch data set'!L77/100)^3+1/(1+'[1]McCulloch data set'!M77/100)^4+1/(1+'[1]McCulloch data set'!N77/100)^5+1/(1+('[1]McCulloch data set'!N77+'[1]McCulloch data set'!O77)/2/100)^6+1/(1+('[1]McCulloch data set'!N77+'[1]McCulloch data set'!O77)/2/100)^7+1/(1+('[1]McCulloch data set'!N77+'[1]McCulloch data set'!O77)/2/100)^8+1/(1+('[1]McCulloch data set'!N77+'[1]McCulloch data set'!O77)/2/100)^9+1/(1+('[1]McCulloch data set'!O77/100)^10))</f>
        <v>2.3281885117316742E-2</v>
      </c>
    </row>
    <row r="80" spans="1:3" ht="13.8" x14ac:dyDescent="0.25">
      <c r="A80" s="4" t="s">
        <v>92</v>
      </c>
      <c r="B80" s="12">
        <f>(1-1/(1+'[1]McCulloch data set'!N78/100)^5)/((1/(1+'[1]McCulloch data set'!J78/100))+1/(1+'[1]McCulloch data set'!K78/100)^2+1/(1+'[1]McCulloch data set'!L78/100)^3+1/(1+'[1]McCulloch data set'!M78/100)^4+1/(1+'[1]McCulloch data set'!N78/100)^5)</f>
        <v>2.3931184289169894E-2</v>
      </c>
      <c r="C80" s="12">
        <f>(1-1/(1+'[1]McCulloch data set'!N78/100)^10)/((1/(1+'[1]McCulloch data set'!J78/100))+1/(1+'[1]McCulloch data set'!K78/100)^2+1/(1+'[1]McCulloch data set'!L78/100)^3+1/(1+'[1]McCulloch data set'!M78/100)^4+1/(1+'[1]McCulloch data set'!N78/100)^5+1/(1+('[1]McCulloch data set'!N78+'[1]McCulloch data set'!O78)/2/100)^6+1/(1+('[1]McCulloch data set'!N78+'[1]McCulloch data set'!O78)/2/100)^7+1/(1+('[1]McCulloch data set'!N78+'[1]McCulloch data set'!O78)/2/100)^8+1/(1+('[1]McCulloch data set'!N78+'[1]McCulloch data set'!O78)/2/100)^9+1/(1+('[1]McCulloch data set'!O78/100)^10))</f>
        <v>2.3484929584945035E-2</v>
      </c>
    </row>
    <row r="81" spans="1:3" ht="13.8" x14ac:dyDescent="0.25">
      <c r="A81" s="4" t="s">
        <v>93</v>
      </c>
      <c r="B81" s="12">
        <f>(1-1/(1+'[1]McCulloch data set'!N79/100)^5)/((1/(1+'[1]McCulloch data set'!J79/100))+1/(1+'[1]McCulloch data set'!K79/100)^2+1/(1+'[1]McCulloch data set'!L79/100)^3+1/(1+'[1]McCulloch data set'!M79/100)^4+1/(1+'[1]McCulloch data set'!N79/100)^5)</f>
        <v>2.4339878456460649E-2</v>
      </c>
      <c r="C81" s="12">
        <f>(1-1/(1+'[1]McCulloch data set'!N79/100)^10)/((1/(1+'[1]McCulloch data set'!J79/100))+1/(1+'[1]McCulloch data set'!K79/100)^2+1/(1+'[1]McCulloch data set'!L79/100)^3+1/(1+'[1]McCulloch data set'!M79/100)^4+1/(1+'[1]McCulloch data set'!N79/100)^5+1/(1+('[1]McCulloch data set'!N79+'[1]McCulloch data set'!O79)/2/100)^6+1/(1+('[1]McCulloch data set'!N79+'[1]McCulloch data set'!O79)/2/100)^7+1/(1+('[1]McCulloch data set'!N79+'[1]McCulloch data set'!O79)/2/100)^8+1/(1+('[1]McCulloch data set'!N79+'[1]McCulloch data set'!O79)/2/100)^9+1/(1+('[1]McCulloch data set'!O79/100)^10))</f>
        <v>2.3881490124424854E-2</v>
      </c>
    </row>
    <row r="82" spans="1:3" ht="13.8" x14ac:dyDescent="0.25">
      <c r="A82" s="4" t="s">
        <v>94</v>
      </c>
      <c r="B82" s="12">
        <f>(1-1/(1+'[1]McCulloch data set'!N80/100)^5)/((1/(1+'[1]McCulloch data set'!J80/100))+1/(1+'[1]McCulloch data set'!K80/100)^2+1/(1+'[1]McCulloch data set'!L80/100)^3+1/(1+'[1]McCulloch data set'!M80/100)^4+1/(1+'[1]McCulloch data set'!N80/100)^5)</f>
        <v>2.4723449374257536E-2</v>
      </c>
      <c r="C82" s="12">
        <f>(1-1/(1+'[1]McCulloch data set'!N80/100)^10)/((1/(1+'[1]McCulloch data set'!J80/100))+1/(1+'[1]McCulloch data set'!K80/100)^2+1/(1+'[1]McCulloch data set'!L80/100)^3+1/(1+'[1]McCulloch data set'!M80/100)^4+1/(1+'[1]McCulloch data set'!N80/100)^5+1/(1+('[1]McCulloch data set'!N80+'[1]McCulloch data set'!O80)/2/100)^6+1/(1+('[1]McCulloch data set'!N80+'[1]McCulloch data set'!O80)/2/100)^7+1/(1+('[1]McCulloch data set'!N80+'[1]McCulloch data set'!O80)/2/100)^8+1/(1+('[1]McCulloch data set'!N80+'[1]McCulloch data set'!O80)/2/100)^9+1/(1+('[1]McCulloch data set'!O80/100)^10))</f>
        <v>2.4252208325663265E-2</v>
      </c>
    </row>
    <row r="83" spans="1:3" ht="13.8" x14ac:dyDescent="0.25">
      <c r="A83" s="4" t="s">
        <v>95</v>
      </c>
      <c r="B83" s="12">
        <f>(1-1/(1+'[1]McCulloch data set'!N81/100)^5)/((1/(1+'[1]McCulloch data set'!J81/100))+1/(1+'[1]McCulloch data set'!K81/100)^2+1/(1+'[1]McCulloch data set'!L81/100)^3+1/(1+'[1]McCulloch data set'!M81/100)^4+1/(1+'[1]McCulloch data set'!N81/100)^5)</f>
        <v>2.7526362442528703E-2</v>
      </c>
      <c r="C83" s="12">
        <f>(1-1/(1+'[1]McCulloch data set'!N81/100)^10)/((1/(1+'[1]McCulloch data set'!J81/100))+1/(1+'[1]McCulloch data set'!K81/100)^2+1/(1+'[1]McCulloch data set'!L81/100)^3+1/(1+'[1]McCulloch data set'!M81/100)^4+1/(1+'[1]McCulloch data set'!N81/100)^5+1/(1+('[1]McCulloch data set'!N81+'[1]McCulloch data set'!O81)/2/100)^6+1/(1+('[1]McCulloch data set'!N81+'[1]McCulloch data set'!O81)/2/100)^7+1/(1+('[1]McCulloch data set'!N81+'[1]McCulloch data set'!O81)/2/100)^8+1/(1+('[1]McCulloch data set'!N81+'[1]McCulloch data set'!O81)/2/100)^9+1/(1+('[1]McCulloch data set'!O81/100)^10))</f>
        <v>2.6907115374879009E-2</v>
      </c>
    </row>
    <row r="84" spans="1:3" ht="13.8" x14ac:dyDescent="0.25">
      <c r="A84" s="4" t="s">
        <v>96</v>
      </c>
      <c r="B84" s="12">
        <f>(1-1/(1+'[1]McCulloch data set'!N82/100)^5)/((1/(1+'[1]McCulloch data set'!J82/100))+1/(1+'[1]McCulloch data set'!K82/100)^2+1/(1+'[1]McCulloch data set'!L82/100)^3+1/(1+'[1]McCulloch data set'!M82/100)^4+1/(1+'[1]McCulloch data set'!N82/100)^5)</f>
        <v>3.0782745906050086E-2</v>
      </c>
      <c r="C84" s="12">
        <f>(1-1/(1+'[1]McCulloch data set'!N82/100)^10)/((1/(1+'[1]McCulloch data set'!J82/100))+1/(1+'[1]McCulloch data set'!K82/100)^2+1/(1+'[1]McCulloch data set'!L82/100)^3+1/(1+'[1]McCulloch data set'!M82/100)^4+1/(1+'[1]McCulloch data set'!N82/100)^5+1/(1+('[1]McCulloch data set'!N82+'[1]McCulloch data set'!O82)/2/100)^6+1/(1+('[1]McCulloch data set'!N82+'[1]McCulloch data set'!O82)/2/100)^7+1/(1+('[1]McCulloch data set'!N82+'[1]McCulloch data set'!O82)/2/100)^8+1/(1+('[1]McCulloch data set'!N82+'[1]McCulloch data set'!O82)/2/100)^9+1/(1+('[1]McCulloch data set'!O82/100)^10))</f>
        <v>3.0000705901185514E-2</v>
      </c>
    </row>
    <row r="85" spans="1:3" ht="13.8" x14ac:dyDescent="0.25">
      <c r="A85" s="4" t="s">
        <v>97</v>
      </c>
      <c r="B85" s="12">
        <f>(1-1/(1+'[1]McCulloch data set'!N83/100)^5)/((1/(1+'[1]McCulloch data set'!J83/100))+1/(1+'[1]McCulloch data set'!K83/100)^2+1/(1+'[1]McCulloch data set'!L83/100)^3+1/(1+'[1]McCulloch data set'!M83/100)^4+1/(1+'[1]McCulloch data set'!N83/100)^5)</f>
        <v>2.7502735314990999E-2</v>
      </c>
      <c r="C85" s="12">
        <f>(1-1/(1+'[1]McCulloch data set'!N83/100)^10)/((1/(1+'[1]McCulloch data set'!J83/100))+1/(1+'[1]McCulloch data set'!K83/100)^2+1/(1+'[1]McCulloch data set'!L83/100)^3+1/(1+'[1]McCulloch data set'!M83/100)^4+1/(1+'[1]McCulloch data set'!N83/100)^5+1/(1+('[1]McCulloch data set'!N83+'[1]McCulloch data set'!O83)/2/100)^6+1/(1+('[1]McCulloch data set'!N83+'[1]McCulloch data set'!O83)/2/100)^7+1/(1+('[1]McCulloch data set'!N83+'[1]McCulloch data set'!O83)/2/100)^8+1/(1+('[1]McCulloch data set'!N83+'[1]McCulloch data set'!O83)/2/100)^9+1/(1+('[1]McCulloch data set'!O83/100)^10))</f>
        <v>2.68986160565362E-2</v>
      </c>
    </row>
    <row r="86" spans="1:3" ht="13.8" x14ac:dyDescent="0.25">
      <c r="A86" s="4" t="s">
        <v>98</v>
      </c>
      <c r="B86" s="12">
        <f>(1-1/(1+'[1]McCulloch data set'!N84/100)^5)/((1/(1+'[1]McCulloch data set'!J84/100))+1/(1+'[1]McCulloch data set'!K84/100)^2+1/(1+'[1]McCulloch data set'!L84/100)^3+1/(1+'[1]McCulloch data set'!M84/100)^4+1/(1+'[1]McCulloch data set'!N84/100)^5)</f>
        <v>2.7300268562953887E-2</v>
      </c>
      <c r="C86" s="12">
        <f>(1-1/(1+'[1]McCulloch data set'!N84/100)^10)/((1/(1+'[1]McCulloch data set'!J84/100))+1/(1+'[1]McCulloch data set'!K84/100)^2+1/(1+'[1]McCulloch data set'!L84/100)^3+1/(1+'[1]McCulloch data set'!M84/100)^4+1/(1+'[1]McCulloch data set'!N84/100)^5+1/(1+('[1]McCulloch data set'!N84+'[1]McCulloch data set'!O84)/2/100)^6+1/(1+('[1]McCulloch data set'!N84+'[1]McCulloch data set'!O84)/2/100)^7+1/(1+('[1]McCulloch data set'!N84+'[1]McCulloch data set'!O84)/2/100)^8+1/(1+('[1]McCulloch data set'!N84+'[1]McCulloch data set'!O84)/2/100)^9+1/(1+('[1]McCulloch data set'!O84/100)^10))</f>
        <v>2.6707364898138033E-2</v>
      </c>
    </row>
    <row r="87" spans="1:3" ht="13.8" x14ac:dyDescent="0.25">
      <c r="A87" s="4" t="s">
        <v>99</v>
      </c>
      <c r="B87" s="12">
        <f>(1-1/(1+'[1]McCulloch data set'!N85/100)^5)/((1/(1+'[1]McCulloch data set'!J85/100))+1/(1+'[1]McCulloch data set'!K85/100)^2+1/(1+'[1]McCulloch data set'!L85/100)^3+1/(1+'[1]McCulloch data set'!M85/100)^4+1/(1+'[1]McCulloch data set'!N85/100)^5)</f>
        <v>2.8458775868148156E-2</v>
      </c>
      <c r="C87" s="12">
        <f>(1-1/(1+'[1]McCulloch data set'!N85/100)^10)/((1/(1+'[1]McCulloch data set'!J85/100))+1/(1+'[1]McCulloch data set'!K85/100)^2+1/(1+'[1]McCulloch data set'!L85/100)^3+1/(1+'[1]McCulloch data set'!M85/100)^4+1/(1+'[1]McCulloch data set'!N85/100)^5+1/(1+('[1]McCulloch data set'!N85+'[1]McCulloch data set'!O85)/2/100)^6+1/(1+('[1]McCulloch data set'!N85+'[1]McCulloch data set'!O85)/2/100)^7+1/(1+('[1]McCulloch data set'!N85+'[1]McCulloch data set'!O85)/2/100)^8+1/(1+('[1]McCulloch data set'!N85+'[1]McCulloch data set'!O85)/2/100)^9+1/(1+('[1]McCulloch data set'!O85/100)^10))</f>
        <v>2.7817643496067291E-2</v>
      </c>
    </row>
    <row r="88" spans="1:3" ht="13.8" x14ac:dyDescent="0.25">
      <c r="A88" s="4" t="s">
        <v>100</v>
      </c>
      <c r="B88" s="12">
        <f>(1-1/(1+'[1]McCulloch data set'!N86/100)^5)/((1/(1+'[1]McCulloch data set'!J86/100))+1/(1+'[1]McCulloch data set'!K86/100)^2+1/(1+'[1]McCulloch data set'!L86/100)^3+1/(1+'[1]McCulloch data set'!M86/100)^4+1/(1+'[1]McCulloch data set'!N86/100)^5)</f>
        <v>2.4808345342271741E-2</v>
      </c>
      <c r="C88" s="12">
        <f>(1-1/(1+'[1]McCulloch data set'!N86/100)^10)/((1/(1+'[1]McCulloch data set'!J86/100))+1/(1+'[1]McCulloch data set'!K86/100)^2+1/(1+'[1]McCulloch data set'!L86/100)^3+1/(1+'[1]McCulloch data set'!M86/100)^4+1/(1+'[1]McCulloch data set'!N86/100)^5+1/(1+('[1]McCulloch data set'!N86+'[1]McCulloch data set'!O86)/2/100)^6+1/(1+('[1]McCulloch data set'!N86+'[1]McCulloch data set'!O86)/2/100)^7+1/(1+('[1]McCulloch data set'!N86+'[1]McCulloch data set'!O86)/2/100)^8+1/(1+('[1]McCulloch data set'!N86+'[1]McCulloch data set'!O86)/2/100)^9+1/(1+('[1]McCulloch data set'!O86/100)^10))</f>
        <v>2.4300917214053083E-2</v>
      </c>
    </row>
    <row r="89" spans="1:3" ht="13.8" x14ac:dyDescent="0.25">
      <c r="A89" s="4" t="s">
        <v>101</v>
      </c>
      <c r="B89" s="12">
        <f>(1-1/(1+'[1]McCulloch data set'!N87/100)^5)/((1/(1+'[1]McCulloch data set'!J87/100))+1/(1+'[1]McCulloch data set'!K87/100)^2+1/(1+'[1]McCulloch data set'!L87/100)^3+1/(1+'[1]McCulloch data set'!M87/100)^4+1/(1+'[1]McCulloch data set'!N87/100)^5)</f>
        <v>2.4266235017208714E-2</v>
      </c>
      <c r="C89" s="12">
        <f>(1-1/(1+'[1]McCulloch data set'!N87/100)^10)/((1/(1+'[1]McCulloch data set'!J87/100))+1/(1+'[1]McCulloch data set'!K87/100)^2+1/(1+'[1]McCulloch data set'!L87/100)^3+1/(1+'[1]McCulloch data set'!M87/100)^4+1/(1+'[1]McCulloch data set'!N87/100)^5+1/(1+('[1]McCulloch data set'!N87+'[1]McCulloch data set'!O87)/2/100)^6+1/(1+('[1]McCulloch data set'!N87+'[1]McCulloch data set'!O87)/2/100)^7+1/(1+('[1]McCulloch data set'!N87+'[1]McCulloch data set'!O87)/2/100)^8+1/(1+('[1]McCulloch data set'!N87+'[1]McCulloch data set'!O87)/2/100)^9+1/(1+('[1]McCulloch data set'!O87/100)^10))</f>
        <v>2.3837468172234991E-2</v>
      </c>
    </row>
    <row r="90" spans="1:3" ht="13.8" x14ac:dyDescent="0.25">
      <c r="A90" s="4" t="s">
        <v>102</v>
      </c>
      <c r="B90" s="12">
        <f>(1-1/(1+'[1]McCulloch data set'!N88/100)^5)/((1/(1+'[1]McCulloch data set'!J88/100))+1/(1+'[1]McCulloch data set'!K88/100)^2+1/(1+'[1]McCulloch data set'!L88/100)^3+1/(1+'[1]McCulloch data set'!M88/100)^4+1/(1+'[1]McCulloch data set'!N88/100)^5)</f>
        <v>2.3876222955903505E-2</v>
      </c>
      <c r="C90" s="12">
        <f>(1-1/(1+'[1]McCulloch data set'!N88/100)^10)/((1/(1+'[1]McCulloch data set'!J88/100))+1/(1+'[1]McCulloch data set'!K88/100)^2+1/(1+'[1]McCulloch data set'!L88/100)^3+1/(1+'[1]McCulloch data set'!M88/100)^4+1/(1+'[1]McCulloch data set'!N88/100)^5+1/(1+('[1]McCulloch data set'!N88+'[1]McCulloch data set'!O88)/2/100)^6+1/(1+('[1]McCulloch data set'!N88+'[1]McCulloch data set'!O88)/2/100)^7+1/(1+('[1]McCulloch data set'!N88+'[1]McCulloch data set'!O88)/2/100)^8+1/(1+('[1]McCulloch data set'!N88+'[1]McCulloch data set'!O88)/2/100)^9+1/(1+('[1]McCulloch data set'!O88/100)^10))</f>
        <v>2.3485188417754269E-2</v>
      </c>
    </row>
    <row r="91" spans="1:3" ht="13.8" x14ac:dyDescent="0.25">
      <c r="A91" s="4" t="s">
        <v>103</v>
      </c>
      <c r="B91" s="12">
        <f>(1-1/(1+'[1]McCulloch data set'!N89/100)^5)/((1/(1+'[1]McCulloch data set'!J89/100))+1/(1+'[1]McCulloch data set'!K89/100)^2+1/(1+'[1]McCulloch data set'!L89/100)^3+1/(1+'[1]McCulloch data set'!M89/100)^4+1/(1+'[1]McCulloch data set'!N89/100)^5)</f>
        <v>2.2009123360400007E-2</v>
      </c>
      <c r="C91" s="12">
        <f>(1-1/(1+'[1]McCulloch data set'!N89/100)^10)/((1/(1+'[1]McCulloch data set'!J89/100))+1/(1+'[1]McCulloch data set'!K89/100)^2+1/(1+'[1]McCulloch data set'!L89/100)^3+1/(1+'[1]McCulloch data set'!M89/100)^4+1/(1+'[1]McCulloch data set'!N89/100)^5+1/(1+('[1]McCulloch data set'!N89+'[1]McCulloch data set'!O89)/2/100)^6+1/(1+('[1]McCulloch data set'!N89+'[1]McCulloch data set'!O89)/2/100)^7+1/(1+('[1]McCulloch data set'!N89+'[1]McCulloch data set'!O89)/2/100)^8+1/(1+('[1]McCulloch data set'!N89+'[1]McCulloch data set'!O89)/2/100)^9+1/(1+('[1]McCulloch data set'!O89/100)^10))</f>
        <v>2.1655502077583308E-2</v>
      </c>
    </row>
    <row r="92" spans="1:3" ht="13.8" x14ac:dyDescent="0.25">
      <c r="A92" s="4" t="s">
        <v>104</v>
      </c>
      <c r="B92" s="12">
        <f>(1-1/(1+'[1]McCulloch data set'!N90/100)^5)/((1/(1+'[1]McCulloch data set'!J90/100))+1/(1+'[1]McCulloch data set'!K90/100)^2+1/(1+'[1]McCulloch data set'!L90/100)^3+1/(1+'[1]McCulloch data set'!M90/100)^4+1/(1+'[1]McCulloch data set'!N90/100)^5)</f>
        <v>2.0754286742985923E-2</v>
      </c>
      <c r="C92" s="12">
        <f>(1-1/(1+'[1]McCulloch data set'!N90/100)^10)/((1/(1+'[1]McCulloch data set'!J90/100))+1/(1+'[1]McCulloch data set'!K90/100)^2+1/(1+'[1]McCulloch data set'!L90/100)^3+1/(1+'[1]McCulloch data set'!M90/100)^4+1/(1+'[1]McCulloch data set'!N90/100)^5+1/(1+('[1]McCulloch data set'!N90+'[1]McCulloch data set'!O90)/2/100)^6+1/(1+('[1]McCulloch data set'!N90+'[1]McCulloch data set'!O90)/2/100)^7+1/(1+('[1]McCulloch data set'!N90+'[1]McCulloch data set'!O90)/2/100)^8+1/(1+('[1]McCulloch data set'!N90+'[1]McCulloch data set'!O90)/2/100)^9+1/(1+('[1]McCulloch data set'!O90/100)^10))</f>
        <v>2.0509743709181516E-2</v>
      </c>
    </row>
    <row r="93" spans="1:3" ht="13.8" x14ac:dyDescent="0.25">
      <c r="A93" s="4" t="s">
        <v>105</v>
      </c>
      <c r="B93" s="12">
        <f>(1-1/(1+'[1]McCulloch data set'!N91/100)^5)/((1/(1+'[1]McCulloch data set'!J91/100))+1/(1+'[1]McCulloch data set'!K91/100)^2+1/(1+'[1]McCulloch data set'!L91/100)^3+1/(1+'[1]McCulloch data set'!M91/100)^4+1/(1+'[1]McCulloch data set'!N91/100)^5)</f>
        <v>1.9635305643049161E-2</v>
      </c>
      <c r="C93" s="12">
        <f>(1-1/(1+'[1]McCulloch data set'!N91/100)^10)/((1/(1+'[1]McCulloch data set'!J91/100))+1/(1+'[1]McCulloch data set'!K91/100)^2+1/(1+'[1]McCulloch data set'!L91/100)^3+1/(1+'[1]McCulloch data set'!M91/100)^4+1/(1+'[1]McCulloch data set'!N91/100)^5+1/(1+('[1]McCulloch data set'!N91+'[1]McCulloch data set'!O91)/2/100)^6+1/(1+('[1]McCulloch data set'!N91+'[1]McCulloch data set'!O91)/2/100)^7+1/(1+('[1]McCulloch data set'!N91+'[1]McCulloch data set'!O91)/2/100)^8+1/(1+('[1]McCulloch data set'!N91+'[1]McCulloch data set'!O91)/2/100)^9+1/(1+('[1]McCulloch data set'!O91/100)^10))</f>
        <v>1.9461906315712915E-2</v>
      </c>
    </row>
    <row r="94" spans="1:3" ht="13.8" x14ac:dyDescent="0.25">
      <c r="A94" s="4" t="s">
        <v>106</v>
      </c>
      <c r="B94" s="12">
        <f>(1-1/(1+'[1]McCulloch data set'!N92/100)^5)/((1/(1+'[1]McCulloch data set'!J92/100))+1/(1+'[1]McCulloch data set'!K92/100)^2+1/(1+'[1]McCulloch data set'!L92/100)^3+1/(1+'[1]McCulloch data set'!M92/100)^4+1/(1+'[1]McCulloch data set'!N92/100)^5)</f>
        <v>1.9153539293711171E-2</v>
      </c>
      <c r="C94" s="12">
        <f>(1-1/(1+'[1]McCulloch data set'!N92/100)^10)/((1/(1+'[1]McCulloch data set'!J92/100))+1/(1+'[1]McCulloch data set'!K92/100)^2+1/(1+'[1]McCulloch data set'!L92/100)^3+1/(1+'[1]McCulloch data set'!M92/100)^4+1/(1+'[1]McCulloch data set'!N92/100)^5+1/(1+('[1]McCulloch data set'!N92+'[1]McCulloch data set'!O92)/2/100)^6+1/(1+('[1]McCulloch data set'!N92+'[1]McCulloch data set'!O92)/2/100)^7+1/(1+('[1]McCulloch data set'!N92+'[1]McCulloch data set'!O92)/2/100)^8+1/(1+('[1]McCulloch data set'!N92+'[1]McCulloch data set'!O92)/2/100)^9+1/(1+('[1]McCulloch data set'!O92/100)^10))</f>
        <v>1.898732199511587E-2</v>
      </c>
    </row>
    <row r="95" spans="1:3" ht="13.8" x14ac:dyDescent="0.25">
      <c r="A95" s="4" t="s">
        <v>107</v>
      </c>
      <c r="B95" s="12">
        <f>(1-1/(1+'[1]McCulloch data set'!N93/100)^5)/((1/(1+'[1]McCulloch data set'!J93/100))+1/(1+'[1]McCulloch data set'!K93/100)^2+1/(1+'[1]McCulloch data set'!L93/100)^3+1/(1+'[1]McCulloch data set'!M93/100)^4+1/(1+'[1]McCulloch data set'!N93/100)^5)</f>
        <v>1.7573971105565044E-2</v>
      </c>
      <c r="C95" s="12">
        <f>(1-1/(1+'[1]McCulloch data set'!N93/100)^10)/((1/(1+'[1]McCulloch data set'!J93/100))+1/(1+'[1]McCulloch data set'!K93/100)^2+1/(1+'[1]McCulloch data set'!L93/100)^3+1/(1+'[1]McCulloch data set'!M93/100)^4+1/(1+'[1]McCulloch data set'!N93/100)^5+1/(1+('[1]McCulloch data set'!N93+'[1]McCulloch data set'!O93)/2/100)^6+1/(1+('[1]McCulloch data set'!N93+'[1]McCulloch data set'!O93)/2/100)^7+1/(1+('[1]McCulloch data set'!N93+'[1]McCulloch data set'!O93)/2/100)^8+1/(1+('[1]McCulloch data set'!N93+'[1]McCulloch data set'!O93)/2/100)^9+1/(1+('[1]McCulloch data set'!O93/100)^10))</f>
        <v>1.7464912172279027E-2</v>
      </c>
    </row>
    <row r="96" spans="1:3" ht="13.8" x14ac:dyDescent="0.25">
      <c r="A96" s="4" t="s">
        <v>108</v>
      </c>
      <c r="B96" s="12">
        <f>(1-1/(1+'[1]McCulloch data set'!N94/100)^5)/((1/(1+'[1]McCulloch data set'!J94/100))+1/(1+'[1]McCulloch data set'!K94/100)^2+1/(1+'[1]McCulloch data set'!L94/100)^3+1/(1+'[1]McCulloch data set'!M94/100)^4+1/(1+'[1]McCulloch data set'!N94/100)^5)</f>
        <v>2.0111496176324666E-2</v>
      </c>
      <c r="C96" s="12">
        <f>(1-1/(1+'[1]McCulloch data set'!N94/100)^10)/((1/(1+'[1]McCulloch data set'!J94/100))+1/(1+'[1]McCulloch data set'!K94/100)^2+1/(1+'[1]McCulloch data set'!L94/100)^3+1/(1+'[1]McCulloch data set'!M94/100)^4+1/(1+'[1]McCulloch data set'!N94/100)^5+1/(1+('[1]McCulloch data set'!N94+'[1]McCulloch data set'!O94)/2/100)^6+1/(1+('[1]McCulloch data set'!N94+'[1]McCulloch data set'!O94)/2/100)^7+1/(1+('[1]McCulloch data set'!N94+'[1]McCulloch data set'!O94)/2/100)^8+1/(1+('[1]McCulloch data set'!N94+'[1]McCulloch data set'!O94)/2/100)^9+1/(1+('[1]McCulloch data set'!O94/100)^10))</f>
        <v>1.9930424521436646E-2</v>
      </c>
    </row>
    <row r="97" spans="1:3" ht="13.8" x14ac:dyDescent="0.25">
      <c r="A97" s="4" t="s">
        <v>109</v>
      </c>
      <c r="B97" s="12">
        <f>(1-1/(1+'[1]McCulloch data set'!N95/100)^5)/((1/(1+'[1]McCulloch data set'!J95/100))+1/(1+'[1]McCulloch data set'!K95/100)^2+1/(1+'[1]McCulloch data set'!L95/100)^3+1/(1+'[1]McCulloch data set'!M95/100)^4+1/(1+'[1]McCulloch data set'!N95/100)^5)</f>
        <v>1.8334114752104159E-2</v>
      </c>
      <c r="C97" s="12">
        <f>(1-1/(1+'[1]McCulloch data set'!N95/100)^10)/((1/(1+'[1]McCulloch data set'!J95/100))+1/(1+'[1]McCulloch data set'!K95/100)^2+1/(1+'[1]McCulloch data set'!L95/100)^3+1/(1+'[1]McCulloch data set'!M95/100)^4+1/(1+'[1]McCulloch data set'!N95/100)^5+1/(1+('[1]McCulloch data set'!N95+'[1]McCulloch data set'!O95)/2/100)^6+1/(1+('[1]McCulloch data set'!N95+'[1]McCulloch data set'!O95)/2/100)^7+1/(1+('[1]McCulloch data set'!N95+'[1]McCulloch data set'!O95)/2/100)^8+1/(1+('[1]McCulloch data set'!N95+'[1]McCulloch data set'!O95)/2/100)^9+1/(1+('[1]McCulloch data set'!O95/100)^10))</f>
        <v>1.8224241227670326E-2</v>
      </c>
    </row>
    <row r="98" spans="1:3" ht="13.8" x14ac:dyDescent="0.25">
      <c r="A98" s="4" t="s">
        <v>110</v>
      </c>
      <c r="B98" s="12">
        <f>(1-1/(1+'[1]McCulloch data set'!N96/100)^5)/((1/(1+'[1]McCulloch data set'!J96/100))+1/(1+'[1]McCulloch data set'!K96/100)^2+1/(1+'[1]McCulloch data set'!L96/100)^3+1/(1+'[1]McCulloch data set'!M96/100)^4+1/(1+'[1]McCulloch data set'!N96/100)^5)</f>
        <v>1.87275575227045E-2</v>
      </c>
      <c r="C98" s="12">
        <f>(1-1/(1+'[1]McCulloch data set'!N96/100)^10)/((1/(1+'[1]McCulloch data set'!J96/100))+1/(1+'[1]McCulloch data set'!K96/100)^2+1/(1+'[1]McCulloch data set'!L96/100)^3+1/(1+'[1]McCulloch data set'!M96/100)^4+1/(1+'[1]McCulloch data set'!N96/100)^5+1/(1+('[1]McCulloch data set'!N96+'[1]McCulloch data set'!O96)/2/100)^6+1/(1+('[1]McCulloch data set'!N96+'[1]McCulloch data set'!O96)/2/100)^7+1/(1+('[1]McCulloch data set'!N96+'[1]McCulloch data set'!O96)/2/100)^8+1/(1+('[1]McCulloch data set'!N96+'[1]McCulloch data set'!O96)/2/100)^9+1/(1+('[1]McCulloch data set'!O96/100)^10))</f>
        <v>1.8588931894037635E-2</v>
      </c>
    </row>
    <row r="99" spans="1:3" ht="13.8" x14ac:dyDescent="0.25">
      <c r="A99" s="4" t="s">
        <v>111</v>
      </c>
      <c r="B99" s="12">
        <f>(1-1/(1+'[1]McCulloch data set'!N97/100)^5)/((1/(1+'[1]McCulloch data set'!J97/100))+1/(1+'[1]McCulloch data set'!K97/100)^2+1/(1+'[1]McCulloch data set'!L97/100)^3+1/(1+'[1]McCulloch data set'!M97/100)^4+1/(1+'[1]McCulloch data set'!N97/100)^5)</f>
        <v>1.8939153553555233E-2</v>
      </c>
      <c r="C99" s="12">
        <f>(1-1/(1+'[1]McCulloch data set'!N97/100)^10)/((1/(1+'[1]McCulloch data set'!J97/100))+1/(1+'[1]McCulloch data set'!K97/100)^2+1/(1+'[1]McCulloch data set'!L97/100)^3+1/(1+'[1]McCulloch data set'!M97/100)^4+1/(1+'[1]McCulloch data set'!N97/100)^5+1/(1+('[1]McCulloch data set'!N97+'[1]McCulloch data set'!O97)/2/100)^6+1/(1+('[1]McCulloch data set'!N97+'[1]McCulloch data set'!O97)/2/100)^7+1/(1+('[1]McCulloch data set'!N97+'[1]McCulloch data set'!O97)/2/100)^8+1/(1+('[1]McCulloch data set'!N97+'[1]McCulloch data set'!O97)/2/100)^9+1/(1+('[1]McCulloch data set'!O97/100)^10))</f>
        <v>1.8801500896299513E-2</v>
      </c>
    </row>
    <row r="100" spans="1:3" ht="13.8" x14ac:dyDescent="0.25">
      <c r="A100" s="4" t="s">
        <v>112</v>
      </c>
      <c r="B100" s="12">
        <f>(1-1/(1+'[1]McCulloch data set'!N98/100)^5)/((1/(1+'[1]McCulloch data set'!J98/100))+1/(1+'[1]McCulloch data set'!K98/100)^2+1/(1+'[1]McCulloch data set'!L98/100)^3+1/(1+'[1]McCulloch data set'!M98/100)^4+1/(1+'[1]McCulloch data set'!N98/100)^5)</f>
        <v>1.9661112883095591E-2</v>
      </c>
      <c r="C100" s="12">
        <f>(1-1/(1+'[1]McCulloch data set'!N98/100)^10)/((1/(1+'[1]McCulloch data set'!J98/100))+1/(1+'[1]McCulloch data set'!K98/100)^2+1/(1+'[1]McCulloch data set'!L98/100)^3+1/(1+'[1]McCulloch data set'!M98/100)^4+1/(1+'[1]McCulloch data set'!N98/100)^5+1/(1+('[1]McCulloch data set'!N98+'[1]McCulloch data set'!O98)/2/100)^6+1/(1+('[1]McCulloch data set'!N98+'[1]McCulloch data set'!O98)/2/100)^7+1/(1+('[1]McCulloch data set'!N98+'[1]McCulloch data set'!O98)/2/100)^8+1/(1+('[1]McCulloch data set'!N98+'[1]McCulloch data set'!O98)/2/100)^9+1/(1+('[1]McCulloch data set'!O98/100)^10))</f>
        <v>1.9472553921325613E-2</v>
      </c>
    </row>
    <row r="101" spans="1:3" ht="13.8" x14ac:dyDescent="0.25">
      <c r="A101" s="4" t="s">
        <v>113</v>
      </c>
      <c r="B101" s="12">
        <f>(1-1/(1+'[1]McCulloch data set'!N99/100)^5)/((1/(1+'[1]McCulloch data set'!J99/100))+1/(1+'[1]McCulloch data set'!K99/100)^2+1/(1+'[1]McCulloch data set'!L99/100)^3+1/(1+'[1]McCulloch data set'!M99/100)^4+1/(1+'[1]McCulloch data set'!N99/100)^5)</f>
        <v>2.1050611049441462E-2</v>
      </c>
      <c r="C101" s="12">
        <f>(1-1/(1+'[1]McCulloch data set'!N99/100)^10)/((1/(1+'[1]McCulloch data set'!J99/100))+1/(1+'[1]McCulloch data set'!K99/100)^2+1/(1+'[1]McCulloch data set'!L99/100)^3+1/(1+'[1]McCulloch data set'!M99/100)^4+1/(1+'[1]McCulloch data set'!N99/100)^5+1/(1+('[1]McCulloch data set'!N99+'[1]McCulloch data set'!O99)/2/100)^6+1/(1+('[1]McCulloch data set'!N99+'[1]McCulloch data set'!O99)/2/100)^7+1/(1+('[1]McCulloch data set'!N99+'[1]McCulloch data set'!O99)/2/100)^8+1/(1+('[1]McCulloch data set'!N99+'[1]McCulloch data set'!O99)/2/100)^9+1/(1+('[1]McCulloch data set'!O99/100)^10))</f>
        <v>2.0774539456160181E-2</v>
      </c>
    </row>
    <row r="102" spans="1:3" ht="13.8" x14ac:dyDescent="0.25">
      <c r="A102" s="4" t="s">
        <v>114</v>
      </c>
      <c r="B102" s="12">
        <f>(1-1/(1+'[1]McCulloch data set'!N100/100)^5)/((1/(1+'[1]McCulloch data set'!J100/100))+1/(1+'[1]McCulloch data set'!K100/100)^2+1/(1+'[1]McCulloch data set'!L100/100)^3+1/(1+'[1]McCulloch data set'!M100/100)^4+1/(1+'[1]McCulloch data set'!N100/100)^5)</f>
        <v>2.124032822719989E-2</v>
      </c>
      <c r="C102" s="12">
        <f>(1-1/(1+'[1]McCulloch data set'!N100/100)^10)/((1/(1+'[1]McCulloch data set'!J100/100))+1/(1+'[1]McCulloch data set'!K100/100)^2+1/(1+'[1]McCulloch data set'!L100/100)^3+1/(1+'[1]McCulloch data set'!M100/100)^4+1/(1+'[1]McCulloch data set'!N100/100)^5+1/(1+('[1]McCulloch data set'!N100+'[1]McCulloch data set'!O100)/2/100)^6+1/(1+('[1]McCulloch data set'!N100+'[1]McCulloch data set'!O100)/2/100)^7+1/(1+('[1]McCulloch data set'!N100+'[1]McCulloch data set'!O100)/2/100)^8+1/(1+('[1]McCulloch data set'!N100+'[1]McCulloch data set'!O100)/2/100)^9+1/(1+('[1]McCulloch data set'!O100/100)^10))</f>
        <v>2.0970281983570458E-2</v>
      </c>
    </row>
    <row r="103" spans="1:3" ht="13.8" x14ac:dyDescent="0.25">
      <c r="A103" s="4" t="s">
        <v>115</v>
      </c>
      <c r="B103" s="12">
        <f>(1-1/(1+'[1]McCulloch data set'!N101/100)^5)/((1/(1+'[1]McCulloch data set'!J101/100))+1/(1+'[1]McCulloch data set'!K101/100)^2+1/(1+'[1]McCulloch data set'!L101/100)^3+1/(1+'[1]McCulloch data set'!M101/100)^4+1/(1+'[1]McCulloch data set'!N101/100)^5)</f>
        <v>2.1940622781826721E-2</v>
      </c>
      <c r="C103" s="12">
        <f>(1-1/(1+'[1]McCulloch data set'!N101/100)^10)/((1/(1+'[1]McCulloch data set'!J101/100))+1/(1+'[1]McCulloch data set'!K101/100)^2+1/(1+'[1]McCulloch data set'!L101/100)^3+1/(1+'[1]McCulloch data set'!M101/100)^4+1/(1+'[1]McCulloch data set'!N101/100)^5+1/(1+('[1]McCulloch data set'!N101+'[1]McCulloch data set'!O101)/2/100)^6+1/(1+('[1]McCulloch data set'!N101+'[1]McCulloch data set'!O101)/2/100)^7+1/(1+('[1]McCulloch data set'!N101+'[1]McCulloch data set'!O101)/2/100)^8+1/(1+('[1]McCulloch data set'!N101+'[1]McCulloch data set'!O101)/2/100)^9+1/(1+('[1]McCulloch data set'!O101/100)^10))</f>
        <v>2.1629244971676148E-2</v>
      </c>
    </row>
    <row r="104" spans="1:3" ht="13.8" x14ac:dyDescent="0.25">
      <c r="A104" s="4" t="s">
        <v>116</v>
      </c>
      <c r="B104" s="12">
        <f>(1-1/(1+'[1]McCulloch data set'!N102/100)^5)/((1/(1+'[1]McCulloch data set'!J102/100))+1/(1+'[1]McCulloch data set'!K102/100)^2+1/(1+'[1]McCulloch data set'!L102/100)^3+1/(1+'[1]McCulloch data set'!M102/100)^4+1/(1+'[1]McCulloch data set'!N102/100)^5)</f>
        <v>2.2771557263575701E-2</v>
      </c>
      <c r="C104" s="12">
        <f>(1-1/(1+'[1]McCulloch data set'!N102/100)^10)/((1/(1+'[1]McCulloch data set'!J102/100))+1/(1+'[1]McCulloch data set'!K102/100)^2+1/(1+'[1]McCulloch data set'!L102/100)^3+1/(1+'[1]McCulloch data set'!M102/100)^4+1/(1+'[1]McCulloch data set'!N102/100)^5+1/(1+('[1]McCulloch data set'!N102+'[1]McCulloch data set'!O102)/2/100)^6+1/(1+('[1]McCulloch data set'!N102+'[1]McCulloch data set'!O102)/2/100)^7+1/(1+('[1]McCulloch data set'!N102+'[1]McCulloch data set'!O102)/2/100)^8+1/(1+('[1]McCulloch data set'!N102+'[1]McCulloch data set'!O102)/2/100)^9+1/(1+('[1]McCulloch data set'!O102/100)^10))</f>
        <v>2.2431181788978273E-2</v>
      </c>
    </row>
    <row r="105" spans="1:3" ht="13.8" x14ac:dyDescent="0.25">
      <c r="A105" s="4" t="s">
        <v>117</v>
      </c>
      <c r="B105" s="12">
        <f>(1-1/(1+'[1]McCulloch data set'!N103/100)^5)/((1/(1+'[1]McCulloch data set'!J103/100))+1/(1+'[1]McCulloch data set'!K103/100)^2+1/(1+'[1]McCulloch data set'!L103/100)^3+1/(1+'[1]McCulloch data set'!M103/100)^4+1/(1+'[1]McCulloch data set'!N103/100)^5)</f>
        <v>2.4601617973996747E-2</v>
      </c>
      <c r="C105" s="12">
        <f>(1-1/(1+'[1]McCulloch data set'!N103/100)^10)/((1/(1+'[1]McCulloch data set'!J103/100))+1/(1+'[1]McCulloch data set'!K103/100)^2+1/(1+'[1]McCulloch data set'!L103/100)^3+1/(1+'[1]McCulloch data set'!M103/100)^4+1/(1+'[1]McCulloch data set'!N103/100)^5+1/(1+('[1]McCulloch data set'!N103+'[1]McCulloch data set'!O103)/2/100)^6+1/(1+('[1]McCulloch data set'!N103+'[1]McCulloch data set'!O103)/2/100)^7+1/(1+('[1]McCulloch data set'!N103+'[1]McCulloch data set'!O103)/2/100)^8+1/(1+('[1]McCulloch data set'!N103+'[1]McCulloch data set'!O103)/2/100)^9+1/(1+('[1]McCulloch data set'!O103/100)^10))</f>
        <v>2.4132577559984048E-2</v>
      </c>
    </row>
    <row r="106" spans="1:3" ht="13.8" x14ac:dyDescent="0.25">
      <c r="A106" s="4" t="s">
        <v>118</v>
      </c>
      <c r="B106" s="12">
        <f>(1-1/(1+'[1]McCulloch data set'!N104/100)^5)/((1/(1+'[1]McCulloch data set'!J104/100))+1/(1+'[1]McCulloch data set'!K104/100)^2+1/(1+'[1]McCulloch data set'!L104/100)^3+1/(1+'[1]McCulloch data set'!M104/100)^4+1/(1+'[1]McCulloch data set'!N104/100)^5)</f>
        <v>2.4593733818283187E-2</v>
      </c>
      <c r="C106" s="12">
        <f>(1-1/(1+'[1]McCulloch data set'!N104/100)^10)/((1/(1+'[1]McCulloch data set'!J104/100))+1/(1+'[1]McCulloch data set'!K104/100)^2+1/(1+'[1]McCulloch data set'!L104/100)^3+1/(1+'[1]McCulloch data set'!M104/100)^4+1/(1+'[1]McCulloch data set'!N104/100)^5+1/(1+('[1]McCulloch data set'!N104+'[1]McCulloch data set'!O104)/2/100)^6+1/(1+('[1]McCulloch data set'!N104+'[1]McCulloch data set'!O104)/2/100)^7+1/(1+('[1]McCulloch data set'!N104+'[1]McCulloch data set'!O104)/2/100)^8+1/(1+('[1]McCulloch data set'!N104+'[1]McCulloch data set'!O104)/2/100)^9+1/(1+('[1]McCulloch data set'!O104/100)^10))</f>
        <v>2.4125319420066828E-2</v>
      </c>
    </row>
    <row r="107" spans="1:3" ht="13.8" x14ac:dyDescent="0.25">
      <c r="A107" s="4" t="s">
        <v>119</v>
      </c>
      <c r="B107" s="12">
        <f>(1-1/(1+'[1]McCulloch data set'!N105/100)^5)/((1/(1+'[1]McCulloch data set'!J105/100))+1/(1+'[1]McCulloch data set'!K105/100)^2+1/(1+'[1]McCulloch data set'!L105/100)^3+1/(1+'[1]McCulloch data set'!M105/100)^4+1/(1+'[1]McCulloch data set'!N105/100)^5)</f>
        <v>2.5205922178014845E-2</v>
      </c>
      <c r="C107" s="12">
        <f>(1-1/(1+'[1]McCulloch data set'!N105/100)^10)/((1/(1+'[1]McCulloch data set'!J105/100))+1/(1+'[1]McCulloch data set'!K105/100)^2+1/(1+'[1]McCulloch data set'!L105/100)^3+1/(1+'[1]McCulloch data set'!M105/100)^4+1/(1+'[1]McCulloch data set'!N105/100)^5+1/(1+('[1]McCulloch data set'!N105+'[1]McCulloch data set'!O105)/2/100)^6+1/(1+('[1]McCulloch data set'!N105+'[1]McCulloch data set'!O105)/2/100)^7+1/(1+('[1]McCulloch data set'!N105+'[1]McCulloch data set'!O105)/2/100)^8+1/(1+('[1]McCulloch data set'!N105+'[1]McCulloch data set'!O105)/2/100)^9+1/(1+('[1]McCulloch data set'!O105/100)^10))</f>
        <v>2.4704199626847549E-2</v>
      </c>
    </row>
    <row r="108" spans="1:3" ht="13.8" x14ac:dyDescent="0.25">
      <c r="A108" s="4" t="s">
        <v>120</v>
      </c>
      <c r="B108" s="12">
        <f>(1-1/(1+'[1]McCulloch data set'!N106/100)^5)/((1/(1+'[1]McCulloch data set'!J106/100))+1/(1+'[1]McCulloch data set'!K106/100)^2+1/(1+'[1]McCulloch data set'!L106/100)^3+1/(1+'[1]McCulloch data set'!M106/100)^4+1/(1+'[1]McCulloch data set'!N106/100)^5)</f>
        <v>2.5191250926901856E-2</v>
      </c>
      <c r="C108" s="12">
        <f>(1-1/(1+'[1]McCulloch data set'!N106/100)^10)/((1/(1+'[1]McCulloch data set'!J106/100))+1/(1+'[1]McCulloch data set'!K106/100)^2+1/(1+'[1]McCulloch data set'!L106/100)^3+1/(1+'[1]McCulloch data set'!M106/100)^4+1/(1+'[1]McCulloch data set'!N106/100)^5+1/(1+('[1]McCulloch data set'!N106+'[1]McCulloch data set'!O106)/2/100)^6+1/(1+('[1]McCulloch data set'!N106+'[1]McCulloch data set'!O106)/2/100)^7+1/(1+('[1]McCulloch data set'!N106+'[1]McCulloch data set'!O106)/2/100)^8+1/(1+('[1]McCulloch data set'!N106+'[1]McCulloch data set'!O106)/2/100)^9+1/(1+('[1]McCulloch data set'!O106/100)^10))</f>
        <v>2.4686804217378542E-2</v>
      </c>
    </row>
    <row r="109" spans="1:3" ht="13.8" x14ac:dyDescent="0.25">
      <c r="A109" s="4" t="s">
        <v>121</v>
      </c>
      <c r="B109" s="12">
        <f>(1-1/(1+'[1]McCulloch data set'!N107/100)^5)/((1/(1+'[1]McCulloch data set'!J107/100))+1/(1+'[1]McCulloch data set'!K107/100)^2+1/(1+'[1]McCulloch data set'!L107/100)^3+1/(1+'[1]McCulloch data set'!M107/100)^4+1/(1+'[1]McCulloch data set'!N107/100)^5)</f>
        <v>2.6476751464823121E-2</v>
      </c>
      <c r="C109" s="12">
        <f>(1-1/(1+'[1]McCulloch data set'!N107/100)^10)/((1/(1+'[1]McCulloch data set'!J107/100))+1/(1+'[1]McCulloch data set'!K107/100)^2+1/(1+'[1]McCulloch data set'!L107/100)^3+1/(1+'[1]McCulloch data set'!M107/100)^4+1/(1+'[1]McCulloch data set'!N107/100)^5+1/(1+('[1]McCulloch data set'!N107+'[1]McCulloch data set'!O107)/2/100)^6+1/(1+('[1]McCulloch data set'!N107+'[1]McCulloch data set'!O107)/2/100)^7+1/(1+('[1]McCulloch data set'!N107+'[1]McCulloch data set'!O107)/2/100)^8+1/(1+('[1]McCulloch data set'!N107+'[1]McCulloch data set'!O107)/2/100)^9+1/(1+('[1]McCulloch data set'!O107/100)^10))</f>
        <v>2.5917399193946093E-2</v>
      </c>
    </row>
    <row r="110" spans="1:3" ht="13.8" x14ac:dyDescent="0.25">
      <c r="A110" s="4" t="s">
        <v>122</v>
      </c>
      <c r="B110" s="12">
        <f>(1-1/(1+'[1]McCulloch data set'!N108/100)^5)/((1/(1+'[1]McCulloch data set'!J108/100))+1/(1+'[1]McCulloch data set'!K108/100)^2+1/(1+'[1]McCulloch data set'!L108/100)^3+1/(1+'[1]McCulloch data set'!M108/100)^4+1/(1+'[1]McCulloch data set'!N108/100)^5)</f>
        <v>2.8181253212513389E-2</v>
      </c>
      <c r="C110" s="12">
        <f>(1-1/(1+'[1]McCulloch data set'!N108/100)^10)/((1/(1+'[1]McCulloch data set'!J108/100))+1/(1+'[1]McCulloch data set'!K108/100)^2+1/(1+'[1]McCulloch data set'!L108/100)^3+1/(1+'[1]McCulloch data set'!M108/100)^4+1/(1+'[1]McCulloch data set'!N108/100)^5+1/(1+('[1]McCulloch data set'!N108+'[1]McCulloch data set'!O108)/2/100)^6+1/(1+('[1]McCulloch data set'!N108+'[1]McCulloch data set'!O108)/2/100)^7+1/(1+('[1]McCulloch data set'!N108+'[1]McCulloch data set'!O108)/2/100)^8+1/(1+('[1]McCulloch data set'!N108+'[1]McCulloch data set'!O108)/2/100)^9+1/(1+('[1]McCulloch data set'!O108/100)^10))</f>
        <v>2.751928026681498E-2</v>
      </c>
    </row>
    <row r="111" spans="1:3" ht="13.8" x14ac:dyDescent="0.25">
      <c r="A111" s="4" t="s">
        <v>123</v>
      </c>
      <c r="B111" s="12">
        <f>(1-1/(1+'[1]McCulloch data set'!N109/100)^5)/((1/(1+'[1]McCulloch data set'!J109/100))+1/(1+'[1]McCulloch data set'!K109/100)^2+1/(1+'[1]McCulloch data set'!L109/100)^3+1/(1+'[1]McCulloch data set'!M109/100)^4+1/(1+'[1]McCulloch data set'!N109/100)^5)</f>
        <v>2.8911712524102257E-2</v>
      </c>
      <c r="C111" s="12">
        <f>(1-1/(1+'[1]McCulloch data set'!N109/100)^10)/((1/(1+'[1]McCulloch data set'!J109/100))+1/(1+'[1]McCulloch data set'!K109/100)^2+1/(1+'[1]McCulloch data set'!L109/100)^3+1/(1+'[1]McCulloch data set'!M109/100)^4+1/(1+'[1]McCulloch data set'!N109/100)^5+1/(1+('[1]McCulloch data set'!N109+'[1]McCulloch data set'!O109)/2/100)^6+1/(1+('[1]McCulloch data set'!N109+'[1]McCulloch data set'!O109)/2/100)^7+1/(1+('[1]McCulloch data set'!N109+'[1]McCulloch data set'!O109)/2/100)^8+1/(1+('[1]McCulloch data set'!N109+'[1]McCulloch data set'!O109)/2/100)^9+1/(1+('[1]McCulloch data set'!O109/100)^10))</f>
        <v>2.8160341332666785E-2</v>
      </c>
    </row>
    <row r="112" spans="1:3" ht="13.8" x14ac:dyDescent="0.25">
      <c r="A112" s="4" t="s">
        <v>124</v>
      </c>
      <c r="B112" s="12">
        <f>(1-1/(1+'[1]McCulloch data set'!N110/100)^5)/((1/(1+'[1]McCulloch data set'!J110/100))+1/(1+'[1]McCulloch data set'!K110/100)^2+1/(1+'[1]McCulloch data set'!L110/100)^3+1/(1+'[1]McCulloch data set'!M110/100)^4+1/(1+'[1]McCulloch data set'!N110/100)^5)</f>
        <v>2.7791512069702855E-2</v>
      </c>
      <c r="C112" s="12">
        <f>(1-1/(1+'[1]McCulloch data set'!N110/100)^10)/((1/(1+'[1]McCulloch data set'!J110/100))+1/(1+'[1]McCulloch data set'!K110/100)^2+1/(1+'[1]McCulloch data set'!L110/100)^3+1/(1+'[1]McCulloch data set'!M110/100)^4+1/(1+'[1]McCulloch data set'!N110/100)^5+1/(1+('[1]McCulloch data set'!N110+'[1]McCulloch data set'!O110)/2/100)^6+1/(1+('[1]McCulloch data set'!N110+'[1]McCulloch data set'!O110)/2/100)^7+1/(1+('[1]McCulloch data set'!N110+'[1]McCulloch data set'!O110)/2/100)^8+1/(1+('[1]McCulloch data set'!N110+'[1]McCulloch data set'!O110)/2/100)^9+1/(1+('[1]McCulloch data set'!O110/100)^10))</f>
        <v>2.7123782928628382E-2</v>
      </c>
    </row>
    <row r="113" spans="1:3" ht="13.8" x14ac:dyDescent="0.25">
      <c r="A113" s="4" t="s">
        <v>125</v>
      </c>
      <c r="B113" s="12">
        <f>(1-1/(1+'[1]McCulloch data set'!N111/100)^5)/((1/(1+'[1]McCulloch data set'!J111/100))+1/(1+'[1]McCulloch data set'!K111/100)^2+1/(1+'[1]McCulloch data set'!L111/100)^3+1/(1+'[1]McCulloch data set'!M111/100)^4+1/(1+'[1]McCulloch data set'!N111/100)^5)</f>
        <v>2.6932836433386155E-2</v>
      </c>
      <c r="C113" s="12">
        <f>(1-1/(1+'[1]McCulloch data set'!N111/100)^10)/((1/(1+'[1]McCulloch data set'!J111/100))+1/(1+'[1]McCulloch data set'!K111/100)^2+1/(1+'[1]McCulloch data set'!L111/100)^3+1/(1+'[1]McCulloch data set'!M111/100)^4+1/(1+'[1]McCulloch data set'!N111/100)^5+1/(1+('[1]McCulloch data set'!N111+'[1]McCulloch data set'!O111)/2/100)^6+1/(1+('[1]McCulloch data set'!N111+'[1]McCulloch data set'!O111)/2/100)^7+1/(1+('[1]McCulloch data set'!N111+'[1]McCulloch data set'!O111)/2/100)^8+1/(1+('[1]McCulloch data set'!N111+'[1]McCulloch data set'!O111)/2/100)^9+1/(1+('[1]McCulloch data set'!O111/100)^10))</f>
        <v>2.6294759939328512E-2</v>
      </c>
    </row>
    <row r="114" spans="1:3" ht="13.8" x14ac:dyDescent="0.25">
      <c r="A114" s="4" t="s">
        <v>126</v>
      </c>
      <c r="B114" s="12">
        <f>(1-1/(1+'[1]McCulloch data set'!N112/100)^5)/((1/(1+'[1]McCulloch data set'!J112/100))+1/(1+'[1]McCulloch data set'!K112/100)^2+1/(1+'[1]McCulloch data set'!L112/100)^3+1/(1+'[1]McCulloch data set'!M112/100)^4+1/(1+'[1]McCulloch data set'!N112/100)^5)</f>
        <v>2.8480588935468672E-2</v>
      </c>
      <c r="C114" s="12">
        <f>(1-1/(1+'[1]McCulloch data set'!N112/100)^10)/((1/(1+'[1]McCulloch data set'!J112/100))+1/(1+'[1]McCulloch data set'!K112/100)^2+1/(1+'[1]McCulloch data set'!L112/100)^3+1/(1+'[1]McCulloch data set'!M112/100)^4+1/(1+'[1]McCulloch data set'!N112/100)^5+1/(1+('[1]McCulloch data set'!N112+'[1]McCulloch data set'!O112)/2/100)^6+1/(1+('[1]McCulloch data set'!N112+'[1]McCulloch data set'!O112)/2/100)^7+1/(1+('[1]McCulloch data set'!N112+'[1]McCulloch data set'!O112)/2/100)^8+1/(1+('[1]McCulloch data set'!N112+'[1]McCulloch data set'!O112)/2/100)^9+1/(1+('[1]McCulloch data set'!O112/100)^10))</f>
        <v>2.7715168965984638E-2</v>
      </c>
    </row>
    <row r="115" spans="1:3" ht="13.8" x14ac:dyDescent="0.25">
      <c r="A115" s="4" t="s">
        <v>127</v>
      </c>
      <c r="B115" s="12">
        <f>(1-1/(1+'[1]McCulloch data set'!N113/100)^5)/((1/(1+'[1]McCulloch data set'!J113/100))+1/(1+'[1]McCulloch data set'!K113/100)^2+1/(1+'[1]McCulloch data set'!L113/100)^3+1/(1+'[1]McCulloch data set'!M113/100)^4+1/(1+'[1]McCulloch data set'!N113/100)^5)</f>
        <v>2.8780977522631358E-2</v>
      </c>
      <c r="C115" s="12">
        <f>(1-1/(1+'[1]McCulloch data set'!N113/100)^10)/((1/(1+'[1]McCulloch data set'!J113/100))+1/(1+'[1]McCulloch data set'!K113/100)^2+1/(1+'[1]McCulloch data set'!L113/100)^3+1/(1+'[1]McCulloch data set'!M113/100)^4+1/(1+'[1]McCulloch data set'!N113/100)^5+1/(1+('[1]McCulloch data set'!N113+'[1]McCulloch data set'!O113)/2/100)^6+1/(1+('[1]McCulloch data set'!N113+'[1]McCulloch data set'!O113)/2/100)^7+1/(1+('[1]McCulloch data set'!N113+'[1]McCulloch data set'!O113)/2/100)^8+1/(1+('[1]McCulloch data set'!N113+'[1]McCulloch data set'!O113)/2/100)^9+1/(1+('[1]McCulloch data set'!O113/100)^10))</f>
        <v>2.7999018397441882E-2</v>
      </c>
    </row>
    <row r="116" spans="1:3" ht="13.8" x14ac:dyDescent="0.25">
      <c r="A116" s="4" t="s">
        <v>128</v>
      </c>
      <c r="B116" s="12">
        <f>(1-1/(1+'[1]McCulloch data set'!N114/100)^5)/((1/(1+'[1]McCulloch data set'!J114/100))+1/(1+'[1]McCulloch data set'!K114/100)^2+1/(1+'[1]McCulloch data set'!L114/100)^3+1/(1+'[1]McCulloch data set'!M114/100)^4+1/(1+'[1]McCulloch data set'!N114/100)^5)</f>
        <v>2.7243140205625092E-2</v>
      </c>
      <c r="C116" s="12">
        <f>(1-1/(1+'[1]McCulloch data set'!N114/100)^10)/((1/(1+'[1]McCulloch data set'!J114/100))+1/(1+'[1]McCulloch data set'!K114/100)^2+1/(1+'[1]McCulloch data set'!L114/100)^3+1/(1+'[1]McCulloch data set'!M114/100)^4+1/(1+'[1]McCulloch data set'!N114/100)^5+1/(1+('[1]McCulloch data set'!N114+'[1]McCulloch data set'!O114)/2/100)^6+1/(1+('[1]McCulloch data set'!N114+'[1]McCulloch data set'!O114)/2/100)^7+1/(1+('[1]McCulloch data set'!N114+'[1]McCulloch data set'!O114)/2/100)^8+1/(1+('[1]McCulloch data set'!N114+'[1]McCulloch data set'!O114)/2/100)^9+1/(1+('[1]McCulloch data set'!O114/100)^10))</f>
        <v>2.6574089488662946E-2</v>
      </c>
    </row>
    <row r="117" spans="1:3" ht="13.8" x14ac:dyDescent="0.25">
      <c r="A117" s="4" t="s">
        <v>129</v>
      </c>
      <c r="B117" s="12">
        <f>(1-1/(1+'[1]McCulloch data set'!N115/100)^5)/((1/(1+'[1]McCulloch data set'!J115/100))+1/(1+'[1]McCulloch data set'!K115/100)^2+1/(1+'[1]McCulloch data set'!L115/100)^3+1/(1+'[1]McCulloch data set'!M115/100)^4+1/(1+'[1]McCulloch data set'!N115/100)^5)</f>
        <v>2.7659316573745464E-2</v>
      </c>
      <c r="C117" s="12">
        <f>(1-1/(1+'[1]McCulloch data set'!N115/100)^10)/((1/(1+'[1]McCulloch data set'!J115/100))+1/(1+'[1]McCulloch data set'!K115/100)^2+1/(1+'[1]McCulloch data set'!L115/100)^3+1/(1+'[1]McCulloch data set'!M115/100)^4+1/(1+'[1]McCulloch data set'!N115/100)^5+1/(1+('[1]McCulloch data set'!N115+'[1]McCulloch data set'!O115)/2/100)^6+1/(1+('[1]McCulloch data set'!N115+'[1]McCulloch data set'!O115)/2/100)^7+1/(1+('[1]McCulloch data set'!N115+'[1]McCulloch data set'!O115)/2/100)^8+1/(1+('[1]McCulloch data set'!N115+'[1]McCulloch data set'!O115)/2/100)^9+1/(1+('[1]McCulloch data set'!O115/100)^10))</f>
        <v>2.6957940692052967E-2</v>
      </c>
    </row>
    <row r="118" spans="1:3" ht="13.8" x14ac:dyDescent="0.25">
      <c r="A118" s="4" t="s">
        <v>130</v>
      </c>
      <c r="B118" s="12">
        <f>(1-1/(1+'[1]McCulloch data set'!N116/100)^5)/((1/(1+'[1]McCulloch data set'!J116/100))+1/(1+'[1]McCulloch data set'!K116/100)^2+1/(1+'[1]McCulloch data set'!L116/100)^3+1/(1+'[1]McCulloch data set'!M116/100)^4+1/(1+'[1]McCulloch data set'!N116/100)^5)</f>
        <v>3.056352274634835E-2</v>
      </c>
      <c r="C118" s="12">
        <f>(1-1/(1+'[1]McCulloch data set'!N116/100)^10)/((1/(1+'[1]McCulloch data set'!J116/100))+1/(1+'[1]McCulloch data set'!K116/100)^2+1/(1+'[1]McCulloch data set'!L116/100)^3+1/(1+'[1]McCulloch data set'!M116/100)^4+1/(1+'[1]McCulloch data set'!N116/100)^5+1/(1+('[1]McCulloch data set'!N116+'[1]McCulloch data set'!O116)/2/100)^6+1/(1+('[1]McCulloch data set'!N116+'[1]McCulloch data set'!O116)/2/100)^7+1/(1+('[1]McCulloch data set'!N116+'[1]McCulloch data set'!O116)/2/100)^8+1/(1+('[1]McCulloch data set'!N116+'[1]McCulloch data set'!O116)/2/100)^9+1/(1+('[1]McCulloch data set'!O116/100)^10))</f>
        <v>2.967687861299443E-2</v>
      </c>
    </row>
    <row r="119" spans="1:3" ht="13.8" x14ac:dyDescent="0.25">
      <c r="A119" s="4" t="s">
        <v>131</v>
      </c>
      <c r="B119" s="12">
        <f>(1-1/(1+'[1]McCulloch data set'!N117/100)^5)/((1/(1+'[1]McCulloch data set'!J117/100))+1/(1+'[1]McCulloch data set'!K117/100)^2+1/(1+'[1]McCulloch data set'!L117/100)^3+1/(1+'[1]McCulloch data set'!M117/100)^4+1/(1+'[1]McCulloch data set'!N117/100)^5)</f>
        <v>3.1328288339818926E-2</v>
      </c>
      <c r="C119" s="12">
        <f>(1-1/(1+'[1]McCulloch data set'!N117/100)^10)/((1/(1+'[1]McCulloch data set'!J117/100))+1/(1+'[1]McCulloch data set'!K117/100)^2+1/(1+'[1]McCulloch data set'!L117/100)^3+1/(1+'[1]McCulloch data set'!M117/100)^4+1/(1+'[1]McCulloch data set'!N117/100)^5+1/(1+('[1]McCulloch data set'!N117+'[1]McCulloch data set'!O117)/2/100)^6+1/(1+('[1]McCulloch data set'!N117+'[1]McCulloch data set'!O117)/2/100)^7+1/(1+('[1]McCulloch data set'!N117+'[1]McCulloch data set'!O117)/2/100)^8+1/(1+('[1]McCulloch data set'!N117+'[1]McCulloch data set'!O117)/2/100)^9+1/(1+('[1]McCulloch data set'!O117/100)^10))</f>
        <v>3.0336383394377168E-2</v>
      </c>
    </row>
    <row r="120" spans="1:3" ht="13.8" x14ac:dyDescent="0.25">
      <c r="A120" s="4" t="s">
        <v>132</v>
      </c>
      <c r="B120" s="12">
        <f>(1-1/(1+'[1]McCulloch data set'!N118/100)^5)/((1/(1+'[1]McCulloch data set'!J118/100))+1/(1+'[1]McCulloch data set'!K118/100)^2+1/(1+'[1]McCulloch data set'!L118/100)^3+1/(1+'[1]McCulloch data set'!M118/100)^4+1/(1+'[1]McCulloch data set'!N118/100)^5)</f>
        <v>2.940197318001014E-2</v>
      </c>
      <c r="C120" s="12">
        <f>(1-1/(1+'[1]McCulloch data set'!N118/100)^10)/((1/(1+'[1]McCulloch data set'!J118/100))+1/(1+'[1]McCulloch data set'!K118/100)^2+1/(1+'[1]McCulloch data set'!L118/100)^3+1/(1+'[1]McCulloch data set'!M118/100)^4+1/(1+'[1]McCulloch data set'!N118/100)^5+1/(1+('[1]McCulloch data set'!N118+'[1]McCulloch data set'!O118)/2/100)^6+1/(1+('[1]McCulloch data set'!N118+'[1]McCulloch data set'!O118)/2/100)^7+1/(1+('[1]McCulloch data set'!N118+'[1]McCulloch data set'!O118)/2/100)^8+1/(1+('[1]McCulloch data set'!N118+'[1]McCulloch data set'!O118)/2/100)^9+1/(1+('[1]McCulloch data set'!O118/100)^10))</f>
        <v>2.854238786683827E-2</v>
      </c>
    </row>
    <row r="121" spans="1:3" ht="13.8" x14ac:dyDescent="0.25">
      <c r="A121" s="4" t="s">
        <v>133</v>
      </c>
      <c r="B121" s="12">
        <f>(1-1/(1+'[1]McCulloch data set'!N119/100)^5)/((1/(1+'[1]McCulloch data set'!J119/100))+1/(1+'[1]McCulloch data set'!K119/100)^2+1/(1+'[1]McCulloch data set'!L119/100)^3+1/(1+'[1]McCulloch data set'!M119/100)^4+1/(1+'[1]McCulloch data set'!N119/100)^5)</f>
        <v>2.9657739977431995E-2</v>
      </c>
      <c r="C121" s="12">
        <f>(1-1/(1+'[1]McCulloch data set'!N119/100)^10)/((1/(1+'[1]McCulloch data set'!J119/100))+1/(1+'[1]McCulloch data set'!K119/100)^2+1/(1+'[1]McCulloch data set'!L119/100)^3+1/(1+'[1]McCulloch data set'!M119/100)^4+1/(1+'[1]McCulloch data set'!N119/100)^5+1/(1+('[1]McCulloch data set'!N119+'[1]McCulloch data set'!O119)/2/100)^6+1/(1+('[1]McCulloch data set'!N119+'[1]McCulloch data set'!O119)/2/100)^7+1/(1+('[1]McCulloch data set'!N119+'[1]McCulloch data set'!O119)/2/100)^8+1/(1+('[1]McCulloch data set'!N119+'[1]McCulloch data set'!O119)/2/100)^9+1/(1+('[1]McCulloch data set'!O119/100)^10))</f>
        <v>2.8821953620804652E-2</v>
      </c>
    </row>
    <row r="122" spans="1:3" ht="13.8" x14ac:dyDescent="0.25">
      <c r="A122" s="4" t="s">
        <v>134</v>
      </c>
      <c r="B122" s="12">
        <f>(1-1/(1+'[1]McCulloch data set'!N120/100)^5)/((1/(1+'[1]McCulloch data set'!J120/100))+1/(1+'[1]McCulloch data set'!K120/100)^2+1/(1+'[1]McCulloch data set'!L120/100)^3+1/(1+'[1]McCulloch data set'!M120/100)^4+1/(1+'[1]McCulloch data set'!N120/100)^5)</f>
        <v>3.2670983709783538E-2</v>
      </c>
      <c r="C122" s="12">
        <f>(1-1/(1+'[1]McCulloch data set'!N120/100)^10)/((1/(1+'[1]McCulloch data set'!J120/100))+1/(1+'[1]McCulloch data set'!K120/100)^2+1/(1+'[1]McCulloch data set'!L120/100)^3+1/(1+'[1]McCulloch data set'!M120/100)^4+1/(1+'[1]McCulloch data set'!N120/100)^5+1/(1+('[1]McCulloch data set'!N120+'[1]McCulloch data set'!O120)/2/100)^6+1/(1+('[1]McCulloch data set'!N120+'[1]McCulloch data set'!O120)/2/100)^7+1/(1+('[1]McCulloch data set'!N120+'[1]McCulloch data set'!O120)/2/100)^8+1/(1+('[1]McCulloch data set'!N120+'[1]McCulloch data set'!O120)/2/100)^9+1/(1+('[1]McCulloch data set'!O120/100)^10))</f>
        <v>3.1616767163580813E-2</v>
      </c>
    </row>
    <row r="123" spans="1:3" ht="13.8" x14ac:dyDescent="0.25">
      <c r="A123" s="4" t="s">
        <v>135</v>
      </c>
      <c r="B123" s="12">
        <f>(1-1/(1+'[1]McCulloch data set'!N121/100)^5)/((1/(1+'[1]McCulloch data set'!J121/100))+1/(1+'[1]McCulloch data set'!K121/100)^2+1/(1+'[1]McCulloch data set'!L121/100)^3+1/(1+'[1]McCulloch data set'!M121/100)^4+1/(1+'[1]McCulloch data set'!N121/100)^5)</f>
        <v>3.537213753471076E-2</v>
      </c>
      <c r="C123" s="12">
        <f>(1-1/(1+'[1]McCulloch data set'!N121/100)^10)/((1/(1+'[1]McCulloch data set'!J121/100))+1/(1+'[1]McCulloch data set'!K121/100)^2+1/(1+'[1]McCulloch data set'!L121/100)^3+1/(1+'[1]McCulloch data set'!M121/100)^4+1/(1+'[1]McCulloch data set'!N121/100)^5+1/(1+('[1]McCulloch data set'!N121+'[1]McCulloch data set'!O121)/2/100)^6+1/(1+('[1]McCulloch data set'!N121+'[1]McCulloch data set'!O121)/2/100)^7+1/(1+('[1]McCulloch data set'!N121+'[1]McCulloch data set'!O121)/2/100)^8+1/(1+('[1]McCulloch data set'!N121+'[1]McCulloch data set'!O121)/2/100)^9+1/(1+('[1]McCulloch data set'!O121/100)^10))</f>
        <v>3.4113693201036965E-2</v>
      </c>
    </row>
    <row r="124" spans="1:3" ht="13.8" x14ac:dyDescent="0.25">
      <c r="A124" s="4" t="s">
        <v>136</v>
      </c>
      <c r="B124" s="12">
        <f>(1-1/(1+'[1]McCulloch data set'!N122/100)^5)/((1/(1+'[1]McCulloch data set'!J122/100))+1/(1+'[1]McCulloch data set'!K122/100)^2+1/(1+'[1]McCulloch data set'!L122/100)^3+1/(1+'[1]McCulloch data set'!M122/100)^4+1/(1+'[1]McCulloch data set'!N122/100)^5)</f>
        <v>3.4228162532282613E-2</v>
      </c>
      <c r="C124" s="12">
        <f>(1-1/(1+'[1]McCulloch data set'!N122/100)^10)/((1/(1+'[1]McCulloch data set'!J122/100))+1/(1+'[1]McCulloch data set'!K122/100)^2+1/(1+'[1]McCulloch data set'!L122/100)^3+1/(1+'[1]McCulloch data set'!M122/100)^4+1/(1+'[1]McCulloch data set'!N122/100)^5+1/(1+('[1]McCulloch data set'!N122+'[1]McCulloch data set'!O122)/2/100)^6+1/(1+('[1]McCulloch data set'!N122+'[1]McCulloch data set'!O122)/2/100)^7+1/(1+('[1]McCulloch data set'!N122+'[1]McCulloch data set'!O122)/2/100)^8+1/(1+('[1]McCulloch data set'!N122+'[1]McCulloch data set'!O122)/2/100)^9+1/(1+('[1]McCulloch data set'!O122/100)^10))</f>
        <v>3.3048893632769742E-2</v>
      </c>
    </row>
    <row r="125" spans="1:3" ht="13.8" x14ac:dyDescent="0.25">
      <c r="A125" s="4" t="s">
        <v>137</v>
      </c>
      <c r="B125" s="12">
        <f>(1-1/(1+'[1]McCulloch data set'!N123/100)^5)/((1/(1+'[1]McCulloch data set'!J123/100))+1/(1+'[1]McCulloch data set'!K123/100)^2+1/(1+'[1]McCulloch data set'!L123/100)^3+1/(1+'[1]McCulloch data set'!M123/100)^4+1/(1+'[1]McCulloch data set'!N123/100)^5)</f>
        <v>3.5071928896707572E-2</v>
      </c>
      <c r="C125" s="12">
        <f>(1-1/(1+'[1]McCulloch data set'!N123/100)^10)/((1/(1+'[1]McCulloch data set'!J123/100))+1/(1+'[1]McCulloch data set'!K123/100)^2+1/(1+'[1]McCulloch data set'!L123/100)^3+1/(1+'[1]McCulloch data set'!M123/100)^4+1/(1+'[1]McCulloch data set'!N123/100)^5+1/(1+('[1]McCulloch data set'!N123+'[1]McCulloch data set'!O123)/2/100)^6+1/(1+('[1]McCulloch data set'!N123+'[1]McCulloch data set'!O123)/2/100)^7+1/(1+('[1]McCulloch data set'!N123+'[1]McCulloch data set'!O123)/2/100)^8+1/(1+('[1]McCulloch data set'!N123+'[1]McCulloch data set'!O123)/2/100)^9+1/(1+('[1]McCulloch data set'!O123/100)^10))</f>
        <v>3.3877995785674422E-2</v>
      </c>
    </row>
    <row r="126" spans="1:3" ht="13.8" x14ac:dyDescent="0.25">
      <c r="A126" s="4" t="s">
        <v>138</v>
      </c>
      <c r="B126" s="12">
        <f>(1-1/(1+'[1]McCulloch data set'!N124/100)^5)/((1/(1+'[1]McCulloch data set'!J124/100))+1/(1+'[1]McCulloch data set'!K124/100)^2+1/(1+'[1]McCulloch data set'!L124/100)^3+1/(1+'[1]McCulloch data set'!M124/100)^4+1/(1+'[1]McCulloch data set'!N124/100)^5)</f>
        <v>3.6343253235466853E-2</v>
      </c>
      <c r="C126" s="12">
        <f>(1-1/(1+'[1]McCulloch data set'!N124/100)^10)/((1/(1+'[1]McCulloch data set'!J124/100))+1/(1+'[1]McCulloch data set'!K124/100)^2+1/(1+'[1]McCulloch data set'!L124/100)^3+1/(1+'[1]McCulloch data set'!M124/100)^4+1/(1+'[1]McCulloch data set'!N124/100)^5+1/(1+('[1]McCulloch data set'!N124+'[1]McCulloch data set'!O124)/2/100)^6+1/(1+('[1]McCulloch data set'!N124+'[1]McCulloch data set'!O124)/2/100)^7+1/(1+('[1]McCulloch data set'!N124+'[1]McCulloch data set'!O124)/2/100)^8+1/(1+('[1]McCulloch data set'!N124+'[1]McCulloch data set'!O124)/2/100)^9+1/(1+('[1]McCulloch data set'!O124/100)^10))</f>
        <v>3.4987111697238164E-2</v>
      </c>
    </row>
    <row r="127" spans="1:3" ht="13.8" x14ac:dyDescent="0.25">
      <c r="A127" s="4" t="s">
        <v>139</v>
      </c>
      <c r="B127" s="12">
        <f>(1-1/(1+'[1]McCulloch data set'!N125/100)^5)/((1/(1+'[1]McCulloch data set'!J125/100))+1/(1+'[1]McCulloch data set'!K125/100)^2+1/(1+'[1]McCulloch data set'!L125/100)^3+1/(1+'[1]McCulloch data set'!M125/100)^4+1/(1+'[1]McCulloch data set'!N125/100)^5)</f>
        <v>3.7117946847770603E-2</v>
      </c>
      <c r="C127" s="12">
        <f>(1-1/(1+'[1]McCulloch data set'!N125/100)^10)/((1/(1+'[1]McCulloch data set'!J125/100))+1/(1+'[1]McCulloch data set'!K125/100)^2+1/(1+'[1]McCulloch data set'!L125/100)^3+1/(1+'[1]McCulloch data set'!M125/100)^4+1/(1+'[1]McCulloch data set'!N125/100)^5+1/(1+('[1]McCulloch data set'!N125+'[1]McCulloch data set'!O125)/2/100)^6+1/(1+('[1]McCulloch data set'!N125+'[1]McCulloch data set'!O125)/2/100)^7+1/(1+('[1]McCulloch data set'!N125+'[1]McCulloch data set'!O125)/2/100)^8+1/(1+('[1]McCulloch data set'!N125+'[1]McCulloch data set'!O125)/2/100)^9+1/(1+('[1]McCulloch data set'!O125/100)^10))</f>
        <v>3.5781926590764526E-2</v>
      </c>
    </row>
    <row r="128" spans="1:3" ht="13.8" x14ac:dyDescent="0.25">
      <c r="A128" s="4" t="s">
        <v>140</v>
      </c>
      <c r="B128" s="12">
        <f>(1-1/(1+'[1]McCulloch data set'!N126/100)^5)/((1/(1+'[1]McCulloch data set'!J126/100))+1/(1+'[1]McCulloch data set'!K126/100)^2+1/(1+'[1]McCulloch data set'!L126/100)^3+1/(1+'[1]McCulloch data set'!M126/100)^4+1/(1+'[1]McCulloch data set'!N126/100)^5)</f>
        <v>3.249831514053042E-2</v>
      </c>
      <c r="C128" s="12">
        <f>(1-1/(1+'[1]McCulloch data set'!N126/100)^10)/((1/(1+'[1]McCulloch data set'!J126/100))+1/(1+'[1]McCulloch data set'!K126/100)^2+1/(1+'[1]McCulloch data set'!L126/100)^3+1/(1+'[1]McCulloch data set'!M126/100)^4+1/(1+'[1]McCulloch data set'!N126/100)^5+1/(1+('[1]McCulloch data set'!N126+'[1]McCulloch data set'!O126)/2/100)^6+1/(1+('[1]McCulloch data set'!N126+'[1]McCulloch data set'!O126)/2/100)^7+1/(1+('[1]McCulloch data set'!N126+'[1]McCulloch data set'!O126)/2/100)^8+1/(1+('[1]McCulloch data set'!N126+'[1]McCulloch data set'!O126)/2/100)^9+1/(1+('[1]McCulloch data set'!O126/100)^10))</f>
        <v>3.1459669387658679E-2</v>
      </c>
    </row>
    <row r="129" spans="1:3" ht="13.8" x14ac:dyDescent="0.25">
      <c r="A129" s="4" t="s">
        <v>141</v>
      </c>
      <c r="B129" s="12">
        <f>(1-1/(1+'[1]McCulloch data set'!N127/100)^5)/((1/(1+'[1]McCulloch data set'!J127/100))+1/(1+'[1]McCulloch data set'!K127/100)^2+1/(1+'[1]McCulloch data set'!L127/100)^3+1/(1+'[1]McCulloch data set'!M127/100)^4+1/(1+'[1]McCulloch data set'!N127/100)^5)</f>
        <v>3.3922157274738282E-2</v>
      </c>
      <c r="C129" s="12">
        <f>(1-1/(1+'[1]McCulloch data set'!N127/100)^10)/((1/(1+'[1]McCulloch data set'!J127/100))+1/(1+'[1]McCulloch data set'!K127/100)^2+1/(1+'[1]McCulloch data set'!L127/100)^3+1/(1+'[1]McCulloch data set'!M127/100)^4+1/(1+'[1]McCulloch data set'!N127/100)^5+1/(1+('[1]McCulloch data set'!N127+'[1]McCulloch data set'!O127)/2/100)^6+1/(1+('[1]McCulloch data set'!N127+'[1]McCulloch data set'!O127)/2/100)^7+1/(1+('[1]McCulloch data set'!N127+'[1]McCulloch data set'!O127)/2/100)^8+1/(1+('[1]McCulloch data set'!N127+'[1]McCulloch data set'!O127)/2/100)^9+1/(1+('[1]McCulloch data set'!O127/100)^10))</f>
        <v>3.2786890170553779E-2</v>
      </c>
    </row>
    <row r="130" spans="1:3" ht="13.8" x14ac:dyDescent="0.25">
      <c r="A130" s="4" t="s">
        <v>142</v>
      </c>
      <c r="B130" s="12">
        <f>(1-1/(1+'[1]McCulloch data set'!N128/100)^5)/((1/(1+'[1]McCulloch data set'!J128/100))+1/(1+'[1]McCulloch data set'!K128/100)^2+1/(1+'[1]McCulloch data set'!L128/100)^3+1/(1+'[1]McCulloch data set'!M128/100)^4+1/(1+'[1]McCulloch data set'!N128/100)^5)</f>
        <v>3.420637354367112E-2</v>
      </c>
      <c r="C130" s="12">
        <f>(1-1/(1+'[1]McCulloch data set'!N128/100)^10)/((1/(1+'[1]McCulloch data set'!J128/100))+1/(1+'[1]McCulloch data set'!K128/100)^2+1/(1+'[1]McCulloch data set'!L128/100)^3+1/(1+'[1]McCulloch data set'!M128/100)^4+1/(1+'[1]McCulloch data set'!N128/100)^5+1/(1+('[1]McCulloch data set'!N128+'[1]McCulloch data set'!O128)/2/100)^6+1/(1+('[1]McCulloch data set'!N128+'[1]McCulloch data set'!O128)/2/100)^7+1/(1+('[1]McCulloch data set'!N128+'[1]McCulloch data set'!O128)/2/100)^8+1/(1+('[1]McCulloch data set'!N128+'[1]McCulloch data set'!O128)/2/100)^9+1/(1+('[1]McCulloch data set'!O128/100)^10))</f>
        <v>3.305078160789348E-2</v>
      </c>
    </row>
    <row r="131" spans="1:3" ht="13.8" x14ac:dyDescent="0.25">
      <c r="A131" s="4" t="s">
        <v>143</v>
      </c>
      <c r="B131" s="12">
        <f>(1-1/(1+'[1]McCulloch data set'!N129/100)^5)/((1/(1+'[1]McCulloch data set'!J129/100))+1/(1+'[1]McCulloch data set'!K129/100)^2+1/(1+'[1]McCulloch data set'!L129/100)^3+1/(1+'[1]McCulloch data set'!M129/100)^4+1/(1+'[1]McCulloch data set'!N129/100)^5)</f>
        <v>3.56806498788848E-2</v>
      </c>
      <c r="C131" s="12">
        <f>(1-1/(1+'[1]McCulloch data set'!N129/100)^10)/((1/(1+'[1]McCulloch data set'!J129/100))+1/(1+'[1]McCulloch data set'!K129/100)^2+1/(1+'[1]McCulloch data set'!L129/100)^3+1/(1+'[1]McCulloch data set'!M129/100)^4+1/(1+'[1]McCulloch data set'!N129/100)^5+1/(1+('[1]McCulloch data set'!N129+'[1]McCulloch data set'!O129)/2/100)^6+1/(1+('[1]McCulloch data set'!N129+'[1]McCulloch data set'!O129)/2/100)^7+1/(1+('[1]McCulloch data set'!N129+'[1]McCulloch data set'!O129)/2/100)^8+1/(1+('[1]McCulloch data set'!N129+'[1]McCulloch data set'!O129)/2/100)^9+1/(1+('[1]McCulloch data set'!O129/100)^10))</f>
        <v>3.4441841964973643E-2</v>
      </c>
    </row>
    <row r="132" spans="1:3" ht="13.8" x14ac:dyDescent="0.25">
      <c r="A132" s="4" t="s">
        <v>144</v>
      </c>
      <c r="B132" s="12">
        <f>(1-1/(1+'[1]McCulloch data set'!N130/100)^5)/((1/(1+'[1]McCulloch data set'!J130/100))+1/(1+'[1]McCulloch data set'!K130/100)^2+1/(1+'[1]McCulloch data set'!L130/100)^3+1/(1+'[1]McCulloch data set'!M130/100)^4+1/(1+'[1]McCulloch data set'!N130/100)^5)</f>
        <v>3.6739928068880219E-2</v>
      </c>
      <c r="C132" s="12">
        <f>(1-1/(1+'[1]McCulloch data set'!N130/100)^10)/((1/(1+'[1]McCulloch data set'!J130/100))+1/(1+'[1]McCulloch data set'!K130/100)^2+1/(1+'[1]McCulloch data set'!L130/100)^3+1/(1+'[1]McCulloch data set'!M130/100)^4+1/(1+'[1]McCulloch data set'!N130/100)^5+1/(1+('[1]McCulloch data set'!N130+'[1]McCulloch data set'!O130)/2/100)^6+1/(1+('[1]McCulloch data set'!N130+'[1]McCulloch data set'!O130)/2/100)^7+1/(1+('[1]McCulloch data set'!N130+'[1]McCulloch data set'!O130)/2/100)^8+1/(1+('[1]McCulloch data set'!N130+'[1]McCulloch data set'!O130)/2/100)^9+1/(1+('[1]McCulloch data set'!O130/100)^10))</f>
        <v>3.5463344324622649E-2</v>
      </c>
    </row>
    <row r="133" spans="1:3" ht="13.8" x14ac:dyDescent="0.25">
      <c r="A133" s="4" t="s">
        <v>145</v>
      </c>
      <c r="B133" s="12">
        <f>(1-1/(1+'[1]McCulloch data set'!N131/100)^5)/((1/(1+'[1]McCulloch data set'!J131/100))+1/(1+'[1]McCulloch data set'!K131/100)^2+1/(1+'[1]McCulloch data set'!L131/100)^3+1/(1+'[1]McCulloch data set'!M131/100)^4+1/(1+'[1]McCulloch data set'!N131/100)^5)</f>
        <v>3.8241316744103013E-2</v>
      </c>
      <c r="C133" s="12">
        <f>(1-1/(1+'[1]McCulloch data set'!N131/100)^10)/((1/(1+'[1]McCulloch data set'!J131/100))+1/(1+'[1]McCulloch data set'!K131/100)^2+1/(1+'[1]McCulloch data set'!L131/100)^3+1/(1+'[1]McCulloch data set'!M131/100)^4+1/(1+'[1]McCulloch data set'!N131/100)^5+1/(1+('[1]McCulloch data set'!N131+'[1]McCulloch data set'!O131)/2/100)^6+1/(1+('[1]McCulloch data set'!N131+'[1]McCulloch data set'!O131)/2/100)^7+1/(1+('[1]McCulloch data set'!N131+'[1]McCulloch data set'!O131)/2/100)^8+1/(1+('[1]McCulloch data set'!N131+'[1]McCulloch data set'!O131)/2/100)^9+1/(1+('[1]McCulloch data set'!O131/100)^10))</f>
        <v>3.6890313007914594E-2</v>
      </c>
    </row>
    <row r="134" spans="1:3" ht="13.8" x14ac:dyDescent="0.25">
      <c r="A134" s="4" t="s">
        <v>146</v>
      </c>
      <c r="B134" s="12">
        <f>(1-1/(1+'[1]McCulloch data set'!N132/100)^5)/((1/(1+'[1]McCulloch data set'!J132/100))+1/(1+'[1]McCulloch data set'!K132/100)^2+1/(1+'[1]McCulloch data set'!L132/100)^3+1/(1+'[1]McCulloch data set'!M132/100)^4+1/(1+'[1]McCulloch data set'!N132/100)^5)</f>
        <v>3.914514054272053E-2</v>
      </c>
      <c r="C134" s="12">
        <f>(1-1/(1+'[1]McCulloch data set'!N132/100)^10)/((1/(1+'[1]McCulloch data set'!J132/100))+1/(1+'[1]McCulloch data set'!K132/100)^2+1/(1+'[1]McCulloch data set'!L132/100)^3+1/(1+'[1]McCulloch data set'!M132/100)^4+1/(1+'[1]McCulloch data set'!N132/100)^5+1/(1+('[1]McCulloch data set'!N132+'[1]McCulloch data set'!O132)/2/100)^6+1/(1+('[1]McCulloch data set'!N132+'[1]McCulloch data set'!O132)/2/100)^7+1/(1+('[1]McCulloch data set'!N132+'[1]McCulloch data set'!O132)/2/100)^8+1/(1+('[1]McCulloch data set'!N132+'[1]McCulloch data set'!O132)/2/100)^9+1/(1+('[1]McCulloch data set'!O132/100)^10))</f>
        <v>3.7674311790025346E-2</v>
      </c>
    </row>
    <row r="135" spans="1:3" ht="13.8" x14ac:dyDescent="0.25">
      <c r="A135" s="4" t="s">
        <v>147</v>
      </c>
      <c r="B135" s="12">
        <f>(1-1/(1+'[1]McCulloch data set'!N133/100)^5)/((1/(1+'[1]McCulloch data set'!J133/100))+1/(1+'[1]McCulloch data set'!K133/100)^2+1/(1+'[1]McCulloch data set'!L133/100)^3+1/(1+'[1]McCulloch data set'!M133/100)^4+1/(1+'[1]McCulloch data set'!N133/100)^5)</f>
        <v>3.824758340728427E-2</v>
      </c>
      <c r="C135" s="12">
        <f>(1-1/(1+'[1]McCulloch data set'!N133/100)^10)/((1/(1+'[1]McCulloch data set'!J133/100))+1/(1+'[1]McCulloch data set'!K133/100)^2+1/(1+'[1]McCulloch data set'!L133/100)^3+1/(1+'[1]McCulloch data set'!M133/100)^4+1/(1+'[1]McCulloch data set'!N133/100)^5+1/(1+('[1]McCulloch data set'!N133+'[1]McCulloch data set'!O133)/2/100)^6+1/(1+('[1]McCulloch data set'!N133+'[1]McCulloch data set'!O133)/2/100)^7+1/(1+('[1]McCulloch data set'!N133+'[1]McCulloch data set'!O133)/2/100)^8+1/(1+('[1]McCulloch data set'!N133+'[1]McCulloch data set'!O133)/2/100)^9+1/(1+('[1]McCulloch data set'!O133/100)^10))</f>
        <v>3.680916406037793E-2</v>
      </c>
    </row>
    <row r="136" spans="1:3" ht="13.8" x14ac:dyDescent="0.25">
      <c r="A136" s="4" t="s">
        <v>148</v>
      </c>
      <c r="B136" s="12">
        <f>(1-1/(1+'[1]McCulloch data set'!N134/100)^5)/((1/(1+'[1]McCulloch data set'!J134/100))+1/(1+'[1]McCulloch data set'!K134/100)^2+1/(1+'[1]McCulloch data set'!L134/100)^3+1/(1+'[1]McCulloch data set'!M134/100)^4+1/(1+'[1]McCulloch data set'!N134/100)^5)</f>
        <v>4.0078257216443453E-2</v>
      </c>
      <c r="C136" s="12">
        <f>(1-1/(1+'[1]McCulloch data set'!N134/100)^10)/((1/(1+'[1]McCulloch data set'!J134/100))+1/(1+'[1]McCulloch data set'!K134/100)^2+1/(1+'[1]McCulloch data set'!L134/100)^3+1/(1+'[1]McCulloch data set'!M134/100)^4+1/(1+'[1]McCulloch data set'!N134/100)^5+1/(1+('[1]McCulloch data set'!N134+'[1]McCulloch data set'!O134)/2/100)^6+1/(1+('[1]McCulloch data set'!N134+'[1]McCulloch data set'!O134)/2/100)^7+1/(1+('[1]McCulloch data set'!N134+'[1]McCulloch data set'!O134)/2/100)^8+1/(1+('[1]McCulloch data set'!N134+'[1]McCulloch data set'!O134)/2/100)^9+1/(1+('[1]McCulloch data set'!O134/100)^10))</f>
        <v>3.8506096997294223E-2</v>
      </c>
    </row>
    <row r="137" spans="1:3" ht="13.8" x14ac:dyDescent="0.25">
      <c r="A137" s="4" t="s">
        <v>149</v>
      </c>
      <c r="B137" s="12">
        <f>(1-1/(1+'[1]McCulloch data set'!N135/100)^5)/((1/(1+'[1]McCulloch data set'!J135/100))+1/(1+'[1]McCulloch data set'!K135/100)^2+1/(1+'[1]McCulloch data set'!L135/100)^3+1/(1+'[1]McCulloch data set'!M135/100)^4+1/(1+'[1]McCulloch data set'!N135/100)^5)</f>
        <v>3.9540192071208784E-2</v>
      </c>
      <c r="C137" s="12">
        <f>(1-1/(1+'[1]McCulloch data set'!N135/100)^10)/((1/(1+'[1]McCulloch data set'!J135/100))+1/(1+'[1]McCulloch data set'!K135/100)^2+1/(1+'[1]McCulloch data set'!L135/100)^3+1/(1+'[1]McCulloch data set'!M135/100)^4+1/(1+'[1]McCulloch data set'!N135/100)^5+1/(1+('[1]McCulloch data set'!N135+'[1]McCulloch data set'!O135)/2/100)^6+1/(1+('[1]McCulloch data set'!N135+'[1]McCulloch data set'!O135)/2/100)^7+1/(1+('[1]McCulloch data set'!N135+'[1]McCulloch data set'!O135)/2/100)^8+1/(1+('[1]McCulloch data set'!N135+'[1]McCulloch data set'!O135)/2/100)^9+1/(1+('[1]McCulloch data set'!O135/100)^10))</f>
        <v>3.8000095605047669E-2</v>
      </c>
    </row>
    <row r="138" spans="1:3" ht="13.8" x14ac:dyDescent="0.25">
      <c r="A138" s="4" t="s">
        <v>150</v>
      </c>
      <c r="B138" s="12">
        <f>(1-1/(1+'[1]McCulloch data set'!N136/100)^5)/((1/(1+'[1]McCulloch data set'!J136/100))+1/(1+'[1]McCulloch data set'!K136/100)^2+1/(1+'[1]McCulloch data set'!L136/100)^3+1/(1+'[1]McCulloch data set'!M136/100)^4+1/(1+'[1]McCulloch data set'!N136/100)^5)</f>
        <v>3.4230581704497609E-2</v>
      </c>
      <c r="C138" s="12">
        <f>(1-1/(1+'[1]McCulloch data set'!N136/100)^10)/((1/(1+'[1]McCulloch data set'!J136/100))+1/(1+'[1]McCulloch data set'!K136/100)^2+1/(1+'[1]McCulloch data set'!L136/100)^3+1/(1+'[1]McCulloch data set'!M136/100)^4+1/(1+'[1]McCulloch data set'!N136/100)^5+1/(1+('[1]McCulloch data set'!N136+'[1]McCulloch data set'!O136)/2/100)^6+1/(1+('[1]McCulloch data set'!N136+'[1]McCulloch data set'!O136)/2/100)^7+1/(1+('[1]McCulloch data set'!N136+'[1]McCulloch data set'!O136)/2/100)^8+1/(1+('[1]McCulloch data set'!N136+'[1]McCulloch data set'!O136)/2/100)^9+1/(1+('[1]McCulloch data set'!O136/100)^10))</f>
        <v>3.305011584665267E-2</v>
      </c>
    </row>
    <row r="139" spans="1:3" ht="13.8" x14ac:dyDescent="0.25">
      <c r="A139" s="4" t="s">
        <v>151</v>
      </c>
      <c r="B139" s="12">
        <f>(1-1/(1+'[1]McCulloch data set'!N137/100)^5)/((1/(1+'[1]McCulloch data set'!J137/100))+1/(1+'[1]McCulloch data set'!K137/100)^2+1/(1+'[1]McCulloch data set'!L137/100)^3+1/(1+'[1]McCulloch data set'!M137/100)^4+1/(1+'[1]McCulloch data set'!N137/100)^5)</f>
        <v>2.8465959239250879E-2</v>
      </c>
      <c r="C139" s="12">
        <f>(1-1/(1+'[1]McCulloch data set'!N137/100)^10)/((1/(1+'[1]McCulloch data set'!J137/100))+1/(1+'[1]McCulloch data set'!K137/100)^2+1/(1+'[1]McCulloch data set'!L137/100)^3+1/(1+'[1]McCulloch data set'!M137/100)^4+1/(1+'[1]McCulloch data set'!N137/100)^5+1/(1+('[1]McCulloch data set'!N137+'[1]McCulloch data set'!O137)/2/100)^6+1/(1+('[1]McCulloch data set'!N137+'[1]McCulloch data set'!O137)/2/100)^7+1/(1+('[1]McCulloch data set'!N137+'[1]McCulloch data set'!O137)/2/100)^8+1/(1+('[1]McCulloch data set'!N137+'[1]McCulloch data set'!O137)/2/100)^9+1/(1+('[1]McCulloch data set'!O137/100)^10))</f>
        <v>2.77702355159107E-2</v>
      </c>
    </row>
    <row r="140" spans="1:3" ht="13.8" x14ac:dyDescent="0.25">
      <c r="A140" s="4" t="s">
        <v>152</v>
      </c>
      <c r="B140" s="12">
        <f>(1-1/(1+'[1]McCulloch data set'!N138/100)^5)/((1/(1+'[1]McCulloch data set'!J138/100))+1/(1+'[1]McCulloch data set'!K138/100)^2+1/(1+'[1]McCulloch data set'!L138/100)^3+1/(1+'[1]McCulloch data set'!M138/100)^4+1/(1+'[1]McCulloch data set'!N138/100)^5)</f>
        <v>2.8763325426642828E-2</v>
      </c>
      <c r="C140" s="12">
        <f>(1-1/(1+'[1]McCulloch data set'!N138/100)^10)/((1/(1+'[1]McCulloch data set'!J138/100))+1/(1+'[1]McCulloch data set'!K138/100)^2+1/(1+'[1]McCulloch data set'!L138/100)^3+1/(1+'[1]McCulloch data set'!M138/100)^4+1/(1+'[1]McCulloch data set'!N138/100)^5+1/(1+('[1]McCulloch data set'!N138+'[1]McCulloch data set'!O138)/2/100)^6+1/(1+('[1]McCulloch data set'!N138+'[1]McCulloch data set'!O138)/2/100)^7+1/(1+('[1]McCulloch data set'!N138+'[1]McCulloch data set'!O138)/2/100)^8+1/(1+('[1]McCulloch data set'!N138+'[1]McCulloch data set'!O138)/2/100)^9+1/(1+('[1]McCulloch data set'!O138/100)^10))</f>
        <v>2.8122677795635147E-2</v>
      </c>
    </row>
    <row r="141" spans="1:3" ht="13.8" x14ac:dyDescent="0.25">
      <c r="A141" s="4" t="s">
        <v>153</v>
      </c>
      <c r="B141" s="12">
        <f>(1-1/(1+'[1]McCulloch data set'!N139/100)^5)/((1/(1+'[1]McCulloch data set'!J139/100))+1/(1+'[1]McCulloch data set'!K139/100)^2+1/(1+'[1]McCulloch data set'!L139/100)^3+1/(1+'[1]McCulloch data set'!M139/100)^4+1/(1+'[1]McCulloch data set'!N139/100)^5)</f>
        <v>2.633033051113615E-2</v>
      </c>
      <c r="C141" s="12">
        <f>(1-1/(1+'[1]McCulloch data set'!N139/100)^10)/((1/(1+'[1]McCulloch data set'!J139/100))+1/(1+'[1]McCulloch data set'!K139/100)^2+1/(1+'[1]McCulloch data set'!L139/100)^3+1/(1+'[1]McCulloch data set'!M139/100)^4+1/(1+'[1]McCulloch data set'!N139/100)^5+1/(1+('[1]McCulloch data set'!N139+'[1]McCulloch data set'!O139)/2/100)^6+1/(1+('[1]McCulloch data set'!N139+'[1]McCulloch data set'!O139)/2/100)^7+1/(1+('[1]McCulloch data set'!N139+'[1]McCulloch data set'!O139)/2/100)^8+1/(1+('[1]McCulloch data set'!N139+'[1]McCulloch data set'!O139)/2/100)^9+1/(1+('[1]McCulloch data set'!O139/100)^10))</f>
        <v>2.5870490374042068E-2</v>
      </c>
    </row>
    <row r="142" spans="1:3" ht="13.8" x14ac:dyDescent="0.25">
      <c r="A142" s="4" t="s">
        <v>154</v>
      </c>
      <c r="B142" s="12">
        <f>(1-1/(1+'[1]McCulloch data set'!N140/100)^5)/((1/(1+'[1]McCulloch data set'!J140/100))+1/(1+'[1]McCulloch data set'!K140/100)^2+1/(1+'[1]McCulloch data set'!L140/100)^3+1/(1+'[1]McCulloch data set'!M140/100)^4+1/(1+'[1]McCulloch data set'!N140/100)^5)</f>
        <v>2.5640996763499513E-2</v>
      </c>
      <c r="C142" s="12">
        <f>(1-1/(1+'[1]McCulloch data set'!N140/100)^10)/((1/(1+'[1]McCulloch data set'!J140/100))+1/(1+'[1]McCulloch data set'!K140/100)^2+1/(1+'[1]McCulloch data set'!L140/100)^3+1/(1+'[1]McCulloch data set'!M140/100)^4+1/(1+'[1]McCulloch data set'!N140/100)^5+1/(1+('[1]McCulloch data set'!N140+'[1]McCulloch data set'!O140)/2/100)^6+1/(1+('[1]McCulloch data set'!N140+'[1]McCulloch data set'!O140)/2/100)^7+1/(1+('[1]McCulloch data set'!N140+'[1]McCulloch data set'!O140)/2/100)^8+1/(1+('[1]McCulloch data set'!N140+'[1]McCulloch data set'!O140)/2/100)^9+1/(1+('[1]McCulloch data set'!O140/100)^10))</f>
        <v>2.5184562485182815E-2</v>
      </c>
    </row>
    <row r="143" spans="1:3" ht="13.8" x14ac:dyDescent="0.25">
      <c r="A143" s="4" t="s">
        <v>155</v>
      </c>
      <c r="B143" s="12">
        <f>(1-1/(1+'[1]McCulloch data set'!N141/100)^5)/((1/(1+'[1]McCulloch data set'!J141/100))+1/(1+'[1]McCulloch data set'!K141/100)^2+1/(1+'[1]McCulloch data set'!L141/100)^3+1/(1+'[1]McCulloch data set'!M141/100)^4+1/(1+'[1]McCulloch data set'!N141/100)^5)</f>
        <v>2.3917397395602624E-2</v>
      </c>
      <c r="C143" s="12">
        <f>(1-1/(1+'[1]McCulloch data set'!N141/100)^10)/((1/(1+'[1]McCulloch data set'!J141/100))+1/(1+'[1]McCulloch data set'!K141/100)^2+1/(1+'[1]McCulloch data set'!L141/100)^3+1/(1+'[1]McCulloch data set'!M141/100)^4+1/(1+'[1]McCulloch data set'!N141/100)^5+1/(1+('[1]McCulloch data set'!N141+'[1]McCulloch data set'!O141)/2/100)^6+1/(1+('[1]McCulloch data set'!N141+'[1]McCulloch data set'!O141)/2/100)^7+1/(1+('[1]McCulloch data set'!N141+'[1]McCulloch data set'!O141)/2/100)^8+1/(1+('[1]McCulloch data set'!N141+'[1]McCulloch data set'!O141)/2/100)^9+1/(1+('[1]McCulloch data set'!O141/100)^10))</f>
        <v>2.3575941462869829E-2</v>
      </c>
    </row>
    <row r="144" spans="1:3" ht="13.8" x14ac:dyDescent="0.25">
      <c r="A144" s="4" t="s">
        <v>156</v>
      </c>
      <c r="B144" s="12">
        <f>(1-1/(1+'[1]McCulloch data set'!N142/100)^5)/((1/(1+'[1]McCulloch data set'!J142/100))+1/(1+'[1]McCulloch data set'!K142/100)^2+1/(1+'[1]McCulloch data set'!L142/100)^3+1/(1+'[1]McCulloch data set'!M142/100)^4+1/(1+'[1]McCulloch data set'!N142/100)^5)</f>
        <v>2.3222638074246463E-2</v>
      </c>
      <c r="C144" s="12">
        <f>(1-1/(1+'[1]McCulloch data set'!N142/100)^10)/((1/(1+'[1]McCulloch data set'!J142/100))+1/(1+'[1]McCulloch data set'!K142/100)^2+1/(1+'[1]McCulloch data set'!L142/100)^3+1/(1+'[1]McCulloch data set'!M142/100)^4+1/(1+'[1]McCulloch data set'!N142/100)^5+1/(1+('[1]McCulloch data set'!N142+'[1]McCulloch data set'!O142)/2/100)^6+1/(1+('[1]McCulloch data set'!N142+'[1]McCulloch data set'!O142)/2/100)^7+1/(1+('[1]McCulloch data set'!N142+'[1]McCulloch data set'!O142)/2/100)^8+1/(1+('[1]McCulloch data set'!N142+'[1]McCulloch data set'!O142)/2/100)^9+1/(1+('[1]McCulloch data set'!O142/100)^10))</f>
        <v>2.2953174837054818E-2</v>
      </c>
    </row>
    <row r="145" spans="1:3" ht="13.8" x14ac:dyDescent="0.25">
      <c r="A145" s="4" t="s">
        <v>157</v>
      </c>
      <c r="B145" s="12">
        <f>(1-1/(1+'[1]McCulloch data set'!N143/100)^5)/((1/(1+'[1]McCulloch data set'!J143/100))+1/(1+'[1]McCulloch data set'!K143/100)^2+1/(1+'[1]McCulloch data set'!L143/100)^3+1/(1+'[1]McCulloch data set'!M143/100)^4+1/(1+'[1]McCulloch data set'!N143/100)^5)</f>
        <v>2.529340908210382E-2</v>
      </c>
      <c r="C145" s="12">
        <f>(1-1/(1+'[1]McCulloch data set'!N143/100)^10)/((1/(1+'[1]McCulloch data set'!J143/100))+1/(1+'[1]McCulloch data set'!K143/100)^2+1/(1+'[1]McCulloch data set'!L143/100)^3+1/(1+'[1]McCulloch data set'!M143/100)^4+1/(1+'[1]McCulloch data set'!N143/100)^5+1/(1+('[1]McCulloch data set'!N143+'[1]McCulloch data set'!O143)/2/100)^6+1/(1+('[1]McCulloch data set'!N143+'[1]McCulloch data set'!O143)/2/100)^7+1/(1+('[1]McCulloch data set'!N143+'[1]McCulloch data set'!O143)/2/100)^8+1/(1+('[1]McCulloch data set'!N143+'[1]McCulloch data set'!O143)/2/100)^9+1/(1+('[1]McCulloch data set'!O143/100)^10))</f>
        <v>2.4916719038683807E-2</v>
      </c>
    </row>
    <row r="146" spans="1:3" ht="13.8" x14ac:dyDescent="0.25">
      <c r="A146" s="4" t="s">
        <v>158</v>
      </c>
      <c r="B146" s="12">
        <f>(1-1/(1+'[1]McCulloch data set'!N144/100)^5)/((1/(1+'[1]McCulloch data set'!J144/100))+1/(1+'[1]McCulloch data set'!K144/100)^2+1/(1+'[1]McCulloch data set'!L144/100)^3+1/(1+'[1]McCulloch data set'!M144/100)^4+1/(1+'[1]McCulloch data set'!N144/100)^5)</f>
        <v>2.8794790440474158E-2</v>
      </c>
      <c r="C146" s="12">
        <f>(1-1/(1+'[1]McCulloch data set'!N144/100)^10)/((1/(1+'[1]McCulloch data set'!J144/100))+1/(1+'[1]McCulloch data set'!K144/100)^2+1/(1+'[1]McCulloch data set'!L144/100)^3+1/(1+'[1]McCulloch data set'!M144/100)^4+1/(1+'[1]McCulloch data set'!N144/100)^5+1/(1+('[1]McCulloch data set'!N144+'[1]McCulloch data set'!O144)/2/100)^6+1/(1+('[1]McCulloch data set'!N144+'[1]McCulloch data set'!O144)/2/100)^7+1/(1+('[1]McCulloch data set'!N144+'[1]McCulloch data set'!O144)/2/100)^8+1/(1+('[1]McCulloch data set'!N144+'[1]McCulloch data set'!O144)/2/100)^9+1/(1+('[1]McCulloch data set'!O144/100)^10))</f>
        <v>2.8225647255912888E-2</v>
      </c>
    </row>
    <row r="147" spans="1:3" ht="13.8" x14ac:dyDescent="0.25">
      <c r="A147" s="4" t="s">
        <v>159</v>
      </c>
      <c r="B147" s="12">
        <f>(1-1/(1+'[1]McCulloch data set'!N145/100)^5)/((1/(1+'[1]McCulloch data set'!J145/100))+1/(1+'[1]McCulloch data set'!K145/100)^2+1/(1+'[1]McCulloch data set'!L145/100)^3+1/(1+'[1]McCulloch data set'!M145/100)^4+1/(1+'[1]McCulloch data set'!N145/100)^5)</f>
        <v>3.6847090182830507E-2</v>
      </c>
      <c r="C147" s="12">
        <f>(1-1/(1+'[1]McCulloch data set'!N145/100)^10)/((1/(1+'[1]McCulloch data set'!J145/100))+1/(1+'[1]McCulloch data set'!K145/100)^2+1/(1+'[1]McCulloch data set'!L145/100)^3+1/(1+'[1]McCulloch data set'!M145/100)^4+1/(1+'[1]McCulloch data set'!N145/100)^5+1/(1+('[1]McCulloch data set'!N145+'[1]McCulloch data set'!O145)/2/100)^6+1/(1+('[1]McCulloch data set'!N145+'[1]McCulloch data set'!O145)/2/100)^7+1/(1+('[1]McCulloch data set'!N145+'[1]McCulloch data set'!O145)/2/100)^8+1/(1+('[1]McCulloch data set'!N145+'[1]McCulloch data set'!O145)/2/100)^9+1/(1+('[1]McCulloch data set'!O145/100)^10))</f>
        <v>3.5629497673973151E-2</v>
      </c>
    </row>
    <row r="148" spans="1:3" ht="13.8" x14ac:dyDescent="0.25">
      <c r="A148" s="4" t="s">
        <v>160</v>
      </c>
      <c r="B148" s="12">
        <f>(1-1/(1+'[1]McCulloch data set'!N146/100)^5)/((1/(1+'[1]McCulloch data set'!J146/100))+1/(1+'[1]McCulloch data set'!K146/100)^2+1/(1+'[1]McCulloch data set'!L146/100)^3+1/(1+'[1]McCulloch data set'!M146/100)^4+1/(1+'[1]McCulloch data set'!N146/100)^5)</f>
        <v>3.7392932254711284E-2</v>
      </c>
      <c r="C148" s="12">
        <f>(1-1/(1+'[1]McCulloch data set'!N146/100)^10)/((1/(1+'[1]McCulloch data set'!J146/100))+1/(1+'[1]McCulloch data set'!K146/100)^2+1/(1+'[1]McCulloch data set'!L146/100)^3+1/(1+'[1]McCulloch data set'!M146/100)^4+1/(1+'[1]McCulloch data set'!N146/100)^5+1/(1+('[1]McCulloch data set'!N146+'[1]McCulloch data set'!O146)/2/100)^6+1/(1+('[1]McCulloch data set'!N146+'[1]McCulloch data set'!O146)/2/100)^7+1/(1+('[1]McCulloch data set'!N146+'[1]McCulloch data set'!O146)/2/100)^8+1/(1+('[1]McCulloch data set'!N146+'[1]McCulloch data set'!O146)/2/100)^9+1/(1+('[1]McCulloch data set'!O146/100)^10))</f>
        <v>3.6090206486532085E-2</v>
      </c>
    </row>
    <row r="149" spans="1:3" ht="13.8" x14ac:dyDescent="0.25">
      <c r="A149" s="4" t="s">
        <v>161</v>
      </c>
      <c r="B149" s="12">
        <f>(1-1/(1+'[1]McCulloch data set'!N147/100)^5)/((1/(1+'[1]McCulloch data set'!J147/100))+1/(1+'[1]McCulloch data set'!K147/100)^2+1/(1+'[1]McCulloch data set'!L147/100)^3+1/(1+'[1]McCulloch data set'!M147/100)^4+1/(1+'[1]McCulloch data set'!N147/100)^5)</f>
        <v>3.6670137108582017E-2</v>
      </c>
      <c r="C149" s="12">
        <f>(1-1/(1+'[1]McCulloch data set'!N147/100)^10)/((1/(1+'[1]McCulloch data set'!J147/100))+1/(1+'[1]McCulloch data set'!K147/100)^2+1/(1+'[1]McCulloch data set'!L147/100)^3+1/(1+'[1]McCulloch data set'!M147/100)^4+1/(1+'[1]McCulloch data set'!N147/100)^5+1/(1+('[1]McCulloch data set'!N147+'[1]McCulloch data set'!O147)/2/100)^6+1/(1+('[1]McCulloch data set'!N147+'[1]McCulloch data set'!O147)/2/100)^7+1/(1+('[1]McCulloch data set'!N147+'[1]McCulloch data set'!O147)/2/100)^8+1/(1+('[1]McCulloch data set'!N147+'[1]McCulloch data set'!O147)/2/100)^9+1/(1+('[1]McCulloch data set'!O147/100)^10))</f>
        <v>3.5441492915847465E-2</v>
      </c>
    </row>
    <row r="150" spans="1:3" ht="13.8" x14ac:dyDescent="0.25">
      <c r="A150" s="4" t="s">
        <v>162</v>
      </c>
      <c r="B150" s="12">
        <f>(1-1/(1+'[1]McCulloch data set'!N148/100)^5)/((1/(1+'[1]McCulloch data set'!J148/100))+1/(1+'[1]McCulloch data set'!K148/100)^2+1/(1+'[1]McCulloch data set'!L148/100)^3+1/(1+'[1]McCulloch data set'!M148/100)^4+1/(1+'[1]McCulloch data set'!N148/100)^5)</f>
        <v>3.6234561961692738E-2</v>
      </c>
      <c r="C150" s="12">
        <f>(1-1/(1+'[1]McCulloch data set'!N148/100)^10)/((1/(1+'[1]McCulloch data set'!J148/100))+1/(1+'[1]McCulloch data set'!K148/100)^2+1/(1+'[1]McCulloch data set'!L148/100)^3+1/(1+'[1]McCulloch data set'!M148/100)^4+1/(1+'[1]McCulloch data set'!N148/100)^5+1/(1+('[1]McCulloch data set'!N148+'[1]McCulloch data set'!O148)/2/100)^6+1/(1+('[1]McCulloch data set'!N148+'[1]McCulloch data set'!O148)/2/100)^7+1/(1+('[1]McCulloch data set'!N148+'[1]McCulloch data set'!O148)/2/100)^8+1/(1+('[1]McCulloch data set'!N148+'[1]McCulloch data set'!O148)/2/100)^9+1/(1+('[1]McCulloch data set'!O148/100)^10))</f>
        <v>3.4999762384518816E-2</v>
      </c>
    </row>
    <row r="151" spans="1:3" ht="13.8" x14ac:dyDescent="0.25">
      <c r="A151" s="4" t="s">
        <v>163</v>
      </c>
      <c r="B151" s="12">
        <f>(1-1/(1+'[1]McCulloch data set'!N149/100)^5)/((1/(1+'[1]McCulloch data set'!J149/100))+1/(1+'[1]McCulloch data set'!K149/100)^2+1/(1+'[1]McCulloch data set'!L149/100)^3+1/(1+'[1]McCulloch data set'!M149/100)^4+1/(1+'[1]McCulloch data set'!N149/100)^5)</f>
        <v>3.8035614951647916E-2</v>
      </c>
      <c r="C151" s="12">
        <f>(1-1/(1+'[1]McCulloch data set'!N149/100)^10)/((1/(1+'[1]McCulloch data set'!J149/100))+1/(1+'[1]McCulloch data set'!K149/100)^2+1/(1+'[1]McCulloch data set'!L149/100)^3+1/(1+'[1]McCulloch data set'!M149/100)^4+1/(1+'[1]McCulloch data set'!N149/100)^5+1/(1+('[1]McCulloch data set'!N149+'[1]McCulloch data set'!O149)/2/100)^6+1/(1+('[1]McCulloch data set'!N149+'[1]McCulloch data set'!O149)/2/100)^7+1/(1+('[1]McCulloch data set'!N149+'[1]McCulloch data set'!O149)/2/100)^8+1/(1+('[1]McCulloch data set'!N149+'[1]McCulloch data set'!O149)/2/100)^9+1/(1+('[1]McCulloch data set'!O149/100)^10))</f>
        <v>3.6748288465991312E-2</v>
      </c>
    </row>
    <row r="152" spans="1:3" ht="13.8" x14ac:dyDescent="0.25">
      <c r="A152" s="4" t="s">
        <v>164</v>
      </c>
      <c r="B152" s="12">
        <f>(1-1/(1+'[1]McCulloch data set'!N150/100)^5)/((1/(1+'[1]McCulloch data set'!J150/100))+1/(1+'[1]McCulloch data set'!K150/100)^2+1/(1+'[1]McCulloch data set'!L150/100)^3+1/(1+'[1]McCulloch data set'!M150/100)^4+1/(1+'[1]McCulloch data set'!N150/100)^5)</f>
        <v>3.9876602629008683E-2</v>
      </c>
      <c r="C152" s="12">
        <f>(1-1/(1+'[1]McCulloch data set'!N150/100)^10)/((1/(1+'[1]McCulloch data set'!J150/100))+1/(1+'[1]McCulloch data set'!K150/100)^2+1/(1+'[1]McCulloch data set'!L150/100)^3+1/(1+'[1]McCulloch data set'!M150/100)^4+1/(1+'[1]McCulloch data set'!N150/100)^5+1/(1+('[1]McCulloch data set'!N150+'[1]McCulloch data set'!O150)/2/100)^6+1/(1+('[1]McCulloch data set'!N150+'[1]McCulloch data set'!O150)/2/100)^7+1/(1+('[1]McCulloch data set'!N150+'[1]McCulloch data set'!O150)/2/100)^8+1/(1+('[1]McCulloch data set'!N150+'[1]McCulloch data set'!O150)/2/100)^9+1/(1+('[1]McCulloch data set'!O150/100)^10))</f>
        <v>3.8393970213159129E-2</v>
      </c>
    </row>
    <row r="153" spans="1:3" ht="13.8" x14ac:dyDescent="0.25">
      <c r="A153" s="4" t="s">
        <v>165</v>
      </c>
      <c r="B153" s="12">
        <f>(1-1/(1+'[1]McCulloch data set'!N151/100)^5)/((1/(1+'[1]McCulloch data set'!J151/100))+1/(1+'[1]McCulloch data set'!K151/100)^2+1/(1+'[1]McCulloch data set'!L151/100)^3+1/(1+'[1]McCulloch data set'!M151/100)^4+1/(1+'[1]McCulloch data set'!N151/100)^5)</f>
        <v>3.781803491189166E-2</v>
      </c>
      <c r="C153" s="12">
        <f>(1-1/(1+'[1]McCulloch data set'!N151/100)^10)/((1/(1+'[1]McCulloch data set'!J151/100))+1/(1+'[1]McCulloch data set'!K151/100)^2+1/(1+'[1]McCulloch data set'!L151/100)^3+1/(1+'[1]McCulloch data set'!M151/100)^4+1/(1+'[1]McCulloch data set'!N151/100)^5+1/(1+('[1]McCulloch data set'!N151+'[1]McCulloch data set'!O151)/2/100)^6+1/(1+('[1]McCulloch data set'!N151+'[1]McCulloch data set'!O151)/2/100)^7+1/(1+('[1]McCulloch data set'!N151+'[1]McCulloch data set'!O151)/2/100)^8+1/(1+('[1]McCulloch data set'!N151+'[1]McCulloch data set'!O151)/2/100)^9+1/(1+('[1]McCulloch data set'!O151/100)^10))</f>
        <v>3.6479084572457292E-2</v>
      </c>
    </row>
    <row r="154" spans="1:3" ht="13.8" x14ac:dyDescent="0.25">
      <c r="A154" s="4" t="s">
        <v>166</v>
      </c>
      <c r="B154" s="12">
        <f>(1-1/(1+'[1]McCulloch data set'!N152/100)^5)/((1/(1+'[1]McCulloch data set'!J152/100))+1/(1+'[1]McCulloch data set'!K152/100)^2+1/(1+'[1]McCulloch data set'!L152/100)^3+1/(1+'[1]McCulloch data set'!M152/100)^4+1/(1+'[1]McCulloch data set'!N152/100)^5)</f>
        <v>3.9727170729033597E-2</v>
      </c>
      <c r="C154" s="12">
        <f>(1-1/(1+'[1]McCulloch data set'!N152/100)^10)/((1/(1+'[1]McCulloch data set'!J152/100))+1/(1+'[1]McCulloch data set'!K152/100)^2+1/(1+'[1]McCulloch data set'!L152/100)^3+1/(1+'[1]McCulloch data set'!M152/100)^4+1/(1+'[1]McCulloch data set'!N152/100)^5+1/(1+('[1]McCulloch data set'!N152+'[1]McCulloch data set'!O152)/2/100)^6+1/(1+('[1]McCulloch data set'!N152+'[1]McCulloch data set'!O152)/2/100)^7+1/(1+('[1]McCulloch data set'!N152+'[1]McCulloch data set'!O152)/2/100)^8+1/(1+('[1]McCulloch data set'!N152+'[1]McCulloch data set'!O152)/2/100)^9+1/(1+('[1]McCulloch data set'!O152/100)^10))</f>
        <v>3.8234758719773373E-2</v>
      </c>
    </row>
    <row r="155" spans="1:3" ht="13.8" x14ac:dyDescent="0.25">
      <c r="A155" s="4" t="s">
        <v>167</v>
      </c>
      <c r="B155" s="12">
        <f>(1-1/(1+'[1]McCulloch data set'!N153/100)^5)/((1/(1+'[1]McCulloch data set'!J153/100))+1/(1+'[1]McCulloch data set'!K153/100)^2+1/(1+'[1]McCulloch data set'!L153/100)^3+1/(1+'[1]McCulloch data set'!M153/100)^4+1/(1+'[1]McCulloch data set'!N153/100)^5)</f>
        <v>4.1651269347624004E-2</v>
      </c>
      <c r="C155" s="12">
        <f>(1-1/(1+'[1]McCulloch data set'!N153/100)^10)/((1/(1+'[1]McCulloch data set'!J153/100))+1/(1+'[1]McCulloch data set'!K153/100)^2+1/(1+'[1]McCulloch data set'!L153/100)^3+1/(1+'[1]McCulloch data set'!M153/100)^4+1/(1+'[1]McCulloch data set'!N153/100)^5+1/(1+('[1]McCulloch data set'!N153+'[1]McCulloch data set'!O153)/2/100)^6+1/(1+('[1]McCulloch data set'!N153+'[1]McCulloch data set'!O153)/2/100)^7+1/(1+('[1]McCulloch data set'!N153+'[1]McCulloch data set'!O153)/2/100)^8+1/(1+('[1]McCulloch data set'!N153+'[1]McCulloch data set'!O153)/2/100)^9+1/(1+('[1]McCulloch data set'!O153/100)^10))</f>
        <v>4.0057279467919718E-2</v>
      </c>
    </row>
    <row r="156" spans="1:3" ht="13.8" x14ac:dyDescent="0.25">
      <c r="A156" s="4" t="s">
        <v>168</v>
      </c>
      <c r="B156" s="12">
        <f>(1-1/(1+'[1]McCulloch data set'!N154/100)^5)/((1/(1+'[1]McCulloch data set'!J154/100))+1/(1+'[1]McCulloch data set'!K154/100)^2+1/(1+'[1]McCulloch data set'!L154/100)^3+1/(1+'[1]McCulloch data set'!M154/100)^4+1/(1+'[1]McCulloch data set'!N154/100)^5)</f>
        <v>4.1994737939314845E-2</v>
      </c>
      <c r="C156" s="12">
        <f>(1-1/(1+'[1]McCulloch data set'!N154/100)^10)/((1/(1+'[1]McCulloch data set'!J154/100))+1/(1+'[1]McCulloch data set'!K154/100)^2+1/(1+'[1]McCulloch data set'!L154/100)^3+1/(1+'[1]McCulloch data set'!M154/100)^4+1/(1+'[1]McCulloch data set'!N154/100)^5+1/(1+('[1]McCulloch data set'!N154+'[1]McCulloch data set'!O154)/2/100)^6+1/(1+('[1]McCulloch data set'!N154+'[1]McCulloch data set'!O154)/2/100)^7+1/(1+('[1]McCulloch data set'!N154+'[1]McCulloch data set'!O154)/2/100)^8+1/(1+('[1]McCulloch data set'!N154+'[1]McCulloch data set'!O154)/2/100)^9+1/(1+('[1]McCulloch data set'!O154/100)^10))</f>
        <v>4.0330505744260364E-2</v>
      </c>
    </row>
    <row r="157" spans="1:3" ht="13.8" x14ac:dyDescent="0.25">
      <c r="A157" s="4" t="s">
        <v>169</v>
      </c>
      <c r="B157" s="12">
        <f>(1-1/(1+'[1]McCulloch data set'!N155/100)^5)/((1/(1+'[1]McCulloch data set'!J155/100))+1/(1+'[1]McCulloch data set'!K155/100)^2+1/(1+'[1]McCulloch data set'!L155/100)^3+1/(1+'[1]McCulloch data set'!M155/100)^4+1/(1+'[1]McCulloch data set'!N155/100)^5)</f>
        <v>4.3988891946913945E-2</v>
      </c>
      <c r="C157" s="12">
        <f>(1-1/(1+'[1]McCulloch data set'!N155/100)^10)/((1/(1+'[1]McCulloch data set'!J155/100))+1/(1+'[1]McCulloch data set'!K155/100)^2+1/(1+'[1]McCulloch data set'!L155/100)^3+1/(1+'[1]McCulloch data set'!M155/100)^4+1/(1+'[1]McCulloch data set'!N155/100)^5+1/(1+('[1]McCulloch data set'!N155+'[1]McCulloch data set'!O155)/2/100)^6+1/(1+('[1]McCulloch data set'!N155+'[1]McCulloch data set'!O155)/2/100)^7+1/(1+('[1]McCulloch data set'!N155+'[1]McCulloch data set'!O155)/2/100)^8+1/(1+('[1]McCulloch data set'!N155+'[1]McCulloch data set'!O155)/2/100)^9+1/(1+('[1]McCulloch data set'!O155/100)^10))</f>
        <v>4.2086291083416529E-2</v>
      </c>
    </row>
    <row r="158" spans="1:3" ht="13.8" x14ac:dyDescent="0.25">
      <c r="A158" s="4" t="s">
        <v>170</v>
      </c>
      <c r="B158" s="12">
        <f>(1-1/(1+'[1]McCulloch data set'!N156/100)^5)/((1/(1+'[1]McCulloch data set'!J156/100))+1/(1+'[1]McCulloch data set'!K156/100)^2+1/(1+'[1]McCulloch data set'!L156/100)^3+1/(1+'[1]McCulloch data set'!M156/100)^4+1/(1+'[1]McCulloch data set'!N156/100)^5)</f>
        <v>4.567592356062769E-2</v>
      </c>
      <c r="C158" s="12">
        <f>(1-1/(1+'[1]McCulloch data set'!N156/100)^10)/((1/(1+'[1]McCulloch data set'!J156/100))+1/(1+'[1]McCulloch data set'!K156/100)^2+1/(1+'[1]McCulloch data set'!L156/100)^3+1/(1+'[1]McCulloch data set'!M156/100)^4+1/(1+'[1]McCulloch data set'!N156/100)^5+1/(1+('[1]McCulloch data set'!N156+'[1]McCulloch data set'!O156)/2/100)^6+1/(1+('[1]McCulloch data set'!N156+'[1]McCulloch data set'!O156)/2/100)^7+1/(1+('[1]McCulloch data set'!N156+'[1]McCulloch data set'!O156)/2/100)^8+1/(1+('[1]McCulloch data set'!N156+'[1]McCulloch data set'!O156)/2/100)^9+1/(1+('[1]McCulloch data set'!O156/100)^10))</f>
        <v>4.3639216457388635E-2</v>
      </c>
    </row>
    <row r="159" spans="1:3" ht="13.8" x14ac:dyDescent="0.25">
      <c r="A159" s="4" t="s">
        <v>171</v>
      </c>
      <c r="B159" s="12">
        <f>(1-1/(1+'[1]McCulloch data set'!N157/100)^5)/((1/(1+'[1]McCulloch data set'!J157/100))+1/(1+'[1]McCulloch data set'!K157/100)^2+1/(1+'[1]McCulloch data set'!L157/100)^3+1/(1+'[1]McCulloch data set'!M157/100)^4+1/(1+'[1]McCulloch data set'!N157/100)^5)</f>
        <v>4.6592676868165789E-2</v>
      </c>
      <c r="C159" s="12">
        <f>(1-1/(1+'[1]McCulloch data set'!N157/100)^10)/((1/(1+'[1]McCulloch data set'!J157/100))+1/(1+'[1]McCulloch data set'!K157/100)^2+1/(1+'[1]McCulloch data set'!L157/100)^3+1/(1+'[1]McCulloch data set'!M157/100)^4+1/(1+'[1]McCulloch data set'!N157/100)^5+1/(1+('[1]McCulloch data set'!N157+'[1]McCulloch data set'!O157)/2/100)^6+1/(1+('[1]McCulloch data set'!N157+'[1]McCulloch data set'!O157)/2/100)^7+1/(1+('[1]McCulloch data set'!N157+'[1]McCulloch data set'!O157)/2/100)^8+1/(1+('[1]McCulloch data set'!N157+'[1]McCulloch data set'!O157)/2/100)^9+1/(1+('[1]McCulloch data set'!O157/100)^10))</f>
        <v>4.4463028215018838E-2</v>
      </c>
    </row>
    <row r="160" spans="1:3" ht="13.8" x14ac:dyDescent="0.25">
      <c r="A160" s="4" t="s">
        <v>172</v>
      </c>
      <c r="B160" s="12">
        <f>(1-1/(1+'[1]McCulloch data set'!N158/100)^5)/((1/(1+'[1]McCulloch data set'!J158/100))+1/(1+'[1]McCulloch data set'!K158/100)^2+1/(1+'[1]McCulloch data set'!L158/100)^3+1/(1+'[1]McCulloch data set'!M158/100)^4+1/(1+'[1]McCulloch data set'!N158/100)^5)</f>
        <v>4.6932998667528654E-2</v>
      </c>
      <c r="C160" s="12">
        <f>(1-1/(1+'[1]McCulloch data set'!N158/100)^10)/((1/(1+'[1]McCulloch data set'!J158/100))+1/(1+'[1]McCulloch data set'!K158/100)^2+1/(1+'[1]McCulloch data set'!L158/100)^3+1/(1+'[1]McCulloch data set'!M158/100)^4+1/(1+'[1]McCulloch data set'!N158/100)^5+1/(1+('[1]McCulloch data set'!N158+'[1]McCulloch data set'!O158)/2/100)^6+1/(1+('[1]McCulloch data set'!N158+'[1]McCulloch data set'!O158)/2/100)^7+1/(1+('[1]McCulloch data set'!N158+'[1]McCulloch data set'!O158)/2/100)^8+1/(1+('[1]McCulloch data set'!N158+'[1]McCulloch data set'!O158)/2/100)^9+1/(1+('[1]McCulloch data set'!O158/100)^10))</f>
        <v>4.469414534962269E-2</v>
      </c>
    </row>
    <row r="161" spans="1:3" ht="13.8" x14ac:dyDescent="0.25">
      <c r="A161" s="4" t="s">
        <v>173</v>
      </c>
      <c r="B161" s="12">
        <f>(1-1/(1+'[1]McCulloch data set'!N159/100)^5)/((1/(1+'[1]McCulloch data set'!J159/100))+1/(1+'[1]McCulloch data set'!K159/100)^2+1/(1+'[1]McCulloch data set'!L159/100)^3+1/(1+'[1]McCulloch data set'!M159/100)^4+1/(1+'[1]McCulloch data set'!N159/100)^5)</f>
        <v>4.6730048482606625E-2</v>
      </c>
      <c r="C161" s="12">
        <f>(1-1/(1+'[1]McCulloch data set'!N159/100)^10)/((1/(1+'[1]McCulloch data set'!J159/100))+1/(1+'[1]McCulloch data set'!K159/100)^2+1/(1+'[1]McCulloch data set'!L159/100)^3+1/(1+'[1]McCulloch data set'!M159/100)^4+1/(1+'[1]McCulloch data set'!N159/100)^5+1/(1+('[1]McCulloch data set'!N159+'[1]McCulloch data set'!O159)/2/100)^6+1/(1+('[1]McCulloch data set'!N159+'[1]McCulloch data set'!O159)/2/100)^7+1/(1+('[1]McCulloch data set'!N159+'[1]McCulloch data set'!O159)/2/100)^8+1/(1+('[1]McCulloch data set'!N159+'[1]McCulloch data set'!O159)/2/100)^9+1/(1+('[1]McCulloch data set'!O159/100)^10))</f>
        <v>4.4596922693320398E-2</v>
      </c>
    </row>
    <row r="162" spans="1:3" ht="13.8" x14ac:dyDescent="0.25">
      <c r="A162" s="4" t="s">
        <v>174</v>
      </c>
      <c r="B162" s="12">
        <f>(1-1/(1+'[1]McCulloch data set'!N160/100)^5)/((1/(1+'[1]McCulloch data set'!J160/100))+1/(1+'[1]McCulloch data set'!K160/100)^2+1/(1+'[1]McCulloch data set'!L160/100)^3+1/(1+'[1]McCulloch data set'!M160/100)^4+1/(1+'[1]McCulloch data set'!N160/100)^5)</f>
        <v>4.8293219514883606E-2</v>
      </c>
      <c r="C162" s="12">
        <f>(1-1/(1+'[1]McCulloch data set'!N160/100)^10)/((1/(1+'[1]McCulloch data set'!J160/100))+1/(1+'[1]McCulloch data set'!K160/100)^2+1/(1+'[1]McCulloch data set'!L160/100)^3+1/(1+'[1]McCulloch data set'!M160/100)^4+1/(1+'[1]McCulloch data set'!N160/100)^5+1/(1+('[1]McCulloch data set'!N160+'[1]McCulloch data set'!O160)/2/100)^6+1/(1+('[1]McCulloch data set'!N160+'[1]McCulloch data set'!O160)/2/100)^7+1/(1+('[1]McCulloch data set'!N160+'[1]McCulloch data set'!O160)/2/100)^8+1/(1+('[1]McCulloch data set'!N160+'[1]McCulloch data set'!O160)/2/100)^9+1/(1+('[1]McCulloch data set'!O160/100)^10))</f>
        <v>4.5896075534260082E-2</v>
      </c>
    </row>
    <row r="163" spans="1:3" ht="13.8" x14ac:dyDescent="0.25">
      <c r="A163" s="4" t="s">
        <v>175</v>
      </c>
      <c r="B163" s="12">
        <f>(1-1/(1+'[1]McCulloch data set'!N161/100)^5)/((1/(1+'[1]McCulloch data set'!J161/100))+1/(1+'[1]McCulloch data set'!K161/100)^2+1/(1+'[1]McCulloch data set'!L161/100)^3+1/(1+'[1]McCulloch data set'!M161/100)^4+1/(1+'[1]McCulloch data set'!N161/100)^5)</f>
        <v>4.8174215841713421E-2</v>
      </c>
      <c r="C163" s="12">
        <f>(1-1/(1+'[1]McCulloch data set'!N161/100)^10)/((1/(1+'[1]McCulloch data set'!J161/100))+1/(1+'[1]McCulloch data set'!K161/100)^2+1/(1+'[1]McCulloch data set'!L161/100)^3+1/(1+'[1]McCulloch data set'!M161/100)^4+1/(1+'[1]McCulloch data set'!N161/100)^5+1/(1+('[1]McCulloch data set'!N161+'[1]McCulloch data set'!O161)/2/100)^6+1/(1+('[1]McCulloch data set'!N161+'[1]McCulloch data set'!O161)/2/100)^7+1/(1+('[1]McCulloch data set'!N161+'[1]McCulloch data set'!O161)/2/100)^8+1/(1+('[1]McCulloch data set'!N161+'[1]McCulloch data set'!O161)/2/100)^9+1/(1+('[1]McCulloch data set'!O161/100)^10))</f>
        <v>4.5868330595748241E-2</v>
      </c>
    </row>
    <row r="164" spans="1:3" ht="13.8" x14ac:dyDescent="0.25">
      <c r="A164" s="4" t="s">
        <v>176</v>
      </c>
      <c r="B164" s="12">
        <f>(1-1/(1+'[1]McCulloch data set'!N162/100)^5)/((1/(1+'[1]McCulloch data set'!J162/100))+1/(1+'[1]McCulloch data set'!K162/100)^2+1/(1+'[1]McCulloch data set'!L162/100)^3+1/(1+'[1]McCulloch data set'!M162/100)^4+1/(1+'[1]McCulloch data set'!N162/100)^5)</f>
        <v>4.7563918976074031E-2</v>
      </c>
      <c r="C164" s="12">
        <f>(1-1/(1+'[1]McCulloch data set'!N162/100)^10)/((1/(1+'[1]McCulloch data set'!J162/100))+1/(1+'[1]McCulloch data set'!K162/100)^2+1/(1+'[1]McCulloch data set'!L162/100)^3+1/(1+'[1]McCulloch data set'!M162/100)^4+1/(1+'[1]McCulloch data set'!N162/100)^5+1/(1+('[1]McCulloch data set'!N162+'[1]McCulloch data set'!O162)/2/100)^6+1/(1+('[1]McCulloch data set'!N162+'[1]McCulloch data set'!O162)/2/100)^7+1/(1+('[1]McCulloch data set'!N162+'[1]McCulloch data set'!O162)/2/100)^8+1/(1+('[1]McCulloch data set'!N162+'[1]McCulloch data set'!O162)/2/100)^9+1/(1+('[1]McCulloch data set'!O162/100)^10))</f>
        <v>4.5346378245292612E-2</v>
      </c>
    </row>
    <row r="165" spans="1:3" ht="13.8" x14ac:dyDescent="0.25">
      <c r="A165" s="4" t="s">
        <v>177</v>
      </c>
      <c r="B165" s="12">
        <f>(1-1/(1+'[1]McCulloch data set'!N163/100)^5)/((1/(1+'[1]McCulloch data set'!J163/100))+1/(1+'[1]McCulloch data set'!K163/100)^2+1/(1+'[1]McCulloch data set'!L163/100)^3+1/(1+'[1]McCulloch data set'!M163/100)^4+1/(1+'[1]McCulloch data set'!N163/100)^5)</f>
        <v>4.5956018173146193E-2</v>
      </c>
      <c r="C165" s="12">
        <f>(1-1/(1+'[1]McCulloch data set'!N163/100)^10)/((1/(1+'[1]McCulloch data set'!J163/100))+1/(1+'[1]McCulloch data set'!K163/100)^2+1/(1+'[1]McCulloch data set'!L163/100)^3+1/(1+'[1]McCulloch data set'!M163/100)^4+1/(1+'[1]McCulloch data set'!N163/100)^5+1/(1+('[1]McCulloch data set'!N163+'[1]McCulloch data set'!O163)/2/100)^6+1/(1+('[1]McCulloch data set'!N163+'[1]McCulloch data set'!O163)/2/100)^7+1/(1+('[1]McCulloch data set'!N163+'[1]McCulloch data set'!O163)/2/100)^8+1/(1+('[1]McCulloch data set'!N163+'[1]McCulloch data set'!O163)/2/100)^9+1/(1+('[1]McCulloch data set'!O163/100)^10))</f>
        <v>4.3846013417327905E-2</v>
      </c>
    </row>
    <row r="166" spans="1:3" ht="13.8" x14ac:dyDescent="0.25">
      <c r="A166" s="4" t="s">
        <v>178</v>
      </c>
      <c r="B166" s="12">
        <f>(1-1/(1+'[1]McCulloch data set'!N164/100)^5)/((1/(1+'[1]McCulloch data set'!J164/100))+1/(1+'[1]McCulloch data set'!K164/100)^2+1/(1+'[1]McCulloch data set'!L164/100)^3+1/(1+'[1]McCulloch data set'!M164/100)^4+1/(1+'[1]McCulloch data set'!N164/100)^5)</f>
        <v>4.0188111614214449E-2</v>
      </c>
      <c r="C166" s="12">
        <f>(1-1/(1+'[1]McCulloch data set'!N164/100)^10)/((1/(1+'[1]McCulloch data set'!J164/100))+1/(1+'[1]McCulloch data set'!K164/100)^2+1/(1+'[1]McCulloch data set'!L164/100)^3+1/(1+'[1]McCulloch data set'!M164/100)^4+1/(1+'[1]McCulloch data set'!N164/100)^5+1/(1+('[1]McCulloch data set'!N164+'[1]McCulloch data set'!O164)/2/100)^6+1/(1+('[1]McCulloch data set'!N164+'[1]McCulloch data set'!O164)/2/100)^7+1/(1+('[1]McCulloch data set'!N164+'[1]McCulloch data set'!O164)/2/100)^8+1/(1+('[1]McCulloch data set'!N164+'[1]McCulloch data set'!O164)/2/100)^9+1/(1+('[1]McCulloch data set'!O164/100)^10))</f>
        <v>3.8701511550923128E-2</v>
      </c>
    </row>
    <row r="167" spans="1:3" ht="13.8" x14ac:dyDescent="0.25">
      <c r="A167" s="4" t="s">
        <v>179</v>
      </c>
      <c r="B167" s="12">
        <f>(1-1/(1+'[1]McCulloch data set'!N165/100)^5)/((1/(1+'[1]McCulloch data set'!J165/100))+1/(1+'[1]McCulloch data set'!K165/100)^2+1/(1+'[1]McCulloch data set'!L165/100)^3+1/(1+'[1]McCulloch data set'!M165/100)^4+1/(1+'[1]McCulloch data set'!N165/100)^5)</f>
        <v>4.4782740779039168E-2</v>
      </c>
      <c r="C167" s="12">
        <f>(1-1/(1+'[1]McCulloch data set'!N165/100)^10)/((1/(1+'[1]McCulloch data set'!J165/100))+1/(1+'[1]McCulloch data set'!K165/100)^2+1/(1+'[1]McCulloch data set'!L165/100)^3+1/(1+'[1]McCulloch data set'!M165/100)^4+1/(1+'[1]McCulloch data set'!N165/100)^5+1/(1+('[1]McCulloch data set'!N165+'[1]McCulloch data set'!O165)/2/100)^6+1/(1+('[1]McCulloch data set'!N165+'[1]McCulloch data set'!O165)/2/100)^7+1/(1+('[1]McCulloch data set'!N165+'[1]McCulloch data set'!O165)/2/100)^8+1/(1+('[1]McCulloch data set'!N165+'[1]McCulloch data set'!O165)/2/100)^9+1/(1+('[1]McCulloch data set'!O165/100)^10))</f>
        <v>4.2831125580611917E-2</v>
      </c>
    </row>
    <row r="168" spans="1:3" ht="13.8" x14ac:dyDescent="0.25">
      <c r="A168" s="4" t="s">
        <v>180</v>
      </c>
      <c r="B168" s="12">
        <f>(1-1/(1+'[1]McCulloch data set'!N166/100)^5)/((1/(1+'[1]McCulloch data set'!J166/100))+1/(1+'[1]McCulloch data set'!K166/100)^2+1/(1+'[1]McCulloch data set'!L166/100)^3+1/(1+'[1]McCulloch data set'!M166/100)^4+1/(1+'[1]McCulloch data set'!N166/100)^5)</f>
        <v>4.3021717619912636E-2</v>
      </c>
      <c r="C168" s="12">
        <f>(1-1/(1+'[1]McCulloch data set'!N166/100)^10)/((1/(1+'[1]McCulloch data set'!J166/100))+1/(1+'[1]McCulloch data set'!K166/100)^2+1/(1+'[1]McCulloch data set'!L166/100)^3+1/(1+'[1]McCulloch data set'!M166/100)^4+1/(1+'[1]McCulloch data set'!N166/100)^5+1/(1+('[1]McCulloch data set'!N166+'[1]McCulloch data set'!O166)/2/100)^6+1/(1+('[1]McCulloch data set'!N166+'[1]McCulloch data set'!O166)/2/100)^7+1/(1+('[1]McCulloch data set'!N166+'[1]McCulloch data set'!O166)/2/100)^8+1/(1+('[1]McCulloch data set'!N166+'[1]McCulloch data set'!O166)/2/100)^9+1/(1+('[1]McCulloch data set'!O166/100)^10))</f>
        <v>4.119674843289263E-2</v>
      </c>
    </row>
    <row r="169" spans="1:3" ht="13.8" x14ac:dyDescent="0.25">
      <c r="A169" s="4" t="s">
        <v>181</v>
      </c>
      <c r="B169" s="12">
        <f>(1-1/(1+'[1]McCulloch data set'!N167/100)^5)/((1/(1+'[1]McCulloch data set'!J167/100))+1/(1+'[1]McCulloch data set'!K167/100)^2+1/(1+'[1]McCulloch data set'!L167/100)^3+1/(1+'[1]McCulloch data set'!M167/100)^4+1/(1+'[1]McCulloch data set'!N167/100)^5)</f>
        <v>3.9748742729013825E-2</v>
      </c>
      <c r="C169" s="12">
        <f>(1-1/(1+'[1]McCulloch data set'!N167/100)^10)/((1/(1+'[1]McCulloch data set'!J167/100))+1/(1+'[1]McCulloch data set'!K167/100)^2+1/(1+'[1]McCulloch data set'!L167/100)^3+1/(1+'[1]McCulloch data set'!M167/100)^4+1/(1+'[1]McCulloch data set'!N167/100)^5+1/(1+('[1]McCulloch data set'!N167+'[1]McCulloch data set'!O167)/2/100)^6+1/(1+('[1]McCulloch data set'!N167+'[1]McCulloch data set'!O167)/2/100)^7+1/(1+('[1]McCulloch data set'!N167+'[1]McCulloch data set'!O167)/2/100)^8+1/(1+('[1]McCulloch data set'!N167+'[1]McCulloch data set'!O167)/2/100)^9+1/(1+('[1]McCulloch data set'!O167/100)^10))</f>
        <v>3.8393731652440408E-2</v>
      </c>
    </row>
    <row r="170" spans="1:3" ht="13.8" x14ac:dyDescent="0.25">
      <c r="A170" s="4" t="s">
        <v>182</v>
      </c>
      <c r="B170" s="12">
        <f>(1-1/(1+'[1]McCulloch data set'!N168/100)^5)/((1/(1+'[1]McCulloch data set'!J168/100))+1/(1+'[1]McCulloch data set'!K168/100)^2+1/(1+'[1]McCulloch data set'!L168/100)^3+1/(1+'[1]McCulloch data set'!M168/100)^4+1/(1+'[1]McCulloch data set'!N168/100)^5)</f>
        <v>3.4554168456747657E-2</v>
      </c>
      <c r="C170" s="12">
        <f>(1-1/(1+'[1]McCulloch data set'!N168/100)^10)/((1/(1+'[1]McCulloch data set'!J168/100))+1/(1+'[1]McCulloch data set'!K168/100)^2+1/(1+'[1]McCulloch data set'!L168/100)^3+1/(1+'[1]McCulloch data set'!M168/100)^4+1/(1+'[1]McCulloch data set'!N168/100)^5+1/(1+('[1]McCulloch data set'!N168+'[1]McCulloch data set'!O168)/2/100)^6+1/(1+('[1]McCulloch data set'!N168+'[1]McCulloch data set'!O168)/2/100)^7+1/(1+('[1]McCulloch data set'!N168+'[1]McCulloch data set'!O168)/2/100)^8+1/(1+('[1]McCulloch data set'!N168+'[1]McCulloch data set'!O168)/2/100)^9+1/(1+('[1]McCulloch data set'!O168/100)^10))</f>
        <v>3.361326638184655E-2</v>
      </c>
    </row>
    <row r="171" spans="1:3" ht="13.8" x14ac:dyDescent="0.25">
      <c r="A171" s="4" t="s">
        <v>183</v>
      </c>
      <c r="B171" s="12">
        <f>(1-1/(1+'[1]McCulloch data set'!N169/100)^5)/((1/(1+'[1]McCulloch data set'!J169/100))+1/(1+'[1]McCulloch data set'!K169/100)^2+1/(1+'[1]McCulloch data set'!L169/100)^3+1/(1+'[1]McCulloch data set'!M169/100)^4+1/(1+'[1]McCulloch data set'!N169/100)^5)</f>
        <v>3.5411568783301373E-2</v>
      </c>
      <c r="C171" s="12">
        <f>(1-1/(1+'[1]McCulloch data set'!N169/100)^10)/((1/(1+'[1]McCulloch data set'!J169/100))+1/(1+'[1]McCulloch data set'!K169/100)^2+1/(1+'[1]McCulloch data set'!L169/100)^3+1/(1+'[1]McCulloch data set'!M169/100)^4+1/(1+'[1]McCulloch data set'!N169/100)^5+1/(1+('[1]McCulloch data set'!N169+'[1]McCulloch data set'!O169)/2/100)^6+1/(1+('[1]McCulloch data set'!N169+'[1]McCulloch data set'!O169)/2/100)^7+1/(1+('[1]McCulloch data set'!N169+'[1]McCulloch data set'!O169)/2/100)^8+1/(1+('[1]McCulloch data set'!N169+'[1]McCulloch data set'!O169)/2/100)^9+1/(1+('[1]McCulloch data set'!O169/100)^10))</f>
        <v>3.4416928067324458E-2</v>
      </c>
    </row>
    <row r="172" spans="1:3" ht="13.8" x14ac:dyDescent="0.25">
      <c r="A172" s="4" t="s">
        <v>184</v>
      </c>
      <c r="B172" s="12">
        <f>(1-1/(1+'[1]McCulloch data set'!N170/100)^5)/((1/(1+'[1]McCulloch data set'!J170/100))+1/(1+'[1]McCulloch data set'!K170/100)^2+1/(1+'[1]McCulloch data set'!L170/100)^3+1/(1+'[1]McCulloch data set'!M170/100)^4+1/(1+'[1]McCulloch data set'!N170/100)^5)</f>
        <v>3.5674188723922411E-2</v>
      </c>
      <c r="C172" s="12">
        <f>(1-1/(1+'[1]McCulloch data set'!N170/100)^10)/((1/(1+'[1]McCulloch data set'!J170/100))+1/(1+'[1]McCulloch data set'!K170/100)^2+1/(1+'[1]McCulloch data set'!L170/100)^3+1/(1+'[1]McCulloch data set'!M170/100)^4+1/(1+'[1]McCulloch data set'!N170/100)^5+1/(1+('[1]McCulloch data set'!N170+'[1]McCulloch data set'!O170)/2/100)^6+1/(1+('[1]McCulloch data set'!N170+'[1]McCulloch data set'!O170)/2/100)^7+1/(1+('[1]McCulloch data set'!N170+'[1]McCulloch data set'!O170)/2/100)^8+1/(1+('[1]McCulloch data set'!N170+'[1]McCulloch data set'!O170)/2/100)^9+1/(1+('[1]McCulloch data set'!O170/100)^10))</f>
        <v>3.4638525193556223E-2</v>
      </c>
    </row>
    <row r="173" spans="1:3" ht="13.8" x14ac:dyDescent="0.25">
      <c r="A173" s="4" t="s">
        <v>185</v>
      </c>
      <c r="B173" s="12">
        <f>(1-1/(1+'[1]McCulloch data set'!N171/100)^5)/((1/(1+'[1]McCulloch data set'!J171/100))+1/(1+'[1]McCulloch data set'!K171/100)^2+1/(1+'[1]McCulloch data set'!L171/100)^3+1/(1+'[1]McCulloch data set'!M171/100)^4+1/(1+'[1]McCulloch data set'!N171/100)^5)</f>
        <v>3.636643601157364E-2</v>
      </c>
      <c r="C173" s="12">
        <f>(1-1/(1+'[1]McCulloch data set'!N171/100)^10)/((1/(1+'[1]McCulloch data set'!J171/100))+1/(1+'[1]McCulloch data set'!K171/100)^2+1/(1+'[1]McCulloch data set'!L171/100)^3+1/(1+'[1]McCulloch data set'!M171/100)^4+1/(1+'[1]McCulloch data set'!N171/100)^5+1/(1+('[1]McCulloch data set'!N171+'[1]McCulloch data set'!O171)/2/100)^6+1/(1+('[1]McCulloch data set'!N171+'[1]McCulloch data set'!O171)/2/100)^7+1/(1+('[1]McCulloch data set'!N171+'[1]McCulloch data set'!O171)/2/100)^8+1/(1+('[1]McCulloch data set'!N171+'[1]McCulloch data set'!O171)/2/100)^9+1/(1+('[1]McCulloch data set'!O171/100)^10))</f>
        <v>3.5296948968174001E-2</v>
      </c>
    </row>
    <row r="174" spans="1:3" ht="13.8" x14ac:dyDescent="0.25">
      <c r="A174" s="4" t="s">
        <v>186</v>
      </c>
      <c r="B174" s="12">
        <f>(1-1/(1+'[1]McCulloch data set'!N172/100)^5)/((1/(1+'[1]McCulloch data set'!J172/100))+1/(1+'[1]McCulloch data set'!K172/100)^2+1/(1+'[1]McCulloch data set'!L172/100)^3+1/(1+'[1]McCulloch data set'!M172/100)^4+1/(1+'[1]McCulloch data set'!N172/100)^5)</f>
        <v>3.7868031684587099E-2</v>
      </c>
      <c r="C174" s="12">
        <f>(1-1/(1+'[1]McCulloch data set'!N172/100)^10)/((1/(1+'[1]McCulloch data set'!J172/100))+1/(1+'[1]McCulloch data set'!K172/100)^2+1/(1+'[1]McCulloch data set'!L172/100)^3+1/(1+'[1]McCulloch data set'!M172/100)^4+1/(1+'[1]McCulloch data set'!N172/100)^5+1/(1+('[1]McCulloch data set'!N172+'[1]McCulloch data set'!O172)/2/100)^6+1/(1+('[1]McCulloch data set'!N172+'[1]McCulloch data set'!O172)/2/100)^7+1/(1+('[1]McCulloch data set'!N172+'[1]McCulloch data set'!O172)/2/100)^8+1/(1+('[1]McCulloch data set'!N172+'[1]McCulloch data set'!O172)/2/100)^9+1/(1+('[1]McCulloch data set'!O172/100)^10))</f>
        <v>3.6672032115625502E-2</v>
      </c>
    </row>
    <row r="175" spans="1:3" ht="13.8" x14ac:dyDescent="0.25">
      <c r="A175" s="4" t="s">
        <v>187</v>
      </c>
      <c r="B175" s="12">
        <f>(1-1/(1+'[1]McCulloch data set'!N173/100)^5)/((1/(1+'[1]McCulloch data set'!J173/100))+1/(1+'[1]McCulloch data set'!K173/100)^2+1/(1+'[1]McCulloch data set'!L173/100)^3+1/(1+'[1]McCulloch data set'!M173/100)^4+1/(1+'[1]McCulloch data set'!N173/100)^5)</f>
        <v>3.4160770596964894E-2</v>
      </c>
      <c r="C175" s="12">
        <f>(1-1/(1+'[1]McCulloch data set'!N173/100)^10)/((1/(1+'[1]McCulloch data set'!J173/100))+1/(1+'[1]McCulloch data set'!K173/100)^2+1/(1+'[1]McCulloch data set'!L173/100)^3+1/(1+'[1]McCulloch data set'!M173/100)^4+1/(1+'[1]McCulloch data set'!N173/100)^5+1/(1+('[1]McCulloch data set'!N173+'[1]McCulloch data set'!O173)/2/100)^6+1/(1+('[1]McCulloch data set'!N173+'[1]McCulloch data set'!O173)/2/100)^7+1/(1+('[1]McCulloch data set'!N173+'[1]McCulloch data set'!O173)/2/100)^8+1/(1+('[1]McCulloch data set'!N173+'[1]McCulloch data set'!O173)/2/100)^9+1/(1+('[1]McCulloch data set'!O173/100)^10))</f>
        <v>3.3266842921382621E-2</v>
      </c>
    </row>
    <row r="176" spans="1:3" ht="13.8" x14ac:dyDescent="0.25">
      <c r="A176" s="4" t="s">
        <v>188</v>
      </c>
      <c r="B176" s="12">
        <f>(1-1/(1+'[1]McCulloch data set'!N174/100)^5)/((1/(1+'[1]McCulloch data set'!J174/100))+1/(1+'[1]McCulloch data set'!K174/100)^2+1/(1+'[1]McCulloch data set'!L174/100)^3+1/(1+'[1]McCulloch data set'!M174/100)^4+1/(1+'[1]McCulloch data set'!N174/100)^5)</f>
        <v>3.6279841292372141E-2</v>
      </c>
      <c r="C176" s="12">
        <f>(1-1/(1+'[1]McCulloch data set'!N174/100)^10)/((1/(1+'[1]McCulloch data set'!J174/100))+1/(1+'[1]McCulloch data set'!K174/100)^2+1/(1+'[1]McCulloch data set'!L174/100)^3+1/(1+'[1]McCulloch data set'!M174/100)^4+1/(1+'[1]McCulloch data set'!N174/100)^5+1/(1+('[1]McCulloch data set'!N174+'[1]McCulloch data set'!O174)/2/100)^6+1/(1+('[1]McCulloch data set'!N174+'[1]McCulloch data set'!O174)/2/100)^7+1/(1+('[1]McCulloch data set'!N174+'[1]McCulloch data set'!O174)/2/100)^8+1/(1+('[1]McCulloch data set'!N174+'[1]McCulloch data set'!O174)/2/100)^9+1/(1+('[1]McCulloch data set'!O174/100)^10))</f>
        <v>3.5192580301411702E-2</v>
      </c>
    </row>
    <row r="177" spans="1:3" ht="13.8" x14ac:dyDescent="0.25">
      <c r="A177" s="4" t="s">
        <v>189</v>
      </c>
      <c r="B177" s="12">
        <f>(1-1/(1+'[1]McCulloch data set'!N175/100)^5)/((1/(1+'[1]McCulloch data set'!J175/100))+1/(1+'[1]McCulloch data set'!K175/100)^2+1/(1+'[1]McCulloch data set'!L175/100)^3+1/(1+'[1]McCulloch data set'!M175/100)^4+1/(1+'[1]McCulloch data set'!N175/100)^5)</f>
        <v>3.5153896920359938E-2</v>
      </c>
      <c r="C177" s="12">
        <f>(1-1/(1+'[1]McCulloch data set'!N175/100)^10)/((1/(1+'[1]McCulloch data set'!J175/100))+1/(1+'[1]McCulloch data set'!K175/100)^2+1/(1+'[1]McCulloch data set'!L175/100)^3+1/(1+'[1]McCulloch data set'!M175/100)^4+1/(1+'[1]McCulloch data set'!N175/100)^5+1/(1+('[1]McCulloch data set'!N175+'[1]McCulloch data set'!O175)/2/100)^6+1/(1+('[1]McCulloch data set'!N175+'[1]McCulloch data set'!O175)/2/100)^7+1/(1+('[1]McCulloch data set'!N175+'[1]McCulloch data set'!O175)/2/100)^8+1/(1+('[1]McCulloch data set'!N175+'[1]McCulloch data set'!O175)/2/100)^9+1/(1+('[1]McCulloch data set'!O175/100)^10))</f>
        <v>3.4109827238894878E-2</v>
      </c>
    </row>
    <row r="178" spans="1:3" ht="13.8" x14ac:dyDescent="0.25">
      <c r="A178" s="4" t="s">
        <v>190</v>
      </c>
      <c r="B178" s="12">
        <f>(1-1/(1+'[1]McCulloch data set'!N176/100)^5)/((1/(1+'[1]McCulloch data set'!J176/100))+1/(1+'[1]McCulloch data set'!K176/100)^2+1/(1+'[1]McCulloch data set'!L176/100)^3+1/(1+'[1]McCulloch data set'!M176/100)^4+1/(1+'[1]McCulloch data set'!N176/100)^5)</f>
        <v>3.5377587318940952E-2</v>
      </c>
      <c r="C178" s="12">
        <f>(1-1/(1+'[1]McCulloch data set'!N176/100)^10)/((1/(1+'[1]McCulloch data set'!J176/100))+1/(1+'[1]McCulloch data set'!K176/100)^2+1/(1+'[1]McCulloch data set'!L176/100)^3+1/(1+'[1]McCulloch data set'!M176/100)^4+1/(1+'[1]McCulloch data set'!N176/100)^5+1/(1+('[1]McCulloch data set'!N176+'[1]McCulloch data set'!O176)/2/100)^6+1/(1+('[1]McCulloch data set'!N176+'[1]McCulloch data set'!O176)/2/100)^7+1/(1+('[1]McCulloch data set'!N176+'[1]McCulloch data set'!O176)/2/100)^8+1/(1+('[1]McCulloch data set'!N176+'[1]McCulloch data set'!O176)/2/100)^9+1/(1+('[1]McCulloch data set'!O176/100)^10))</f>
        <v>3.4377526486427328E-2</v>
      </c>
    </row>
    <row r="179" spans="1:3" ht="13.8" x14ac:dyDescent="0.25">
      <c r="A179" s="4" t="s">
        <v>191</v>
      </c>
      <c r="B179" s="12">
        <f>(1-1/(1+'[1]McCulloch data set'!N177/100)^5)/((1/(1+'[1]McCulloch data set'!J177/100))+1/(1+'[1]McCulloch data set'!K177/100)^2+1/(1+'[1]McCulloch data set'!L177/100)^3+1/(1+'[1]McCulloch data set'!M177/100)^4+1/(1+'[1]McCulloch data set'!N177/100)^5)</f>
        <v>3.4510594482926038E-2</v>
      </c>
      <c r="C179" s="12">
        <f>(1-1/(1+'[1]McCulloch data set'!N177/100)^10)/((1/(1+'[1]McCulloch data set'!J177/100))+1/(1+'[1]McCulloch data set'!K177/100)^2+1/(1+'[1]McCulloch data set'!L177/100)^3+1/(1+'[1]McCulloch data set'!M177/100)^4+1/(1+'[1]McCulloch data set'!N177/100)^5+1/(1+('[1]McCulloch data set'!N177+'[1]McCulloch data set'!O177)/2/100)^6+1/(1+('[1]McCulloch data set'!N177+'[1]McCulloch data set'!O177)/2/100)^7+1/(1+('[1]McCulloch data set'!N177+'[1]McCulloch data set'!O177)/2/100)^8+1/(1+('[1]McCulloch data set'!N177+'[1]McCulloch data set'!O177)/2/100)^9+1/(1+('[1]McCulloch data set'!O177/100)^10))</f>
        <v>3.3565086652239694E-2</v>
      </c>
    </row>
    <row r="180" spans="1:3" ht="13.8" x14ac:dyDescent="0.25">
      <c r="A180" s="4" t="s">
        <v>192</v>
      </c>
      <c r="B180" s="12">
        <f>(1-1/(1+'[1]McCulloch data set'!N178/100)^5)/((1/(1+'[1]McCulloch data set'!J178/100))+1/(1+'[1]McCulloch data set'!K178/100)^2+1/(1+'[1]McCulloch data set'!L178/100)^3+1/(1+'[1]McCulloch data set'!M178/100)^4+1/(1+'[1]McCulloch data set'!N178/100)^5)</f>
        <v>3.5724521509346574E-2</v>
      </c>
      <c r="C180" s="12">
        <f>(1-1/(1+'[1]McCulloch data set'!N178/100)^10)/((1/(1+'[1]McCulloch data set'!J178/100))+1/(1+'[1]McCulloch data set'!K178/100)^2+1/(1+'[1]McCulloch data set'!L178/100)^3+1/(1+'[1]McCulloch data set'!M178/100)^4+1/(1+'[1]McCulloch data set'!N178/100)^5+1/(1+('[1]McCulloch data set'!N178+'[1]McCulloch data set'!O178)/2/100)^6+1/(1+('[1]McCulloch data set'!N178+'[1]McCulloch data set'!O178)/2/100)^7+1/(1+('[1]McCulloch data set'!N178+'[1]McCulloch data set'!O178)/2/100)^8+1/(1+('[1]McCulloch data set'!N178+'[1]McCulloch data set'!O178)/2/100)^9+1/(1+('[1]McCulloch data set'!O178/100)^10))</f>
        <v>3.4673179329505893E-2</v>
      </c>
    </row>
    <row r="181" spans="1:3" ht="13.8" x14ac:dyDescent="0.25">
      <c r="A181" s="4" t="s">
        <v>193</v>
      </c>
      <c r="B181" s="12">
        <f>(1-1/(1+'[1]McCulloch data set'!N179/100)^5)/((1/(1+'[1]McCulloch data set'!J179/100))+1/(1+'[1]McCulloch data set'!K179/100)^2+1/(1+'[1]McCulloch data set'!L179/100)^3+1/(1+'[1]McCulloch data set'!M179/100)^4+1/(1+'[1]McCulloch data set'!N179/100)^5)</f>
        <v>3.7094236446093526E-2</v>
      </c>
      <c r="C181" s="12">
        <f>(1-1/(1+'[1]McCulloch data set'!N179/100)^10)/((1/(1+'[1]McCulloch data set'!J179/100))+1/(1+'[1]McCulloch data set'!K179/100)^2+1/(1+'[1]McCulloch data set'!L179/100)^3+1/(1+'[1]McCulloch data set'!M179/100)^4+1/(1+'[1]McCulloch data set'!N179/100)^5+1/(1+('[1]McCulloch data set'!N179+'[1]McCulloch data set'!O179)/2/100)^6+1/(1+('[1]McCulloch data set'!N179+'[1]McCulloch data set'!O179)/2/100)^7+1/(1+('[1]McCulloch data set'!N179+'[1]McCulloch data set'!O179)/2/100)^8+1/(1+('[1]McCulloch data set'!N179+'[1]McCulloch data set'!O179)/2/100)^9+1/(1+('[1]McCulloch data set'!O179/100)^10))</f>
        <v>3.5931907877102293E-2</v>
      </c>
    </row>
    <row r="182" spans="1:3" ht="13.8" x14ac:dyDescent="0.25">
      <c r="A182" s="4" t="s">
        <v>194</v>
      </c>
      <c r="B182" s="12">
        <f>(1-1/(1+'[1]McCulloch data set'!N180/100)^5)/((1/(1+'[1]McCulloch data set'!J180/100))+1/(1+'[1]McCulloch data set'!K180/100)^2+1/(1+'[1]McCulloch data set'!L180/100)^3+1/(1+'[1]McCulloch data set'!M180/100)^4+1/(1+'[1]McCulloch data set'!N180/100)^5)</f>
        <v>3.842537287926704E-2</v>
      </c>
      <c r="C182" s="12">
        <f>(1-1/(1+'[1]McCulloch data set'!N180/100)^10)/((1/(1+'[1]McCulloch data set'!J180/100))+1/(1+'[1]McCulloch data set'!K180/100)^2+1/(1+'[1]McCulloch data set'!L180/100)^3+1/(1+'[1]McCulloch data set'!M180/100)^4+1/(1+'[1]McCulloch data set'!N180/100)^5+1/(1+('[1]McCulloch data set'!N180+'[1]McCulloch data set'!O180)/2/100)^6+1/(1+('[1]McCulloch data set'!N180+'[1]McCulloch data set'!O180)/2/100)^7+1/(1+('[1]McCulloch data set'!N180+'[1]McCulloch data set'!O180)/2/100)^8+1/(1+('[1]McCulloch data set'!N180+'[1]McCulloch data set'!O180)/2/100)^9+1/(1+('[1]McCulloch data set'!O180/100)^10))</f>
        <v>3.7179507556515945E-2</v>
      </c>
    </row>
    <row r="183" spans="1:3" ht="13.8" x14ac:dyDescent="0.25">
      <c r="A183" s="4" t="s">
        <v>195</v>
      </c>
      <c r="B183" s="12">
        <f>(1-1/(1+'[1]McCulloch data set'!N181/100)^5)/((1/(1+'[1]McCulloch data set'!J181/100))+1/(1+'[1]McCulloch data set'!K181/100)^2+1/(1+'[1]McCulloch data set'!L181/100)^3+1/(1+'[1]McCulloch data set'!M181/100)^4+1/(1+'[1]McCulloch data set'!N181/100)^5)</f>
        <v>3.8470115975773544E-2</v>
      </c>
      <c r="C183" s="12">
        <f>(1-1/(1+'[1]McCulloch data set'!N181/100)^10)/((1/(1+'[1]McCulloch data set'!J181/100))+1/(1+'[1]McCulloch data set'!K181/100)^2+1/(1+'[1]McCulloch data set'!L181/100)^3+1/(1+'[1]McCulloch data set'!M181/100)^4+1/(1+'[1]McCulloch data set'!N181/100)^5+1/(1+('[1]McCulloch data set'!N181+'[1]McCulloch data set'!O181)/2/100)^6+1/(1+('[1]McCulloch data set'!N181+'[1]McCulloch data set'!O181)/2/100)^7+1/(1+('[1]McCulloch data set'!N181+'[1]McCulloch data set'!O181)/2/100)^8+1/(1+('[1]McCulloch data set'!N181+'[1]McCulloch data set'!O181)/2/100)^9+1/(1+('[1]McCulloch data set'!O181/100)^10))</f>
        <v>3.7207128413128593E-2</v>
      </c>
    </row>
    <row r="184" spans="1:3" ht="13.8" x14ac:dyDescent="0.25">
      <c r="A184" s="4" t="s">
        <v>196</v>
      </c>
      <c r="B184" s="12">
        <f>(1-1/(1+'[1]McCulloch data set'!N182/100)^5)/((1/(1+'[1]McCulloch data set'!J182/100))+1/(1+'[1]McCulloch data set'!K182/100)^2+1/(1+'[1]McCulloch data set'!L182/100)^3+1/(1+'[1]McCulloch data set'!M182/100)^4+1/(1+'[1]McCulloch data set'!N182/100)^5)</f>
        <v>3.7212257505367982E-2</v>
      </c>
      <c r="C184" s="12">
        <f>(1-1/(1+'[1]McCulloch data set'!N182/100)^10)/((1/(1+'[1]McCulloch data set'!J182/100))+1/(1+'[1]McCulloch data set'!K182/100)^2+1/(1+'[1]McCulloch data set'!L182/100)^3+1/(1+'[1]McCulloch data set'!M182/100)^4+1/(1+'[1]McCulloch data set'!N182/100)^5+1/(1+('[1]McCulloch data set'!N182+'[1]McCulloch data set'!O182)/2/100)^6+1/(1+('[1]McCulloch data set'!N182+'[1]McCulloch data set'!O182)/2/100)^7+1/(1+('[1]McCulloch data set'!N182+'[1]McCulloch data set'!O182)/2/100)^8+1/(1+('[1]McCulloch data set'!N182+'[1]McCulloch data set'!O182)/2/100)^9+1/(1+('[1]McCulloch data set'!O182/100)^10))</f>
        <v>3.6015895003782578E-2</v>
      </c>
    </row>
    <row r="185" spans="1:3" ht="13.8" x14ac:dyDescent="0.25">
      <c r="A185" s="4" t="s">
        <v>197</v>
      </c>
      <c r="B185" s="12">
        <f>(1-1/(1+'[1]McCulloch data set'!N183/100)^5)/((1/(1+'[1]McCulloch data set'!J183/100))+1/(1+'[1]McCulloch data set'!K183/100)^2+1/(1+'[1]McCulloch data set'!L183/100)^3+1/(1+'[1]McCulloch data set'!M183/100)^4+1/(1+'[1]McCulloch data set'!N183/100)^5)</f>
        <v>3.6891516345517586E-2</v>
      </c>
      <c r="C185" s="12">
        <f>(1-1/(1+'[1]McCulloch data set'!N183/100)^10)/((1/(1+'[1]McCulloch data set'!J183/100))+1/(1+'[1]McCulloch data set'!K183/100)^2+1/(1+'[1]McCulloch data set'!L183/100)^3+1/(1+'[1]McCulloch data set'!M183/100)^4+1/(1+'[1]McCulloch data set'!N183/100)^5+1/(1+('[1]McCulloch data set'!N183+'[1]McCulloch data set'!O183)/2/100)^6+1/(1+('[1]McCulloch data set'!N183+'[1]McCulloch data set'!O183)/2/100)^7+1/(1+('[1]McCulloch data set'!N183+'[1]McCulloch data set'!O183)/2/100)^8+1/(1+('[1]McCulloch data set'!N183+'[1]McCulloch data set'!O183)/2/100)^9+1/(1+('[1]McCulloch data set'!O183/100)^10))</f>
        <v>3.5753366867792805E-2</v>
      </c>
    </row>
    <row r="186" spans="1:3" ht="13.8" x14ac:dyDescent="0.25">
      <c r="A186" s="4" t="s">
        <v>198</v>
      </c>
      <c r="B186" s="12">
        <f>(1-1/(1+'[1]McCulloch data set'!N184/100)^5)/((1/(1+'[1]McCulloch data set'!J184/100))+1/(1+'[1]McCulloch data set'!K184/100)^2+1/(1+'[1]McCulloch data set'!L184/100)^3+1/(1+'[1]McCulloch data set'!M184/100)^4+1/(1+'[1]McCulloch data set'!N184/100)^5)</f>
        <v>3.7774957583416209E-2</v>
      </c>
      <c r="C186" s="12">
        <f>(1-1/(1+'[1]McCulloch data set'!N184/100)^10)/((1/(1+'[1]McCulloch data set'!J184/100))+1/(1+'[1]McCulloch data set'!K184/100)^2+1/(1+'[1]McCulloch data set'!L184/100)^3+1/(1+'[1]McCulloch data set'!M184/100)^4+1/(1+'[1]McCulloch data set'!N184/100)^5+1/(1+('[1]McCulloch data set'!N184+'[1]McCulloch data set'!O184)/2/100)^6+1/(1+('[1]McCulloch data set'!N184+'[1]McCulloch data set'!O184)/2/100)^7+1/(1+('[1]McCulloch data set'!N184+'[1]McCulloch data set'!O184)/2/100)^8+1/(1+('[1]McCulloch data set'!N184+'[1]McCulloch data set'!O184)/2/100)^9+1/(1+('[1]McCulloch data set'!O184/100)^10))</f>
        <v>3.6605757861009225E-2</v>
      </c>
    </row>
    <row r="187" spans="1:3" ht="13.8" x14ac:dyDescent="0.25">
      <c r="A187" s="4" t="s">
        <v>199</v>
      </c>
      <c r="B187" s="12">
        <f>(1-1/(1+'[1]McCulloch data set'!N185/100)^5)/((1/(1+'[1]McCulloch data set'!J185/100))+1/(1+'[1]McCulloch data set'!K185/100)^2+1/(1+'[1]McCulloch data set'!L185/100)^3+1/(1+'[1]McCulloch data set'!M185/100)^4+1/(1+'[1]McCulloch data set'!N185/100)^5)</f>
        <v>3.8193945172035573E-2</v>
      </c>
      <c r="C187" s="12">
        <f>(1-1/(1+'[1]McCulloch data set'!N185/100)^10)/((1/(1+'[1]McCulloch data set'!J185/100))+1/(1+'[1]McCulloch data set'!K185/100)^2+1/(1+'[1]McCulloch data set'!L185/100)^3+1/(1+'[1]McCulloch data set'!M185/100)^4+1/(1+'[1]McCulloch data set'!N185/100)^5+1/(1+('[1]McCulloch data set'!N185+'[1]McCulloch data set'!O185)/2/100)^6+1/(1+('[1]McCulloch data set'!N185+'[1]McCulloch data set'!O185)/2/100)^7+1/(1+('[1]McCulloch data set'!N185+'[1]McCulloch data set'!O185)/2/100)^8+1/(1+('[1]McCulloch data set'!N185+'[1]McCulloch data set'!O185)/2/100)^9+1/(1+('[1]McCulloch data set'!O185/100)^10))</f>
        <v>3.6992213695813354E-2</v>
      </c>
    </row>
    <row r="188" spans="1:3" ht="13.8" x14ac:dyDescent="0.25">
      <c r="A188" s="4" t="s">
        <v>200</v>
      </c>
      <c r="B188" s="12">
        <f>(1-1/(1+'[1]McCulloch data set'!N186/100)^5)/((1/(1+'[1]McCulloch data set'!J186/100))+1/(1+'[1]McCulloch data set'!K186/100)^2+1/(1+'[1]McCulloch data set'!L186/100)^3+1/(1+'[1]McCulloch data set'!M186/100)^4+1/(1+'[1]McCulloch data set'!N186/100)^5)</f>
        <v>3.9289885887832963E-2</v>
      </c>
      <c r="C188" s="12">
        <f>(1-1/(1+'[1]McCulloch data set'!N186/100)^10)/((1/(1+'[1]McCulloch data set'!J186/100))+1/(1+'[1]McCulloch data set'!K186/100)^2+1/(1+'[1]McCulloch data set'!L186/100)^3+1/(1+'[1]McCulloch data set'!M186/100)^4+1/(1+'[1]McCulloch data set'!N186/100)^5+1/(1+('[1]McCulloch data set'!N186+'[1]McCulloch data set'!O186)/2/100)^6+1/(1+('[1]McCulloch data set'!N186+'[1]McCulloch data set'!O186)/2/100)^7+1/(1+('[1]McCulloch data set'!N186+'[1]McCulloch data set'!O186)/2/100)^8+1/(1+('[1]McCulloch data set'!N186+'[1]McCulloch data set'!O186)/2/100)^9+1/(1+('[1]McCulloch data set'!O186/100)^10))</f>
        <v>3.7987956107231997E-2</v>
      </c>
    </row>
    <row r="189" spans="1:3" ht="13.8" x14ac:dyDescent="0.25">
      <c r="A189" s="4" t="s">
        <v>201</v>
      </c>
      <c r="B189" s="12">
        <f>(1-1/(1+'[1]McCulloch data set'!N187/100)^5)/((1/(1+'[1]McCulloch data set'!J187/100))+1/(1+'[1]McCulloch data set'!K187/100)^2+1/(1+'[1]McCulloch data set'!L187/100)^3+1/(1+'[1]McCulloch data set'!M187/100)^4+1/(1+'[1]McCulloch data set'!N187/100)^5)</f>
        <v>3.7284514896267627E-2</v>
      </c>
      <c r="C189" s="12">
        <f>(1-1/(1+'[1]McCulloch data set'!N187/100)^10)/((1/(1+'[1]McCulloch data set'!J187/100))+1/(1+'[1]McCulloch data set'!K187/100)^2+1/(1+'[1]McCulloch data set'!L187/100)^3+1/(1+'[1]McCulloch data set'!M187/100)^4+1/(1+'[1]McCulloch data set'!N187/100)^5+1/(1+('[1]McCulloch data set'!N187+'[1]McCulloch data set'!O187)/2/100)^6+1/(1+('[1]McCulloch data set'!N187+'[1]McCulloch data set'!O187)/2/100)^7+1/(1+('[1]McCulloch data set'!N187+'[1]McCulloch data set'!O187)/2/100)^8+1/(1+('[1]McCulloch data set'!N187+'[1]McCulloch data set'!O187)/2/100)^9+1/(1+('[1]McCulloch data set'!O187/100)^10))</f>
        <v>3.6200142625648739E-2</v>
      </c>
    </row>
    <row r="190" spans="1:3" ht="13.8" x14ac:dyDescent="0.25">
      <c r="A190" s="4" t="s">
        <v>202</v>
      </c>
      <c r="B190" s="12">
        <f>(1-1/(1+'[1]McCulloch data set'!N188/100)^5)/((1/(1+'[1]McCulloch data set'!J188/100))+1/(1+'[1]McCulloch data set'!K188/100)^2+1/(1+'[1]McCulloch data set'!L188/100)^3+1/(1+'[1]McCulloch data set'!M188/100)^4+1/(1+'[1]McCulloch data set'!N188/100)^5)</f>
        <v>3.5991162371902835E-2</v>
      </c>
      <c r="C190" s="12">
        <f>(1-1/(1+'[1]McCulloch data set'!N188/100)^10)/((1/(1+'[1]McCulloch data set'!J188/100))+1/(1+'[1]McCulloch data set'!K188/100)^2+1/(1+'[1]McCulloch data set'!L188/100)^3+1/(1+'[1]McCulloch data set'!M188/100)^4+1/(1+'[1]McCulloch data set'!N188/100)^5+1/(1+('[1]McCulloch data set'!N188+'[1]McCulloch data set'!O188)/2/100)^6+1/(1+('[1]McCulloch data set'!N188+'[1]McCulloch data set'!O188)/2/100)^7+1/(1+('[1]McCulloch data set'!N188+'[1]McCulloch data set'!O188)/2/100)^8+1/(1+('[1]McCulloch data set'!N188+'[1]McCulloch data set'!O188)/2/100)^9+1/(1+('[1]McCulloch data set'!O188/100)^10))</f>
        <v>3.4958545487908256E-2</v>
      </c>
    </row>
    <row r="191" spans="1:3" ht="13.8" x14ac:dyDescent="0.25">
      <c r="A191" s="4" t="s">
        <v>203</v>
      </c>
      <c r="B191" s="12">
        <f>(1-1/(1+'[1]McCulloch data set'!N189/100)^5)/((1/(1+'[1]McCulloch data set'!J189/100))+1/(1+'[1]McCulloch data set'!K189/100)^2+1/(1+'[1]McCulloch data set'!L189/100)^3+1/(1+'[1]McCulloch data set'!M189/100)^4+1/(1+'[1]McCulloch data set'!N189/100)^5)</f>
        <v>3.6223135101133203E-2</v>
      </c>
      <c r="C191" s="12">
        <f>(1-1/(1+'[1]McCulloch data set'!N189/100)^10)/((1/(1+'[1]McCulloch data set'!J189/100))+1/(1+'[1]McCulloch data set'!K189/100)^2+1/(1+'[1]McCulloch data set'!L189/100)^3+1/(1+'[1]McCulloch data set'!M189/100)^4+1/(1+'[1]McCulloch data set'!N189/100)^5+1/(1+('[1]McCulloch data set'!N189+'[1]McCulloch data set'!O189)/2/100)^6+1/(1+('[1]McCulloch data set'!N189+'[1]McCulloch data set'!O189)/2/100)^7+1/(1+('[1]McCulloch data set'!N189+'[1]McCulloch data set'!O189)/2/100)^8+1/(1+('[1]McCulloch data set'!N189+'[1]McCulloch data set'!O189)/2/100)^9+1/(1+('[1]McCulloch data set'!O189/100)^10))</f>
        <v>3.5161771185085622E-2</v>
      </c>
    </row>
    <row r="192" spans="1:3" ht="13.8" x14ac:dyDescent="0.25">
      <c r="A192" s="4" t="s">
        <v>204</v>
      </c>
      <c r="B192" s="12">
        <f>(1-1/(1+'[1]McCulloch data set'!N190/100)^5)/((1/(1+'[1]McCulloch data set'!J190/100))+1/(1+'[1]McCulloch data set'!K190/100)^2+1/(1+'[1]McCulloch data set'!L190/100)^3+1/(1+'[1]McCulloch data set'!M190/100)^4+1/(1+'[1]McCulloch data set'!N190/100)^5)</f>
        <v>3.6355008819694341E-2</v>
      </c>
      <c r="C192" s="12">
        <f>(1-1/(1+'[1]McCulloch data set'!N190/100)^10)/((1/(1+'[1]McCulloch data set'!J190/100))+1/(1+'[1]McCulloch data set'!K190/100)^2+1/(1+'[1]McCulloch data set'!L190/100)^3+1/(1+'[1]McCulloch data set'!M190/100)^4+1/(1+'[1]McCulloch data set'!N190/100)^5+1/(1+('[1]McCulloch data set'!N190+'[1]McCulloch data set'!O190)/2/100)^6+1/(1+('[1]McCulloch data set'!N190+'[1]McCulloch data set'!O190)/2/100)^7+1/(1+('[1]McCulloch data set'!N190+'[1]McCulloch data set'!O190)/2/100)^8+1/(1+('[1]McCulloch data set'!N190+'[1]McCulloch data set'!O190)/2/100)^9+1/(1+('[1]McCulloch data set'!O190/100)^10))</f>
        <v>3.5309035689096019E-2</v>
      </c>
    </row>
    <row r="193" spans="1:3" ht="13.8" x14ac:dyDescent="0.25">
      <c r="A193" s="4" t="s">
        <v>205</v>
      </c>
      <c r="B193" s="12">
        <f>(1-1/(1+'[1]McCulloch data set'!N191/100)^5)/((1/(1+'[1]McCulloch data set'!J191/100))+1/(1+'[1]McCulloch data set'!K191/100)^2+1/(1+'[1]McCulloch data set'!L191/100)^3+1/(1+'[1]McCulloch data set'!M191/100)^4+1/(1+'[1]McCulloch data set'!N191/100)^5)</f>
        <v>3.7473868906235989E-2</v>
      </c>
      <c r="C193" s="12">
        <f>(1-1/(1+'[1]McCulloch data set'!N191/100)^10)/((1/(1+'[1]McCulloch data set'!J191/100))+1/(1+'[1]McCulloch data set'!K191/100)^2+1/(1+'[1]McCulloch data set'!L191/100)^3+1/(1+'[1]McCulloch data set'!M191/100)^4+1/(1+'[1]McCulloch data set'!N191/100)^5+1/(1+('[1]McCulloch data set'!N191+'[1]McCulloch data set'!O191)/2/100)^6+1/(1+('[1]McCulloch data set'!N191+'[1]McCulloch data set'!O191)/2/100)^7+1/(1+('[1]McCulloch data set'!N191+'[1]McCulloch data set'!O191)/2/100)^8+1/(1+('[1]McCulloch data set'!N191+'[1]McCulloch data set'!O191)/2/100)^9+1/(1+('[1]McCulloch data set'!O191/100)^10))</f>
        <v>3.631677336622359E-2</v>
      </c>
    </row>
    <row r="194" spans="1:3" ht="13.8" x14ac:dyDescent="0.25">
      <c r="A194" s="4" t="s">
        <v>206</v>
      </c>
      <c r="B194" s="12">
        <f>(1-1/(1+'[1]McCulloch data set'!N192/100)^5)/((1/(1+'[1]McCulloch data set'!J192/100))+1/(1+'[1]McCulloch data set'!K192/100)^2+1/(1+'[1]McCulloch data set'!L192/100)^3+1/(1+'[1]McCulloch data set'!M192/100)^4+1/(1+'[1]McCulloch data set'!N192/100)^5)</f>
        <v>3.8394792016799038E-2</v>
      </c>
      <c r="C194" s="12">
        <f>(1-1/(1+'[1]McCulloch data set'!N192/100)^10)/((1/(1+'[1]McCulloch data set'!J192/100))+1/(1+'[1]McCulloch data set'!K192/100)^2+1/(1+'[1]McCulloch data set'!L192/100)^3+1/(1+'[1]McCulloch data set'!M192/100)^4+1/(1+'[1]McCulloch data set'!N192/100)^5+1/(1+('[1]McCulloch data set'!N192+'[1]McCulloch data set'!O192)/2/100)^6+1/(1+('[1]McCulloch data set'!N192+'[1]McCulloch data set'!O192)/2/100)^7+1/(1+('[1]McCulloch data set'!N192+'[1]McCulloch data set'!O192)/2/100)^8+1/(1+('[1]McCulloch data set'!N192+'[1]McCulloch data set'!O192)/2/100)^9+1/(1+('[1]McCulloch data set'!O192/100)^10))</f>
        <v>3.7159807554187844E-2</v>
      </c>
    </row>
    <row r="195" spans="1:3" ht="13.8" x14ac:dyDescent="0.25">
      <c r="A195" s="4" t="s">
        <v>207</v>
      </c>
      <c r="B195" s="12">
        <f>(1-1/(1+'[1]McCulloch data set'!N193/100)^5)/((1/(1+'[1]McCulloch data set'!J193/100))+1/(1+'[1]McCulloch data set'!K193/100)^2+1/(1+'[1]McCulloch data set'!L193/100)^3+1/(1+'[1]McCulloch data set'!M193/100)^4+1/(1+'[1]McCulloch data set'!N193/100)^5)</f>
        <v>3.6568064624062792E-2</v>
      </c>
      <c r="C195" s="12">
        <f>(1-1/(1+'[1]McCulloch data set'!N193/100)^10)/((1/(1+'[1]McCulloch data set'!J193/100))+1/(1+'[1]McCulloch data set'!K193/100)^2+1/(1+'[1]McCulloch data set'!L193/100)^3+1/(1+'[1]McCulloch data set'!M193/100)^4+1/(1+'[1]McCulloch data set'!N193/100)^5+1/(1+('[1]McCulloch data set'!N193+'[1]McCulloch data set'!O193)/2/100)^6+1/(1+('[1]McCulloch data set'!N193+'[1]McCulloch data set'!O193)/2/100)^7+1/(1+('[1]McCulloch data set'!N193+'[1]McCulloch data set'!O193)/2/100)^8+1/(1+('[1]McCulloch data set'!N193+'[1]McCulloch data set'!O193)/2/100)^9+1/(1+('[1]McCulloch data set'!O193/100)^10))</f>
        <v>3.551140556519173E-2</v>
      </c>
    </row>
    <row r="196" spans="1:3" ht="13.8" x14ac:dyDescent="0.25">
      <c r="A196" s="4" t="s">
        <v>208</v>
      </c>
      <c r="B196" s="12">
        <f>(1-1/(1+'[1]McCulloch data set'!N194/100)^5)/((1/(1+'[1]McCulloch data set'!J194/100))+1/(1+'[1]McCulloch data set'!K194/100)^2+1/(1+'[1]McCulloch data set'!L194/100)^3+1/(1+'[1]McCulloch data set'!M194/100)^4+1/(1+'[1]McCulloch data set'!N194/100)^5)</f>
        <v>3.6538539617633752E-2</v>
      </c>
      <c r="C196" s="12">
        <f>(1-1/(1+'[1]McCulloch data set'!N194/100)^10)/((1/(1+'[1]McCulloch data set'!J194/100))+1/(1+'[1]McCulloch data set'!K194/100)^2+1/(1+'[1]McCulloch data set'!L194/100)^3+1/(1+'[1]McCulloch data set'!M194/100)^4+1/(1+'[1]McCulloch data set'!N194/100)^5+1/(1+('[1]McCulloch data set'!N194+'[1]McCulloch data set'!O194)/2/100)^6+1/(1+('[1]McCulloch data set'!N194+'[1]McCulloch data set'!O194)/2/100)^7+1/(1+('[1]McCulloch data set'!N194+'[1]McCulloch data set'!O194)/2/100)^8+1/(1+('[1]McCulloch data set'!N194+'[1]McCulloch data set'!O194)/2/100)^9+1/(1+('[1]McCulloch data set'!O194/100)^10))</f>
        <v>3.5491720344689982E-2</v>
      </c>
    </row>
    <row r="197" spans="1:3" ht="13.8" x14ac:dyDescent="0.25">
      <c r="A197" s="4" t="s">
        <v>209</v>
      </c>
      <c r="B197" s="12">
        <f>(1-1/(1+'[1]McCulloch data set'!N195/100)^5)/((1/(1+'[1]McCulloch data set'!J195/100))+1/(1+'[1]McCulloch data set'!K195/100)^2+1/(1+'[1]McCulloch data set'!L195/100)^3+1/(1+'[1]McCulloch data set'!M195/100)^4+1/(1+'[1]McCulloch data set'!N195/100)^5)</f>
        <v>3.615897343662039E-2</v>
      </c>
      <c r="C197" s="12">
        <f>(1-1/(1+'[1]McCulloch data set'!N195/100)^10)/((1/(1+'[1]McCulloch data set'!J195/100))+1/(1+'[1]McCulloch data set'!K195/100)^2+1/(1+'[1]McCulloch data set'!L195/100)^3+1/(1+'[1]McCulloch data set'!M195/100)^4+1/(1+'[1]McCulloch data set'!N195/100)^5+1/(1+('[1]McCulloch data set'!N195+'[1]McCulloch data set'!O195)/2/100)^6+1/(1+('[1]McCulloch data set'!N195+'[1]McCulloch data set'!O195)/2/100)^7+1/(1+('[1]McCulloch data set'!N195+'[1]McCulloch data set'!O195)/2/100)^8+1/(1+('[1]McCulloch data set'!N195+'[1]McCulloch data set'!O195)/2/100)^9+1/(1+('[1]McCulloch data set'!O195/100)^10))</f>
        <v>3.5146680672466762E-2</v>
      </c>
    </row>
    <row r="198" spans="1:3" ht="13.8" x14ac:dyDescent="0.25">
      <c r="A198" s="4" t="s">
        <v>210</v>
      </c>
      <c r="B198" s="12">
        <f>(1-1/(1+'[1]McCulloch data set'!N196/100)^5)/((1/(1+'[1]McCulloch data set'!J196/100))+1/(1+'[1]McCulloch data set'!K196/100)^2+1/(1+'[1]McCulloch data set'!L196/100)^3+1/(1+'[1]McCulloch data set'!M196/100)^4+1/(1+'[1]McCulloch data set'!N196/100)^5)</f>
        <v>3.570589646518986E-2</v>
      </c>
      <c r="C198" s="12">
        <f>(1-1/(1+'[1]McCulloch data set'!N196/100)^10)/((1/(1+'[1]McCulloch data set'!J196/100))+1/(1+'[1]McCulloch data set'!K196/100)^2+1/(1+'[1]McCulloch data set'!L196/100)^3+1/(1+'[1]McCulloch data set'!M196/100)^4+1/(1+'[1]McCulloch data set'!N196/100)^5+1/(1+('[1]McCulloch data set'!N196+'[1]McCulloch data set'!O196)/2/100)^6+1/(1+('[1]McCulloch data set'!N196+'[1]McCulloch data set'!O196)/2/100)^7+1/(1+('[1]McCulloch data set'!N196+'[1]McCulloch data set'!O196)/2/100)^8+1/(1+('[1]McCulloch data set'!N196+'[1]McCulloch data set'!O196)/2/100)^9+1/(1+('[1]McCulloch data set'!O196/100)^10))</f>
        <v>3.4721110496825525E-2</v>
      </c>
    </row>
    <row r="199" spans="1:3" ht="13.8" x14ac:dyDescent="0.25">
      <c r="A199" s="4" t="s">
        <v>211</v>
      </c>
      <c r="B199" s="12">
        <f>(1-1/(1+'[1]McCulloch data set'!N197/100)^5)/((1/(1+'[1]McCulloch data set'!J197/100))+1/(1+'[1]McCulloch data set'!K197/100)^2+1/(1+'[1]McCulloch data set'!L197/100)^3+1/(1+'[1]McCulloch data set'!M197/100)^4+1/(1+'[1]McCulloch data set'!N197/100)^5)</f>
        <v>3.5157860766789333E-2</v>
      </c>
      <c r="C199" s="12">
        <f>(1-1/(1+'[1]McCulloch data set'!N197/100)^10)/((1/(1+'[1]McCulloch data set'!J197/100))+1/(1+'[1]McCulloch data set'!K197/100)^2+1/(1+'[1]McCulloch data set'!L197/100)^3+1/(1+'[1]McCulloch data set'!M197/100)^4+1/(1+'[1]McCulloch data set'!N197/100)^5+1/(1+('[1]McCulloch data set'!N197+'[1]McCulloch data set'!O197)/2/100)^6+1/(1+('[1]McCulloch data set'!N197+'[1]McCulloch data set'!O197)/2/100)^7+1/(1+('[1]McCulloch data set'!N197+'[1]McCulloch data set'!O197)/2/100)^8+1/(1+('[1]McCulloch data set'!N197+'[1]McCulloch data set'!O197)/2/100)^9+1/(1+('[1]McCulloch data set'!O197/100)^10))</f>
        <v>3.4194851503896034E-2</v>
      </c>
    </row>
    <row r="200" spans="1:3" ht="13.8" x14ac:dyDescent="0.25">
      <c r="A200" s="4" t="s">
        <v>212</v>
      </c>
      <c r="B200" s="12">
        <f>(1-1/(1+'[1]McCulloch data set'!N198/100)^5)/((1/(1+'[1]McCulloch data set'!J198/100))+1/(1+'[1]McCulloch data set'!K198/100)^2+1/(1+'[1]McCulloch data set'!L198/100)^3+1/(1+'[1]McCulloch data set'!M198/100)^4+1/(1+'[1]McCulloch data set'!N198/100)^5)</f>
        <v>3.608425079260711E-2</v>
      </c>
      <c r="C200" s="12">
        <f>(1-1/(1+'[1]McCulloch data set'!N198/100)^10)/((1/(1+'[1]McCulloch data set'!J198/100))+1/(1+'[1]McCulloch data set'!K198/100)^2+1/(1+'[1]McCulloch data set'!L198/100)^3+1/(1+'[1]McCulloch data set'!M198/100)^4+1/(1+'[1]McCulloch data set'!N198/100)^5+1/(1+('[1]McCulloch data set'!N198+'[1]McCulloch data set'!O198)/2/100)^6+1/(1+('[1]McCulloch data set'!N198+'[1]McCulloch data set'!O198)/2/100)^7+1/(1+('[1]McCulloch data set'!N198+'[1]McCulloch data set'!O198)/2/100)^8+1/(1+('[1]McCulloch data set'!N198+'[1]McCulloch data set'!O198)/2/100)^9+1/(1+('[1]McCulloch data set'!O198/100)^10))</f>
        <v>3.5048411265377652E-2</v>
      </c>
    </row>
    <row r="201" spans="1:3" ht="13.8" x14ac:dyDescent="0.25">
      <c r="A201" s="4" t="s">
        <v>213</v>
      </c>
      <c r="B201" s="12">
        <f>(1-1/(1+'[1]McCulloch data set'!N199/100)^5)/((1/(1+'[1]McCulloch data set'!J199/100))+1/(1+'[1]McCulloch data set'!K199/100)^2+1/(1+'[1]McCulloch data set'!L199/100)^3+1/(1+'[1]McCulloch data set'!M199/100)^4+1/(1+'[1]McCulloch data set'!N199/100)^5)</f>
        <v>3.6660086519293283E-2</v>
      </c>
      <c r="C201" s="12">
        <f>(1-1/(1+'[1]McCulloch data set'!N199/100)^10)/((1/(1+'[1]McCulloch data set'!J199/100))+1/(1+'[1]McCulloch data set'!K199/100)^2+1/(1+'[1]McCulloch data set'!L199/100)^3+1/(1+'[1]McCulloch data set'!M199/100)^4+1/(1+'[1]McCulloch data set'!N199/100)^5+1/(1+('[1]McCulloch data set'!N199+'[1]McCulloch data set'!O199)/2/100)^6+1/(1+('[1]McCulloch data set'!N199+'[1]McCulloch data set'!O199)/2/100)^7+1/(1+('[1]McCulloch data set'!N199+'[1]McCulloch data set'!O199)/2/100)^8+1/(1+('[1]McCulloch data set'!N199+'[1]McCulloch data set'!O199)/2/100)^9+1/(1+('[1]McCulloch data set'!O199/100)^10))</f>
        <v>3.5600619944715257E-2</v>
      </c>
    </row>
    <row r="202" spans="1:3" ht="13.8" x14ac:dyDescent="0.25">
      <c r="A202" s="4" t="s">
        <v>214</v>
      </c>
      <c r="B202" s="12">
        <f>(1-1/(1+'[1]McCulloch data set'!N200/100)^5)/((1/(1+'[1]McCulloch data set'!J200/100))+1/(1+'[1]McCulloch data set'!K200/100)^2+1/(1+'[1]McCulloch data set'!L200/100)^3+1/(1+'[1]McCulloch data set'!M200/100)^4+1/(1+'[1]McCulloch data set'!N200/100)^5)</f>
        <v>3.6757415324629734E-2</v>
      </c>
      <c r="C202" s="12">
        <f>(1-1/(1+'[1]McCulloch data set'!N200/100)^10)/((1/(1+'[1]McCulloch data set'!J200/100))+1/(1+'[1]McCulloch data set'!K200/100)^2+1/(1+'[1]McCulloch data set'!L200/100)^3+1/(1+'[1]McCulloch data set'!M200/100)^4+1/(1+'[1]McCulloch data set'!N200/100)^5+1/(1+('[1]McCulloch data set'!N200+'[1]McCulloch data set'!O200)/2/100)^6+1/(1+('[1]McCulloch data set'!N200+'[1]McCulloch data set'!O200)/2/100)^7+1/(1+('[1]McCulloch data set'!N200+'[1]McCulloch data set'!O200)/2/100)^8+1/(1+('[1]McCulloch data set'!N200+'[1]McCulloch data set'!O200)/2/100)^9+1/(1+('[1]McCulloch data set'!O200/100)^10))</f>
        <v>3.570159321064794E-2</v>
      </c>
    </row>
    <row r="203" spans="1:3" ht="13.8" x14ac:dyDescent="0.25">
      <c r="A203" s="4" t="s">
        <v>215</v>
      </c>
      <c r="B203" s="12">
        <f>(1-1/(1+'[1]McCulloch data set'!N201/100)^5)/((1/(1+'[1]McCulloch data set'!J201/100))+1/(1+'[1]McCulloch data set'!K201/100)^2+1/(1+'[1]McCulloch data set'!L201/100)^3+1/(1+'[1]McCulloch data set'!M201/100)^4+1/(1+'[1]McCulloch data set'!N201/100)^5)</f>
        <v>3.6903961761966683E-2</v>
      </c>
      <c r="C203" s="12">
        <f>(1-1/(1+'[1]McCulloch data set'!N201/100)^10)/((1/(1+'[1]McCulloch data set'!J201/100))+1/(1+'[1]McCulloch data set'!K201/100)^2+1/(1+'[1]McCulloch data set'!L201/100)^3+1/(1+'[1]McCulloch data set'!M201/100)^4+1/(1+'[1]McCulloch data set'!N201/100)^5+1/(1+('[1]McCulloch data set'!N201+'[1]McCulloch data set'!O201)/2/100)^6+1/(1+('[1]McCulloch data set'!N201+'[1]McCulloch data set'!O201)/2/100)^7+1/(1+('[1]McCulloch data set'!N201+'[1]McCulloch data set'!O201)/2/100)^8+1/(1+('[1]McCulloch data set'!N201+'[1]McCulloch data set'!O201)/2/100)^9+1/(1+('[1]McCulloch data set'!O201/100)^10))</f>
        <v>3.5805199113009674E-2</v>
      </c>
    </row>
    <row r="204" spans="1:3" ht="13.8" x14ac:dyDescent="0.25">
      <c r="A204" s="4" t="s">
        <v>216</v>
      </c>
      <c r="B204" s="12">
        <f>(1-1/(1+'[1]McCulloch data set'!N202/100)^5)/((1/(1+'[1]McCulloch data set'!J202/100))+1/(1+'[1]McCulloch data set'!K202/100)^2+1/(1+'[1]McCulloch data set'!L202/100)^3+1/(1+'[1]McCulloch data set'!M202/100)^4+1/(1+'[1]McCulloch data set'!N202/100)^5)</f>
        <v>3.7396788028015548E-2</v>
      </c>
      <c r="C204" s="12">
        <f>(1-1/(1+'[1]McCulloch data set'!N202/100)^10)/((1/(1+'[1]McCulloch data set'!J202/100))+1/(1+'[1]McCulloch data set'!K202/100)^2+1/(1+'[1]McCulloch data set'!L202/100)^3+1/(1+'[1]McCulloch data set'!M202/100)^4+1/(1+'[1]McCulloch data set'!N202/100)^5+1/(1+('[1]McCulloch data set'!N202+'[1]McCulloch data set'!O202)/2/100)^6+1/(1+('[1]McCulloch data set'!N202+'[1]McCulloch data set'!O202)/2/100)^7+1/(1+('[1]McCulloch data set'!N202+'[1]McCulloch data set'!O202)/2/100)^8+1/(1+('[1]McCulloch data set'!N202+'[1]McCulloch data set'!O202)/2/100)^9+1/(1+('[1]McCulloch data set'!O202/100)^10))</f>
        <v>3.6244625301172471E-2</v>
      </c>
    </row>
    <row r="205" spans="1:3" ht="13.8" x14ac:dyDescent="0.25">
      <c r="A205" s="4" t="s">
        <v>217</v>
      </c>
      <c r="B205" s="12">
        <f>(1-1/(1+'[1]McCulloch data set'!N203/100)^5)/((1/(1+'[1]McCulloch data set'!J203/100))+1/(1+'[1]McCulloch data set'!K203/100)^2+1/(1+'[1]McCulloch data set'!L203/100)^3+1/(1+'[1]McCulloch data set'!M203/100)^4+1/(1+'[1]McCulloch data set'!N203/100)^5)</f>
        <v>3.7877777326784712E-2</v>
      </c>
      <c r="C205" s="12">
        <f>(1-1/(1+'[1]McCulloch data set'!N203/100)^10)/((1/(1+'[1]McCulloch data set'!J203/100))+1/(1+'[1]McCulloch data set'!K203/100)^2+1/(1+'[1]McCulloch data set'!L203/100)^3+1/(1+'[1]McCulloch data set'!M203/100)^4+1/(1+'[1]McCulloch data set'!N203/100)^5+1/(1+('[1]McCulloch data set'!N203+'[1]McCulloch data set'!O203)/2/100)^6+1/(1+('[1]McCulloch data set'!N203+'[1]McCulloch data set'!O203)/2/100)^7+1/(1+('[1]McCulloch data set'!N203+'[1]McCulloch data set'!O203)/2/100)^8+1/(1+('[1]McCulloch data set'!N203+'[1]McCulloch data set'!O203)/2/100)^9+1/(1+('[1]McCulloch data set'!O203/100)^10))</f>
        <v>3.668631564241423E-2</v>
      </c>
    </row>
    <row r="206" spans="1:3" ht="13.8" x14ac:dyDescent="0.25">
      <c r="A206" s="4" t="s">
        <v>218</v>
      </c>
      <c r="B206" s="12">
        <f>(1-1/(1+'[1]McCulloch data set'!N204/100)^5)/((1/(1+'[1]McCulloch data set'!J204/100))+1/(1+'[1]McCulloch data set'!K204/100)^2+1/(1+'[1]McCulloch data set'!L204/100)^3+1/(1+'[1]McCulloch data set'!M204/100)^4+1/(1+'[1]McCulloch data set'!N204/100)^5)</f>
        <v>3.8659311975117745E-2</v>
      </c>
      <c r="C206" s="12">
        <f>(1-1/(1+'[1]McCulloch data set'!N204/100)^10)/((1/(1+'[1]McCulloch data set'!J204/100))+1/(1+'[1]McCulloch data set'!K204/100)^2+1/(1+'[1]McCulloch data set'!L204/100)^3+1/(1+'[1]McCulloch data set'!M204/100)^4+1/(1+'[1]McCulloch data set'!N204/100)^5+1/(1+('[1]McCulloch data set'!N204+'[1]McCulloch data set'!O204)/2/100)^6+1/(1+('[1]McCulloch data set'!N204+'[1]McCulloch data set'!O204)/2/100)^7+1/(1+('[1]McCulloch data set'!N204+'[1]McCulloch data set'!O204)/2/100)^8+1/(1+('[1]McCulloch data set'!N204+'[1]McCulloch data set'!O204)/2/100)^9+1/(1+('[1]McCulloch data set'!O204/100)^10))</f>
        <v>3.7340829998594983E-2</v>
      </c>
    </row>
    <row r="207" spans="1:3" ht="13.8" x14ac:dyDescent="0.25">
      <c r="A207" s="4" t="s">
        <v>219</v>
      </c>
      <c r="B207" s="12">
        <f>(1-1/(1+'[1]McCulloch data set'!N205/100)^5)/((1/(1+'[1]McCulloch data set'!J205/100))+1/(1+'[1]McCulloch data set'!K205/100)^2+1/(1+'[1]McCulloch data set'!L205/100)^3+1/(1+'[1]McCulloch data set'!M205/100)^4+1/(1+'[1]McCulloch data set'!N205/100)^5)</f>
        <v>3.9055025195801792E-2</v>
      </c>
      <c r="C207" s="12">
        <f>(1-1/(1+'[1]McCulloch data set'!N205/100)^10)/((1/(1+'[1]McCulloch data set'!J205/100))+1/(1+'[1]McCulloch data set'!K205/100)^2+1/(1+'[1]McCulloch data set'!L205/100)^3+1/(1+'[1]McCulloch data set'!M205/100)^4+1/(1+'[1]McCulloch data set'!N205/100)^5+1/(1+('[1]McCulloch data set'!N205+'[1]McCulloch data set'!O205)/2/100)^6+1/(1+('[1]McCulloch data set'!N205+'[1]McCulloch data set'!O205)/2/100)^7+1/(1+('[1]McCulloch data set'!N205+'[1]McCulloch data set'!O205)/2/100)^8+1/(1+('[1]McCulloch data set'!N205+'[1]McCulloch data set'!O205)/2/100)^9+1/(1+('[1]McCulloch data set'!O205/100)^10))</f>
        <v>3.7704908554119898E-2</v>
      </c>
    </row>
    <row r="208" spans="1:3" ht="13.8" x14ac:dyDescent="0.25">
      <c r="A208" s="4" t="s">
        <v>220</v>
      </c>
      <c r="B208" s="12">
        <f>(1-1/(1+'[1]McCulloch data set'!N206/100)^5)/((1/(1+'[1]McCulloch data set'!J206/100))+1/(1+'[1]McCulloch data set'!K206/100)^2+1/(1+'[1]McCulloch data set'!L206/100)^3+1/(1+'[1]McCulloch data set'!M206/100)^4+1/(1+'[1]McCulloch data set'!N206/100)^5)</f>
        <v>3.9259298344392915E-2</v>
      </c>
      <c r="C208" s="12">
        <f>(1-1/(1+'[1]McCulloch data set'!N206/100)^10)/((1/(1+'[1]McCulloch data set'!J206/100))+1/(1+'[1]McCulloch data set'!K206/100)^2+1/(1+'[1]McCulloch data set'!L206/100)^3+1/(1+'[1]McCulloch data set'!M206/100)^4+1/(1+'[1]McCulloch data set'!N206/100)^5+1/(1+('[1]McCulloch data set'!N206+'[1]McCulloch data set'!O206)/2/100)^6+1/(1+('[1]McCulloch data set'!N206+'[1]McCulloch data set'!O206)/2/100)^7+1/(1+('[1]McCulloch data set'!N206+'[1]McCulloch data set'!O206)/2/100)^8+1/(1+('[1]McCulloch data set'!N206+'[1]McCulloch data set'!O206)/2/100)^9+1/(1+('[1]McCulloch data set'!O206/100)^10))</f>
        <v>3.7911625573240154E-2</v>
      </c>
    </row>
    <row r="209" spans="1:3" ht="13.8" x14ac:dyDescent="0.25">
      <c r="A209" s="4" t="s">
        <v>221</v>
      </c>
      <c r="B209" s="12">
        <f>(1-1/(1+'[1]McCulloch data set'!N207/100)^5)/((1/(1+'[1]McCulloch data set'!J207/100))+1/(1+'[1]McCulloch data set'!K207/100)^2+1/(1+'[1]McCulloch data set'!L207/100)^3+1/(1+'[1]McCulloch data set'!M207/100)^4+1/(1+'[1]McCulloch data set'!N207/100)^5)</f>
        <v>3.997237135041485E-2</v>
      </c>
      <c r="C209" s="12">
        <f>(1-1/(1+'[1]McCulloch data set'!N207/100)^10)/((1/(1+'[1]McCulloch data set'!J207/100))+1/(1+'[1]McCulloch data set'!K207/100)^2+1/(1+'[1]McCulloch data set'!L207/100)^3+1/(1+'[1]McCulloch data set'!M207/100)^4+1/(1+'[1]McCulloch data set'!N207/100)^5+1/(1+('[1]McCulloch data set'!N207+'[1]McCulloch data set'!O207)/2/100)^6+1/(1+('[1]McCulloch data set'!N207+'[1]McCulloch data set'!O207)/2/100)^7+1/(1+('[1]McCulloch data set'!N207+'[1]McCulloch data set'!O207)/2/100)^8+1/(1+('[1]McCulloch data set'!N207+'[1]McCulloch data set'!O207)/2/100)^9+1/(1+('[1]McCulloch data set'!O207/100)^10))</f>
        <v>3.857658533100037E-2</v>
      </c>
    </row>
    <row r="210" spans="1:3" ht="13.8" x14ac:dyDescent="0.25">
      <c r="A210" s="4" t="s">
        <v>222</v>
      </c>
      <c r="B210" s="12">
        <f>(1-1/(1+'[1]McCulloch data set'!N208/100)^5)/((1/(1+'[1]McCulloch data set'!J208/100))+1/(1+'[1]McCulloch data set'!K208/100)^2+1/(1+'[1]McCulloch data set'!L208/100)^3+1/(1+'[1]McCulloch data set'!M208/100)^4+1/(1+'[1]McCulloch data set'!N208/100)^5)</f>
        <v>3.9702521250560979E-2</v>
      </c>
      <c r="C210" s="12">
        <f>(1-1/(1+'[1]McCulloch data set'!N208/100)^10)/((1/(1+'[1]McCulloch data set'!J208/100))+1/(1+'[1]McCulloch data set'!K208/100)^2+1/(1+'[1]McCulloch data set'!L208/100)^3+1/(1+'[1]McCulloch data set'!M208/100)^4+1/(1+'[1]McCulloch data set'!N208/100)^5+1/(1+('[1]McCulloch data set'!N208+'[1]McCulloch data set'!O208)/2/100)^6+1/(1+('[1]McCulloch data set'!N208+'[1]McCulloch data set'!O208)/2/100)^7+1/(1+('[1]McCulloch data set'!N208+'[1]McCulloch data set'!O208)/2/100)^8+1/(1+('[1]McCulloch data set'!N208+'[1]McCulloch data set'!O208)/2/100)^9+1/(1+('[1]McCulloch data set'!O208/100)^10))</f>
        <v>3.8299600812014667E-2</v>
      </c>
    </row>
    <row r="211" spans="1:3" ht="13.8" x14ac:dyDescent="0.25">
      <c r="A211" s="4" t="s">
        <v>223</v>
      </c>
      <c r="B211" s="12">
        <f>(1-1/(1+'[1]McCulloch data set'!N209/100)^5)/((1/(1+'[1]McCulloch data set'!J209/100))+1/(1+'[1]McCulloch data set'!K209/100)^2+1/(1+'[1]McCulloch data set'!L209/100)^3+1/(1+'[1]McCulloch data set'!M209/100)^4+1/(1+'[1]McCulloch data set'!N209/100)^5)</f>
        <v>4.0616568824703624E-2</v>
      </c>
      <c r="C211" s="12">
        <f>(1-1/(1+'[1]McCulloch data set'!N209/100)^10)/((1/(1+'[1]McCulloch data set'!J209/100))+1/(1+'[1]McCulloch data set'!K209/100)^2+1/(1+'[1]McCulloch data set'!L209/100)^3+1/(1+'[1]McCulloch data set'!M209/100)^4+1/(1+'[1]McCulloch data set'!N209/100)^5+1/(1+('[1]McCulloch data set'!N209+'[1]McCulloch data set'!O209)/2/100)^6+1/(1+('[1]McCulloch data set'!N209+'[1]McCulloch data set'!O209)/2/100)^7+1/(1+('[1]McCulloch data set'!N209+'[1]McCulloch data set'!O209)/2/100)^8+1/(1+('[1]McCulloch data set'!N209+'[1]McCulloch data set'!O209)/2/100)^9+1/(1+('[1]McCulloch data set'!O209/100)^10))</f>
        <v>3.9120082726981427E-2</v>
      </c>
    </row>
    <row r="212" spans="1:3" ht="13.8" x14ac:dyDescent="0.25">
      <c r="A212" s="4" t="s">
        <v>224</v>
      </c>
      <c r="B212" s="12">
        <f>(1-1/(1+'[1]McCulloch data set'!N210/100)^5)/((1/(1+'[1]McCulloch data set'!J210/100))+1/(1+'[1]McCulloch data set'!K210/100)^2+1/(1+'[1]McCulloch data set'!L210/100)^3+1/(1+'[1]McCulloch data set'!M210/100)^4+1/(1+'[1]McCulloch data set'!N210/100)^5)</f>
        <v>4.0409199559278054E-2</v>
      </c>
      <c r="C212" s="12">
        <f>(1-1/(1+'[1]McCulloch data set'!N210/100)^10)/((1/(1+'[1]McCulloch data set'!J210/100))+1/(1+'[1]McCulloch data set'!K210/100)^2+1/(1+'[1]McCulloch data set'!L210/100)^3+1/(1+'[1]McCulloch data set'!M210/100)^4+1/(1+'[1]McCulloch data set'!N210/100)^5+1/(1+('[1]McCulloch data set'!N210+'[1]McCulloch data set'!O210)/2/100)^6+1/(1+('[1]McCulloch data set'!N210+'[1]McCulloch data set'!O210)/2/100)^7+1/(1+('[1]McCulloch data set'!N210+'[1]McCulloch data set'!O210)/2/100)^8+1/(1+('[1]McCulloch data set'!N210+'[1]McCulloch data set'!O210)/2/100)^9+1/(1+('[1]McCulloch data set'!O210/100)^10))</f>
        <v>3.8955911713611867E-2</v>
      </c>
    </row>
    <row r="213" spans="1:3" ht="13.8" x14ac:dyDescent="0.25">
      <c r="A213" s="4" t="s">
        <v>225</v>
      </c>
      <c r="B213" s="12">
        <f>(1-1/(1+'[1]McCulloch data set'!N211/100)^5)/((1/(1+'[1]McCulloch data set'!J211/100))+1/(1+'[1]McCulloch data set'!K211/100)^2+1/(1+'[1]McCulloch data set'!L211/100)^3+1/(1+'[1]McCulloch data set'!M211/100)^4+1/(1+'[1]McCulloch data set'!N211/100)^5)</f>
        <v>4.1029690812388081E-2</v>
      </c>
      <c r="C213" s="12">
        <f>(1-1/(1+'[1]McCulloch data set'!N211/100)^10)/((1/(1+'[1]McCulloch data set'!J211/100))+1/(1+'[1]McCulloch data set'!K211/100)^2+1/(1+'[1]McCulloch data set'!L211/100)^3+1/(1+'[1]McCulloch data set'!M211/100)^4+1/(1+'[1]McCulloch data set'!N211/100)^5+1/(1+('[1]McCulloch data set'!N211+'[1]McCulloch data set'!O211)/2/100)^6+1/(1+('[1]McCulloch data set'!N211+'[1]McCulloch data set'!O211)/2/100)^7+1/(1+('[1]McCulloch data set'!N211+'[1]McCulloch data set'!O211)/2/100)^8+1/(1+('[1]McCulloch data set'!N211+'[1]McCulloch data set'!O211)/2/100)^9+1/(1+('[1]McCulloch data set'!O211/100)^10))</f>
        <v>3.95062916695939E-2</v>
      </c>
    </row>
    <row r="214" spans="1:3" ht="13.8" x14ac:dyDescent="0.25">
      <c r="A214" s="4" t="s">
        <v>226</v>
      </c>
      <c r="B214" s="12">
        <f>(1-1/(1+'[1]McCulloch data set'!N212/100)^5)/((1/(1+'[1]McCulloch data set'!J212/100))+1/(1+'[1]McCulloch data set'!K212/100)^2+1/(1+'[1]McCulloch data set'!L212/100)^3+1/(1+'[1]McCulloch data set'!M212/100)^4+1/(1+'[1]McCulloch data set'!N212/100)^5)</f>
        <v>4.1932170429087784E-2</v>
      </c>
      <c r="C214" s="12">
        <f>(1-1/(1+'[1]McCulloch data set'!N212/100)^10)/((1/(1+'[1]McCulloch data set'!J212/100))+1/(1+'[1]McCulloch data set'!K212/100)^2+1/(1+'[1]McCulloch data set'!L212/100)^3+1/(1+'[1]McCulloch data set'!M212/100)^4+1/(1+'[1]McCulloch data set'!N212/100)^5+1/(1+('[1]McCulloch data set'!N212+'[1]McCulloch data set'!O212)/2/100)^6+1/(1+('[1]McCulloch data set'!N212+'[1]McCulloch data set'!O212)/2/100)^7+1/(1+('[1]McCulloch data set'!N212+'[1]McCulloch data set'!O212)/2/100)^8+1/(1+('[1]McCulloch data set'!N212+'[1]McCulloch data set'!O212)/2/100)^9+1/(1+('[1]McCulloch data set'!O212/100)^10))</f>
        <v>4.0302952147400505E-2</v>
      </c>
    </row>
    <row r="215" spans="1:3" ht="13.8" x14ac:dyDescent="0.25">
      <c r="A215" s="4" t="s">
        <v>227</v>
      </c>
      <c r="B215" s="12">
        <f>(1-1/(1+'[1]McCulloch data set'!N213/100)^5)/((1/(1+'[1]McCulloch data set'!J213/100))+1/(1+'[1]McCulloch data set'!K213/100)^2+1/(1+'[1]McCulloch data set'!L213/100)^3+1/(1+'[1]McCulloch data set'!M213/100)^4+1/(1+'[1]McCulloch data set'!N213/100)^5)</f>
        <v>4.159680295999222E-2</v>
      </c>
      <c r="C215" s="12">
        <f>(1-1/(1+'[1]McCulloch data set'!N213/100)^10)/((1/(1+'[1]McCulloch data set'!J213/100))+1/(1+'[1]McCulloch data set'!K213/100)^2+1/(1+'[1]McCulloch data set'!L213/100)^3+1/(1+'[1]McCulloch data set'!M213/100)^4+1/(1+'[1]McCulloch data set'!N213/100)^5+1/(1+('[1]McCulloch data set'!N213+'[1]McCulloch data set'!O213)/2/100)^6+1/(1+('[1]McCulloch data set'!N213+'[1]McCulloch data set'!O213)/2/100)^7+1/(1+('[1]McCulloch data set'!N213+'[1]McCulloch data set'!O213)/2/100)^8+1/(1+('[1]McCulloch data set'!N213+'[1]McCulloch data set'!O213)/2/100)^9+1/(1+('[1]McCulloch data set'!O213/100)^10))</f>
        <v>3.9998349451830319E-2</v>
      </c>
    </row>
    <row r="216" spans="1:3" ht="13.8" x14ac:dyDescent="0.25">
      <c r="A216" s="4" t="s">
        <v>228</v>
      </c>
      <c r="B216" s="12">
        <f>(1-1/(1+'[1]McCulloch data set'!N214/100)^5)/((1/(1+'[1]McCulloch data set'!J214/100))+1/(1+'[1]McCulloch data set'!K214/100)^2+1/(1+'[1]McCulloch data set'!L214/100)^3+1/(1+'[1]McCulloch data set'!M214/100)^4+1/(1+'[1]McCulloch data set'!N214/100)^5)</f>
        <v>4.0621383578064767E-2</v>
      </c>
      <c r="C216" s="12">
        <f>(1-1/(1+'[1]McCulloch data set'!N214/100)^10)/((1/(1+'[1]McCulloch data set'!J214/100))+1/(1+'[1]McCulloch data set'!K214/100)^2+1/(1+'[1]McCulloch data set'!L214/100)^3+1/(1+'[1]McCulloch data set'!M214/100)^4+1/(1+'[1]McCulloch data set'!N214/100)^5+1/(1+('[1]McCulloch data set'!N214+'[1]McCulloch data set'!O214)/2/100)^6+1/(1+('[1]McCulloch data set'!N214+'[1]McCulloch data set'!O214)/2/100)^7+1/(1+('[1]McCulloch data set'!N214+'[1]McCulloch data set'!O214)/2/100)^8+1/(1+('[1]McCulloch data set'!N214+'[1]McCulloch data set'!O214)/2/100)^9+1/(1+('[1]McCulloch data set'!O214/100)^10))</f>
        <v>3.9132378966589269E-2</v>
      </c>
    </row>
    <row r="217" spans="1:3" ht="13.8" x14ac:dyDescent="0.25">
      <c r="A217" s="4" t="s">
        <v>229</v>
      </c>
      <c r="B217" s="12">
        <f>(1-1/(1+'[1]McCulloch data set'!N215/100)^5)/((1/(1+'[1]McCulloch data set'!J215/100))+1/(1+'[1]McCulloch data set'!K215/100)^2+1/(1+'[1]McCulloch data set'!L215/100)^3+1/(1+'[1]McCulloch data set'!M215/100)^4+1/(1+'[1]McCulloch data set'!N215/100)^5)</f>
        <v>4.0485869901203515E-2</v>
      </c>
      <c r="C217" s="12">
        <f>(1-1/(1+'[1]McCulloch data set'!N215/100)^10)/((1/(1+'[1]McCulloch data set'!J215/100))+1/(1+'[1]McCulloch data set'!K215/100)^2+1/(1+'[1]McCulloch data set'!L215/100)^3+1/(1+'[1]McCulloch data set'!M215/100)^4+1/(1+'[1]McCulloch data set'!N215/100)^5+1/(1+('[1]McCulloch data set'!N215+'[1]McCulloch data set'!O215)/2/100)^6+1/(1+('[1]McCulloch data set'!N215+'[1]McCulloch data set'!O215)/2/100)^7+1/(1+('[1]McCulloch data set'!N215+'[1]McCulloch data set'!O215)/2/100)^8+1/(1+('[1]McCulloch data set'!N215+'[1]McCulloch data set'!O215)/2/100)^9+1/(1+('[1]McCulloch data set'!O215/100)^10))</f>
        <v>3.9007070776828703E-2</v>
      </c>
    </row>
    <row r="218" spans="1:3" ht="13.8" x14ac:dyDescent="0.25">
      <c r="A218" s="4" t="s">
        <v>230</v>
      </c>
      <c r="B218" s="12">
        <f>(1-1/(1+'[1]McCulloch data set'!N216/100)^5)/((1/(1+'[1]McCulloch data set'!J216/100))+1/(1+'[1]McCulloch data set'!K216/100)^2+1/(1+'[1]McCulloch data set'!L216/100)^3+1/(1+'[1]McCulloch data set'!M216/100)^4+1/(1+'[1]McCulloch data set'!N216/100)^5)</f>
        <v>4.0646370163170305E-2</v>
      </c>
      <c r="C218" s="12">
        <f>(1-1/(1+'[1]McCulloch data set'!N216/100)^10)/((1/(1+'[1]McCulloch data set'!J216/100))+1/(1+'[1]McCulloch data set'!K216/100)^2+1/(1+'[1]McCulloch data set'!L216/100)^3+1/(1+'[1]McCulloch data set'!M216/100)^4+1/(1+'[1]McCulloch data set'!N216/100)^5+1/(1+('[1]McCulloch data set'!N216+'[1]McCulloch data set'!O216)/2/100)^6+1/(1+('[1]McCulloch data set'!N216+'[1]McCulloch data set'!O216)/2/100)^7+1/(1+('[1]McCulloch data set'!N216+'[1]McCulloch data set'!O216)/2/100)^8+1/(1+('[1]McCulloch data set'!N216+'[1]McCulloch data set'!O216)/2/100)^9+1/(1+('[1]McCulloch data set'!O216/100)^10))</f>
        <v>3.9186523193647946E-2</v>
      </c>
    </row>
    <row r="219" spans="1:3" ht="13.8" x14ac:dyDescent="0.25">
      <c r="A219" s="4" t="s">
        <v>231</v>
      </c>
      <c r="B219" s="12">
        <f>(1-1/(1+'[1]McCulloch data set'!N217/100)^5)/((1/(1+'[1]McCulloch data set'!J217/100))+1/(1+'[1]McCulloch data set'!K217/100)^2+1/(1+'[1]McCulloch data set'!L217/100)^3+1/(1+'[1]McCulloch data set'!M217/100)^4+1/(1+'[1]McCulloch data set'!N217/100)^5)</f>
        <v>4.0683034487444335E-2</v>
      </c>
      <c r="C219" s="12">
        <f>(1-1/(1+'[1]McCulloch data set'!N217/100)^10)/((1/(1+'[1]McCulloch data set'!J217/100))+1/(1+'[1]McCulloch data set'!K217/100)^2+1/(1+'[1]McCulloch data set'!L217/100)^3+1/(1+'[1]McCulloch data set'!M217/100)^4+1/(1+'[1]McCulloch data set'!N217/100)^5+1/(1+('[1]McCulloch data set'!N217+'[1]McCulloch data set'!O217)/2/100)^6+1/(1+('[1]McCulloch data set'!N217+'[1]McCulloch data set'!O217)/2/100)^7+1/(1+('[1]McCulloch data set'!N217+'[1]McCulloch data set'!O217)/2/100)^8+1/(1+('[1]McCulloch data set'!N217+'[1]McCulloch data set'!O217)/2/100)^9+1/(1+('[1]McCulloch data set'!O217/100)^10))</f>
        <v>3.9215099194158803E-2</v>
      </c>
    </row>
    <row r="220" spans="1:3" ht="13.8" x14ac:dyDescent="0.25">
      <c r="A220" s="4" t="s">
        <v>232</v>
      </c>
      <c r="B220" s="12">
        <f>(1-1/(1+'[1]McCulloch data set'!N218/100)^5)/((1/(1+'[1]McCulloch data set'!J218/100))+1/(1+'[1]McCulloch data set'!K218/100)^2+1/(1+'[1]McCulloch data set'!L218/100)^3+1/(1+'[1]McCulloch data set'!M218/100)^4+1/(1+'[1]McCulloch data set'!N218/100)^5)</f>
        <v>4.051572896333893E-2</v>
      </c>
      <c r="C220" s="12">
        <f>(1-1/(1+'[1]McCulloch data set'!N218/100)^10)/((1/(1+'[1]McCulloch data set'!J218/100))+1/(1+'[1]McCulloch data set'!K218/100)^2+1/(1+'[1]McCulloch data set'!L218/100)^3+1/(1+'[1]McCulloch data set'!M218/100)^4+1/(1+'[1]McCulloch data set'!N218/100)^5+1/(1+('[1]McCulloch data set'!N218+'[1]McCulloch data set'!O218)/2/100)^6+1/(1+('[1]McCulloch data set'!N218+'[1]McCulloch data set'!O218)/2/100)^7+1/(1+('[1]McCulloch data set'!N218+'[1]McCulloch data set'!O218)/2/100)^8+1/(1+('[1]McCulloch data set'!N218+'[1]McCulloch data set'!O218)/2/100)^9+1/(1+('[1]McCulloch data set'!O218/100)^10))</f>
        <v>3.90370307282552E-2</v>
      </c>
    </row>
    <row r="221" spans="1:3" ht="13.8" x14ac:dyDescent="0.25">
      <c r="A221" s="4" t="s">
        <v>233</v>
      </c>
      <c r="B221" s="12">
        <f>(1-1/(1+'[1]McCulloch data set'!N219/100)^5)/((1/(1+'[1]McCulloch data set'!J219/100))+1/(1+'[1]McCulloch data set'!K219/100)^2+1/(1+'[1]McCulloch data set'!L219/100)^3+1/(1+'[1]McCulloch data set'!M219/100)^4+1/(1+'[1]McCulloch data set'!N219/100)^5)</f>
        <v>4.0529104184256405E-2</v>
      </c>
      <c r="C221" s="12">
        <f>(1-1/(1+'[1]McCulloch data set'!N219/100)^10)/((1/(1+'[1]McCulloch data set'!J219/100))+1/(1+'[1]McCulloch data set'!K219/100)^2+1/(1+'[1]McCulloch data set'!L219/100)^3+1/(1+'[1]McCulloch data set'!M219/100)^4+1/(1+'[1]McCulloch data set'!N219/100)^5+1/(1+('[1]McCulloch data set'!N219+'[1]McCulloch data set'!O219)/2/100)^6+1/(1+('[1]McCulloch data set'!N219+'[1]McCulloch data set'!O219)/2/100)^7+1/(1+('[1]McCulloch data set'!N219+'[1]McCulloch data set'!O219)/2/100)^8+1/(1+('[1]McCulloch data set'!N219+'[1]McCulloch data set'!O219)/2/100)^9+1/(1+('[1]McCulloch data set'!O219/100)^10))</f>
        <v>3.9034029662831815E-2</v>
      </c>
    </row>
    <row r="222" spans="1:3" ht="13.8" x14ac:dyDescent="0.25">
      <c r="A222" s="4" t="s">
        <v>234</v>
      </c>
      <c r="B222" s="12">
        <f>(1-1/(1+'[1]McCulloch data set'!N220/100)^5)/((1/(1+'[1]McCulloch data set'!J220/100))+1/(1+'[1]McCulloch data set'!K220/100)^2+1/(1+'[1]McCulloch data set'!L220/100)^3+1/(1+'[1]McCulloch data set'!M220/100)^4+1/(1+'[1]McCulloch data set'!N220/100)^5)</f>
        <v>4.1488855648334329E-2</v>
      </c>
      <c r="C222" s="12">
        <f>(1-1/(1+'[1]McCulloch data set'!N220/100)^10)/((1/(1+'[1]McCulloch data set'!J220/100))+1/(1+'[1]McCulloch data set'!K220/100)^2+1/(1+'[1]McCulloch data set'!L220/100)^3+1/(1+'[1]McCulloch data set'!M220/100)^4+1/(1+'[1]McCulloch data set'!N220/100)^5+1/(1+('[1]McCulloch data set'!N220+'[1]McCulloch data set'!O220)/2/100)^6+1/(1+('[1]McCulloch data set'!N220+'[1]McCulloch data set'!O220)/2/100)^7+1/(1+('[1]McCulloch data set'!N220+'[1]McCulloch data set'!O220)/2/100)^8+1/(1+('[1]McCulloch data set'!N220+'[1]McCulloch data set'!O220)/2/100)^9+1/(1+('[1]McCulloch data set'!O220/100)^10))</f>
        <v>3.9860770268881185E-2</v>
      </c>
    </row>
    <row r="223" spans="1:3" ht="13.8" x14ac:dyDescent="0.25">
      <c r="A223" s="4" t="s">
        <v>235</v>
      </c>
      <c r="B223" s="12">
        <f>(1-1/(1+'[1]McCulloch data set'!N221/100)^5)/((1/(1+'[1]McCulloch data set'!J221/100))+1/(1+'[1]McCulloch data set'!K221/100)^2+1/(1+'[1]McCulloch data set'!L221/100)^3+1/(1+'[1]McCulloch data set'!M221/100)^4+1/(1+'[1]McCulloch data set'!N221/100)^5)</f>
        <v>4.1137231188451577E-2</v>
      </c>
      <c r="C223" s="12">
        <f>(1-1/(1+'[1]McCulloch data set'!N221/100)^10)/((1/(1+'[1]McCulloch data set'!J221/100))+1/(1+'[1]McCulloch data set'!K221/100)^2+1/(1+'[1]McCulloch data set'!L221/100)^3+1/(1+'[1]McCulloch data set'!M221/100)^4+1/(1+'[1]McCulloch data set'!N221/100)^5+1/(1+('[1]McCulloch data set'!N221+'[1]McCulloch data set'!O221)/2/100)^6+1/(1+('[1]McCulloch data set'!N221+'[1]McCulloch data set'!O221)/2/100)^7+1/(1+('[1]McCulloch data set'!N221+'[1]McCulloch data set'!O221)/2/100)^8+1/(1+('[1]McCulloch data set'!N221+'[1]McCulloch data set'!O221)/2/100)^9+1/(1+('[1]McCulloch data set'!O221/100)^10))</f>
        <v>3.9587600144042313E-2</v>
      </c>
    </row>
    <row r="224" spans="1:3" ht="13.8" x14ac:dyDescent="0.25">
      <c r="A224" s="4" t="s">
        <v>236</v>
      </c>
      <c r="B224" s="12">
        <f>(1-1/(1+'[1]McCulloch data set'!N222/100)^5)/((1/(1+'[1]McCulloch data set'!J222/100))+1/(1+'[1]McCulloch data set'!K222/100)^2+1/(1+'[1]McCulloch data set'!L222/100)^3+1/(1+'[1]McCulloch data set'!M222/100)^4+1/(1+'[1]McCulloch data set'!N222/100)^5)</f>
        <v>4.0943423735077415E-2</v>
      </c>
      <c r="C224" s="12">
        <f>(1-1/(1+'[1]McCulloch data set'!N222/100)^10)/((1/(1+'[1]McCulloch data set'!J222/100))+1/(1+'[1]McCulloch data set'!K222/100)^2+1/(1+'[1]McCulloch data set'!L222/100)^3+1/(1+'[1]McCulloch data set'!M222/100)^4+1/(1+'[1]McCulloch data set'!N222/100)^5+1/(1+('[1]McCulloch data set'!N222+'[1]McCulloch data set'!O222)/2/100)^6+1/(1+('[1]McCulloch data set'!N222+'[1]McCulloch data set'!O222)/2/100)^7+1/(1+('[1]McCulloch data set'!N222+'[1]McCulloch data set'!O222)/2/100)^8+1/(1+('[1]McCulloch data set'!N222+'[1]McCulloch data set'!O222)/2/100)^9+1/(1+('[1]McCulloch data set'!O222/100)^10))</f>
        <v>3.9401092357096608E-2</v>
      </c>
    </row>
    <row r="225" spans="1:3" ht="13.8" x14ac:dyDescent="0.25">
      <c r="A225" s="4" t="s">
        <v>237</v>
      </c>
      <c r="B225" s="12">
        <f>(1-1/(1+'[1]McCulloch data set'!N223/100)^5)/((1/(1+'[1]McCulloch data set'!J223/100))+1/(1+'[1]McCulloch data set'!K223/100)^2+1/(1+'[1]McCulloch data set'!L223/100)^3+1/(1+'[1]McCulloch data set'!M223/100)^4+1/(1+'[1]McCulloch data set'!N223/100)^5)</f>
        <v>4.1273251469335866E-2</v>
      </c>
      <c r="C225" s="12">
        <f>(1-1/(1+'[1]McCulloch data set'!N223/100)^10)/((1/(1+'[1]McCulloch data set'!J223/100))+1/(1+'[1]McCulloch data set'!K223/100)^2+1/(1+'[1]McCulloch data set'!L223/100)^3+1/(1+'[1]McCulloch data set'!M223/100)^4+1/(1+'[1]McCulloch data set'!N223/100)^5+1/(1+('[1]McCulloch data set'!N223+'[1]McCulloch data set'!O223)/2/100)^6+1/(1+('[1]McCulloch data set'!N223+'[1]McCulloch data set'!O223)/2/100)^7+1/(1+('[1]McCulloch data set'!N223+'[1]McCulloch data set'!O223)/2/100)^8+1/(1+('[1]McCulloch data set'!N223+'[1]McCulloch data set'!O223)/2/100)^9+1/(1+('[1]McCulloch data set'!O223/100)^10))</f>
        <v>3.9698277468314107E-2</v>
      </c>
    </row>
    <row r="226" spans="1:3" ht="13.8" x14ac:dyDescent="0.25">
      <c r="A226" s="4" t="s">
        <v>238</v>
      </c>
      <c r="B226" s="12">
        <f>(1-1/(1+'[1]McCulloch data set'!N224/100)^5)/((1/(1+'[1]McCulloch data set'!J224/100))+1/(1+'[1]McCulloch data set'!K224/100)^2+1/(1+'[1]McCulloch data set'!L224/100)^3+1/(1+'[1]McCulloch data set'!M224/100)^4+1/(1+'[1]McCulloch data set'!N224/100)^5)</f>
        <v>4.1366117961430034E-2</v>
      </c>
      <c r="C226" s="12">
        <f>(1-1/(1+'[1]McCulloch data set'!N224/100)^10)/((1/(1+'[1]McCulloch data set'!J224/100))+1/(1+'[1]McCulloch data set'!K224/100)^2+1/(1+'[1]McCulloch data set'!L224/100)^3+1/(1+'[1]McCulloch data set'!M224/100)^4+1/(1+'[1]McCulloch data set'!N224/100)^5+1/(1+('[1]McCulloch data set'!N224+'[1]McCulloch data set'!O224)/2/100)^6+1/(1+('[1]McCulloch data set'!N224+'[1]McCulloch data set'!O224)/2/100)^7+1/(1+('[1]McCulloch data set'!N224+'[1]McCulloch data set'!O224)/2/100)^8+1/(1+('[1]McCulloch data set'!N224+'[1]McCulloch data set'!O224)/2/100)^9+1/(1+('[1]McCulloch data set'!O224/100)^10))</f>
        <v>3.9766971116086014E-2</v>
      </c>
    </row>
    <row r="227" spans="1:3" ht="13.8" x14ac:dyDescent="0.25">
      <c r="A227" s="4" t="s">
        <v>239</v>
      </c>
      <c r="B227" s="12">
        <f>(1-1/(1+'[1]McCulloch data set'!N225/100)^5)/((1/(1+'[1]McCulloch data set'!J225/100))+1/(1+'[1]McCulloch data set'!K225/100)^2+1/(1+'[1]McCulloch data set'!L225/100)^3+1/(1+'[1]McCulloch data set'!M225/100)^4+1/(1+'[1]McCulloch data set'!N225/100)^5)</f>
        <v>4.1366778630344991E-2</v>
      </c>
      <c r="C227" s="12">
        <f>(1-1/(1+'[1]McCulloch data set'!N225/100)^10)/((1/(1+'[1]McCulloch data set'!J225/100))+1/(1+'[1]McCulloch data set'!K225/100)^2+1/(1+'[1]McCulloch data set'!L225/100)^3+1/(1+'[1]McCulloch data set'!M225/100)^4+1/(1+'[1]McCulloch data set'!N225/100)^5+1/(1+('[1]McCulloch data set'!N225+'[1]McCulloch data set'!O225)/2/100)^6+1/(1+('[1]McCulloch data set'!N225+'[1]McCulloch data set'!O225)/2/100)^7+1/(1+('[1]McCulloch data set'!N225+'[1]McCulloch data set'!O225)/2/100)^8+1/(1+('[1]McCulloch data set'!N225+'[1]McCulloch data set'!O225)/2/100)^9+1/(1+('[1]McCulloch data set'!O225/100)^10))</f>
        <v>3.9767307256324311E-2</v>
      </c>
    </row>
    <row r="228" spans="1:3" ht="13.8" x14ac:dyDescent="0.25">
      <c r="A228" s="4" t="s">
        <v>240</v>
      </c>
      <c r="B228" s="12">
        <f>(1-1/(1+'[1]McCulloch data set'!N226/100)^5)/((1/(1+'[1]McCulloch data set'!J226/100))+1/(1+'[1]McCulloch data set'!K226/100)^2+1/(1+'[1]McCulloch data set'!L226/100)^3+1/(1+'[1]McCulloch data set'!M226/100)^4+1/(1+'[1]McCulloch data set'!N226/100)^5)</f>
        <v>4.1358968294277335E-2</v>
      </c>
      <c r="C228" s="12">
        <f>(1-1/(1+'[1]McCulloch data set'!N226/100)^10)/((1/(1+'[1]McCulloch data set'!J226/100))+1/(1+'[1]McCulloch data set'!K226/100)^2+1/(1+'[1]McCulloch data set'!L226/100)^3+1/(1+'[1]McCulloch data set'!M226/100)^4+1/(1+'[1]McCulloch data set'!N226/100)^5+1/(1+('[1]McCulloch data set'!N226+'[1]McCulloch data set'!O226)/2/100)^6+1/(1+('[1]McCulloch data set'!N226+'[1]McCulloch data set'!O226)/2/100)^7+1/(1+('[1]McCulloch data set'!N226+'[1]McCulloch data set'!O226)/2/100)^8+1/(1+('[1]McCulloch data set'!N226+'[1]McCulloch data set'!O226)/2/100)^9+1/(1+('[1]McCulloch data set'!O226/100)^10))</f>
        <v>3.9778319593642017E-2</v>
      </c>
    </row>
    <row r="229" spans="1:3" ht="13.8" x14ac:dyDescent="0.25">
      <c r="A229" s="4" t="s">
        <v>241</v>
      </c>
      <c r="B229" s="12">
        <f>(1-1/(1+'[1]McCulloch data set'!N227/100)^5)/((1/(1+'[1]McCulloch data set'!J227/100))+1/(1+'[1]McCulloch data set'!K227/100)^2+1/(1+'[1]McCulloch data set'!L227/100)^3+1/(1+'[1]McCulloch data set'!M227/100)^4+1/(1+'[1]McCulloch data set'!N227/100)^5)</f>
        <v>4.1024963208196152E-2</v>
      </c>
      <c r="C229" s="12">
        <f>(1-1/(1+'[1]McCulloch data set'!N227/100)^10)/((1/(1+'[1]McCulloch data set'!J227/100))+1/(1+'[1]McCulloch data set'!K227/100)^2+1/(1+'[1]McCulloch data set'!L227/100)^3+1/(1+'[1]McCulloch data set'!M227/100)^4+1/(1+'[1]McCulloch data set'!N227/100)^5+1/(1+('[1]McCulloch data set'!N227+'[1]McCulloch data set'!O227)/2/100)^6+1/(1+('[1]McCulloch data set'!N227+'[1]McCulloch data set'!O227)/2/100)^7+1/(1+('[1]McCulloch data set'!N227+'[1]McCulloch data set'!O227)/2/100)^8+1/(1+('[1]McCulloch data set'!N227+'[1]McCulloch data set'!O227)/2/100)^9+1/(1+('[1]McCulloch data set'!O227/100)^10))</f>
        <v>3.9484040564012952E-2</v>
      </c>
    </row>
    <row r="230" spans="1:3" ht="13.8" x14ac:dyDescent="0.25">
      <c r="A230" s="4" t="s">
        <v>242</v>
      </c>
      <c r="B230" s="12">
        <f>(1-1/(1+'[1]McCulloch data set'!N228/100)^5)/((1/(1+'[1]McCulloch data set'!J228/100))+1/(1+'[1]McCulloch data set'!K228/100)^2+1/(1+'[1]McCulloch data set'!L228/100)^3+1/(1+'[1]McCulloch data set'!M228/100)^4+1/(1+'[1]McCulloch data set'!N228/100)^5)</f>
        <v>4.1646408947400279E-2</v>
      </c>
      <c r="C230" s="12">
        <f>(1-1/(1+'[1]McCulloch data set'!N228/100)^10)/((1/(1+'[1]McCulloch data set'!J228/100))+1/(1+'[1]McCulloch data set'!K228/100)^2+1/(1+'[1]McCulloch data set'!L228/100)^3+1/(1+'[1]McCulloch data set'!M228/100)^4+1/(1+'[1]McCulloch data set'!N228/100)^5+1/(1+('[1]McCulloch data set'!N228+'[1]McCulloch data set'!O228)/2/100)^6+1/(1+('[1]McCulloch data set'!N228+'[1]McCulloch data set'!O228)/2/100)^7+1/(1+('[1]McCulloch data set'!N228+'[1]McCulloch data set'!O228)/2/100)^8+1/(1+('[1]McCulloch data set'!N228+'[1]McCulloch data set'!O228)/2/100)^9+1/(1+('[1]McCulloch data set'!O228/100)^10))</f>
        <v>4.0028627540250501E-2</v>
      </c>
    </row>
    <row r="231" spans="1:3" ht="13.8" x14ac:dyDescent="0.25">
      <c r="A231" s="4" t="s">
        <v>243</v>
      </c>
      <c r="B231" s="12">
        <f>(1-1/(1+'[1]McCulloch data set'!N229/100)^5)/((1/(1+'[1]McCulloch data set'!J229/100))+1/(1+'[1]McCulloch data set'!K229/100)^2+1/(1+'[1]McCulloch data set'!L229/100)^3+1/(1+'[1]McCulloch data set'!M229/100)^4+1/(1+'[1]McCulloch data set'!N229/100)^5)</f>
        <v>4.2247754250335764E-2</v>
      </c>
      <c r="C231" s="12">
        <f>(1-1/(1+'[1]McCulloch data set'!N229/100)^10)/((1/(1+'[1]McCulloch data set'!J229/100))+1/(1+'[1]McCulloch data set'!K229/100)^2+1/(1+'[1]McCulloch data set'!L229/100)^3+1/(1+'[1]McCulloch data set'!M229/100)^4+1/(1+'[1]McCulloch data set'!N229/100)^5+1/(1+('[1]McCulloch data set'!N229+'[1]McCulloch data set'!O229)/2/100)^6+1/(1+('[1]McCulloch data set'!N229+'[1]McCulloch data set'!O229)/2/100)^7+1/(1+('[1]McCulloch data set'!N229+'[1]McCulloch data set'!O229)/2/100)^8+1/(1+('[1]McCulloch data set'!N229+'[1]McCulloch data set'!O229)/2/100)^9+1/(1+('[1]McCulloch data set'!O229/100)^10))</f>
        <v>4.0582197115841809E-2</v>
      </c>
    </row>
    <row r="232" spans="1:3" ht="13.8" x14ac:dyDescent="0.25">
      <c r="A232" s="4" t="s">
        <v>244</v>
      </c>
      <c r="B232" s="12">
        <f>(1-1/(1+'[1]McCulloch data set'!N230/100)^5)/((1/(1+'[1]McCulloch data set'!J230/100))+1/(1+'[1]McCulloch data set'!K230/100)^2+1/(1+'[1]McCulloch data set'!L230/100)^3+1/(1+'[1]McCulloch data set'!M230/100)^4+1/(1+'[1]McCulloch data set'!N230/100)^5)</f>
        <v>4.358170910948872E-2</v>
      </c>
      <c r="C232" s="12">
        <f>(1-1/(1+'[1]McCulloch data set'!N230/100)^10)/((1/(1+'[1]McCulloch data set'!J230/100))+1/(1+'[1]McCulloch data set'!K230/100)^2+1/(1+'[1]McCulloch data set'!L230/100)^3+1/(1+'[1]McCulloch data set'!M230/100)^4+1/(1+'[1]McCulloch data set'!N230/100)^5+1/(1+('[1]McCulloch data set'!N230+'[1]McCulloch data set'!O230)/2/100)^6+1/(1+('[1]McCulloch data set'!N230+'[1]McCulloch data set'!O230)/2/100)^7+1/(1+('[1]McCulloch data set'!N230+'[1]McCulloch data set'!O230)/2/100)^8+1/(1+('[1]McCulloch data set'!N230+'[1]McCulloch data set'!O230)/2/100)^9+1/(1+('[1]McCulloch data set'!O230/100)^10))</f>
        <v>4.1795207817689042E-2</v>
      </c>
    </row>
    <row r="233" spans="1:3" ht="13.8" x14ac:dyDescent="0.25">
      <c r="A233" s="4" t="s">
        <v>245</v>
      </c>
      <c r="B233" s="12">
        <f>(1-1/(1+'[1]McCulloch data set'!N231/100)^5)/((1/(1+'[1]McCulloch data set'!J231/100))+1/(1+'[1]McCulloch data set'!K231/100)^2+1/(1+'[1]McCulloch data set'!L231/100)^3+1/(1+'[1]McCulloch data set'!M231/100)^4+1/(1+'[1]McCulloch data set'!N231/100)^5)</f>
        <v>4.4367597660775221E-2</v>
      </c>
      <c r="C233" s="12">
        <f>(1-1/(1+'[1]McCulloch data set'!N231/100)^10)/((1/(1+'[1]McCulloch data set'!J231/100))+1/(1+'[1]McCulloch data set'!K231/100)^2+1/(1+'[1]McCulloch data set'!L231/100)^3+1/(1+'[1]McCulloch data set'!M231/100)^4+1/(1+'[1]McCulloch data set'!N231/100)^5+1/(1+('[1]McCulloch data set'!N231+'[1]McCulloch data set'!O231)/2/100)^6+1/(1+('[1]McCulloch data set'!N231+'[1]McCulloch data set'!O231)/2/100)^7+1/(1+('[1]McCulloch data set'!N231+'[1]McCulloch data set'!O231)/2/100)^8+1/(1+('[1]McCulloch data set'!N231+'[1]McCulloch data set'!O231)/2/100)^9+1/(1+('[1]McCulloch data set'!O231/100)^10))</f>
        <v>4.2506543899232571E-2</v>
      </c>
    </row>
    <row r="234" spans="1:3" ht="13.8" x14ac:dyDescent="0.25">
      <c r="A234" s="4" t="s">
        <v>246</v>
      </c>
      <c r="B234" s="12">
        <f>(1-1/(1+'[1]McCulloch data set'!N232/100)^5)/((1/(1+'[1]McCulloch data set'!J232/100))+1/(1+'[1]McCulloch data set'!K232/100)^2+1/(1+'[1]McCulloch data set'!L232/100)^3+1/(1+'[1]McCulloch data set'!M232/100)^4+1/(1+'[1]McCulloch data set'!N232/100)^5)</f>
        <v>4.5569099938325655E-2</v>
      </c>
      <c r="C234" s="12">
        <f>(1-1/(1+'[1]McCulloch data set'!N232/100)^10)/((1/(1+'[1]McCulloch data set'!J232/100))+1/(1+'[1]McCulloch data set'!K232/100)^2+1/(1+'[1]McCulloch data set'!L232/100)^3+1/(1+'[1]McCulloch data set'!M232/100)^4+1/(1+'[1]McCulloch data set'!N232/100)^5+1/(1+('[1]McCulloch data set'!N232+'[1]McCulloch data set'!O232)/2/100)^6+1/(1+('[1]McCulloch data set'!N232+'[1]McCulloch data set'!O232)/2/100)^7+1/(1+('[1]McCulloch data set'!N232+'[1]McCulloch data set'!O232)/2/100)^8+1/(1+('[1]McCulloch data set'!N232+'[1]McCulloch data set'!O232)/2/100)^9+1/(1+('[1]McCulloch data set'!O232/100)^10))</f>
        <v>4.3584834380987376E-2</v>
      </c>
    </row>
    <row r="235" spans="1:3" ht="13.8" x14ac:dyDescent="0.25">
      <c r="A235" s="4" t="s">
        <v>247</v>
      </c>
      <c r="B235" s="12">
        <f>(1-1/(1+'[1]McCulloch data set'!N233/100)^5)/((1/(1+'[1]McCulloch data set'!J233/100))+1/(1+'[1]McCulloch data set'!K233/100)^2+1/(1+'[1]McCulloch data set'!L233/100)^3+1/(1+'[1]McCulloch data set'!M233/100)^4+1/(1+'[1]McCulloch data set'!N233/100)^5)</f>
        <v>4.9782789358975586E-2</v>
      </c>
      <c r="C235" s="12">
        <f>(1-1/(1+'[1]McCulloch data set'!N233/100)^10)/((1/(1+'[1]McCulloch data set'!J233/100))+1/(1+'[1]McCulloch data set'!K233/100)^2+1/(1+'[1]McCulloch data set'!L233/100)^3+1/(1+'[1]McCulloch data set'!M233/100)^4+1/(1+'[1]McCulloch data set'!N233/100)^5+1/(1+('[1]McCulloch data set'!N233+'[1]McCulloch data set'!O233)/2/100)^6+1/(1+('[1]McCulloch data set'!N233+'[1]McCulloch data set'!O233)/2/100)^7+1/(1+('[1]McCulloch data set'!N233+'[1]McCulloch data set'!O233)/2/100)^8+1/(1+('[1]McCulloch data set'!N233+'[1]McCulloch data set'!O233)/2/100)^9+1/(1+('[1]McCulloch data set'!O233/100)^10))</f>
        <v>4.723292338459692E-2</v>
      </c>
    </row>
    <row r="236" spans="1:3" ht="13.8" x14ac:dyDescent="0.25">
      <c r="A236" s="4" t="s">
        <v>248</v>
      </c>
      <c r="B236" s="12">
        <f>(1-1/(1+'[1]McCulloch data set'!N234/100)^5)/((1/(1+'[1]McCulloch data set'!J234/100))+1/(1+'[1]McCulloch data set'!K234/100)^2+1/(1+'[1]McCulloch data set'!L234/100)^3+1/(1+'[1]McCulloch data set'!M234/100)^4+1/(1+'[1]McCulloch data set'!N234/100)^5)</f>
        <v>5.0236012570100734E-2</v>
      </c>
      <c r="C236" s="12">
        <f>(1-1/(1+'[1]McCulloch data set'!N234/100)^10)/((1/(1+'[1]McCulloch data set'!J234/100))+1/(1+'[1]McCulloch data set'!K234/100)^2+1/(1+'[1]McCulloch data set'!L234/100)^3+1/(1+'[1]McCulloch data set'!M234/100)^4+1/(1+'[1]McCulloch data set'!N234/100)^5+1/(1+('[1]McCulloch data set'!N234+'[1]McCulloch data set'!O234)/2/100)^6+1/(1+('[1]McCulloch data set'!N234+'[1]McCulloch data set'!O234)/2/100)^7+1/(1+('[1]McCulloch data set'!N234+'[1]McCulloch data set'!O234)/2/100)^8+1/(1+('[1]McCulloch data set'!N234+'[1]McCulloch data set'!O234)/2/100)^9+1/(1+('[1]McCulloch data set'!O234/100)^10))</f>
        <v>4.7685027706763132E-2</v>
      </c>
    </row>
    <row r="237" spans="1:3" ht="13.8" x14ac:dyDescent="0.25">
      <c r="A237" s="4" t="s">
        <v>249</v>
      </c>
      <c r="B237" s="12">
        <f>(1-1/(1+'[1]McCulloch data set'!N235/100)^5)/((1/(1+'[1]McCulloch data set'!J235/100))+1/(1+'[1]McCulloch data set'!K235/100)^2+1/(1+'[1]McCulloch data set'!L235/100)^3+1/(1+'[1]McCulloch data set'!M235/100)^4+1/(1+'[1]McCulloch data set'!N235/100)^5)</f>
        <v>5.2729896067783381E-2</v>
      </c>
      <c r="C237" s="12">
        <f>(1-1/(1+'[1]McCulloch data set'!N235/100)^10)/((1/(1+'[1]McCulloch data set'!J235/100))+1/(1+'[1]McCulloch data set'!K235/100)^2+1/(1+'[1]McCulloch data set'!L235/100)^3+1/(1+'[1]McCulloch data set'!M235/100)^4+1/(1+'[1]McCulloch data set'!N235/100)^5+1/(1+('[1]McCulloch data set'!N235+'[1]McCulloch data set'!O235)/2/100)^6+1/(1+('[1]McCulloch data set'!N235+'[1]McCulloch data set'!O235)/2/100)^7+1/(1+('[1]McCulloch data set'!N235+'[1]McCulloch data set'!O235)/2/100)^8+1/(1+('[1]McCulloch data set'!N235+'[1]McCulloch data set'!O235)/2/100)^9+1/(1+('[1]McCulloch data set'!O235/100)^10))</f>
        <v>5.0068198812139114E-2</v>
      </c>
    </row>
    <row r="238" spans="1:3" ht="13.8" x14ac:dyDescent="0.25">
      <c r="A238" s="4" t="s">
        <v>250</v>
      </c>
      <c r="B238" s="12">
        <f>(1-1/(1+'[1]McCulloch data set'!N236/100)^5)/((1/(1+'[1]McCulloch data set'!J236/100))+1/(1+'[1]McCulloch data set'!K236/100)^2+1/(1+'[1]McCulloch data set'!L236/100)^3+1/(1+'[1]McCulloch data set'!M236/100)^4+1/(1+'[1]McCulloch data set'!N236/100)^5)</f>
        <v>4.9637836213070691E-2</v>
      </c>
      <c r="C238" s="12">
        <f>(1-1/(1+'[1]McCulloch data set'!N236/100)^10)/((1/(1+'[1]McCulloch data set'!J236/100))+1/(1+'[1]McCulloch data set'!K236/100)^2+1/(1+'[1]McCulloch data set'!L236/100)^3+1/(1+'[1]McCulloch data set'!M236/100)^4+1/(1+'[1]McCulloch data set'!N236/100)^5+1/(1+('[1]McCulloch data set'!N236+'[1]McCulloch data set'!O236)/2/100)^6+1/(1+('[1]McCulloch data set'!N236+'[1]McCulloch data set'!O236)/2/100)^7+1/(1+('[1]McCulloch data set'!N236+'[1]McCulloch data set'!O236)/2/100)^8+1/(1+('[1]McCulloch data set'!N236+'[1]McCulloch data set'!O236)/2/100)^9+1/(1+('[1]McCulloch data set'!O236/100)^10))</f>
        <v>4.7194724440650739E-2</v>
      </c>
    </row>
    <row r="239" spans="1:3" ht="13.8" x14ac:dyDescent="0.25">
      <c r="A239" s="4" t="s">
        <v>251</v>
      </c>
      <c r="B239" s="12">
        <f>(1-1/(1+'[1]McCulloch data set'!N237/100)^5)/((1/(1+'[1]McCulloch data set'!J237/100))+1/(1+'[1]McCulloch data set'!K237/100)^2+1/(1+'[1]McCulloch data set'!L237/100)^3+1/(1+'[1]McCulloch data set'!M237/100)^4+1/(1+'[1]McCulloch data set'!N237/100)^5)</f>
        <v>5.020235744220343E-2</v>
      </c>
      <c r="C239" s="12">
        <f>(1-1/(1+'[1]McCulloch data set'!N237/100)^10)/((1/(1+'[1]McCulloch data set'!J237/100))+1/(1+'[1]McCulloch data set'!K237/100)^2+1/(1+'[1]McCulloch data set'!L237/100)^3+1/(1+'[1]McCulloch data set'!M237/100)^4+1/(1+'[1]McCulloch data set'!N237/100)^5+1/(1+('[1]McCulloch data set'!N237+'[1]McCulloch data set'!O237)/2/100)^6+1/(1+('[1]McCulloch data set'!N237+'[1]McCulloch data set'!O237)/2/100)^7+1/(1+('[1]McCulloch data set'!N237+'[1]McCulloch data set'!O237)/2/100)^8+1/(1+('[1]McCulloch data set'!N237+'[1]McCulloch data set'!O237)/2/100)^9+1/(1+('[1]McCulloch data set'!O237/100)^10))</f>
        <v>4.7761009758882519E-2</v>
      </c>
    </row>
    <row r="240" spans="1:3" ht="13.8" x14ac:dyDescent="0.25">
      <c r="A240" s="4" t="s">
        <v>252</v>
      </c>
      <c r="B240" s="12">
        <f>(1-1/(1+'[1]McCulloch data set'!N238/100)^5)/((1/(1+'[1]McCulloch data set'!J238/100))+1/(1+'[1]McCulloch data set'!K238/100)^2+1/(1+'[1]McCulloch data set'!L238/100)^3+1/(1+'[1]McCulloch data set'!M238/100)^4+1/(1+'[1]McCulloch data set'!N238/100)^5)</f>
        <v>5.1192610792727543E-2</v>
      </c>
      <c r="C240" s="12">
        <f>(1-1/(1+'[1]McCulloch data set'!N238/100)^10)/((1/(1+'[1]McCulloch data set'!J238/100))+1/(1+'[1]McCulloch data set'!K238/100)^2+1/(1+'[1]McCulloch data set'!L238/100)^3+1/(1+'[1]McCulloch data set'!M238/100)^4+1/(1+'[1]McCulloch data set'!N238/100)^5+1/(1+('[1]McCulloch data set'!N238+'[1]McCulloch data set'!O238)/2/100)^6+1/(1+('[1]McCulloch data set'!N238+'[1]McCulloch data set'!O238)/2/100)^7+1/(1+('[1]McCulloch data set'!N238+'[1]McCulloch data set'!O238)/2/100)^8+1/(1+('[1]McCulloch data set'!N238+'[1]McCulloch data set'!O238)/2/100)^9+1/(1+('[1]McCulloch data set'!O238/100)^10))</f>
        <v>4.856261655274368E-2</v>
      </c>
    </row>
    <row r="241" spans="1:3" ht="13.8" x14ac:dyDescent="0.25">
      <c r="A241" s="4" t="s">
        <v>253</v>
      </c>
      <c r="B241" s="12">
        <f>(1-1/(1+'[1]McCulloch data set'!N239/100)^5)/((1/(1+'[1]McCulloch data set'!J239/100))+1/(1+'[1]McCulloch data set'!K239/100)^2+1/(1+'[1]McCulloch data set'!L239/100)^3+1/(1+'[1]McCulloch data set'!M239/100)^4+1/(1+'[1]McCulloch data set'!N239/100)^5)</f>
        <v>5.2652136824102656E-2</v>
      </c>
      <c r="C241" s="12">
        <f>(1-1/(1+'[1]McCulloch data set'!N239/100)^10)/((1/(1+'[1]McCulloch data set'!J239/100))+1/(1+'[1]McCulloch data set'!K239/100)^2+1/(1+'[1]McCulloch data set'!L239/100)^3+1/(1+'[1]McCulloch data set'!M239/100)^4+1/(1+'[1]McCulloch data set'!N239/100)^5+1/(1+('[1]McCulloch data set'!N239+'[1]McCulloch data set'!O239)/2/100)^6+1/(1+('[1]McCulloch data set'!N239+'[1]McCulloch data set'!O239)/2/100)^7+1/(1+('[1]McCulloch data set'!N239+'[1]McCulloch data set'!O239)/2/100)^8+1/(1+('[1]McCulloch data set'!N239+'[1]McCulloch data set'!O239)/2/100)^9+1/(1+('[1]McCulloch data set'!O239/100)^10))</f>
        <v>4.9907825311708155E-2</v>
      </c>
    </row>
    <row r="242" spans="1:3" ht="13.8" x14ac:dyDescent="0.25">
      <c r="A242" s="4" t="s">
        <v>254</v>
      </c>
      <c r="B242" s="12">
        <f>(1-1/(1+'[1]McCulloch data set'!N240/100)^5)/((1/(1+'[1]McCulloch data set'!J240/100))+1/(1+'[1]McCulloch data set'!K240/100)^2+1/(1+'[1]McCulloch data set'!L240/100)^3+1/(1+'[1]McCulloch data set'!M240/100)^4+1/(1+'[1]McCulloch data set'!N240/100)^5)</f>
        <v>5.4572180263252022E-2</v>
      </c>
      <c r="C242" s="12">
        <f>(1-1/(1+'[1]McCulloch data set'!N240/100)^10)/((1/(1+'[1]McCulloch data set'!J240/100))+1/(1+'[1]McCulloch data set'!K240/100)^2+1/(1+'[1]McCulloch data set'!L240/100)^3+1/(1+'[1]McCulloch data set'!M240/100)^4+1/(1+'[1]McCulloch data set'!N240/100)^5+1/(1+('[1]McCulloch data set'!N240+'[1]McCulloch data set'!O240)/2/100)^6+1/(1+('[1]McCulloch data set'!N240+'[1]McCulloch data set'!O240)/2/100)^7+1/(1+('[1]McCulloch data set'!N240+'[1]McCulloch data set'!O240)/2/100)^8+1/(1+('[1]McCulloch data set'!N240+'[1]McCulloch data set'!O240)/2/100)^9+1/(1+('[1]McCulloch data set'!O240/100)^10))</f>
        <v>5.1635646315334675E-2</v>
      </c>
    </row>
    <row r="243" spans="1:3" ht="13.8" x14ac:dyDescent="0.25">
      <c r="A243" s="4" t="s">
        <v>255</v>
      </c>
      <c r="B243" s="12">
        <f>(1-1/(1+'[1]McCulloch data set'!N241/100)^5)/((1/(1+'[1]McCulloch data set'!J241/100))+1/(1+'[1]McCulloch data set'!K241/100)^2+1/(1+'[1]McCulloch data set'!L241/100)^3+1/(1+'[1]McCulloch data set'!M241/100)^4+1/(1+'[1]McCulloch data set'!N241/100)^5)</f>
        <v>6.0307337900993505E-2</v>
      </c>
      <c r="C243" s="12">
        <f>(1-1/(1+'[1]McCulloch data set'!N241/100)^10)/((1/(1+'[1]McCulloch data set'!J241/100))+1/(1+'[1]McCulloch data set'!K241/100)^2+1/(1+'[1]McCulloch data set'!L241/100)^3+1/(1+'[1]McCulloch data set'!M241/100)^4+1/(1+'[1]McCulloch data set'!N241/100)^5+1/(1+('[1]McCulloch data set'!N241+'[1]McCulloch data set'!O241)/2/100)^6+1/(1+('[1]McCulloch data set'!N241+'[1]McCulloch data set'!O241)/2/100)^7+1/(1+('[1]McCulloch data set'!N241+'[1]McCulloch data set'!O241)/2/100)^8+1/(1+('[1]McCulloch data set'!N241+'[1]McCulloch data set'!O241)/2/100)^9+1/(1+('[1]McCulloch data set'!O241/100)^10))</f>
        <v>5.6506104822391739E-2</v>
      </c>
    </row>
    <row r="244" spans="1:3" ht="13.8" x14ac:dyDescent="0.25">
      <c r="A244" s="4" t="s">
        <v>256</v>
      </c>
      <c r="B244" s="12">
        <f>(1-1/(1+'[1]McCulloch data set'!N242/100)^5)/((1/(1+'[1]McCulloch data set'!J242/100))+1/(1+'[1]McCulloch data set'!K242/100)^2+1/(1+'[1]McCulloch data set'!L242/100)^3+1/(1+'[1]McCulloch data set'!M242/100)^4+1/(1+'[1]McCulloch data set'!N242/100)^5)</f>
        <v>5.4470375930486953E-2</v>
      </c>
      <c r="C244" s="12">
        <f>(1-1/(1+'[1]McCulloch data set'!N242/100)^10)/((1/(1+'[1]McCulloch data set'!J242/100))+1/(1+'[1]McCulloch data set'!K242/100)^2+1/(1+'[1]McCulloch data set'!L242/100)^3+1/(1+'[1]McCulloch data set'!M242/100)^4+1/(1+'[1]McCulloch data set'!N242/100)^5+1/(1+('[1]McCulloch data set'!N242+'[1]McCulloch data set'!O242)/2/100)^6+1/(1+('[1]McCulloch data set'!N242+'[1]McCulloch data set'!O242)/2/100)^7+1/(1+('[1]McCulloch data set'!N242+'[1]McCulloch data set'!O242)/2/100)^8+1/(1+('[1]McCulloch data set'!N242+'[1]McCulloch data set'!O242)/2/100)^9+1/(1+('[1]McCulloch data set'!O242/100)^10))</f>
        <v>5.1334367324441486E-2</v>
      </c>
    </row>
    <row r="245" spans="1:3" ht="13.8" x14ac:dyDescent="0.25">
      <c r="A245" s="4" t="s">
        <v>257</v>
      </c>
      <c r="B245" s="12">
        <f>(1-1/(1+'[1]McCulloch data set'!N243/100)^5)/((1/(1+'[1]McCulloch data set'!J243/100))+1/(1+'[1]McCulloch data set'!K243/100)^2+1/(1+'[1]McCulloch data set'!L243/100)^3+1/(1+'[1]McCulloch data set'!M243/100)^4+1/(1+'[1]McCulloch data set'!N243/100)^5)</f>
        <v>5.3964578424475468E-2</v>
      </c>
      <c r="C245" s="12">
        <f>(1-1/(1+'[1]McCulloch data set'!N243/100)^10)/((1/(1+'[1]McCulloch data set'!J243/100))+1/(1+'[1]McCulloch data set'!K243/100)^2+1/(1+'[1]McCulloch data set'!L243/100)^3+1/(1+'[1]McCulloch data set'!M243/100)^4+1/(1+'[1]McCulloch data set'!N243/100)^5+1/(1+('[1]McCulloch data set'!N243+'[1]McCulloch data set'!O243)/2/100)^6+1/(1+('[1]McCulloch data set'!N243+'[1]McCulloch data set'!O243)/2/100)^7+1/(1+('[1]McCulloch data set'!N243+'[1]McCulloch data set'!O243)/2/100)^8+1/(1+('[1]McCulloch data set'!N243+'[1]McCulloch data set'!O243)/2/100)^9+1/(1+('[1]McCulloch data set'!O243/100)^10))</f>
        <v>5.0952993400749082E-2</v>
      </c>
    </row>
    <row r="246" spans="1:3" ht="13.8" x14ac:dyDescent="0.25">
      <c r="A246" s="4" t="s">
        <v>258</v>
      </c>
      <c r="B246" s="12">
        <f>(1-1/(1+'[1]McCulloch data set'!N244/100)^5)/((1/(1+'[1]McCulloch data set'!J244/100))+1/(1+'[1]McCulloch data set'!K244/100)^2+1/(1+'[1]McCulloch data set'!L244/100)^3+1/(1+'[1]McCulloch data set'!M244/100)^4+1/(1+'[1]McCulloch data set'!N244/100)^5)</f>
        <v>5.3849051553840864E-2</v>
      </c>
      <c r="C246" s="12">
        <f>(1-1/(1+'[1]McCulloch data set'!N244/100)^10)/((1/(1+'[1]McCulloch data set'!J244/100))+1/(1+'[1]McCulloch data set'!K244/100)^2+1/(1+'[1]McCulloch data set'!L244/100)^3+1/(1+'[1]McCulloch data set'!M244/100)^4+1/(1+'[1]McCulloch data set'!N244/100)^5+1/(1+('[1]McCulloch data set'!N244+'[1]McCulloch data set'!O244)/2/100)^6+1/(1+('[1]McCulloch data set'!N244+'[1]McCulloch data set'!O244)/2/100)^7+1/(1+('[1]McCulloch data set'!N244+'[1]McCulloch data set'!O244)/2/100)^8+1/(1+('[1]McCulloch data set'!N244+'[1]McCulloch data set'!O244)/2/100)^9+1/(1+('[1]McCulloch data set'!O244/100)^10))</f>
        <v>5.0977905056699108E-2</v>
      </c>
    </row>
    <row r="247" spans="1:3" ht="13.8" x14ac:dyDescent="0.25">
      <c r="A247" s="4" t="s">
        <v>259</v>
      </c>
      <c r="B247" s="12">
        <f>(1-1/(1+'[1]McCulloch data set'!N245/100)^5)/((1/(1+'[1]McCulloch data set'!J245/100))+1/(1+'[1]McCulloch data set'!K245/100)^2+1/(1+'[1]McCulloch data set'!L245/100)^3+1/(1+'[1]McCulloch data set'!M245/100)^4+1/(1+'[1]McCulloch data set'!N245/100)^5)</f>
        <v>4.8797259848749427E-2</v>
      </c>
      <c r="C247" s="12">
        <f>(1-1/(1+'[1]McCulloch data set'!N245/100)^10)/((1/(1+'[1]McCulloch data set'!J245/100))+1/(1+'[1]McCulloch data set'!K245/100)^2+1/(1+'[1]McCulloch data set'!L245/100)^3+1/(1+'[1]McCulloch data set'!M245/100)^4+1/(1+'[1]McCulloch data set'!N245/100)^5+1/(1+('[1]McCulloch data set'!N245+'[1]McCulloch data set'!O245)/2/100)^6+1/(1+('[1]McCulloch data set'!N245+'[1]McCulloch data set'!O245)/2/100)^7+1/(1+('[1]McCulloch data set'!N245+'[1]McCulloch data set'!O245)/2/100)^8+1/(1+('[1]McCulloch data set'!N245+'[1]McCulloch data set'!O245)/2/100)^9+1/(1+('[1]McCulloch data set'!O245/100)^10))</f>
        <v>4.6402534627403944E-2</v>
      </c>
    </row>
    <row r="248" spans="1:3" ht="13.8" x14ac:dyDescent="0.25">
      <c r="A248" s="4" t="s">
        <v>260</v>
      </c>
      <c r="B248" s="12">
        <f>(1-1/(1+'[1]McCulloch data set'!N246/100)^5)/((1/(1+'[1]McCulloch data set'!J246/100))+1/(1+'[1]McCulloch data set'!K246/100)^2+1/(1+'[1]McCulloch data set'!L246/100)^3+1/(1+'[1]McCulloch data set'!M246/100)^4+1/(1+'[1]McCulloch data set'!N246/100)^5)</f>
        <v>4.6898341907141552E-2</v>
      </c>
      <c r="C248" s="12">
        <f>(1-1/(1+'[1]McCulloch data set'!N246/100)^10)/((1/(1+'[1]McCulloch data set'!J246/100))+1/(1+'[1]McCulloch data set'!K246/100)^2+1/(1+'[1]McCulloch data set'!L246/100)^3+1/(1+'[1]McCulloch data set'!M246/100)^4+1/(1+'[1]McCulloch data set'!N246/100)^5+1/(1+('[1]McCulloch data set'!N246+'[1]McCulloch data set'!O246)/2/100)^6+1/(1+('[1]McCulloch data set'!N246+'[1]McCulloch data set'!O246)/2/100)^7+1/(1+('[1]McCulloch data set'!N246+'[1]McCulloch data set'!O246)/2/100)^8+1/(1+('[1]McCulloch data set'!N246+'[1]McCulloch data set'!O246)/2/100)^9+1/(1+('[1]McCulloch data set'!O246/100)^10))</f>
        <v>4.475949023195238E-2</v>
      </c>
    </row>
    <row r="249" spans="1:3" ht="13.8" x14ac:dyDescent="0.25">
      <c r="A249" s="4" t="s">
        <v>261</v>
      </c>
      <c r="B249" s="12">
        <f>(1-1/(1+'[1]McCulloch data set'!N247/100)^5)/((1/(1+'[1]McCulloch data set'!J247/100))+1/(1+'[1]McCulloch data set'!K247/100)^2+1/(1+'[1]McCulloch data set'!L247/100)^3+1/(1+'[1]McCulloch data set'!M247/100)^4+1/(1+'[1]McCulloch data set'!N247/100)^5)</f>
        <v>4.8021934345790399E-2</v>
      </c>
      <c r="C249" s="12">
        <f>(1-1/(1+'[1]McCulloch data set'!N247/100)^10)/((1/(1+'[1]McCulloch data set'!J247/100))+1/(1+'[1]McCulloch data set'!K247/100)^2+1/(1+'[1]McCulloch data set'!L247/100)^3+1/(1+'[1]McCulloch data set'!M247/100)^4+1/(1+'[1]McCulloch data set'!N247/100)^5+1/(1+('[1]McCulloch data set'!N247+'[1]McCulloch data set'!O247)/2/100)^6+1/(1+('[1]McCulloch data set'!N247+'[1]McCulloch data set'!O247)/2/100)^7+1/(1+('[1]McCulloch data set'!N247+'[1]McCulloch data set'!O247)/2/100)^8+1/(1+('[1]McCulloch data set'!N247+'[1]McCulloch data set'!O247)/2/100)^9+1/(1+('[1]McCulloch data set'!O247/100)^10))</f>
        <v>4.585192539611007E-2</v>
      </c>
    </row>
    <row r="250" spans="1:3" ht="13.8" x14ac:dyDescent="0.25">
      <c r="A250" s="4" t="s">
        <v>262</v>
      </c>
      <c r="B250" s="12">
        <f>(1-1/(1+'[1]McCulloch data set'!N248/100)^5)/((1/(1+'[1]McCulloch data set'!J248/100))+1/(1+'[1]McCulloch data set'!K248/100)^2+1/(1+'[1]McCulloch data set'!L248/100)^3+1/(1+'[1]McCulloch data set'!M248/100)^4+1/(1+'[1]McCulloch data set'!N248/100)^5)</f>
        <v>4.4089377027833394E-2</v>
      </c>
      <c r="C250" s="12">
        <f>(1-1/(1+'[1]McCulloch data set'!N248/100)^10)/((1/(1+'[1]McCulloch data set'!J248/100))+1/(1+'[1]McCulloch data set'!K248/100)^2+1/(1+'[1]McCulloch data set'!L248/100)^3+1/(1+'[1]McCulloch data set'!M248/100)^4+1/(1+'[1]McCulloch data set'!N248/100)^5+1/(1+('[1]McCulloch data set'!N248+'[1]McCulloch data set'!O248)/2/100)^6+1/(1+('[1]McCulloch data set'!N248+'[1]McCulloch data set'!O248)/2/100)^7+1/(1+('[1]McCulloch data set'!N248+'[1]McCulloch data set'!O248)/2/100)^8+1/(1+('[1]McCulloch data set'!N248+'[1]McCulloch data set'!O248)/2/100)^9+1/(1+('[1]McCulloch data set'!O248/100)^10))</f>
        <v>4.2367223909015504E-2</v>
      </c>
    </row>
    <row r="251" spans="1:3" ht="13.8" x14ac:dyDescent="0.25">
      <c r="A251" s="4" t="s">
        <v>263</v>
      </c>
      <c r="B251" s="12">
        <f>(1-1/(1+'[1]McCulloch data set'!N249/100)^5)/((1/(1+'[1]McCulloch data set'!J249/100))+1/(1+'[1]McCulloch data set'!K249/100)^2+1/(1+'[1]McCulloch data set'!L249/100)^3+1/(1+'[1]McCulloch data set'!M249/100)^4+1/(1+'[1]McCulloch data set'!N249/100)^5)</f>
        <v>4.7010693450381218E-2</v>
      </c>
      <c r="C251" s="12">
        <f>(1-1/(1+'[1]McCulloch data set'!N249/100)^10)/((1/(1+'[1]McCulloch data set'!J249/100))+1/(1+'[1]McCulloch data set'!K249/100)^2+1/(1+'[1]McCulloch data set'!L249/100)^3+1/(1+'[1]McCulloch data set'!M249/100)^4+1/(1+'[1]McCulloch data set'!N249/100)^5+1/(1+('[1]McCulloch data set'!N249+'[1]McCulloch data set'!O249)/2/100)^6+1/(1+('[1]McCulloch data set'!N249+'[1]McCulloch data set'!O249)/2/100)^7+1/(1+('[1]McCulloch data set'!N249+'[1]McCulloch data set'!O249)/2/100)^8+1/(1+('[1]McCulloch data set'!N249+'[1]McCulloch data set'!O249)/2/100)^9+1/(1+('[1]McCulloch data set'!O249/100)^10))</f>
        <v>4.5097254235095044E-2</v>
      </c>
    </row>
    <row r="252" spans="1:3" ht="13.8" x14ac:dyDescent="0.25">
      <c r="A252" s="4" t="s">
        <v>264</v>
      </c>
      <c r="B252" s="12">
        <f>(1-1/(1+'[1]McCulloch data set'!N250/100)^5)/((1/(1+'[1]McCulloch data set'!J250/100))+1/(1+'[1]McCulloch data set'!K250/100)^2+1/(1+'[1]McCulloch data set'!L250/100)^3+1/(1+'[1]McCulloch data set'!M250/100)^4+1/(1+'[1]McCulloch data set'!N250/100)^5)</f>
        <v>4.6950369287727993E-2</v>
      </c>
      <c r="C252" s="12">
        <f>(1-1/(1+'[1]McCulloch data set'!N250/100)^10)/((1/(1+'[1]McCulloch data set'!J250/100))+1/(1+'[1]McCulloch data set'!K250/100)^2+1/(1+'[1]McCulloch data set'!L250/100)^3+1/(1+'[1]McCulloch data set'!M250/100)^4+1/(1+'[1]McCulloch data set'!N250/100)^5+1/(1+('[1]McCulloch data set'!N250+'[1]McCulloch data set'!O250)/2/100)^6+1/(1+('[1]McCulloch data set'!N250+'[1]McCulloch data set'!O250)/2/100)^7+1/(1+('[1]McCulloch data set'!N250+'[1]McCulloch data set'!O250)/2/100)^8+1/(1+('[1]McCulloch data set'!N250+'[1]McCulloch data set'!O250)/2/100)^9+1/(1+('[1]McCulloch data set'!O250/100)^10))</f>
        <v>4.5042672841293249E-2</v>
      </c>
    </row>
    <row r="253" spans="1:3" ht="13.8" x14ac:dyDescent="0.25">
      <c r="A253" s="4" t="s">
        <v>265</v>
      </c>
      <c r="B253" s="12">
        <f>(1-1/(1+'[1]McCulloch data set'!N251/100)^5)/((1/(1+'[1]McCulloch data set'!J251/100))+1/(1+'[1]McCulloch data set'!K251/100)^2+1/(1+'[1]McCulloch data set'!L251/100)^3+1/(1+'[1]McCulloch data set'!M251/100)^4+1/(1+'[1]McCulloch data set'!N251/100)^5)</f>
        <v>5.4030739854863646E-2</v>
      </c>
      <c r="C253" s="12">
        <f>(1-1/(1+'[1]McCulloch data set'!N251/100)^10)/((1/(1+'[1]McCulloch data set'!J251/100))+1/(1+'[1]McCulloch data set'!K251/100)^2+1/(1+'[1]McCulloch data set'!L251/100)^3+1/(1+'[1]McCulloch data set'!M251/100)^4+1/(1+'[1]McCulloch data set'!N251/100)^5+1/(1+('[1]McCulloch data set'!N251+'[1]McCulloch data set'!O251)/2/100)^6+1/(1+('[1]McCulloch data set'!N251+'[1]McCulloch data set'!O251)/2/100)^7+1/(1+('[1]McCulloch data set'!N251+'[1]McCulloch data set'!O251)/2/100)^8+1/(1+('[1]McCulloch data set'!N251+'[1]McCulloch data set'!O251)/2/100)^9+1/(1+('[1]McCulloch data set'!O251/100)^10))</f>
        <v>5.1339342561130673E-2</v>
      </c>
    </row>
    <row r="254" spans="1:3" ht="13.8" x14ac:dyDescent="0.25">
      <c r="A254" s="4" t="s">
        <v>266</v>
      </c>
      <c r="B254" s="12">
        <f>(1-1/(1+'[1]McCulloch data set'!N252/100)^5)/((1/(1+'[1]McCulloch data set'!J252/100))+1/(1+'[1]McCulloch data set'!K252/100)^2+1/(1+'[1]McCulloch data set'!L252/100)^3+1/(1+'[1]McCulloch data set'!M252/100)^4+1/(1+'[1]McCulloch data set'!N252/100)^5)</f>
        <v>5.1913922419663132E-2</v>
      </c>
      <c r="C254" s="12">
        <f>(1-1/(1+'[1]McCulloch data set'!N252/100)^10)/((1/(1+'[1]McCulloch data set'!J252/100))+1/(1+'[1]McCulloch data set'!K252/100)^2+1/(1+'[1]McCulloch data set'!L252/100)^3+1/(1+'[1]McCulloch data set'!M252/100)^4+1/(1+'[1]McCulloch data set'!N252/100)^5+1/(1+('[1]McCulloch data set'!N252+'[1]McCulloch data set'!O252)/2/100)^6+1/(1+('[1]McCulloch data set'!N252+'[1]McCulloch data set'!O252)/2/100)^7+1/(1+('[1]McCulloch data set'!N252+'[1]McCulloch data set'!O252)/2/100)^8+1/(1+('[1]McCulloch data set'!N252+'[1]McCulloch data set'!O252)/2/100)^9+1/(1+('[1]McCulloch data set'!O252/100)^10))</f>
        <v>4.9474795442321806E-2</v>
      </c>
    </row>
    <row r="255" spans="1:3" ht="13.8" x14ac:dyDescent="0.25">
      <c r="A255" s="4" t="s">
        <v>267</v>
      </c>
      <c r="B255" s="12">
        <f>(1-1/(1+'[1]McCulloch data set'!N253/100)^5)/((1/(1+'[1]McCulloch data set'!J253/100))+1/(1+'[1]McCulloch data set'!K253/100)^2+1/(1+'[1]McCulloch data set'!L253/100)^3+1/(1+'[1]McCulloch data set'!M253/100)^4+1/(1+'[1]McCulloch data set'!N253/100)^5)</f>
        <v>5.4340146924572466E-2</v>
      </c>
      <c r="C255" s="12">
        <f>(1-1/(1+'[1]McCulloch data set'!N253/100)^10)/((1/(1+'[1]McCulloch data set'!J253/100))+1/(1+'[1]McCulloch data set'!K253/100)^2+1/(1+'[1]McCulloch data set'!L253/100)^3+1/(1+'[1]McCulloch data set'!M253/100)^4+1/(1+'[1]McCulloch data set'!N253/100)^5+1/(1+('[1]McCulloch data set'!N253+'[1]McCulloch data set'!O253)/2/100)^6+1/(1+('[1]McCulloch data set'!N253+'[1]McCulloch data set'!O253)/2/100)^7+1/(1+('[1]McCulloch data set'!N253+'[1]McCulloch data set'!O253)/2/100)^8+1/(1+('[1]McCulloch data set'!N253+'[1]McCulloch data set'!O253)/2/100)^9+1/(1+('[1]McCulloch data set'!O253/100)^10))</f>
        <v>5.1550566745552459E-2</v>
      </c>
    </row>
    <row r="256" spans="1:3" ht="13.8" x14ac:dyDescent="0.25">
      <c r="A256" s="4" t="s">
        <v>268</v>
      </c>
      <c r="B256" s="12">
        <f>(1-1/(1+'[1]McCulloch data set'!N254/100)^5)/((1/(1+'[1]McCulloch data set'!J254/100))+1/(1+'[1]McCulloch data set'!K254/100)^2+1/(1+'[1]McCulloch data set'!L254/100)^3+1/(1+'[1]McCulloch data set'!M254/100)^4+1/(1+'[1]McCulloch data set'!N254/100)^5)</f>
        <v>5.5002825047897441E-2</v>
      </c>
      <c r="C256" s="12">
        <f>(1-1/(1+'[1]McCulloch data set'!N254/100)^10)/((1/(1+'[1]McCulloch data set'!J254/100))+1/(1+'[1]McCulloch data set'!K254/100)^2+1/(1+'[1]McCulloch data set'!L254/100)^3+1/(1+'[1]McCulloch data set'!M254/100)^4+1/(1+'[1]McCulloch data set'!N254/100)^5+1/(1+('[1]McCulloch data set'!N254+'[1]McCulloch data set'!O254)/2/100)^6+1/(1+('[1]McCulloch data set'!N254+'[1]McCulloch data set'!O254)/2/100)^7+1/(1+('[1]McCulloch data set'!N254+'[1]McCulloch data set'!O254)/2/100)^8+1/(1+('[1]McCulloch data set'!N254+'[1]McCulloch data set'!O254)/2/100)^9+1/(1+('[1]McCulloch data set'!O254/100)^10))</f>
        <v>5.2179224467908999E-2</v>
      </c>
    </row>
    <row r="257" spans="1:3" ht="13.8" x14ac:dyDescent="0.25">
      <c r="A257" s="4" t="s">
        <v>269</v>
      </c>
      <c r="B257" s="12">
        <f>(1-1/(1+'[1]McCulloch data set'!N255/100)^5)/((1/(1+'[1]McCulloch data set'!J255/100))+1/(1+'[1]McCulloch data set'!K255/100)^2+1/(1+'[1]McCulloch data set'!L255/100)^3+1/(1+'[1]McCulloch data set'!M255/100)^4+1/(1+'[1]McCulloch data set'!N255/100)^5)</f>
        <v>5.6730303141812259E-2</v>
      </c>
      <c r="C257" s="12">
        <f>(1-1/(1+'[1]McCulloch data set'!N255/100)^10)/((1/(1+'[1]McCulloch data set'!J255/100))+1/(1+'[1]McCulloch data set'!K255/100)^2+1/(1+'[1]McCulloch data set'!L255/100)^3+1/(1+'[1]McCulloch data set'!M255/100)^4+1/(1+'[1]McCulloch data set'!N255/100)^5+1/(1+('[1]McCulloch data set'!N255+'[1]McCulloch data set'!O255)/2/100)^6+1/(1+('[1]McCulloch data set'!N255+'[1]McCulloch data set'!O255)/2/100)^7+1/(1+('[1]McCulloch data set'!N255+'[1]McCulloch data set'!O255)/2/100)^8+1/(1+('[1]McCulloch data set'!N255+'[1]McCulloch data set'!O255)/2/100)^9+1/(1+('[1]McCulloch data set'!O255/100)^10))</f>
        <v>5.3730634582681763E-2</v>
      </c>
    </row>
    <row r="258" spans="1:3" ht="13.8" x14ac:dyDescent="0.25">
      <c r="A258" s="4" t="s">
        <v>270</v>
      </c>
      <c r="B258" s="12">
        <f>(1-1/(1+'[1]McCulloch data set'!N256/100)^5)/((1/(1+'[1]McCulloch data set'!J256/100))+1/(1+'[1]McCulloch data set'!K256/100)^2+1/(1+'[1]McCulloch data set'!L256/100)^3+1/(1+'[1]McCulloch data set'!M256/100)^4+1/(1+'[1]McCulloch data set'!N256/100)^5)</f>
        <v>5.7702899687873822E-2</v>
      </c>
      <c r="C258" s="12">
        <f>(1-1/(1+'[1]McCulloch data set'!N256/100)^10)/((1/(1+'[1]McCulloch data set'!J256/100))+1/(1+'[1]McCulloch data set'!K256/100)^2+1/(1+'[1]McCulloch data set'!L256/100)^3+1/(1+'[1]McCulloch data set'!M256/100)^4+1/(1+'[1]McCulloch data set'!N256/100)^5+1/(1+('[1]McCulloch data set'!N256+'[1]McCulloch data set'!O256)/2/100)^6+1/(1+('[1]McCulloch data set'!N256+'[1]McCulloch data set'!O256)/2/100)^7+1/(1+('[1]McCulloch data set'!N256+'[1]McCulloch data set'!O256)/2/100)^8+1/(1+('[1]McCulloch data set'!N256+'[1]McCulloch data set'!O256)/2/100)^9+1/(1+('[1]McCulloch data set'!O256/100)^10))</f>
        <v>5.4617827016625757E-2</v>
      </c>
    </row>
    <row r="259" spans="1:3" ht="13.8" x14ac:dyDescent="0.25">
      <c r="A259" s="4" t="s">
        <v>271</v>
      </c>
      <c r="B259" s="12">
        <f>(1-1/(1+'[1]McCulloch data set'!N257/100)^5)/((1/(1+'[1]McCulloch data set'!J257/100))+1/(1+'[1]McCulloch data set'!K257/100)^2+1/(1+'[1]McCulloch data set'!L257/100)^3+1/(1+'[1]McCulloch data set'!M257/100)^4+1/(1+'[1]McCulloch data set'!N257/100)^5)</f>
        <v>5.7987580407578898E-2</v>
      </c>
      <c r="C259" s="12">
        <f>(1-1/(1+'[1]McCulloch data set'!N257/100)^10)/((1/(1+'[1]McCulloch data set'!J257/100))+1/(1+'[1]McCulloch data set'!K257/100)^2+1/(1+'[1]McCulloch data set'!L257/100)^3+1/(1+'[1]McCulloch data set'!M257/100)^4+1/(1+'[1]McCulloch data set'!N257/100)^5+1/(1+('[1]McCulloch data set'!N257+'[1]McCulloch data set'!O257)/2/100)^6+1/(1+('[1]McCulloch data set'!N257+'[1]McCulloch data set'!O257)/2/100)^7+1/(1+('[1]McCulloch data set'!N257+'[1]McCulloch data set'!O257)/2/100)^8+1/(1+('[1]McCulloch data set'!N257+'[1]McCulloch data set'!O257)/2/100)^9+1/(1+('[1]McCulloch data set'!O257/100)^10))</f>
        <v>5.476277101176287E-2</v>
      </c>
    </row>
    <row r="260" spans="1:3" ht="13.8" x14ac:dyDescent="0.25">
      <c r="A260" s="4" t="s">
        <v>272</v>
      </c>
      <c r="B260" s="12">
        <f>(1-1/(1+'[1]McCulloch data set'!N258/100)^5)/((1/(1+'[1]McCulloch data set'!J258/100))+1/(1+'[1]McCulloch data set'!K258/100)^2+1/(1+'[1]McCulloch data set'!L258/100)^3+1/(1+'[1]McCulloch data set'!M258/100)^4+1/(1+'[1]McCulloch data set'!N258/100)^5)</f>
        <v>5.6700613333630703E-2</v>
      </c>
      <c r="C260" s="12">
        <f>(1-1/(1+'[1]McCulloch data set'!N258/100)^10)/((1/(1+'[1]McCulloch data set'!J258/100))+1/(1+'[1]McCulloch data set'!K258/100)^2+1/(1+'[1]McCulloch data set'!L258/100)^3+1/(1+'[1]McCulloch data set'!M258/100)^4+1/(1+'[1]McCulloch data set'!N258/100)^5+1/(1+('[1]McCulloch data set'!N258+'[1]McCulloch data set'!O258)/2/100)^6+1/(1+('[1]McCulloch data set'!N258+'[1]McCulloch data set'!O258)/2/100)^7+1/(1+('[1]McCulloch data set'!N258+'[1]McCulloch data set'!O258)/2/100)^8+1/(1+('[1]McCulloch data set'!N258+'[1]McCulloch data set'!O258)/2/100)^9+1/(1+('[1]McCulloch data set'!O258/100)^10))</f>
        <v>5.3728126877759325E-2</v>
      </c>
    </row>
    <row r="261" spans="1:3" ht="13.8" x14ac:dyDescent="0.25">
      <c r="A261" s="4" t="s">
        <v>273</v>
      </c>
      <c r="B261" s="12">
        <f>(1-1/(1+'[1]McCulloch data set'!N259/100)^5)/((1/(1+'[1]McCulloch data set'!J259/100))+1/(1+'[1]McCulloch data set'!K259/100)^2+1/(1+'[1]McCulloch data set'!L259/100)^3+1/(1+'[1]McCulloch data set'!M259/100)^4+1/(1+'[1]McCulloch data set'!N259/100)^5)</f>
        <v>5.6977129615869815E-2</v>
      </c>
      <c r="C261" s="12">
        <f>(1-1/(1+'[1]McCulloch data set'!N259/100)^10)/((1/(1+'[1]McCulloch data set'!J259/100))+1/(1+'[1]McCulloch data set'!K259/100)^2+1/(1+'[1]McCulloch data set'!L259/100)^3+1/(1+'[1]McCulloch data set'!M259/100)^4+1/(1+'[1]McCulloch data set'!N259/100)^5+1/(1+('[1]McCulloch data set'!N259+'[1]McCulloch data set'!O259)/2/100)^6+1/(1+('[1]McCulloch data set'!N259+'[1]McCulloch data set'!O259)/2/100)^7+1/(1+('[1]McCulloch data set'!N259+'[1]McCulloch data set'!O259)/2/100)^8+1/(1+('[1]McCulloch data set'!N259+'[1]McCulloch data set'!O259)/2/100)^9+1/(1+('[1]McCulloch data set'!O259/100)^10))</f>
        <v>5.3908209772131427E-2</v>
      </c>
    </row>
    <row r="262" spans="1:3" ht="13.8" x14ac:dyDescent="0.25">
      <c r="A262" s="4" t="s">
        <v>274</v>
      </c>
      <c r="B262" s="12">
        <f>(1-1/(1+'[1]McCulloch data set'!N260/100)^5)/((1/(1+'[1]McCulloch data set'!J260/100))+1/(1+'[1]McCulloch data set'!K260/100)^2+1/(1+'[1]McCulloch data set'!L260/100)^3+1/(1+'[1]McCulloch data set'!M260/100)^4+1/(1+'[1]McCulloch data set'!N260/100)^5)</f>
        <v>5.897524310024109E-2</v>
      </c>
      <c r="C262" s="12">
        <f>(1-1/(1+'[1]McCulloch data set'!N260/100)^10)/((1/(1+'[1]McCulloch data set'!J260/100))+1/(1+'[1]McCulloch data set'!K260/100)^2+1/(1+'[1]McCulloch data set'!L260/100)^3+1/(1+'[1]McCulloch data set'!M260/100)^4+1/(1+'[1]McCulloch data set'!N260/100)^5+1/(1+('[1]McCulloch data set'!N260+'[1]McCulloch data set'!O260)/2/100)^6+1/(1+('[1]McCulloch data set'!N260+'[1]McCulloch data set'!O260)/2/100)^7+1/(1+('[1]McCulloch data set'!N260+'[1]McCulloch data set'!O260)/2/100)^8+1/(1+('[1]McCulloch data set'!N260+'[1]McCulloch data set'!O260)/2/100)^9+1/(1+('[1]McCulloch data set'!O260/100)^10))</f>
        <v>5.5745820032028097E-2</v>
      </c>
    </row>
    <row r="263" spans="1:3" ht="13.8" x14ac:dyDescent="0.25">
      <c r="A263" s="4" t="s">
        <v>275</v>
      </c>
      <c r="B263" s="12">
        <f>(1-1/(1+'[1]McCulloch data set'!N261/100)^5)/((1/(1+'[1]McCulloch data set'!J261/100))+1/(1+'[1]McCulloch data set'!K261/100)^2+1/(1+'[1]McCulloch data set'!L261/100)^3+1/(1+'[1]McCulloch data set'!M261/100)^4+1/(1+'[1]McCulloch data set'!N261/100)^5)</f>
        <v>6.0309134005099366E-2</v>
      </c>
      <c r="C263" s="12">
        <f>(1-1/(1+'[1]McCulloch data set'!N261/100)^10)/((1/(1+'[1]McCulloch data set'!J261/100))+1/(1+'[1]McCulloch data set'!K261/100)^2+1/(1+'[1]McCulloch data set'!L261/100)^3+1/(1+'[1]McCulloch data set'!M261/100)^4+1/(1+'[1]McCulloch data set'!N261/100)^5+1/(1+('[1]McCulloch data set'!N261+'[1]McCulloch data set'!O261)/2/100)^6+1/(1+('[1]McCulloch data set'!N261+'[1]McCulloch data set'!O261)/2/100)^7+1/(1+('[1]McCulloch data set'!N261+'[1]McCulloch data set'!O261)/2/100)^8+1/(1+('[1]McCulloch data set'!N261+'[1]McCulloch data set'!O261)/2/100)^9+1/(1+('[1]McCulloch data set'!O261/100)^10))</f>
        <v>5.6809240104488734E-2</v>
      </c>
    </row>
    <row r="264" spans="1:3" ht="13.8" x14ac:dyDescent="0.25">
      <c r="A264" s="4" t="s">
        <v>276</v>
      </c>
      <c r="B264" s="12">
        <f>(1-1/(1+'[1]McCulloch data set'!N262/100)^5)/((1/(1+'[1]McCulloch data set'!J262/100))+1/(1+'[1]McCulloch data set'!K262/100)^2+1/(1+'[1]McCulloch data set'!L262/100)^3+1/(1+'[1]McCulloch data set'!M262/100)^4+1/(1+'[1]McCulloch data set'!N262/100)^5)</f>
        <v>5.9509183085338181E-2</v>
      </c>
      <c r="C264" s="12">
        <f>(1-1/(1+'[1]McCulloch data set'!N262/100)^10)/((1/(1+'[1]McCulloch data set'!J262/100))+1/(1+'[1]McCulloch data set'!K262/100)^2+1/(1+'[1]McCulloch data set'!L262/100)^3+1/(1+'[1]McCulloch data set'!M262/100)^4+1/(1+'[1]McCulloch data set'!N262/100)^5+1/(1+('[1]McCulloch data set'!N262+'[1]McCulloch data set'!O262)/2/100)^6+1/(1+('[1]McCulloch data set'!N262+'[1]McCulloch data set'!O262)/2/100)^7+1/(1+('[1]McCulloch data set'!N262+'[1]McCulloch data set'!O262)/2/100)^8+1/(1+('[1]McCulloch data set'!N262+'[1]McCulloch data set'!O262)/2/100)^9+1/(1+('[1]McCulloch data set'!O262/100)^10))</f>
        <v>5.6151224664749685E-2</v>
      </c>
    </row>
    <row r="265" spans="1:3" ht="13.8" x14ac:dyDescent="0.25">
      <c r="A265" s="4" t="s">
        <v>277</v>
      </c>
      <c r="B265" s="12">
        <f>(1-1/(1+'[1]McCulloch data set'!N263/100)^5)/((1/(1+'[1]McCulloch data set'!J263/100))+1/(1+'[1]McCulloch data set'!K263/100)^2+1/(1+'[1]McCulloch data set'!L263/100)^3+1/(1+'[1]McCulloch data set'!M263/100)^4+1/(1+'[1]McCulloch data set'!N263/100)^5)</f>
        <v>5.825986945763173E-2</v>
      </c>
      <c r="C265" s="12">
        <f>(1-1/(1+'[1]McCulloch data set'!N263/100)^10)/((1/(1+'[1]McCulloch data set'!J263/100))+1/(1+'[1]McCulloch data set'!K263/100)^2+1/(1+'[1]McCulloch data set'!L263/100)^3+1/(1+'[1]McCulloch data set'!M263/100)^4+1/(1+'[1]McCulloch data set'!N263/100)^5+1/(1+('[1]McCulloch data set'!N263+'[1]McCulloch data set'!O263)/2/100)^6+1/(1+('[1]McCulloch data set'!N263+'[1]McCulloch data set'!O263)/2/100)^7+1/(1+('[1]McCulloch data set'!N263+'[1]McCulloch data set'!O263)/2/100)^8+1/(1+('[1]McCulloch data set'!N263+'[1]McCulloch data set'!O263)/2/100)^9+1/(1+('[1]McCulloch data set'!O263/100)^10))</f>
        <v>5.4984337241545528E-2</v>
      </c>
    </row>
    <row r="266" spans="1:3" ht="13.8" x14ac:dyDescent="0.25">
      <c r="A266" s="4" t="s">
        <v>278</v>
      </c>
      <c r="B266" s="12">
        <f>(1-1/(1+'[1]McCulloch data set'!N264/100)^5)/((1/(1+'[1]McCulloch data set'!J264/100))+1/(1+'[1]McCulloch data set'!K264/100)^2+1/(1+'[1]McCulloch data set'!L264/100)^3+1/(1+'[1]McCulloch data set'!M264/100)^4+1/(1+'[1]McCulloch data set'!N264/100)^5)</f>
        <v>5.5181542306176036E-2</v>
      </c>
      <c r="C266" s="12">
        <f>(1-1/(1+'[1]McCulloch data set'!N264/100)^10)/((1/(1+'[1]McCulloch data set'!J264/100))+1/(1+'[1]McCulloch data set'!K264/100)^2+1/(1+'[1]McCulloch data set'!L264/100)^3+1/(1+'[1]McCulloch data set'!M264/100)^4+1/(1+'[1]McCulloch data set'!N264/100)^5+1/(1+('[1]McCulloch data set'!N264+'[1]McCulloch data set'!O264)/2/100)^6+1/(1+('[1]McCulloch data set'!N264+'[1]McCulloch data set'!O264)/2/100)^7+1/(1+('[1]McCulloch data set'!N264+'[1]McCulloch data set'!O264)/2/100)^8+1/(1+('[1]McCulloch data set'!N264+'[1]McCulloch data set'!O264)/2/100)^9+1/(1+('[1]McCulloch data set'!O264/100)^10))</f>
        <v>5.2309168170676636E-2</v>
      </c>
    </row>
    <row r="267" spans="1:3" ht="13.8" x14ac:dyDescent="0.25">
      <c r="A267" s="4" t="s">
        <v>279</v>
      </c>
      <c r="B267" s="12">
        <f>(1-1/(1+'[1]McCulloch data set'!N265/100)^5)/((1/(1+'[1]McCulloch data set'!J265/100))+1/(1+'[1]McCulloch data set'!K265/100)^2+1/(1+'[1]McCulloch data set'!L265/100)^3+1/(1+'[1]McCulloch data set'!M265/100)^4+1/(1+'[1]McCulloch data set'!N265/100)^5)</f>
        <v>5.5010600794874125E-2</v>
      </c>
      <c r="C267" s="12">
        <f>(1-1/(1+'[1]McCulloch data set'!N265/100)^10)/((1/(1+'[1]McCulloch data set'!J265/100))+1/(1+'[1]McCulloch data set'!K265/100)^2+1/(1+'[1]McCulloch data set'!L265/100)^3+1/(1+'[1]McCulloch data set'!M265/100)^4+1/(1+'[1]McCulloch data set'!N265/100)^5+1/(1+('[1]McCulloch data set'!N265+'[1]McCulloch data set'!O265)/2/100)^6+1/(1+('[1]McCulloch data set'!N265+'[1]McCulloch data set'!O265)/2/100)^7+1/(1+('[1]McCulloch data set'!N265+'[1]McCulloch data set'!O265)/2/100)^8+1/(1+('[1]McCulloch data set'!N265+'[1]McCulloch data set'!O265)/2/100)^9+1/(1+('[1]McCulloch data set'!O265/100)^10))</f>
        <v>5.2207940822704212E-2</v>
      </c>
    </row>
    <row r="268" spans="1:3" ht="13.8" x14ac:dyDescent="0.25">
      <c r="A268" s="4" t="s">
        <v>280</v>
      </c>
      <c r="B268" s="12">
        <f>(1-1/(1+'[1]McCulloch data set'!N266/100)^5)/((1/(1+'[1]McCulloch data set'!J266/100))+1/(1+'[1]McCulloch data set'!K266/100)^2+1/(1+'[1]McCulloch data set'!L266/100)^3+1/(1+'[1]McCulloch data set'!M266/100)^4+1/(1+'[1]McCulloch data set'!N266/100)^5)</f>
        <v>5.5235947612490996E-2</v>
      </c>
      <c r="C268" s="12">
        <f>(1-1/(1+'[1]McCulloch data set'!N266/100)^10)/((1/(1+'[1]McCulloch data set'!J266/100))+1/(1+'[1]McCulloch data set'!K266/100)^2+1/(1+'[1]McCulloch data set'!L266/100)^3+1/(1+'[1]McCulloch data set'!M266/100)^4+1/(1+'[1]McCulloch data set'!N266/100)^5+1/(1+('[1]McCulloch data set'!N266+'[1]McCulloch data set'!O266)/2/100)^6+1/(1+('[1]McCulloch data set'!N266+'[1]McCulloch data set'!O266)/2/100)^7+1/(1+('[1]McCulloch data set'!N266+'[1]McCulloch data set'!O266)/2/100)^8+1/(1+('[1]McCulloch data set'!N266+'[1]McCulloch data set'!O266)/2/100)^9+1/(1+('[1]McCulloch data set'!O266/100)^10))</f>
        <v>5.2443983084244278E-2</v>
      </c>
    </row>
    <row r="269" spans="1:3" ht="13.8" x14ac:dyDescent="0.25">
      <c r="A269" s="4" t="s">
        <v>281</v>
      </c>
      <c r="B269" s="12">
        <f>(1-1/(1+'[1]McCulloch data set'!N267/100)^5)/((1/(1+'[1]McCulloch data set'!J267/100))+1/(1+'[1]McCulloch data set'!K267/100)^2+1/(1+'[1]McCulloch data set'!L267/100)^3+1/(1+'[1]McCulloch data set'!M267/100)^4+1/(1+'[1]McCulloch data set'!N267/100)^5)</f>
        <v>5.6480563236385818E-2</v>
      </c>
      <c r="C269" s="12">
        <f>(1-1/(1+'[1]McCulloch data set'!N267/100)^10)/((1/(1+'[1]McCulloch data set'!J267/100))+1/(1+'[1]McCulloch data set'!K267/100)^2+1/(1+'[1]McCulloch data set'!L267/100)^3+1/(1+'[1]McCulloch data set'!M267/100)^4+1/(1+'[1]McCulloch data set'!N267/100)^5+1/(1+('[1]McCulloch data set'!N267+'[1]McCulloch data set'!O267)/2/100)^6+1/(1+('[1]McCulloch data set'!N267+'[1]McCulloch data set'!O267)/2/100)^7+1/(1+('[1]McCulloch data set'!N267+'[1]McCulloch data set'!O267)/2/100)^8+1/(1+('[1]McCulloch data set'!N267+'[1]McCulloch data set'!O267)/2/100)^9+1/(1+('[1]McCulloch data set'!O267/100)^10))</f>
        <v>5.3556809943756542E-2</v>
      </c>
    </row>
    <row r="270" spans="1:3" ht="13.8" x14ac:dyDescent="0.25">
      <c r="A270" s="4" t="s">
        <v>282</v>
      </c>
      <c r="B270" s="12">
        <f>(1-1/(1+'[1]McCulloch data set'!N268/100)^5)/((1/(1+'[1]McCulloch data set'!J268/100))+1/(1+'[1]McCulloch data set'!K268/100)^2+1/(1+'[1]McCulloch data set'!L268/100)^3+1/(1+'[1]McCulloch data set'!M268/100)^4+1/(1+'[1]McCulloch data set'!N268/100)^5)</f>
        <v>5.7351512779389387E-2</v>
      </c>
      <c r="C270" s="12">
        <f>(1-1/(1+'[1]McCulloch data set'!N268/100)^10)/((1/(1+'[1]McCulloch data set'!J268/100))+1/(1+'[1]McCulloch data set'!K268/100)^2+1/(1+'[1]McCulloch data set'!L268/100)^3+1/(1+'[1]McCulloch data set'!M268/100)^4+1/(1+'[1]McCulloch data set'!N268/100)^5+1/(1+('[1]McCulloch data set'!N268+'[1]McCulloch data set'!O268)/2/100)^6+1/(1+('[1]McCulloch data set'!N268+'[1]McCulloch data set'!O268)/2/100)^7+1/(1+('[1]McCulloch data set'!N268+'[1]McCulloch data set'!O268)/2/100)^8+1/(1+('[1]McCulloch data set'!N268+'[1]McCulloch data set'!O268)/2/100)^9+1/(1+('[1]McCulloch data set'!O268/100)^10))</f>
        <v>5.4393075956095389E-2</v>
      </c>
    </row>
    <row r="271" spans="1:3" ht="13.8" x14ac:dyDescent="0.25">
      <c r="A271" s="4" t="s">
        <v>283</v>
      </c>
      <c r="B271" s="12">
        <f>(1-1/(1+'[1]McCulloch data set'!N269/100)^5)/((1/(1+'[1]McCulloch data set'!J269/100))+1/(1+'[1]McCulloch data set'!K269/100)^2+1/(1+'[1]McCulloch data set'!L269/100)^3+1/(1+'[1]McCulloch data set'!M269/100)^4+1/(1+'[1]McCulloch data set'!N269/100)^5)</f>
        <v>6.4432857229463208E-2</v>
      </c>
      <c r="C271" s="12">
        <f>(1-1/(1+'[1]McCulloch data set'!N269/100)^10)/((1/(1+'[1]McCulloch data set'!J269/100))+1/(1+'[1]McCulloch data set'!K269/100)^2+1/(1+'[1]McCulloch data set'!L269/100)^3+1/(1+'[1]McCulloch data set'!M269/100)^4+1/(1+'[1]McCulloch data set'!N269/100)^5+1/(1+('[1]McCulloch data set'!N269+'[1]McCulloch data set'!O269)/2/100)^6+1/(1+('[1]McCulloch data set'!N269+'[1]McCulloch data set'!O269)/2/100)^7+1/(1+('[1]McCulloch data set'!N269+'[1]McCulloch data set'!O269)/2/100)^8+1/(1+('[1]McCulloch data set'!N269+'[1]McCulloch data set'!O269)/2/100)^9+1/(1+('[1]McCulloch data set'!O269/100)^10))</f>
        <v>6.0476028508938053E-2</v>
      </c>
    </row>
    <row r="272" spans="1:3" ht="13.8" x14ac:dyDescent="0.25">
      <c r="A272" s="4" t="s">
        <v>284</v>
      </c>
      <c r="B272" s="12">
        <f>(1-1/(1+'[1]McCulloch data set'!N270/100)^5)/((1/(1+'[1]McCulloch data set'!J270/100))+1/(1+'[1]McCulloch data set'!K270/100)^2+1/(1+'[1]McCulloch data set'!L270/100)^3+1/(1+'[1]McCulloch data set'!M270/100)^4+1/(1+'[1]McCulloch data set'!N270/100)^5)</f>
        <v>6.2510310363218066E-2</v>
      </c>
      <c r="C272" s="12">
        <f>(1-1/(1+'[1]McCulloch data set'!N270/100)^10)/((1/(1+'[1]McCulloch data set'!J270/100))+1/(1+'[1]McCulloch data set'!K270/100)^2+1/(1+'[1]McCulloch data set'!L270/100)^3+1/(1+'[1]McCulloch data set'!M270/100)^4+1/(1+'[1]McCulloch data set'!N270/100)^5+1/(1+('[1]McCulloch data set'!N270+'[1]McCulloch data set'!O270)/2/100)^6+1/(1+('[1]McCulloch data set'!N270+'[1]McCulloch data set'!O270)/2/100)^7+1/(1+('[1]McCulloch data set'!N270+'[1]McCulloch data set'!O270)/2/100)^8+1/(1+('[1]McCulloch data set'!N270+'[1]McCulloch data set'!O270)/2/100)^9+1/(1+('[1]McCulloch data set'!O270/100)^10))</f>
        <v>5.885876050248412E-2</v>
      </c>
    </row>
    <row r="273" spans="1:3" ht="13.8" x14ac:dyDescent="0.25">
      <c r="A273" s="4" t="s">
        <v>285</v>
      </c>
      <c r="B273" s="12">
        <f>(1-1/(1+'[1]McCulloch data set'!N271/100)^5)/((1/(1+'[1]McCulloch data set'!J271/100))+1/(1+'[1]McCulloch data set'!K271/100)^2+1/(1+'[1]McCulloch data set'!L271/100)^3+1/(1+'[1]McCulloch data set'!M271/100)^4+1/(1+'[1]McCulloch data set'!N271/100)^5)</f>
        <v>6.4681832107377421E-2</v>
      </c>
      <c r="C273" s="12">
        <f>(1-1/(1+'[1]McCulloch data set'!N271/100)^10)/((1/(1+'[1]McCulloch data set'!J271/100))+1/(1+'[1]McCulloch data set'!K271/100)^2+1/(1+'[1]McCulloch data set'!L271/100)^3+1/(1+'[1]McCulloch data set'!M271/100)^4+1/(1+'[1]McCulloch data set'!N271/100)^5+1/(1+('[1]McCulloch data set'!N271+'[1]McCulloch data set'!O271)/2/100)^6+1/(1+('[1]McCulloch data set'!N271+'[1]McCulloch data set'!O271)/2/100)^7+1/(1+('[1]McCulloch data set'!N271+'[1]McCulloch data set'!O271)/2/100)^8+1/(1+('[1]McCulloch data set'!N271+'[1]McCulloch data set'!O271)/2/100)^9+1/(1+('[1]McCulloch data set'!O271/100)^10))</f>
        <v>6.0628890428702092E-2</v>
      </c>
    </row>
    <row r="274" spans="1:3" ht="13.8" x14ac:dyDescent="0.25">
      <c r="A274" s="4" t="s">
        <v>286</v>
      </c>
      <c r="B274" s="12">
        <f>(1-1/(1+'[1]McCulloch data set'!N272/100)^5)/((1/(1+'[1]McCulloch data set'!J272/100))+1/(1+'[1]McCulloch data set'!K272/100)^2+1/(1+'[1]McCulloch data set'!L272/100)^3+1/(1+'[1]McCulloch data set'!M272/100)^4+1/(1+'[1]McCulloch data set'!N272/100)^5)</f>
        <v>6.2883628713233428E-2</v>
      </c>
      <c r="C274" s="12">
        <f>(1-1/(1+'[1]McCulloch data set'!N272/100)^10)/((1/(1+'[1]McCulloch data set'!J272/100))+1/(1+'[1]McCulloch data set'!K272/100)^2+1/(1+'[1]McCulloch data set'!L272/100)^3+1/(1+'[1]McCulloch data set'!M272/100)^4+1/(1+'[1]McCulloch data set'!N272/100)^5+1/(1+('[1]McCulloch data set'!N272+'[1]McCulloch data set'!O272)/2/100)^6+1/(1+('[1]McCulloch data set'!N272+'[1]McCulloch data set'!O272)/2/100)^7+1/(1+('[1]McCulloch data set'!N272+'[1]McCulloch data set'!O272)/2/100)^8+1/(1+('[1]McCulloch data set'!N272+'[1]McCulloch data set'!O272)/2/100)^9+1/(1+('[1]McCulloch data set'!O272/100)^10))</f>
        <v>5.9257592529519808E-2</v>
      </c>
    </row>
    <row r="275" spans="1:3" ht="13.8" x14ac:dyDescent="0.25">
      <c r="A275" s="4" t="s">
        <v>287</v>
      </c>
      <c r="B275" s="12">
        <f>(1-1/(1+'[1]McCulloch data set'!N273/100)^5)/((1/(1+'[1]McCulloch data set'!J273/100))+1/(1+'[1]McCulloch data set'!K273/100)^2+1/(1+'[1]McCulloch data set'!L273/100)^3+1/(1+'[1]McCulloch data set'!M273/100)^4+1/(1+'[1]McCulloch data set'!N273/100)^5)</f>
        <v>6.3895355720615402E-2</v>
      </c>
      <c r="C275" s="12">
        <f>(1-1/(1+'[1]McCulloch data set'!N273/100)^10)/((1/(1+'[1]McCulloch data set'!J273/100))+1/(1+'[1]McCulloch data set'!K273/100)^2+1/(1+'[1]McCulloch data set'!L273/100)^3+1/(1+'[1]McCulloch data set'!M273/100)^4+1/(1+'[1]McCulloch data set'!N273/100)^5+1/(1+('[1]McCulloch data set'!N273+'[1]McCulloch data set'!O273)/2/100)^6+1/(1+('[1]McCulloch data set'!N273+'[1]McCulloch data set'!O273)/2/100)^7+1/(1+('[1]McCulloch data set'!N273+'[1]McCulloch data set'!O273)/2/100)^8+1/(1+('[1]McCulloch data set'!N273+'[1]McCulloch data set'!O273)/2/100)^9+1/(1+('[1]McCulloch data set'!O273/100)^10))</f>
        <v>6.0025321070163049E-2</v>
      </c>
    </row>
    <row r="276" spans="1:3" ht="13.8" x14ac:dyDescent="0.25">
      <c r="A276" s="4" t="s">
        <v>288</v>
      </c>
      <c r="B276" s="12">
        <f>(1-1/(1+'[1]McCulloch data set'!N274/100)^5)/((1/(1+'[1]McCulloch data set'!J274/100))+1/(1+'[1]McCulloch data set'!K274/100)^2+1/(1+'[1]McCulloch data set'!L274/100)^3+1/(1+'[1]McCulloch data set'!M274/100)^4+1/(1+'[1]McCulloch data set'!N274/100)^5)</f>
        <v>6.6441773544534913E-2</v>
      </c>
      <c r="C276" s="12">
        <f>(1-1/(1+'[1]McCulloch data set'!N274/100)^10)/((1/(1+'[1]McCulloch data set'!J274/100))+1/(1+'[1]McCulloch data set'!K274/100)^2+1/(1+'[1]McCulloch data set'!L274/100)^3+1/(1+'[1]McCulloch data set'!M274/100)^4+1/(1+'[1]McCulloch data set'!N274/100)^5+1/(1+('[1]McCulloch data set'!N274+'[1]McCulloch data set'!O274)/2/100)^6+1/(1+('[1]McCulloch data set'!N274+'[1]McCulloch data set'!O274)/2/100)^7+1/(1+('[1]McCulloch data set'!N274+'[1]McCulloch data set'!O274)/2/100)^8+1/(1+('[1]McCulloch data set'!N274+'[1]McCulloch data set'!O274)/2/100)^9+1/(1+('[1]McCulloch data set'!O274/100)^10))</f>
        <v>6.220748523779638E-2</v>
      </c>
    </row>
    <row r="277" spans="1:3" ht="13.8" x14ac:dyDescent="0.25">
      <c r="A277" s="4" t="s">
        <v>289</v>
      </c>
      <c r="B277" s="12">
        <f>(1-1/(1+'[1]McCulloch data set'!N275/100)^5)/((1/(1+'[1]McCulloch data set'!J275/100))+1/(1+'[1]McCulloch data set'!K275/100)^2+1/(1+'[1]McCulloch data set'!L275/100)^3+1/(1+'[1]McCulloch data set'!M275/100)^4+1/(1+'[1]McCulloch data set'!N275/100)^5)</f>
        <v>7.0183636547827347E-2</v>
      </c>
      <c r="C277" s="12">
        <f>(1-1/(1+'[1]McCulloch data set'!N275/100)^10)/((1/(1+'[1]McCulloch data set'!J275/100))+1/(1+'[1]McCulloch data set'!K275/100)^2+1/(1+'[1]McCulloch data set'!L275/100)^3+1/(1+'[1]McCulloch data set'!M275/100)^4+1/(1+'[1]McCulloch data set'!N275/100)^5+1/(1+('[1]McCulloch data set'!N275+'[1]McCulloch data set'!O275)/2/100)^6+1/(1+('[1]McCulloch data set'!N275+'[1]McCulloch data set'!O275)/2/100)^7+1/(1+('[1]McCulloch data set'!N275+'[1]McCulloch data set'!O275)/2/100)^8+1/(1+('[1]McCulloch data set'!N275+'[1]McCulloch data set'!O275)/2/100)^9+1/(1+('[1]McCulloch data set'!O275/100)^10))</f>
        <v>6.5125177437212495E-2</v>
      </c>
    </row>
    <row r="278" spans="1:3" ht="13.8" x14ac:dyDescent="0.25">
      <c r="A278" s="4" t="s">
        <v>290</v>
      </c>
      <c r="B278" s="12">
        <f>(1-1/(1+'[1]McCulloch data set'!N276/100)^5)/((1/(1+'[1]McCulloch data set'!J276/100))+1/(1+'[1]McCulloch data set'!K276/100)^2+1/(1+'[1]McCulloch data set'!L276/100)^3+1/(1+'[1]McCulloch data set'!M276/100)^4+1/(1+'[1]McCulloch data set'!N276/100)^5)</f>
        <v>6.8986663617222208E-2</v>
      </c>
      <c r="C278" s="12">
        <f>(1-1/(1+'[1]McCulloch data set'!N276/100)^10)/((1/(1+'[1]McCulloch data set'!J276/100))+1/(1+'[1]McCulloch data set'!K276/100)^2+1/(1+'[1]McCulloch data set'!L276/100)^3+1/(1+'[1]McCulloch data set'!M276/100)^4+1/(1+'[1]McCulloch data set'!N276/100)^5+1/(1+('[1]McCulloch data set'!N276+'[1]McCulloch data set'!O276)/2/100)^6+1/(1+('[1]McCulloch data set'!N276+'[1]McCulloch data set'!O276)/2/100)^7+1/(1+('[1]McCulloch data set'!N276+'[1]McCulloch data set'!O276)/2/100)^8+1/(1+('[1]McCulloch data set'!N276+'[1]McCulloch data set'!O276)/2/100)^9+1/(1+('[1]McCulloch data set'!O276/100)^10))</f>
        <v>6.4057229449964906E-2</v>
      </c>
    </row>
    <row r="279" spans="1:3" ht="13.8" x14ac:dyDescent="0.25">
      <c r="A279" s="4" t="s">
        <v>291</v>
      </c>
      <c r="B279" s="12">
        <f>(1-1/(1+'[1]McCulloch data set'!N277/100)^5)/((1/(1+'[1]McCulloch data set'!J277/100))+1/(1+'[1]McCulloch data set'!K277/100)^2+1/(1+'[1]McCulloch data set'!L277/100)^3+1/(1+'[1]McCulloch data set'!M277/100)^4+1/(1+'[1]McCulloch data set'!N277/100)^5)</f>
        <v>6.9904083663469174E-2</v>
      </c>
      <c r="C279" s="12">
        <f>(1-1/(1+'[1]McCulloch data set'!N277/100)^10)/((1/(1+'[1]McCulloch data set'!J277/100))+1/(1+'[1]McCulloch data set'!K277/100)^2+1/(1+'[1]McCulloch data set'!L277/100)^3+1/(1+'[1]McCulloch data set'!M277/100)^4+1/(1+'[1]McCulloch data set'!N277/100)^5+1/(1+('[1]McCulloch data set'!N277+'[1]McCulloch data set'!O277)/2/100)^6+1/(1+('[1]McCulloch data set'!N277+'[1]McCulloch data set'!O277)/2/100)^7+1/(1+('[1]McCulloch data set'!N277+'[1]McCulloch data set'!O277)/2/100)^8+1/(1+('[1]McCulloch data set'!N277+'[1]McCulloch data set'!O277)/2/100)^9+1/(1+('[1]McCulloch data set'!O277/100)^10))</f>
        <v>6.4888824713787319E-2</v>
      </c>
    </row>
    <row r="280" spans="1:3" ht="13.8" x14ac:dyDescent="0.25">
      <c r="A280" s="4" t="s">
        <v>292</v>
      </c>
      <c r="B280" s="12">
        <f>(1-1/(1+'[1]McCulloch data set'!N278/100)^5)/((1/(1+'[1]McCulloch data set'!J278/100))+1/(1+'[1]McCulloch data set'!K278/100)^2+1/(1+'[1]McCulloch data set'!L278/100)^3+1/(1+'[1]McCulloch data set'!M278/100)^4+1/(1+'[1]McCulloch data set'!N278/100)^5)</f>
        <v>7.6788722087872199E-2</v>
      </c>
      <c r="C280" s="12">
        <f>(1-1/(1+'[1]McCulloch data set'!N278/100)^10)/((1/(1+'[1]McCulloch data set'!J278/100))+1/(1+'[1]McCulloch data set'!K278/100)^2+1/(1+'[1]McCulloch data set'!L278/100)^3+1/(1+'[1]McCulloch data set'!M278/100)^4+1/(1+'[1]McCulloch data set'!N278/100)^5+1/(1+('[1]McCulloch data set'!N278+'[1]McCulloch data set'!O278)/2/100)^6+1/(1+('[1]McCulloch data set'!N278+'[1]McCulloch data set'!O278)/2/100)^7+1/(1+('[1]McCulloch data set'!N278+'[1]McCulloch data set'!O278)/2/100)^8+1/(1+('[1]McCulloch data set'!N278+'[1]McCulloch data set'!O278)/2/100)^9+1/(1+('[1]McCulloch data set'!O278/100)^10))</f>
        <v>7.0889473114445642E-2</v>
      </c>
    </row>
    <row r="281" spans="1:3" ht="13.8" x14ac:dyDescent="0.25">
      <c r="A281" s="4" t="s">
        <v>293</v>
      </c>
      <c r="B281" s="12">
        <f>(1-1/(1+'[1]McCulloch data set'!N279/100)^5)/((1/(1+'[1]McCulloch data set'!J279/100))+1/(1+'[1]McCulloch data set'!K279/100)^2+1/(1+'[1]McCulloch data set'!L279/100)^3+1/(1+'[1]McCulloch data set'!M279/100)^4+1/(1+'[1]McCulloch data set'!N279/100)^5)</f>
        <v>7.0683224570624981E-2</v>
      </c>
      <c r="C281" s="12">
        <f>(1-1/(1+'[1]McCulloch data set'!N279/100)^10)/((1/(1+'[1]McCulloch data set'!J279/100))+1/(1+'[1]McCulloch data set'!K279/100)^2+1/(1+'[1]McCulloch data set'!L279/100)^3+1/(1+'[1]McCulloch data set'!M279/100)^4+1/(1+'[1]McCulloch data set'!N279/100)^5+1/(1+('[1]McCulloch data set'!N279+'[1]McCulloch data set'!O279)/2/100)^6+1/(1+('[1]McCulloch data set'!N279+'[1]McCulloch data set'!O279)/2/100)^7+1/(1+('[1]McCulloch data set'!N279+'[1]McCulloch data set'!O279)/2/100)^8+1/(1+('[1]McCulloch data set'!N279+'[1]McCulloch data set'!O279)/2/100)^9+1/(1+('[1]McCulloch data set'!O279/100)^10))</f>
        <v>6.5678309226145967E-2</v>
      </c>
    </row>
    <row r="282" spans="1:3" ht="13.8" x14ac:dyDescent="0.25">
      <c r="A282" s="4" t="s">
        <v>294</v>
      </c>
      <c r="B282" s="12">
        <f>(1-1/(1+'[1]McCulloch data set'!N280/100)^5)/((1/(1+'[1]McCulloch data set'!J280/100))+1/(1+'[1]McCulloch data set'!K280/100)^2+1/(1+'[1]McCulloch data set'!L280/100)^3+1/(1+'[1]McCulloch data set'!M280/100)^4+1/(1+'[1]McCulloch data set'!N280/100)^5)</f>
        <v>7.3049655434355459E-2</v>
      </c>
      <c r="C282" s="12">
        <f>(1-1/(1+'[1]McCulloch data set'!N280/100)^10)/((1/(1+'[1]McCulloch data set'!J280/100))+1/(1+'[1]McCulloch data set'!K280/100)^2+1/(1+'[1]McCulloch data set'!L280/100)^3+1/(1+'[1]McCulloch data set'!M280/100)^4+1/(1+'[1]McCulloch data set'!N280/100)^5+1/(1+('[1]McCulloch data set'!N280+'[1]McCulloch data set'!O280)/2/100)^6+1/(1+('[1]McCulloch data set'!N280+'[1]McCulloch data set'!O280)/2/100)^7+1/(1+('[1]McCulloch data set'!N280+'[1]McCulloch data set'!O280)/2/100)^8+1/(1+('[1]McCulloch data set'!N280+'[1]McCulloch data set'!O280)/2/100)^9+1/(1+('[1]McCulloch data set'!O280/100)^10))</f>
        <v>6.7762966202522437E-2</v>
      </c>
    </row>
    <row r="283" spans="1:3" ht="13.8" x14ac:dyDescent="0.25">
      <c r="A283" s="4" t="s">
        <v>295</v>
      </c>
      <c r="B283" s="12">
        <f>(1-1/(1+'[1]McCulloch data set'!N281/100)^5)/((1/(1+'[1]McCulloch data set'!J281/100))+1/(1+'[1]McCulloch data set'!K281/100)^2+1/(1+'[1]McCulloch data set'!L281/100)^3+1/(1+'[1]McCulloch data set'!M281/100)^4+1/(1+'[1]McCulloch data set'!N281/100)^5)</f>
        <v>7.8178082512575214E-2</v>
      </c>
      <c r="C283" s="12">
        <f>(1-1/(1+'[1]McCulloch data set'!N281/100)^10)/((1/(1+'[1]McCulloch data set'!J281/100))+1/(1+'[1]McCulloch data set'!K281/100)^2+1/(1+'[1]McCulloch data set'!L281/100)^3+1/(1+'[1]McCulloch data set'!M281/100)^4+1/(1+'[1]McCulloch data set'!N281/100)^5+1/(1+('[1]McCulloch data set'!N281+'[1]McCulloch data set'!O281)/2/100)^6+1/(1+('[1]McCulloch data set'!N281+'[1]McCulloch data set'!O281)/2/100)^7+1/(1+('[1]McCulloch data set'!N281+'[1]McCulloch data set'!O281)/2/100)^8+1/(1+('[1]McCulloch data set'!N281+'[1]McCulloch data set'!O281)/2/100)^9+1/(1+('[1]McCulloch data set'!O281/100)^10))</f>
        <v>7.2015671330999079E-2</v>
      </c>
    </row>
    <row r="284" spans="1:3" ht="13.8" x14ac:dyDescent="0.25">
      <c r="A284" s="4" t="s">
        <v>296</v>
      </c>
      <c r="B284" s="12">
        <f>(1-1/(1+'[1]McCulloch data set'!N282/100)^5)/((1/(1+'[1]McCulloch data set'!J282/100))+1/(1+'[1]McCulloch data set'!K282/100)^2+1/(1+'[1]McCulloch data set'!L282/100)^3+1/(1+'[1]McCulloch data set'!M282/100)^4+1/(1+'[1]McCulloch data set'!N282/100)^5)</f>
        <v>7.9256286078391053E-2</v>
      </c>
      <c r="C284" s="12">
        <f>(1-1/(1+'[1]McCulloch data set'!N282/100)^10)/((1/(1+'[1]McCulloch data set'!J282/100))+1/(1+'[1]McCulloch data set'!K282/100)^2+1/(1+'[1]McCulloch data set'!L282/100)^3+1/(1+'[1]McCulloch data set'!M282/100)^4+1/(1+'[1]McCulloch data set'!N282/100)^5+1/(1+('[1]McCulloch data set'!N282+'[1]McCulloch data set'!O282)/2/100)^6+1/(1+('[1]McCulloch data set'!N282+'[1]McCulloch data set'!O282)/2/100)^7+1/(1+('[1]McCulloch data set'!N282+'[1]McCulloch data set'!O282)/2/100)^8+1/(1+('[1]McCulloch data set'!N282+'[1]McCulloch data set'!O282)/2/100)^9+1/(1+('[1]McCulloch data set'!O282/100)^10))</f>
        <v>7.3037549822852543E-2</v>
      </c>
    </row>
    <row r="285" spans="1:3" ht="13.8" x14ac:dyDescent="0.25">
      <c r="A285" s="4" t="s">
        <v>297</v>
      </c>
      <c r="B285" s="12">
        <f>(1-1/(1+'[1]McCulloch data set'!N283/100)^5)/((1/(1+'[1]McCulloch data set'!J283/100))+1/(1+'[1]McCulloch data set'!K283/100)^2+1/(1+'[1]McCulloch data set'!L283/100)^3+1/(1+'[1]McCulloch data set'!M283/100)^4+1/(1+'[1]McCulloch data set'!N283/100)^5)</f>
        <v>7.1286005623618143E-2</v>
      </c>
      <c r="C285" s="12">
        <f>(1-1/(1+'[1]McCulloch data set'!N283/100)^10)/((1/(1+'[1]McCulloch data set'!J283/100))+1/(1+'[1]McCulloch data set'!K283/100)^2+1/(1+'[1]McCulloch data set'!L283/100)^3+1/(1+'[1]McCulloch data set'!M283/100)^4+1/(1+'[1]McCulloch data set'!N283/100)^5+1/(1+('[1]McCulloch data set'!N283+'[1]McCulloch data set'!O283)/2/100)^6+1/(1+('[1]McCulloch data set'!N283+'[1]McCulloch data set'!O283)/2/100)^7+1/(1+('[1]McCulloch data set'!N283+'[1]McCulloch data set'!O283)/2/100)^8+1/(1+('[1]McCulloch data set'!N283+'[1]McCulloch data set'!O283)/2/100)^9+1/(1+('[1]McCulloch data set'!O283/100)^10))</f>
        <v>6.6311066255698395E-2</v>
      </c>
    </row>
    <row r="286" spans="1:3" ht="13.8" x14ac:dyDescent="0.25">
      <c r="A286" s="4" t="s">
        <v>298</v>
      </c>
      <c r="B286" s="12">
        <f>(1-1/(1+'[1]McCulloch data set'!N284/100)^5)/((1/(1+'[1]McCulloch data set'!J284/100))+1/(1+'[1]McCulloch data set'!K284/100)^2+1/(1+'[1]McCulloch data set'!L284/100)^3+1/(1+'[1]McCulloch data set'!M284/100)^4+1/(1+'[1]McCulloch data set'!N284/100)^5)</f>
        <v>7.0903079025278801E-2</v>
      </c>
      <c r="C286" s="12">
        <f>(1-1/(1+'[1]McCulloch data set'!N284/100)^10)/((1/(1+'[1]McCulloch data set'!J284/100))+1/(1+'[1]McCulloch data set'!K284/100)^2+1/(1+'[1]McCulloch data set'!L284/100)^3+1/(1+'[1]McCulloch data set'!M284/100)^4+1/(1+'[1]McCulloch data set'!N284/100)^5+1/(1+('[1]McCulloch data set'!N284+'[1]McCulloch data set'!O284)/2/100)^6+1/(1+('[1]McCulloch data set'!N284+'[1]McCulloch data set'!O284)/2/100)^7+1/(1+('[1]McCulloch data set'!N284+'[1]McCulloch data set'!O284)/2/100)^8+1/(1+('[1]McCulloch data set'!N284+'[1]McCulloch data set'!O284)/2/100)^9+1/(1+('[1]McCulloch data set'!O284/100)^10))</f>
        <v>6.6081307078647442E-2</v>
      </c>
    </row>
    <row r="287" spans="1:3" ht="13.8" x14ac:dyDescent="0.25">
      <c r="A287" s="4" t="s">
        <v>299</v>
      </c>
      <c r="B287" s="12">
        <f>(1-1/(1+'[1]McCulloch data set'!N285/100)^5)/((1/(1+'[1]McCulloch data set'!J285/100))+1/(1+'[1]McCulloch data set'!K285/100)^2+1/(1+'[1]McCulloch data set'!L285/100)^3+1/(1+'[1]McCulloch data set'!M285/100)^4+1/(1+'[1]McCulloch data set'!N285/100)^5)</f>
        <v>7.8189510312217783E-2</v>
      </c>
      <c r="C287" s="12">
        <f>(1-1/(1+'[1]McCulloch data set'!N285/100)^10)/((1/(1+'[1]McCulloch data set'!J285/100))+1/(1+'[1]McCulloch data set'!K285/100)^2+1/(1+'[1]McCulloch data set'!L285/100)^3+1/(1+'[1]McCulloch data set'!M285/100)^4+1/(1+'[1]McCulloch data set'!N285/100)^5+1/(1+('[1]McCulloch data set'!N285+'[1]McCulloch data set'!O285)/2/100)^6+1/(1+('[1]McCulloch data set'!N285+'[1]McCulloch data set'!O285)/2/100)^7+1/(1+('[1]McCulloch data set'!N285+'[1]McCulloch data set'!O285)/2/100)^8+1/(1+('[1]McCulloch data set'!N285+'[1]McCulloch data set'!O285)/2/100)^9+1/(1+('[1]McCulloch data set'!O285/100)^10))</f>
        <v>7.2464347141839303E-2</v>
      </c>
    </row>
    <row r="288" spans="1:3" ht="13.8" x14ac:dyDescent="0.25">
      <c r="A288" s="4" t="s">
        <v>300</v>
      </c>
      <c r="B288" s="12">
        <f>(1-1/(1+'[1]McCulloch data set'!N286/100)^5)/((1/(1+'[1]McCulloch data set'!J286/100))+1/(1+'[1]McCulloch data set'!K286/100)^2+1/(1+'[1]McCulloch data set'!L286/100)^3+1/(1+'[1]McCulloch data set'!M286/100)^4+1/(1+'[1]McCulloch data set'!N286/100)^5)</f>
        <v>7.6004412436887436E-2</v>
      </c>
      <c r="C288" s="12">
        <f>(1-1/(1+'[1]McCulloch data set'!N286/100)^10)/((1/(1+'[1]McCulloch data set'!J286/100))+1/(1+'[1]McCulloch data set'!K286/100)^2+1/(1+'[1]McCulloch data set'!L286/100)^3+1/(1+'[1]McCulloch data set'!M286/100)^4+1/(1+'[1]McCulloch data set'!N286/100)^5+1/(1+('[1]McCulloch data set'!N286+'[1]McCulloch data set'!O286)/2/100)^6+1/(1+('[1]McCulloch data set'!N286+'[1]McCulloch data set'!O286)/2/100)^7+1/(1+('[1]McCulloch data set'!N286+'[1]McCulloch data set'!O286)/2/100)^8+1/(1+('[1]McCulloch data set'!N286+'[1]McCulloch data set'!O286)/2/100)^9+1/(1+('[1]McCulloch data set'!O286/100)^10))</f>
        <v>7.0683084989707157E-2</v>
      </c>
    </row>
    <row r="289" spans="1:3" ht="13.8" x14ac:dyDescent="0.25">
      <c r="A289" s="4" t="s">
        <v>301</v>
      </c>
      <c r="B289" s="12">
        <f>(1-1/(1+'[1]McCulloch data set'!N287/100)^5)/((1/(1+'[1]McCulloch data set'!J287/100))+1/(1+'[1]McCulloch data set'!K287/100)^2+1/(1+'[1]McCulloch data set'!L287/100)^3+1/(1+'[1]McCulloch data set'!M287/100)^4+1/(1+'[1]McCulloch data set'!N287/100)^5)</f>
        <v>7.61910159574017E-2</v>
      </c>
      <c r="C289" s="12">
        <f>(1-1/(1+'[1]McCulloch data set'!N287/100)^10)/((1/(1+'[1]McCulloch data set'!J287/100))+1/(1+'[1]McCulloch data set'!K287/100)^2+1/(1+'[1]McCulloch data set'!L287/100)^3+1/(1+'[1]McCulloch data set'!M287/100)^4+1/(1+'[1]McCulloch data set'!N287/100)^5+1/(1+('[1]McCulloch data set'!N287+'[1]McCulloch data set'!O287)/2/100)^6+1/(1+('[1]McCulloch data set'!N287+'[1]McCulloch data set'!O287)/2/100)^7+1/(1+('[1]McCulloch data set'!N287+'[1]McCulloch data set'!O287)/2/100)^8+1/(1+('[1]McCulloch data set'!N287+'[1]McCulloch data set'!O287)/2/100)^9+1/(1+('[1]McCulloch data set'!O287/100)^10))</f>
        <v>7.0735572636266786E-2</v>
      </c>
    </row>
    <row r="290" spans="1:3" ht="13.8" x14ac:dyDescent="0.25">
      <c r="A290" s="4" t="s">
        <v>302</v>
      </c>
      <c r="B290" s="12">
        <f>(1-1/(1+'[1]McCulloch data set'!N288/100)^5)/((1/(1+'[1]McCulloch data set'!J288/100))+1/(1+'[1]McCulloch data set'!K288/100)^2+1/(1+'[1]McCulloch data set'!L288/100)^3+1/(1+'[1]McCulloch data set'!M288/100)^4+1/(1+'[1]McCulloch data set'!N288/100)^5)</f>
        <v>7.4626026451190722E-2</v>
      </c>
      <c r="C290" s="12">
        <f>(1-1/(1+'[1]McCulloch data set'!N288/100)^10)/((1/(1+'[1]McCulloch data set'!J288/100))+1/(1+'[1]McCulloch data set'!K288/100)^2+1/(1+'[1]McCulloch data set'!L288/100)^3+1/(1+'[1]McCulloch data set'!M288/100)^4+1/(1+'[1]McCulloch data set'!N288/100)^5+1/(1+('[1]McCulloch data set'!N288+'[1]McCulloch data set'!O288)/2/100)^6+1/(1+('[1]McCulloch data set'!N288+'[1]McCulloch data set'!O288)/2/100)^7+1/(1+('[1]McCulloch data set'!N288+'[1]McCulloch data set'!O288)/2/100)^8+1/(1+('[1]McCulloch data set'!N288+'[1]McCulloch data set'!O288)/2/100)^9+1/(1+('[1]McCulloch data set'!O288/100)^10))</f>
        <v>6.9596263557230031E-2</v>
      </c>
    </row>
    <row r="291" spans="1:3" ht="13.8" x14ac:dyDescent="0.25">
      <c r="A291" s="4" t="s">
        <v>303</v>
      </c>
      <c r="B291" s="12">
        <f>(1-1/(1+'[1]McCulloch data set'!N289/100)^5)/((1/(1+'[1]McCulloch data set'!J289/100))+1/(1+'[1]McCulloch data set'!K289/100)^2+1/(1+'[1]McCulloch data set'!L289/100)^3+1/(1+'[1]McCulloch data set'!M289/100)^4+1/(1+'[1]McCulloch data set'!N289/100)^5)</f>
        <v>7.3320193147514784E-2</v>
      </c>
      <c r="C291" s="12">
        <f>(1-1/(1+'[1]McCulloch data set'!N289/100)^10)/((1/(1+'[1]McCulloch data set'!J289/100))+1/(1+'[1]McCulloch data set'!K289/100)^2+1/(1+'[1]McCulloch data set'!L289/100)^3+1/(1+'[1]McCulloch data set'!M289/100)^4+1/(1+'[1]McCulloch data set'!N289/100)^5+1/(1+('[1]McCulloch data set'!N289+'[1]McCulloch data set'!O289)/2/100)^6+1/(1+('[1]McCulloch data set'!N289+'[1]McCulloch data set'!O289)/2/100)^7+1/(1+('[1]McCulloch data set'!N289+'[1]McCulloch data set'!O289)/2/100)^8+1/(1+('[1]McCulloch data set'!N289+'[1]McCulloch data set'!O289)/2/100)^9+1/(1+('[1]McCulloch data set'!O289/100)^10))</f>
        <v>6.8540259721699096E-2</v>
      </c>
    </row>
    <row r="292" spans="1:3" ht="13.8" x14ac:dyDescent="0.25">
      <c r="A292" s="4" t="s">
        <v>304</v>
      </c>
      <c r="B292" s="12">
        <f>(1-1/(1+'[1]McCulloch data set'!N290/100)^5)/((1/(1+'[1]McCulloch data set'!J290/100))+1/(1+'[1]McCulloch data set'!K290/100)^2+1/(1+'[1]McCulloch data set'!L290/100)^3+1/(1+'[1]McCulloch data set'!M290/100)^4+1/(1+'[1]McCulloch data set'!N290/100)^5)</f>
        <v>7.0458117322983391E-2</v>
      </c>
      <c r="C292" s="12">
        <f>(1-1/(1+'[1]McCulloch data set'!N290/100)^10)/((1/(1+'[1]McCulloch data set'!J290/100))+1/(1+'[1]McCulloch data set'!K290/100)^2+1/(1+'[1]McCulloch data set'!L290/100)^3+1/(1+'[1]McCulloch data set'!M290/100)^4+1/(1+'[1]McCulloch data set'!N290/100)^5+1/(1+('[1]McCulloch data set'!N290+'[1]McCulloch data set'!O290)/2/100)^6+1/(1+('[1]McCulloch data set'!N290+'[1]McCulloch data set'!O290)/2/100)^7+1/(1+('[1]McCulloch data set'!N290+'[1]McCulloch data set'!O290)/2/100)^8+1/(1+('[1]McCulloch data set'!N290+'[1]McCulloch data set'!O290)/2/100)^9+1/(1+('[1]McCulloch data set'!O290/100)^10))</f>
        <v>6.6104321811967029E-2</v>
      </c>
    </row>
    <row r="293" spans="1:3" ht="13.8" x14ac:dyDescent="0.25">
      <c r="A293" s="4" t="s">
        <v>305</v>
      </c>
      <c r="B293" s="12">
        <f>(1-1/(1+'[1]McCulloch data set'!N291/100)^5)/((1/(1+'[1]McCulloch data set'!J291/100))+1/(1+'[1]McCulloch data set'!K291/100)^2+1/(1+'[1]McCulloch data set'!L291/100)^3+1/(1+'[1]McCulloch data set'!M291/100)^4+1/(1+'[1]McCulloch data set'!N291/100)^5)</f>
        <v>6.932706984103966E-2</v>
      </c>
      <c r="C293" s="12">
        <f>(1-1/(1+'[1]McCulloch data set'!N291/100)^10)/((1/(1+'[1]McCulloch data set'!J291/100))+1/(1+'[1]McCulloch data set'!K291/100)^2+1/(1+'[1]McCulloch data set'!L291/100)^3+1/(1+'[1]McCulloch data set'!M291/100)^4+1/(1+'[1]McCulloch data set'!N291/100)^5+1/(1+('[1]McCulloch data set'!N291+'[1]McCulloch data set'!O291)/2/100)^6+1/(1+('[1]McCulloch data set'!N291+'[1]McCulloch data set'!O291)/2/100)^7+1/(1+('[1]McCulloch data set'!N291+'[1]McCulloch data set'!O291)/2/100)^8+1/(1+('[1]McCulloch data set'!N291+'[1]McCulloch data set'!O291)/2/100)^9+1/(1+('[1]McCulloch data set'!O291/100)^10))</f>
        <v>6.5133622690782406E-2</v>
      </c>
    </row>
    <row r="294" spans="1:3" ht="13.8" x14ac:dyDescent="0.25">
      <c r="A294" s="4" t="s">
        <v>306</v>
      </c>
      <c r="B294" s="12">
        <f>(1-1/(1+'[1]McCulloch data set'!N292/100)^5)/((1/(1+'[1]McCulloch data set'!J292/100))+1/(1+'[1]McCulloch data set'!K292/100)^2+1/(1+'[1]McCulloch data set'!L292/100)^3+1/(1+'[1]McCulloch data set'!M292/100)^4+1/(1+'[1]McCulloch data set'!N292/100)^5)</f>
        <v>6.0270905061012819E-2</v>
      </c>
      <c r="C294" s="12">
        <f>(1-1/(1+'[1]McCulloch data set'!N292/100)^10)/((1/(1+'[1]McCulloch data set'!J292/100))+1/(1+'[1]McCulloch data set'!K292/100)^2+1/(1+'[1]McCulloch data set'!L292/100)^3+1/(1+'[1]McCulloch data set'!M292/100)^4+1/(1+'[1]McCulloch data set'!N292/100)^5+1/(1+('[1]McCulloch data set'!N292+'[1]McCulloch data set'!O292)/2/100)^6+1/(1+('[1]McCulloch data set'!N292+'[1]McCulloch data set'!O292)/2/100)^7+1/(1+('[1]McCulloch data set'!N292+'[1]McCulloch data set'!O292)/2/100)^8+1/(1+('[1]McCulloch data set'!N292+'[1]McCulloch data set'!O292)/2/100)^9+1/(1+('[1]McCulloch data set'!O292/100)^10))</f>
        <v>5.7313387162385349E-2</v>
      </c>
    </row>
    <row r="295" spans="1:3" ht="13.8" x14ac:dyDescent="0.25">
      <c r="A295" s="4" t="s">
        <v>307</v>
      </c>
      <c r="B295" s="12">
        <f>(1-1/(1+'[1]McCulloch data set'!N293/100)^5)/((1/(1+'[1]McCulloch data set'!J293/100))+1/(1+'[1]McCulloch data set'!K293/100)^2+1/(1+'[1]McCulloch data set'!L293/100)^3+1/(1+'[1]McCulloch data set'!M293/100)^4+1/(1+'[1]McCulloch data set'!N293/100)^5)</f>
        <v>5.9610163852712415E-2</v>
      </c>
      <c r="C295" s="12">
        <f>(1-1/(1+'[1]McCulloch data set'!N293/100)^10)/((1/(1+'[1]McCulloch data set'!J293/100))+1/(1+'[1]McCulloch data set'!K293/100)^2+1/(1+'[1]McCulloch data set'!L293/100)^3+1/(1+'[1]McCulloch data set'!M293/100)^4+1/(1+'[1]McCulloch data set'!N293/100)^5+1/(1+('[1]McCulloch data set'!N293+'[1]McCulloch data set'!O293)/2/100)^6+1/(1+('[1]McCulloch data set'!N293+'[1]McCulloch data set'!O293)/2/100)^7+1/(1+('[1]McCulloch data set'!N293+'[1]McCulloch data set'!O293)/2/100)^8+1/(1+('[1]McCulloch data set'!N293+'[1]McCulloch data set'!O293)/2/100)^9+1/(1+('[1]McCulloch data set'!O293/100)^10))</f>
        <v>5.6626155848979974E-2</v>
      </c>
    </row>
    <row r="296" spans="1:3" ht="13.8" x14ac:dyDescent="0.25">
      <c r="A296" s="4" t="s">
        <v>308</v>
      </c>
      <c r="B296" s="12">
        <f>(1-1/(1+'[1]McCulloch data set'!N294/100)^5)/((1/(1+'[1]McCulloch data set'!J294/100))+1/(1+'[1]McCulloch data set'!K294/100)^2+1/(1+'[1]McCulloch data set'!L294/100)^3+1/(1+'[1]McCulloch data set'!M294/100)^4+1/(1+'[1]McCulloch data set'!N294/100)^5)</f>
        <v>5.791454981010221E-2</v>
      </c>
      <c r="C296" s="12">
        <f>(1-1/(1+'[1]McCulloch data set'!N294/100)^10)/((1/(1+'[1]McCulloch data set'!J294/100))+1/(1+'[1]McCulloch data set'!K294/100)^2+1/(1+'[1]McCulloch data set'!L294/100)^3+1/(1+'[1]McCulloch data set'!M294/100)^4+1/(1+'[1]McCulloch data set'!N294/100)^5+1/(1+('[1]McCulloch data set'!N294+'[1]McCulloch data set'!O294)/2/100)^6+1/(1+('[1]McCulloch data set'!N294+'[1]McCulloch data set'!O294)/2/100)^7+1/(1+('[1]McCulloch data set'!N294+'[1]McCulloch data set'!O294)/2/100)^8+1/(1+('[1]McCulloch data set'!N294+'[1]McCulloch data set'!O294)/2/100)^9+1/(1+('[1]McCulloch data set'!O294/100)^10))</f>
        <v>5.5234044987302638E-2</v>
      </c>
    </row>
    <row r="297" spans="1:3" ht="13.8" x14ac:dyDescent="0.25">
      <c r="A297" s="4" t="s">
        <v>309</v>
      </c>
      <c r="B297" s="12">
        <f>(1-1/(1+'[1]McCulloch data set'!N295/100)^5)/((1/(1+'[1]McCulloch data set'!J295/100))+1/(1+'[1]McCulloch data set'!K295/100)^2+1/(1+'[1]McCulloch data set'!L295/100)^3+1/(1+'[1]McCulloch data set'!M295/100)^4+1/(1+'[1]McCulloch data set'!N295/100)^5)</f>
        <v>5.4087927028726016E-2</v>
      </c>
      <c r="C297" s="12">
        <f>(1-1/(1+'[1]McCulloch data set'!N295/100)^10)/((1/(1+'[1]McCulloch data set'!J295/100))+1/(1+'[1]McCulloch data set'!K295/100)^2+1/(1+'[1]McCulloch data set'!L295/100)^3+1/(1+'[1]McCulloch data set'!M295/100)^4+1/(1+'[1]McCulloch data set'!N295/100)^5+1/(1+('[1]McCulloch data set'!N295+'[1]McCulloch data set'!O295)/2/100)^6+1/(1+('[1]McCulloch data set'!N295+'[1]McCulloch data set'!O295)/2/100)^7+1/(1+('[1]McCulloch data set'!N295+'[1]McCulloch data set'!O295)/2/100)^8+1/(1+('[1]McCulloch data set'!N295+'[1]McCulloch data set'!O295)/2/100)^9+1/(1+('[1]McCulloch data set'!O295/100)^10))</f>
        <v>5.2008074782686514E-2</v>
      </c>
    </row>
    <row r="298" spans="1:3" ht="13.8" x14ac:dyDescent="0.25">
      <c r="A298" s="4" t="s">
        <v>310</v>
      </c>
      <c r="B298" s="12">
        <f>(1-1/(1+'[1]McCulloch data set'!N296/100)^5)/((1/(1+'[1]McCulloch data set'!J296/100))+1/(1+'[1]McCulloch data set'!K296/100)^2+1/(1+'[1]McCulloch data set'!L296/100)^3+1/(1+'[1]McCulloch data set'!M296/100)^4+1/(1+'[1]McCulloch data set'!N296/100)^5)</f>
        <v>5.0857590109177113E-2</v>
      </c>
      <c r="C298" s="12">
        <f>(1-1/(1+'[1]McCulloch data set'!N296/100)^10)/((1/(1+'[1]McCulloch data set'!J296/100))+1/(1+'[1]McCulloch data set'!K296/100)^2+1/(1+'[1]McCulloch data set'!L296/100)^3+1/(1+'[1]McCulloch data set'!M296/100)^4+1/(1+'[1]McCulloch data set'!N296/100)^5+1/(1+('[1]McCulloch data set'!N296+'[1]McCulloch data set'!O296)/2/100)^6+1/(1+('[1]McCulloch data set'!N296+'[1]McCulloch data set'!O296)/2/100)^7+1/(1+('[1]McCulloch data set'!N296+'[1]McCulloch data set'!O296)/2/100)^8+1/(1+('[1]McCulloch data set'!N296+'[1]McCulloch data set'!O296)/2/100)^9+1/(1+('[1]McCulloch data set'!O296/100)^10))</f>
        <v>4.8979547094084322E-2</v>
      </c>
    </row>
    <row r="299" spans="1:3" ht="13.8" x14ac:dyDescent="0.25">
      <c r="A299" s="4" t="s">
        <v>311</v>
      </c>
      <c r="B299" s="12">
        <f>(1-1/(1+'[1]McCulloch data set'!N297/100)^5)/((1/(1+'[1]McCulloch data set'!J297/100))+1/(1+'[1]McCulloch data set'!K297/100)^2+1/(1+'[1]McCulloch data set'!L297/100)^3+1/(1+'[1]McCulloch data set'!M297/100)^4+1/(1+'[1]McCulloch data set'!N297/100)^5)</f>
        <v>5.9906685607778946E-2</v>
      </c>
      <c r="C299" s="12">
        <f>(1-1/(1+'[1]McCulloch data set'!N297/100)^10)/((1/(1+'[1]McCulloch data set'!J297/100))+1/(1+'[1]McCulloch data set'!K297/100)^2+1/(1+'[1]McCulloch data set'!L297/100)^3+1/(1+'[1]McCulloch data set'!M297/100)^4+1/(1+'[1]McCulloch data set'!N297/100)^5+1/(1+('[1]McCulloch data set'!N297+'[1]McCulloch data set'!O297)/2/100)^6+1/(1+('[1]McCulloch data set'!N297+'[1]McCulloch data set'!O297)/2/100)^7+1/(1+('[1]McCulloch data set'!N297+'[1]McCulloch data set'!O297)/2/100)^8+1/(1+('[1]McCulloch data set'!N297+'[1]McCulloch data set'!O297)/2/100)^9+1/(1+('[1]McCulloch data set'!O297/100)^10))</f>
        <v>5.6810389493630202E-2</v>
      </c>
    </row>
    <row r="300" spans="1:3" ht="13.8" x14ac:dyDescent="0.25">
      <c r="A300" s="4" t="s">
        <v>312</v>
      </c>
      <c r="B300" s="12">
        <f>(1-1/(1+'[1]McCulloch data set'!N298/100)^5)/((1/(1+'[1]McCulloch data set'!J298/100))+1/(1+'[1]McCulloch data set'!K298/100)^2+1/(1+'[1]McCulloch data set'!L298/100)^3+1/(1+'[1]McCulloch data set'!M298/100)^4+1/(1+'[1]McCulloch data set'!N298/100)^5)</f>
        <v>6.0715128528188098E-2</v>
      </c>
      <c r="C300" s="12">
        <f>(1-1/(1+'[1]McCulloch data set'!N298/100)^10)/((1/(1+'[1]McCulloch data set'!J298/100))+1/(1+'[1]McCulloch data set'!K298/100)^2+1/(1+'[1]McCulloch data set'!L298/100)^3+1/(1+'[1]McCulloch data set'!M298/100)^4+1/(1+'[1]McCulloch data set'!N298/100)^5+1/(1+('[1]McCulloch data set'!N298+'[1]McCulloch data set'!O298)/2/100)^6+1/(1+('[1]McCulloch data set'!N298+'[1]McCulloch data set'!O298)/2/100)^7+1/(1+('[1]McCulloch data set'!N298+'[1]McCulloch data set'!O298)/2/100)^8+1/(1+('[1]McCulloch data set'!N298+'[1]McCulloch data set'!O298)/2/100)^9+1/(1+('[1]McCulloch data set'!O298/100)^10))</f>
        <v>5.7692839381218337E-2</v>
      </c>
    </row>
    <row r="301" spans="1:3" ht="13.8" x14ac:dyDescent="0.25">
      <c r="A301" s="4" t="s">
        <v>313</v>
      </c>
      <c r="B301" s="12">
        <f>(1-1/(1+'[1]McCulloch data set'!N299/100)^5)/((1/(1+'[1]McCulloch data set'!J299/100))+1/(1+'[1]McCulloch data set'!K299/100)^2+1/(1+'[1]McCulloch data set'!L299/100)^3+1/(1+'[1]McCulloch data set'!M299/100)^4+1/(1+'[1]McCulloch data set'!N299/100)^5)</f>
        <v>6.7727085316070926E-2</v>
      </c>
      <c r="C301" s="12">
        <f>(1-1/(1+'[1]McCulloch data set'!N299/100)^10)/((1/(1+'[1]McCulloch data set'!J299/100))+1/(1+'[1]McCulloch data set'!K299/100)^2+1/(1+'[1]McCulloch data set'!L299/100)^3+1/(1+'[1]McCulloch data set'!M299/100)^4+1/(1+'[1]McCulloch data set'!N299/100)^5+1/(1+('[1]McCulloch data set'!N299+'[1]McCulloch data set'!O299)/2/100)^6+1/(1+('[1]McCulloch data set'!N299+'[1]McCulloch data set'!O299)/2/100)^7+1/(1+('[1]McCulloch data set'!N299+'[1]McCulloch data set'!O299)/2/100)^8+1/(1+('[1]McCulloch data set'!N299+'[1]McCulloch data set'!O299)/2/100)^9+1/(1+('[1]McCulloch data set'!O299/100)^10))</f>
        <v>6.3552378221665651E-2</v>
      </c>
    </row>
    <row r="302" spans="1:3" ht="13.8" x14ac:dyDescent="0.25">
      <c r="A302" s="4" t="s">
        <v>314</v>
      </c>
      <c r="B302" s="12">
        <f>(1-1/(1+'[1]McCulloch data set'!N300/100)^5)/((1/(1+'[1]McCulloch data set'!J300/100))+1/(1+'[1]McCulloch data set'!K300/100)^2+1/(1+'[1]McCulloch data set'!L300/100)^3+1/(1+'[1]McCulloch data set'!M300/100)^4+1/(1+'[1]McCulloch data set'!N300/100)^5)</f>
        <v>6.8783656879713842E-2</v>
      </c>
      <c r="C302" s="12">
        <f>(1-1/(1+'[1]McCulloch data set'!N300/100)^10)/((1/(1+'[1]McCulloch data set'!J300/100))+1/(1+'[1]McCulloch data set'!K300/100)^2+1/(1+'[1]McCulloch data set'!L300/100)^3+1/(1+'[1]McCulloch data set'!M300/100)^4+1/(1+'[1]McCulloch data set'!N300/100)^5+1/(1+('[1]McCulloch data set'!N300+'[1]McCulloch data set'!O300)/2/100)^6+1/(1+('[1]McCulloch data set'!N300+'[1]McCulloch data set'!O300)/2/100)^7+1/(1+('[1]McCulloch data set'!N300+'[1]McCulloch data set'!O300)/2/100)^8+1/(1+('[1]McCulloch data set'!N300+'[1]McCulloch data set'!O300)/2/100)^9+1/(1+('[1]McCulloch data set'!O300/100)^10))</f>
        <v>6.4500924971243045E-2</v>
      </c>
    </row>
    <row r="303" spans="1:3" ht="13.8" x14ac:dyDescent="0.25">
      <c r="A303" s="4" t="s">
        <v>315</v>
      </c>
      <c r="B303" s="12">
        <f>(1-1/(1+'[1]McCulloch data set'!N301/100)^5)/((1/(1+'[1]McCulloch data set'!J301/100))+1/(1+'[1]McCulloch data set'!K301/100)^2+1/(1+'[1]McCulloch data set'!L301/100)^3+1/(1+'[1]McCulloch data set'!M301/100)^4+1/(1+'[1]McCulloch data set'!N301/100)^5)</f>
        <v>5.9004193993354964E-2</v>
      </c>
      <c r="C303" s="12">
        <f>(1-1/(1+'[1]McCulloch data set'!N301/100)^10)/((1/(1+'[1]McCulloch data set'!J301/100))+1/(1+'[1]McCulloch data set'!K301/100)^2+1/(1+'[1]McCulloch data set'!L301/100)^3+1/(1+'[1]McCulloch data set'!M301/100)^4+1/(1+'[1]McCulloch data set'!N301/100)^5+1/(1+('[1]McCulloch data set'!N301+'[1]McCulloch data set'!O301)/2/100)^6+1/(1+('[1]McCulloch data set'!N301+'[1]McCulloch data set'!O301)/2/100)^7+1/(1+('[1]McCulloch data set'!N301+'[1]McCulloch data set'!O301)/2/100)^8+1/(1+('[1]McCulloch data set'!N301+'[1]McCulloch data set'!O301)/2/100)^9+1/(1+('[1]McCulloch data set'!O301/100)^10))</f>
        <v>5.6068853182096763E-2</v>
      </c>
    </row>
    <row r="304" spans="1:3" ht="13.8" x14ac:dyDescent="0.25">
      <c r="A304" s="4" t="s">
        <v>316</v>
      </c>
      <c r="B304" s="12">
        <f>(1-1/(1+'[1]McCulloch data set'!N302/100)^5)/((1/(1+'[1]McCulloch data set'!J302/100))+1/(1+'[1]McCulloch data set'!K302/100)^2+1/(1+'[1]McCulloch data set'!L302/100)^3+1/(1+'[1]McCulloch data set'!M302/100)^4+1/(1+'[1]McCulloch data set'!N302/100)^5)</f>
        <v>5.9192344437186191E-2</v>
      </c>
      <c r="C304" s="12">
        <f>(1-1/(1+'[1]McCulloch data set'!N302/100)^10)/((1/(1+'[1]McCulloch data set'!J302/100))+1/(1+'[1]McCulloch data set'!K302/100)^2+1/(1+'[1]McCulloch data set'!L302/100)^3+1/(1+'[1]McCulloch data set'!M302/100)^4+1/(1+'[1]McCulloch data set'!N302/100)^5+1/(1+('[1]McCulloch data set'!N302+'[1]McCulloch data set'!O302)/2/100)^6+1/(1+('[1]McCulloch data set'!N302+'[1]McCulloch data set'!O302)/2/100)^7+1/(1+('[1]McCulloch data set'!N302+'[1]McCulloch data set'!O302)/2/100)^8+1/(1+('[1]McCulloch data set'!N302+'[1]McCulloch data set'!O302)/2/100)^9+1/(1+('[1]McCulloch data set'!O302/100)^10))</f>
        <v>5.6014504678825169E-2</v>
      </c>
    </row>
    <row r="305" spans="1:3" ht="13.8" x14ac:dyDescent="0.25">
      <c r="A305" s="4" t="s">
        <v>317</v>
      </c>
      <c r="B305" s="12">
        <f>(1-1/(1+'[1]McCulloch data set'!N303/100)^5)/((1/(1+'[1]McCulloch data set'!J303/100))+1/(1+'[1]McCulloch data set'!K303/100)^2+1/(1+'[1]McCulloch data set'!L303/100)^3+1/(1+'[1]McCulloch data set'!M303/100)^4+1/(1+'[1]McCulloch data set'!N303/100)^5)</f>
        <v>5.7002139332012598E-2</v>
      </c>
      <c r="C305" s="12">
        <f>(1-1/(1+'[1]McCulloch data set'!N303/100)^10)/((1/(1+'[1]McCulloch data set'!J303/100))+1/(1+'[1]McCulloch data set'!K303/100)^2+1/(1+'[1]McCulloch data set'!L303/100)^3+1/(1+'[1]McCulloch data set'!M303/100)^4+1/(1+'[1]McCulloch data set'!N303/100)^5+1/(1+('[1]McCulloch data set'!N303+'[1]McCulloch data set'!O303)/2/100)^6+1/(1+('[1]McCulloch data set'!N303+'[1]McCulloch data set'!O303)/2/100)^7+1/(1+('[1]McCulloch data set'!N303+'[1]McCulloch data set'!O303)/2/100)^8+1/(1+('[1]McCulloch data set'!N303+'[1]McCulloch data set'!O303)/2/100)^9+1/(1+('[1]McCulloch data set'!O303/100)^10))</f>
        <v>5.4283358897728354E-2</v>
      </c>
    </row>
    <row r="306" spans="1:3" ht="13.8" x14ac:dyDescent="0.25">
      <c r="A306" s="4" t="s">
        <v>318</v>
      </c>
      <c r="B306" s="12">
        <f>(1-1/(1+'[1]McCulloch data set'!N304/100)^5)/((1/(1+'[1]McCulloch data set'!J304/100))+1/(1+'[1]McCulloch data set'!K304/100)^2+1/(1+'[1]McCulloch data set'!L304/100)^3+1/(1+'[1]McCulloch data set'!M304/100)^4+1/(1+'[1]McCulloch data set'!N304/100)^5)</f>
        <v>5.779878531021268E-2</v>
      </c>
      <c r="C306" s="12">
        <f>(1-1/(1+'[1]McCulloch data set'!N304/100)^10)/((1/(1+'[1]McCulloch data set'!J304/100))+1/(1+'[1]McCulloch data set'!K304/100)^2+1/(1+'[1]McCulloch data set'!L304/100)^3+1/(1+'[1]McCulloch data set'!M304/100)^4+1/(1+'[1]McCulloch data set'!N304/100)^5+1/(1+('[1]McCulloch data set'!N304+'[1]McCulloch data set'!O304)/2/100)^6+1/(1+('[1]McCulloch data set'!N304+'[1]McCulloch data set'!O304)/2/100)^7+1/(1+('[1]McCulloch data set'!N304+'[1]McCulloch data set'!O304)/2/100)^8+1/(1+('[1]McCulloch data set'!N304+'[1]McCulloch data set'!O304)/2/100)^9+1/(1+('[1]McCulloch data set'!O304/100)^10))</f>
        <v>5.4876381417219462E-2</v>
      </c>
    </row>
    <row r="307" spans="1:3" ht="13.8" x14ac:dyDescent="0.25">
      <c r="A307" s="4" t="s">
        <v>319</v>
      </c>
      <c r="B307" s="12">
        <f>(1-1/(1+'[1]McCulloch data set'!N305/100)^5)/((1/(1+'[1]McCulloch data set'!J305/100))+1/(1+'[1]McCulloch data set'!K305/100)^2+1/(1+'[1]McCulloch data set'!L305/100)^3+1/(1+'[1]McCulloch data set'!M305/100)^4+1/(1+'[1]McCulloch data set'!N305/100)^5)</f>
        <v>5.4400334156437836E-2</v>
      </c>
      <c r="C307" s="12">
        <f>(1-1/(1+'[1]McCulloch data set'!N305/100)^10)/((1/(1+'[1]McCulloch data set'!J305/100))+1/(1+'[1]McCulloch data set'!K305/100)^2+1/(1+'[1]McCulloch data set'!L305/100)^3+1/(1+'[1]McCulloch data set'!M305/100)^4+1/(1+'[1]McCulloch data set'!N305/100)^5+1/(1+('[1]McCulloch data set'!N305+'[1]McCulloch data set'!O305)/2/100)^6+1/(1+('[1]McCulloch data set'!N305+'[1]McCulloch data set'!O305)/2/100)^7+1/(1+('[1]McCulloch data set'!N305+'[1]McCulloch data set'!O305)/2/100)^8+1/(1+('[1]McCulloch data set'!N305+'[1]McCulloch data set'!O305)/2/100)^9+1/(1+('[1]McCulloch data set'!O305/100)^10))</f>
        <v>5.2080246634170477E-2</v>
      </c>
    </row>
    <row r="308" spans="1:3" ht="13.8" x14ac:dyDescent="0.25">
      <c r="A308" s="4" t="s">
        <v>320</v>
      </c>
      <c r="B308" s="12">
        <f>(1-1/(1+'[1]McCulloch data set'!N306/100)^5)/((1/(1+'[1]McCulloch data set'!J306/100))+1/(1+'[1]McCulloch data set'!K306/100)^2+1/(1+'[1]McCulloch data set'!L306/100)^3+1/(1+'[1]McCulloch data set'!M306/100)^4+1/(1+'[1]McCulloch data set'!N306/100)^5)</f>
        <v>5.6961257762744487E-2</v>
      </c>
      <c r="C308" s="12">
        <f>(1-1/(1+'[1]McCulloch data set'!N306/100)^10)/((1/(1+'[1]McCulloch data set'!J306/100))+1/(1+'[1]McCulloch data set'!K306/100)^2+1/(1+'[1]McCulloch data set'!L306/100)^3+1/(1+'[1]McCulloch data set'!M306/100)^4+1/(1+'[1]McCulloch data set'!N306/100)^5+1/(1+('[1]McCulloch data set'!N306+'[1]McCulloch data set'!O306)/2/100)^6+1/(1+('[1]McCulloch data set'!N306+'[1]McCulloch data set'!O306)/2/100)^7+1/(1+('[1]McCulloch data set'!N306+'[1]McCulloch data set'!O306)/2/100)^8+1/(1+('[1]McCulloch data set'!N306+'[1]McCulloch data set'!O306)/2/100)^9+1/(1+('[1]McCulloch data set'!O306/100)^10))</f>
        <v>5.4538380221739687E-2</v>
      </c>
    </row>
    <row r="309" spans="1:3" ht="13.8" x14ac:dyDescent="0.25">
      <c r="A309" s="4" t="s">
        <v>321</v>
      </c>
      <c r="B309" s="12">
        <f>(1-1/(1+'[1]McCulloch data set'!N307/100)^5)/((1/(1+'[1]McCulloch data set'!J307/100))+1/(1+'[1]McCulloch data set'!K307/100)^2+1/(1+'[1]McCulloch data set'!L307/100)^3+1/(1+'[1]McCulloch data set'!M307/100)^4+1/(1+'[1]McCulloch data set'!N307/100)^5)</f>
        <v>5.6213182720271516E-2</v>
      </c>
      <c r="C309" s="12">
        <f>(1-1/(1+'[1]McCulloch data set'!N307/100)^10)/((1/(1+'[1]McCulloch data set'!J307/100))+1/(1+'[1]McCulloch data set'!K307/100)^2+1/(1+'[1]McCulloch data set'!L307/100)^3+1/(1+'[1]McCulloch data set'!M307/100)^4+1/(1+'[1]McCulloch data set'!N307/100)^5+1/(1+('[1]McCulloch data set'!N307+'[1]McCulloch data set'!O307)/2/100)^6+1/(1+('[1]McCulloch data set'!N307+'[1]McCulloch data set'!O307)/2/100)^7+1/(1+('[1]McCulloch data set'!N307+'[1]McCulloch data set'!O307)/2/100)^8+1/(1+('[1]McCulloch data set'!N307+'[1]McCulloch data set'!O307)/2/100)^9+1/(1+('[1]McCulloch data set'!O307/100)^10))</f>
        <v>5.3808548331305911E-2</v>
      </c>
    </row>
    <row r="310" spans="1:3" ht="13.8" x14ac:dyDescent="0.25">
      <c r="A310" s="4" t="s">
        <v>322</v>
      </c>
      <c r="B310" s="12">
        <f>(1-1/(1+'[1]McCulloch data set'!N308/100)^5)/((1/(1+'[1]McCulloch data set'!J308/100))+1/(1+'[1]McCulloch data set'!K308/100)^2+1/(1+'[1]McCulloch data set'!L308/100)^3+1/(1+'[1]McCulloch data set'!M308/100)^4+1/(1+'[1]McCulloch data set'!N308/100)^5)</f>
        <v>6.0010409077068574E-2</v>
      </c>
      <c r="C310" s="12">
        <f>(1-1/(1+'[1]McCulloch data set'!N308/100)^10)/((1/(1+'[1]McCulloch data set'!J308/100))+1/(1+'[1]McCulloch data set'!K308/100)^2+1/(1+'[1]McCulloch data set'!L308/100)^3+1/(1+'[1]McCulloch data set'!M308/100)^4+1/(1+'[1]McCulloch data set'!N308/100)^5+1/(1+('[1]McCulloch data set'!N308+'[1]McCulloch data set'!O308)/2/100)^6+1/(1+('[1]McCulloch data set'!N308+'[1]McCulloch data set'!O308)/2/100)^7+1/(1+('[1]McCulloch data set'!N308+'[1]McCulloch data set'!O308)/2/100)^8+1/(1+('[1]McCulloch data set'!N308+'[1]McCulloch data set'!O308)/2/100)^9+1/(1+('[1]McCulloch data set'!O308/100)^10))</f>
        <v>5.6878585906504152E-2</v>
      </c>
    </row>
    <row r="311" spans="1:3" ht="13.8" x14ac:dyDescent="0.25">
      <c r="A311" s="4" t="s">
        <v>323</v>
      </c>
      <c r="B311" s="12">
        <f>(1-1/(1+'[1]McCulloch data set'!N309/100)^5)/((1/(1+'[1]McCulloch data set'!J309/100))+1/(1+'[1]McCulloch data set'!K309/100)^2+1/(1+'[1]McCulloch data set'!L309/100)^3+1/(1+'[1]McCulloch data set'!M309/100)^4+1/(1+'[1]McCulloch data set'!N309/100)^5)</f>
        <v>5.7839858958335669E-2</v>
      </c>
      <c r="C311" s="12">
        <f>(1-1/(1+'[1]McCulloch data set'!N309/100)^10)/((1/(1+'[1]McCulloch data set'!J309/100))+1/(1+'[1]McCulloch data set'!K309/100)^2+1/(1+'[1]McCulloch data set'!L309/100)^3+1/(1+'[1]McCulloch data set'!M309/100)^4+1/(1+'[1]McCulloch data set'!N309/100)^5+1/(1+('[1]McCulloch data set'!N309+'[1]McCulloch data set'!O309)/2/100)^6+1/(1+('[1]McCulloch data set'!N309+'[1]McCulloch data set'!O309)/2/100)^7+1/(1+('[1]McCulloch data set'!N309+'[1]McCulloch data set'!O309)/2/100)^8+1/(1+('[1]McCulloch data set'!N309+'[1]McCulloch data set'!O309)/2/100)^9+1/(1+('[1]McCulloch data set'!O309/100)^10))</f>
        <v>5.5095475669896365E-2</v>
      </c>
    </row>
    <row r="312" spans="1:3" ht="13.8" x14ac:dyDescent="0.25">
      <c r="A312" s="4" t="s">
        <v>324</v>
      </c>
      <c r="B312" s="12">
        <f>(1-1/(1+'[1]McCulloch data set'!N310/100)^5)/((1/(1+'[1]McCulloch data set'!J310/100))+1/(1+'[1]McCulloch data set'!K310/100)^2+1/(1+'[1]McCulloch data set'!L310/100)^3+1/(1+'[1]McCulloch data set'!M310/100)^4+1/(1+'[1]McCulloch data set'!N310/100)^5)</f>
        <v>5.6795890329373939E-2</v>
      </c>
      <c r="C312" s="12">
        <f>(1-1/(1+'[1]McCulloch data set'!N310/100)^10)/((1/(1+'[1]McCulloch data set'!J310/100))+1/(1+'[1]McCulloch data set'!K310/100)^2+1/(1+'[1]McCulloch data set'!L310/100)^3+1/(1+'[1]McCulloch data set'!M310/100)^4+1/(1+'[1]McCulloch data set'!N310/100)^5+1/(1+('[1]McCulloch data set'!N310+'[1]McCulloch data set'!O310)/2/100)^6+1/(1+('[1]McCulloch data set'!N310+'[1]McCulloch data set'!O310)/2/100)^7+1/(1+('[1]McCulloch data set'!N310+'[1]McCulloch data set'!O310)/2/100)^8+1/(1+('[1]McCulloch data set'!N310+'[1]McCulloch data set'!O310)/2/100)^9+1/(1+('[1]McCulloch data set'!O310/100)^10))</f>
        <v>5.4194909808791596E-2</v>
      </c>
    </row>
    <row r="313" spans="1:3" ht="13.8" x14ac:dyDescent="0.25">
      <c r="A313" s="4" t="s">
        <v>325</v>
      </c>
      <c r="B313" s="12">
        <f>(1-1/(1+'[1]McCulloch data set'!N311/100)^5)/((1/(1+'[1]McCulloch data set'!J311/100))+1/(1+'[1]McCulloch data set'!K311/100)^2+1/(1+'[1]McCulloch data set'!L311/100)^3+1/(1+'[1]McCulloch data set'!M311/100)^4+1/(1+'[1]McCulloch data set'!N311/100)^5)</f>
        <v>5.9060857776689901E-2</v>
      </c>
      <c r="C313" s="12">
        <f>(1-1/(1+'[1]McCulloch data set'!N311/100)^10)/((1/(1+'[1]McCulloch data set'!J311/100))+1/(1+'[1]McCulloch data set'!K311/100)^2+1/(1+'[1]McCulloch data set'!L311/100)^3+1/(1+'[1]McCulloch data set'!M311/100)^4+1/(1+'[1]McCulloch data set'!N311/100)^5+1/(1+('[1]McCulloch data set'!N311+'[1]McCulloch data set'!O311)/2/100)^6+1/(1+('[1]McCulloch data set'!N311+'[1]McCulloch data set'!O311)/2/100)^7+1/(1+('[1]McCulloch data set'!N311+'[1]McCulloch data set'!O311)/2/100)^8+1/(1+('[1]McCulloch data set'!N311+'[1]McCulloch data set'!O311)/2/100)^9+1/(1+('[1]McCulloch data set'!O311/100)^10))</f>
        <v>5.6090659924053987E-2</v>
      </c>
    </row>
    <row r="314" spans="1:3" ht="13.8" x14ac:dyDescent="0.25">
      <c r="A314" s="4" t="s">
        <v>326</v>
      </c>
      <c r="B314" s="12">
        <f>(1-1/(1+'[1]McCulloch data set'!N312/100)^5)/((1/(1+'[1]McCulloch data set'!J312/100))+1/(1+'[1]McCulloch data set'!K312/100)^2+1/(1+'[1]McCulloch data set'!L312/100)^3+1/(1+'[1]McCulloch data set'!M312/100)^4+1/(1+'[1]McCulloch data set'!N312/100)^5)</f>
        <v>5.9286195784593911E-2</v>
      </c>
      <c r="C314" s="12">
        <f>(1-1/(1+'[1]McCulloch data set'!N312/100)^10)/((1/(1+'[1]McCulloch data set'!J312/100))+1/(1+'[1]McCulloch data set'!K312/100)^2+1/(1+'[1]McCulloch data set'!L312/100)^3+1/(1+'[1]McCulloch data set'!M312/100)^4+1/(1+'[1]McCulloch data set'!N312/100)^5+1/(1+('[1]McCulloch data set'!N312+'[1]McCulloch data set'!O312)/2/100)^6+1/(1+('[1]McCulloch data set'!N312+'[1]McCulloch data set'!O312)/2/100)^7+1/(1+('[1]McCulloch data set'!N312+'[1]McCulloch data set'!O312)/2/100)^8+1/(1+('[1]McCulloch data set'!N312+'[1]McCulloch data set'!O312)/2/100)^9+1/(1+('[1]McCulloch data set'!O312/100)^10))</f>
        <v>5.640413582888279E-2</v>
      </c>
    </row>
    <row r="315" spans="1:3" ht="13.8" x14ac:dyDescent="0.25">
      <c r="A315" s="4" t="s">
        <v>327</v>
      </c>
      <c r="B315" s="12">
        <f>(1-1/(1+'[1]McCulloch data set'!N313/100)^5)/((1/(1+'[1]McCulloch data set'!J313/100))+1/(1+'[1]McCulloch data set'!K313/100)^2+1/(1+'[1]McCulloch data set'!L313/100)^3+1/(1+'[1]McCulloch data set'!M313/100)^4+1/(1+'[1]McCulloch data set'!N313/100)^5)</f>
        <v>6.0958432558703701E-2</v>
      </c>
      <c r="C315" s="12">
        <f>(1-1/(1+'[1]McCulloch data set'!N313/100)^10)/((1/(1+'[1]McCulloch data set'!J313/100))+1/(1+'[1]McCulloch data set'!K313/100)^2+1/(1+'[1]McCulloch data set'!L313/100)^3+1/(1+'[1]McCulloch data set'!M313/100)^4+1/(1+'[1]McCulloch data set'!N313/100)^5+1/(1+('[1]McCulloch data set'!N313+'[1]McCulloch data set'!O313)/2/100)^6+1/(1+('[1]McCulloch data set'!N313+'[1]McCulloch data set'!O313)/2/100)^7+1/(1+('[1]McCulloch data set'!N313+'[1]McCulloch data set'!O313)/2/100)^8+1/(1+('[1]McCulloch data set'!N313+'[1]McCulloch data set'!O313)/2/100)^9+1/(1+('[1]McCulloch data set'!O313/100)^10))</f>
        <v>5.7836307116184434E-2</v>
      </c>
    </row>
    <row r="316" spans="1:3" ht="13.8" x14ac:dyDescent="0.25">
      <c r="A316" s="4" t="s">
        <v>328</v>
      </c>
      <c r="B316" s="12">
        <f>(1-1/(1+'[1]McCulloch data set'!N314/100)^5)/((1/(1+'[1]McCulloch data set'!J314/100))+1/(1+'[1]McCulloch data set'!K314/100)^2+1/(1+'[1]McCulloch data set'!L314/100)^3+1/(1+'[1]McCulloch data set'!M314/100)^4+1/(1+'[1]McCulloch data set'!N314/100)^5)</f>
        <v>6.0709239491588941E-2</v>
      </c>
      <c r="C316" s="12">
        <f>(1-1/(1+'[1]McCulloch data set'!N314/100)^10)/((1/(1+'[1]McCulloch data set'!J314/100))+1/(1+'[1]McCulloch data set'!K314/100)^2+1/(1+'[1]McCulloch data set'!L314/100)^3+1/(1+'[1]McCulloch data set'!M314/100)^4+1/(1+'[1]McCulloch data set'!N314/100)^5+1/(1+('[1]McCulloch data set'!N314+'[1]McCulloch data set'!O314)/2/100)^6+1/(1+('[1]McCulloch data set'!N314+'[1]McCulloch data set'!O314)/2/100)^7+1/(1+('[1]McCulloch data set'!N314+'[1]McCulloch data set'!O314)/2/100)^8+1/(1+('[1]McCulloch data set'!N314+'[1]McCulloch data set'!O314)/2/100)^9+1/(1+('[1]McCulloch data set'!O314/100)^10))</f>
        <v>5.7656347368272562E-2</v>
      </c>
    </row>
    <row r="317" spans="1:3" ht="13.8" x14ac:dyDescent="0.25">
      <c r="A317" s="4" t="s">
        <v>329</v>
      </c>
      <c r="B317" s="12">
        <f>(1-1/(1+'[1]McCulloch data set'!N315/100)^5)/((1/(1+'[1]McCulloch data set'!J315/100))+1/(1+'[1]McCulloch data set'!K315/100)^2+1/(1+'[1]McCulloch data set'!L315/100)^3+1/(1+'[1]McCulloch data set'!M315/100)^4+1/(1+'[1]McCulloch data set'!N315/100)^5)</f>
        <v>6.078223471338659E-2</v>
      </c>
      <c r="C317" s="12">
        <f>(1-1/(1+'[1]McCulloch data set'!N315/100)^10)/((1/(1+'[1]McCulloch data set'!J315/100))+1/(1+'[1]McCulloch data set'!K315/100)^2+1/(1+'[1]McCulloch data set'!L315/100)^3+1/(1+'[1]McCulloch data set'!M315/100)^4+1/(1+'[1]McCulloch data set'!N315/100)^5+1/(1+('[1]McCulloch data set'!N315+'[1]McCulloch data set'!O315)/2/100)^6+1/(1+('[1]McCulloch data set'!N315+'[1]McCulloch data set'!O315)/2/100)^7+1/(1+('[1]McCulloch data set'!N315+'[1]McCulloch data set'!O315)/2/100)^8+1/(1+('[1]McCulloch data set'!N315+'[1]McCulloch data set'!O315)/2/100)^9+1/(1+('[1]McCulloch data set'!O315/100)^10))</f>
        <v>5.7613174576880734E-2</v>
      </c>
    </row>
    <row r="318" spans="1:3" ht="13.8" x14ac:dyDescent="0.25">
      <c r="A318" s="4" t="s">
        <v>330</v>
      </c>
      <c r="B318" s="12">
        <f>(1-1/(1+'[1]McCulloch data set'!N316/100)^5)/((1/(1+'[1]McCulloch data set'!J316/100))+1/(1+'[1]McCulloch data set'!K316/100)^2+1/(1+'[1]McCulloch data set'!L316/100)^3+1/(1+'[1]McCulloch data set'!M316/100)^4+1/(1+'[1]McCulloch data set'!N316/100)^5)</f>
        <v>5.968104629298146E-2</v>
      </c>
      <c r="C318" s="12">
        <f>(1-1/(1+'[1]McCulloch data set'!N316/100)^10)/((1/(1+'[1]McCulloch data set'!J316/100))+1/(1+'[1]McCulloch data set'!K316/100)^2+1/(1+'[1]McCulloch data set'!L316/100)^3+1/(1+'[1]McCulloch data set'!M316/100)^4+1/(1+'[1]McCulloch data set'!N316/100)^5+1/(1+('[1]McCulloch data set'!N316+'[1]McCulloch data set'!O316)/2/100)^6+1/(1+('[1]McCulloch data set'!N316+'[1]McCulloch data set'!O316)/2/100)^7+1/(1+('[1]McCulloch data set'!N316+'[1]McCulloch data set'!O316)/2/100)^8+1/(1+('[1]McCulloch data set'!N316+'[1]McCulloch data set'!O316)/2/100)^9+1/(1+('[1]McCulloch data set'!O316/100)^10))</f>
        <v>5.6631541619526507E-2</v>
      </c>
    </row>
    <row r="319" spans="1:3" ht="13.8" x14ac:dyDescent="0.25">
      <c r="A319" s="4" t="s">
        <v>331</v>
      </c>
      <c r="B319" s="12">
        <f>(1-1/(1+'[1]McCulloch data set'!N317/100)^5)/((1/(1+'[1]McCulloch data set'!J317/100))+1/(1+'[1]McCulloch data set'!K317/100)^2+1/(1+'[1]McCulloch data set'!L317/100)^3+1/(1+'[1]McCulloch data set'!M317/100)^4+1/(1+'[1]McCulloch data set'!N317/100)^5)</f>
        <v>6.1028391558068655E-2</v>
      </c>
      <c r="C319" s="12">
        <f>(1-1/(1+'[1]McCulloch data set'!N317/100)^10)/((1/(1+'[1]McCulloch data set'!J317/100))+1/(1+'[1]McCulloch data set'!K317/100)^2+1/(1+'[1]McCulloch data set'!L317/100)^3+1/(1+'[1]McCulloch data set'!M317/100)^4+1/(1+'[1]McCulloch data set'!N317/100)^5+1/(1+('[1]McCulloch data set'!N317+'[1]McCulloch data set'!O317)/2/100)^6+1/(1+('[1]McCulloch data set'!N317+'[1]McCulloch data set'!O317)/2/100)^7+1/(1+('[1]McCulloch data set'!N317+'[1]McCulloch data set'!O317)/2/100)^8+1/(1+('[1]McCulloch data set'!N317+'[1]McCulloch data set'!O317)/2/100)^9+1/(1+('[1]McCulloch data set'!O317/100)^10))</f>
        <v>5.7775410867092064E-2</v>
      </c>
    </row>
    <row r="320" spans="1:3" ht="13.8" x14ac:dyDescent="0.25">
      <c r="A320" s="4" t="s">
        <v>332</v>
      </c>
      <c r="B320" s="12">
        <f>(1-1/(1+'[1]McCulloch data set'!N318/100)^5)/((1/(1+'[1]McCulloch data set'!J318/100))+1/(1+'[1]McCulloch data set'!K318/100)^2+1/(1+'[1]McCulloch data set'!L318/100)^3+1/(1+'[1]McCulloch data set'!M318/100)^4+1/(1+'[1]McCulloch data set'!N318/100)^5)</f>
        <v>6.3345663316661069E-2</v>
      </c>
      <c r="C320" s="12">
        <f>(1-1/(1+'[1]McCulloch data set'!N318/100)^10)/((1/(1+'[1]McCulloch data set'!J318/100))+1/(1+'[1]McCulloch data set'!K318/100)^2+1/(1+'[1]McCulloch data set'!L318/100)^3+1/(1+'[1]McCulloch data set'!M318/100)^4+1/(1+'[1]McCulloch data set'!N318/100)^5+1/(1+('[1]McCulloch data set'!N318+'[1]McCulloch data set'!O318)/2/100)^6+1/(1+('[1]McCulloch data set'!N318+'[1]McCulloch data set'!O318)/2/100)^7+1/(1+('[1]McCulloch data set'!N318+'[1]McCulloch data set'!O318)/2/100)^8+1/(1+('[1]McCulloch data set'!N318+'[1]McCulloch data set'!O318)/2/100)^9+1/(1+('[1]McCulloch data set'!O318/100)^10))</f>
        <v>5.966738974208699E-2</v>
      </c>
    </row>
    <row r="321" spans="1:3" ht="13.8" x14ac:dyDescent="0.25">
      <c r="A321" s="4" t="s">
        <v>333</v>
      </c>
      <c r="B321" s="12">
        <f>(1-1/(1+'[1]McCulloch data set'!N319/100)^5)/((1/(1+'[1]McCulloch data set'!J319/100))+1/(1+'[1]McCulloch data set'!K319/100)^2+1/(1+'[1]McCulloch data set'!L319/100)^3+1/(1+'[1]McCulloch data set'!M319/100)^4+1/(1+'[1]McCulloch data set'!N319/100)^5)</f>
        <v>6.6189063820261781E-2</v>
      </c>
      <c r="C321" s="12">
        <f>(1-1/(1+'[1]McCulloch data set'!N319/100)^10)/((1/(1+'[1]McCulloch data set'!J319/100))+1/(1+'[1]McCulloch data set'!K319/100)^2+1/(1+'[1]McCulloch data set'!L319/100)^3+1/(1+'[1]McCulloch data set'!M319/100)^4+1/(1+'[1]McCulloch data set'!N319/100)^5+1/(1+('[1]McCulloch data set'!N319+'[1]McCulloch data set'!O319)/2/100)^6+1/(1+('[1]McCulloch data set'!N319+'[1]McCulloch data set'!O319)/2/100)^7+1/(1+('[1]McCulloch data set'!N319+'[1]McCulloch data set'!O319)/2/100)^8+1/(1+('[1]McCulloch data set'!N319+'[1]McCulloch data set'!O319)/2/100)^9+1/(1+('[1]McCulloch data set'!O319/100)^10))</f>
        <v>6.2034866876488674E-2</v>
      </c>
    </row>
    <row r="322" spans="1:3" ht="13.8" x14ac:dyDescent="0.25">
      <c r="A322" s="4" t="s">
        <v>334</v>
      </c>
      <c r="B322" s="12">
        <f>(1-1/(1+'[1]McCulloch data set'!N320/100)^5)/((1/(1+'[1]McCulloch data set'!J320/100))+1/(1+'[1]McCulloch data set'!K320/100)^2+1/(1+'[1]McCulloch data set'!L320/100)^3+1/(1+'[1]McCulloch data set'!M320/100)^4+1/(1+'[1]McCulloch data set'!N320/100)^5)</f>
        <v>6.6617175730726674E-2</v>
      </c>
      <c r="C322" s="12">
        <f>(1-1/(1+'[1]McCulloch data set'!N320/100)^10)/((1/(1+'[1]McCulloch data set'!J320/100))+1/(1+'[1]McCulloch data set'!K320/100)^2+1/(1+'[1]McCulloch data set'!L320/100)^3+1/(1+'[1]McCulloch data set'!M320/100)^4+1/(1+'[1]McCulloch data set'!N320/100)^5+1/(1+('[1]McCulloch data set'!N320+'[1]McCulloch data set'!O320)/2/100)^6+1/(1+('[1]McCulloch data set'!N320+'[1]McCulloch data set'!O320)/2/100)^7+1/(1+('[1]McCulloch data set'!N320+'[1]McCulloch data set'!O320)/2/100)^8+1/(1+('[1]McCulloch data set'!N320+'[1]McCulloch data set'!O320)/2/100)^9+1/(1+('[1]McCulloch data set'!O320/100)^10))</f>
        <v>6.2363703007880272E-2</v>
      </c>
    </row>
    <row r="323" spans="1:3" ht="13.8" x14ac:dyDescent="0.25">
      <c r="A323" s="4" t="s">
        <v>335</v>
      </c>
      <c r="B323" s="12">
        <f>(1-1/(1+'[1]McCulloch data set'!N321/100)^5)/((1/(1+'[1]McCulloch data set'!J321/100))+1/(1+'[1]McCulloch data set'!K321/100)^2+1/(1+'[1]McCulloch data set'!L321/100)^3+1/(1+'[1]McCulloch data set'!M321/100)^4+1/(1+'[1]McCulloch data set'!N321/100)^5)</f>
        <v>6.6129668375910805E-2</v>
      </c>
      <c r="C323" s="12">
        <f>(1-1/(1+'[1]McCulloch data set'!N321/100)^10)/((1/(1+'[1]McCulloch data set'!J321/100))+1/(1+'[1]McCulloch data set'!K321/100)^2+1/(1+'[1]McCulloch data set'!L321/100)^3+1/(1+'[1]McCulloch data set'!M321/100)^4+1/(1+'[1]McCulloch data set'!N321/100)^5+1/(1+('[1]McCulloch data set'!N321+'[1]McCulloch data set'!O321)/2/100)^6+1/(1+('[1]McCulloch data set'!N321+'[1]McCulloch data set'!O321)/2/100)^7+1/(1+('[1]McCulloch data set'!N321+'[1]McCulloch data set'!O321)/2/100)^8+1/(1+('[1]McCulloch data set'!N321+'[1]McCulloch data set'!O321)/2/100)^9+1/(1+('[1]McCulloch data set'!O321/100)^10))</f>
        <v>6.1988697137526527E-2</v>
      </c>
    </row>
    <row r="324" spans="1:3" ht="13.8" x14ac:dyDescent="0.25">
      <c r="A324" s="4" t="s">
        <v>336</v>
      </c>
      <c r="B324" s="12">
        <f>(1-1/(1+'[1]McCulloch data set'!N322/100)^5)/((1/(1+'[1]McCulloch data set'!J322/100))+1/(1+'[1]McCulloch data set'!K322/100)^2+1/(1+'[1]McCulloch data set'!L322/100)^3+1/(1+'[1]McCulloch data set'!M322/100)^4+1/(1+'[1]McCulloch data set'!N322/100)^5)</f>
        <v>6.6670653838122096E-2</v>
      </c>
      <c r="C324" s="12">
        <f>(1-1/(1+'[1]McCulloch data set'!N322/100)^10)/((1/(1+'[1]McCulloch data set'!J322/100))+1/(1+'[1]McCulloch data set'!K322/100)^2+1/(1+'[1]McCulloch data set'!L322/100)^3+1/(1+'[1]McCulloch data set'!M322/100)^4+1/(1+'[1]McCulloch data set'!N322/100)^5+1/(1+('[1]McCulloch data set'!N322+'[1]McCulloch data set'!O322)/2/100)^6+1/(1+('[1]McCulloch data set'!N322+'[1]McCulloch data set'!O322)/2/100)^7+1/(1+('[1]McCulloch data set'!N322+'[1]McCulloch data set'!O322)/2/100)^8+1/(1+('[1]McCulloch data set'!N322+'[1]McCulloch data set'!O322)/2/100)^9+1/(1+('[1]McCulloch data set'!O322/100)^10))</f>
        <v>6.2562084141223315E-2</v>
      </c>
    </row>
    <row r="325" spans="1:3" ht="13.8" x14ac:dyDescent="0.25">
      <c r="A325" s="4" t="s">
        <v>337</v>
      </c>
      <c r="B325" s="12">
        <f>(1-1/(1+'[1]McCulloch data set'!N323/100)^5)/((1/(1+'[1]McCulloch data set'!J323/100))+1/(1+'[1]McCulloch data set'!K323/100)^2+1/(1+'[1]McCulloch data set'!L323/100)^3+1/(1+'[1]McCulloch data set'!M323/100)^4+1/(1+'[1]McCulloch data set'!N323/100)^5)</f>
        <v>6.7850076514650554E-2</v>
      </c>
      <c r="C325" s="12">
        <f>(1-1/(1+'[1]McCulloch data set'!N323/100)^10)/((1/(1+'[1]McCulloch data set'!J323/100))+1/(1+'[1]McCulloch data set'!K323/100)^2+1/(1+'[1]McCulloch data set'!L323/100)^3+1/(1+'[1]McCulloch data set'!M323/100)^4+1/(1+'[1]McCulloch data set'!N323/100)^5+1/(1+('[1]McCulloch data set'!N323+'[1]McCulloch data set'!O323)/2/100)^6+1/(1+('[1]McCulloch data set'!N323+'[1]McCulloch data set'!O323)/2/100)^7+1/(1+('[1]McCulloch data set'!N323+'[1]McCulloch data set'!O323)/2/100)^8+1/(1+('[1]McCulloch data set'!N323+'[1]McCulloch data set'!O323)/2/100)^9+1/(1+('[1]McCulloch data set'!O323/100)^10))</f>
        <v>6.3468321965717597E-2</v>
      </c>
    </row>
    <row r="326" spans="1:3" ht="13.8" x14ac:dyDescent="0.25">
      <c r="A326" s="4" t="s">
        <v>338</v>
      </c>
      <c r="B326" s="12">
        <f>(1-1/(1+'[1]McCulloch data set'!N324/100)^5)/((1/(1+'[1]McCulloch data set'!J324/100))+1/(1+'[1]McCulloch data set'!K324/100)^2+1/(1+'[1]McCulloch data set'!L324/100)^3+1/(1+'[1]McCulloch data set'!M324/100)^4+1/(1+'[1]McCulloch data set'!N324/100)^5)</f>
        <v>7.6428190265959733E-2</v>
      </c>
      <c r="C326" s="12">
        <f>(1-1/(1+'[1]McCulloch data set'!N324/100)^10)/((1/(1+'[1]McCulloch data set'!J324/100))+1/(1+'[1]McCulloch data set'!K324/100)^2+1/(1+'[1]McCulloch data set'!L324/100)^3+1/(1+'[1]McCulloch data set'!M324/100)^4+1/(1+'[1]McCulloch data set'!N324/100)^5+1/(1+('[1]McCulloch data set'!N324+'[1]McCulloch data set'!O324)/2/100)^6+1/(1+('[1]McCulloch data set'!N324+'[1]McCulloch data set'!O324)/2/100)^7+1/(1+('[1]McCulloch data set'!N324+'[1]McCulloch data set'!O324)/2/100)^8+1/(1+('[1]McCulloch data set'!N324+'[1]McCulloch data set'!O324)/2/100)^9+1/(1+('[1]McCulloch data set'!O324/100)^10))</f>
        <v>7.0620840666548682E-2</v>
      </c>
    </row>
    <row r="327" spans="1:3" ht="13.8" x14ac:dyDescent="0.25">
      <c r="A327" s="4" t="s">
        <v>339</v>
      </c>
      <c r="B327" s="12">
        <f>(1-1/(1+'[1]McCulloch data set'!N325/100)^5)/((1/(1+'[1]McCulloch data set'!J325/100))+1/(1+'[1]McCulloch data set'!K325/100)^2+1/(1+'[1]McCulloch data set'!L325/100)^3+1/(1+'[1]McCulloch data set'!M325/100)^4+1/(1+'[1]McCulloch data set'!N325/100)^5)</f>
        <v>7.1122675202524202E-2</v>
      </c>
      <c r="C327" s="12">
        <f>(1-1/(1+'[1]McCulloch data set'!N325/100)^10)/((1/(1+'[1]McCulloch data set'!J325/100))+1/(1+'[1]McCulloch data set'!K325/100)^2+1/(1+'[1]McCulloch data set'!L325/100)^3+1/(1+'[1]McCulloch data set'!M325/100)^4+1/(1+'[1]McCulloch data set'!N325/100)^5+1/(1+('[1]McCulloch data set'!N325+'[1]McCulloch data set'!O325)/2/100)^6+1/(1+('[1]McCulloch data set'!N325+'[1]McCulloch data set'!O325)/2/100)^7+1/(1+('[1]McCulloch data set'!N325+'[1]McCulloch data set'!O325)/2/100)^8+1/(1+('[1]McCulloch data set'!N325+'[1]McCulloch data set'!O325)/2/100)^9+1/(1+('[1]McCulloch data set'!O325/100)^10))</f>
        <v>6.6195188131535881E-2</v>
      </c>
    </row>
    <row r="328" spans="1:3" ht="13.8" x14ac:dyDescent="0.25">
      <c r="A328" s="4" t="s">
        <v>340</v>
      </c>
      <c r="B328" s="12">
        <f>(1-1/(1+'[1]McCulloch data set'!N326/100)^5)/((1/(1+'[1]McCulloch data set'!J326/100))+1/(1+'[1]McCulloch data set'!K326/100)^2+1/(1+'[1]McCulloch data set'!L326/100)^3+1/(1+'[1]McCulloch data set'!M326/100)^4+1/(1+'[1]McCulloch data set'!N326/100)^5)</f>
        <v>6.6441973255482081E-2</v>
      </c>
      <c r="C328" s="12">
        <f>(1-1/(1+'[1]McCulloch data set'!N326/100)^10)/((1/(1+'[1]McCulloch data set'!J326/100))+1/(1+'[1]McCulloch data set'!K326/100)^2+1/(1+'[1]McCulloch data set'!L326/100)^3+1/(1+'[1]McCulloch data set'!M326/100)^4+1/(1+'[1]McCulloch data set'!N326/100)^5+1/(1+('[1]McCulloch data set'!N326+'[1]McCulloch data set'!O326)/2/100)^6+1/(1+('[1]McCulloch data set'!N326+'[1]McCulloch data set'!O326)/2/100)^7+1/(1+('[1]McCulloch data set'!N326+'[1]McCulloch data set'!O326)/2/100)^8+1/(1+('[1]McCulloch data set'!N326+'[1]McCulloch data set'!O326)/2/100)^9+1/(1+('[1]McCulloch data set'!O326/100)^10))</f>
        <v>6.2311469668951264E-2</v>
      </c>
    </row>
    <row r="329" spans="1:3" ht="13.8" x14ac:dyDescent="0.25">
      <c r="A329" s="4" t="s">
        <v>341</v>
      </c>
      <c r="B329" s="12">
        <f>(1-1/(1+'[1]McCulloch data set'!N327/100)^5)/((1/(1+'[1]McCulloch data set'!J327/100))+1/(1+'[1]McCulloch data set'!K327/100)^2+1/(1+'[1]McCulloch data set'!L327/100)^3+1/(1+'[1]McCulloch data set'!M327/100)^4+1/(1+'[1]McCulloch data set'!N327/100)^5)</f>
        <v>6.8482714241921358E-2</v>
      </c>
      <c r="C329" s="12">
        <f>(1-1/(1+'[1]McCulloch data set'!N327/100)^10)/((1/(1+'[1]McCulloch data set'!J327/100))+1/(1+'[1]McCulloch data set'!K327/100)^2+1/(1+'[1]McCulloch data set'!L327/100)^3+1/(1+'[1]McCulloch data set'!M327/100)^4+1/(1+'[1]McCulloch data set'!N327/100)^5+1/(1+('[1]McCulloch data set'!N327+'[1]McCulloch data set'!O327)/2/100)^6+1/(1+('[1]McCulloch data set'!N327+'[1]McCulloch data set'!O327)/2/100)^7+1/(1+('[1]McCulloch data set'!N327+'[1]McCulloch data set'!O327)/2/100)^8+1/(1+('[1]McCulloch data set'!N327+'[1]McCulloch data set'!O327)/2/100)^9+1/(1+('[1]McCulloch data set'!O327/100)^10))</f>
        <v>6.4099037248679783E-2</v>
      </c>
    </row>
    <row r="330" spans="1:3" ht="13.8" x14ac:dyDescent="0.25">
      <c r="A330" s="4" t="s">
        <v>342</v>
      </c>
      <c r="B330" s="12">
        <f>(1-1/(1+'[1]McCulloch data set'!N328/100)^5)/((1/(1+'[1]McCulloch data set'!J328/100))+1/(1+'[1]McCulloch data set'!K328/100)^2+1/(1+'[1]McCulloch data set'!L328/100)^3+1/(1+'[1]McCulloch data set'!M328/100)^4+1/(1+'[1]McCulloch data set'!N328/100)^5)</f>
        <v>6.6855890029202295E-2</v>
      </c>
      <c r="C330" s="12">
        <f>(1-1/(1+'[1]McCulloch data set'!N328/100)^10)/((1/(1+'[1]McCulloch data set'!J328/100))+1/(1+'[1]McCulloch data set'!K328/100)^2+1/(1+'[1]McCulloch data set'!L328/100)^3+1/(1+'[1]McCulloch data set'!M328/100)^4+1/(1+'[1]McCulloch data set'!N328/100)^5+1/(1+('[1]McCulloch data set'!N328+'[1]McCulloch data set'!O328)/2/100)^6+1/(1+('[1]McCulloch data set'!N328+'[1]McCulloch data set'!O328)/2/100)^7+1/(1+('[1]McCulloch data set'!N328+'[1]McCulloch data set'!O328)/2/100)^8+1/(1+('[1]McCulloch data set'!N328+'[1]McCulloch data set'!O328)/2/100)^9+1/(1+('[1]McCulloch data set'!O328/100)^10))</f>
        <v>6.2693559791144035E-2</v>
      </c>
    </row>
    <row r="331" spans="1:3" ht="13.8" x14ac:dyDescent="0.25">
      <c r="A331" s="4" t="s">
        <v>343</v>
      </c>
      <c r="B331" s="12">
        <f>(1-1/(1+'[1]McCulloch data set'!N329/100)^5)/((1/(1+'[1]McCulloch data set'!J329/100))+1/(1+'[1]McCulloch data set'!K329/100)^2+1/(1+'[1]McCulloch data set'!L329/100)^3+1/(1+'[1]McCulloch data set'!M329/100)^4+1/(1+'[1]McCulloch data set'!N329/100)^5)</f>
        <v>6.643584255372352E-2</v>
      </c>
      <c r="C331" s="12">
        <f>(1-1/(1+'[1]McCulloch data set'!N329/100)^10)/((1/(1+'[1]McCulloch data set'!J329/100))+1/(1+'[1]McCulloch data set'!K329/100)^2+1/(1+'[1]McCulloch data set'!L329/100)^3+1/(1+'[1]McCulloch data set'!M329/100)^4+1/(1+'[1]McCulloch data set'!N329/100)^5+1/(1+('[1]McCulloch data set'!N329+'[1]McCulloch data set'!O329)/2/100)^6+1/(1+('[1]McCulloch data set'!N329+'[1]McCulloch data set'!O329)/2/100)^7+1/(1+('[1]McCulloch data set'!N329+'[1]McCulloch data set'!O329)/2/100)^8+1/(1+('[1]McCulloch data set'!N329+'[1]McCulloch data set'!O329)/2/100)^9+1/(1+('[1]McCulloch data set'!O329/100)^10))</f>
        <v>6.2359463492788543E-2</v>
      </c>
    </row>
    <row r="332" spans="1:3" ht="13.8" x14ac:dyDescent="0.25">
      <c r="A332" s="4" t="s">
        <v>344</v>
      </c>
      <c r="B332" s="12">
        <f>(1-1/(1+'[1]McCulloch data set'!N330/100)^5)/((1/(1+'[1]McCulloch data set'!J330/100))+1/(1+'[1]McCulloch data set'!K330/100)^2+1/(1+'[1]McCulloch data set'!L330/100)^3+1/(1+'[1]McCulloch data set'!M330/100)^4+1/(1+'[1]McCulloch data set'!N330/100)^5)</f>
        <v>6.7712802763496269E-2</v>
      </c>
      <c r="C332" s="12">
        <f>(1-1/(1+'[1]McCulloch data set'!N330/100)^10)/((1/(1+'[1]McCulloch data set'!J330/100))+1/(1+'[1]McCulloch data set'!K330/100)^2+1/(1+'[1]McCulloch data set'!L330/100)^3+1/(1+'[1]McCulloch data set'!M330/100)^4+1/(1+'[1]McCulloch data set'!N330/100)^5+1/(1+('[1]McCulloch data set'!N330+'[1]McCulloch data set'!O330)/2/100)^6+1/(1+('[1]McCulloch data set'!N330+'[1]McCulloch data set'!O330)/2/100)^7+1/(1+('[1]McCulloch data set'!N330+'[1]McCulloch data set'!O330)/2/100)^8+1/(1+('[1]McCulloch data set'!N330+'[1]McCulloch data set'!O330)/2/100)^9+1/(1+('[1]McCulloch data set'!O330/100)^10))</f>
        <v>6.3577572520610665E-2</v>
      </c>
    </row>
    <row r="333" spans="1:3" ht="13.8" x14ac:dyDescent="0.25">
      <c r="A333" s="4" t="s">
        <v>345</v>
      </c>
      <c r="B333" s="12">
        <f>(1-1/(1+'[1]McCulloch data set'!N331/100)^5)/((1/(1+'[1]McCulloch data set'!J331/100))+1/(1+'[1]McCulloch data set'!K331/100)^2+1/(1+'[1]McCulloch data set'!L331/100)^3+1/(1+'[1]McCulloch data set'!M331/100)^4+1/(1+'[1]McCulloch data set'!N331/100)^5)</f>
        <v>6.8467081542732011E-2</v>
      </c>
      <c r="C333" s="12">
        <f>(1-1/(1+'[1]McCulloch data set'!N331/100)^10)/((1/(1+'[1]McCulloch data set'!J331/100))+1/(1+'[1]McCulloch data set'!K331/100)^2+1/(1+'[1]McCulloch data set'!L331/100)^3+1/(1+'[1]McCulloch data set'!M331/100)^4+1/(1+'[1]McCulloch data set'!N331/100)^5+1/(1+('[1]McCulloch data set'!N331+'[1]McCulloch data set'!O331)/2/100)^6+1/(1+('[1]McCulloch data set'!N331+'[1]McCulloch data set'!O331)/2/100)^7+1/(1+('[1]McCulloch data set'!N331+'[1]McCulloch data set'!O331)/2/100)^8+1/(1+('[1]McCulloch data set'!N331+'[1]McCulloch data set'!O331)/2/100)^9+1/(1+('[1]McCulloch data set'!O331/100)^10))</f>
        <v>6.4263767494633833E-2</v>
      </c>
    </row>
    <row r="334" spans="1:3" ht="13.8" x14ac:dyDescent="0.25">
      <c r="A334" s="4" t="s">
        <v>346</v>
      </c>
      <c r="B334" s="12">
        <f>(1-1/(1+'[1]McCulloch data set'!N332/100)^5)/((1/(1+'[1]McCulloch data set'!J332/100))+1/(1+'[1]McCulloch data set'!K332/100)^2+1/(1+'[1]McCulloch data set'!L332/100)^3+1/(1+'[1]McCulloch data set'!M332/100)^4+1/(1+'[1]McCulloch data set'!N332/100)^5)</f>
        <v>7.5790268217672721E-2</v>
      </c>
      <c r="C334" s="12">
        <f>(1-1/(1+'[1]McCulloch data set'!N332/100)^10)/((1/(1+'[1]McCulloch data set'!J332/100))+1/(1+'[1]McCulloch data set'!K332/100)^2+1/(1+'[1]McCulloch data set'!L332/100)^3+1/(1+'[1]McCulloch data set'!M332/100)^4+1/(1+'[1]McCulloch data set'!N332/100)^5+1/(1+('[1]McCulloch data set'!N332+'[1]McCulloch data set'!O332)/2/100)^6+1/(1+('[1]McCulloch data set'!N332+'[1]McCulloch data set'!O332)/2/100)^7+1/(1+('[1]McCulloch data set'!N332+'[1]McCulloch data set'!O332)/2/100)^8+1/(1+('[1]McCulloch data set'!N332+'[1]McCulloch data set'!O332)/2/100)^9+1/(1+('[1]McCulloch data set'!O332/100)^10))</f>
        <v>7.0301691291859189E-2</v>
      </c>
    </row>
    <row r="335" spans="1:3" ht="13.8" x14ac:dyDescent="0.25">
      <c r="A335" s="4" t="s">
        <v>347</v>
      </c>
      <c r="B335" s="12">
        <f>(1-1/(1+'[1]McCulloch data set'!N333/100)^5)/((1/(1+'[1]McCulloch data set'!J333/100))+1/(1+'[1]McCulloch data set'!K333/100)^2+1/(1+'[1]McCulloch data set'!L333/100)^3+1/(1+'[1]McCulloch data set'!M333/100)^4+1/(1+'[1]McCulloch data set'!N333/100)^5)</f>
        <v>8.0626784560610482E-2</v>
      </c>
      <c r="C335" s="12">
        <f>(1-1/(1+'[1]McCulloch data set'!N333/100)^10)/((1/(1+'[1]McCulloch data set'!J333/100))+1/(1+'[1]McCulloch data set'!K333/100)^2+1/(1+'[1]McCulloch data set'!L333/100)^3+1/(1+'[1]McCulloch data set'!M333/100)^4+1/(1+'[1]McCulloch data set'!N333/100)^5+1/(1+('[1]McCulloch data set'!N333+'[1]McCulloch data set'!O333)/2/100)^6+1/(1+('[1]McCulloch data set'!N333+'[1]McCulloch data set'!O333)/2/100)^7+1/(1+('[1]McCulloch data set'!N333+'[1]McCulloch data set'!O333)/2/100)^8+1/(1+('[1]McCulloch data set'!N333+'[1]McCulloch data set'!O333)/2/100)^9+1/(1+('[1]McCulloch data set'!O333/100)^10))</f>
        <v>7.4386158998362442E-2</v>
      </c>
    </row>
    <row r="336" spans="1:3" ht="13.8" x14ac:dyDescent="0.25">
      <c r="A336" s="4" t="s">
        <v>348</v>
      </c>
      <c r="B336" s="12">
        <f>(1-1/(1+'[1]McCulloch data set'!N334/100)^5)/((1/(1+'[1]McCulloch data set'!J334/100))+1/(1+'[1]McCulloch data set'!K334/100)^2+1/(1+'[1]McCulloch data set'!L334/100)^3+1/(1+'[1]McCulloch data set'!M334/100)^4+1/(1+'[1]McCulloch data set'!N334/100)^5)</f>
        <v>7.9154126707277964E-2</v>
      </c>
      <c r="C336" s="12">
        <f>(1-1/(1+'[1]McCulloch data set'!N334/100)^10)/((1/(1+'[1]McCulloch data set'!J334/100))+1/(1+'[1]McCulloch data set'!K334/100)^2+1/(1+'[1]McCulloch data set'!L334/100)^3+1/(1+'[1]McCulloch data set'!M334/100)^4+1/(1+'[1]McCulloch data set'!N334/100)^5+1/(1+('[1]McCulloch data set'!N334+'[1]McCulloch data set'!O334)/2/100)^6+1/(1+('[1]McCulloch data set'!N334+'[1]McCulloch data set'!O334)/2/100)^7+1/(1+('[1]McCulloch data set'!N334+'[1]McCulloch data set'!O334)/2/100)^8+1/(1+('[1]McCulloch data set'!N334+'[1]McCulloch data set'!O334)/2/100)^9+1/(1+('[1]McCulloch data set'!O334/100)^10))</f>
        <v>7.3212289295939467E-2</v>
      </c>
    </row>
    <row r="337" spans="1:3" ht="13.8" x14ac:dyDescent="0.25">
      <c r="A337" s="4" t="s">
        <v>349</v>
      </c>
      <c r="B337" s="12">
        <f>(1-1/(1+'[1]McCulloch data set'!N335/100)^5)/((1/(1+'[1]McCulloch data set'!J335/100))+1/(1+'[1]McCulloch data set'!K335/100)^2+1/(1+'[1]McCulloch data set'!L335/100)^3+1/(1+'[1]McCulloch data set'!M335/100)^4+1/(1+'[1]McCulloch data set'!N335/100)^5)</f>
        <v>8.1357312444383115E-2</v>
      </c>
      <c r="C337" s="12">
        <f>(1-1/(1+'[1]McCulloch data set'!N335/100)^10)/((1/(1+'[1]McCulloch data set'!J335/100))+1/(1+'[1]McCulloch data set'!K335/100)^2+1/(1+'[1]McCulloch data set'!L335/100)^3+1/(1+'[1]McCulloch data set'!M335/100)^4+1/(1+'[1]McCulloch data set'!N335/100)^5+1/(1+('[1]McCulloch data set'!N335+'[1]McCulloch data set'!O335)/2/100)^6+1/(1+('[1]McCulloch data set'!N335+'[1]McCulloch data set'!O335)/2/100)^7+1/(1+('[1]McCulloch data set'!N335+'[1]McCulloch data set'!O335)/2/100)^8+1/(1+('[1]McCulloch data set'!N335+'[1]McCulloch data set'!O335)/2/100)^9+1/(1+('[1]McCulloch data set'!O335/100)^10))</f>
        <v>7.493105868039128E-2</v>
      </c>
    </row>
    <row r="338" spans="1:3" ht="13.8" x14ac:dyDescent="0.25">
      <c r="A338" s="4" t="s">
        <v>350</v>
      </c>
      <c r="B338" s="12">
        <f>(1-1/(1+'[1]McCulloch data set'!N336/100)^5)/((1/(1+'[1]McCulloch data set'!J336/100))+1/(1+'[1]McCulloch data set'!K336/100)^2+1/(1+'[1]McCulloch data set'!L336/100)^3+1/(1+'[1]McCulloch data set'!M336/100)^4+1/(1+'[1]McCulloch data set'!N336/100)^5)</f>
        <v>8.3051312156553272E-2</v>
      </c>
      <c r="C338" s="12">
        <f>(1-1/(1+'[1]McCulloch data set'!N336/100)^10)/((1/(1+'[1]McCulloch data set'!J336/100))+1/(1+'[1]McCulloch data set'!K336/100)^2+1/(1+'[1]McCulloch data set'!L336/100)^3+1/(1+'[1]McCulloch data set'!M336/100)^4+1/(1+'[1]McCulloch data set'!N336/100)^5+1/(1+('[1]McCulloch data set'!N336+'[1]McCulloch data set'!O336)/2/100)^6+1/(1+('[1]McCulloch data set'!N336+'[1]McCulloch data set'!O336)/2/100)^7+1/(1+('[1]McCulloch data set'!N336+'[1]McCulloch data set'!O336)/2/100)^8+1/(1+('[1]McCulloch data set'!N336+'[1]McCulloch data set'!O336)/2/100)^9+1/(1+('[1]McCulloch data set'!O336/100)^10))</f>
        <v>7.6377710707369595E-2</v>
      </c>
    </row>
    <row r="339" spans="1:3" ht="13.8" x14ac:dyDescent="0.25">
      <c r="A339" s="4" t="s">
        <v>351</v>
      </c>
      <c r="B339" s="12">
        <f>(1-1/(1+'[1]McCulloch data set'!N337/100)^5)/((1/(1+'[1]McCulloch data set'!J337/100))+1/(1+'[1]McCulloch data set'!K337/100)^2+1/(1+'[1]McCulloch data set'!L337/100)^3+1/(1+'[1]McCulloch data set'!M337/100)^4+1/(1+'[1]McCulloch data set'!N337/100)^5)</f>
        <v>8.4434724530409289E-2</v>
      </c>
      <c r="C339" s="12">
        <f>(1-1/(1+'[1]McCulloch data set'!N337/100)^10)/((1/(1+'[1]McCulloch data set'!J337/100))+1/(1+'[1]McCulloch data set'!K337/100)^2+1/(1+'[1]McCulloch data set'!L337/100)^3+1/(1+'[1]McCulloch data set'!M337/100)^4+1/(1+'[1]McCulloch data set'!N337/100)^5+1/(1+('[1]McCulloch data set'!N337+'[1]McCulloch data set'!O337)/2/100)^6+1/(1+('[1]McCulloch data set'!N337+'[1]McCulloch data set'!O337)/2/100)^7+1/(1+('[1]McCulloch data set'!N337+'[1]McCulloch data set'!O337)/2/100)^8+1/(1+('[1]McCulloch data set'!N337+'[1]McCulloch data set'!O337)/2/100)^9+1/(1+('[1]McCulloch data set'!O337/100)^10))</f>
        <v>7.7605761296657222E-2</v>
      </c>
    </row>
    <row r="340" spans="1:3" ht="13.8" x14ac:dyDescent="0.25">
      <c r="A340" s="4" t="s">
        <v>352</v>
      </c>
      <c r="B340" s="12">
        <f>(1-1/(1+'[1]McCulloch data set'!N338/100)^5)/((1/(1+'[1]McCulloch data set'!J338/100))+1/(1+'[1]McCulloch data set'!K338/100)^2+1/(1+'[1]McCulloch data set'!L338/100)^3+1/(1+'[1]McCulloch data set'!M338/100)^4+1/(1+'[1]McCulloch data set'!N338/100)^5)</f>
        <v>7.9167585530549034E-2</v>
      </c>
      <c r="C340" s="12">
        <f>(1-1/(1+'[1]McCulloch data set'!N338/100)^10)/((1/(1+'[1]McCulloch data set'!J338/100))+1/(1+'[1]McCulloch data set'!K338/100)^2+1/(1+'[1]McCulloch data set'!L338/100)^3+1/(1+'[1]McCulloch data set'!M338/100)^4+1/(1+'[1]McCulloch data set'!N338/100)^5+1/(1+('[1]McCulloch data set'!N338+'[1]McCulloch data set'!O338)/2/100)^6+1/(1+('[1]McCulloch data set'!N338+'[1]McCulloch data set'!O338)/2/100)^7+1/(1+('[1]McCulloch data set'!N338+'[1]McCulloch data set'!O338)/2/100)^8+1/(1+('[1]McCulloch data set'!N338+'[1]McCulloch data set'!O338)/2/100)^9+1/(1+('[1]McCulloch data set'!O338/100)^10))</f>
        <v>7.3293490237974476E-2</v>
      </c>
    </row>
    <row r="341" spans="1:3" ht="13.8" x14ac:dyDescent="0.25">
      <c r="A341" s="4" t="s">
        <v>353</v>
      </c>
      <c r="B341" s="12">
        <f>(1-1/(1+'[1]McCulloch data set'!N339/100)^5)/((1/(1+'[1]McCulloch data set'!J339/100))+1/(1+'[1]McCulloch data set'!K339/100)^2+1/(1+'[1]McCulloch data set'!L339/100)^3+1/(1+'[1]McCulloch data set'!M339/100)^4+1/(1+'[1]McCulloch data set'!N339/100)^5)</f>
        <v>7.8033426149083984E-2</v>
      </c>
      <c r="C341" s="12">
        <f>(1-1/(1+'[1]McCulloch data set'!N339/100)^10)/((1/(1+'[1]McCulloch data set'!J339/100))+1/(1+'[1]McCulloch data set'!K339/100)^2+1/(1+'[1]McCulloch data set'!L339/100)^3+1/(1+'[1]McCulloch data set'!M339/100)^4+1/(1+'[1]McCulloch data set'!N339/100)^5+1/(1+('[1]McCulloch data set'!N339+'[1]McCulloch data set'!O339)/2/100)^6+1/(1+('[1]McCulloch data set'!N339+'[1]McCulloch data set'!O339)/2/100)^7+1/(1+('[1]McCulloch data set'!N339+'[1]McCulloch data set'!O339)/2/100)^8+1/(1+('[1]McCulloch data set'!N339+'[1]McCulloch data set'!O339)/2/100)^9+1/(1+('[1]McCulloch data set'!O339/100)^10))</f>
        <v>7.2334316060509038E-2</v>
      </c>
    </row>
    <row r="342" spans="1:3" ht="13.8" x14ac:dyDescent="0.25">
      <c r="A342" s="4" t="s">
        <v>354</v>
      </c>
      <c r="B342" s="12">
        <f>(1-1/(1+'[1]McCulloch data set'!N340/100)^5)/((1/(1+'[1]McCulloch data set'!J340/100))+1/(1+'[1]McCulloch data set'!K340/100)^2+1/(1+'[1]McCulloch data set'!L340/100)^3+1/(1+'[1]McCulloch data set'!M340/100)^4+1/(1+'[1]McCulloch data set'!N340/100)^5)</f>
        <v>7.5059020669157595E-2</v>
      </c>
      <c r="C342" s="12">
        <f>(1-1/(1+'[1]McCulloch data set'!N340/100)^10)/((1/(1+'[1]McCulloch data set'!J340/100))+1/(1+'[1]McCulloch data set'!K340/100)^2+1/(1+'[1]McCulloch data set'!L340/100)^3+1/(1+'[1]McCulloch data set'!M340/100)^4+1/(1+'[1]McCulloch data set'!N340/100)^5+1/(1+('[1]McCulloch data set'!N340+'[1]McCulloch data set'!O340)/2/100)^6+1/(1+('[1]McCulloch data set'!N340+'[1]McCulloch data set'!O340)/2/100)^7+1/(1+('[1]McCulloch data set'!N340+'[1]McCulloch data set'!O340)/2/100)^8+1/(1+('[1]McCulloch data set'!N340+'[1]McCulloch data set'!O340)/2/100)^9+1/(1+('[1]McCulloch data set'!O340/100)^10))</f>
        <v>7.0005063028588027E-2</v>
      </c>
    </row>
    <row r="343" spans="1:3" ht="13.8" x14ac:dyDescent="0.25">
      <c r="A343" s="4" t="s">
        <v>355</v>
      </c>
      <c r="B343" s="12">
        <f>(1-1/(1+'[1]McCulloch data set'!N341/100)^5)/((1/(1+'[1]McCulloch data set'!J341/100))+1/(1+'[1]McCulloch data set'!K341/100)^2+1/(1+'[1]McCulloch data set'!L341/100)^3+1/(1+'[1]McCulloch data set'!M341/100)^4+1/(1+'[1]McCulloch data set'!N341/100)^5)</f>
        <v>7.1740562493075699E-2</v>
      </c>
      <c r="C343" s="12">
        <f>(1-1/(1+'[1]McCulloch data set'!N341/100)^10)/((1/(1+'[1]McCulloch data set'!J341/100))+1/(1+'[1]McCulloch data set'!K341/100)^2+1/(1+'[1]McCulloch data set'!L341/100)^3+1/(1+'[1]McCulloch data set'!M341/100)^4+1/(1+'[1]McCulloch data set'!N341/100)^5+1/(1+('[1]McCulloch data set'!N341+'[1]McCulloch data set'!O341)/2/100)^6+1/(1+('[1]McCulloch data set'!N341+'[1]McCulloch data set'!O341)/2/100)^7+1/(1+('[1]McCulloch data set'!N341+'[1]McCulloch data set'!O341)/2/100)^8+1/(1+('[1]McCulloch data set'!N341+'[1]McCulloch data set'!O341)/2/100)^9+1/(1+('[1]McCulloch data set'!O341/100)^10))</f>
        <v>6.7115678646532548E-2</v>
      </c>
    </row>
    <row r="344" spans="1:3" ht="13.8" x14ac:dyDescent="0.25">
      <c r="A344" s="4" t="s">
        <v>356</v>
      </c>
      <c r="B344" s="12">
        <f>(1-1/(1+'[1]McCulloch data set'!N342/100)^5)/((1/(1+'[1]McCulloch data set'!J342/100))+1/(1+'[1]McCulloch data set'!K342/100)^2+1/(1+'[1]McCulloch data set'!L342/100)^3+1/(1+'[1]McCulloch data set'!M342/100)^4+1/(1+'[1]McCulloch data set'!N342/100)^5)</f>
        <v>7.1918589407135677E-2</v>
      </c>
      <c r="C344" s="12">
        <f>(1-1/(1+'[1]McCulloch data set'!N342/100)^10)/((1/(1+'[1]McCulloch data set'!J342/100))+1/(1+'[1]McCulloch data set'!K342/100)^2+1/(1+'[1]McCulloch data set'!L342/100)^3+1/(1+'[1]McCulloch data set'!M342/100)^4+1/(1+'[1]McCulloch data set'!N342/100)^5+1/(1+('[1]McCulloch data set'!N342+'[1]McCulloch data set'!O342)/2/100)^6+1/(1+('[1]McCulloch data set'!N342+'[1]McCulloch data set'!O342)/2/100)^7+1/(1+('[1]McCulloch data set'!N342+'[1]McCulloch data set'!O342)/2/100)^8+1/(1+('[1]McCulloch data set'!N342+'[1]McCulloch data set'!O342)/2/100)^9+1/(1+('[1]McCulloch data set'!O342/100)^10))</f>
        <v>6.7442747209442391E-2</v>
      </c>
    </row>
    <row r="345" spans="1:3" ht="13.8" x14ac:dyDescent="0.25">
      <c r="A345" s="4" t="s">
        <v>357</v>
      </c>
      <c r="B345" s="12">
        <f>(1-1/(1+'[1]McCulloch data set'!N343/100)^5)/((1/(1+'[1]McCulloch data set'!J343/100))+1/(1+'[1]McCulloch data set'!K343/100)^2+1/(1+'[1]McCulloch data set'!L343/100)^3+1/(1+'[1]McCulloch data set'!M343/100)^4+1/(1+'[1]McCulloch data set'!N343/100)^5)</f>
        <v>6.9915655865219001E-2</v>
      </c>
      <c r="C345" s="12">
        <f>(1-1/(1+'[1]McCulloch data set'!N343/100)^10)/((1/(1+'[1]McCulloch data set'!J343/100))+1/(1+'[1]McCulloch data set'!K343/100)^2+1/(1+'[1]McCulloch data set'!L343/100)^3+1/(1+'[1]McCulloch data set'!M343/100)^4+1/(1+'[1]McCulloch data set'!N343/100)^5+1/(1+('[1]McCulloch data set'!N343+'[1]McCulloch data set'!O343)/2/100)^6+1/(1+('[1]McCulloch data set'!N343+'[1]McCulloch data set'!O343)/2/100)^7+1/(1+('[1]McCulloch data set'!N343+'[1]McCulloch data set'!O343)/2/100)^8+1/(1+('[1]McCulloch data set'!N343+'[1]McCulloch data set'!O343)/2/100)^9+1/(1+('[1]McCulloch data set'!O343/100)^10))</f>
        <v>6.5904223849772695E-2</v>
      </c>
    </row>
    <row r="346" spans="1:3" ht="13.8" x14ac:dyDescent="0.25">
      <c r="A346" s="4" t="s">
        <v>358</v>
      </c>
      <c r="B346" s="12">
        <f>(1-1/(1+'[1]McCulloch data set'!N344/100)^5)/((1/(1+'[1]McCulloch data set'!J344/100))+1/(1+'[1]McCulloch data set'!K344/100)^2+1/(1+'[1]McCulloch data set'!L344/100)^3+1/(1+'[1]McCulloch data set'!M344/100)^4+1/(1+'[1]McCulloch data set'!N344/100)^5)</f>
        <v>7.3341289613397101E-2</v>
      </c>
      <c r="C346" s="12">
        <f>(1-1/(1+'[1]McCulloch data set'!N344/100)^10)/((1/(1+'[1]McCulloch data set'!J344/100))+1/(1+'[1]McCulloch data set'!K344/100)^2+1/(1+'[1]McCulloch data set'!L344/100)^3+1/(1+'[1]McCulloch data set'!M344/100)^4+1/(1+'[1]McCulloch data set'!N344/100)^5+1/(1+('[1]McCulloch data set'!N344+'[1]McCulloch data set'!O344)/2/100)^6+1/(1+('[1]McCulloch data set'!N344+'[1]McCulloch data set'!O344)/2/100)^7+1/(1+('[1]McCulloch data set'!N344+'[1]McCulloch data set'!O344)/2/100)^8+1/(1+('[1]McCulloch data set'!N344+'[1]McCulloch data set'!O344)/2/100)^9+1/(1+('[1]McCulloch data set'!O344/100)^10))</f>
        <v>6.8957825292311981E-2</v>
      </c>
    </row>
    <row r="347" spans="1:3" ht="13.8" x14ac:dyDescent="0.25">
      <c r="A347" s="4" t="s">
        <v>359</v>
      </c>
      <c r="B347" s="12">
        <f>(1-1/(1+'[1]McCulloch data set'!N345/100)^5)/((1/(1+'[1]McCulloch data set'!J345/100))+1/(1+'[1]McCulloch data set'!K345/100)^2+1/(1+'[1]McCulloch data set'!L345/100)^3+1/(1+'[1]McCulloch data set'!M345/100)^4+1/(1+'[1]McCulloch data set'!N345/100)^5)</f>
        <v>7.9266309436195559E-2</v>
      </c>
      <c r="C347" s="12">
        <f>(1-1/(1+'[1]McCulloch data set'!N345/100)^10)/((1/(1+'[1]McCulloch data set'!J345/100))+1/(1+'[1]McCulloch data set'!K345/100)^2+1/(1+'[1]McCulloch data set'!L345/100)^3+1/(1+'[1]McCulloch data set'!M345/100)^4+1/(1+'[1]McCulloch data set'!N345/100)^5+1/(1+('[1]McCulloch data set'!N345+'[1]McCulloch data set'!O345)/2/100)^6+1/(1+('[1]McCulloch data set'!N345+'[1]McCulloch data set'!O345)/2/100)^7+1/(1+('[1]McCulloch data set'!N345+'[1]McCulloch data set'!O345)/2/100)^8+1/(1+('[1]McCulloch data set'!N345+'[1]McCulloch data set'!O345)/2/100)^9+1/(1+('[1]McCulloch data set'!O345/100)^10))</f>
        <v>7.3720167233533973E-2</v>
      </c>
    </row>
    <row r="348" spans="1:3" ht="13.8" x14ac:dyDescent="0.25">
      <c r="A348" s="4" t="s">
        <v>360</v>
      </c>
      <c r="B348" s="12">
        <f>(1-1/(1+'[1]McCulloch data set'!N346/100)^5)/((1/(1+'[1]McCulloch data set'!J346/100))+1/(1+'[1]McCulloch data set'!K346/100)^2+1/(1+'[1]McCulloch data set'!L346/100)^3+1/(1+'[1]McCulloch data set'!M346/100)^4+1/(1+'[1]McCulloch data set'!N346/100)^5)</f>
        <v>7.4912805110628172E-2</v>
      </c>
      <c r="C348" s="12">
        <f>(1-1/(1+'[1]McCulloch data set'!N346/100)^10)/((1/(1+'[1]McCulloch data set'!J346/100))+1/(1+'[1]McCulloch data set'!K346/100)^2+1/(1+'[1]McCulloch data set'!L346/100)^3+1/(1+'[1]McCulloch data set'!M346/100)^4+1/(1+'[1]McCulloch data set'!N346/100)^5+1/(1+('[1]McCulloch data set'!N346+'[1]McCulloch data set'!O346)/2/100)^6+1/(1+('[1]McCulloch data set'!N346+'[1]McCulloch data set'!O346)/2/100)^7+1/(1+('[1]McCulloch data set'!N346+'[1]McCulloch data set'!O346)/2/100)^8+1/(1+('[1]McCulloch data set'!N346+'[1]McCulloch data set'!O346)/2/100)^9+1/(1+('[1]McCulloch data set'!O346/100)^10))</f>
        <v>7.0243296207687517E-2</v>
      </c>
    </row>
    <row r="349" spans="1:3" ht="13.8" x14ac:dyDescent="0.25">
      <c r="A349" s="4" t="s">
        <v>361</v>
      </c>
      <c r="B349" s="12">
        <f>(1-1/(1+'[1]McCulloch data set'!N347/100)^5)/((1/(1+'[1]McCulloch data set'!J347/100))+1/(1+'[1]McCulloch data set'!K347/100)^2+1/(1+'[1]McCulloch data set'!L347/100)^3+1/(1+'[1]McCulloch data set'!M347/100)^4+1/(1+'[1]McCulloch data set'!N347/100)^5)</f>
        <v>7.6578601712586555E-2</v>
      </c>
      <c r="C349" s="12">
        <f>(1-1/(1+'[1]McCulloch data set'!N347/100)^10)/((1/(1+'[1]McCulloch data set'!J347/100))+1/(1+'[1]McCulloch data set'!K347/100)^2+1/(1+'[1]McCulloch data set'!L347/100)^3+1/(1+'[1]McCulloch data set'!M347/100)^4+1/(1+'[1]McCulloch data set'!N347/100)^5+1/(1+('[1]McCulloch data set'!N347+'[1]McCulloch data set'!O347)/2/100)^6+1/(1+('[1]McCulloch data set'!N347+'[1]McCulloch data set'!O347)/2/100)^7+1/(1+('[1]McCulloch data set'!N347+'[1]McCulloch data set'!O347)/2/100)^8+1/(1+('[1]McCulloch data set'!N347+'[1]McCulloch data set'!O347)/2/100)^9+1/(1+('[1]McCulloch data set'!O347/100)^10))</f>
        <v>7.1409707000567438E-2</v>
      </c>
    </row>
    <row r="350" spans="1:3" ht="13.8" x14ac:dyDescent="0.25">
      <c r="A350" s="4" t="s">
        <v>362</v>
      </c>
      <c r="B350" s="12">
        <f>(1-1/(1+'[1]McCulloch data set'!N348/100)^5)/((1/(1+'[1]McCulloch data set'!J348/100))+1/(1+'[1]McCulloch data set'!K348/100)^2+1/(1+'[1]McCulloch data set'!L348/100)^3+1/(1+'[1]McCulloch data set'!M348/100)^4+1/(1+'[1]McCulloch data set'!N348/100)^5)</f>
        <v>7.9127745521696338E-2</v>
      </c>
      <c r="C350" s="12">
        <f>(1-1/(1+'[1]McCulloch data set'!N348/100)^10)/((1/(1+'[1]McCulloch data set'!J348/100))+1/(1+'[1]McCulloch data set'!K348/100)^2+1/(1+'[1]McCulloch data set'!L348/100)^3+1/(1+'[1]McCulloch data set'!M348/100)^4+1/(1+'[1]McCulloch data set'!N348/100)^5+1/(1+('[1]McCulloch data set'!N348+'[1]McCulloch data set'!O348)/2/100)^6+1/(1+('[1]McCulloch data set'!N348+'[1]McCulloch data set'!O348)/2/100)^7+1/(1+('[1]McCulloch data set'!N348+'[1]McCulloch data set'!O348)/2/100)^8+1/(1+('[1]McCulloch data set'!N348+'[1]McCulloch data set'!O348)/2/100)^9+1/(1+('[1]McCulloch data set'!O348/100)^10))</f>
        <v>7.3490729986496431E-2</v>
      </c>
    </row>
    <row r="351" spans="1:3" ht="13.8" x14ac:dyDescent="0.25">
      <c r="A351" s="4" t="s">
        <v>363</v>
      </c>
      <c r="B351" s="12">
        <f>(1-1/(1+'[1]McCulloch data set'!N349/100)^5)/((1/(1+'[1]McCulloch data set'!J349/100))+1/(1+'[1]McCulloch data set'!K349/100)^2+1/(1+'[1]McCulloch data set'!L349/100)^3+1/(1+'[1]McCulloch data set'!M349/100)^4+1/(1+'[1]McCulloch data set'!N349/100)^5)</f>
        <v>7.9932790525209838E-2</v>
      </c>
      <c r="C351" s="12">
        <f>(1-1/(1+'[1]McCulloch data set'!N349/100)^10)/((1/(1+'[1]McCulloch data set'!J349/100))+1/(1+'[1]McCulloch data set'!K349/100)^2+1/(1+'[1]McCulloch data set'!L349/100)^3+1/(1+'[1]McCulloch data set'!M349/100)^4+1/(1+'[1]McCulloch data set'!N349/100)^5+1/(1+('[1]McCulloch data set'!N349+'[1]McCulloch data set'!O349)/2/100)^6+1/(1+('[1]McCulloch data set'!N349+'[1]McCulloch data set'!O349)/2/100)^7+1/(1+('[1]McCulloch data set'!N349+'[1]McCulloch data set'!O349)/2/100)^8+1/(1+('[1]McCulloch data set'!N349+'[1]McCulloch data set'!O349)/2/100)^9+1/(1+('[1]McCulloch data set'!O349/100)^10))</f>
        <v>7.4164116325968921E-2</v>
      </c>
    </row>
    <row r="352" spans="1:3" ht="13.8" x14ac:dyDescent="0.25">
      <c r="A352" s="4" t="s">
        <v>364</v>
      </c>
      <c r="B352" s="12">
        <f>(1-1/(1+'[1]McCulloch data set'!N350/100)^5)/((1/(1+'[1]McCulloch data set'!J350/100))+1/(1+'[1]McCulloch data set'!K350/100)^2+1/(1+'[1]McCulloch data set'!L350/100)^3+1/(1+'[1]McCulloch data set'!M350/100)^4+1/(1+'[1]McCulloch data set'!N350/100)^5)</f>
        <v>8.2547551964419916E-2</v>
      </c>
      <c r="C352" s="12">
        <f>(1-1/(1+'[1]McCulloch data set'!N350/100)^10)/((1/(1+'[1]McCulloch data set'!J350/100))+1/(1+'[1]McCulloch data set'!K350/100)^2+1/(1+'[1]McCulloch data set'!L350/100)^3+1/(1+'[1]McCulloch data set'!M350/100)^4+1/(1+'[1]McCulloch data set'!N350/100)^5+1/(1+('[1]McCulloch data set'!N350+'[1]McCulloch data set'!O350)/2/100)^6+1/(1+('[1]McCulloch data set'!N350+'[1]McCulloch data set'!O350)/2/100)^7+1/(1+('[1]McCulloch data set'!N350+'[1]McCulloch data set'!O350)/2/100)^8+1/(1+('[1]McCulloch data set'!N350+'[1]McCulloch data set'!O350)/2/100)^9+1/(1+('[1]McCulloch data set'!O350/100)^10))</f>
        <v>7.6411633832625434E-2</v>
      </c>
    </row>
    <row r="353" spans="1:3" ht="13.8" x14ac:dyDescent="0.25">
      <c r="A353" s="4" t="s">
        <v>365</v>
      </c>
      <c r="B353" s="12">
        <f>(1-1/(1+'[1]McCulloch data set'!N351/100)^5)/((1/(1+'[1]McCulloch data set'!J351/100))+1/(1+'[1]McCulloch data set'!K351/100)^2+1/(1+'[1]McCulloch data set'!L351/100)^3+1/(1+'[1]McCulloch data set'!M351/100)^4+1/(1+'[1]McCulloch data set'!N351/100)^5)</f>
        <v>7.4916290566903326E-2</v>
      </c>
      <c r="C353" s="12">
        <f>(1-1/(1+'[1]McCulloch data set'!N351/100)^10)/((1/(1+'[1]McCulloch data set'!J351/100))+1/(1+'[1]McCulloch data set'!K351/100)^2+1/(1+'[1]McCulloch data set'!L351/100)^3+1/(1+'[1]McCulloch data set'!M351/100)^4+1/(1+'[1]McCulloch data set'!N351/100)^5+1/(1+('[1]McCulloch data set'!N351+'[1]McCulloch data set'!O351)/2/100)^6+1/(1+('[1]McCulloch data set'!N351+'[1]McCulloch data set'!O351)/2/100)^7+1/(1+('[1]McCulloch data set'!N351+'[1]McCulloch data set'!O351)/2/100)^8+1/(1+('[1]McCulloch data set'!N351+'[1]McCulloch data set'!O351)/2/100)^9+1/(1+('[1]McCulloch data set'!O351/100)^10))</f>
        <v>7.0187720247488483E-2</v>
      </c>
    </row>
    <row r="354" spans="1:3" ht="13.8" x14ac:dyDescent="0.25">
      <c r="A354" s="4" t="s">
        <v>366</v>
      </c>
      <c r="B354" s="12">
        <f>(1-1/(1+'[1]McCulloch data set'!N352/100)^5)/((1/(1+'[1]McCulloch data set'!J352/100))+1/(1+'[1]McCulloch data set'!K352/100)^2+1/(1+'[1]McCulloch data set'!L352/100)^3+1/(1+'[1]McCulloch data set'!M352/100)^4+1/(1+'[1]McCulloch data set'!N352/100)^5)</f>
        <v>7.7578289447131438E-2</v>
      </c>
      <c r="C354" s="12">
        <f>(1-1/(1+'[1]McCulloch data set'!N352/100)^10)/((1/(1+'[1]McCulloch data set'!J352/100))+1/(1+'[1]McCulloch data set'!K352/100)^2+1/(1+'[1]McCulloch data set'!L352/100)^3+1/(1+'[1]McCulloch data set'!M352/100)^4+1/(1+'[1]McCulloch data set'!N352/100)^5+1/(1+('[1]McCulloch data set'!N352+'[1]McCulloch data set'!O352)/2/100)^6+1/(1+('[1]McCulloch data set'!N352+'[1]McCulloch data set'!O352)/2/100)^7+1/(1+('[1]McCulloch data set'!N352+'[1]McCulloch data set'!O352)/2/100)^8+1/(1+('[1]McCulloch data set'!N352+'[1]McCulloch data set'!O352)/2/100)^9+1/(1+('[1]McCulloch data set'!O352/100)^10))</f>
        <v>7.2517894094782945E-2</v>
      </c>
    </row>
    <row r="355" spans="1:3" ht="13.8" x14ac:dyDescent="0.25">
      <c r="A355" s="4" t="s">
        <v>367</v>
      </c>
      <c r="B355" s="12">
        <f>(1-1/(1+'[1]McCulloch data set'!N353/100)^5)/((1/(1+'[1]McCulloch data set'!J353/100))+1/(1+'[1]McCulloch data set'!K353/100)^2+1/(1+'[1]McCulloch data set'!L353/100)^3+1/(1+'[1]McCulloch data set'!M353/100)^4+1/(1+'[1]McCulloch data set'!N353/100)^5)</f>
        <v>7.3538369289154651E-2</v>
      </c>
      <c r="C355" s="12">
        <f>(1-1/(1+'[1]McCulloch data set'!N353/100)^10)/((1/(1+'[1]McCulloch data set'!J353/100))+1/(1+'[1]McCulloch data set'!K353/100)^2+1/(1+'[1]McCulloch data set'!L353/100)^3+1/(1+'[1]McCulloch data set'!M353/100)^4+1/(1+'[1]McCulloch data set'!N353/100)^5+1/(1+('[1]McCulloch data set'!N353+'[1]McCulloch data set'!O353)/2/100)^6+1/(1+('[1]McCulloch data set'!N353+'[1]McCulloch data set'!O353)/2/100)^7+1/(1+('[1]McCulloch data set'!N353+'[1]McCulloch data set'!O353)/2/100)^8+1/(1+('[1]McCulloch data set'!N353+'[1]McCulloch data set'!O353)/2/100)^9+1/(1+('[1]McCulloch data set'!O353/100)^10))</f>
        <v>6.901906347045432E-2</v>
      </c>
    </row>
    <row r="356" spans="1:3" ht="13.8" x14ac:dyDescent="0.25">
      <c r="A356" s="4" t="s">
        <v>368</v>
      </c>
      <c r="B356" s="12">
        <f>(1-1/(1+'[1]McCulloch data set'!N354/100)^5)/((1/(1+'[1]McCulloch data set'!J354/100))+1/(1+'[1]McCulloch data set'!K354/100)^2+1/(1+'[1]McCulloch data set'!L354/100)^3+1/(1+'[1]McCulloch data set'!M354/100)^4+1/(1+'[1]McCulloch data set'!N354/100)^5)</f>
        <v>7.3543507582307585E-2</v>
      </c>
      <c r="C356" s="12">
        <f>(1-1/(1+'[1]McCulloch data set'!N354/100)^10)/((1/(1+'[1]McCulloch data set'!J354/100))+1/(1+'[1]McCulloch data set'!K354/100)^2+1/(1+'[1]McCulloch data set'!L354/100)^3+1/(1+'[1]McCulloch data set'!M354/100)^4+1/(1+'[1]McCulloch data set'!N354/100)^5+1/(1+('[1]McCulloch data set'!N354+'[1]McCulloch data set'!O354)/2/100)^6+1/(1+('[1]McCulloch data set'!N354+'[1]McCulloch data set'!O354)/2/100)^7+1/(1+('[1]McCulloch data set'!N354+'[1]McCulloch data set'!O354)/2/100)^8+1/(1+('[1]McCulloch data set'!N354+'[1]McCulloch data set'!O354)/2/100)^9+1/(1+('[1]McCulloch data set'!O354/100)^10))</f>
        <v>6.9171007053159289E-2</v>
      </c>
    </row>
    <row r="357" spans="1:3" ht="13.8" x14ac:dyDescent="0.25">
      <c r="A357" s="4" t="s">
        <v>369</v>
      </c>
      <c r="B357" s="12">
        <f>(1-1/(1+'[1]McCulloch data set'!N355/100)^5)/((1/(1+'[1]McCulloch data set'!J355/100))+1/(1+'[1]McCulloch data set'!K355/100)^2+1/(1+'[1]McCulloch data set'!L355/100)^3+1/(1+'[1]McCulloch data set'!M355/100)^4+1/(1+'[1]McCulloch data set'!N355/100)^5)</f>
        <v>7.3679762811253949E-2</v>
      </c>
      <c r="C357" s="12">
        <f>(1-1/(1+'[1]McCulloch data set'!N355/100)^10)/((1/(1+'[1]McCulloch data set'!J355/100))+1/(1+'[1]McCulloch data set'!K355/100)^2+1/(1+'[1]McCulloch data set'!L355/100)^3+1/(1+'[1]McCulloch data set'!M355/100)^4+1/(1+'[1]McCulloch data set'!N355/100)^5+1/(1+('[1]McCulloch data set'!N355+'[1]McCulloch data set'!O355)/2/100)^6+1/(1+('[1]McCulloch data set'!N355+'[1]McCulloch data set'!O355)/2/100)^7+1/(1+('[1]McCulloch data set'!N355+'[1]McCulloch data set'!O355)/2/100)^8+1/(1+('[1]McCulloch data set'!N355+'[1]McCulloch data set'!O355)/2/100)^9+1/(1+('[1]McCulloch data set'!O355/100)^10))</f>
        <v>6.9119967807760224E-2</v>
      </c>
    </row>
    <row r="358" spans="1:3" ht="13.8" x14ac:dyDescent="0.25">
      <c r="A358" s="4" t="s">
        <v>370</v>
      </c>
      <c r="B358" s="12">
        <f>(1-1/(1+'[1]McCulloch data set'!N356/100)^5)/((1/(1+'[1]McCulloch data set'!J356/100))+1/(1+'[1]McCulloch data set'!K356/100)^2+1/(1+'[1]McCulloch data set'!L356/100)^3+1/(1+'[1]McCulloch data set'!M356/100)^4+1/(1+'[1]McCulloch data set'!N356/100)^5)</f>
        <v>7.2680693189913992E-2</v>
      </c>
      <c r="C358" s="12">
        <f>(1-1/(1+'[1]McCulloch data set'!N356/100)^10)/((1/(1+'[1]McCulloch data set'!J356/100))+1/(1+'[1]McCulloch data set'!K356/100)^2+1/(1+'[1]McCulloch data set'!L356/100)^3+1/(1+'[1]McCulloch data set'!M356/100)^4+1/(1+'[1]McCulloch data set'!N356/100)^5+1/(1+('[1]McCulloch data set'!N356+'[1]McCulloch data set'!O356)/2/100)^6+1/(1+('[1]McCulloch data set'!N356+'[1]McCulloch data set'!O356)/2/100)^7+1/(1+('[1]McCulloch data set'!N356+'[1]McCulloch data set'!O356)/2/100)^8+1/(1+('[1]McCulloch data set'!N356+'[1]McCulloch data set'!O356)/2/100)^9+1/(1+('[1]McCulloch data set'!O356/100)^10))</f>
        <v>6.8243497026735114E-2</v>
      </c>
    </row>
    <row r="359" spans="1:3" ht="13.8" x14ac:dyDescent="0.25">
      <c r="A359" s="4" t="s">
        <v>371</v>
      </c>
      <c r="B359" s="12">
        <f>(1-1/(1+'[1]McCulloch data set'!N357/100)^5)/((1/(1+'[1]McCulloch data set'!J357/100))+1/(1+'[1]McCulloch data set'!K357/100)^2+1/(1+'[1]McCulloch data set'!L357/100)^3+1/(1+'[1]McCulloch data set'!M357/100)^4+1/(1+'[1]McCulloch data set'!N357/100)^5)</f>
        <v>7.2151996198404331E-2</v>
      </c>
      <c r="C359" s="12">
        <f>(1-1/(1+'[1]McCulloch data set'!N357/100)^10)/((1/(1+'[1]McCulloch data set'!J357/100))+1/(1+'[1]McCulloch data set'!K357/100)^2+1/(1+'[1]McCulloch data set'!L357/100)^3+1/(1+'[1]McCulloch data set'!M357/100)^4+1/(1+'[1]McCulloch data set'!N357/100)^5+1/(1+('[1]McCulloch data set'!N357+'[1]McCulloch data set'!O357)/2/100)^6+1/(1+('[1]McCulloch data set'!N357+'[1]McCulloch data set'!O357)/2/100)^7+1/(1+('[1]McCulloch data set'!N357+'[1]McCulloch data set'!O357)/2/100)^8+1/(1+('[1]McCulloch data set'!N357+'[1]McCulloch data set'!O357)/2/100)^9+1/(1+('[1]McCulloch data set'!O357/100)^10))</f>
        <v>6.7829960478771475E-2</v>
      </c>
    </row>
    <row r="360" spans="1:3" ht="13.8" x14ac:dyDescent="0.25">
      <c r="A360" s="4" t="s">
        <v>372</v>
      </c>
      <c r="B360" s="12">
        <f>(1-1/(1+'[1]McCulloch data set'!N358/100)^5)/((1/(1+'[1]McCulloch data set'!J358/100))+1/(1+'[1]McCulloch data set'!K358/100)^2+1/(1+'[1]McCulloch data set'!L358/100)^3+1/(1+'[1]McCulloch data set'!M358/100)^4+1/(1+'[1]McCulloch data set'!N358/100)^5)</f>
        <v>7.6364671949072135E-2</v>
      </c>
      <c r="C360" s="12">
        <f>(1-1/(1+'[1]McCulloch data set'!N358/100)^10)/((1/(1+'[1]McCulloch data set'!J358/100))+1/(1+'[1]McCulloch data set'!K358/100)^2+1/(1+'[1]McCulloch data set'!L358/100)^3+1/(1+'[1]McCulloch data set'!M358/100)^4+1/(1+'[1]McCulloch data set'!N358/100)^5+1/(1+('[1]McCulloch data set'!N358+'[1]McCulloch data set'!O358)/2/100)^6+1/(1+('[1]McCulloch data set'!N358+'[1]McCulloch data set'!O358)/2/100)^7+1/(1+('[1]McCulloch data set'!N358+'[1]McCulloch data set'!O358)/2/100)^8+1/(1+('[1]McCulloch data set'!N358+'[1]McCulloch data set'!O358)/2/100)^9+1/(1+('[1]McCulloch data set'!O358/100)^10))</f>
        <v>7.1260426125584253E-2</v>
      </c>
    </row>
    <row r="361" spans="1:3" ht="13.8" x14ac:dyDescent="0.25">
      <c r="A361" s="4" t="s">
        <v>373</v>
      </c>
      <c r="B361" s="12">
        <f>(1-1/(1+'[1]McCulloch data set'!N359/100)^5)/((1/(1+'[1]McCulloch data set'!J359/100))+1/(1+'[1]McCulloch data set'!K359/100)^2+1/(1+'[1]McCulloch data set'!L359/100)^3+1/(1+'[1]McCulloch data set'!M359/100)^4+1/(1+'[1]McCulloch data set'!N359/100)^5)</f>
        <v>7.4349914233755324E-2</v>
      </c>
      <c r="C361" s="12">
        <f>(1-1/(1+'[1]McCulloch data set'!N359/100)^10)/((1/(1+'[1]McCulloch data set'!J359/100))+1/(1+'[1]McCulloch data set'!K359/100)^2+1/(1+'[1]McCulloch data set'!L359/100)^3+1/(1+'[1]McCulloch data set'!M359/100)^4+1/(1+'[1]McCulloch data set'!N359/100)^5+1/(1+('[1]McCulloch data set'!N359+'[1]McCulloch data set'!O359)/2/100)^6+1/(1+('[1]McCulloch data set'!N359+'[1]McCulloch data set'!O359)/2/100)^7+1/(1+('[1]McCulloch data set'!N359+'[1]McCulloch data set'!O359)/2/100)^8+1/(1+('[1]McCulloch data set'!N359+'[1]McCulloch data set'!O359)/2/100)^9+1/(1+('[1]McCulloch data set'!O359/100)^10))</f>
        <v>6.9639809056639648E-2</v>
      </c>
    </row>
    <row r="362" spans="1:3" ht="13.8" x14ac:dyDescent="0.25">
      <c r="A362" s="4" t="s">
        <v>374</v>
      </c>
      <c r="B362" s="12">
        <f>(1-1/(1+'[1]McCulloch data set'!N360/100)^5)/((1/(1+'[1]McCulloch data set'!J360/100))+1/(1+'[1]McCulloch data set'!K360/100)^2+1/(1+'[1]McCulloch data set'!L360/100)^3+1/(1+'[1]McCulloch data set'!M360/100)^4+1/(1+'[1]McCulloch data set'!N360/100)^5)</f>
        <v>7.3217795844004577E-2</v>
      </c>
      <c r="C362" s="12">
        <f>(1-1/(1+'[1]McCulloch data set'!N360/100)^10)/((1/(1+'[1]McCulloch data set'!J360/100))+1/(1+'[1]McCulloch data set'!K360/100)^2+1/(1+'[1]McCulloch data set'!L360/100)^3+1/(1+'[1]McCulloch data set'!M360/100)^4+1/(1+'[1]McCulloch data set'!N360/100)^5+1/(1+('[1]McCulloch data set'!N360+'[1]McCulloch data set'!O360)/2/100)^6+1/(1+('[1]McCulloch data set'!N360+'[1]McCulloch data set'!O360)/2/100)^7+1/(1+('[1]McCulloch data set'!N360+'[1]McCulloch data set'!O360)/2/100)^8+1/(1+('[1]McCulloch data set'!N360+'[1]McCulloch data set'!O360)/2/100)^9+1/(1+('[1]McCulloch data set'!O360/100)^10))</f>
        <v>6.8806836698474066E-2</v>
      </c>
    </row>
    <row r="363" spans="1:3" ht="13.8" x14ac:dyDescent="0.25">
      <c r="A363" s="4" t="s">
        <v>375</v>
      </c>
      <c r="B363" s="12">
        <f>(1-1/(1+'[1]McCulloch data set'!N361/100)^5)/((1/(1+'[1]McCulloch data set'!J361/100))+1/(1+'[1]McCulloch data set'!K361/100)^2+1/(1+'[1]McCulloch data set'!L361/100)^3+1/(1+'[1]McCulloch data set'!M361/100)^4+1/(1+'[1]McCulloch data set'!N361/100)^5)</f>
        <v>7.0435549411064405E-2</v>
      </c>
      <c r="C363" s="12">
        <f>(1-1/(1+'[1]McCulloch data set'!N361/100)^10)/((1/(1+'[1]McCulloch data set'!J361/100))+1/(1+'[1]McCulloch data set'!K361/100)^2+1/(1+'[1]McCulloch data set'!L361/100)^3+1/(1+'[1]McCulloch data set'!M361/100)^4+1/(1+'[1]McCulloch data set'!N361/100)^5+1/(1+('[1]McCulloch data set'!N361+'[1]McCulloch data set'!O361)/2/100)^6+1/(1+('[1]McCulloch data set'!N361+'[1]McCulloch data set'!O361)/2/100)^7+1/(1+('[1]McCulloch data set'!N361+'[1]McCulloch data set'!O361)/2/100)^8+1/(1+('[1]McCulloch data set'!N361+'[1]McCulloch data set'!O361)/2/100)^9+1/(1+('[1]McCulloch data set'!O361/100)^10))</f>
        <v>6.6438579190454969E-2</v>
      </c>
    </row>
    <row r="364" spans="1:3" ht="13.8" x14ac:dyDescent="0.25">
      <c r="A364" s="4" t="s">
        <v>376</v>
      </c>
      <c r="B364" s="12">
        <f>(1-1/(1+'[1]McCulloch data set'!N362/100)^5)/((1/(1+'[1]McCulloch data set'!J362/100))+1/(1+'[1]McCulloch data set'!K362/100)^2+1/(1+'[1]McCulloch data set'!L362/100)^3+1/(1+'[1]McCulloch data set'!M362/100)^4+1/(1+'[1]McCulloch data set'!N362/100)^5)</f>
        <v>6.9416164258684951E-2</v>
      </c>
      <c r="C364" s="12">
        <f>(1-1/(1+'[1]McCulloch data set'!N362/100)^10)/((1/(1+'[1]McCulloch data set'!J362/100))+1/(1+'[1]McCulloch data set'!K362/100)^2+1/(1+'[1]McCulloch data set'!L362/100)^3+1/(1+'[1]McCulloch data set'!M362/100)^4+1/(1+'[1]McCulloch data set'!N362/100)^5+1/(1+('[1]McCulloch data set'!N362+'[1]McCulloch data set'!O362)/2/100)^6+1/(1+('[1]McCulloch data set'!N362+'[1]McCulloch data set'!O362)/2/100)^7+1/(1+('[1]McCulloch data set'!N362+'[1]McCulloch data set'!O362)/2/100)^8+1/(1+('[1]McCulloch data set'!N362+'[1]McCulloch data set'!O362)/2/100)^9+1/(1+('[1]McCulloch data set'!O362/100)^10))</f>
        <v>6.5552451035223405E-2</v>
      </c>
    </row>
    <row r="365" spans="1:3" ht="13.8" x14ac:dyDescent="0.25">
      <c r="A365" s="4" t="s">
        <v>377</v>
      </c>
      <c r="B365" s="12">
        <f>(1-1/(1+'[1]McCulloch data set'!N363/100)^5)/((1/(1+'[1]McCulloch data set'!J363/100))+1/(1+'[1]McCulloch data set'!K363/100)^2+1/(1+'[1]McCulloch data set'!L363/100)^3+1/(1+'[1]McCulloch data set'!M363/100)^4+1/(1+'[1]McCulloch data set'!N363/100)^5)</f>
        <v>6.6646664764576882E-2</v>
      </c>
      <c r="C365" s="12">
        <f>(1-1/(1+'[1]McCulloch data set'!N363/100)^10)/((1/(1+'[1]McCulloch data set'!J363/100))+1/(1+'[1]McCulloch data set'!K363/100)^2+1/(1+'[1]McCulloch data set'!L363/100)^3+1/(1+'[1]McCulloch data set'!M363/100)^4+1/(1+'[1]McCulloch data set'!N363/100)^5+1/(1+('[1]McCulloch data set'!N363+'[1]McCulloch data set'!O363)/2/100)^6+1/(1+('[1]McCulloch data set'!N363+'[1]McCulloch data set'!O363)/2/100)^7+1/(1+('[1]McCulloch data set'!N363+'[1]McCulloch data set'!O363)/2/100)^8+1/(1+('[1]McCulloch data set'!N363+'[1]McCulloch data set'!O363)/2/100)^9+1/(1+('[1]McCulloch data set'!O363/100)^10))</f>
        <v>6.3231553494352E-2</v>
      </c>
    </row>
    <row r="366" spans="1:3" ht="13.8" x14ac:dyDescent="0.25">
      <c r="A366" s="4" t="s">
        <v>378</v>
      </c>
      <c r="B366" s="12">
        <f>(1-1/(1+'[1]McCulloch data set'!N364/100)^5)/((1/(1+'[1]McCulloch data set'!J364/100))+1/(1+'[1]McCulloch data set'!K364/100)^2+1/(1+'[1]McCulloch data set'!L364/100)^3+1/(1+'[1]McCulloch data set'!M364/100)^4+1/(1+'[1]McCulloch data set'!N364/100)^5)</f>
        <v>5.9595638151876532E-2</v>
      </c>
      <c r="C366" s="12">
        <f>(1-1/(1+'[1]McCulloch data set'!N364/100)^10)/((1/(1+'[1]McCulloch data set'!J364/100))+1/(1+'[1]McCulloch data set'!K364/100)^2+1/(1+'[1]McCulloch data set'!L364/100)^3+1/(1+'[1]McCulloch data set'!M364/100)^4+1/(1+'[1]McCulloch data set'!N364/100)^5+1/(1+('[1]McCulloch data set'!N364+'[1]McCulloch data set'!O364)/2/100)^6+1/(1+('[1]McCulloch data set'!N364+'[1]McCulloch data set'!O364)/2/100)^7+1/(1+('[1]McCulloch data set'!N364+'[1]McCulloch data set'!O364)/2/100)^8+1/(1+('[1]McCulloch data set'!N364+'[1]McCulloch data set'!O364)/2/100)^9+1/(1+('[1]McCulloch data set'!O364/100)^10))</f>
        <v>5.7133384818190192E-2</v>
      </c>
    </row>
    <row r="367" spans="1:3" ht="13.8" x14ac:dyDescent="0.25">
      <c r="A367" s="4" t="s">
        <v>379</v>
      </c>
      <c r="B367" s="12">
        <f>(1-1/(1+'[1]McCulloch data set'!N365/100)^5)/((1/(1+'[1]McCulloch data set'!J365/100))+1/(1+'[1]McCulloch data set'!K365/100)^2+1/(1+'[1]McCulloch data set'!L365/100)^3+1/(1+'[1]McCulloch data set'!M365/100)^4+1/(1+'[1]McCulloch data set'!N365/100)^5)</f>
        <v>6.050511524735671E-2</v>
      </c>
      <c r="C367" s="12">
        <f>(1-1/(1+'[1]McCulloch data set'!N365/100)^10)/((1/(1+'[1]McCulloch data set'!J365/100))+1/(1+'[1]McCulloch data set'!K365/100)^2+1/(1+'[1]McCulloch data set'!L365/100)^3+1/(1+'[1]McCulloch data set'!M365/100)^4+1/(1+'[1]McCulloch data set'!N365/100)^5+1/(1+('[1]McCulloch data set'!N365+'[1]McCulloch data set'!O365)/2/100)^6+1/(1+('[1]McCulloch data set'!N365+'[1]McCulloch data set'!O365)/2/100)^7+1/(1+('[1]McCulloch data set'!N365+'[1]McCulloch data set'!O365)/2/100)^8+1/(1+('[1]McCulloch data set'!N365+'[1]McCulloch data set'!O365)/2/100)^9+1/(1+('[1]McCulloch data set'!O365/100)^10))</f>
        <v>5.7749068094195957E-2</v>
      </c>
    </row>
    <row r="368" spans="1:3" ht="13.8" x14ac:dyDescent="0.25">
      <c r="A368" s="4" t="s">
        <v>380</v>
      </c>
      <c r="B368" s="12">
        <f>(1-1/(1+'[1]McCulloch data set'!N366/100)^5)/((1/(1+'[1]McCulloch data set'!J366/100))+1/(1+'[1]McCulloch data set'!K366/100)^2+1/(1+'[1]McCulloch data set'!L366/100)^3+1/(1+'[1]McCulloch data set'!M366/100)^4+1/(1+'[1]McCulloch data set'!N366/100)^5)</f>
        <v>6.843105679043919E-2</v>
      </c>
      <c r="C368" s="12">
        <f>(1-1/(1+'[1]McCulloch data set'!N366/100)^10)/((1/(1+'[1]McCulloch data set'!J366/100))+1/(1+'[1]McCulloch data set'!K366/100)^2+1/(1+'[1]McCulloch data set'!L366/100)^3+1/(1+'[1]McCulloch data set'!M366/100)^4+1/(1+'[1]McCulloch data set'!N366/100)^5+1/(1+('[1]McCulloch data set'!N366+'[1]McCulloch data set'!O366)/2/100)^6+1/(1+('[1]McCulloch data set'!N366+'[1]McCulloch data set'!O366)/2/100)^7+1/(1+('[1]McCulloch data set'!N366+'[1]McCulloch data set'!O366)/2/100)^8+1/(1+('[1]McCulloch data set'!N366+'[1]McCulloch data set'!O366)/2/100)^9+1/(1+('[1]McCulloch data set'!O366/100)^10))</f>
        <v>6.4625819459565706E-2</v>
      </c>
    </row>
    <row r="369" spans="1:3" ht="13.8" x14ac:dyDescent="0.25">
      <c r="A369" s="4" t="s">
        <v>381</v>
      </c>
      <c r="B369" s="12">
        <f>(1-1/(1+'[1]McCulloch data set'!N367/100)^5)/((1/(1+'[1]McCulloch data set'!J367/100))+1/(1+'[1]McCulloch data set'!K367/100)^2+1/(1+'[1]McCulloch data set'!L367/100)^3+1/(1+'[1]McCulloch data set'!M367/100)^4+1/(1+'[1]McCulloch data set'!N367/100)^5)</f>
        <v>6.9031677296436958E-2</v>
      </c>
      <c r="C369" s="12">
        <f>(1-1/(1+'[1]McCulloch data set'!N367/100)^10)/((1/(1+'[1]McCulloch data set'!J367/100))+1/(1+'[1]McCulloch data set'!K367/100)^2+1/(1+'[1]McCulloch data set'!L367/100)^3+1/(1+'[1]McCulloch data set'!M367/100)^4+1/(1+'[1]McCulloch data set'!N367/100)^5+1/(1+('[1]McCulloch data set'!N367+'[1]McCulloch data set'!O367)/2/100)^6+1/(1+('[1]McCulloch data set'!N367+'[1]McCulloch data set'!O367)/2/100)^7+1/(1+('[1]McCulloch data set'!N367+'[1]McCulloch data set'!O367)/2/100)^8+1/(1+('[1]McCulloch data set'!N367+'[1]McCulloch data set'!O367)/2/100)^9+1/(1+('[1]McCulloch data set'!O367/100)^10))</f>
        <v>6.5181223658448431E-2</v>
      </c>
    </row>
    <row r="370" spans="1:3" ht="13.8" x14ac:dyDescent="0.25">
      <c r="A370" s="4" t="s">
        <v>382</v>
      </c>
      <c r="B370" s="12">
        <f>(1-1/(1+'[1]McCulloch data set'!N368/100)^5)/((1/(1+'[1]McCulloch data set'!J368/100))+1/(1+'[1]McCulloch data set'!K368/100)^2+1/(1+'[1]McCulloch data set'!L368/100)^3+1/(1+'[1]McCulloch data set'!M368/100)^4+1/(1+'[1]McCulloch data set'!N368/100)^5)</f>
        <v>6.8310101316774646E-2</v>
      </c>
      <c r="C370" s="12">
        <f>(1-1/(1+'[1]McCulloch data set'!N368/100)^10)/((1/(1+'[1]McCulloch data set'!J368/100))+1/(1+'[1]McCulloch data set'!K368/100)^2+1/(1+'[1]McCulloch data set'!L368/100)^3+1/(1+'[1]McCulloch data set'!M368/100)^4+1/(1+'[1]McCulloch data set'!N368/100)^5+1/(1+('[1]McCulloch data set'!N368+'[1]McCulloch data set'!O368)/2/100)^6+1/(1+('[1]McCulloch data set'!N368+'[1]McCulloch data set'!O368)/2/100)^7+1/(1+('[1]McCulloch data set'!N368+'[1]McCulloch data set'!O368)/2/100)^8+1/(1+('[1]McCulloch data set'!N368+'[1]McCulloch data set'!O368)/2/100)^9+1/(1+('[1]McCulloch data set'!O368/100)^10))</f>
        <v>6.4591193107501499E-2</v>
      </c>
    </row>
    <row r="371" spans="1:3" ht="13.8" x14ac:dyDescent="0.25">
      <c r="A371" s="4" t="s">
        <v>383</v>
      </c>
      <c r="B371" s="12">
        <f>(1-1/(1+'[1]McCulloch data set'!N369/100)^5)/((1/(1+'[1]McCulloch data set'!J369/100))+1/(1+'[1]McCulloch data set'!K369/100)^2+1/(1+'[1]McCulloch data set'!L369/100)^3+1/(1+'[1]McCulloch data set'!M369/100)^4+1/(1+'[1]McCulloch data set'!N369/100)^5)</f>
        <v>6.8451038949593812E-2</v>
      </c>
      <c r="C371" s="12">
        <f>(1-1/(1+'[1]McCulloch data set'!N369/100)^10)/((1/(1+'[1]McCulloch data set'!J369/100))+1/(1+'[1]McCulloch data set'!K369/100)^2+1/(1+'[1]McCulloch data set'!L369/100)^3+1/(1+'[1]McCulloch data set'!M369/100)^4+1/(1+'[1]McCulloch data set'!N369/100)^5+1/(1+('[1]McCulloch data set'!N369+'[1]McCulloch data set'!O369)/2/100)^6+1/(1+('[1]McCulloch data set'!N369+'[1]McCulloch data set'!O369)/2/100)^7+1/(1+('[1]McCulloch data set'!N369+'[1]McCulloch data set'!O369)/2/100)^8+1/(1+('[1]McCulloch data set'!N369+'[1]McCulloch data set'!O369)/2/100)^9+1/(1+('[1]McCulloch data set'!O369/100)^10))</f>
        <v>6.4714498188580202E-2</v>
      </c>
    </row>
    <row r="372" spans="1:3" ht="13.8" x14ac:dyDescent="0.25">
      <c r="A372" s="4" t="s">
        <v>384</v>
      </c>
      <c r="B372" s="12">
        <f>(1-1/(1+'[1]McCulloch data set'!N370/100)^5)/((1/(1+'[1]McCulloch data set'!J370/100))+1/(1+'[1]McCulloch data set'!K370/100)^2+1/(1+'[1]McCulloch data set'!L370/100)^3+1/(1+'[1]McCulloch data set'!M370/100)^4+1/(1+'[1]McCulloch data set'!N370/100)^5)</f>
        <v>6.7769473392004453E-2</v>
      </c>
      <c r="C372" s="12">
        <f>(1-1/(1+'[1]McCulloch data set'!N370/100)^10)/((1/(1+'[1]McCulloch data set'!J370/100))+1/(1+'[1]McCulloch data set'!K370/100)^2+1/(1+'[1]McCulloch data set'!L370/100)^3+1/(1+'[1]McCulloch data set'!M370/100)^4+1/(1+'[1]McCulloch data set'!N370/100)^5+1/(1+('[1]McCulloch data set'!N370+'[1]McCulloch data set'!O370)/2/100)^6+1/(1+('[1]McCulloch data set'!N370+'[1]McCulloch data set'!O370)/2/100)^7+1/(1+('[1]McCulloch data set'!N370+'[1]McCulloch data set'!O370)/2/100)^8+1/(1+('[1]McCulloch data set'!N370+'[1]McCulloch data set'!O370)/2/100)^9+1/(1+('[1]McCulloch data set'!O370/100)^10))</f>
        <v>6.4087082956707911E-2</v>
      </c>
    </row>
    <row r="373" spans="1:3" ht="13.8" x14ac:dyDescent="0.25">
      <c r="A373" s="4" t="s">
        <v>385</v>
      </c>
      <c r="B373" s="12">
        <f>(1-1/(1+'[1]McCulloch data set'!N371/100)^5)/((1/(1+'[1]McCulloch data set'!J371/100))+1/(1+'[1]McCulloch data set'!K371/100)^2+1/(1+'[1]McCulloch data set'!L371/100)^3+1/(1+'[1]McCulloch data set'!M371/100)^4+1/(1+'[1]McCulloch data set'!N371/100)^5)</f>
        <v>6.6704758608800069E-2</v>
      </c>
      <c r="C373" s="12">
        <f>(1-1/(1+'[1]McCulloch data set'!N371/100)^10)/((1/(1+'[1]McCulloch data set'!J371/100))+1/(1+'[1]McCulloch data set'!K371/100)^2+1/(1+'[1]McCulloch data set'!L371/100)^3+1/(1+'[1]McCulloch data set'!M371/100)^4+1/(1+'[1]McCulloch data set'!N371/100)^5+1/(1+('[1]McCulloch data set'!N371+'[1]McCulloch data set'!O371)/2/100)^6+1/(1+('[1]McCulloch data set'!N371+'[1]McCulloch data set'!O371)/2/100)^7+1/(1+('[1]McCulloch data set'!N371+'[1]McCulloch data set'!O371)/2/100)^8+1/(1+('[1]McCulloch data set'!N371+'[1]McCulloch data set'!O371)/2/100)^9+1/(1+('[1]McCulloch data set'!O371/100)^10))</f>
        <v>6.3129743032080729E-2</v>
      </c>
    </row>
    <row r="374" spans="1:3" ht="13.8" x14ac:dyDescent="0.25">
      <c r="A374" s="4" t="s">
        <v>386</v>
      </c>
      <c r="B374" s="12">
        <f>(1-1/(1+'[1]McCulloch data set'!N372/100)^5)/((1/(1+'[1]McCulloch data set'!J372/100))+1/(1+'[1]McCulloch data set'!K372/100)^2+1/(1+'[1]McCulloch data set'!L372/100)^3+1/(1+'[1]McCulloch data set'!M372/100)^4+1/(1+'[1]McCulloch data set'!N372/100)^5)</f>
        <v>6.9391210111682131E-2</v>
      </c>
      <c r="C374" s="12">
        <f>(1-1/(1+'[1]McCulloch data set'!N372/100)^10)/((1/(1+'[1]McCulloch data set'!J372/100))+1/(1+'[1]McCulloch data set'!K372/100)^2+1/(1+'[1]McCulloch data set'!L372/100)^3+1/(1+'[1]McCulloch data set'!M372/100)^4+1/(1+'[1]McCulloch data set'!N372/100)^5+1/(1+('[1]McCulloch data set'!N372+'[1]McCulloch data set'!O372)/2/100)^6+1/(1+('[1]McCulloch data set'!N372+'[1]McCulloch data set'!O372)/2/100)^7+1/(1+('[1]McCulloch data set'!N372+'[1]McCulloch data set'!O372)/2/100)^8+1/(1+('[1]McCulloch data set'!N372+'[1]McCulloch data set'!O372)/2/100)^9+1/(1+('[1]McCulloch data set'!O372/100)^10))</f>
        <v>6.5353534430451735E-2</v>
      </c>
    </row>
    <row r="375" spans="1:3" ht="13.8" x14ac:dyDescent="0.25">
      <c r="A375" s="4" t="s">
        <v>387</v>
      </c>
      <c r="B375" s="12">
        <f>(1-1/(1+'[1]McCulloch data set'!N373/100)^5)/((1/(1+'[1]McCulloch data set'!J373/100))+1/(1+'[1]McCulloch data set'!K373/100)^2+1/(1+'[1]McCulloch data set'!L373/100)^3+1/(1+'[1]McCulloch data set'!M373/100)^4+1/(1+'[1]McCulloch data set'!N373/100)^5)</f>
        <v>6.8547165902317214E-2</v>
      </c>
      <c r="C375" s="12">
        <f>(1-1/(1+'[1]McCulloch data set'!N373/100)^10)/((1/(1+'[1]McCulloch data set'!J373/100))+1/(1+'[1]McCulloch data set'!K373/100)^2+1/(1+'[1]McCulloch data set'!L373/100)^3+1/(1+'[1]McCulloch data set'!M373/100)^4+1/(1+'[1]McCulloch data set'!N373/100)^5+1/(1+('[1]McCulloch data set'!N373+'[1]McCulloch data set'!O373)/2/100)^6+1/(1+('[1]McCulloch data set'!N373+'[1]McCulloch data set'!O373)/2/100)^7+1/(1+('[1]McCulloch data set'!N373+'[1]McCulloch data set'!O373)/2/100)^8+1/(1+('[1]McCulloch data set'!N373+'[1]McCulloch data set'!O373)/2/100)^9+1/(1+('[1]McCulloch data set'!O373/100)^10))</f>
        <v>6.4535832743391641E-2</v>
      </c>
    </row>
    <row r="376" spans="1:3" ht="13.8" x14ac:dyDescent="0.25">
      <c r="A376" s="4" t="s">
        <v>388</v>
      </c>
      <c r="B376" s="12">
        <f>(1-1/(1+'[1]McCulloch data set'!N374/100)^5)/((1/(1+'[1]McCulloch data set'!J374/100))+1/(1+'[1]McCulloch data set'!K374/100)^2+1/(1+'[1]McCulloch data set'!L374/100)^3+1/(1+'[1]McCulloch data set'!M374/100)^4+1/(1+'[1]McCulloch data set'!N374/100)^5)</f>
        <v>7.0312324943924157E-2</v>
      </c>
      <c r="C376" s="12">
        <f>(1-1/(1+'[1]McCulloch data set'!N374/100)^10)/((1/(1+'[1]McCulloch data set'!J374/100))+1/(1+'[1]McCulloch data set'!K374/100)^2+1/(1+'[1]McCulloch data set'!L374/100)^3+1/(1+'[1]McCulloch data set'!M374/100)^4+1/(1+'[1]McCulloch data set'!N374/100)^5+1/(1+('[1]McCulloch data set'!N374+'[1]McCulloch data set'!O374)/2/100)^6+1/(1+('[1]McCulloch data set'!N374+'[1]McCulloch data set'!O374)/2/100)^7+1/(1+('[1]McCulloch data set'!N374+'[1]McCulloch data set'!O374)/2/100)^8+1/(1+('[1]McCulloch data set'!N374+'[1]McCulloch data set'!O374)/2/100)^9+1/(1+('[1]McCulloch data set'!O374/100)^10))</f>
        <v>6.5993763819863785E-2</v>
      </c>
    </row>
    <row r="377" spans="1:3" ht="13.8" x14ac:dyDescent="0.25">
      <c r="A377" s="4" t="s">
        <v>389</v>
      </c>
      <c r="B377" s="12">
        <f>(1-1/(1+'[1]McCulloch data set'!N375/100)^5)/((1/(1+'[1]McCulloch data set'!J375/100))+1/(1+'[1]McCulloch data set'!K375/100)^2+1/(1+'[1]McCulloch data set'!L375/100)^3+1/(1+'[1]McCulloch data set'!M375/100)^4+1/(1+'[1]McCulloch data set'!N375/100)^5)</f>
        <v>7.3995901654735324E-2</v>
      </c>
      <c r="C377" s="12">
        <f>(1-1/(1+'[1]McCulloch data set'!N375/100)^10)/((1/(1+'[1]McCulloch data set'!J375/100))+1/(1+'[1]McCulloch data set'!K375/100)^2+1/(1+'[1]McCulloch data set'!L375/100)^3+1/(1+'[1]McCulloch data set'!M375/100)^4+1/(1+'[1]McCulloch data set'!N375/100)^5+1/(1+('[1]McCulloch data set'!N375+'[1]McCulloch data set'!O375)/2/100)^6+1/(1+('[1]McCulloch data set'!N375+'[1]McCulloch data set'!O375)/2/100)^7+1/(1+('[1]McCulloch data set'!N375+'[1]McCulloch data set'!O375)/2/100)^8+1/(1+('[1]McCulloch data set'!N375+'[1]McCulloch data set'!O375)/2/100)^9+1/(1+('[1]McCulloch data set'!O375/100)^10))</f>
        <v>6.9068211102315383E-2</v>
      </c>
    </row>
    <row r="378" spans="1:3" ht="13.8" x14ac:dyDescent="0.25">
      <c r="A378" s="4" t="s">
        <v>390</v>
      </c>
      <c r="B378" s="12">
        <f>(1-1/(1+'[1]McCulloch data set'!N376/100)^5)/((1/(1+'[1]McCulloch data set'!J376/100))+1/(1+'[1]McCulloch data set'!K376/100)^2+1/(1+'[1]McCulloch data set'!L376/100)^3+1/(1+'[1]McCulloch data set'!M376/100)^4+1/(1+'[1]McCulloch data set'!N376/100)^5)</f>
        <v>7.2614719387660093E-2</v>
      </c>
      <c r="C378" s="12">
        <f>(1-1/(1+'[1]McCulloch data set'!N376/100)^10)/((1/(1+'[1]McCulloch data set'!J376/100))+1/(1+'[1]McCulloch data set'!K376/100)^2+1/(1+'[1]McCulloch data set'!L376/100)^3+1/(1+'[1]McCulloch data set'!M376/100)^4+1/(1+'[1]McCulloch data set'!N376/100)^5+1/(1+('[1]McCulloch data set'!N376+'[1]McCulloch data set'!O376)/2/100)^6+1/(1+('[1]McCulloch data set'!N376+'[1]McCulloch data set'!O376)/2/100)^7+1/(1+('[1]McCulloch data set'!N376+'[1]McCulloch data set'!O376)/2/100)^8+1/(1+('[1]McCulloch data set'!N376+'[1]McCulloch data set'!O376)/2/100)^9+1/(1+('[1]McCulloch data set'!O376/100)^10))</f>
        <v>6.793607503604128E-2</v>
      </c>
    </row>
    <row r="379" spans="1:3" ht="13.8" x14ac:dyDescent="0.25">
      <c r="A379" s="4" t="s">
        <v>391</v>
      </c>
      <c r="B379" s="12">
        <f>(1-1/(1+'[1]McCulloch data set'!N377/100)^5)/((1/(1+'[1]McCulloch data set'!J377/100))+1/(1+'[1]McCulloch data set'!K377/100)^2+1/(1+'[1]McCulloch data set'!L377/100)^3+1/(1+'[1]McCulloch data set'!M377/100)^4+1/(1+'[1]McCulloch data set'!N377/100)^5)</f>
        <v>7.4187960384043627E-2</v>
      </c>
      <c r="C379" s="12">
        <f>(1-1/(1+'[1]McCulloch data set'!N377/100)^10)/((1/(1+'[1]McCulloch data set'!J377/100))+1/(1+'[1]McCulloch data set'!K377/100)^2+1/(1+'[1]McCulloch data set'!L377/100)^3+1/(1+'[1]McCulloch data set'!M377/100)^4+1/(1+'[1]McCulloch data set'!N377/100)^5+1/(1+('[1]McCulloch data set'!N377+'[1]McCulloch data set'!O377)/2/100)^6+1/(1+('[1]McCulloch data set'!N377+'[1]McCulloch data set'!O377)/2/100)^7+1/(1+('[1]McCulloch data set'!N377+'[1]McCulloch data set'!O377)/2/100)^8+1/(1+('[1]McCulloch data set'!N377+'[1]McCulloch data set'!O377)/2/100)^9+1/(1+('[1]McCulloch data set'!O377/100)^10))</f>
        <v>6.9348102728094413E-2</v>
      </c>
    </row>
    <row r="380" spans="1:3" ht="13.8" x14ac:dyDescent="0.25">
      <c r="A380" s="4" t="s">
        <v>392</v>
      </c>
      <c r="B380" s="12">
        <f>(1-1/(1+'[1]McCulloch data set'!N378/100)^5)/((1/(1+'[1]McCulloch data set'!J378/100))+1/(1+'[1]McCulloch data set'!K378/100)^2+1/(1+'[1]McCulloch data set'!L378/100)^3+1/(1+'[1]McCulloch data set'!M378/100)^4+1/(1+'[1]McCulloch data set'!N378/100)^5)</f>
        <v>7.5798255108582235E-2</v>
      </c>
      <c r="C380" s="12">
        <f>(1-1/(1+'[1]McCulloch data set'!N378/100)^10)/((1/(1+'[1]McCulloch data set'!J378/100))+1/(1+'[1]McCulloch data set'!K378/100)^2+1/(1+'[1]McCulloch data set'!L378/100)^3+1/(1+'[1]McCulloch data set'!M378/100)^4+1/(1+'[1]McCulloch data set'!N378/100)^5+1/(1+('[1]McCulloch data set'!N378+'[1]McCulloch data set'!O378)/2/100)^6+1/(1+('[1]McCulloch data set'!N378+'[1]McCulloch data set'!O378)/2/100)^7+1/(1+('[1]McCulloch data set'!N378+'[1]McCulloch data set'!O378)/2/100)^8+1/(1+('[1]McCulloch data set'!N378+'[1]McCulloch data set'!O378)/2/100)^9+1/(1+('[1]McCulloch data set'!O378/100)^10))</f>
        <v>7.0716581545389887E-2</v>
      </c>
    </row>
    <row r="381" spans="1:3" ht="13.8" x14ac:dyDescent="0.25">
      <c r="A381" s="4" t="s">
        <v>393</v>
      </c>
      <c r="B381" s="12">
        <f>(1-1/(1+'[1]McCulloch data set'!N379/100)^5)/((1/(1+'[1]McCulloch data set'!J379/100))+1/(1+'[1]McCulloch data set'!K379/100)^2+1/(1+'[1]McCulloch data set'!L379/100)^3+1/(1+'[1]McCulloch data set'!M379/100)^4+1/(1+'[1]McCulloch data set'!N379/100)^5)</f>
        <v>7.7286831013285012E-2</v>
      </c>
      <c r="C381" s="12">
        <f>(1-1/(1+'[1]McCulloch data set'!N379/100)^10)/((1/(1+'[1]McCulloch data set'!J379/100))+1/(1+'[1]McCulloch data set'!K379/100)^2+1/(1+'[1]McCulloch data set'!L379/100)^3+1/(1+'[1]McCulloch data set'!M379/100)^4+1/(1+'[1]McCulloch data set'!N379/100)^5+1/(1+('[1]McCulloch data set'!N379+'[1]McCulloch data set'!O379)/2/100)^6+1/(1+('[1]McCulloch data set'!N379+'[1]McCulloch data set'!O379)/2/100)^7+1/(1+('[1]McCulloch data set'!N379+'[1]McCulloch data set'!O379)/2/100)^8+1/(1+('[1]McCulloch data set'!N379+'[1]McCulloch data set'!O379)/2/100)^9+1/(1+('[1]McCulloch data set'!O379/100)^10))</f>
        <v>7.1975243646348039E-2</v>
      </c>
    </row>
    <row r="382" spans="1:3" ht="13.8" x14ac:dyDescent="0.25">
      <c r="A382" s="4" t="s">
        <v>394</v>
      </c>
      <c r="B382" s="12">
        <f>(1-1/(1+'[1]McCulloch data set'!N380/100)^5)/((1/(1+'[1]McCulloch data set'!J380/100))+1/(1+'[1]McCulloch data set'!K380/100)^2+1/(1+'[1]McCulloch data set'!L380/100)^3+1/(1+'[1]McCulloch data set'!M380/100)^4+1/(1+'[1]McCulloch data set'!N380/100)^5)</f>
        <v>7.8219395328818594E-2</v>
      </c>
      <c r="C382" s="12">
        <f>(1-1/(1+'[1]McCulloch data set'!N380/100)^10)/((1/(1+'[1]McCulloch data set'!J380/100))+1/(1+'[1]McCulloch data set'!K380/100)^2+1/(1+'[1]McCulloch data set'!L380/100)^3+1/(1+'[1]McCulloch data set'!M380/100)^4+1/(1+'[1]McCulloch data set'!N380/100)^5+1/(1+('[1]McCulloch data set'!N380+'[1]McCulloch data set'!O380)/2/100)^6+1/(1+('[1]McCulloch data set'!N380+'[1]McCulloch data set'!O380)/2/100)^7+1/(1+('[1]McCulloch data set'!N380+'[1]McCulloch data set'!O380)/2/100)^8+1/(1+('[1]McCulloch data set'!N380+'[1]McCulloch data set'!O380)/2/100)^9+1/(1+('[1]McCulloch data set'!O380/100)^10))</f>
        <v>7.2774969484663846E-2</v>
      </c>
    </row>
    <row r="383" spans="1:3" ht="13.8" x14ac:dyDescent="0.25">
      <c r="A383" s="4" t="s">
        <v>395</v>
      </c>
      <c r="B383" s="12">
        <f>(1-1/(1+'[1]McCulloch data set'!N381/100)^5)/((1/(1+'[1]McCulloch data set'!J381/100))+1/(1+'[1]McCulloch data set'!K381/100)^2+1/(1+'[1]McCulloch data set'!L381/100)^3+1/(1+'[1]McCulloch data set'!M381/100)^4+1/(1+'[1]McCulloch data set'!N381/100)^5)</f>
        <v>7.9111988987736054E-2</v>
      </c>
      <c r="C383" s="12">
        <f>(1-1/(1+'[1]McCulloch data set'!N381/100)^10)/((1/(1+'[1]McCulloch data set'!J381/100))+1/(1+'[1]McCulloch data set'!K381/100)^2+1/(1+'[1]McCulloch data set'!L381/100)^3+1/(1+'[1]McCulloch data set'!M381/100)^4+1/(1+'[1]McCulloch data set'!N381/100)^5+1/(1+('[1]McCulloch data set'!N381+'[1]McCulloch data set'!O381)/2/100)^6+1/(1+('[1]McCulloch data set'!N381+'[1]McCulloch data set'!O381)/2/100)^7+1/(1+('[1]McCulloch data set'!N381+'[1]McCulloch data set'!O381)/2/100)^8+1/(1+('[1]McCulloch data set'!N381+'[1]McCulloch data set'!O381)/2/100)^9+1/(1+('[1]McCulloch data set'!O381/100)^10))</f>
        <v>7.3510560213142326E-2</v>
      </c>
    </row>
    <row r="384" spans="1:3" ht="13.8" x14ac:dyDescent="0.25">
      <c r="A384" s="4" t="s">
        <v>396</v>
      </c>
      <c r="B384" s="12">
        <f>(1-1/(1+'[1]McCulloch data set'!N382/100)^5)/((1/(1+'[1]McCulloch data set'!J382/100))+1/(1+'[1]McCulloch data set'!K382/100)^2+1/(1+'[1]McCulloch data set'!L382/100)^3+1/(1+'[1]McCulloch data set'!M382/100)^4+1/(1+'[1]McCulloch data set'!N382/100)^5)</f>
        <v>8.110244096292446E-2</v>
      </c>
      <c r="C384" s="12">
        <f>(1-1/(1+'[1]McCulloch data set'!N382/100)^10)/((1/(1+'[1]McCulloch data set'!J382/100))+1/(1+'[1]McCulloch data set'!K382/100)^2+1/(1+'[1]McCulloch data set'!L382/100)^3+1/(1+'[1]McCulloch data set'!M382/100)^4+1/(1+'[1]McCulloch data set'!N382/100)^5+1/(1+('[1]McCulloch data set'!N382+'[1]McCulloch data set'!O382)/2/100)^6+1/(1+('[1]McCulloch data set'!N382+'[1]McCulloch data set'!O382)/2/100)^7+1/(1+('[1]McCulloch data set'!N382+'[1]McCulloch data set'!O382)/2/100)^8+1/(1+('[1]McCulloch data set'!N382+'[1]McCulloch data set'!O382)/2/100)^9+1/(1+('[1]McCulloch data set'!O382/100)^10))</f>
        <v>7.5197534741192604E-2</v>
      </c>
    </row>
    <row r="385" spans="1:3" ht="13.8" x14ac:dyDescent="0.25">
      <c r="A385" s="4" t="s">
        <v>397</v>
      </c>
      <c r="B385" s="12">
        <f>(1-1/(1+'[1]McCulloch data set'!N383/100)^5)/((1/(1+'[1]McCulloch data set'!J383/100))+1/(1+'[1]McCulloch data set'!K383/100)^2+1/(1+'[1]McCulloch data set'!L383/100)^3+1/(1+'[1]McCulloch data set'!M383/100)^4+1/(1+'[1]McCulloch data set'!N383/100)^5)</f>
        <v>8.3093042210935483E-2</v>
      </c>
      <c r="C385" s="12">
        <f>(1-1/(1+'[1]McCulloch data set'!N383/100)^10)/((1/(1+'[1]McCulloch data set'!J383/100))+1/(1+'[1]McCulloch data set'!K383/100)^2+1/(1+'[1]McCulloch data set'!L383/100)^3+1/(1+'[1]McCulloch data set'!M383/100)^4+1/(1+'[1]McCulloch data set'!N383/100)^5+1/(1+('[1]McCulloch data set'!N383+'[1]McCulloch data set'!O383)/2/100)^6+1/(1+('[1]McCulloch data set'!N383+'[1]McCulloch data set'!O383)/2/100)^7+1/(1+('[1]McCulloch data set'!N383+'[1]McCulloch data set'!O383)/2/100)^8+1/(1+('[1]McCulloch data set'!N383+'[1]McCulloch data set'!O383)/2/100)^9+1/(1+('[1]McCulloch data set'!O383/100)^10))</f>
        <v>7.6833501875557847E-2</v>
      </c>
    </row>
    <row r="386" spans="1:3" ht="13.8" x14ac:dyDescent="0.25">
      <c r="A386" s="4" t="s">
        <v>398</v>
      </c>
      <c r="B386" s="12">
        <f>(1-1/(1+'[1]McCulloch data set'!N384/100)^5)/((1/(1+'[1]McCulloch data set'!J384/100))+1/(1+'[1]McCulloch data set'!K384/100)^2+1/(1+'[1]McCulloch data set'!L384/100)^3+1/(1+'[1]McCulloch data set'!M384/100)^4+1/(1+'[1]McCulloch data set'!N384/100)^5)</f>
        <v>8.286843132665371E-2</v>
      </c>
      <c r="C386" s="12">
        <f>(1-1/(1+'[1]McCulloch data set'!N384/100)^10)/((1/(1+'[1]McCulloch data set'!J384/100))+1/(1+'[1]McCulloch data set'!K384/100)^2+1/(1+'[1]McCulloch data set'!L384/100)^3+1/(1+'[1]McCulloch data set'!M384/100)^4+1/(1+'[1]McCulloch data set'!N384/100)^5+1/(1+('[1]McCulloch data set'!N384+'[1]McCulloch data set'!O384)/2/100)^6+1/(1+('[1]McCulloch data set'!N384+'[1]McCulloch data set'!O384)/2/100)^7+1/(1+('[1]McCulloch data set'!N384+'[1]McCulloch data set'!O384)/2/100)^8+1/(1+('[1]McCulloch data set'!N384+'[1]McCulloch data set'!O384)/2/100)^9+1/(1+('[1]McCulloch data set'!O384/100)^10))</f>
        <v>7.6618080617694651E-2</v>
      </c>
    </row>
    <row r="387" spans="1:3" ht="13.8" x14ac:dyDescent="0.25">
      <c r="A387" s="4" t="s">
        <v>399</v>
      </c>
      <c r="B387" s="12">
        <f>(1-1/(1+'[1]McCulloch data set'!N385/100)^5)/((1/(1+'[1]McCulloch data set'!J385/100))+1/(1+'[1]McCulloch data set'!K385/100)^2+1/(1+'[1]McCulloch data set'!L385/100)^3+1/(1+'[1]McCulloch data set'!M385/100)^4+1/(1+'[1]McCulloch data set'!N385/100)^5)</f>
        <v>8.2056316459410528E-2</v>
      </c>
      <c r="C387" s="12">
        <f>(1-1/(1+'[1]McCulloch data set'!N385/100)^10)/((1/(1+'[1]McCulloch data set'!J385/100))+1/(1+'[1]McCulloch data set'!K385/100)^2+1/(1+'[1]McCulloch data set'!L385/100)^3+1/(1+'[1]McCulloch data set'!M385/100)^4+1/(1+'[1]McCulloch data set'!N385/100)^5+1/(1+('[1]McCulloch data set'!N385+'[1]McCulloch data set'!O385)/2/100)^6+1/(1+('[1]McCulloch data set'!N385+'[1]McCulloch data set'!O385)/2/100)^7+1/(1+('[1]McCulloch data set'!N385+'[1]McCulloch data set'!O385)/2/100)^8+1/(1+('[1]McCulloch data set'!N385+'[1]McCulloch data set'!O385)/2/100)^9+1/(1+('[1]McCulloch data set'!O385/100)^10))</f>
        <v>7.5814303925766477E-2</v>
      </c>
    </row>
    <row r="388" spans="1:3" ht="13.8" x14ac:dyDescent="0.25">
      <c r="A388" s="4" t="s">
        <v>400</v>
      </c>
      <c r="B388" s="12">
        <f>(1-1/(1+'[1]McCulloch data set'!N386/100)^5)/((1/(1+'[1]McCulloch data set'!J386/100))+1/(1+'[1]McCulloch data set'!K386/100)^2+1/(1+'[1]McCulloch data set'!L386/100)^3+1/(1+'[1]McCulloch data set'!M386/100)^4+1/(1+'[1]McCulloch data set'!N386/100)^5)</f>
        <v>8.3011861142069113E-2</v>
      </c>
      <c r="C388" s="12">
        <f>(1-1/(1+'[1]McCulloch data set'!N386/100)^10)/((1/(1+'[1]McCulloch data set'!J386/100))+1/(1+'[1]McCulloch data set'!K386/100)^2+1/(1+'[1]McCulloch data set'!L386/100)^3+1/(1+'[1]McCulloch data set'!M386/100)^4+1/(1+'[1]McCulloch data set'!N386/100)^5+1/(1+('[1]McCulloch data set'!N386+'[1]McCulloch data set'!O386)/2/100)^6+1/(1+('[1]McCulloch data set'!N386+'[1]McCulloch data set'!O386)/2/100)^7+1/(1+('[1]McCulloch data set'!N386+'[1]McCulloch data set'!O386)/2/100)^8+1/(1+('[1]McCulloch data set'!N386+'[1]McCulloch data set'!O386)/2/100)^9+1/(1+('[1]McCulloch data set'!O386/100)^10))</f>
        <v>7.6723591902520497E-2</v>
      </c>
    </row>
    <row r="389" spans="1:3" ht="13.8" x14ac:dyDescent="0.25">
      <c r="A389" s="4" t="s">
        <v>401</v>
      </c>
      <c r="B389" s="12">
        <f>(1-1/(1+'[1]McCulloch data set'!N387/100)^5)/((1/(1+'[1]McCulloch data set'!J387/100))+1/(1+'[1]McCulloch data set'!K387/100)^2+1/(1+'[1]McCulloch data set'!L387/100)^3+1/(1+'[1]McCulloch data set'!M387/100)^4+1/(1+'[1]McCulloch data set'!N387/100)^5)</f>
        <v>8.8780803513772641E-2</v>
      </c>
      <c r="C389" s="12">
        <f>(1-1/(1+'[1]McCulloch data set'!N387/100)^10)/((1/(1+'[1]McCulloch data set'!J387/100))+1/(1+'[1]McCulloch data set'!K387/100)^2+1/(1+'[1]McCulloch data set'!L387/100)^3+1/(1+'[1]McCulloch data set'!M387/100)^4+1/(1+'[1]McCulloch data set'!N387/100)^5+1/(1+('[1]McCulloch data set'!N387+'[1]McCulloch data set'!O387)/2/100)^6+1/(1+('[1]McCulloch data set'!N387+'[1]McCulloch data set'!O387)/2/100)^7+1/(1+('[1]McCulloch data set'!N387+'[1]McCulloch data set'!O387)/2/100)^8+1/(1+('[1]McCulloch data set'!N387+'[1]McCulloch data set'!O387)/2/100)^9+1/(1+('[1]McCulloch data set'!O387/100)^10))</f>
        <v>8.123748409293885E-2</v>
      </c>
    </row>
    <row r="390" spans="1:3" ht="13.8" x14ac:dyDescent="0.25">
      <c r="A390" s="4" t="s">
        <v>402</v>
      </c>
      <c r="B390" s="12">
        <f>(1-1/(1+'[1]McCulloch data set'!N388/100)^5)/((1/(1+'[1]McCulloch data set'!J388/100))+1/(1+'[1]McCulloch data set'!K388/100)^2+1/(1+'[1]McCulloch data set'!L388/100)^3+1/(1+'[1]McCulloch data set'!M388/100)^4+1/(1+'[1]McCulloch data set'!N388/100)^5)</f>
        <v>8.6860074612971697E-2</v>
      </c>
      <c r="C390" s="12">
        <f>(1-1/(1+'[1]McCulloch data set'!N388/100)^10)/((1/(1+'[1]McCulloch data set'!J388/100))+1/(1+'[1]McCulloch data set'!K388/100)^2+1/(1+'[1]McCulloch data set'!L388/100)^3+1/(1+'[1]McCulloch data set'!M388/100)^4+1/(1+'[1]McCulloch data set'!N388/100)^5+1/(1+('[1]McCulloch data set'!N388+'[1]McCulloch data set'!O388)/2/100)^6+1/(1+('[1]McCulloch data set'!N388+'[1]McCulloch data set'!O388)/2/100)^7+1/(1+('[1]McCulloch data set'!N388+'[1]McCulloch data set'!O388)/2/100)^8+1/(1+('[1]McCulloch data set'!N388+'[1]McCulloch data set'!O388)/2/100)^9+1/(1+('[1]McCulloch data set'!O388/100)^10))</f>
        <v>7.9720589518656626E-2</v>
      </c>
    </row>
    <row r="391" spans="1:3" ht="13.8" x14ac:dyDescent="0.25">
      <c r="A391" s="4" t="s">
        <v>403</v>
      </c>
      <c r="B391" s="12">
        <f>(1-1/(1+'[1]McCulloch data set'!N389/100)^5)/((1/(1+'[1]McCulloch data set'!J389/100))+1/(1+'[1]McCulloch data set'!K389/100)^2+1/(1+'[1]McCulloch data set'!L389/100)^3+1/(1+'[1]McCulloch data set'!M389/100)^4+1/(1+'[1]McCulloch data set'!N389/100)^5)</f>
        <v>9.0841083821397647E-2</v>
      </c>
      <c r="C391" s="12">
        <f>(1-1/(1+'[1]McCulloch data set'!N389/100)^10)/((1/(1+'[1]McCulloch data set'!J389/100))+1/(1+'[1]McCulloch data set'!K389/100)^2+1/(1+'[1]McCulloch data set'!L389/100)^3+1/(1+'[1]McCulloch data set'!M389/100)^4+1/(1+'[1]McCulloch data set'!N389/100)^5+1/(1+('[1]McCulloch data set'!N389+'[1]McCulloch data set'!O389)/2/100)^6+1/(1+('[1]McCulloch data set'!N389+'[1]McCulloch data set'!O389)/2/100)^7+1/(1+('[1]McCulloch data set'!N389+'[1]McCulloch data set'!O389)/2/100)^8+1/(1+('[1]McCulloch data set'!N389+'[1]McCulloch data set'!O389)/2/100)^9+1/(1+('[1]McCulloch data set'!O389/100)^10))</f>
        <v>8.290181223033169E-2</v>
      </c>
    </row>
    <row r="392" spans="1:3" ht="13.8" x14ac:dyDescent="0.25">
      <c r="A392" s="4" t="s">
        <v>404</v>
      </c>
      <c r="B392" s="12">
        <f>(1-1/(1+'[1]McCulloch data set'!N390/100)^5)/((1/(1+'[1]McCulloch data set'!J390/100))+1/(1+'[1]McCulloch data set'!K390/100)^2+1/(1+'[1]McCulloch data set'!L390/100)^3+1/(1+'[1]McCulloch data set'!M390/100)^4+1/(1+'[1]McCulloch data set'!N390/100)^5)</f>
        <v>8.7241859072961128E-2</v>
      </c>
      <c r="C392" s="12">
        <f>(1-1/(1+'[1]McCulloch data set'!N390/100)^10)/((1/(1+'[1]McCulloch data set'!J390/100))+1/(1+'[1]McCulloch data set'!K390/100)^2+1/(1+'[1]McCulloch data set'!L390/100)^3+1/(1+'[1]McCulloch data set'!M390/100)^4+1/(1+'[1]McCulloch data set'!N390/100)^5+1/(1+('[1]McCulloch data set'!N390+'[1]McCulloch data set'!O390)/2/100)^6+1/(1+('[1]McCulloch data set'!N390+'[1]McCulloch data set'!O390)/2/100)^7+1/(1+('[1]McCulloch data set'!N390+'[1]McCulloch data set'!O390)/2/100)^8+1/(1+('[1]McCulloch data set'!N390+'[1]McCulloch data set'!O390)/2/100)^9+1/(1+('[1]McCulloch data set'!O390/100)^10))</f>
        <v>8.010007326721931E-2</v>
      </c>
    </row>
    <row r="393" spans="1:3" ht="13.8" x14ac:dyDescent="0.25">
      <c r="A393" s="4" t="s">
        <v>405</v>
      </c>
      <c r="B393" s="12">
        <f>(1-1/(1+'[1]McCulloch data set'!N391/100)^5)/((1/(1+'[1]McCulloch data set'!J391/100))+1/(1+'[1]McCulloch data set'!K391/100)^2+1/(1+'[1]McCulloch data set'!L391/100)^3+1/(1+'[1]McCulloch data set'!M391/100)^4+1/(1+'[1]McCulloch data set'!N391/100)^5)</f>
        <v>8.9579079389833505E-2</v>
      </c>
      <c r="C393" s="12">
        <f>(1-1/(1+'[1]McCulloch data set'!N391/100)^10)/((1/(1+'[1]McCulloch data set'!J391/100))+1/(1+'[1]McCulloch data set'!K391/100)^2+1/(1+'[1]McCulloch data set'!L391/100)^3+1/(1+'[1]McCulloch data set'!M391/100)^4+1/(1+'[1]McCulloch data set'!N391/100)^5+1/(1+('[1]McCulloch data set'!N391+'[1]McCulloch data set'!O391)/2/100)^6+1/(1+('[1]McCulloch data set'!N391+'[1]McCulloch data set'!O391)/2/100)^7+1/(1+('[1]McCulloch data set'!N391+'[1]McCulloch data set'!O391)/2/100)^8+1/(1+('[1]McCulloch data set'!N391+'[1]McCulloch data set'!O391)/2/100)^9+1/(1+('[1]McCulloch data set'!O391/100)^10))</f>
        <v>8.2054785639062169E-2</v>
      </c>
    </row>
    <row r="394" spans="1:3" ht="13.8" x14ac:dyDescent="0.25">
      <c r="A394" s="4" t="s">
        <v>406</v>
      </c>
      <c r="B394" s="12">
        <f>(1-1/(1+'[1]McCulloch data set'!N392/100)^5)/((1/(1+'[1]McCulloch data set'!J392/100))+1/(1+'[1]McCulloch data set'!K392/100)^2+1/(1+'[1]McCulloch data set'!L392/100)^3+1/(1+'[1]McCulloch data set'!M392/100)^4+1/(1+'[1]McCulloch data set'!N392/100)^5)</f>
        <v>8.9416028348127757E-2</v>
      </c>
      <c r="C394" s="12">
        <f>(1-1/(1+'[1]McCulloch data set'!N392/100)^10)/((1/(1+'[1]McCulloch data set'!J392/100))+1/(1+'[1]McCulloch data set'!K392/100)^2+1/(1+'[1]McCulloch data set'!L392/100)^3+1/(1+'[1]McCulloch data set'!M392/100)^4+1/(1+'[1]McCulloch data set'!N392/100)^5+1/(1+('[1]McCulloch data set'!N392+'[1]McCulloch data set'!O392)/2/100)^6+1/(1+('[1]McCulloch data set'!N392+'[1]McCulloch data set'!O392)/2/100)^7+1/(1+('[1]McCulloch data set'!N392+'[1]McCulloch data set'!O392)/2/100)^8+1/(1+('[1]McCulloch data set'!N392+'[1]McCulloch data set'!O392)/2/100)^9+1/(1+('[1]McCulloch data set'!O392/100)^10))</f>
        <v>8.1913022238373004E-2</v>
      </c>
    </row>
    <row r="395" spans="1:3" ht="13.8" x14ac:dyDescent="0.25">
      <c r="A395" s="4" t="s">
        <v>407</v>
      </c>
      <c r="B395" s="12">
        <f>(1-1/(1+'[1]McCulloch data set'!N393/100)^5)/((1/(1+'[1]McCulloch data set'!J393/100))+1/(1+'[1]McCulloch data set'!K393/100)^2+1/(1+'[1]McCulloch data set'!L393/100)^3+1/(1+'[1]McCulloch data set'!M393/100)^4+1/(1+'[1]McCulloch data set'!N393/100)^5)</f>
        <v>9.1239916960102307E-2</v>
      </c>
      <c r="C395" s="12">
        <f>(1-1/(1+'[1]McCulloch data set'!N393/100)^10)/((1/(1+'[1]McCulloch data set'!J393/100))+1/(1+'[1]McCulloch data set'!K393/100)^2+1/(1+'[1]McCulloch data set'!L393/100)^3+1/(1+'[1]McCulloch data set'!M393/100)^4+1/(1+'[1]McCulloch data set'!N393/100)^5+1/(1+('[1]McCulloch data set'!N393+'[1]McCulloch data set'!O393)/2/100)^6+1/(1+('[1]McCulloch data set'!N393+'[1]McCulloch data set'!O393)/2/100)^7+1/(1+('[1]McCulloch data set'!N393+'[1]McCulloch data set'!O393)/2/100)^8+1/(1+('[1]McCulloch data set'!N393+'[1]McCulloch data set'!O393)/2/100)^9+1/(1+('[1]McCulloch data set'!O393/100)^10))</f>
        <v>8.3499623490883385E-2</v>
      </c>
    </row>
    <row r="396" spans="1:3" ht="13.8" x14ac:dyDescent="0.25">
      <c r="A396" s="4" t="s">
        <v>408</v>
      </c>
      <c r="B396" s="12">
        <f>(1-1/(1+'[1]McCulloch data set'!N394/100)^5)/((1/(1+'[1]McCulloch data set'!J394/100))+1/(1+'[1]McCulloch data set'!K394/100)^2+1/(1+'[1]McCulloch data set'!L394/100)^3+1/(1+'[1]McCulloch data set'!M394/100)^4+1/(1+'[1]McCulloch data set'!N394/100)^5)</f>
        <v>8.801541717182329E-2</v>
      </c>
      <c r="C396" s="12">
        <f>(1-1/(1+'[1]McCulloch data set'!N394/100)^10)/((1/(1+'[1]McCulloch data set'!J394/100))+1/(1+'[1]McCulloch data set'!K394/100)^2+1/(1+'[1]McCulloch data set'!L394/100)^3+1/(1+'[1]McCulloch data set'!M394/100)^4+1/(1+'[1]McCulloch data set'!N394/100)^5+1/(1+('[1]McCulloch data set'!N394+'[1]McCulloch data set'!O394)/2/100)^6+1/(1+('[1]McCulloch data set'!N394+'[1]McCulloch data set'!O394)/2/100)^7+1/(1+('[1]McCulloch data set'!N394+'[1]McCulloch data set'!O394)/2/100)^8+1/(1+('[1]McCulloch data set'!N394+'[1]McCulloch data set'!O394)/2/100)^9+1/(1+('[1]McCulloch data set'!O394/100)^10))</f>
        <v>8.0847572990655078E-2</v>
      </c>
    </row>
    <row r="397" spans="1:3" ht="13.8" x14ac:dyDescent="0.25">
      <c r="A397" s="4" t="s">
        <v>409</v>
      </c>
      <c r="B397" s="12">
        <f>(1-1/(1+'[1]McCulloch data set'!N395/100)^5)/((1/(1+'[1]McCulloch data set'!J395/100))+1/(1+'[1]McCulloch data set'!K395/100)^2+1/(1+'[1]McCulloch data set'!L395/100)^3+1/(1+'[1]McCulloch data set'!M395/100)^4+1/(1+'[1]McCulloch data set'!N395/100)^5)</f>
        <v>8.5215051922403473E-2</v>
      </c>
      <c r="C397" s="12">
        <f>(1-1/(1+'[1]McCulloch data set'!N395/100)^10)/((1/(1+'[1]McCulloch data set'!J395/100))+1/(1+'[1]McCulloch data set'!K395/100)^2+1/(1+'[1]McCulloch data set'!L395/100)^3+1/(1+'[1]McCulloch data set'!M395/100)^4+1/(1+'[1]McCulloch data set'!N395/100)^5+1/(1+('[1]McCulloch data set'!N395+'[1]McCulloch data set'!O395)/2/100)^6+1/(1+('[1]McCulloch data set'!N395+'[1]McCulloch data set'!O395)/2/100)^7+1/(1+('[1]McCulloch data set'!N395+'[1]McCulloch data set'!O395)/2/100)^8+1/(1+('[1]McCulloch data set'!N395+'[1]McCulloch data set'!O395)/2/100)^9+1/(1+('[1]McCulloch data set'!O395/100)^10))</f>
        <v>7.8557019228592317E-2</v>
      </c>
    </row>
    <row r="398" spans="1:3" ht="13.8" x14ac:dyDescent="0.25">
      <c r="A398" s="4" t="s">
        <v>410</v>
      </c>
      <c r="B398" s="12">
        <f>(1-1/(1+'[1]McCulloch data set'!N396/100)^5)/((1/(1+'[1]McCulloch data set'!J396/100))+1/(1+'[1]McCulloch data set'!K396/100)^2+1/(1+'[1]McCulloch data set'!L396/100)^3+1/(1+'[1]McCulloch data set'!M396/100)^4+1/(1+'[1]McCulloch data set'!N396/100)^5)</f>
        <v>8.7674675574333935E-2</v>
      </c>
      <c r="C398" s="12">
        <f>(1-1/(1+'[1]McCulloch data set'!N396/100)^10)/((1/(1+'[1]McCulloch data set'!J396/100))+1/(1+'[1]McCulloch data set'!K396/100)^2+1/(1+'[1]McCulloch data set'!L396/100)^3+1/(1+'[1]McCulloch data set'!M396/100)^4+1/(1+'[1]McCulloch data set'!N396/100)^5+1/(1+('[1]McCulloch data set'!N396+'[1]McCulloch data set'!O396)/2/100)^6+1/(1+('[1]McCulloch data set'!N396+'[1]McCulloch data set'!O396)/2/100)^7+1/(1+('[1]McCulloch data set'!N396+'[1]McCulloch data set'!O396)/2/100)^8+1/(1+('[1]McCulloch data set'!N396+'[1]McCulloch data set'!O396)/2/100)^9+1/(1+('[1]McCulloch data set'!O396/100)^10))</f>
        <v>8.0581702801714616E-2</v>
      </c>
    </row>
    <row r="399" spans="1:3" ht="13.8" x14ac:dyDescent="0.25">
      <c r="A399" s="4" t="s">
        <v>411</v>
      </c>
      <c r="B399" s="12">
        <f>(1-1/(1+'[1]McCulloch data set'!N397/100)^5)/((1/(1+'[1]McCulloch data set'!J397/100))+1/(1+'[1]McCulloch data set'!K397/100)^2+1/(1+'[1]McCulloch data set'!L397/100)^3+1/(1+'[1]McCulloch data set'!M397/100)^4+1/(1+'[1]McCulloch data set'!N397/100)^5)</f>
        <v>9.1509990778586237E-2</v>
      </c>
      <c r="C399" s="12">
        <f>(1-1/(1+'[1]McCulloch data set'!N397/100)^10)/((1/(1+'[1]McCulloch data set'!J397/100))+1/(1+'[1]McCulloch data set'!K397/100)^2+1/(1+'[1]McCulloch data set'!L397/100)^3+1/(1+'[1]McCulloch data set'!M397/100)^4+1/(1+'[1]McCulloch data set'!N397/100)^5+1/(1+('[1]McCulloch data set'!N397+'[1]McCulloch data set'!O397)/2/100)^6+1/(1+('[1]McCulloch data set'!N397+'[1]McCulloch data set'!O397)/2/100)^7+1/(1+('[1]McCulloch data set'!N397+'[1]McCulloch data set'!O397)/2/100)^8+1/(1+('[1]McCulloch data set'!N397+'[1]McCulloch data set'!O397)/2/100)^9+1/(1+('[1]McCulloch data set'!O397/100)^10))</f>
        <v>8.3575302971134691E-2</v>
      </c>
    </row>
    <row r="400" spans="1:3" ht="13.8" x14ac:dyDescent="0.25">
      <c r="A400" s="4" t="s">
        <v>412</v>
      </c>
      <c r="B400" s="12">
        <f>(1-1/(1+'[1]McCulloch data set'!N398/100)^5)/((1/(1+'[1]McCulloch data set'!J398/100))+1/(1+'[1]McCulloch data set'!K398/100)^2+1/(1+'[1]McCulloch data set'!L398/100)^3+1/(1+'[1]McCulloch data set'!M398/100)^4+1/(1+'[1]McCulloch data set'!N398/100)^5)</f>
        <v>9.2820547724710864E-2</v>
      </c>
      <c r="C400" s="12">
        <f>(1-1/(1+'[1]McCulloch data set'!N398/100)^10)/((1/(1+'[1]McCulloch data set'!J398/100))+1/(1+'[1]McCulloch data set'!K398/100)^2+1/(1+'[1]McCulloch data set'!L398/100)^3+1/(1+'[1]McCulloch data set'!M398/100)^4+1/(1+'[1]McCulloch data set'!N398/100)^5+1/(1+('[1]McCulloch data set'!N398+'[1]McCulloch data set'!O398)/2/100)^6+1/(1+('[1]McCulloch data set'!N398+'[1]McCulloch data set'!O398)/2/100)^7+1/(1+('[1]McCulloch data set'!N398+'[1]McCulloch data set'!O398)/2/100)^8+1/(1+('[1]McCulloch data set'!N398+'[1]McCulloch data set'!O398)/2/100)^9+1/(1+('[1]McCulloch data set'!O398/100)^10))</f>
        <v>8.4680752130802575E-2</v>
      </c>
    </row>
    <row r="401" spans="1:3" ht="13.8" x14ac:dyDescent="0.25">
      <c r="A401" s="4" t="s">
        <v>413</v>
      </c>
      <c r="B401" s="12">
        <f>(1-1/(1+'[1]McCulloch data set'!N399/100)^5)/((1/(1+'[1]McCulloch data set'!J399/100))+1/(1+'[1]McCulloch data set'!K399/100)^2+1/(1+'[1]McCulloch data set'!L399/100)^3+1/(1+'[1]McCulloch data set'!M399/100)^4+1/(1+'[1]McCulloch data set'!N399/100)^5)</f>
        <v>0.10884101246913387</v>
      </c>
      <c r="C401" s="12">
        <f>(1-1/(1+'[1]McCulloch data set'!N399/100)^10)/((1/(1+'[1]McCulloch data set'!J399/100))+1/(1+'[1]McCulloch data set'!K399/100)^2+1/(1+'[1]McCulloch data set'!L399/100)^3+1/(1+'[1]McCulloch data set'!M399/100)^4+1/(1+'[1]McCulloch data set'!N399/100)^5+1/(1+('[1]McCulloch data set'!N399+'[1]McCulloch data set'!O399)/2/100)^6+1/(1+('[1]McCulloch data set'!N399+'[1]McCulloch data set'!O399)/2/100)^7+1/(1+('[1]McCulloch data set'!N399+'[1]McCulloch data set'!O399)/2/100)^8+1/(1+('[1]McCulloch data set'!N399+'[1]McCulloch data set'!O399)/2/100)^9+1/(1+('[1]McCulloch data set'!O399/100)^10))</f>
        <v>9.737774847640876E-2</v>
      </c>
    </row>
    <row r="402" spans="1:3" ht="13.8" x14ac:dyDescent="0.25">
      <c r="A402" s="4" t="s">
        <v>414</v>
      </c>
      <c r="B402" s="12">
        <f>(1-1/(1+'[1]McCulloch data set'!N400/100)^5)/((1/(1+'[1]McCulloch data set'!J400/100))+1/(1+'[1]McCulloch data set'!K400/100)^2+1/(1+'[1]McCulloch data set'!L400/100)^3+1/(1+'[1]McCulloch data set'!M400/100)^4+1/(1+'[1]McCulloch data set'!N400/100)^5)</f>
        <v>0.1026786125068867</v>
      </c>
      <c r="C402" s="12">
        <f>(1-1/(1+'[1]McCulloch data set'!N400/100)^10)/((1/(1+'[1]McCulloch data set'!J400/100))+1/(1+'[1]McCulloch data set'!K400/100)^2+1/(1+'[1]McCulloch data set'!L400/100)^3+1/(1+'[1]McCulloch data set'!M400/100)^4+1/(1+'[1]McCulloch data set'!N400/100)^5+1/(1+('[1]McCulloch data set'!N400+'[1]McCulloch data set'!O400)/2/100)^6+1/(1+('[1]McCulloch data set'!N400+'[1]McCulloch data set'!O400)/2/100)^7+1/(1+('[1]McCulloch data set'!N400+'[1]McCulloch data set'!O400)/2/100)^8+1/(1+('[1]McCulloch data set'!N400+'[1]McCulloch data set'!O400)/2/100)^9+1/(1+('[1]McCulloch data set'!O400/100)^10))</f>
        <v>9.2845213495447415E-2</v>
      </c>
    </row>
    <row r="403" spans="1:3" ht="13.8" x14ac:dyDescent="0.25">
      <c r="A403" s="4" t="s">
        <v>415</v>
      </c>
      <c r="B403" s="12">
        <f>(1-1/(1+'[1]McCulloch data set'!N401/100)^5)/((1/(1+'[1]McCulloch data set'!J401/100))+1/(1+'[1]McCulloch data set'!K401/100)^2+1/(1+'[1]McCulloch data set'!L401/100)^3+1/(1+'[1]McCulloch data set'!M401/100)^4+1/(1+'[1]McCulloch data set'!N401/100)^5)</f>
        <v>0.1011849370114377</v>
      </c>
      <c r="C403" s="12">
        <f>(1-1/(1+'[1]McCulloch data set'!N401/100)^10)/((1/(1+'[1]McCulloch data set'!J401/100))+1/(1+'[1]McCulloch data set'!K401/100)^2+1/(1+'[1]McCulloch data set'!L401/100)^3+1/(1+'[1]McCulloch data set'!M401/100)^4+1/(1+'[1]McCulloch data set'!N401/100)^5+1/(1+('[1]McCulloch data set'!N401+'[1]McCulloch data set'!O401)/2/100)^6+1/(1+('[1]McCulloch data set'!N401+'[1]McCulloch data set'!O401)/2/100)^7+1/(1+('[1]McCulloch data set'!N401+'[1]McCulloch data set'!O401)/2/100)^8+1/(1+('[1]McCulloch data set'!N401+'[1]McCulloch data set'!O401)/2/100)^9+1/(1+('[1]McCulloch data set'!O401/100)^10))</f>
        <v>9.1597418487562213E-2</v>
      </c>
    </row>
    <row r="404" spans="1:3" ht="13.8" x14ac:dyDescent="0.25">
      <c r="A404" s="4" t="s">
        <v>416</v>
      </c>
      <c r="B404" s="12">
        <f>(1-1/(1+'[1]McCulloch data set'!N402/100)^5)/((1/(1+'[1]McCulloch data set'!J402/100))+1/(1+'[1]McCulloch data set'!K402/100)^2+1/(1+'[1]McCulloch data set'!L402/100)^3+1/(1+'[1]McCulloch data set'!M402/100)^4+1/(1+'[1]McCulloch data set'!N402/100)^5)</f>
        <v>0.10780392394919347</v>
      </c>
      <c r="C404" s="12">
        <f>(1-1/(1+'[1]McCulloch data set'!N402/100)^10)/((1/(1+'[1]McCulloch data set'!J402/100))+1/(1+'[1]McCulloch data set'!K402/100)^2+1/(1+'[1]McCulloch data set'!L402/100)^3+1/(1+'[1]McCulloch data set'!M402/100)^4+1/(1+'[1]McCulloch data set'!N402/100)^5+1/(1+('[1]McCulloch data set'!N402+'[1]McCulloch data set'!O402)/2/100)^6+1/(1+('[1]McCulloch data set'!N402+'[1]McCulloch data set'!O402)/2/100)^7+1/(1+('[1]McCulloch data set'!N402+'[1]McCulloch data set'!O402)/2/100)^8+1/(1+('[1]McCulloch data set'!N402+'[1]McCulloch data set'!O402)/2/100)^9+1/(1+('[1]McCulloch data set'!O402/100)^10))</f>
        <v>9.7293491196986243E-2</v>
      </c>
    </row>
    <row r="405" spans="1:3" ht="13.8" x14ac:dyDescent="0.25">
      <c r="A405" s="4" t="s">
        <v>417</v>
      </c>
      <c r="B405" s="12">
        <f>(1-1/(1+'[1]McCulloch data set'!N403/100)^5)/((1/(1+'[1]McCulloch data set'!J403/100))+1/(1+'[1]McCulloch data set'!K403/100)^2+1/(1+'[1]McCulloch data set'!L403/100)^3+1/(1+'[1]McCulloch data set'!M403/100)^4+1/(1+'[1]McCulloch data set'!N403/100)^5)</f>
        <v>0.13118359281254</v>
      </c>
      <c r="C405" s="12">
        <f>(1-1/(1+'[1]McCulloch data set'!N403/100)^10)/((1/(1+'[1]McCulloch data set'!J403/100))+1/(1+'[1]McCulloch data set'!K403/100)^2+1/(1+'[1]McCulloch data set'!L403/100)^3+1/(1+'[1]McCulloch data set'!M403/100)^4+1/(1+'[1]McCulloch data set'!N403/100)^5+1/(1+('[1]McCulloch data set'!N403+'[1]McCulloch data set'!O403)/2/100)^6+1/(1+('[1]McCulloch data set'!N403+'[1]McCulloch data set'!O403)/2/100)^7+1/(1+('[1]McCulloch data set'!N403+'[1]McCulloch data set'!O403)/2/100)^8+1/(1+('[1]McCulloch data set'!N403+'[1]McCulloch data set'!O403)/2/100)^9+1/(1+('[1]McCulloch data set'!O403/100)^10))</f>
        <v>0.11475493391518163</v>
      </c>
    </row>
    <row r="406" spans="1:3" ht="13.8" x14ac:dyDescent="0.25">
      <c r="A406" s="4" t="s">
        <v>418</v>
      </c>
      <c r="B406" s="12">
        <f>(1-1/(1+'[1]McCulloch data set'!N404/100)^5)/((1/(1+'[1]McCulloch data set'!J404/100))+1/(1+'[1]McCulloch data set'!K404/100)^2+1/(1+'[1]McCulloch data set'!L404/100)^3+1/(1+'[1]McCulloch data set'!M404/100)^4+1/(1+'[1]McCulloch data set'!N404/100)^5)</f>
        <v>0.12628150774844424</v>
      </c>
      <c r="C406" s="12">
        <f>(1-1/(1+'[1]McCulloch data set'!N404/100)^10)/((1/(1+'[1]McCulloch data set'!J404/100))+1/(1+'[1]McCulloch data set'!K404/100)^2+1/(1+'[1]McCulloch data set'!L404/100)^3+1/(1+'[1]McCulloch data set'!M404/100)^4+1/(1+'[1]McCulloch data set'!N404/100)^5+1/(1+('[1]McCulloch data set'!N404+'[1]McCulloch data set'!O404)/2/100)^6+1/(1+('[1]McCulloch data set'!N404+'[1]McCulloch data set'!O404)/2/100)^7+1/(1+('[1]McCulloch data set'!N404+'[1]McCulloch data set'!O404)/2/100)^8+1/(1+('[1]McCulloch data set'!N404+'[1]McCulloch data set'!O404)/2/100)^9+1/(1+('[1]McCulloch data set'!O404/100)^10))</f>
        <v>0.11105426030057576</v>
      </c>
    </row>
    <row r="407" spans="1:3" ht="13.8" x14ac:dyDescent="0.25">
      <c r="A407" s="4" t="s">
        <v>419</v>
      </c>
      <c r="B407" s="12">
        <f>(1-1/(1+'[1]McCulloch data set'!N405/100)^5)/((1/(1+'[1]McCulloch data set'!J405/100))+1/(1+'[1]McCulloch data set'!K405/100)^2+1/(1+'[1]McCulloch data set'!L405/100)^3+1/(1+'[1]McCulloch data set'!M405/100)^4+1/(1+'[1]McCulloch data set'!N405/100)^5)</f>
        <v>0.10448215449843354</v>
      </c>
      <c r="C407" s="12">
        <f>(1-1/(1+'[1]McCulloch data set'!N405/100)^10)/((1/(1+'[1]McCulloch data set'!J405/100))+1/(1+'[1]McCulloch data set'!K405/100)^2+1/(1+'[1]McCulloch data set'!L405/100)^3+1/(1+'[1]McCulloch data set'!M405/100)^4+1/(1+'[1]McCulloch data set'!N405/100)^5+1/(1+('[1]McCulloch data set'!N405+'[1]McCulloch data set'!O405)/2/100)^6+1/(1+('[1]McCulloch data set'!N405+'[1]McCulloch data set'!O405)/2/100)^7+1/(1+('[1]McCulloch data set'!N405+'[1]McCulloch data set'!O405)/2/100)^8+1/(1+('[1]McCulloch data set'!N405+'[1]McCulloch data set'!O405)/2/100)^9+1/(1+('[1]McCulloch data set'!O405/100)^10))</f>
        <v>9.481699106262928E-2</v>
      </c>
    </row>
    <row r="408" spans="1:3" ht="13.8" x14ac:dyDescent="0.25">
      <c r="A408" s="4" t="s">
        <v>420</v>
      </c>
      <c r="B408" s="12">
        <f>(1-1/(1+'[1]McCulloch data set'!N406/100)^5)/((1/(1+'[1]McCulloch data set'!J406/100))+1/(1+'[1]McCulloch data set'!K406/100)^2+1/(1+'[1]McCulloch data set'!L406/100)^3+1/(1+'[1]McCulloch data set'!M406/100)^4+1/(1+'[1]McCulloch data set'!N406/100)^5)</f>
        <v>9.6096837444265434E-2</v>
      </c>
      <c r="C408" s="12">
        <f>(1-1/(1+'[1]McCulloch data set'!N406/100)^10)/((1/(1+'[1]McCulloch data set'!J406/100))+1/(1+'[1]McCulloch data set'!K406/100)^2+1/(1+'[1]McCulloch data set'!L406/100)^3+1/(1+'[1]McCulloch data set'!M406/100)^4+1/(1+'[1]McCulloch data set'!N406/100)^5+1/(1+('[1]McCulloch data set'!N406+'[1]McCulloch data set'!O406)/2/100)^6+1/(1+('[1]McCulloch data set'!N406+'[1]McCulloch data set'!O406)/2/100)^7+1/(1+('[1]McCulloch data set'!N406+'[1]McCulloch data set'!O406)/2/100)^8+1/(1+('[1]McCulloch data set'!N406+'[1]McCulloch data set'!O406)/2/100)^9+1/(1+('[1]McCulloch data set'!O406/100)^10))</f>
        <v>8.8400077708963284E-2</v>
      </c>
    </row>
    <row r="409" spans="1:3" ht="13.8" x14ac:dyDescent="0.25">
      <c r="A409" s="4" t="s">
        <v>421</v>
      </c>
      <c r="B409" s="12">
        <f>(1-1/(1+'[1]McCulloch data set'!N407/100)^5)/((1/(1+'[1]McCulloch data set'!J407/100))+1/(1+'[1]McCulloch data set'!K407/100)^2+1/(1+'[1]McCulloch data set'!L407/100)^3+1/(1+'[1]McCulloch data set'!M407/100)^4+1/(1+'[1]McCulloch data set'!N407/100)^5)</f>
        <v>9.3553003351728378E-2</v>
      </c>
      <c r="C409" s="12">
        <f>(1-1/(1+'[1]McCulloch data set'!N407/100)^10)/((1/(1+'[1]McCulloch data set'!J407/100))+1/(1+'[1]McCulloch data set'!K407/100)^2+1/(1+'[1]McCulloch data set'!L407/100)^3+1/(1+'[1]McCulloch data set'!M407/100)^4+1/(1+'[1]McCulloch data set'!N407/100)^5+1/(1+('[1]McCulloch data set'!N407+'[1]McCulloch data set'!O407)/2/100)^6+1/(1+('[1]McCulloch data set'!N407+'[1]McCulloch data set'!O407)/2/100)^7+1/(1+('[1]McCulloch data set'!N407+'[1]McCulloch data set'!O407)/2/100)^8+1/(1+('[1]McCulloch data set'!N407+'[1]McCulloch data set'!O407)/2/100)^9+1/(1+('[1]McCulloch data set'!O407/100)^10))</f>
        <v>8.62700189066231E-2</v>
      </c>
    </row>
    <row r="410" spans="1:3" ht="13.8" x14ac:dyDescent="0.25">
      <c r="A410" s="4" t="s">
        <v>422</v>
      </c>
      <c r="B410" s="12">
        <f>(1-1/(1+'[1]McCulloch data set'!N408/100)^5)/((1/(1+'[1]McCulloch data set'!J408/100))+1/(1+'[1]McCulloch data set'!K408/100)^2+1/(1+'[1]McCulloch data set'!L408/100)^3+1/(1+'[1]McCulloch data set'!M408/100)^4+1/(1+'[1]McCulloch data set'!N408/100)^5)</f>
        <v>0.10041051779833285</v>
      </c>
      <c r="C410" s="12">
        <f>(1-1/(1+'[1]McCulloch data set'!N408/100)^10)/((1/(1+'[1]McCulloch data set'!J408/100))+1/(1+'[1]McCulloch data set'!K408/100)^2+1/(1+'[1]McCulloch data set'!L408/100)^3+1/(1+'[1]McCulloch data set'!M408/100)^4+1/(1+'[1]McCulloch data set'!N408/100)^5+1/(1+('[1]McCulloch data set'!N408+'[1]McCulloch data set'!O408)/2/100)^6+1/(1+('[1]McCulloch data set'!N408+'[1]McCulloch data set'!O408)/2/100)^7+1/(1+('[1]McCulloch data set'!N408+'[1]McCulloch data set'!O408)/2/100)^8+1/(1+('[1]McCulloch data set'!N408+'[1]McCulloch data set'!O408)/2/100)^9+1/(1+('[1]McCulloch data set'!O408/100)^10))</f>
        <v>9.1984390619434142E-2</v>
      </c>
    </row>
    <row r="411" spans="1:3" ht="13.8" x14ac:dyDescent="0.25">
      <c r="A411" s="4" t="s">
        <v>423</v>
      </c>
      <c r="B411" s="12">
        <f>(1-1/(1+'[1]McCulloch data set'!N409/100)^5)/((1/(1+'[1]McCulloch data set'!J409/100))+1/(1+'[1]McCulloch data set'!K409/100)^2+1/(1+'[1]McCulloch data set'!L409/100)^3+1/(1+'[1]McCulloch data set'!M409/100)^4+1/(1+'[1]McCulloch data set'!N409/100)^5)</f>
        <v>0.11444939190891655</v>
      </c>
      <c r="C411" s="12">
        <f>(1-1/(1+'[1]McCulloch data set'!N409/100)^10)/((1/(1+'[1]McCulloch data set'!J409/100))+1/(1+'[1]McCulloch data set'!K409/100)^2+1/(1+'[1]McCulloch data set'!L409/100)^3+1/(1+'[1]McCulloch data set'!M409/100)^4+1/(1+'[1]McCulloch data set'!N409/100)^5+1/(1+('[1]McCulloch data set'!N409+'[1]McCulloch data set'!O409)/2/100)^6+1/(1+('[1]McCulloch data set'!N409+'[1]McCulloch data set'!O409)/2/100)^7+1/(1+('[1]McCulloch data set'!N409+'[1]McCulloch data set'!O409)/2/100)^8+1/(1+('[1]McCulloch data set'!N409+'[1]McCulloch data set'!O409)/2/100)^9+1/(1+('[1]McCulloch data set'!O409/100)^10))</f>
        <v>0.10253562601602609</v>
      </c>
    </row>
    <row r="412" spans="1:3" ht="13.8" x14ac:dyDescent="0.25">
      <c r="A412" s="4" t="s">
        <v>424</v>
      </c>
      <c r="B412" s="12">
        <f>(1-1/(1+'[1]McCulloch data set'!N410/100)^5)/((1/(1+'[1]McCulloch data set'!J410/100))+1/(1+'[1]McCulloch data set'!K410/100)^2+1/(1+'[1]McCulloch data set'!L410/100)^3+1/(1+'[1]McCulloch data set'!M410/100)^4+1/(1+'[1]McCulloch data set'!N410/100)^5)</f>
        <v>0.11616860898781424</v>
      </c>
      <c r="C412" s="12">
        <f>(1-1/(1+'[1]McCulloch data set'!N410/100)^10)/((1/(1+'[1]McCulloch data set'!J410/100))+1/(1+'[1]McCulloch data set'!K410/100)^2+1/(1+'[1]McCulloch data set'!L410/100)^3+1/(1+'[1]McCulloch data set'!M410/100)^4+1/(1+'[1]McCulloch data set'!N410/100)^5+1/(1+('[1]McCulloch data set'!N410+'[1]McCulloch data set'!O410)/2/100)^6+1/(1+('[1]McCulloch data set'!N410+'[1]McCulloch data set'!O410)/2/100)^7+1/(1+('[1]McCulloch data set'!N410+'[1]McCulloch data set'!O410)/2/100)^8+1/(1+('[1]McCulloch data set'!N410+'[1]McCulloch data set'!O410)/2/100)^9+1/(1+('[1]McCulloch data set'!O410/100)^10))</f>
        <v>0.10396095729619176</v>
      </c>
    </row>
    <row r="413" spans="1:3" ht="13.8" x14ac:dyDescent="0.25">
      <c r="A413" s="4" t="s">
        <v>425</v>
      </c>
      <c r="B413" s="12">
        <f>(1-1/(1+'[1]McCulloch data set'!N411/100)^5)/((1/(1+'[1]McCulloch data set'!J411/100))+1/(1+'[1]McCulloch data set'!K411/100)^2+1/(1+'[1]McCulloch data set'!L411/100)^3+1/(1+'[1]McCulloch data set'!M411/100)^4+1/(1+'[1]McCulloch data set'!N411/100)^5)</f>
        <v>0.12417391848086269</v>
      </c>
      <c r="C413" s="12">
        <f>(1-1/(1+'[1]McCulloch data set'!N411/100)^10)/((1/(1+'[1]McCulloch data set'!J411/100))+1/(1+'[1]McCulloch data set'!K411/100)^2+1/(1+'[1]McCulloch data set'!L411/100)^3+1/(1+'[1]McCulloch data set'!M411/100)^4+1/(1+'[1]McCulloch data set'!N411/100)^5+1/(1+('[1]McCulloch data set'!N411+'[1]McCulloch data set'!O411)/2/100)^6+1/(1+('[1]McCulloch data set'!N411+'[1]McCulloch data set'!O411)/2/100)^7+1/(1+('[1]McCulloch data set'!N411+'[1]McCulloch data set'!O411)/2/100)^8+1/(1+('[1]McCulloch data set'!N411+'[1]McCulloch data set'!O411)/2/100)^9+1/(1+('[1]McCulloch data set'!O411/100)^10))</f>
        <v>0.10993302007801067</v>
      </c>
    </row>
    <row r="414" spans="1:3" ht="13.8" x14ac:dyDescent="0.25">
      <c r="A414" s="4" t="s">
        <v>426</v>
      </c>
      <c r="B414" s="12">
        <f>(1-1/(1+'[1]McCulloch data set'!N412/100)^5)/((1/(1+'[1]McCulloch data set'!J412/100))+1/(1+'[1]McCulloch data set'!K412/100)^2+1/(1+'[1]McCulloch data set'!L412/100)^3+1/(1+'[1]McCulloch data set'!M412/100)^4+1/(1+'[1]McCulloch data set'!N412/100)^5)</f>
        <v>0.12808975620699897</v>
      </c>
      <c r="C414" s="12">
        <f>(1-1/(1+'[1]McCulloch data set'!N412/100)^10)/((1/(1+'[1]McCulloch data set'!J412/100))+1/(1+'[1]McCulloch data set'!K412/100)^2+1/(1+'[1]McCulloch data set'!L412/100)^3+1/(1+'[1]McCulloch data set'!M412/100)^4+1/(1+'[1]McCulloch data set'!N412/100)^5+1/(1+('[1]McCulloch data set'!N412+'[1]McCulloch data set'!O412)/2/100)^6+1/(1+('[1]McCulloch data set'!N412+'[1]McCulloch data set'!O412)/2/100)^7+1/(1+('[1]McCulloch data set'!N412+'[1]McCulloch data set'!O412)/2/100)^8+1/(1+('[1]McCulloch data set'!N412+'[1]McCulloch data set'!O412)/2/100)^9+1/(1+('[1]McCulloch data set'!O412/100)^10))</f>
        <v>0.11252907289404834</v>
      </c>
    </row>
    <row r="415" spans="1:3" ht="13.8" x14ac:dyDescent="0.25">
      <c r="A415" s="4" t="s">
        <v>427</v>
      </c>
      <c r="B415" s="12">
        <f>(1-1/(1+'[1]McCulloch data set'!N413/100)^5)/((1/(1+'[1]McCulloch data set'!J413/100))+1/(1+'[1]McCulloch data set'!K413/100)^2+1/(1+'[1]McCulloch data set'!L413/100)^3+1/(1+'[1]McCulloch data set'!M413/100)^4+1/(1+'[1]McCulloch data set'!N413/100)^5)</f>
        <v>0.1216485856363296</v>
      </c>
      <c r="C415" s="12">
        <f>(1-1/(1+'[1]McCulloch data set'!N413/100)^10)/((1/(1+'[1]McCulloch data set'!J413/100))+1/(1+'[1]McCulloch data set'!K413/100)^2+1/(1+'[1]McCulloch data set'!L413/100)^3+1/(1+'[1]McCulloch data set'!M413/100)^4+1/(1+'[1]McCulloch data set'!N413/100)^5+1/(1+('[1]McCulloch data set'!N413+'[1]McCulloch data set'!O413)/2/100)^6+1/(1+('[1]McCulloch data set'!N413+'[1]McCulloch data set'!O413)/2/100)^7+1/(1+('[1]McCulloch data set'!N413+'[1]McCulloch data set'!O413)/2/100)^8+1/(1+('[1]McCulloch data set'!N413+'[1]McCulloch data set'!O413)/2/100)^9+1/(1+('[1]McCulloch data set'!O413/100)^10))</f>
        <v>0.10811336781124925</v>
      </c>
    </row>
    <row r="416" spans="1:3" ht="13.8" x14ac:dyDescent="0.25">
      <c r="A416" s="4" t="s">
        <v>428</v>
      </c>
      <c r="B416" s="12">
        <f>(1-1/(1+'[1]McCulloch data set'!N414/100)^5)/((1/(1+'[1]McCulloch data set'!J414/100))+1/(1+'[1]McCulloch data set'!K414/100)^2+1/(1+'[1]McCulloch data set'!L414/100)^3+1/(1+'[1]McCulloch data set'!M414/100)^4+1/(1+'[1]McCulloch data set'!N414/100)^5)</f>
        <v>0.12428190184376464</v>
      </c>
      <c r="C416" s="12">
        <f>(1-1/(1+'[1]McCulloch data set'!N414/100)^10)/((1/(1+'[1]McCulloch data set'!J414/100))+1/(1+'[1]McCulloch data set'!K414/100)^2+1/(1+'[1]McCulloch data set'!L414/100)^3+1/(1+'[1]McCulloch data set'!M414/100)^4+1/(1+'[1]McCulloch data set'!N414/100)^5+1/(1+('[1]McCulloch data set'!N414+'[1]McCulloch data set'!O414)/2/100)^6+1/(1+('[1]McCulloch data set'!N414+'[1]McCulloch data set'!O414)/2/100)^7+1/(1+('[1]McCulloch data set'!N414+'[1]McCulloch data set'!O414)/2/100)^8+1/(1+('[1]McCulloch data set'!N414+'[1]McCulloch data set'!O414)/2/100)^9+1/(1+('[1]McCulloch data set'!O414/100)^10))</f>
        <v>0.11018333513652347</v>
      </c>
    </row>
    <row r="417" spans="1:3" ht="13.8" x14ac:dyDescent="0.25">
      <c r="A417" s="4" t="s">
        <v>429</v>
      </c>
      <c r="B417" s="12">
        <f>(1-1/(1+'[1]McCulloch data set'!N415/100)^5)/((1/(1+'[1]McCulloch data set'!J415/100))+1/(1+'[1]McCulloch data set'!K415/100)^2+1/(1+'[1]McCulloch data set'!L415/100)^3+1/(1+'[1]McCulloch data set'!M415/100)^4+1/(1+'[1]McCulloch data set'!N415/100)^5)</f>
        <v>0.13342197881010173</v>
      </c>
      <c r="C417" s="12">
        <f>(1-1/(1+'[1]McCulloch data set'!N415/100)^10)/((1/(1+'[1]McCulloch data set'!J415/100))+1/(1+'[1]McCulloch data set'!K415/100)^2+1/(1+'[1]McCulloch data set'!L415/100)^3+1/(1+'[1]McCulloch data set'!M415/100)^4+1/(1+'[1]McCulloch data set'!N415/100)^5+1/(1+('[1]McCulloch data set'!N415+'[1]McCulloch data set'!O415)/2/100)^6+1/(1+('[1]McCulloch data set'!N415+'[1]McCulloch data set'!O415)/2/100)^7+1/(1+('[1]McCulloch data set'!N415+'[1]McCulloch data set'!O415)/2/100)^8+1/(1+('[1]McCulloch data set'!N415+'[1]McCulloch data set'!O415)/2/100)^9+1/(1+('[1]McCulloch data set'!O415/100)^10))</f>
        <v>0.1171940011377041</v>
      </c>
    </row>
    <row r="418" spans="1:3" ht="13.8" x14ac:dyDescent="0.25">
      <c r="A418" s="4" t="s">
        <v>430</v>
      </c>
      <c r="B418" s="12">
        <f>(1-1/(1+'[1]McCulloch data set'!N416/100)^5)/((1/(1+'[1]McCulloch data set'!J416/100))+1/(1+'[1]McCulloch data set'!K416/100)^2+1/(1+'[1]McCulloch data set'!L416/100)^3+1/(1+'[1]McCulloch data set'!M416/100)^4+1/(1+'[1]McCulloch data set'!N416/100)^5)</f>
        <v>0.12989146069953064</v>
      </c>
      <c r="C418" s="12">
        <f>(1-1/(1+'[1]McCulloch data set'!N416/100)^10)/((1/(1+'[1]McCulloch data set'!J416/100))+1/(1+'[1]McCulloch data set'!K416/100)^2+1/(1+'[1]McCulloch data set'!L416/100)^3+1/(1+'[1]McCulloch data set'!M416/100)^4+1/(1+'[1]McCulloch data set'!N416/100)^5+1/(1+('[1]McCulloch data set'!N416+'[1]McCulloch data set'!O416)/2/100)^6+1/(1+('[1]McCulloch data set'!N416+'[1]McCulloch data set'!O416)/2/100)^7+1/(1+('[1]McCulloch data set'!N416+'[1]McCulloch data set'!O416)/2/100)^8+1/(1+('[1]McCulloch data set'!N416+'[1]McCulloch data set'!O416)/2/100)^9+1/(1+('[1]McCulloch data set'!O416/100)^10))</f>
        <v>0.11470095030612219</v>
      </c>
    </row>
    <row r="419" spans="1:3" ht="13.8" x14ac:dyDescent="0.25">
      <c r="A419" s="4" t="s">
        <v>431</v>
      </c>
      <c r="B419" s="12">
        <f>(1-1/(1+'[1]McCulloch data set'!N417/100)^5)/((1/(1+'[1]McCulloch data set'!J417/100))+1/(1+'[1]McCulloch data set'!K417/100)^2+1/(1+'[1]McCulloch data set'!L417/100)^3+1/(1+'[1]McCulloch data set'!M417/100)^4+1/(1+'[1]McCulloch data set'!N417/100)^5)</f>
        <v>0.13970105226697799</v>
      </c>
      <c r="C419" s="12">
        <f>(1-1/(1+'[1]McCulloch data set'!N417/100)^10)/((1/(1+'[1]McCulloch data set'!J417/100))+1/(1+'[1]McCulloch data set'!K417/100)^2+1/(1+'[1]McCulloch data set'!L417/100)^3+1/(1+'[1]McCulloch data set'!M417/100)^4+1/(1+'[1]McCulloch data set'!N417/100)^5+1/(1+('[1]McCulloch data set'!N417+'[1]McCulloch data set'!O417)/2/100)^6+1/(1+('[1]McCulloch data set'!N417+'[1]McCulloch data set'!O417)/2/100)^7+1/(1+('[1]McCulloch data set'!N417+'[1]McCulloch data set'!O417)/2/100)^8+1/(1+('[1]McCulloch data set'!N417+'[1]McCulloch data set'!O417)/2/100)^9+1/(1+('[1]McCulloch data set'!O417/100)^10))</f>
        <v>0.12198568586169975</v>
      </c>
    </row>
    <row r="420" spans="1:3" ht="13.8" x14ac:dyDescent="0.25">
      <c r="A420" s="4" t="s">
        <v>432</v>
      </c>
      <c r="B420" s="12">
        <f>(1-1/(1+'[1]McCulloch data set'!N418/100)^5)/((1/(1+'[1]McCulloch data set'!J418/100))+1/(1+'[1]McCulloch data set'!K418/100)^2+1/(1+'[1]McCulloch data set'!L418/100)^3+1/(1+'[1]McCulloch data set'!M418/100)^4+1/(1+'[1]McCulloch data set'!N418/100)^5)</f>
        <v>0.13449235402182297</v>
      </c>
      <c r="C420" s="12">
        <f>(1-1/(1+'[1]McCulloch data set'!N418/100)^10)/((1/(1+'[1]McCulloch data set'!J418/100))+1/(1+'[1]McCulloch data set'!K418/100)^2+1/(1+'[1]McCulloch data set'!L418/100)^3+1/(1+'[1]McCulloch data set'!M418/100)^4+1/(1+'[1]McCulloch data set'!N418/100)^5+1/(1+('[1]McCulloch data set'!N418+'[1]McCulloch data set'!O418)/2/100)^6+1/(1+('[1]McCulloch data set'!N418+'[1]McCulloch data set'!O418)/2/100)^7+1/(1+('[1]McCulloch data set'!N418+'[1]McCulloch data set'!O418)/2/100)^8+1/(1+('[1]McCulloch data set'!N418+'[1]McCulloch data set'!O418)/2/100)^9+1/(1+('[1]McCulloch data set'!O418/100)^10))</f>
        <v>0.11774514769489097</v>
      </c>
    </row>
    <row r="421" spans="1:3" ht="13.8" x14ac:dyDescent="0.25">
      <c r="A421" s="4" t="s">
        <v>433</v>
      </c>
      <c r="B421" s="12">
        <f>(1-1/(1+'[1]McCulloch data set'!N419/100)^5)/((1/(1+'[1]McCulloch data set'!J419/100))+1/(1+'[1]McCulloch data set'!K419/100)^2+1/(1+'[1]McCulloch data set'!L419/100)^3+1/(1+'[1]McCulloch data set'!M419/100)^4+1/(1+'[1]McCulloch data set'!N419/100)^5)</f>
        <v>0.13809650572595725</v>
      </c>
      <c r="C421" s="12">
        <f>(1-1/(1+'[1]McCulloch data set'!N419/100)^10)/((1/(1+'[1]McCulloch data set'!J419/100))+1/(1+'[1]McCulloch data set'!K419/100)^2+1/(1+'[1]McCulloch data set'!L419/100)^3+1/(1+'[1]McCulloch data set'!M419/100)^4+1/(1+'[1]McCulloch data set'!N419/100)^5+1/(1+('[1]McCulloch data set'!N419+'[1]McCulloch data set'!O419)/2/100)^6+1/(1+('[1]McCulloch data set'!N419+'[1]McCulloch data set'!O419)/2/100)^7+1/(1+('[1]McCulloch data set'!N419+'[1]McCulloch data set'!O419)/2/100)^8+1/(1+('[1]McCulloch data set'!N419+'[1]McCulloch data set'!O419)/2/100)^9+1/(1+('[1]McCulloch data set'!O419/100)^10))</f>
        <v>0.12069894263522815</v>
      </c>
    </row>
    <row r="422" spans="1:3" ht="13.8" x14ac:dyDescent="0.25">
      <c r="A422" s="4" t="s">
        <v>434</v>
      </c>
      <c r="B422" s="12">
        <f>(1-1/(1+'[1]McCulloch data set'!N420/100)^5)/((1/(1+'[1]McCulloch data set'!J420/100))+1/(1+'[1]McCulloch data set'!K420/100)^2+1/(1+'[1]McCulloch data set'!L420/100)^3+1/(1+'[1]McCulloch data set'!M420/100)^4+1/(1+'[1]McCulloch data set'!N420/100)^5)</f>
        <v>0.147842294904453</v>
      </c>
      <c r="C422" s="12">
        <f>(1-1/(1+'[1]McCulloch data set'!N420/100)^10)/((1/(1+'[1]McCulloch data set'!J420/100))+1/(1+'[1]McCulloch data set'!K420/100)^2+1/(1+'[1]McCulloch data set'!L420/100)^3+1/(1+'[1]McCulloch data set'!M420/100)^4+1/(1+'[1]McCulloch data set'!N420/100)^5+1/(1+('[1]McCulloch data set'!N420+'[1]McCulloch data set'!O420)/2/100)^6+1/(1+('[1]McCulloch data set'!N420+'[1]McCulloch data set'!O420)/2/100)^7+1/(1+('[1]McCulloch data set'!N420+'[1]McCulloch data set'!O420)/2/100)^8+1/(1+('[1]McCulloch data set'!N420+'[1]McCulloch data set'!O420)/2/100)^9+1/(1+('[1]McCulloch data set'!O420/100)^10))</f>
        <v>0.12768499232676683</v>
      </c>
    </row>
    <row r="423" spans="1:3" ht="13.8" x14ac:dyDescent="0.25">
      <c r="A423" s="4" t="s">
        <v>435</v>
      </c>
      <c r="B423" s="12">
        <f>(1-1/(1+'[1]McCulloch data set'!N421/100)^5)/((1/(1+'[1]McCulloch data set'!J421/100))+1/(1+'[1]McCulloch data set'!K421/100)^2+1/(1+'[1]McCulloch data set'!L421/100)^3+1/(1+'[1]McCulloch data set'!M421/100)^4+1/(1+'[1]McCulloch data set'!N421/100)^5)</f>
        <v>0.15556594368199445</v>
      </c>
      <c r="C423" s="12">
        <f>(1-1/(1+'[1]McCulloch data set'!N421/100)^10)/((1/(1+'[1]McCulloch data set'!J421/100))+1/(1+'[1]McCulloch data set'!K421/100)^2+1/(1+'[1]McCulloch data set'!L421/100)^3+1/(1+'[1]McCulloch data set'!M421/100)^4+1/(1+'[1]McCulloch data set'!N421/100)^5+1/(1+('[1]McCulloch data set'!N421+'[1]McCulloch data set'!O421)/2/100)^6+1/(1+('[1]McCulloch data set'!N421+'[1]McCulloch data set'!O421)/2/100)^7+1/(1+('[1]McCulloch data set'!N421+'[1]McCulloch data set'!O421)/2/100)^8+1/(1+('[1]McCulloch data set'!N421+'[1]McCulloch data set'!O421)/2/100)^9+1/(1+('[1]McCulloch data set'!O421/100)^10))</f>
        <v>0.13349717508403688</v>
      </c>
    </row>
    <row r="424" spans="1:3" ht="13.8" x14ac:dyDescent="0.25">
      <c r="A424" s="4" t="s">
        <v>436</v>
      </c>
      <c r="B424" s="12">
        <f>(1-1/(1+'[1]McCulloch data set'!N422/100)^5)/((1/(1+'[1]McCulloch data set'!J422/100))+1/(1+'[1]McCulloch data set'!K422/100)^2+1/(1+'[1]McCulloch data set'!L422/100)^3+1/(1+'[1]McCulloch data set'!M422/100)^4+1/(1+'[1]McCulloch data set'!N422/100)^5)</f>
        <v>0.15756010498471917</v>
      </c>
      <c r="C424" s="12">
        <f>(1-1/(1+'[1]McCulloch data set'!N422/100)^10)/((1/(1+'[1]McCulloch data set'!J422/100))+1/(1+'[1]McCulloch data set'!K422/100)^2+1/(1+'[1]McCulloch data set'!L422/100)^3+1/(1+'[1]McCulloch data set'!M422/100)^4+1/(1+'[1]McCulloch data set'!N422/100)^5+1/(1+('[1]McCulloch data set'!N422+'[1]McCulloch data set'!O422)/2/100)^6+1/(1+('[1]McCulloch data set'!N422+'[1]McCulloch data set'!O422)/2/100)^7+1/(1+('[1]McCulloch data set'!N422+'[1]McCulloch data set'!O422)/2/100)^8+1/(1+('[1]McCulloch data set'!N422+'[1]McCulloch data set'!O422)/2/100)^9+1/(1+('[1]McCulloch data set'!O422/100)^10))</f>
        <v>0.13531083887577045</v>
      </c>
    </row>
    <row r="425" spans="1:3" ht="13.8" x14ac:dyDescent="0.25">
      <c r="A425" s="4" t="s">
        <v>437</v>
      </c>
      <c r="B425" s="12">
        <f>(1-1/(1+'[1]McCulloch data set'!N423/100)^5)/((1/(1+'[1]McCulloch data set'!J423/100))+1/(1+'[1]McCulloch data set'!K423/100)^2+1/(1+'[1]McCulloch data set'!L423/100)^3+1/(1+'[1]McCulloch data set'!M423/100)^4+1/(1+'[1]McCulloch data set'!N423/100)^5)</f>
        <v>0.14353785518848106</v>
      </c>
      <c r="C425" s="12">
        <f>(1-1/(1+'[1]McCulloch data set'!N423/100)^10)/((1/(1+'[1]McCulloch data set'!J423/100))+1/(1+'[1]McCulloch data set'!K423/100)^2+1/(1+'[1]McCulloch data set'!L423/100)^3+1/(1+'[1]McCulloch data set'!M423/100)^4+1/(1+'[1]McCulloch data set'!N423/100)^5+1/(1+('[1]McCulloch data set'!N423+'[1]McCulloch data set'!O423)/2/100)^6+1/(1+('[1]McCulloch data set'!N423+'[1]McCulloch data set'!O423)/2/100)^7+1/(1+('[1]McCulloch data set'!N423+'[1]McCulloch data set'!O423)/2/100)^8+1/(1+('[1]McCulloch data set'!N423+'[1]McCulloch data set'!O423)/2/100)^9+1/(1+('[1]McCulloch data set'!O423/100)^10))</f>
        <v>0.12543222795194903</v>
      </c>
    </row>
    <row r="426" spans="1:3" ht="13.8" x14ac:dyDescent="0.25">
      <c r="A426" s="4" t="s">
        <v>438</v>
      </c>
      <c r="B426" s="12">
        <f>(1-1/(1+'[1]McCulloch data set'!N424/100)^5)/((1/(1+'[1]McCulloch data set'!J424/100))+1/(1+'[1]McCulloch data set'!K424/100)^2+1/(1+'[1]McCulloch data set'!L424/100)^3+1/(1+'[1]McCulloch data set'!M424/100)^4+1/(1+'[1]McCulloch data set'!N424/100)^5)</f>
        <v>0.1263962121593929</v>
      </c>
      <c r="C426" s="12">
        <f>(1-1/(1+'[1]McCulloch data set'!N424/100)^10)/((1/(1+'[1]McCulloch data set'!J424/100))+1/(1+'[1]McCulloch data set'!K424/100)^2+1/(1+'[1]McCulloch data set'!L424/100)^3+1/(1+'[1]McCulloch data set'!M424/100)^4+1/(1+'[1]McCulloch data set'!N424/100)^5+1/(1+('[1]McCulloch data set'!N424+'[1]McCulloch data set'!O424)/2/100)^6+1/(1+('[1]McCulloch data set'!N424+'[1]McCulloch data set'!O424)/2/100)^7+1/(1+('[1]McCulloch data set'!N424+'[1]McCulloch data set'!O424)/2/100)^8+1/(1+('[1]McCulloch data set'!N424+'[1]McCulloch data set'!O424)/2/100)^9+1/(1+('[1]McCulloch data set'!O424/100)^10))</f>
        <v>0.11265941683374259</v>
      </c>
    </row>
    <row r="427" spans="1:3" ht="13.8" x14ac:dyDescent="0.25">
      <c r="A427" s="4" t="s">
        <v>439</v>
      </c>
      <c r="B427" s="12">
        <f>(1-1/(1+'[1]McCulloch data set'!N425/100)^5)/((1/(1+'[1]McCulloch data set'!J425/100))+1/(1+'[1]McCulloch data set'!K425/100)^2+1/(1+'[1]McCulloch data set'!L425/100)^3+1/(1+'[1]McCulloch data set'!M425/100)^4+1/(1+'[1]McCulloch data set'!N425/100)^5)</f>
        <v>0.13724598039476404</v>
      </c>
      <c r="C427" s="12">
        <f>(1-1/(1+'[1]McCulloch data set'!N425/100)^10)/((1/(1+'[1]McCulloch data set'!J425/100))+1/(1+'[1]McCulloch data set'!K425/100)^2+1/(1+'[1]McCulloch data set'!L425/100)^3+1/(1+'[1]McCulloch data set'!M425/100)^4+1/(1+'[1]McCulloch data set'!N425/100)^5+1/(1+('[1]McCulloch data set'!N425+'[1]McCulloch data set'!O425)/2/100)^6+1/(1+('[1]McCulloch data set'!N425+'[1]McCulloch data set'!O425)/2/100)^7+1/(1+('[1]McCulloch data set'!N425+'[1]McCulloch data set'!O425)/2/100)^8+1/(1+('[1]McCulloch data set'!N425+'[1]McCulloch data set'!O425)/2/100)^9+1/(1+('[1]McCulloch data set'!O425/100)^10))</f>
        <v>0.12070341798196582</v>
      </c>
    </row>
    <row r="428" spans="1:3" ht="13.8" x14ac:dyDescent="0.25">
      <c r="A428" s="4" t="s">
        <v>440</v>
      </c>
      <c r="B428" s="12">
        <f>(1-1/(1+'[1]McCulloch data set'!N426/100)^5)/((1/(1+'[1]McCulloch data set'!J426/100))+1/(1+'[1]McCulloch data set'!K426/100)^2+1/(1+'[1]McCulloch data set'!L426/100)^3+1/(1+'[1]McCulloch data set'!M426/100)^4+1/(1+'[1]McCulloch data set'!N426/100)^5)</f>
        <v>0.13898548681977199</v>
      </c>
      <c r="C428" s="12">
        <f>(1-1/(1+'[1]McCulloch data set'!N426/100)^10)/((1/(1+'[1]McCulloch data set'!J426/100))+1/(1+'[1]McCulloch data set'!K426/100)^2+1/(1+'[1]McCulloch data set'!L426/100)^3+1/(1+'[1]McCulloch data set'!M426/100)^4+1/(1+'[1]McCulloch data set'!N426/100)^5+1/(1+('[1]McCulloch data set'!N426+'[1]McCulloch data set'!O426)/2/100)^6+1/(1+('[1]McCulloch data set'!N426+'[1]McCulloch data set'!O426)/2/100)^7+1/(1+('[1]McCulloch data set'!N426+'[1]McCulloch data set'!O426)/2/100)^8+1/(1+('[1]McCulloch data set'!N426+'[1]McCulloch data set'!O426)/2/100)^9+1/(1+('[1]McCulloch data set'!O426/100)^10))</f>
        <v>0.12192904393143336</v>
      </c>
    </row>
    <row r="429" spans="1:3" ht="13.8" x14ac:dyDescent="0.25">
      <c r="A429" s="4" t="s">
        <v>441</v>
      </c>
      <c r="B429" s="12">
        <f>(1-1/(1+'[1]McCulloch data set'!N427/100)^5)/((1/(1+'[1]McCulloch data set'!J427/100))+1/(1+'[1]McCulloch data set'!K427/100)^2+1/(1+'[1]McCulloch data set'!L427/100)^3+1/(1+'[1]McCulloch data set'!M427/100)^4+1/(1+'[1]McCulloch data set'!N427/100)^5)</f>
        <v>0.13735732425250247</v>
      </c>
      <c r="C429" s="12">
        <f>(1-1/(1+'[1]McCulloch data set'!N427/100)^10)/((1/(1+'[1]McCulloch data set'!J427/100))+1/(1+'[1]McCulloch data set'!K427/100)^2+1/(1+'[1]McCulloch data set'!L427/100)^3+1/(1+'[1]McCulloch data set'!M427/100)^4+1/(1+'[1]McCulloch data set'!N427/100)^5+1/(1+('[1]McCulloch data set'!N427+'[1]McCulloch data set'!O427)/2/100)^6+1/(1+('[1]McCulloch data set'!N427+'[1]McCulloch data set'!O427)/2/100)^7+1/(1+('[1]McCulloch data set'!N427+'[1]McCulloch data set'!O427)/2/100)^8+1/(1+('[1]McCulloch data set'!N427+'[1]McCulloch data set'!O427)/2/100)^9+1/(1+('[1]McCulloch data set'!O427/100)^10))</f>
        <v>0.12056969985935131</v>
      </c>
    </row>
    <row r="430" spans="1:3" ht="13.8" x14ac:dyDescent="0.25">
      <c r="A430" s="4" t="s">
        <v>442</v>
      </c>
      <c r="B430" s="12">
        <f>(1-1/(1+'[1]McCulloch data set'!N428/100)^5)/((1/(1+'[1]McCulloch data set'!J428/100))+1/(1+'[1]McCulloch data set'!K428/100)^2+1/(1+'[1]McCulloch data set'!L428/100)^3+1/(1+'[1]McCulloch data set'!M428/100)^4+1/(1+'[1]McCulloch data set'!N428/100)^5)</f>
        <v>0.13961662505942607</v>
      </c>
      <c r="C430" s="12">
        <f>(1-1/(1+'[1]McCulloch data set'!N428/100)^10)/((1/(1+'[1]McCulloch data set'!J428/100))+1/(1+'[1]McCulloch data set'!K428/100)^2+1/(1+'[1]McCulloch data set'!L428/100)^3+1/(1+'[1]McCulloch data set'!M428/100)^4+1/(1+'[1]McCulloch data set'!N428/100)^5+1/(1+('[1]McCulloch data set'!N428+'[1]McCulloch data set'!O428)/2/100)^6+1/(1+('[1]McCulloch data set'!N428+'[1]McCulloch data set'!O428)/2/100)^7+1/(1+('[1]McCulloch data set'!N428+'[1]McCulloch data set'!O428)/2/100)^8+1/(1+('[1]McCulloch data set'!N428+'[1]McCulloch data set'!O428)/2/100)^9+1/(1+('[1]McCulloch data set'!O428/100)^10))</f>
        <v>0.12215187657724726</v>
      </c>
    </row>
    <row r="431" spans="1:3" ht="13.8" x14ac:dyDescent="0.25">
      <c r="A431" s="4" t="s">
        <v>443</v>
      </c>
      <c r="B431" s="12">
        <f>(1-1/(1+'[1]McCulloch data set'!N429/100)^5)/((1/(1+'[1]McCulloch data set'!J429/100))+1/(1+'[1]McCulloch data set'!K429/100)^2+1/(1+'[1]McCulloch data set'!L429/100)^3+1/(1+'[1]McCulloch data set'!M429/100)^4+1/(1+'[1]McCulloch data set'!N429/100)^5)</f>
        <v>0.13481677275784143</v>
      </c>
      <c r="C431" s="12">
        <f>(1-1/(1+'[1]McCulloch data set'!N429/100)^10)/((1/(1+'[1]McCulloch data set'!J429/100))+1/(1+'[1]McCulloch data set'!K429/100)^2+1/(1+'[1]McCulloch data set'!L429/100)^3+1/(1+'[1]McCulloch data set'!M429/100)^4+1/(1+'[1]McCulloch data set'!N429/100)^5+1/(1+('[1]McCulloch data set'!N429+'[1]McCulloch data set'!O429)/2/100)^6+1/(1+('[1]McCulloch data set'!N429+'[1]McCulloch data set'!O429)/2/100)^7+1/(1+('[1]McCulloch data set'!N429+'[1]McCulloch data set'!O429)/2/100)^8+1/(1+('[1]McCulloch data set'!N429+'[1]McCulloch data set'!O429)/2/100)^9+1/(1+('[1]McCulloch data set'!O429/100)^10))</f>
        <v>0.11859220025930531</v>
      </c>
    </row>
    <row r="432" spans="1:3" ht="13.8" x14ac:dyDescent="0.25">
      <c r="A432" s="4" t="s">
        <v>444</v>
      </c>
      <c r="B432" s="12">
        <f>(1-1/(1+'[1]McCulloch data set'!N430/100)^5)/((1/(1+'[1]McCulloch data set'!J430/100))+1/(1+'[1]McCulloch data set'!K430/100)^2+1/(1+'[1]McCulloch data set'!L430/100)^3+1/(1+'[1]McCulloch data set'!M430/100)^4+1/(1+'[1]McCulloch data set'!N430/100)^5)</f>
        <v>0.13445762187597182</v>
      </c>
      <c r="C432" s="12">
        <f>(1-1/(1+'[1]McCulloch data set'!N430/100)^10)/((1/(1+'[1]McCulloch data set'!J430/100))+1/(1+'[1]McCulloch data set'!K430/100)^2+1/(1+'[1]McCulloch data set'!L430/100)^3+1/(1+'[1]McCulloch data set'!M430/100)^4+1/(1+'[1]McCulloch data set'!N430/100)^5+1/(1+('[1]McCulloch data set'!N430+'[1]McCulloch data set'!O430)/2/100)^6+1/(1+('[1]McCulloch data set'!N430+'[1]McCulloch data set'!O430)/2/100)^7+1/(1+('[1]McCulloch data set'!N430+'[1]McCulloch data set'!O430)/2/100)^8+1/(1+('[1]McCulloch data set'!N430+'[1]McCulloch data set'!O430)/2/100)^9+1/(1+('[1]McCulloch data set'!O430/100)^10))</f>
        <v>0.11845162872722849</v>
      </c>
    </row>
    <row r="433" spans="1:3" ht="13.8" x14ac:dyDescent="0.25">
      <c r="A433" s="4" t="s">
        <v>445</v>
      </c>
      <c r="B433" s="12">
        <f>(1-1/(1+'[1]McCulloch data set'!N431/100)^5)/((1/(1+'[1]McCulloch data set'!J431/100))+1/(1+'[1]McCulloch data set'!K431/100)^2+1/(1+'[1]McCulloch data set'!L431/100)^3+1/(1+'[1]McCulloch data set'!M431/100)^4+1/(1+'[1]McCulloch data set'!N431/100)^5)</f>
        <v>0.14289509501474243</v>
      </c>
      <c r="C433" s="12">
        <f>(1-1/(1+'[1]McCulloch data set'!N431/100)^10)/((1/(1+'[1]McCulloch data set'!J431/100))+1/(1+'[1]McCulloch data set'!K431/100)^2+1/(1+'[1]McCulloch data set'!L431/100)^3+1/(1+'[1]McCulloch data set'!M431/100)^4+1/(1+'[1]McCulloch data set'!N431/100)^5+1/(1+('[1]McCulloch data set'!N431+'[1]McCulloch data set'!O431)/2/100)^6+1/(1+('[1]McCulloch data set'!N431+'[1]McCulloch data set'!O431)/2/100)^7+1/(1+('[1]McCulloch data set'!N431+'[1]McCulloch data set'!O431)/2/100)^8+1/(1+('[1]McCulloch data set'!N431+'[1]McCulloch data set'!O431)/2/100)^9+1/(1+('[1]McCulloch data set'!O431/100)^10))</f>
        <v>0.12454117105590121</v>
      </c>
    </row>
    <row r="434" spans="1:3" ht="13.8" x14ac:dyDescent="0.25">
      <c r="A434" s="4" t="s">
        <v>446</v>
      </c>
      <c r="B434" s="12">
        <f>(1-1/(1+'[1]McCulloch data set'!N432/100)^5)/((1/(1+'[1]McCulloch data set'!J432/100))+1/(1+'[1]McCulloch data set'!K432/100)^2+1/(1+'[1]McCulloch data set'!L432/100)^3+1/(1+'[1]McCulloch data set'!M432/100)^4+1/(1+'[1]McCulloch data set'!N432/100)^5)</f>
        <v>0.13303371371392894</v>
      </c>
      <c r="C434" s="12">
        <f>(1-1/(1+'[1]McCulloch data set'!N432/100)^10)/((1/(1+'[1]McCulloch data set'!J432/100))+1/(1+'[1]McCulloch data set'!K432/100)^2+1/(1+'[1]McCulloch data set'!L432/100)^3+1/(1+'[1]McCulloch data set'!M432/100)^4+1/(1+'[1]McCulloch data set'!N432/100)^5+1/(1+('[1]McCulloch data set'!N432+'[1]McCulloch data set'!O432)/2/100)^6+1/(1+('[1]McCulloch data set'!N432+'[1]McCulloch data set'!O432)/2/100)^7+1/(1+('[1]McCulloch data set'!N432+'[1]McCulloch data set'!O432)/2/100)^8+1/(1+('[1]McCulloch data set'!N432+'[1]McCulloch data set'!O432)/2/100)^9+1/(1+('[1]McCulloch data set'!O432/100)^10))</f>
        <v>0.11747066812063624</v>
      </c>
    </row>
    <row r="435" spans="1:3" ht="13.8" x14ac:dyDescent="0.25">
      <c r="A435" s="4" t="s">
        <v>447</v>
      </c>
      <c r="B435" s="12">
        <f>(1-1/(1+'[1]McCulloch data set'!N433/100)^5)/((1/(1+'[1]McCulloch data set'!J433/100))+1/(1+'[1]McCulloch data set'!K433/100)^2+1/(1+'[1]McCulloch data set'!L433/100)^3+1/(1+'[1]McCulloch data set'!M433/100)^4+1/(1+'[1]McCulloch data set'!N433/100)^5)</f>
        <v>0.12381516125290705</v>
      </c>
      <c r="C435" s="12">
        <f>(1-1/(1+'[1]McCulloch data set'!N433/100)^10)/((1/(1+'[1]McCulloch data set'!J433/100))+1/(1+'[1]McCulloch data set'!K433/100)^2+1/(1+'[1]McCulloch data set'!L433/100)^3+1/(1+'[1]McCulloch data set'!M433/100)^4+1/(1+'[1]McCulloch data set'!N433/100)^5+1/(1+('[1]McCulloch data set'!N433+'[1]McCulloch data set'!O433)/2/100)^6+1/(1+('[1]McCulloch data set'!N433+'[1]McCulloch data set'!O433)/2/100)^7+1/(1+('[1]McCulloch data set'!N433+'[1]McCulloch data set'!O433)/2/100)^8+1/(1+('[1]McCulloch data set'!N433+'[1]McCulloch data set'!O433)/2/100)^9+1/(1+('[1]McCulloch data set'!O433/100)^10))</f>
        <v>0.11039406984952616</v>
      </c>
    </row>
    <row r="436" spans="1:3" ht="13.8" x14ac:dyDescent="0.25">
      <c r="A436" s="4" t="s">
        <v>448</v>
      </c>
      <c r="B436" s="12">
        <f>(1-1/(1+'[1]McCulloch data set'!N434/100)^5)/((1/(1+'[1]McCulloch data set'!J434/100))+1/(1+'[1]McCulloch data set'!K434/100)^2+1/(1+'[1]McCulloch data set'!L434/100)^3+1/(1+'[1]McCulloch data set'!M434/100)^4+1/(1+'[1]McCulloch data set'!N434/100)^5)</f>
        <v>0.11588140569319663</v>
      </c>
      <c r="C436" s="12">
        <f>(1-1/(1+'[1]McCulloch data set'!N434/100)^10)/((1/(1+'[1]McCulloch data set'!J434/100))+1/(1+'[1]McCulloch data set'!K434/100)^2+1/(1+'[1]McCulloch data set'!L434/100)^3+1/(1+'[1]McCulloch data set'!M434/100)^4+1/(1+'[1]McCulloch data set'!N434/100)^5+1/(1+('[1]McCulloch data set'!N434+'[1]McCulloch data set'!O434)/2/100)^6+1/(1+('[1]McCulloch data set'!N434+'[1]McCulloch data set'!O434)/2/100)^7+1/(1+('[1]McCulloch data set'!N434+'[1]McCulloch data set'!O434)/2/100)^8+1/(1+('[1]McCulloch data set'!N434+'[1]McCulloch data set'!O434)/2/100)^9+1/(1+('[1]McCulloch data set'!O434/100)^10))</f>
        <v>0.10411315013831519</v>
      </c>
    </row>
    <row r="437" spans="1:3" ht="13.8" x14ac:dyDescent="0.25">
      <c r="A437" s="4" t="s">
        <v>449</v>
      </c>
      <c r="B437" s="12">
        <f>(1-1/(1+'[1]McCulloch data set'!N435/100)^5)/((1/(1+'[1]McCulloch data set'!J435/100))+1/(1+'[1]McCulloch data set'!K435/100)^2+1/(1+'[1]McCulloch data set'!L435/100)^3+1/(1+'[1]McCulloch data set'!M435/100)^4+1/(1+'[1]McCulloch data set'!N435/100)^5)</f>
        <v>0.10664128696629287</v>
      </c>
      <c r="C437" s="12">
        <f>(1-1/(1+'[1]McCulloch data set'!N435/100)^10)/((1/(1+'[1]McCulloch data set'!J435/100))+1/(1+'[1]McCulloch data set'!K435/100)^2+1/(1+'[1]McCulloch data set'!L435/100)^3+1/(1+'[1]McCulloch data set'!M435/100)^4+1/(1+'[1]McCulloch data set'!N435/100)^5+1/(1+('[1]McCulloch data set'!N435+'[1]McCulloch data set'!O435)/2/100)^6+1/(1+('[1]McCulloch data set'!N435+'[1]McCulloch data set'!O435)/2/100)^7+1/(1+('[1]McCulloch data set'!N435+'[1]McCulloch data set'!O435)/2/100)^8+1/(1+('[1]McCulloch data set'!N435+'[1]McCulloch data set'!O435)/2/100)^9+1/(1+('[1]McCulloch data set'!O435/100)^10))</f>
        <v>9.6735411082126022E-2</v>
      </c>
    </row>
    <row r="438" spans="1:3" ht="13.8" x14ac:dyDescent="0.25">
      <c r="A438" s="4" t="s">
        <v>450</v>
      </c>
      <c r="B438" s="12">
        <f>(1-1/(1+'[1]McCulloch data set'!N436/100)^5)/((1/(1+'[1]McCulloch data set'!J436/100))+1/(1+'[1]McCulloch data set'!K436/100)^2+1/(1+'[1]McCulloch data set'!L436/100)^3+1/(1+'[1]McCulloch data set'!M436/100)^4+1/(1+'[1]McCulloch data set'!N436/100)^5)</f>
        <v>0.10605481517743835</v>
      </c>
      <c r="C438" s="12">
        <f>(1-1/(1+'[1]McCulloch data set'!N436/100)^10)/((1/(1+'[1]McCulloch data set'!J436/100))+1/(1+'[1]McCulloch data set'!K436/100)^2+1/(1+'[1]McCulloch data set'!L436/100)^3+1/(1+'[1]McCulloch data set'!M436/100)^4+1/(1+'[1]McCulloch data set'!N436/100)^5+1/(1+('[1]McCulloch data set'!N436+'[1]McCulloch data set'!O436)/2/100)^6+1/(1+('[1]McCulloch data set'!N436+'[1]McCulloch data set'!O436)/2/100)^7+1/(1+('[1]McCulloch data set'!N436+'[1]McCulloch data set'!O436)/2/100)^8+1/(1+('[1]McCulloch data set'!N436+'[1]McCulloch data set'!O436)/2/100)^9+1/(1+('[1]McCulloch data set'!O436/100)^10))</f>
        <v>9.6439373400544981E-2</v>
      </c>
    </row>
    <row r="439" spans="1:3" ht="13.8" x14ac:dyDescent="0.25">
      <c r="A439" s="4" t="s">
        <v>451</v>
      </c>
      <c r="B439" s="12">
        <f>(1-1/(1+'[1]McCulloch data set'!N437/100)^5)/((1/(1+'[1]McCulloch data set'!J437/100))+1/(1+'[1]McCulloch data set'!K437/100)^2+1/(1+'[1]McCulloch data set'!L437/100)^3+1/(1+'[1]McCulloch data set'!M437/100)^4+1/(1+'[1]McCulloch data set'!N437/100)^5)</f>
        <v>0.10225580630577601</v>
      </c>
      <c r="C439" s="12">
        <f>(1-1/(1+'[1]McCulloch data set'!N437/100)^10)/((1/(1+'[1]McCulloch data set'!J437/100))+1/(1+'[1]McCulloch data set'!K437/100)^2+1/(1+'[1]McCulloch data set'!L437/100)^3+1/(1+'[1]McCulloch data set'!M437/100)^4+1/(1+'[1]McCulloch data set'!N437/100)^5+1/(1+('[1]McCulloch data set'!N437+'[1]McCulloch data set'!O437)/2/100)^6+1/(1+('[1]McCulloch data set'!N437+'[1]McCulloch data set'!O437)/2/100)^7+1/(1+('[1]McCulloch data set'!N437+'[1]McCulloch data set'!O437)/2/100)^8+1/(1+('[1]McCulloch data set'!N437+'[1]McCulloch data set'!O437)/2/100)^9+1/(1+('[1]McCulloch data set'!O437/100)^10))</f>
        <v>9.33247527528836E-2</v>
      </c>
    </row>
    <row r="440" spans="1:3" ht="13.8" x14ac:dyDescent="0.25">
      <c r="A440" s="4" t="s">
        <v>452</v>
      </c>
      <c r="B440" s="12">
        <f>(1-1/(1+'[1]McCulloch data set'!N438/100)^5)/((1/(1+'[1]McCulloch data set'!J438/100))+1/(1+'[1]McCulloch data set'!K438/100)^2+1/(1+'[1]McCulloch data set'!L438/100)^3+1/(1+'[1]McCulloch data set'!M438/100)^4+1/(1+'[1]McCulloch data set'!N438/100)^5)</f>
        <v>0.10431776987086272</v>
      </c>
      <c r="C440" s="12">
        <f>(1-1/(1+'[1]McCulloch data set'!N438/100)^10)/((1/(1+'[1]McCulloch data set'!J438/100))+1/(1+'[1]McCulloch data set'!K438/100)^2+1/(1+'[1]McCulloch data set'!L438/100)^3+1/(1+'[1]McCulloch data set'!M438/100)^4+1/(1+'[1]McCulloch data set'!N438/100)^5+1/(1+('[1]McCulloch data set'!N438+'[1]McCulloch data set'!O438)/2/100)^6+1/(1+('[1]McCulloch data set'!N438+'[1]McCulloch data set'!O438)/2/100)^7+1/(1+('[1]McCulloch data set'!N438+'[1]McCulloch data set'!O438)/2/100)^8+1/(1+('[1]McCulloch data set'!N438+'[1]McCulloch data set'!O438)/2/100)^9+1/(1+('[1]McCulloch data set'!O438/100)^10))</f>
        <v>9.5264695153812015E-2</v>
      </c>
    </row>
    <row r="441" spans="1:3" ht="13.8" x14ac:dyDescent="0.25">
      <c r="A441" s="4" t="s">
        <v>453</v>
      </c>
      <c r="B441" s="12">
        <f>(1-1/(1+'[1]McCulloch data set'!N439/100)^5)/((1/(1+'[1]McCulloch data set'!J439/100))+1/(1+'[1]McCulloch data set'!K439/100)^2+1/(1+'[1]McCulloch data set'!L439/100)^3+1/(1+'[1]McCulloch data set'!M439/100)^4+1/(1+'[1]McCulloch data set'!N439/100)^5)</f>
        <v>9.7935066486959252E-2</v>
      </c>
      <c r="C441" s="12">
        <f>(1-1/(1+'[1]McCulloch data set'!N439/100)^10)/((1/(1+'[1]McCulloch data set'!J439/100))+1/(1+'[1]McCulloch data set'!K439/100)^2+1/(1+'[1]McCulloch data set'!L439/100)^3+1/(1+'[1]McCulloch data set'!M439/100)^4+1/(1+'[1]McCulloch data set'!N439/100)^5+1/(1+('[1]McCulloch data set'!N439+'[1]McCulloch data set'!O439)/2/100)^6+1/(1+('[1]McCulloch data set'!N439+'[1]McCulloch data set'!O439)/2/100)^7+1/(1+('[1]McCulloch data set'!N439+'[1]McCulloch data set'!O439)/2/100)^8+1/(1+('[1]McCulloch data set'!N439+'[1]McCulloch data set'!O439)/2/100)^9+1/(1+('[1]McCulloch data set'!O439/100)^10))</f>
        <v>8.9846203789680223E-2</v>
      </c>
    </row>
    <row r="442" spans="1:3" ht="13.8" x14ac:dyDescent="0.25">
      <c r="A442" s="4" t="s">
        <v>454</v>
      </c>
      <c r="B442" s="12">
        <f>(1-1/(1+'[1]McCulloch data set'!N440/100)^5)/((1/(1+'[1]McCulloch data set'!J440/100))+1/(1+'[1]McCulloch data set'!K440/100)^2+1/(1+'[1]McCulloch data set'!L440/100)^3+1/(1+'[1]McCulloch data set'!M440/100)^4+1/(1+'[1]McCulloch data set'!N440/100)^5)</f>
        <v>0.10237022845596987</v>
      </c>
      <c r="C442" s="12">
        <f>(1-1/(1+'[1]McCulloch data set'!N440/100)^10)/((1/(1+'[1]McCulloch data set'!J440/100))+1/(1+'[1]McCulloch data set'!K440/100)^2+1/(1+'[1]McCulloch data set'!L440/100)^3+1/(1+'[1]McCulloch data set'!M440/100)^4+1/(1+'[1]McCulloch data set'!N440/100)^5+1/(1+('[1]McCulloch data set'!N440+'[1]McCulloch data set'!O440)/2/100)^6+1/(1+('[1]McCulloch data set'!N440+'[1]McCulloch data set'!O440)/2/100)^7+1/(1+('[1]McCulloch data set'!N440+'[1]McCulloch data set'!O440)/2/100)^8+1/(1+('[1]McCulloch data set'!N440+'[1]McCulloch data set'!O440)/2/100)^9+1/(1+('[1]McCulloch data set'!O440/100)^10))</f>
        <v>9.3384680537414264E-2</v>
      </c>
    </row>
    <row r="443" spans="1:3" ht="13.8" x14ac:dyDescent="0.25">
      <c r="A443" s="4" t="s">
        <v>455</v>
      </c>
      <c r="B443" s="12">
        <f>(1-1/(1+'[1]McCulloch data set'!N441/100)^5)/((1/(1+'[1]McCulloch data set'!J441/100))+1/(1+'[1]McCulloch data set'!K441/100)^2+1/(1+'[1]McCulloch data set'!L441/100)^3+1/(1+'[1]McCulloch data set'!M441/100)^4+1/(1+'[1]McCulloch data set'!N441/100)^5)</f>
        <v>9.8847753907951308E-2</v>
      </c>
      <c r="C443" s="12">
        <f>(1-1/(1+'[1]McCulloch data set'!N441/100)^10)/((1/(1+'[1]McCulloch data set'!J441/100))+1/(1+'[1]McCulloch data set'!K441/100)^2+1/(1+'[1]McCulloch data set'!L441/100)^3+1/(1+'[1]McCulloch data set'!M441/100)^4+1/(1+'[1]McCulloch data set'!N441/100)^5+1/(1+('[1]McCulloch data set'!N441+'[1]McCulloch data set'!O441)/2/100)^6+1/(1+('[1]McCulloch data set'!N441+'[1]McCulloch data set'!O441)/2/100)^7+1/(1+('[1]McCulloch data set'!N441+'[1]McCulloch data set'!O441)/2/100)^8+1/(1+('[1]McCulloch data set'!N441+'[1]McCulloch data set'!O441)/2/100)^9+1/(1+('[1]McCulloch data set'!O441/100)^10))</f>
        <v>9.0531314730908502E-2</v>
      </c>
    </row>
    <row r="444" spans="1:3" ht="13.8" x14ac:dyDescent="0.25">
      <c r="A444" s="4" t="s">
        <v>456</v>
      </c>
      <c r="B444" s="12">
        <f>(1-1/(1+'[1]McCulloch data set'!N442/100)^5)/((1/(1+'[1]McCulloch data set'!J442/100))+1/(1+'[1]McCulloch data set'!K442/100)^2+1/(1+'[1]McCulloch data set'!L442/100)^3+1/(1+'[1]McCulloch data set'!M442/100)^4+1/(1+'[1]McCulloch data set'!N442/100)^5)</f>
        <v>0.10435974941165958</v>
      </c>
      <c r="C444" s="12">
        <f>(1-1/(1+'[1]McCulloch data set'!N442/100)^10)/((1/(1+'[1]McCulloch data set'!J442/100))+1/(1+'[1]McCulloch data set'!K442/100)^2+1/(1+'[1]McCulloch data set'!L442/100)^3+1/(1+'[1]McCulloch data set'!M442/100)^4+1/(1+'[1]McCulloch data set'!N442/100)^5+1/(1+('[1]McCulloch data set'!N442+'[1]McCulloch data set'!O442)/2/100)^6+1/(1+('[1]McCulloch data set'!N442+'[1]McCulloch data set'!O442)/2/100)^7+1/(1+('[1]McCulloch data set'!N442+'[1]McCulloch data set'!O442)/2/100)^8+1/(1+('[1]McCulloch data set'!N442+'[1]McCulloch data set'!O442)/2/100)^9+1/(1+('[1]McCulloch data set'!O442/100)^10))</f>
        <v>9.5061929674895601E-2</v>
      </c>
    </row>
    <row r="445" spans="1:3" ht="13.8" x14ac:dyDescent="0.25">
      <c r="A445" s="4" t="s">
        <v>457</v>
      </c>
      <c r="B445" s="12">
        <f>(1-1/(1+'[1]McCulloch data set'!N443/100)^5)/((1/(1+'[1]McCulloch data set'!J443/100))+1/(1+'[1]McCulloch data set'!K443/100)^2+1/(1+'[1]McCulloch data set'!L443/100)^3+1/(1+'[1]McCulloch data set'!M443/100)^4+1/(1+'[1]McCulloch data set'!N443/100)^5)</f>
        <v>0.10615348013777941</v>
      </c>
      <c r="C445" s="12">
        <f>(1-1/(1+'[1]McCulloch data set'!N443/100)^10)/((1/(1+'[1]McCulloch data set'!J443/100))+1/(1+'[1]McCulloch data set'!K443/100)^2+1/(1+'[1]McCulloch data set'!L443/100)^3+1/(1+'[1]McCulloch data set'!M443/100)^4+1/(1+'[1]McCulloch data set'!N443/100)^5+1/(1+('[1]McCulloch data set'!N443+'[1]McCulloch data set'!O443)/2/100)^6+1/(1+('[1]McCulloch data set'!N443+'[1]McCulloch data set'!O443)/2/100)^7+1/(1+('[1]McCulloch data set'!N443+'[1]McCulloch data set'!O443)/2/100)^8+1/(1+('[1]McCulloch data set'!N443+'[1]McCulloch data set'!O443)/2/100)^9+1/(1+('[1]McCulloch data set'!O443/100)^10))</f>
        <v>9.6475160050183348E-2</v>
      </c>
    </row>
    <row r="446" spans="1:3" ht="13.8" x14ac:dyDescent="0.25">
      <c r="A446" s="4" t="s">
        <v>458</v>
      </c>
      <c r="B446" s="12">
        <f>(1-1/(1+'[1]McCulloch data set'!N444/100)^5)/((1/(1+'[1]McCulloch data set'!J444/100))+1/(1+'[1]McCulloch data set'!K444/100)^2+1/(1+'[1]McCulloch data set'!L444/100)^3+1/(1+'[1]McCulloch data set'!M444/100)^4+1/(1+'[1]McCulloch data set'!N444/100)^5)</f>
        <v>0.11439084551311109</v>
      </c>
      <c r="C446" s="12">
        <f>(1-1/(1+'[1]McCulloch data set'!N444/100)^10)/((1/(1+'[1]McCulloch data set'!J444/100))+1/(1+'[1]McCulloch data set'!K444/100)^2+1/(1+'[1]McCulloch data set'!L444/100)^3+1/(1+'[1]McCulloch data set'!M444/100)^4+1/(1+'[1]McCulloch data set'!N444/100)^5+1/(1+('[1]McCulloch data set'!N444+'[1]McCulloch data set'!O444)/2/100)^6+1/(1+('[1]McCulloch data set'!N444+'[1]McCulloch data set'!O444)/2/100)^7+1/(1+('[1]McCulloch data set'!N444+'[1]McCulloch data set'!O444)/2/100)^8+1/(1+('[1]McCulloch data set'!N444+'[1]McCulloch data set'!O444)/2/100)^9+1/(1+('[1]McCulloch data set'!O444/100)^10))</f>
        <v>0.10314931031051845</v>
      </c>
    </row>
    <row r="447" spans="1:3" ht="13.8" x14ac:dyDescent="0.25">
      <c r="A447" s="4" t="s">
        <v>459</v>
      </c>
      <c r="B447" s="12">
        <f>(1-1/(1+'[1]McCulloch data set'!N445/100)^5)/((1/(1+'[1]McCulloch data set'!J445/100))+1/(1+'[1]McCulloch data set'!K445/100)^2+1/(1+'[1]McCulloch data set'!L445/100)^3+1/(1+'[1]McCulloch data set'!M445/100)^4+1/(1+'[1]McCulloch data set'!N445/100)^5)</f>
        <v>0.11593501550560317</v>
      </c>
      <c r="C447" s="12">
        <f>(1-1/(1+'[1]McCulloch data set'!N445/100)^10)/((1/(1+'[1]McCulloch data set'!J445/100))+1/(1+'[1]McCulloch data set'!K445/100)^2+1/(1+'[1]McCulloch data set'!L445/100)^3+1/(1+'[1]McCulloch data set'!M445/100)^4+1/(1+'[1]McCulloch data set'!N445/100)^5+1/(1+('[1]McCulloch data set'!N445+'[1]McCulloch data set'!O445)/2/100)^6+1/(1+('[1]McCulloch data set'!N445+'[1]McCulloch data set'!O445)/2/100)^7+1/(1+('[1]McCulloch data set'!N445+'[1]McCulloch data set'!O445)/2/100)^8+1/(1+('[1]McCulloch data set'!N445+'[1]McCulloch data set'!O445)/2/100)^9+1/(1+('[1]McCulloch data set'!O445/100)^10))</f>
        <v>0.1042658494170092</v>
      </c>
    </row>
    <row r="448" spans="1:3" ht="13.8" x14ac:dyDescent="0.25">
      <c r="A448" s="4" t="s">
        <v>460</v>
      </c>
      <c r="B448" s="12">
        <f>(1-1/(1+'[1]McCulloch data set'!N446/100)^5)/((1/(1+'[1]McCulloch data set'!J446/100))+1/(1+'[1]McCulloch data set'!K446/100)^2+1/(1+'[1]McCulloch data set'!L446/100)^3+1/(1+'[1]McCulloch data set'!M446/100)^4+1/(1+'[1]McCulloch data set'!N446/100)^5)</f>
        <v>0.11018223465109167</v>
      </c>
      <c r="C448" s="12">
        <f>(1-1/(1+'[1]McCulloch data set'!N446/100)^10)/((1/(1+'[1]McCulloch data set'!J446/100))+1/(1+'[1]McCulloch data set'!K446/100)^2+1/(1+'[1]McCulloch data set'!L446/100)^3+1/(1+'[1]McCulloch data set'!M446/100)^4+1/(1+'[1]McCulloch data set'!N446/100)^5+1/(1+('[1]McCulloch data set'!N446+'[1]McCulloch data set'!O446)/2/100)^6+1/(1+('[1]McCulloch data set'!N446+'[1]McCulloch data set'!O446)/2/100)^7+1/(1+('[1]McCulloch data set'!N446+'[1]McCulloch data set'!O446)/2/100)^8+1/(1+('[1]McCulloch data set'!N446+'[1]McCulloch data set'!O446)/2/100)^9+1/(1+('[1]McCulloch data set'!O446/100)^10))</f>
        <v>9.9810796813453728E-2</v>
      </c>
    </row>
    <row r="449" spans="1:3" ht="13.8" x14ac:dyDescent="0.25">
      <c r="A449" s="4" t="s">
        <v>461</v>
      </c>
      <c r="B449" s="12">
        <f>(1-1/(1+'[1]McCulloch data set'!N447/100)^5)/((1/(1+'[1]McCulloch data set'!J447/100))+1/(1+'[1]McCulloch data set'!K447/100)^2+1/(1+'[1]McCulloch data set'!L447/100)^3+1/(1+'[1]McCulloch data set'!M447/100)^4+1/(1+'[1]McCulloch data set'!N447/100)^5)</f>
        <v>0.11166443507115929</v>
      </c>
      <c r="C449" s="12">
        <f>(1-1/(1+'[1]McCulloch data set'!N447/100)^10)/((1/(1+'[1]McCulloch data set'!J447/100))+1/(1+'[1]McCulloch data set'!K447/100)^2+1/(1+'[1]McCulloch data set'!L447/100)^3+1/(1+'[1]McCulloch data set'!M447/100)^4+1/(1+'[1]McCulloch data set'!N447/100)^5+1/(1+('[1]McCulloch data set'!N447+'[1]McCulloch data set'!O447)/2/100)^6+1/(1+('[1]McCulloch data set'!N447+'[1]McCulloch data set'!O447)/2/100)^7+1/(1+('[1]McCulloch data set'!N447+'[1]McCulloch data set'!O447)/2/100)^8+1/(1+('[1]McCulloch data set'!N447+'[1]McCulloch data set'!O447)/2/100)^9+1/(1+('[1]McCulloch data set'!O447/100)^10))</f>
        <v>0.10113715343708073</v>
      </c>
    </row>
    <row r="450" spans="1:3" ht="13.8" x14ac:dyDescent="0.25">
      <c r="A450" s="4" t="s">
        <v>462</v>
      </c>
      <c r="B450" s="12">
        <f>(1-1/(1+'[1]McCulloch data set'!N448/100)^5)/((1/(1+'[1]McCulloch data set'!J448/100))+1/(1+'[1]McCulloch data set'!K448/100)^2+1/(1+'[1]McCulloch data set'!L448/100)^3+1/(1+'[1]McCulloch data set'!M448/100)^4+1/(1+'[1]McCulloch data set'!N448/100)^5)</f>
        <v>0.11143399176847631</v>
      </c>
      <c r="C450" s="12">
        <f>(1-1/(1+'[1]McCulloch data set'!N448/100)^10)/((1/(1+'[1]McCulloch data set'!J448/100))+1/(1+'[1]McCulloch data set'!K448/100)^2+1/(1+'[1]McCulloch data set'!L448/100)^3+1/(1+'[1]McCulloch data set'!M448/100)^4+1/(1+'[1]McCulloch data set'!N448/100)^5+1/(1+('[1]McCulloch data set'!N448+'[1]McCulloch data set'!O448)/2/100)^6+1/(1+('[1]McCulloch data set'!N448+'[1]McCulloch data set'!O448)/2/100)^7+1/(1+('[1]McCulloch data set'!N448+'[1]McCulloch data set'!O448)/2/100)^8+1/(1+('[1]McCulloch data set'!N448+'[1]McCulloch data set'!O448)/2/100)^9+1/(1+('[1]McCulloch data set'!O448/100)^10))</f>
        <v>0.10080174666274103</v>
      </c>
    </row>
    <row r="451" spans="1:3" ht="13.8" x14ac:dyDescent="0.25">
      <c r="A451" s="4" t="s">
        <v>463</v>
      </c>
      <c r="B451" s="12">
        <f>(1-1/(1+'[1]McCulloch data set'!N449/100)^5)/((1/(1+'[1]McCulloch data set'!J449/100))+1/(1+'[1]McCulloch data set'!K449/100)^2+1/(1+'[1]McCulloch data set'!L449/100)^3+1/(1+'[1]McCulloch data set'!M449/100)^4+1/(1+'[1]McCulloch data set'!N449/100)^5)</f>
        <v>0.11311535345429861</v>
      </c>
      <c r="C451" s="12">
        <f>(1-1/(1+'[1]McCulloch data set'!N449/100)^10)/((1/(1+'[1]McCulloch data set'!J449/100))+1/(1+'[1]McCulloch data set'!K449/100)^2+1/(1+'[1]McCulloch data set'!L449/100)^3+1/(1+'[1]McCulloch data set'!M449/100)^4+1/(1+'[1]McCulloch data set'!N449/100)^5+1/(1+('[1]McCulloch data set'!N449+'[1]McCulloch data set'!O449)/2/100)^6+1/(1+('[1]McCulloch data set'!N449+'[1]McCulloch data set'!O449)/2/100)^7+1/(1+('[1]McCulloch data set'!N449+'[1]McCulloch data set'!O449)/2/100)^8+1/(1+('[1]McCulloch data set'!N449+'[1]McCulloch data set'!O449)/2/100)^9+1/(1+('[1]McCulloch data set'!O449/100)^10))</f>
        <v>0.10218325444451494</v>
      </c>
    </row>
    <row r="452" spans="1:3" ht="13.8" x14ac:dyDescent="0.25">
      <c r="A452" s="4" t="s">
        <v>464</v>
      </c>
      <c r="B452" s="12">
        <f>(1-1/(1+'[1]McCulloch data set'!N450/100)^5)/((1/(1+'[1]McCulloch data set'!J450/100))+1/(1+'[1]McCulloch data set'!K450/100)^2+1/(1+'[1]McCulloch data set'!L450/100)^3+1/(1+'[1]McCulloch data set'!M450/100)^4+1/(1+'[1]McCulloch data set'!N450/100)^5)</f>
        <v>0.11082754274318284</v>
      </c>
      <c r="C452" s="12">
        <f>(1-1/(1+'[1]McCulloch data set'!N450/100)^10)/((1/(1+'[1]McCulloch data set'!J450/100))+1/(1+'[1]McCulloch data set'!K450/100)^2+1/(1+'[1]McCulloch data set'!L450/100)^3+1/(1+'[1]McCulloch data set'!M450/100)^4+1/(1+'[1]McCulloch data set'!N450/100)^5+1/(1+('[1]McCulloch data set'!N450+'[1]McCulloch data set'!O450)/2/100)^6+1/(1+('[1]McCulloch data set'!N450+'[1]McCulloch data set'!O450)/2/100)^7+1/(1+('[1]McCulloch data set'!N450+'[1]McCulloch data set'!O450)/2/100)^8+1/(1+('[1]McCulloch data set'!N450+'[1]McCulloch data set'!O450)/2/100)^9+1/(1+('[1]McCulloch data set'!O450/100)^10))</f>
        <v>0.10042305749773968</v>
      </c>
    </row>
    <row r="453" spans="1:3" ht="13.8" x14ac:dyDescent="0.25">
      <c r="A453" s="4" t="s">
        <v>465</v>
      </c>
      <c r="B453" s="12">
        <f>(1-1/(1+'[1]McCulloch data set'!N451/100)^5)/((1/(1+'[1]McCulloch data set'!J451/100))+1/(1+'[1]McCulloch data set'!K451/100)^2+1/(1+'[1]McCulloch data set'!L451/100)^3+1/(1+'[1]McCulloch data set'!M451/100)^4+1/(1+'[1]McCulloch data set'!N451/100)^5)</f>
        <v>0.1148189336277407</v>
      </c>
      <c r="C453" s="12">
        <f>(1-1/(1+'[1]McCulloch data set'!N451/100)^10)/((1/(1+'[1]McCulloch data set'!J451/100))+1/(1+'[1]McCulloch data set'!K451/100)^2+1/(1+'[1]McCulloch data set'!L451/100)^3+1/(1+'[1]McCulloch data set'!M451/100)^4+1/(1+'[1]McCulloch data set'!N451/100)^5+1/(1+('[1]McCulloch data set'!N451+'[1]McCulloch data set'!O451)/2/100)^6+1/(1+('[1]McCulloch data set'!N451+'[1]McCulloch data set'!O451)/2/100)^7+1/(1+('[1]McCulloch data set'!N451+'[1]McCulloch data set'!O451)/2/100)^8+1/(1+('[1]McCulloch data set'!N451+'[1]McCulloch data set'!O451)/2/100)^9+1/(1+('[1]McCulloch data set'!O451/100)^10))</f>
        <v>0.10359170419171809</v>
      </c>
    </row>
    <row r="454" spans="1:3" ht="13.8" x14ac:dyDescent="0.25">
      <c r="A454" s="4" t="s">
        <v>466</v>
      </c>
      <c r="B454" s="12">
        <f>(1-1/(1+'[1]McCulloch data set'!N452/100)^5)/((1/(1+'[1]McCulloch data set'!J452/100))+1/(1+'[1]McCulloch data set'!K452/100)^2+1/(1+'[1]McCulloch data set'!L452/100)^3+1/(1+'[1]McCulloch data set'!M452/100)^4+1/(1+'[1]McCulloch data set'!N452/100)^5)</f>
        <v>0.11950885258259614</v>
      </c>
      <c r="C454" s="12">
        <f>(1-1/(1+'[1]McCulloch data set'!N452/100)^10)/((1/(1+'[1]McCulloch data set'!J452/100))+1/(1+'[1]McCulloch data set'!K452/100)^2+1/(1+'[1]McCulloch data set'!L452/100)^3+1/(1+'[1]McCulloch data set'!M452/100)^4+1/(1+'[1]McCulloch data set'!N452/100)^5+1/(1+('[1]McCulloch data set'!N452+'[1]McCulloch data set'!O452)/2/100)^6+1/(1+('[1]McCulloch data set'!N452+'[1]McCulloch data set'!O452)/2/100)^7+1/(1+('[1]McCulloch data set'!N452+'[1]McCulloch data set'!O452)/2/100)^8+1/(1+('[1]McCulloch data set'!N452+'[1]McCulloch data set'!O452)/2/100)^9+1/(1+('[1]McCulloch data set'!O452/100)^10))</f>
        <v>0.10731961760153744</v>
      </c>
    </row>
    <row r="455" spans="1:3" ht="13.8" x14ac:dyDescent="0.25">
      <c r="A455" s="4" t="s">
        <v>467</v>
      </c>
      <c r="B455" s="12">
        <f>(1-1/(1+'[1]McCulloch data set'!N453/100)^5)/((1/(1+'[1]McCulloch data set'!J453/100))+1/(1+'[1]McCulloch data set'!K453/100)^2+1/(1+'[1]McCulloch data set'!L453/100)^3+1/(1+'[1]McCulloch data set'!M453/100)^4+1/(1+'[1]McCulloch data set'!N453/100)^5)</f>
        <v>0.12217744539109487</v>
      </c>
      <c r="C455" s="12">
        <f>(1-1/(1+'[1]McCulloch data set'!N453/100)^10)/((1/(1+'[1]McCulloch data set'!J453/100))+1/(1+'[1]McCulloch data set'!K453/100)^2+1/(1+'[1]McCulloch data set'!L453/100)^3+1/(1+'[1]McCulloch data set'!M453/100)^4+1/(1+'[1]McCulloch data set'!N453/100)^5+1/(1+('[1]McCulloch data set'!N453+'[1]McCulloch data set'!O453)/2/100)^6+1/(1+('[1]McCulloch data set'!N453+'[1]McCulloch data set'!O453)/2/100)^7+1/(1+('[1]McCulloch data set'!N453+'[1]McCulloch data set'!O453)/2/100)^8+1/(1+('[1]McCulloch data set'!N453+'[1]McCulloch data set'!O453)/2/100)^9+1/(1+('[1]McCulloch data set'!O453/100)^10))</f>
        <v>0.10946925164732342</v>
      </c>
    </row>
    <row r="456" spans="1:3" ht="13.8" x14ac:dyDescent="0.25">
      <c r="A456" s="4" t="s">
        <v>468</v>
      </c>
      <c r="B456" s="12">
        <f>(1-1/(1+'[1]McCulloch data set'!N454/100)^5)/((1/(1+'[1]McCulloch data set'!J454/100))+1/(1+'[1]McCulloch data set'!K454/100)^2+1/(1+'[1]McCulloch data set'!L454/100)^3+1/(1+'[1]McCulloch data set'!M454/100)^4+1/(1+'[1]McCulloch data set'!N454/100)^5)</f>
        <v>0.13333589950949218</v>
      </c>
      <c r="C456" s="12">
        <f>(1-1/(1+'[1]McCulloch data set'!N454/100)^10)/((1/(1+'[1]McCulloch data set'!J454/100))+1/(1+'[1]McCulloch data set'!K454/100)^2+1/(1+'[1]McCulloch data set'!L454/100)^3+1/(1+'[1]McCulloch data set'!M454/100)^4+1/(1+'[1]McCulloch data set'!N454/100)^5+1/(1+('[1]McCulloch data set'!N454+'[1]McCulloch data set'!O454)/2/100)^6+1/(1+('[1]McCulloch data set'!N454+'[1]McCulloch data set'!O454)/2/100)^7+1/(1+('[1]McCulloch data set'!N454+'[1]McCulloch data set'!O454)/2/100)^8+1/(1+('[1]McCulloch data set'!N454+'[1]McCulloch data set'!O454)/2/100)^9+1/(1+('[1]McCulloch data set'!O454/100)^10))</f>
        <v>0.11811234049660997</v>
      </c>
    </row>
    <row r="457" spans="1:3" ht="13.8" x14ac:dyDescent="0.25">
      <c r="A457" s="4" t="s">
        <v>469</v>
      </c>
      <c r="B457" s="12">
        <f>(1-1/(1+'[1]McCulloch data set'!N455/100)^5)/((1/(1+'[1]McCulloch data set'!J455/100))+1/(1+'[1]McCulloch data set'!K455/100)^2+1/(1+'[1]McCulloch data set'!L455/100)^3+1/(1+'[1]McCulloch data set'!M455/100)^4+1/(1+'[1]McCulloch data set'!N455/100)^5)</f>
        <v>0.13299658887866508</v>
      </c>
      <c r="C457" s="12">
        <f>(1-1/(1+'[1]McCulloch data set'!N455/100)^10)/((1/(1+'[1]McCulloch data set'!J455/100))+1/(1+'[1]McCulloch data set'!K455/100)^2+1/(1+'[1]McCulloch data set'!L455/100)^3+1/(1+'[1]McCulloch data set'!M455/100)^4+1/(1+'[1]McCulloch data set'!N455/100)^5+1/(1+('[1]McCulloch data set'!N455+'[1]McCulloch data set'!O455)/2/100)^6+1/(1+('[1]McCulloch data set'!N455+'[1]McCulloch data set'!O455)/2/100)^7+1/(1+('[1]McCulloch data set'!N455+'[1]McCulloch data set'!O455)/2/100)^8+1/(1+('[1]McCulloch data set'!N455+'[1]McCulloch data set'!O455)/2/100)^9+1/(1+('[1]McCulloch data set'!O455/100)^10))</f>
        <v>0.11776350412193616</v>
      </c>
    </row>
    <row r="458" spans="1:3" ht="13.8" x14ac:dyDescent="0.25">
      <c r="A458" s="4" t="s">
        <v>470</v>
      </c>
      <c r="B458" s="12">
        <f>(1-1/(1+'[1]McCulloch data set'!N456/100)^5)/((1/(1+'[1]McCulloch data set'!J456/100))+1/(1+'[1]McCulloch data set'!K456/100)^2+1/(1+'[1]McCulloch data set'!L456/100)^3+1/(1+'[1]McCulloch data set'!M456/100)^4+1/(1+'[1]McCulloch data set'!N456/100)^5)</f>
        <v>0.12465771531550496</v>
      </c>
      <c r="C458" s="12">
        <f>(1-1/(1+'[1]McCulloch data set'!N456/100)^10)/((1/(1+'[1]McCulloch data set'!J456/100))+1/(1+'[1]McCulloch data set'!K456/100)^2+1/(1+'[1]McCulloch data set'!L456/100)^3+1/(1+'[1]McCulloch data set'!M456/100)^4+1/(1+'[1]McCulloch data set'!N456/100)^5+1/(1+('[1]McCulloch data set'!N456+'[1]McCulloch data set'!O456)/2/100)^6+1/(1+('[1]McCulloch data set'!N456+'[1]McCulloch data set'!O456)/2/100)^7+1/(1+('[1]McCulloch data set'!N456+'[1]McCulloch data set'!O456)/2/100)^8+1/(1+('[1]McCulloch data set'!N456+'[1]McCulloch data set'!O456)/2/100)^9+1/(1+('[1]McCulloch data set'!O456/100)^10))</f>
        <v>0.11111873716153589</v>
      </c>
    </row>
    <row r="459" spans="1:3" ht="13.8" x14ac:dyDescent="0.25">
      <c r="A459" s="4" t="s">
        <v>471</v>
      </c>
      <c r="B459" s="12">
        <f>(1-1/(1+'[1]McCulloch data set'!N457/100)^5)/((1/(1+'[1]McCulloch data set'!J457/100))+1/(1+'[1]McCulloch data set'!K457/100)^2+1/(1+'[1]McCulloch data set'!L457/100)^3+1/(1+'[1]McCulloch data set'!M457/100)^4+1/(1+'[1]McCulloch data set'!N457/100)^5)</f>
        <v>0.12433424625351934</v>
      </c>
      <c r="C459" s="12">
        <f>(1-1/(1+'[1]McCulloch data set'!N457/100)^10)/((1/(1+'[1]McCulloch data set'!J457/100))+1/(1+'[1]McCulloch data set'!K457/100)^2+1/(1+'[1]McCulloch data set'!L457/100)^3+1/(1+'[1]McCulloch data set'!M457/100)^4+1/(1+'[1]McCulloch data set'!N457/100)^5+1/(1+('[1]McCulloch data set'!N457+'[1]McCulloch data set'!O457)/2/100)^6+1/(1+('[1]McCulloch data set'!N457+'[1]McCulloch data set'!O457)/2/100)^7+1/(1+('[1]McCulloch data set'!N457+'[1]McCulloch data set'!O457)/2/100)^8+1/(1+('[1]McCulloch data set'!N457+'[1]McCulloch data set'!O457)/2/100)^9+1/(1+('[1]McCulloch data set'!O457/100)^10))</f>
        <v>0.11072469827217815</v>
      </c>
    </row>
    <row r="460" spans="1:3" ht="13.8" x14ac:dyDescent="0.25">
      <c r="A460" s="4" t="s">
        <v>472</v>
      </c>
      <c r="B460" s="12">
        <f>(1-1/(1+'[1]McCulloch data set'!N458/100)^5)/((1/(1+'[1]McCulloch data set'!J458/100))+1/(1+'[1]McCulloch data set'!K458/100)^2+1/(1+'[1]McCulloch data set'!L458/100)^3+1/(1+'[1]McCulloch data set'!M458/100)^4+1/(1+'[1]McCulloch data set'!N458/100)^5)</f>
        <v>0.12138875502726888</v>
      </c>
      <c r="C460" s="12">
        <f>(1-1/(1+'[1]McCulloch data set'!N458/100)^10)/((1/(1+'[1]McCulloch data set'!J458/100))+1/(1+'[1]McCulloch data set'!K458/100)^2+1/(1+'[1]McCulloch data set'!L458/100)^3+1/(1+'[1]McCulloch data set'!M458/100)^4+1/(1+'[1]McCulloch data set'!N458/100)^5+1/(1+('[1]McCulloch data set'!N458+'[1]McCulloch data set'!O458)/2/100)^6+1/(1+('[1]McCulloch data set'!N458+'[1]McCulloch data set'!O458)/2/100)^7+1/(1+('[1]McCulloch data set'!N458+'[1]McCulloch data set'!O458)/2/100)^8+1/(1+('[1]McCulloch data set'!N458+'[1]McCulloch data set'!O458)/2/100)^9+1/(1+('[1]McCulloch data set'!O458/100)^10))</f>
        <v>0.10839379183122831</v>
      </c>
    </row>
    <row r="461" spans="1:3" ht="13.8" x14ac:dyDescent="0.25">
      <c r="A461" s="4" t="s">
        <v>473</v>
      </c>
      <c r="B461" s="12">
        <f>(1-1/(1+'[1]McCulloch data set'!N459/100)^5)/((1/(1+'[1]McCulloch data set'!J459/100))+1/(1+'[1]McCulloch data set'!K459/100)^2+1/(1+'[1]McCulloch data set'!L459/100)^3+1/(1+'[1]McCulloch data set'!M459/100)^4+1/(1+'[1]McCulloch data set'!N459/100)^5)</f>
        <v>0.11312562733361625</v>
      </c>
      <c r="C461" s="12">
        <f>(1-1/(1+'[1]McCulloch data set'!N459/100)^10)/((1/(1+'[1]McCulloch data set'!J459/100))+1/(1+'[1]McCulloch data set'!K459/100)^2+1/(1+'[1]McCulloch data set'!L459/100)^3+1/(1+'[1]McCulloch data set'!M459/100)^4+1/(1+'[1]McCulloch data set'!N459/100)^5+1/(1+('[1]McCulloch data set'!N459+'[1]McCulloch data set'!O459)/2/100)^6+1/(1+('[1]McCulloch data set'!N459+'[1]McCulloch data set'!O459)/2/100)^7+1/(1+('[1]McCulloch data set'!N459+'[1]McCulloch data set'!O459)/2/100)^8+1/(1+('[1]McCulloch data set'!N459+'[1]McCulloch data set'!O459)/2/100)^9+1/(1+('[1]McCulloch data set'!O459/100)^10))</f>
        <v>0.10200692987833812</v>
      </c>
    </row>
    <row r="462" spans="1:3" ht="13.8" x14ac:dyDescent="0.25">
      <c r="A462" s="4" t="s">
        <v>474</v>
      </c>
      <c r="B462" s="12">
        <f>(1-1/(1+'[1]McCulloch data set'!N460/100)^5)/((1/(1+'[1]McCulloch data set'!J460/100))+1/(1+'[1]McCulloch data set'!K460/100)^2+1/(1+'[1]McCulloch data set'!L460/100)^3+1/(1+'[1]McCulloch data set'!M460/100)^4+1/(1+'[1]McCulloch data set'!N460/100)^5)</f>
        <v>0.1109544792164867</v>
      </c>
      <c r="C462" s="12">
        <f>(1-1/(1+'[1]McCulloch data set'!N460/100)^10)/((1/(1+'[1]McCulloch data set'!J460/100))+1/(1+'[1]McCulloch data set'!K460/100)^2+1/(1+'[1]McCulloch data set'!L460/100)^3+1/(1+'[1]McCulloch data set'!M460/100)^4+1/(1+'[1]McCulloch data set'!N460/100)^5+1/(1+('[1]McCulloch data set'!N460+'[1]McCulloch data set'!O460)/2/100)^6+1/(1+('[1]McCulloch data set'!N460+'[1]McCulloch data set'!O460)/2/100)^7+1/(1+('[1]McCulloch data set'!N460+'[1]McCulloch data set'!O460)/2/100)^8+1/(1+('[1]McCulloch data set'!N460+'[1]McCulloch data set'!O460)/2/100)^9+1/(1+('[1]McCulloch data set'!O460/100)^10))</f>
        <v>0.1004572484518939</v>
      </c>
    </row>
    <row r="463" spans="1:3" ht="13.8" x14ac:dyDescent="0.25">
      <c r="A463" s="4" t="s">
        <v>475</v>
      </c>
      <c r="B463" s="12">
        <f>(1-1/(1+'[1]McCulloch data set'!N461/100)^5)/((1/(1+'[1]McCulloch data set'!J461/100))+1/(1+'[1]McCulloch data set'!K461/100)^2+1/(1+'[1]McCulloch data set'!L461/100)^3+1/(1+'[1]McCulloch data set'!M461/100)^4+1/(1+'[1]McCulloch data set'!N461/100)^5)</f>
        <v>0.10945202968163879</v>
      </c>
      <c r="C463" s="12">
        <f>(1-1/(1+'[1]McCulloch data set'!N461/100)^10)/((1/(1+'[1]McCulloch data set'!J461/100))+1/(1+'[1]McCulloch data set'!K461/100)^2+1/(1+'[1]McCulloch data set'!L461/100)^3+1/(1+'[1]McCulloch data set'!M461/100)^4+1/(1+'[1]McCulloch data set'!N461/100)^5+1/(1+('[1]McCulloch data set'!N461+'[1]McCulloch data set'!O461)/2/100)^6+1/(1+('[1]McCulloch data set'!N461+'[1]McCulloch data set'!O461)/2/100)^7+1/(1+('[1]McCulloch data set'!N461+'[1]McCulloch data set'!O461)/2/100)^8+1/(1+('[1]McCulloch data set'!N461+'[1]McCulloch data set'!O461)/2/100)^9+1/(1+('[1]McCulloch data set'!O461/100)^10))</f>
        <v>9.9465334880718279E-2</v>
      </c>
    </row>
    <row r="464" spans="1:3" ht="13.8" x14ac:dyDescent="0.25">
      <c r="A464" s="4" t="s">
        <v>476</v>
      </c>
      <c r="B464" s="12">
        <f>(1-1/(1+'[1]McCulloch data set'!N462/100)^5)/((1/(1+'[1]McCulloch data set'!J462/100))+1/(1+'[1]McCulloch data set'!K462/100)^2+1/(1+'[1]McCulloch data set'!L462/100)^3+1/(1+'[1]McCulloch data set'!M462/100)^4+1/(1+'[1]McCulloch data set'!N462/100)^5)</f>
        <v>0.10644182714007498</v>
      </c>
      <c r="C464" s="12">
        <f>(1-1/(1+'[1]McCulloch data set'!N462/100)^10)/((1/(1+'[1]McCulloch data set'!J462/100))+1/(1+'[1]McCulloch data set'!K462/100)^2+1/(1+'[1]McCulloch data set'!L462/100)^3+1/(1+'[1]McCulloch data set'!M462/100)^4+1/(1+'[1]McCulloch data set'!N462/100)^5+1/(1+('[1]McCulloch data set'!N462+'[1]McCulloch data set'!O462)/2/100)^6+1/(1+('[1]McCulloch data set'!N462+'[1]McCulloch data set'!O462)/2/100)^7+1/(1+('[1]McCulloch data set'!N462+'[1]McCulloch data set'!O462)/2/100)^8+1/(1+('[1]McCulloch data set'!N462+'[1]McCulloch data set'!O462)/2/100)^9+1/(1+('[1]McCulloch data set'!O462/100)^10))</f>
        <v>9.6921074982345271E-2</v>
      </c>
    </row>
    <row r="465" spans="1:3" ht="13.8" x14ac:dyDescent="0.25">
      <c r="A465" s="4" t="s">
        <v>477</v>
      </c>
      <c r="B465" s="12">
        <f>(1-1/(1+'[1]McCulloch data set'!N463/100)^5)/((1/(1+'[1]McCulloch data set'!J463/100))+1/(1+'[1]McCulloch data set'!K463/100)^2+1/(1+'[1]McCulloch data set'!L463/100)^3+1/(1+'[1]McCulloch data set'!M463/100)^4+1/(1+'[1]McCulloch data set'!N463/100)^5)</f>
        <v>0.11351961813362708</v>
      </c>
      <c r="C465" s="12">
        <f>(1-1/(1+'[1]McCulloch data set'!N463/100)^10)/((1/(1+'[1]McCulloch data set'!J463/100))+1/(1+'[1]McCulloch data set'!K463/100)^2+1/(1+'[1]McCulloch data set'!L463/100)^3+1/(1+'[1]McCulloch data set'!M463/100)^4+1/(1+'[1]McCulloch data set'!N463/100)^5+1/(1+('[1]McCulloch data set'!N463+'[1]McCulloch data set'!O463)/2/100)^6+1/(1+('[1]McCulloch data set'!N463+'[1]McCulloch data set'!O463)/2/100)^7+1/(1+('[1]McCulloch data set'!N463+'[1]McCulloch data set'!O463)/2/100)^8+1/(1+('[1]McCulloch data set'!N463+'[1]McCulloch data set'!O463)/2/100)^9+1/(1+('[1]McCulloch data set'!O463/100)^10))</f>
        <v>0.10271470623613597</v>
      </c>
    </row>
    <row r="466" spans="1:3" ht="13.8" x14ac:dyDescent="0.25">
      <c r="A466" s="4" t="s">
        <v>478</v>
      </c>
      <c r="B466" s="12">
        <f>(1-1/(1+'[1]McCulloch data set'!N464/100)^5)/((1/(1+'[1]McCulloch data set'!J464/100))+1/(1+'[1]McCulloch data set'!K464/100)^2+1/(1+'[1]McCulloch data set'!L464/100)^3+1/(1+'[1]McCulloch data set'!M464/100)^4+1/(1+'[1]McCulloch data set'!N464/100)^5)</f>
        <v>0.11136025675131535</v>
      </c>
      <c r="C466" s="12">
        <f>(1-1/(1+'[1]McCulloch data set'!N464/100)^10)/((1/(1+'[1]McCulloch data set'!J464/100))+1/(1+'[1]McCulloch data set'!K464/100)^2+1/(1+'[1]McCulloch data set'!L464/100)^3+1/(1+'[1]McCulloch data set'!M464/100)^4+1/(1+'[1]McCulloch data set'!N464/100)^5+1/(1+('[1]McCulloch data set'!N464+'[1]McCulloch data set'!O464)/2/100)^6+1/(1+('[1]McCulloch data set'!N464+'[1]McCulloch data set'!O464)/2/100)^7+1/(1+('[1]McCulloch data set'!N464+'[1]McCulloch data set'!O464)/2/100)^8+1/(1+('[1]McCulloch data set'!N464+'[1]McCulloch data set'!O464)/2/100)^9+1/(1+('[1]McCulloch data set'!O464/100)^10))</f>
        <v>0.10091390588618114</v>
      </c>
    </row>
    <row r="467" spans="1:3" ht="13.8" x14ac:dyDescent="0.25">
      <c r="A467" s="4" t="s">
        <v>479</v>
      </c>
      <c r="B467" s="12">
        <f>(1-1/(1+'[1]McCulloch data set'!N465/100)^5)/((1/(1+'[1]McCulloch data set'!J465/100))+1/(1+'[1]McCulloch data set'!K465/100)^2+1/(1+'[1]McCulloch data set'!L465/100)^3+1/(1+'[1]McCulloch data set'!M465/100)^4+1/(1+'[1]McCulloch data set'!N465/100)^5)</f>
        <v>0.10748042310081773</v>
      </c>
      <c r="C467" s="12">
        <f>(1-1/(1+'[1]McCulloch data set'!N465/100)^10)/((1/(1+'[1]McCulloch data set'!J465/100))+1/(1+'[1]McCulloch data set'!K465/100)^2+1/(1+'[1]McCulloch data set'!L465/100)^3+1/(1+'[1]McCulloch data set'!M465/100)^4+1/(1+'[1]McCulloch data set'!N465/100)^5+1/(1+('[1]McCulloch data set'!N465+'[1]McCulloch data set'!O465)/2/100)^6+1/(1+('[1]McCulloch data set'!N465+'[1]McCulloch data set'!O465)/2/100)^7+1/(1+('[1]McCulloch data set'!N465+'[1]McCulloch data set'!O465)/2/100)^8+1/(1+('[1]McCulloch data set'!N465+'[1]McCulloch data set'!O465)/2/100)^9+1/(1+('[1]McCulloch data set'!O465/100)^10))</f>
        <v>9.7959916559160476E-2</v>
      </c>
    </row>
    <row r="468" spans="1:3" ht="13.8" x14ac:dyDescent="0.25">
      <c r="A468" s="4" t="s">
        <v>480</v>
      </c>
      <c r="B468" s="12">
        <f>(1-1/(1+'[1]McCulloch data set'!N466/100)^5)/((1/(1+'[1]McCulloch data set'!J466/100))+1/(1+'[1]McCulloch data set'!K466/100)^2+1/(1+'[1]McCulloch data set'!L466/100)^3+1/(1+'[1]McCulloch data set'!M466/100)^4+1/(1+'[1]McCulloch data set'!N466/100)^5)</f>
        <v>9.732905643906456E-2</v>
      </c>
      <c r="C468" s="12">
        <f>(1-1/(1+'[1]McCulloch data set'!N466/100)^10)/((1/(1+'[1]McCulloch data set'!J466/100))+1/(1+'[1]McCulloch data set'!K466/100)^2+1/(1+'[1]McCulloch data set'!L466/100)^3+1/(1+'[1]McCulloch data set'!M466/100)^4+1/(1+'[1]McCulloch data set'!N466/100)^5+1/(1+('[1]McCulloch data set'!N466+'[1]McCulloch data set'!O466)/2/100)^6+1/(1+('[1]McCulloch data set'!N466+'[1]McCulloch data set'!O466)/2/100)^7+1/(1+('[1]McCulloch data set'!N466+'[1]McCulloch data set'!O466)/2/100)^8+1/(1+('[1]McCulloch data set'!N466+'[1]McCulloch data set'!O466)/2/100)^9+1/(1+('[1]McCulloch data set'!O466/100)^10))</f>
        <v>8.9505624839734316E-2</v>
      </c>
    </row>
    <row r="469" spans="1:3" ht="13.8" x14ac:dyDescent="0.25">
      <c r="A469" s="4" t="s">
        <v>481</v>
      </c>
      <c r="B469" s="12">
        <f>(1-1/(1+'[1]McCulloch data set'!N467/100)^5)/((1/(1+'[1]McCulloch data set'!J467/100))+1/(1+'[1]McCulloch data set'!K467/100)^2+1/(1+'[1]McCulloch data set'!L467/100)^3+1/(1+'[1]McCulloch data set'!M467/100)^4+1/(1+'[1]McCulloch data set'!N467/100)^5)</f>
        <v>9.7021212995748701E-2</v>
      </c>
      <c r="C469" s="12">
        <f>(1-1/(1+'[1]McCulloch data set'!N467/100)^10)/((1/(1+'[1]McCulloch data set'!J467/100))+1/(1+'[1]McCulloch data set'!K467/100)^2+1/(1+'[1]McCulloch data set'!L467/100)^3+1/(1+'[1]McCulloch data set'!M467/100)^4+1/(1+'[1]McCulloch data set'!N467/100)^5+1/(1+('[1]McCulloch data set'!N467+'[1]McCulloch data set'!O467)/2/100)^6+1/(1+('[1]McCulloch data set'!N467+'[1]McCulloch data set'!O467)/2/100)^7+1/(1+('[1]McCulloch data set'!N467+'[1]McCulloch data set'!O467)/2/100)^8+1/(1+('[1]McCulloch data set'!N467+'[1]McCulloch data set'!O467)/2/100)^9+1/(1+('[1]McCulloch data set'!O467/100)^10))</f>
        <v>8.9288492816456927E-2</v>
      </c>
    </row>
    <row r="470" spans="1:3" ht="13.8" x14ac:dyDescent="0.25">
      <c r="A470" s="4" t="s">
        <v>482</v>
      </c>
      <c r="B470" s="12">
        <f>(1-1/(1+'[1]McCulloch data set'!N468/100)^5)/((1/(1+'[1]McCulloch data set'!J468/100))+1/(1+'[1]McCulloch data set'!K468/100)^2+1/(1+'[1]McCulloch data set'!L468/100)^3+1/(1+'[1]McCulloch data set'!M468/100)^4+1/(1+'[1]McCulloch data set'!N468/100)^5)</f>
        <v>0.10022343294484608</v>
      </c>
      <c r="C470" s="12">
        <f>(1-1/(1+'[1]McCulloch data set'!N468/100)^10)/((1/(1+'[1]McCulloch data set'!J468/100))+1/(1+'[1]McCulloch data set'!K468/100)^2+1/(1+'[1]McCulloch data set'!L468/100)^3+1/(1+'[1]McCulloch data set'!M468/100)^4+1/(1+'[1]McCulloch data set'!N468/100)^5+1/(1+('[1]McCulloch data set'!N468+'[1]McCulloch data set'!O468)/2/100)^6+1/(1+('[1]McCulloch data set'!N468+'[1]McCulloch data set'!O468)/2/100)^7+1/(1+('[1]McCulloch data set'!N468+'[1]McCulloch data set'!O468)/2/100)^8+1/(1+('[1]McCulloch data set'!N468+'[1]McCulloch data set'!O468)/2/100)^9+1/(1+('[1]McCulloch data set'!O468/100)^10))</f>
        <v>9.1975002229356104E-2</v>
      </c>
    </row>
    <row r="471" spans="1:3" ht="13.8" x14ac:dyDescent="0.25">
      <c r="A471" s="4" t="s">
        <v>483</v>
      </c>
      <c r="B471" s="12">
        <f>(1-1/(1+'[1]McCulloch data set'!N469/100)^5)/((1/(1+'[1]McCulloch data set'!J469/100))+1/(1+'[1]McCulloch data set'!K469/100)^2+1/(1+'[1]McCulloch data set'!L469/100)^3+1/(1+'[1]McCulloch data set'!M469/100)^4+1/(1+'[1]McCulloch data set'!N469/100)^5)</f>
        <v>9.6820353246014249E-2</v>
      </c>
      <c r="C471" s="12">
        <f>(1-1/(1+'[1]McCulloch data set'!N469/100)^10)/((1/(1+'[1]McCulloch data set'!J469/100))+1/(1+'[1]McCulloch data set'!K469/100)^2+1/(1+'[1]McCulloch data set'!L469/100)^3+1/(1+'[1]McCulloch data set'!M469/100)^4+1/(1+'[1]McCulloch data set'!N469/100)^5+1/(1+('[1]McCulloch data set'!N469+'[1]McCulloch data set'!O469)/2/100)^6+1/(1+('[1]McCulloch data set'!N469+'[1]McCulloch data set'!O469)/2/100)^7+1/(1+('[1]McCulloch data set'!N469+'[1]McCulloch data set'!O469)/2/100)^8+1/(1+('[1]McCulloch data set'!N469+'[1]McCulloch data set'!O469)/2/100)^9+1/(1+('[1]McCulloch data set'!O469/100)^10))</f>
        <v>8.9106016763366575E-2</v>
      </c>
    </row>
    <row r="472" spans="1:3" ht="13.8" x14ac:dyDescent="0.25">
      <c r="A472" s="4" t="s">
        <v>484</v>
      </c>
      <c r="B472" s="12">
        <f>(1-1/(1+'[1]McCulloch data set'!N470/100)^5)/((1/(1+'[1]McCulloch data set'!J470/100))+1/(1+'[1]McCulloch data set'!K470/100)^2+1/(1+'[1]McCulloch data set'!L470/100)^3+1/(1+'[1]McCulloch data set'!M470/100)^4+1/(1+'[1]McCulloch data set'!N470/100)^5)</f>
        <v>9.7159011809487369E-2</v>
      </c>
      <c r="C472" s="12">
        <f>(1-1/(1+'[1]McCulloch data set'!N470/100)^10)/((1/(1+'[1]McCulloch data set'!J470/100))+1/(1+'[1]McCulloch data set'!K470/100)^2+1/(1+'[1]McCulloch data set'!L470/100)^3+1/(1+'[1]McCulloch data set'!M470/100)^4+1/(1+'[1]McCulloch data set'!N470/100)^5+1/(1+('[1]McCulloch data set'!N470+'[1]McCulloch data set'!O470)/2/100)^6+1/(1+('[1]McCulloch data set'!N470+'[1]McCulloch data set'!O470)/2/100)^7+1/(1+('[1]McCulloch data set'!N470+'[1]McCulloch data set'!O470)/2/100)^8+1/(1+('[1]McCulloch data set'!N470+'[1]McCulloch data set'!O470)/2/100)^9+1/(1+('[1]McCulloch data set'!O470/100)^10))</f>
        <v>8.9506379080822165E-2</v>
      </c>
    </row>
    <row r="473" spans="1:3" ht="13.8" x14ac:dyDescent="0.25">
      <c r="A473" s="4" t="s">
        <v>485</v>
      </c>
      <c r="B473" s="12">
        <f>(1-1/(1+'[1]McCulloch data set'!N471/100)^5)/((1/(1+'[1]McCulloch data set'!J471/100))+1/(1+'[1]McCulloch data set'!K471/100)^2+1/(1+'[1]McCulloch data set'!L471/100)^3+1/(1+'[1]McCulloch data set'!M471/100)^4+1/(1+'[1]McCulloch data set'!N471/100)^5)</f>
        <v>9.4115371506403644E-2</v>
      </c>
      <c r="C473" s="12">
        <f>(1-1/(1+'[1]McCulloch data set'!N471/100)^10)/((1/(1+'[1]McCulloch data set'!J471/100))+1/(1+'[1]McCulloch data set'!K471/100)^2+1/(1+'[1]McCulloch data set'!L471/100)^3+1/(1+'[1]McCulloch data set'!M471/100)^4+1/(1+'[1]McCulloch data set'!N471/100)^5+1/(1+('[1]McCulloch data set'!N471+'[1]McCulloch data set'!O471)/2/100)^6+1/(1+('[1]McCulloch data set'!N471+'[1]McCulloch data set'!O471)/2/100)^7+1/(1+('[1]McCulloch data set'!N471+'[1]McCulloch data set'!O471)/2/100)^8+1/(1+('[1]McCulloch data set'!N471+'[1]McCulloch data set'!O471)/2/100)^9+1/(1+('[1]McCulloch data set'!O471/100)^10))</f>
        <v>8.6868744735172226E-2</v>
      </c>
    </row>
    <row r="474" spans="1:3" ht="13.8" x14ac:dyDescent="0.25">
      <c r="A474" s="4" t="s">
        <v>486</v>
      </c>
      <c r="B474" s="12">
        <f>(1-1/(1+'[1]McCulloch data set'!N472/100)^5)/((1/(1+'[1]McCulloch data set'!J472/100))+1/(1+'[1]McCulloch data set'!K472/100)^2+1/(1+'[1]McCulloch data set'!L472/100)^3+1/(1+'[1]McCulloch data set'!M472/100)^4+1/(1+'[1]McCulloch data set'!N472/100)^5)</f>
        <v>9.13016056531753E-2</v>
      </c>
      <c r="C474" s="12">
        <f>(1-1/(1+'[1]McCulloch data set'!N472/100)^10)/((1/(1+'[1]McCulloch data set'!J472/100))+1/(1+'[1]McCulloch data set'!K472/100)^2+1/(1+'[1]McCulloch data set'!L472/100)^3+1/(1+'[1]McCulloch data set'!M472/100)^4+1/(1+'[1]McCulloch data set'!N472/100)^5+1/(1+('[1]McCulloch data set'!N472+'[1]McCulloch data set'!O472)/2/100)^6+1/(1+('[1]McCulloch data set'!N472+'[1]McCulloch data set'!O472)/2/100)^7+1/(1+('[1]McCulloch data set'!N472+'[1]McCulloch data set'!O472)/2/100)^8+1/(1+('[1]McCulloch data set'!N472+'[1]McCulloch data set'!O472)/2/100)^9+1/(1+('[1]McCulloch data set'!O472/100)^10))</f>
        <v>8.4315228423395172E-2</v>
      </c>
    </row>
    <row r="475" spans="1:3" ht="13.8" x14ac:dyDescent="0.25">
      <c r="A475" s="4" t="s">
        <v>487</v>
      </c>
      <c r="B475" s="12">
        <f>(1-1/(1+'[1]McCulloch data set'!N473/100)^5)/((1/(1+'[1]McCulloch data set'!J473/100))+1/(1+'[1]McCulloch data set'!K473/100)^2+1/(1+'[1]McCulloch data set'!L473/100)^3+1/(1+'[1]McCulloch data set'!M473/100)^4+1/(1+'[1]McCulloch data set'!N473/100)^5)</f>
        <v>8.4915165927215805E-2</v>
      </c>
      <c r="C475" s="12">
        <f>(1-1/(1+'[1]McCulloch data set'!N473/100)^10)/((1/(1+'[1]McCulloch data set'!J473/100))+1/(1+'[1]McCulloch data set'!K473/100)^2+1/(1+'[1]McCulloch data set'!L473/100)^3+1/(1+'[1]McCulloch data set'!M473/100)^4+1/(1+'[1]McCulloch data set'!N473/100)^5+1/(1+('[1]McCulloch data set'!N473+'[1]McCulloch data set'!O473)/2/100)^6+1/(1+('[1]McCulloch data set'!N473+'[1]McCulloch data set'!O473)/2/100)^7+1/(1+('[1]McCulloch data set'!N473+'[1]McCulloch data set'!O473)/2/100)^8+1/(1+('[1]McCulloch data set'!N473+'[1]McCulloch data set'!O473)/2/100)^9+1/(1+('[1]McCulloch data set'!O473/100)^10))</f>
        <v>7.887222026080451E-2</v>
      </c>
    </row>
    <row r="476" spans="1:3" ht="13.8" x14ac:dyDescent="0.25">
      <c r="A476" s="4" t="s">
        <v>488</v>
      </c>
      <c r="B476" s="12">
        <f>(1-1/(1+'[1]McCulloch data set'!N474/100)^5)/((1/(1+'[1]McCulloch data set'!J474/100))+1/(1+'[1]McCulloch data set'!K474/100)^2+1/(1+'[1]McCulloch data set'!L474/100)^3+1/(1+'[1]McCulloch data set'!M474/100)^4+1/(1+'[1]McCulloch data set'!N474/100)^5)</f>
        <v>8.5785325779464044E-2</v>
      </c>
      <c r="C476" s="12">
        <f>(1-1/(1+'[1]McCulloch data set'!N474/100)^10)/((1/(1+'[1]McCulloch data set'!J474/100))+1/(1+'[1]McCulloch data set'!K474/100)^2+1/(1+'[1]McCulloch data set'!L474/100)^3+1/(1+'[1]McCulloch data set'!M474/100)^4+1/(1+'[1]McCulloch data set'!N474/100)^5+1/(1+('[1]McCulloch data set'!N474+'[1]McCulloch data set'!O474)/2/100)^6+1/(1+('[1]McCulloch data set'!N474+'[1]McCulloch data set'!O474)/2/100)^7+1/(1+('[1]McCulloch data set'!N474+'[1]McCulloch data set'!O474)/2/100)^8+1/(1+('[1]McCulloch data set'!N474+'[1]McCulloch data set'!O474)/2/100)^9+1/(1+('[1]McCulloch data set'!O474/100)^10))</f>
        <v>7.9784384531202068E-2</v>
      </c>
    </row>
    <row r="477" spans="1:3" ht="13.8" x14ac:dyDescent="0.25">
      <c r="A477" s="4" t="s">
        <v>489</v>
      </c>
      <c r="B477" s="12">
        <f>(1-1/(1+'[1]McCulloch data set'!N475/100)^5)/((1/(1+'[1]McCulloch data set'!J475/100))+1/(1+'[1]McCulloch data set'!K475/100)^2+1/(1+'[1]McCulloch data set'!L475/100)^3+1/(1+'[1]McCulloch data set'!M475/100)^4+1/(1+'[1]McCulloch data set'!N475/100)^5)</f>
        <v>7.9782506943548534E-2</v>
      </c>
      <c r="C477" s="12">
        <f>(1-1/(1+'[1]McCulloch data set'!N475/100)^10)/((1/(1+'[1]McCulloch data set'!J475/100))+1/(1+'[1]McCulloch data set'!K475/100)^2+1/(1+'[1]McCulloch data set'!L475/100)^3+1/(1+'[1]McCulloch data set'!M475/100)^4+1/(1+'[1]McCulloch data set'!N475/100)^5+1/(1+('[1]McCulloch data set'!N475+'[1]McCulloch data set'!O475)/2/100)^6+1/(1+('[1]McCulloch data set'!N475+'[1]McCulloch data set'!O475)/2/100)^7+1/(1+('[1]McCulloch data set'!N475+'[1]McCulloch data set'!O475)/2/100)^8+1/(1+('[1]McCulloch data set'!N475+'[1]McCulloch data set'!O475)/2/100)^9+1/(1+('[1]McCulloch data set'!O475/100)^10))</f>
        <v>7.4110595314427499E-2</v>
      </c>
    </row>
    <row r="478" spans="1:3" ht="13.8" x14ac:dyDescent="0.25">
      <c r="A478" s="4" t="s">
        <v>490</v>
      </c>
      <c r="B478" s="12">
        <f>(1-1/(1+'[1]McCulloch data set'!N476/100)^5)/((1/(1+'[1]McCulloch data set'!J476/100))+1/(1+'[1]McCulloch data set'!K476/100)^2+1/(1+'[1]McCulloch data set'!L476/100)^3+1/(1+'[1]McCulloch data set'!M476/100)^4+1/(1+'[1]McCulloch data set'!N476/100)^5)</f>
        <v>7.2843288300837389E-2</v>
      </c>
      <c r="C478" s="12">
        <f>(1-1/(1+'[1]McCulloch data set'!N476/100)^10)/((1/(1+'[1]McCulloch data set'!J476/100))+1/(1+'[1]McCulloch data set'!K476/100)^2+1/(1+'[1]McCulloch data set'!L476/100)^3+1/(1+'[1]McCulloch data set'!M476/100)^4+1/(1+'[1]McCulloch data set'!N476/100)^5+1/(1+('[1]McCulloch data set'!N476+'[1]McCulloch data set'!O476)/2/100)^6+1/(1+('[1]McCulloch data set'!N476+'[1]McCulloch data set'!O476)/2/100)^7+1/(1+('[1]McCulloch data set'!N476+'[1]McCulloch data set'!O476)/2/100)^8+1/(1+('[1]McCulloch data set'!N476+'[1]McCulloch data set'!O476)/2/100)^9+1/(1+('[1]McCulloch data set'!O476/100)^10))</f>
        <v>6.8106779284080612E-2</v>
      </c>
    </row>
    <row r="479" spans="1:3" ht="13.8" x14ac:dyDescent="0.25">
      <c r="A479" s="4" t="s">
        <v>491</v>
      </c>
      <c r="B479" s="12">
        <f>(1-1/(1+'[1]McCulloch data set'!N477/100)^5)/((1/(1+'[1]McCulloch data set'!J477/100))+1/(1+'[1]McCulloch data set'!K477/100)^2+1/(1+'[1]McCulloch data set'!L477/100)^3+1/(1+'[1]McCulloch data set'!M477/100)^4+1/(1+'[1]McCulloch data set'!N477/100)^5)</f>
        <v>7.2712417427168149E-2</v>
      </c>
      <c r="C479" s="12">
        <f>(1-1/(1+'[1]McCulloch data set'!N477/100)^10)/((1/(1+'[1]McCulloch data set'!J477/100))+1/(1+'[1]McCulloch data set'!K477/100)^2+1/(1+'[1]McCulloch data set'!L477/100)^3+1/(1+'[1]McCulloch data set'!M477/100)^4+1/(1+'[1]McCulloch data set'!N477/100)^5+1/(1+('[1]McCulloch data set'!N477+'[1]McCulloch data set'!O477)/2/100)^6+1/(1+('[1]McCulloch data set'!N477+'[1]McCulloch data set'!O477)/2/100)^7+1/(1+('[1]McCulloch data set'!N477+'[1]McCulloch data set'!O477)/2/100)^8+1/(1+('[1]McCulloch data set'!N477+'[1]McCulloch data set'!O477)/2/100)^9+1/(1+('[1]McCulloch data set'!O477/100)^10))</f>
        <v>6.8048555224806795E-2</v>
      </c>
    </row>
    <row r="480" spans="1:3" ht="13.8" x14ac:dyDescent="0.25">
      <c r="A480" s="4" t="s">
        <v>492</v>
      </c>
      <c r="B480" s="12">
        <f>(1-1/(1+'[1]McCulloch data set'!N478/100)^5)/((1/(1+'[1]McCulloch data set'!J478/100))+1/(1+'[1]McCulloch data set'!K478/100)^2+1/(1+'[1]McCulloch data set'!L478/100)^3+1/(1+'[1]McCulloch data set'!M478/100)^4+1/(1+'[1]McCulloch data set'!N478/100)^5)</f>
        <v>7.9663158196580749E-2</v>
      </c>
      <c r="C480" s="12">
        <f>(1-1/(1+'[1]McCulloch data set'!N478/100)^10)/((1/(1+'[1]McCulloch data set'!J478/100))+1/(1+'[1]McCulloch data set'!K478/100)^2+1/(1+'[1]McCulloch data set'!L478/100)^3+1/(1+'[1]McCulloch data set'!M478/100)^4+1/(1+'[1]McCulloch data set'!N478/100)^5+1/(1+('[1]McCulloch data set'!N478+'[1]McCulloch data set'!O478)/2/100)^6+1/(1+('[1]McCulloch data set'!N478+'[1]McCulloch data set'!O478)/2/100)^7+1/(1+('[1]McCulloch data set'!N478+'[1]McCulloch data set'!O478)/2/100)^8+1/(1+('[1]McCulloch data set'!N478+'[1]McCulloch data set'!O478)/2/100)^9+1/(1+('[1]McCulloch data set'!O478/100)^10))</f>
        <v>7.4119722565534368E-2</v>
      </c>
    </row>
    <row r="481" spans="1:3" ht="13.8" x14ac:dyDescent="0.25">
      <c r="A481" s="4" t="s">
        <v>493</v>
      </c>
      <c r="B481" s="12">
        <f>(1-1/(1+'[1]McCulloch data set'!N479/100)^5)/((1/(1+'[1]McCulloch data set'!J479/100))+1/(1+'[1]McCulloch data set'!K479/100)^2+1/(1+'[1]McCulloch data set'!L479/100)^3+1/(1+'[1]McCulloch data set'!M479/100)^4+1/(1+'[1]McCulloch data set'!N479/100)^5)</f>
        <v>7.3273094248235415E-2</v>
      </c>
      <c r="C481" s="12">
        <f>(1-1/(1+'[1]McCulloch data set'!N479/100)^10)/((1/(1+'[1]McCulloch data set'!J479/100))+1/(1+'[1]McCulloch data set'!K479/100)^2+1/(1+'[1]McCulloch data set'!L479/100)^3+1/(1+'[1]McCulloch data set'!M479/100)^4+1/(1+'[1]McCulloch data set'!N479/100)^5+1/(1+('[1]McCulloch data set'!N479+'[1]McCulloch data set'!O479)/2/100)^6+1/(1+('[1]McCulloch data set'!N479+'[1]McCulloch data set'!O479)/2/100)^7+1/(1+('[1]McCulloch data set'!N479+'[1]McCulloch data set'!O479)/2/100)^8+1/(1+('[1]McCulloch data set'!N479+'[1]McCulloch data set'!O479)/2/100)^9+1/(1+('[1]McCulloch data set'!O479/100)^10))</f>
        <v>6.8512437753739511E-2</v>
      </c>
    </row>
    <row r="482" spans="1:3" ht="13.8" x14ac:dyDescent="0.25">
      <c r="A482" s="4" t="s">
        <v>494</v>
      </c>
      <c r="B482" s="12">
        <f>(1-1/(1+'[1]McCulloch data set'!N480/100)^5)/((1/(1+'[1]McCulloch data set'!J480/100))+1/(1+'[1]McCulloch data set'!K480/100)^2+1/(1+'[1]McCulloch data set'!L480/100)^3+1/(1+'[1]McCulloch data set'!M480/100)^4+1/(1+'[1]McCulloch data set'!N480/100)^5)</f>
        <v>7.1671592289242997E-2</v>
      </c>
      <c r="C482" s="12">
        <f>(1-1/(1+'[1]McCulloch data set'!N480/100)^10)/((1/(1+'[1]McCulloch data set'!J480/100))+1/(1+'[1]McCulloch data set'!K480/100)^2+1/(1+'[1]McCulloch data set'!L480/100)^3+1/(1+'[1]McCulloch data set'!M480/100)^4+1/(1+'[1]McCulloch data set'!N480/100)^5+1/(1+('[1]McCulloch data set'!N480+'[1]McCulloch data set'!O480)/2/100)^6+1/(1+('[1]McCulloch data set'!N480+'[1]McCulloch data set'!O480)/2/100)^7+1/(1+('[1]McCulloch data set'!N480+'[1]McCulloch data set'!O480)/2/100)^8+1/(1+('[1]McCulloch data set'!N480+'[1]McCulloch data set'!O480)/2/100)^9+1/(1+('[1]McCulloch data set'!O480/100)^10))</f>
        <v>6.7376085094197902E-2</v>
      </c>
    </row>
    <row r="483" spans="1:3" ht="13.8" x14ac:dyDescent="0.25">
      <c r="A483" s="4" t="s">
        <v>495</v>
      </c>
      <c r="B483" s="12">
        <f>(1-1/(1+'[1]McCulloch data set'!N481/100)^5)/((1/(1+'[1]McCulloch data set'!J481/100))+1/(1+'[1]McCulloch data set'!K481/100)^2+1/(1+'[1]McCulloch data set'!L481/100)^3+1/(1+'[1]McCulloch data set'!M481/100)^4+1/(1+'[1]McCulloch data set'!N481/100)^5)</f>
        <v>6.5945505904178955E-2</v>
      </c>
      <c r="C483" s="12">
        <f>(1-1/(1+'[1]McCulloch data set'!N481/100)^10)/((1/(1+'[1]McCulloch data set'!J481/100))+1/(1+'[1]McCulloch data set'!K481/100)^2+1/(1+'[1]McCulloch data set'!L481/100)^3+1/(1+'[1]McCulloch data set'!M481/100)^4+1/(1+'[1]McCulloch data set'!N481/100)^5+1/(1+('[1]McCulloch data set'!N481+'[1]McCulloch data set'!O481)/2/100)^6+1/(1+('[1]McCulloch data set'!N481+'[1]McCulloch data set'!O481)/2/100)^7+1/(1+('[1]McCulloch data set'!N481+'[1]McCulloch data set'!O481)/2/100)^8+1/(1+('[1]McCulloch data set'!N481+'[1]McCulloch data set'!O481)/2/100)^9+1/(1+('[1]McCulloch data set'!O481/100)^10))</f>
        <v>6.2555700991073229E-2</v>
      </c>
    </row>
    <row r="484" spans="1:3" ht="13.8" x14ac:dyDescent="0.25">
      <c r="A484" s="4" t="s">
        <v>496</v>
      </c>
      <c r="B484" s="12">
        <f>(1-1/(1+'[1]McCulloch data set'!N482/100)^5)/((1/(1+'[1]McCulloch data set'!J482/100))+1/(1+'[1]McCulloch data set'!K482/100)^2+1/(1+'[1]McCulloch data set'!L482/100)^3+1/(1+'[1]McCulloch data set'!M482/100)^4+1/(1+'[1]McCulloch data set'!N482/100)^5)</f>
        <v>7.1683169125953794E-2</v>
      </c>
      <c r="C484" s="12">
        <f>(1-1/(1+'[1]McCulloch data set'!N482/100)^10)/((1/(1+'[1]McCulloch data set'!J482/100))+1/(1+'[1]McCulloch data set'!K482/100)^2+1/(1+'[1]McCulloch data set'!L482/100)^3+1/(1+'[1]McCulloch data set'!M482/100)^4+1/(1+'[1]McCulloch data set'!N482/100)^5+1/(1+('[1]McCulloch data set'!N482+'[1]McCulloch data set'!O482)/2/100)^6+1/(1+('[1]McCulloch data set'!N482+'[1]McCulloch data set'!O482)/2/100)^7+1/(1+('[1]McCulloch data set'!N482+'[1]McCulloch data set'!O482)/2/100)^8+1/(1+('[1]McCulloch data set'!N482+'[1]McCulloch data set'!O482)/2/100)^9+1/(1+('[1]McCulloch data set'!O482/100)^10))</f>
        <v>6.7598620979692561E-2</v>
      </c>
    </row>
    <row r="485" spans="1:3" ht="13.8" x14ac:dyDescent="0.25">
      <c r="A485" s="4" t="s">
        <v>497</v>
      </c>
      <c r="B485" s="12">
        <f>(1-1/(1+'[1]McCulloch data set'!N483/100)^5)/((1/(1+'[1]McCulloch data set'!J483/100))+1/(1+'[1]McCulloch data set'!K483/100)^2+1/(1+'[1]McCulloch data set'!L483/100)^3+1/(1+'[1]McCulloch data set'!M483/100)^4+1/(1+'[1]McCulloch data set'!N483/100)^5)</f>
        <v>6.8670874409048996E-2</v>
      </c>
      <c r="C485" s="12">
        <f>(1-1/(1+'[1]McCulloch data set'!N483/100)^10)/((1/(1+'[1]McCulloch data set'!J483/100))+1/(1+'[1]McCulloch data set'!K483/100)^2+1/(1+'[1]McCulloch data set'!L483/100)^3+1/(1+'[1]McCulloch data set'!M483/100)^4+1/(1+'[1]McCulloch data set'!N483/100)^5+1/(1+('[1]McCulloch data set'!N483+'[1]McCulloch data set'!O483)/2/100)^6+1/(1+('[1]McCulloch data set'!N483+'[1]McCulloch data set'!O483)/2/100)^7+1/(1+('[1]McCulloch data set'!N483+'[1]McCulloch data set'!O483)/2/100)^8+1/(1+('[1]McCulloch data set'!N483+'[1]McCulloch data set'!O483)/2/100)^9+1/(1+('[1]McCulloch data set'!O483/100)^10))</f>
        <v>6.499226647080944E-2</v>
      </c>
    </row>
    <row r="486" spans="1:3" ht="13.8" x14ac:dyDescent="0.25">
      <c r="A486" s="4" t="s">
        <v>498</v>
      </c>
      <c r="B486" s="12">
        <f>(1-1/(1+'[1]McCulloch data set'!N484/100)^5)/((1/(1+'[1]McCulloch data set'!J484/100))+1/(1+'[1]McCulloch data set'!K484/100)^2+1/(1+'[1]McCulloch data set'!L484/100)^3+1/(1+'[1]McCulloch data set'!M484/100)^4+1/(1+'[1]McCulloch data set'!N484/100)^5)</f>
        <v>6.6892917880300926E-2</v>
      </c>
      <c r="C486" s="12">
        <f>(1-1/(1+'[1]McCulloch data set'!N484/100)^10)/((1/(1+'[1]McCulloch data set'!J484/100))+1/(1+'[1]McCulloch data set'!K484/100)^2+1/(1+'[1]McCulloch data set'!L484/100)^3+1/(1+'[1]McCulloch data set'!M484/100)^4+1/(1+'[1]McCulloch data set'!N484/100)^5+1/(1+('[1]McCulloch data set'!N484+'[1]McCulloch data set'!O484)/2/100)^6+1/(1+('[1]McCulloch data set'!N484+'[1]McCulloch data set'!O484)/2/100)^7+1/(1+('[1]McCulloch data set'!N484+'[1]McCulloch data set'!O484)/2/100)^8+1/(1+('[1]McCulloch data set'!N484+'[1]McCulloch data set'!O484)/2/100)^9+1/(1+('[1]McCulloch data set'!O484/100)^10))</f>
        <v>6.3263713708615235E-2</v>
      </c>
    </row>
    <row r="487" spans="1:3" ht="13.8" x14ac:dyDescent="0.25">
      <c r="A487" s="4" t="s">
        <v>499</v>
      </c>
      <c r="B487" s="12">
        <f>(1-1/(1+'[1]McCulloch data set'!N485/100)^5)/((1/(1+'[1]McCulloch data set'!J485/100))+1/(1+'[1]McCulloch data set'!K485/100)^2+1/(1+'[1]McCulloch data set'!L485/100)^3+1/(1+'[1]McCulloch data set'!M485/100)^4+1/(1+'[1]McCulloch data set'!N485/100)^5)</f>
        <v>6.7761610333714653E-2</v>
      </c>
      <c r="C487" s="12">
        <f>(1-1/(1+'[1]McCulloch data set'!N485/100)^10)/((1/(1+'[1]McCulloch data set'!J485/100))+1/(1+'[1]McCulloch data set'!K485/100)^2+1/(1+'[1]McCulloch data set'!L485/100)^3+1/(1+'[1]McCulloch data set'!M485/100)^4+1/(1+'[1]McCulloch data set'!N485/100)^5+1/(1+('[1]McCulloch data set'!N485+'[1]McCulloch data set'!O485)/2/100)^6+1/(1+('[1]McCulloch data set'!N485+'[1]McCulloch data set'!O485)/2/100)^7+1/(1+('[1]McCulloch data set'!N485+'[1]McCulloch data set'!O485)/2/100)^8+1/(1+('[1]McCulloch data set'!N485+'[1]McCulloch data set'!O485)/2/100)^9+1/(1+('[1]McCulloch data set'!O485/100)^10))</f>
        <v>6.3953676724183089E-2</v>
      </c>
    </row>
    <row r="488" spans="1:3" ht="13.8" x14ac:dyDescent="0.25">
      <c r="A488" s="4" t="s">
        <v>500</v>
      </c>
      <c r="B488" s="12">
        <f>(1-1/(1+'[1]McCulloch data set'!N486/100)^5)/((1/(1+'[1]McCulloch data set'!J486/100))+1/(1+'[1]McCulloch data set'!K486/100)^2+1/(1+'[1]McCulloch data set'!L486/100)^3+1/(1+'[1]McCulloch data set'!M486/100)^4+1/(1+'[1]McCulloch data set'!N486/100)^5)</f>
        <v>6.7334745683266431E-2</v>
      </c>
      <c r="C488" s="12">
        <f>(1-1/(1+'[1]McCulloch data set'!N486/100)^10)/((1/(1+'[1]McCulloch data set'!J486/100))+1/(1+'[1]McCulloch data set'!K486/100)^2+1/(1+'[1]McCulloch data set'!L486/100)^3+1/(1+'[1]McCulloch data set'!M486/100)^4+1/(1+'[1]McCulloch data set'!N486/100)^5+1/(1+('[1]McCulloch data set'!N486+'[1]McCulloch data set'!O486)/2/100)^6+1/(1+('[1]McCulloch data set'!N486+'[1]McCulloch data set'!O486)/2/100)^7+1/(1+('[1]McCulloch data set'!N486+'[1]McCulloch data set'!O486)/2/100)^8+1/(1+('[1]McCulloch data set'!N486+'[1]McCulloch data set'!O486)/2/100)^9+1/(1+('[1]McCulloch data set'!O486/100)^10))</f>
        <v>6.3658887532803785E-2</v>
      </c>
    </row>
    <row r="489" spans="1:3" ht="13.8" x14ac:dyDescent="0.25">
      <c r="A489" s="4" t="s">
        <v>501</v>
      </c>
      <c r="B489" s="12">
        <f>(1-1/(1+'[1]McCulloch data set'!N487/100)^5)/((1/(1+'[1]McCulloch data set'!J487/100))+1/(1+'[1]McCulloch data set'!K487/100)^2+1/(1+'[1]McCulloch data set'!L487/100)^3+1/(1+'[1]McCulloch data set'!M487/100)^4+1/(1+'[1]McCulloch data set'!N487/100)^5)</f>
        <v>6.71857646879781E-2</v>
      </c>
      <c r="C489" s="12">
        <f>(1-1/(1+'[1]McCulloch data set'!N487/100)^10)/((1/(1+'[1]McCulloch data set'!J487/100))+1/(1+'[1]McCulloch data set'!K487/100)^2+1/(1+'[1]McCulloch data set'!L487/100)^3+1/(1+'[1]McCulloch data set'!M487/100)^4+1/(1+'[1]McCulloch data set'!N487/100)^5+1/(1+('[1]McCulloch data set'!N487+'[1]McCulloch data set'!O487)/2/100)^6+1/(1+('[1]McCulloch data set'!N487+'[1]McCulloch data set'!O487)/2/100)^7+1/(1+('[1]McCulloch data set'!N487+'[1]McCulloch data set'!O487)/2/100)^8+1/(1+('[1]McCulloch data set'!N487+'[1]McCulloch data set'!O487)/2/100)^9+1/(1+('[1]McCulloch data set'!O487/100)^10))</f>
        <v>6.3467121834445056E-2</v>
      </c>
    </row>
    <row r="490" spans="1:3" x14ac:dyDescent="0.25">
      <c r="A490" s="4"/>
    </row>
    <row r="491" spans="1:3" x14ac:dyDescent="0.25">
      <c r="A491" s="4"/>
    </row>
    <row r="492" spans="1:3" x14ac:dyDescent="0.25">
      <c r="A492" s="4"/>
    </row>
    <row r="493" spans="1:3" x14ac:dyDescent="0.25">
      <c r="A493" s="4"/>
    </row>
    <row r="494" spans="1:3" x14ac:dyDescent="0.25">
      <c r="A494" s="4"/>
    </row>
    <row r="495" spans="1:3" x14ac:dyDescent="0.25">
      <c r="A495" s="4"/>
    </row>
    <row r="496" spans="1:3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C8C2B-B95E-4EA2-B19F-8DE16EB1B292}">
  <sheetPr codeName="Sheet8"/>
  <dimension ref="A2:L12"/>
  <sheetViews>
    <sheetView zoomScale="160" zoomScaleNormal="160" workbookViewId="0">
      <selection activeCell="G17" sqref="G17"/>
    </sheetView>
  </sheetViews>
  <sheetFormatPr defaultRowHeight="13.2" x14ac:dyDescent="0.25"/>
  <cols>
    <col min="1" max="16384" width="8.88671875" style="3"/>
  </cols>
  <sheetData>
    <row r="2" spans="1:12" x14ac:dyDescent="0.25">
      <c r="H2" s="6" t="s">
        <v>512</v>
      </c>
      <c r="K2" s="6" t="s">
        <v>513</v>
      </c>
    </row>
    <row r="3" spans="1:12" x14ac:dyDescent="0.25">
      <c r="E3" s="3" t="s">
        <v>514</v>
      </c>
      <c r="H3" s="4" t="s">
        <v>515</v>
      </c>
      <c r="I3" s="4" t="s">
        <v>516</v>
      </c>
      <c r="K3" s="4" t="s">
        <v>515</v>
      </c>
      <c r="L3" s="4" t="s">
        <v>516</v>
      </c>
    </row>
    <row r="4" spans="1:12" x14ac:dyDescent="0.25">
      <c r="B4" s="10" t="s">
        <v>517</v>
      </c>
      <c r="C4" s="10"/>
      <c r="E4" s="3" t="s">
        <v>518</v>
      </c>
      <c r="H4" s="4" t="s">
        <v>504</v>
      </c>
      <c r="I4" s="4" t="s">
        <v>504</v>
      </c>
      <c r="K4" s="4" t="s">
        <v>504</v>
      </c>
      <c r="L4" s="4" t="s">
        <v>504</v>
      </c>
    </row>
    <row r="5" spans="1:12" x14ac:dyDescent="0.25">
      <c r="A5" s="3" t="s">
        <v>1</v>
      </c>
      <c r="B5" s="6" t="s">
        <v>509</v>
      </c>
      <c r="C5" s="6" t="s">
        <v>510</v>
      </c>
      <c r="E5" s="6" t="s">
        <v>509</v>
      </c>
      <c r="F5" s="6" t="s">
        <v>510</v>
      </c>
      <c r="H5" s="4" t="s">
        <v>519</v>
      </c>
      <c r="I5" s="4" t="s">
        <v>519</v>
      </c>
      <c r="K5" s="4" t="s">
        <v>519</v>
      </c>
      <c r="L5" s="4" t="s">
        <v>519</v>
      </c>
    </row>
    <row r="6" spans="1:12" ht="13.8" x14ac:dyDescent="0.25">
      <c r="A6" s="3" t="s">
        <v>392</v>
      </c>
      <c r="B6" s="12">
        <v>7.5798255108582235E-2</v>
      </c>
      <c r="C6" s="12">
        <v>7.0716581545389887E-2</v>
      </c>
      <c r="E6" s="13">
        <f>dduration(5,B6,B6,1)</f>
        <v>4.343341783367781</v>
      </c>
      <c r="F6" s="13">
        <f>dduration(10,C6,C6,1)</f>
        <v>7.495418186219954</v>
      </c>
      <c r="H6" s="14">
        <f>PV(B6,5,-B6*1000)+1000/(1+B6)^5</f>
        <v>1000</v>
      </c>
      <c r="I6" s="15">
        <f>PV(B7,5,-B6*1000)+1000/(1+B7)^5</f>
        <v>994.01380331594646</v>
      </c>
      <c r="J6" s="15"/>
      <c r="K6" s="15">
        <f>PV(C6,10,-C6*1000)+1000/(1+C6)^10</f>
        <v>1000</v>
      </c>
      <c r="L6" s="15">
        <f>PV(C7,10,-C6*1000)+1000/(1+C7)^10</f>
        <v>991.23983991855903</v>
      </c>
    </row>
    <row r="7" spans="1:12" ht="13.8" x14ac:dyDescent="0.25">
      <c r="A7" s="3" t="s">
        <v>393</v>
      </c>
      <c r="B7" s="12">
        <v>7.7286831013285012E-2</v>
      </c>
      <c r="C7" s="12">
        <v>7.1975243646348039E-2</v>
      </c>
    </row>
    <row r="8" spans="1:12" x14ac:dyDescent="0.25">
      <c r="E8" s="3" t="s">
        <v>520</v>
      </c>
      <c r="I8" s="16">
        <f>-E6*H6*(B7-B6)/(1+B6)</f>
        <v>-6.0098572329042339</v>
      </c>
      <c r="L8" s="16">
        <f>-F6*K6*(C7-C6)/(1+C6)</f>
        <v>-8.8111074064165091</v>
      </c>
    </row>
    <row r="9" spans="1:12" x14ac:dyDescent="0.25">
      <c r="E9" s="3" t="s">
        <v>521</v>
      </c>
      <c r="I9" s="15">
        <f>I6-H6</f>
        <v>-5.9861966840535388</v>
      </c>
      <c r="L9" s="15">
        <f>L6-K6</f>
        <v>-8.7601600814409721</v>
      </c>
    </row>
    <row r="12" spans="1:12" x14ac:dyDescent="0.25">
      <c r="B12" s="3" t="s">
        <v>522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oleObjects>
    <mc:AlternateContent xmlns:mc="http://schemas.openxmlformats.org/markup-compatibility/2006">
      <mc:Choice Requires="x14">
        <oleObject progId="Equation.2" shapeId="5121" r:id="rId3">
          <objectPr defaultSize="0" autoPict="0" r:id="rId4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4</xdr:col>
                <xdr:colOff>419100</xdr:colOff>
                <xdr:row>15</xdr:row>
                <xdr:rowOff>60960</xdr:rowOff>
              </to>
            </anchor>
          </objectPr>
        </oleObject>
      </mc:Choice>
      <mc:Fallback>
        <oleObject progId="Equation.2" shapeId="5121" r:id="rId3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2ECC-EDFF-486B-AD8B-C007C84DE8CA}">
  <sheetPr codeName="Sheet10"/>
  <dimension ref="A2:L18"/>
  <sheetViews>
    <sheetView zoomScale="115" zoomScaleNormal="115" workbookViewId="0">
      <selection activeCell="K11" sqref="K11"/>
    </sheetView>
  </sheetViews>
  <sheetFormatPr defaultRowHeight="13.2" x14ac:dyDescent="0.25"/>
  <cols>
    <col min="1" max="16384" width="8.88671875" style="3"/>
  </cols>
  <sheetData>
    <row r="2" spans="1:12" x14ac:dyDescent="0.25">
      <c r="H2" s="6" t="s">
        <v>512</v>
      </c>
      <c r="K2" s="6" t="s">
        <v>513</v>
      </c>
    </row>
    <row r="3" spans="1:12" x14ac:dyDescent="0.25">
      <c r="E3" s="3" t="s">
        <v>514</v>
      </c>
      <c r="H3" s="4" t="s">
        <v>515</v>
      </c>
      <c r="I3" s="4" t="s">
        <v>516</v>
      </c>
      <c r="K3" s="4" t="s">
        <v>515</v>
      </c>
      <c r="L3" s="4" t="s">
        <v>516</v>
      </c>
    </row>
    <row r="4" spans="1:12" x14ac:dyDescent="0.25">
      <c r="B4" s="10" t="s">
        <v>517</v>
      </c>
      <c r="C4" s="10"/>
      <c r="E4" s="3" t="s">
        <v>518</v>
      </c>
      <c r="H4" s="4" t="s">
        <v>504</v>
      </c>
      <c r="I4" s="4" t="s">
        <v>504</v>
      </c>
      <c r="K4" s="4" t="s">
        <v>504</v>
      </c>
      <c r="L4" s="4" t="s">
        <v>504</v>
      </c>
    </row>
    <row r="5" spans="1:12" x14ac:dyDescent="0.25">
      <c r="A5" s="3" t="s">
        <v>1</v>
      </c>
      <c r="B5" s="6" t="s">
        <v>509</v>
      </c>
      <c r="C5" s="6" t="s">
        <v>510</v>
      </c>
      <c r="E5" s="6" t="s">
        <v>509</v>
      </c>
      <c r="F5" s="6" t="s">
        <v>510</v>
      </c>
      <c r="H5" s="4" t="s">
        <v>519</v>
      </c>
      <c r="I5" s="4" t="s">
        <v>519</v>
      </c>
      <c r="K5" s="4" t="s">
        <v>519</v>
      </c>
      <c r="L5" s="4" t="s">
        <v>519</v>
      </c>
    </row>
    <row r="6" spans="1:12" ht="13.8" x14ac:dyDescent="0.25">
      <c r="A6" s="12" t="str">
        <f>'[1]Exercise 25-7.c'!A380</f>
        <v>1.1978</v>
      </c>
      <c r="B6" s="12">
        <f>'[1]Exercise 25-7.c'!B380</f>
        <v>7.5798255108582235E-2</v>
      </c>
      <c r="C6" s="12">
        <f>'[1]Exercise 25-7.c'!C380</f>
        <v>7.0716581545389887E-2</v>
      </c>
      <c r="E6" s="13">
        <f>dduration(5,B6,B6,1)</f>
        <v>4.343341783367781</v>
      </c>
      <c r="F6" s="13">
        <f>dduration(10,C6,C6,1)</f>
        <v>7.495418186219954</v>
      </c>
      <c r="H6" s="14">
        <f>PV(B6,5,-B6*1000)+1000/(1+B6)^5</f>
        <v>1000</v>
      </c>
      <c r="I6" s="15">
        <f>PV(B7,5,-B6*1000)+1000/(1+B7)^5</f>
        <v>994.01380331594646</v>
      </c>
      <c r="J6" s="15"/>
      <c r="K6" s="15">
        <f>PV(C6,10,-C6*1000)+1000/(1+C6)^10</f>
        <v>1000</v>
      </c>
      <c r="L6" s="15">
        <f>PV(C7,10,-C6*1000)+1000/(1+C7)^10</f>
        <v>991.23983991855903</v>
      </c>
    </row>
    <row r="7" spans="1:12" ht="13.8" x14ac:dyDescent="0.25">
      <c r="A7" s="12" t="str">
        <f>'[1]Exercise 25-7.c'!A381</f>
        <v>2.1978</v>
      </c>
      <c r="B7" s="12">
        <f>'[1]Exercise 25-7.c'!B381</f>
        <v>7.7286831013285012E-2</v>
      </c>
      <c r="C7" s="12">
        <f>'[1]Exercise 25-7.c'!C381</f>
        <v>7.1975243646348039E-2</v>
      </c>
      <c r="E7" s="13">
        <f t="shared" ref="E7:E18" si="0">dduration(5,B7,B7,1)</f>
        <v>4.3322284306851353</v>
      </c>
      <c r="F7" s="13">
        <f t="shared" ref="F7:F18" si="1">dduration(10,C7,C7,1)</f>
        <v>7.4608385606710268</v>
      </c>
      <c r="H7" s="14">
        <f t="shared" ref="H7:H18" si="2">PV(B7,5,-B7*1000)+1000/(1+B7)^5</f>
        <v>1000</v>
      </c>
      <c r="I7" s="15">
        <f t="shared" ref="I7:I18" si="3">PV(B8,5,-B7*1000)+1000/(1+B8)^5</f>
        <v>996.25900123752331</v>
      </c>
      <c r="K7" s="15">
        <f t="shared" ref="K7:K18" si="4">PV(C7,10,-C7*1000)+1000/(1+C7)^10</f>
        <v>1000</v>
      </c>
      <c r="L7" s="15">
        <f t="shared" ref="L7:L18" si="5">PV(C8,10,-C7*1000)+1000/(1+C8)^10</f>
        <v>994.45440835716022</v>
      </c>
    </row>
    <row r="8" spans="1:12" ht="13.8" x14ac:dyDescent="0.25">
      <c r="A8" s="12" t="str">
        <f>'[1]Exercise 25-7.c'!A382</f>
        <v>3.1978</v>
      </c>
      <c r="B8" s="12">
        <f>'[1]Exercise 25-7.c'!B382</f>
        <v>7.8219395328818594E-2</v>
      </c>
      <c r="C8" s="12">
        <f>'[1]Exercise 25-7.c'!C382</f>
        <v>7.2774969484663846E-2</v>
      </c>
      <c r="E8" s="13">
        <f t="shared" si="0"/>
        <v>4.3252967719397377</v>
      </c>
      <c r="F8" s="13">
        <f t="shared" si="1"/>
        <v>7.4390142476207721</v>
      </c>
      <c r="H8" s="14">
        <f t="shared" si="2"/>
        <v>1000</v>
      </c>
      <c r="I8" s="15">
        <f t="shared" si="3"/>
        <v>996.42777563857476</v>
      </c>
      <c r="K8" s="15">
        <f t="shared" si="4"/>
        <v>1000</v>
      </c>
      <c r="L8" s="15">
        <f t="shared" si="5"/>
        <v>994.9163265527543</v>
      </c>
    </row>
    <row r="9" spans="1:12" ht="13.8" x14ac:dyDescent="0.25">
      <c r="A9" s="12" t="str">
        <f>'[1]Exercise 25-7.c'!A383</f>
        <v>4.1978</v>
      </c>
      <c r="B9" s="12">
        <f>'[1]Exercise 25-7.c'!B383</f>
        <v>7.9111988987736054E-2</v>
      </c>
      <c r="C9" s="12">
        <f>'[1]Exercise 25-7.c'!C383</f>
        <v>7.3510560213142326E-2</v>
      </c>
      <c r="E9" s="13">
        <f t="shared" si="0"/>
        <v>4.3186842044599807</v>
      </c>
      <c r="F9" s="13">
        <f t="shared" si="1"/>
        <v>7.4190401251816613</v>
      </c>
      <c r="H9" s="14">
        <f t="shared" si="2"/>
        <v>1000</v>
      </c>
      <c r="I9" s="15">
        <f t="shared" si="3"/>
        <v>992.07574078310961</v>
      </c>
      <c r="K9" s="15">
        <f t="shared" si="4"/>
        <v>1000</v>
      </c>
      <c r="L9" s="15">
        <f t="shared" si="5"/>
        <v>988.43090731308541</v>
      </c>
    </row>
    <row r="10" spans="1:12" ht="13.8" x14ac:dyDescent="0.25">
      <c r="A10" s="12" t="str">
        <f>'[1]Exercise 25-7.c'!A384</f>
        <v>5.1978</v>
      </c>
      <c r="B10" s="12">
        <f>'[1]Exercise 25-7.c'!B384</f>
        <v>8.110244096292446E-2</v>
      </c>
      <c r="C10" s="12">
        <f>'[1]Exercise 25-7.c'!C384</f>
        <v>7.5197534741192604E-2</v>
      </c>
      <c r="E10" s="13">
        <f t="shared" si="0"/>
        <v>4.3040154140831532</v>
      </c>
      <c r="F10" s="13">
        <f t="shared" si="1"/>
        <v>7.373590845227163</v>
      </c>
      <c r="H10" s="14">
        <f t="shared" si="2"/>
        <v>1000</v>
      </c>
      <c r="I10" s="15">
        <f t="shared" si="3"/>
        <v>992.11647915709955</v>
      </c>
      <c r="K10" s="15">
        <f t="shared" si="4"/>
        <v>1000</v>
      </c>
      <c r="L10" s="15">
        <f t="shared" si="5"/>
        <v>988.86399922640976</v>
      </c>
    </row>
    <row r="11" spans="1:12" ht="13.8" x14ac:dyDescent="0.25">
      <c r="A11" s="12" t="str">
        <f>'[1]Exercise 25-7.c'!A385</f>
        <v>6.1978</v>
      </c>
      <c r="B11" s="12">
        <f>'[1]Exercise 25-7.c'!B385</f>
        <v>8.3093042210935483E-2</v>
      </c>
      <c r="C11" s="12">
        <f>'[1]Exercise 25-7.c'!C385</f>
        <v>7.6833501875557847E-2</v>
      </c>
      <c r="E11" s="13">
        <f t="shared" si="0"/>
        <v>4.2894510297338035</v>
      </c>
      <c r="F11" s="13">
        <f t="shared" si="1"/>
        <v>7.3299875394909364</v>
      </c>
      <c r="H11" s="14">
        <f t="shared" si="2"/>
        <v>1000</v>
      </c>
      <c r="I11" s="15">
        <f t="shared" si="3"/>
        <v>1000.890066884883</v>
      </c>
      <c r="K11" s="15">
        <f t="shared" si="4"/>
        <v>1000</v>
      </c>
      <c r="L11" s="15">
        <f t="shared" si="5"/>
        <v>1001.467805859258</v>
      </c>
    </row>
    <row r="12" spans="1:12" ht="13.8" x14ac:dyDescent="0.25">
      <c r="A12" s="12" t="str">
        <f>'[1]Exercise 25-7.c'!A386</f>
        <v>7.1978</v>
      </c>
      <c r="B12" s="12">
        <f>'[1]Exercise 25-7.c'!B386</f>
        <v>8.286843132665371E-2</v>
      </c>
      <c r="C12" s="12">
        <f>'[1]Exercise 25-7.c'!C386</f>
        <v>7.6618080617694651E-2</v>
      </c>
      <c r="E12" s="13">
        <f t="shared" si="0"/>
        <v>4.2910891628924297</v>
      </c>
      <c r="F12" s="13">
        <f t="shared" si="1"/>
        <v>7.3357028112672964</v>
      </c>
      <c r="H12" s="14">
        <f t="shared" si="2"/>
        <v>1000</v>
      </c>
      <c r="I12" s="15">
        <f t="shared" si="3"/>
        <v>1003.2250414132832</v>
      </c>
      <c r="K12" s="15">
        <f t="shared" si="4"/>
        <v>1000</v>
      </c>
      <c r="L12" s="15">
        <f t="shared" si="5"/>
        <v>1005.4967328612756</v>
      </c>
    </row>
    <row r="13" spans="1:12" ht="13.8" x14ac:dyDescent="0.25">
      <c r="A13" s="12" t="str">
        <f>'[1]Exercise 25-7.c'!A387</f>
        <v>8.1978</v>
      </c>
      <c r="B13" s="12">
        <f>'[1]Exercise 25-7.c'!B387</f>
        <v>8.2056316459410528E-2</v>
      </c>
      <c r="C13" s="12">
        <f>'[1]Exercise 25-7.c'!C387</f>
        <v>7.5814303925766477E-2</v>
      </c>
      <c r="E13" s="13">
        <f t="shared" si="0"/>
        <v>4.297023207975867</v>
      </c>
      <c r="F13" s="13">
        <f t="shared" si="1"/>
        <v>7.3570979308112037</v>
      </c>
      <c r="H13" s="14">
        <f t="shared" si="2"/>
        <v>1000</v>
      </c>
      <c r="I13" s="15">
        <f t="shared" si="3"/>
        <v>996.21488196689029</v>
      </c>
      <c r="K13" s="15">
        <f t="shared" si="4"/>
        <v>1000</v>
      </c>
      <c r="L13" s="15">
        <f t="shared" si="5"/>
        <v>993.80739852191732</v>
      </c>
    </row>
    <row r="14" spans="1:12" ht="13.8" x14ac:dyDescent="0.25">
      <c r="A14" s="12" t="str">
        <f>'[1]Exercise 25-7.c'!A388</f>
        <v>9.1978</v>
      </c>
      <c r="B14" s="12">
        <f>'[1]Exercise 25-7.c'!B388</f>
        <v>8.3011861142069113E-2</v>
      </c>
      <c r="C14" s="12">
        <f>'[1]Exercise 25-7.c'!C388</f>
        <v>7.6723591902520497E-2</v>
      </c>
      <c r="E14" s="13">
        <f t="shared" si="0"/>
        <v>4.2900429462650465</v>
      </c>
      <c r="F14" s="13">
        <f t="shared" si="1"/>
        <v>7.3329025316099425</v>
      </c>
      <c r="H14" s="14">
        <f t="shared" si="2"/>
        <v>1000</v>
      </c>
      <c r="I14" s="15">
        <f t="shared" si="3"/>
        <v>977.48966131059069</v>
      </c>
      <c r="K14" s="15">
        <f t="shared" si="4"/>
        <v>1000</v>
      </c>
      <c r="L14" s="15">
        <f t="shared" si="5"/>
        <v>969.87975070114589</v>
      </c>
    </row>
    <row r="15" spans="1:12" ht="13.8" x14ac:dyDescent="0.25">
      <c r="A15" s="12" t="str">
        <f>'[1]Exercise 25-7.c'!A389</f>
        <v>10.1978</v>
      </c>
      <c r="B15" s="12">
        <f>'[1]Exercise 25-7.c'!B389</f>
        <v>8.8780803513772641E-2</v>
      </c>
      <c r="C15" s="12">
        <f>'[1]Exercise 25-7.c'!C389</f>
        <v>8.123748409293885E-2</v>
      </c>
      <c r="E15" s="13">
        <f t="shared" si="0"/>
        <v>4.2484086452028169</v>
      </c>
      <c r="F15" s="13">
        <f t="shared" si="1"/>
        <v>7.2148693850675869</v>
      </c>
      <c r="H15" s="14">
        <f t="shared" si="2"/>
        <v>1000</v>
      </c>
      <c r="I15" s="15">
        <f t="shared" si="3"/>
        <v>1007.5322314879259</v>
      </c>
      <c r="K15" s="15">
        <f t="shared" si="4"/>
        <v>1000</v>
      </c>
      <c r="L15" s="15">
        <f t="shared" si="5"/>
        <v>1010.1913262314852</v>
      </c>
    </row>
    <row r="16" spans="1:12" ht="13.8" x14ac:dyDescent="0.25">
      <c r="A16" s="12" t="str">
        <f>'[1]Exercise 25-7.c'!A390</f>
        <v>11.1978</v>
      </c>
      <c r="B16" s="12">
        <f>'[1]Exercise 25-7.c'!B390</f>
        <v>8.6860074612971697E-2</v>
      </c>
      <c r="C16" s="12">
        <f>'[1]Exercise 25-7.c'!C390</f>
        <v>7.9720589518656626E-2</v>
      </c>
      <c r="E16" s="13">
        <f t="shared" si="0"/>
        <v>4.262174465930876</v>
      </c>
      <c r="F16" s="13">
        <f t="shared" si="1"/>
        <v>7.2541526307740476</v>
      </c>
      <c r="H16" s="14">
        <f t="shared" si="2"/>
        <v>1000</v>
      </c>
      <c r="I16" s="15">
        <f t="shared" si="3"/>
        <v>984.5489965110379</v>
      </c>
      <c r="K16" s="15">
        <f t="shared" si="4"/>
        <v>1000</v>
      </c>
      <c r="L16" s="15">
        <f t="shared" si="5"/>
        <v>978.93033106098289</v>
      </c>
    </row>
    <row r="17" spans="1:12" ht="13.8" x14ac:dyDescent="0.25">
      <c r="A17" s="12" t="str">
        <f>'[1]Exercise 25-7.c'!A391</f>
        <v>12.1978</v>
      </c>
      <c r="B17" s="12">
        <f>'[1]Exercise 25-7.c'!B391</f>
        <v>9.0841083821397647E-2</v>
      </c>
      <c r="C17" s="12">
        <f>'[1]Exercise 25-7.c'!C391</f>
        <v>8.290181223033169E-2</v>
      </c>
      <c r="E17" s="13">
        <f t="shared" si="0"/>
        <v>4.2337479040124473</v>
      </c>
      <c r="F17" s="13">
        <f t="shared" si="1"/>
        <v>7.1722053892734046</v>
      </c>
      <c r="H17" s="14">
        <f t="shared" si="2"/>
        <v>1000</v>
      </c>
      <c r="I17" s="15">
        <f t="shared" si="3"/>
        <v>1014.1004948049106</v>
      </c>
      <c r="K17" s="15">
        <f t="shared" si="4"/>
        <v>1000</v>
      </c>
      <c r="L17" s="15">
        <f t="shared" si="5"/>
        <v>1018.7914135942021</v>
      </c>
    </row>
    <row r="18" spans="1:12" ht="13.8" x14ac:dyDescent="0.25">
      <c r="A18" s="12" t="str">
        <f>'[1]Exercise 25-7.c'!A392</f>
        <v>1.1979</v>
      </c>
      <c r="B18" s="12">
        <f>'[1]Exercise 25-7.c'!B392</f>
        <v>8.7241859072961128E-2</v>
      </c>
      <c r="C18" s="12">
        <f>'[1]Exercise 25-7.c'!C392</f>
        <v>8.010007326721931E-2</v>
      </c>
      <c r="E18" s="13">
        <f t="shared" si="0"/>
        <v>4.2594306432792486</v>
      </c>
      <c r="F18" s="13">
        <f t="shared" si="1"/>
        <v>7.2442891600955726</v>
      </c>
      <c r="H18" s="14">
        <f t="shared" si="2"/>
        <v>1000</v>
      </c>
      <c r="I18" s="15">
        <f t="shared" si="3"/>
        <v>1436.2092953648057</v>
      </c>
      <c r="K18" s="15">
        <f t="shared" si="4"/>
        <v>1000.0000000000001</v>
      </c>
      <c r="L18" s="15">
        <f t="shared" si="5"/>
        <v>1801.0007326721932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McCulloch data set</vt:lpstr>
      <vt:lpstr>Exercise 25-7.b</vt:lpstr>
      <vt:lpstr>Exercise 25-7.c</vt:lpstr>
      <vt:lpstr>Exercise 27-7.d</vt:lpstr>
      <vt:lpstr>Exercise 25-7.e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2024-12-16T08:41:54Z</dcterms:modified>
</cp:coreProperties>
</file>