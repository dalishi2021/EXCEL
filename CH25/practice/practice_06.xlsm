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practice\"/>
    </mc:Choice>
  </mc:AlternateContent>
  <xr:revisionPtr revIDLastSave="0" documentId="13_ncr:1_{4F16243B-366C-403B-BF73-0480C5659A19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6" sheetId="4" r:id="rId2"/>
    <sheet name="Sheet3" sheetId="5" r:id="rId3"/>
  </sheets>
  <functionGroups builtInGroupCount="19"/>
  <externalReferences>
    <externalReference r:id="rId4"/>
  </externalReferences>
  <definedNames>
    <definedName name="alpha">'[1]Exercise 9'!$B$6</definedName>
    <definedName name="gamma">'[1]Exercise 9'!$B$3</definedName>
    <definedName name="lambda">'[1]Exercise 9'!$B$5</definedName>
    <definedName name="marker" localSheetId="1">'Exercise 6'!#REF!</definedName>
    <definedName name="marker">#REF!</definedName>
    <definedName name="r_">'[1]Exercise 9'!$B$9</definedName>
    <definedName name="r_infinity">'[1]Exercise 9'!$B$7</definedName>
    <definedName name="sigma">'[1]Exercise 9'!$B$4</definedName>
    <definedName name="T">'[1]Exercise 9'!$B$10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5" l="1"/>
  <c r="F31" i="5"/>
  <c r="A11" i="4"/>
  <c r="G31" i="5"/>
  <c r="F10" i="5" l="1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9" i="5"/>
  <c r="F8" i="5"/>
  <c r="B25" i="4"/>
  <c r="C25" i="4" s="1"/>
  <c r="B24" i="4"/>
  <c r="C24" i="4" s="1"/>
  <c r="C23" i="4"/>
  <c r="B23" i="4"/>
  <c r="B22" i="4"/>
  <c r="C22" i="4" s="1"/>
  <c r="B21" i="4"/>
  <c r="C21" i="4" s="1"/>
  <c r="C20" i="4"/>
  <c r="B20" i="4"/>
  <c r="C19" i="4"/>
  <c r="B19" i="4"/>
  <c r="B18" i="4"/>
  <c r="C18" i="4" s="1"/>
  <c r="C17" i="4"/>
  <c r="B17" i="4"/>
  <c r="B16" i="4"/>
  <c r="C16" i="4" s="1"/>
  <c r="B15" i="4"/>
  <c r="C15" i="4" s="1"/>
  <c r="B14" i="4"/>
  <c r="C14" i="4" s="1"/>
  <c r="B13" i="4"/>
  <c r="C13" i="4" s="1"/>
  <c r="B12" i="4"/>
  <c r="C12" i="4" s="1"/>
  <c r="A12" i="4"/>
  <c r="B11" i="4"/>
  <c r="B5" i="4"/>
  <c r="B2" i="4"/>
  <c r="G27" i="5"/>
  <c r="C30" i="4"/>
  <c r="C8" i="4"/>
  <c r="C27" i="4"/>
  <c r="C29" i="4"/>
  <c r="B8" i="4" l="1"/>
  <c r="C11" i="4" l="1"/>
  <c r="B27" i="4"/>
  <c r="B29" i="4"/>
  <c r="B30" i="4"/>
</calcChain>
</file>

<file path=xl/sharedStrings.xml><?xml version="1.0" encoding="utf-8"?>
<sst xmlns="http://schemas.openxmlformats.org/spreadsheetml/2006/main" count="13" uniqueCount="13">
  <si>
    <t>WEST JEFFERSON DEVELOPMENT BOND</t>
  </si>
  <si>
    <t>Current date</t>
  </si>
  <si>
    <t>Bond price</t>
  </si>
  <si>
    <t>Coupon</t>
  </si>
  <si>
    <t>paid March 1 and October 1</t>
  </si>
  <si>
    <t>Maturity date</t>
  </si>
  <si>
    <t>Face value</t>
  </si>
  <si>
    <t>Time to first payment</t>
  </si>
  <si>
    <t>Date</t>
  </si>
  <si>
    <t>Payment</t>
  </si>
  <si>
    <t>Adjusted
payment</t>
  </si>
  <si>
    <t>YTM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</si>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</sst>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&quot;$&quot;* #,##0.00_);_(&quot;$&quot;* \(#,##0.00\);_(&quot;$&quot;* &quot;-&quot;??_);_(@_)"/>
    <numFmt numFmtId="177" formatCode="&quot;$&quot;#,##0_);[Red]\(&quot;$&quot;#,##0\)"/>
    <numFmt numFmtId="178" formatCode="0.0000"/>
    <numFmt numFmtId="179" formatCode="0.000%"/>
    <numFmt numFmtId="180" formatCode="0.00_);[Red]\(0.00\)"/>
    <numFmt numFmtId="181" formatCode="0.0000_);[Red]\(0.0000\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17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3" fillId="0" borderId="0" xfId="2"/>
    <xf numFmtId="14" fontId="3" fillId="0" borderId="0" xfId="2" applyNumberFormat="1"/>
    <xf numFmtId="176" fontId="0" fillId="0" borderId="0" xfId="3" applyFont="1"/>
    <xf numFmtId="177" fontId="3" fillId="0" borderId="0" xfId="2" applyNumberFormat="1"/>
    <xf numFmtId="178" fontId="3" fillId="0" borderId="0" xfId="2" applyNumberFormat="1"/>
    <xf numFmtId="0" fontId="5" fillId="0" borderId="0" xfId="2" applyFont="1" applyAlignment="1">
      <alignment horizontal="center" vertical="center" wrapText="1"/>
    </xf>
    <xf numFmtId="4" fontId="3" fillId="0" borderId="0" xfId="2" applyNumberFormat="1"/>
    <xf numFmtId="179" fontId="0" fillId="0" borderId="0" xfId="4" applyNumberFormat="1" applyFont="1"/>
    <xf numFmtId="14" fontId="3" fillId="0" borderId="0" xfId="2" applyNumberFormat="1" applyAlignment="1">
      <alignment horizont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9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81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0" fontId="4" fillId="0" borderId="0" xfId="2" applyFont="1" applyAlignment="1">
      <alignment horizontal="center"/>
    </xf>
  </cellXfs>
  <cellStyles count="5">
    <cellStyle name="百分比" xfId="1" builtinId="5"/>
    <cellStyle name="百分比 2" xfId="4" xr:uid="{B61E5209-32B9-4FA5-8029-8D297A1BDCB3}"/>
    <cellStyle name="常规" xfId="0" builtinId="0"/>
    <cellStyle name="常规 2" xfId="2" xr:uid="{870D1DEC-5059-4F05-87FE-4498AE9C41D6}"/>
    <cellStyle name="货币 2" xfId="3" xr:uid="{996A861D-5D7E-471F-8090-0A452CB7DCD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58615</xdr:colOff>
      <xdr:row>1</xdr:row>
      <xdr:rowOff>33116</xdr:rowOff>
    </xdr:from>
    <xdr:to>
      <xdr:col>19</xdr:col>
      <xdr:colOff>154273</xdr:colOff>
      <xdr:row>46</xdr:row>
      <xdr:rowOff>20423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BCED8F8-EE51-2210-9620-82728BD0F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2423" y="252924"/>
          <a:ext cx="9217677" cy="77430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vasicek%20exerci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 9"/>
    </sheetNames>
    <sheetDataSet>
      <sheetData sheetId="0">
        <row r="3">
          <cell r="B3">
            <v>0.06</v>
          </cell>
        </row>
        <row r="4">
          <cell r="B4">
            <v>7.0000000000000007E-2</v>
          </cell>
        </row>
        <row r="5">
          <cell r="B5">
            <v>0.66700000000000004</v>
          </cell>
        </row>
        <row r="6">
          <cell r="B6">
            <v>1</v>
          </cell>
        </row>
        <row r="7">
          <cell r="B7">
            <v>0.10424000000000001</v>
          </cell>
        </row>
        <row r="9">
          <cell r="B9">
            <v>0.04</v>
          </cell>
        </row>
        <row r="10">
          <cell r="B10">
            <v>8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L21" sqref="L2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AA19B-45A7-4241-A8DF-7BEACC35CD4C}">
  <sheetPr codeName="Sheet6"/>
  <dimension ref="A1:D36"/>
  <sheetViews>
    <sheetView tabSelected="1" zoomScale="130" zoomScaleNormal="130" workbookViewId="0">
      <selection activeCell="C31" sqref="C31"/>
    </sheetView>
  </sheetViews>
  <sheetFormatPr defaultRowHeight="13.2" x14ac:dyDescent="0.25"/>
  <cols>
    <col min="1" max="1" width="18.5546875" style="1" customWidth="1"/>
    <col min="2" max="2" width="10.44140625" style="1" customWidth="1"/>
    <col min="3" max="3" width="11.5546875" style="1" customWidth="1"/>
    <col min="4" max="4" width="40.44140625" style="1" customWidth="1"/>
    <col min="5" max="256" width="8.88671875" style="1"/>
    <col min="257" max="257" width="18.5546875" style="1" customWidth="1"/>
    <col min="258" max="258" width="10.44140625" style="1" customWidth="1"/>
    <col min="259" max="259" width="11.5546875" style="1" customWidth="1"/>
    <col min="260" max="260" width="40.44140625" style="1" customWidth="1"/>
    <col min="261" max="512" width="8.88671875" style="1"/>
    <col min="513" max="513" width="18.5546875" style="1" customWidth="1"/>
    <col min="514" max="514" width="10.44140625" style="1" customWidth="1"/>
    <col min="515" max="515" width="11.5546875" style="1" customWidth="1"/>
    <col min="516" max="516" width="40.44140625" style="1" customWidth="1"/>
    <col min="517" max="768" width="8.88671875" style="1"/>
    <col min="769" max="769" width="18.5546875" style="1" customWidth="1"/>
    <col min="770" max="770" width="10.44140625" style="1" customWidth="1"/>
    <col min="771" max="771" width="11.5546875" style="1" customWidth="1"/>
    <col min="772" max="772" width="40.44140625" style="1" customWidth="1"/>
    <col min="773" max="1024" width="8.88671875" style="1"/>
    <col min="1025" max="1025" width="18.5546875" style="1" customWidth="1"/>
    <col min="1026" max="1026" width="10.44140625" style="1" customWidth="1"/>
    <col min="1027" max="1027" width="11.5546875" style="1" customWidth="1"/>
    <col min="1028" max="1028" width="40.44140625" style="1" customWidth="1"/>
    <col min="1029" max="1280" width="8.88671875" style="1"/>
    <col min="1281" max="1281" width="18.5546875" style="1" customWidth="1"/>
    <col min="1282" max="1282" width="10.44140625" style="1" customWidth="1"/>
    <col min="1283" max="1283" width="11.5546875" style="1" customWidth="1"/>
    <col min="1284" max="1284" width="40.44140625" style="1" customWidth="1"/>
    <col min="1285" max="1536" width="8.88671875" style="1"/>
    <col min="1537" max="1537" width="18.5546875" style="1" customWidth="1"/>
    <col min="1538" max="1538" width="10.44140625" style="1" customWidth="1"/>
    <col min="1539" max="1539" width="11.5546875" style="1" customWidth="1"/>
    <col min="1540" max="1540" width="40.44140625" style="1" customWidth="1"/>
    <col min="1541" max="1792" width="8.88671875" style="1"/>
    <col min="1793" max="1793" width="18.5546875" style="1" customWidth="1"/>
    <col min="1794" max="1794" width="10.44140625" style="1" customWidth="1"/>
    <col min="1795" max="1795" width="11.5546875" style="1" customWidth="1"/>
    <col min="1796" max="1796" width="40.44140625" style="1" customWidth="1"/>
    <col min="1797" max="2048" width="8.88671875" style="1"/>
    <col min="2049" max="2049" width="18.5546875" style="1" customWidth="1"/>
    <col min="2050" max="2050" width="10.44140625" style="1" customWidth="1"/>
    <col min="2051" max="2051" width="11.5546875" style="1" customWidth="1"/>
    <col min="2052" max="2052" width="40.44140625" style="1" customWidth="1"/>
    <col min="2053" max="2304" width="8.88671875" style="1"/>
    <col min="2305" max="2305" width="18.5546875" style="1" customWidth="1"/>
    <col min="2306" max="2306" width="10.44140625" style="1" customWidth="1"/>
    <col min="2307" max="2307" width="11.5546875" style="1" customWidth="1"/>
    <col min="2308" max="2308" width="40.44140625" style="1" customWidth="1"/>
    <col min="2309" max="2560" width="8.88671875" style="1"/>
    <col min="2561" max="2561" width="18.5546875" style="1" customWidth="1"/>
    <col min="2562" max="2562" width="10.44140625" style="1" customWidth="1"/>
    <col min="2563" max="2563" width="11.5546875" style="1" customWidth="1"/>
    <col min="2564" max="2564" width="40.44140625" style="1" customWidth="1"/>
    <col min="2565" max="2816" width="8.88671875" style="1"/>
    <col min="2817" max="2817" width="18.5546875" style="1" customWidth="1"/>
    <col min="2818" max="2818" width="10.44140625" style="1" customWidth="1"/>
    <col min="2819" max="2819" width="11.5546875" style="1" customWidth="1"/>
    <col min="2820" max="2820" width="40.44140625" style="1" customWidth="1"/>
    <col min="2821" max="3072" width="8.88671875" style="1"/>
    <col min="3073" max="3073" width="18.5546875" style="1" customWidth="1"/>
    <col min="3074" max="3074" width="10.44140625" style="1" customWidth="1"/>
    <col min="3075" max="3075" width="11.5546875" style="1" customWidth="1"/>
    <col min="3076" max="3076" width="40.44140625" style="1" customWidth="1"/>
    <col min="3077" max="3328" width="8.88671875" style="1"/>
    <col min="3329" max="3329" width="18.5546875" style="1" customWidth="1"/>
    <col min="3330" max="3330" width="10.44140625" style="1" customWidth="1"/>
    <col min="3331" max="3331" width="11.5546875" style="1" customWidth="1"/>
    <col min="3332" max="3332" width="40.44140625" style="1" customWidth="1"/>
    <col min="3333" max="3584" width="8.88671875" style="1"/>
    <col min="3585" max="3585" width="18.5546875" style="1" customWidth="1"/>
    <col min="3586" max="3586" width="10.44140625" style="1" customWidth="1"/>
    <col min="3587" max="3587" width="11.5546875" style="1" customWidth="1"/>
    <col min="3588" max="3588" width="40.44140625" style="1" customWidth="1"/>
    <col min="3589" max="3840" width="8.88671875" style="1"/>
    <col min="3841" max="3841" width="18.5546875" style="1" customWidth="1"/>
    <col min="3842" max="3842" width="10.44140625" style="1" customWidth="1"/>
    <col min="3843" max="3843" width="11.5546875" style="1" customWidth="1"/>
    <col min="3844" max="3844" width="40.44140625" style="1" customWidth="1"/>
    <col min="3845" max="4096" width="8.88671875" style="1"/>
    <col min="4097" max="4097" width="18.5546875" style="1" customWidth="1"/>
    <col min="4098" max="4098" width="10.44140625" style="1" customWidth="1"/>
    <col min="4099" max="4099" width="11.5546875" style="1" customWidth="1"/>
    <col min="4100" max="4100" width="40.44140625" style="1" customWidth="1"/>
    <col min="4101" max="4352" width="8.88671875" style="1"/>
    <col min="4353" max="4353" width="18.5546875" style="1" customWidth="1"/>
    <col min="4354" max="4354" width="10.44140625" style="1" customWidth="1"/>
    <col min="4355" max="4355" width="11.5546875" style="1" customWidth="1"/>
    <col min="4356" max="4356" width="40.44140625" style="1" customWidth="1"/>
    <col min="4357" max="4608" width="8.88671875" style="1"/>
    <col min="4609" max="4609" width="18.5546875" style="1" customWidth="1"/>
    <col min="4610" max="4610" width="10.44140625" style="1" customWidth="1"/>
    <col min="4611" max="4611" width="11.5546875" style="1" customWidth="1"/>
    <col min="4612" max="4612" width="40.44140625" style="1" customWidth="1"/>
    <col min="4613" max="4864" width="8.88671875" style="1"/>
    <col min="4865" max="4865" width="18.5546875" style="1" customWidth="1"/>
    <col min="4866" max="4866" width="10.44140625" style="1" customWidth="1"/>
    <col min="4867" max="4867" width="11.5546875" style="1" customWidth="1"/>
    <col min="4868" max="4868" width="40.44140625" style="1" customWidth="1"/>
    <col min="4869" max="5120" width="8.88671875" style="1"/>
    <col min="5121" max="5121" width="18.5546875" style="1" customWidth="1"/>
    <col min="5122" max="5122" width="10.44140625" style="1" customWidth="1"/>
    <col min="5123" max="5123" width="11.5546875" style="1" customWidth="1"/>
    <col min="5124" max="5124" width="40.44140625" style="1" customWidth="1"/>
    <col min="5125" max="5376" width="8.88671875" style="1"/>
    <col min="5377" max="5377" width="18.5546875" style="1" customWidth="1"/>
    <col min="5378" max="5378" width="10.44140625" style="1" customWidth="1"/>
    <col min="5379" max="5379" width="11.5546875" style="1" customWidth="1"/>
    <col min="5380" max="5380" width="40.44140625" style="1" customWidth="1"/>
    <col min="5381" max="5632" width="8.88671875" style="1"/>
    <col min="5633" max="5633" width="18.5546875" style="1" customWidth="1"/>
    <col min="5634" max="5634" width="10.44140625" style="1" customWidth="1"/>
    <col min="5635" max="5635" width="11.5546875" style="1" customWidth="1"/>
    <col min="5636" max="5636" width="40.44140625" style="1" customWidth="1"/>
    <col min="5637" max="5888" width="8.88671875" style="1"/>
    <col min="5889" max="5889" width="18.5546875" style="1" customWidth="1"/>
    <col min="5890" max="5890" width="10.44140625" style="1" customWidth="1"/>
    <col min="5891" max="5891" width="11.5546875" style="1" customWidth="1"/>
    <col min="5892" max="5892" width="40.44140625" style="1" customWidth="1"/>
    <col min="5893" max="6144" width="8.88671875" style="1"/>
    <col min="6145" max="6145" width="18.5546875" style="1" customWidth="1"/>
    <col min="6146" max="6146" width="10.44140625" style="1" customWidth="1"/>
    <col min="6147" max="6147" width="11.5546875" style="1" customWidth="1"/>
    <col min="6148" max="6148" width="40.44140625" style="1" customWidth="1"/>
    <col min="6149" max="6400" width="8.88671875" style="1"/>
    <col min="6401" max="6401" width="18.5546875" style="1" customWidth="1"/>
    <col min="6402" max="6402" width="10.44140625" style="1" customWidth="1"/>
    <col min="6403" max="6403" width="11.5546875" style="1" customWidth="1"/>
    <col min="6404" max="6404" width="40.44140625" style="1" customWidth="1"/>
    <col min="6405" max="6656" width="8.88671875" style="1"/>
    <col min="6657" max="6657" width="18.5546875" style="1" customWidth="1"/>
    <col min="6658" max="6658" width="10.44140625" style="1" customWidth="1"/>
    <col min="6659" max="6659" width="11.5546875" style="1" customWidth="1"/>
    <col min="6660" max="6660" width="40.44140625" style="1" customWidth="1"/>
    <col min="6661" max="6912" width="8.88671875" style="1"/>
    <col min="6913" max="6913" width="18.5546875" style="1" customWidth="1"/>
    <col min="6914" max="6914" width="10.44140625" style="1" customWidth="1"/>
    <col min="6915" max="6915" width="11.5546875" style="1" customWidth="1"/>
    <col min="6916" max="6916" width="40.44140625" style="1" customWidth="1"/>
    <col min="6917" max="7168" width="8.88671875" style="1"/>
    <col min="7169" max="7169" width="18.5546875" style="1" customWidth="1"/>
    <col min="7170" max="7170" width="10.44140625" style="1" customWidth="1"/>
    <col min="7171" max="7171" width="11.5546875" style="1" customWidth="1"/>
    <col min="7172" max="7172" width="40.44140625" style="1" customWidth="1"/>
    <col min="7173" max="7424" width="8.88671875" style="1"/>
    <col min="7425" max="7425" width="18.5546875" style="1" customWidth="1"/>
    <col min="7426" max="7426" width="10.44140625" style="1" customWidth="1"/>
    <col min="7427" max="7427" width="11.5546875" style="1" customWidth="1"/>
    <col min="7428" max="7428" width="40.44140625" style="1" customWidth="1"/>
    <col min="7429" max="7680" width="8.88671875" style="1"/>
    <col min="7681" max="7681" width="18.5546875" style="1" customWidth="1"/>
    <col min="7682" max="7682" width="10.44140625" style="1" customWidth="1"/>
    <col min="7683" max="7683" width="11.5546875" style="1" customWidth="1"/>
    <col min="7684" max="7684" width="40.44140625" style="1" customWidth="1"/>
    <col min="7685" max="7936" width="8.88671875" style="1"/>
    <col min="7937" max="7937" width="18.5546875" style="1" customWidth="1"/>
    <col min="7938" max="7938" width="10.44140625" style="1" customWidth="1"/>
    <col min="7939" max="7939" width="11.5546875" style="1" customWidth="1"/>
    <col min="7940" max="7940" width="40.44140625" style="1" customWidth="1"/>
    <col min="7941" max="8192" width="8.88671875" style="1"/>
    <col min="8193" max="8193" width="18.5546875" style="1" customWidth="1"/>
    <col min="8194" max="8194" width="10.44140625" style="1" customWidth="1"/>
    <col min="8195" max="8195" width="11.5546875" style="1" customWidth="1"/>
    <col min="8196" max="8196" width="40.44140625" style="1" customWidth="1"/>
    <col min="8197" max="8448" width="8.88671875" style="1"/>
    <col min="8449" max="8449" width="18.5546875" style="1" customWidth="1"/>
    <col min="8450" max="8450" width="10.44140625" style="1" customWidth="1"/>
    <col min="8451" max="8451" width="11.5546875" style="1" customWidth="1"/>
    <col min="8452" max="8452" width="40.44140625" style="1" customWidth="1"/>
    <col min="8453" max="8704" width="8.88671875" style="1"/>
    <col min="8705" max="8705" width="18.5546875" style="1" customWidth="1"/>
    <col min="8706" max="8706" width="10.44140625" style="1" customWidth="1"/>
    <col min="8707" max="8707" width="11.5546875" style="1" customWidth="1"/>
    <col min="8708" max="8708" width="40.44140625" style="1" customWidth="1"/>
    <col min="8709" max="8960" width="8.88671875" style="1"/>
    <col min="8961" max="8961" width="18.5546875" style="1" customWidth="1"/>
    <col min="8962" max="8962" width="10.44140625" style="1" customWidth="1"/>
    <col min="8963" max="8963" width="11.5546875" style="1" customWidth="1"/>
    <col min="8964" max="8964" width="40.44140625" style="1" customWidth="1"/>
    <col min="8965" max="9216" width="8.88671875" style="1"/>
    <col min="9217" max="9217" width="18.5546875" style="1" customWidth="1"/>
    <col min="9218" max="9218" width="10.44140625" style="1" customWidth="1"/>
    <col min="9219" max="9219" width="11.5546875" style="1" customWidth="1"/>
    <col min="9220" max="9220" width="40.44140625" style="1" customWidth="1"/>
    <col min="9221" max="9472" width="8.88671875" style="1"/>
    <col min="9473" max="9473" width="18.5546875" style="1" customWidth="1"/>
    <col min="9474" max="9474" width="10.44140625" style="1" customWidth="1"/>
    <col min="9475" max="9475" width="11.5546875" style="1" customWidth="1"/>
    <col min="9476" max="9476" width="40.44140625" style="1" customWidth="1"/>
    <col min="9477" max="9728" width="8.88671875" style="1"/>
    <col min="9729" max="9729" width="18.5546875" style="1" customWidth="1"/>
    <col min="9730" max="9730" width="10.44140625" style="1" customWidth="1"/>
    <col min="9731" max="9731" width="11.5546875" style="1" customWidth="1"/>
    <col min="9732" max="9732" width="40.44140625" style="1" customWidth="1"/>
    <col min="9733" max="9984" width="8.88671875" style="1"/>
    <col min="9985" max="9985" width="18.5546875" style="1" customWidth="1"/>
    <col min="9986" max="9986" width="10.44140625" style="1" customWidth="1"/>
    <col min="9987" max="9987" width="11.5546875" style="1" customWidth="1"/>
    <col min="9988" max="9988" width="40.44140625" style="1" customWidth="1"/>
    <col min="9989" max="10240" width="8.88671875" style="1"/>
    <col min="10241" max="10241" width="18.5546875" style="1" customWidth="1"/>
    <col min="10242" max="10242" width="10.44140625" style="1" customWidth="1"/>
    <col min="10243" max="10243" width="11.5546875" style="1" customWidth="1"/>
    <col min="10244" max="10244" width="40.44140625" style="1" customWidth="1"/>
    <col min="10245" max="10496" width="8.88671875" style="1"/>
    <col min="10497" max="10497" width="18.5546875" style="1" customWidth="1"/>
    <col min="10498" max="10498" width="10.44140625" style="1" customWidth="1"/>
    <col min="10499" max="10499" width="11.5546875" style="1" customWidth="1"/>
    <col min="10500" max="10500" width="40.44140625" style="1" customWidth="1"/>
    <col min="10501" max="10752" width="8.88671875" style="1"/>
    <col min="10753" max="10753" width="18.5546875" style="1" customWidth="1"/>
    <col min="10754" max="10754" width="10.44140625" style="1" customWidth="1"/>
    <col min="10755" max="10755" width="11.5546875" style="1" customWidth="1"/>
    <col min="10756" max="10756" width="40.44140625" style="1" customWidth="1"/>
    <col min="10757" max="11008" width="8.88671875" style="1"/>
    <col min="11009" max="11009" width="18.5546875" style="1" customWidth="1"/>
    <col min="11010" max="11010" width="10.44140625" style="1" customWidth="1"/>
    <col min="11011" max="11011" width="11.5546875" style="1" customWidth="1"/>
    <col min="11012" max="11012" width="40.44140625" style="1" customWidth="1"/>
    <col min="11013" max="11264" width="8.88671875" style="1"/>
    <col min="11265" max="11265" width="18.5546875" style="1" customWidth="1"/>
    <col min="11266" max="11266" width="10.44140625" style="1" customWidth="1"/>
    <col min="11267" max="11267" width="11.5546875" style="1" customWidth="1"/>
    <col min="11268" max="11268" width="40.44140625" style="1" customWidth="1"/>
    <col min="11269" max="11520" width="8.88671875" style="1"/>
    <col min="11521" max="11521" width="18.5546875" style="1" customWidth="1"/>
    <col min="11522" max="11522" width="10.44140625" style="1" customWidth="1"/>
    <col min="11523" max="11523" width="11.5546875" style="1" customWidth="1"/>
    <col min="11524" max="11524" width="40.44140625" style="1" customWidth="1"/>
    <col min="11525" max="11776" width="8.88671875" style="1"/>
    <col min="11777" max="11777" width="18.5546875" style="1" customWidth="1"/>
    <col min="11778" max="11778" width="10.44140625" style="1" customWidth="1"/>
    <col min="11779" max="11779" width="11.5546875" style="1" customWidth="1"/>
    <col min="11780" max="11780" width="40.44140625" style="1" customWidth="1"/>
    <col min="11781" max="12032" width="8.88671875" style="1"/>
    <col min="12033" max="12033" width="18.5546875" style="1" customWidth="1"/>
    <col min="12034" max="12034" width="10.44140625" style="1" customWidth="1"/>
    <col min="12035" max="12035" width="11.5546875" style="1" customWidth="1"/>
    <col min="12036" max="12036" width="40.44140625" style="1" customWidth="1"/>
    <col min="12037" max="12288" width="8.88671875" style="1"/>
    <col min="12289" max="12289" width="18.5546875" style="1" customWidth="1"/>
    <col min="12290" max="12290" width="10.44140625" style="1" customWidth="1"/>
    <col min="12291" max="12291" width="11.5546875" style="1" customWidth="1"/>
    <col min="12292" max="12292" width="40.44140625" style="1" customWidth="1"/>
    <col min="12293" max="12544" width="8.88671875" style="1"/>
    <col min="12545" max="12545" width="18.5546875" style="1" customWidth="1"/>
    <col min="12546" max="12546" width="10.44140625" style="1" customWidth="1"/>
    <col min="12547" max="12547" width="11.5546875" style="1" customWidth="1"/>
    <col min="12548" max="12548" width="40.44140625" style="1" customWidth="1"/>
    <col min="12549" max="12800" width="8.88671875" style="1"/>
    <col min="12801" max="12801" width="18.5546875" style="1" customWidth="1"/>
    <col min="12802" max="12802" width="10.44140625" style="1" customWidth="1"/>
    <col min="12803" max="12803" width="11.5546875" style="1" customWidth="1"/>
    <col min="12804" max="12804" width="40.44140625" style="1" customWidth="1"/>
    <col min="12805" max="13056" width="8.88671875" style="1"/>
    <col min="13057" max="13057" width="18.5546875" style="1" customWidth="1"/>
    <col min="13058" max="13058" width="10.44140625" style="1" customWidth="1"/>
    <col min="13059" max="13059" width="11.5546875" style="1" customWidth="1"/>
    <col min="13060" max="13060" width="40.44140625" style="1" customWidth="1"/>
    <col min="13061" max="13312" width="8.88671875" style="1"/>
    <col min="13313" max="13313" width="18.5546875" style="1" customWidth="1"/>
    <col min="13314" max="13314" width="10.44140625" style="1" customWidth="1"/>
    <col min="13315" max="13315" width="11.5546875" style="1" customWidth="1"/>
    <col min="13316" max="13316" width="40.44140625" style="1" customWidth="1"/>
    <col min="13317" max="13568" width="8.88671875" style="1"/>
    <col min="13569" max="13569" width="18.5546875" style="1" customWidth="1"/>
    <col min="13570" max="13570" width="10.44140625" style="1" customWidth="1"/>
    <col min="13571" max="13571" width="11.5546875" style="1" customWidth="1"/>
    <col min="13572" max="13572" width="40.44140625" style="1" customWidth="1"/>
    <col min="13573" max="13824" width="8.88671875" style="1"/>
    <col min="13825" max="13825" width="18.5546875" style="1" customWidth="1"/>
    <col min="13826" max="13826" width="10.44140625" style="1" customWidth="1"/>
    <col min="13827" max="13827" width="11.5546875" style="1" customWidth="1"/>
    <col min="13828" max="13828" width="40.44140625" style="1" customWidth="1"/>
    <col min="13829" max="14080" width="8.88671875" style="1"/>
    <col min="14081" max="14081" width="18.5546875" style="1" customWidth="1"/>
    <col min="14082" max="14082" width="10.44140625" style="1" customWidth="1"/>
    <col min="14083" max="14083" width="11.5546875" style="1" customWidth="1"/>
    <col min="14084" max="14084" width="40.44140625" style="1" customWidth="1"/>
    <col min="14085" max="14336" width="8.88671875" style="1"/>
    <col min="14337" max="14337" width="18.5546875" style="1" customWidth="1"/>
    <col min="14338" max="14338" width="10.44140625" style="1" customWidth="1"/>
    <col min="14339" max="14339" width="11.5546875" style="1" customWidth="1"/>
    <col min="14340" max="14340" width="40.44140625" style="1" customWidth="1"/>
    <col min="14341" max="14592" width="8.88671875" style="1"/>
    <col min="14593" max="14593" width="18.5546875" style="1" customWidth="1"/>
    <col min="14594" max="14594" width="10.44140625" style="1" customWidth="1"/>
    <col min="14595" max="14595" width="11.5546875" style="1" customWidth="1"/>
    <col min="14596" max="14596" width="40.44140625" style="1" customWidth="1"/>
    <col min="14597" max="14848" width="8.88671875" style="1"/>
    <col min="14849" max="14849" width="18.5546875" style="1" customWidth="1"/>
    <col min="14850" max="14850" width="10.44140625" style="1" customWidth="1"/>
    <col min="14851" max="14851" width="11.5546875" style="1" customWidth="1"/>
    <col min="14852" max="14852" width="40.44140625" style="1" customWidth="1"/>
    <col min="14853" max="15104" width="8.88671875" style="1"/>
    <col min="15105" max="15105" width="18.5546875" style="1" customWidth="1"/>
    <col min="15106" max="15106" width="10.44140625" style="1" customWidth="1"/>
    <col min="15107" max="15107" width="11.5546875" style="1" customWidth="1"/>
    <col min="15108" max="15108" width="40.44140625" style="1" customWidth="1"/>
    <col min="15109" max="15360" width="8.88671875" style="1"/>
    <col min="15361" max="15361" width="18.5546875" style="1" customWidth="1"/>
    <col min="15362" max="15362" width="10.44140625" style="1" customWidth="1"/>
    <col min="15363" max="15363" width="11.5546875" style="1" customWidth="1"/>
    <col min="15364" max="15364" width="40.44140625" style="1" customWidth="1"/>
    <col min="15365" max="15616" width="8.88671875" style="1"/>
    <col min="15617" max="15617" width="18.5546875" style="1" customWidth="1"/>
    <col min="15618" max="15618" width="10.44140625" style="1" customWidth="1"/>
    <col min="15619" max="15619" width="11.5546875" style="1" customWidth="1"/>
    <col min="15620" max="15620" width="40.44140625" style="1" customWidth="1"/>
    <col min="15621" max="15872" width="8.88671875" style="1"/>
    <col min="15873" max="15873" width="18.5546875" style="1" customWidth="1"/>
    <col min="15874" max="15874" width="10.44140625" style="1" customWidth="1"/>
    <col min="15875" max="15875" width="11.5546875" style="1" customWidth="1"/>
    <col min="15876" max="15876" width="40.44140625" style="1" customWidth="1"/>
    <col min="15877" max="16128" width="8.88671875" style="1"/>
    <col min="16129" max="16129" width="18.5546875" style="1" customWidth="1"/>
    <col min="16130" max="16130" width="10.44140625" style="1" customWidth="1"/>
    <col min="16131" max="16131" width="11.5546875" style="1" customWidth="1"/>
    <col min="16132" max="16132" width="40.44140625" style="1" customWidth="1"/>
    <col min="16133" max="16384" width="8.88671875" style="1"/>
  </cols>
  <sheetData>
    <row r="1" spans="1:4" ht="17.399999999999999" x14ac:dyDescent="0.3">
      <c r="A1" s="16" t="s">
        <v>0</v>
      </c>
      <c r="B1" s="16"/>
      <c r="C1" s="16"/>
      <c r="D1" s="16"/>
    </row>
    <row r="2" spans="1:4" x14ac:dyDescent="0.25">
      <c r="A2" s="1" t="s">
        <v>1</v>
      </c>
      <c r="B2" s="2">
        <f>DATE(1987,1,23)</f>
        <v>31800</v>
      </c>
    </row>
    <row r="3" spans="1:4" ht="13.8" x14ac:dyDescent="0.25">
      <c r="A3" s="1" t="s">
        <v>2</v>
      </c>
      <c r="B3" s="3">
        <v>1122.32</v>
      </c>
    </row>
    <row r="4" spans="1:4" x14ac:dyDescent="0.25">
      <c r="A4" s="1" t="s">
        <v>3</v>
      </c>
      <c r="B4" s="1">
        <v>59</v>
      </c>
      <c r="C4" s="1" t="s">
        <v>4</v>
      </c>
    </row>
    <row r="5" spans="1:4" x14ac:dyDescent="0.25">
      <c r="A5" s="1" t="s">
        <v>5</v>
      </c>
      <c r="B5" s="2">
        <f>DATE(1993,10,1)</f>
        <v>34243</v>
      </c>
    </row>
    <row r="6" spans="1:4" x14ac:dyDescent="0.25">
      <c r="A6" s="1" t="s">
        <v>6</v>
      </c>
      <c r="B6" s="4">
        <v>1000</v>
      </c>
    </row>
    <row r="7" spans="1:4" x14ac:dyDescent="0.25">
      <c r="B7" s="4"/>
    </row>
    <row r="8" spans="1:4" x14ac:dyDescent="0.25">
      <c r="A8" s="1" t="s">
        <v>7</v>
      </c>
      <c r="B8" s="5">
        <f>(A12-A11)/(365/2)</f>
        <v>0.20273972602739726</v>
      </c>
      <c r="C8" s="1" t="str">
        <f ca="1">_xlfn.FORMULATEXT(B8)</f>
        <v>=(A12-A11)/(365/2)</v>
      </c>
    </row>
    <row r="10" spans="1:4" ht="26.4" x14ac:dyDescent="0.25">
      <c r="A10" s="6" t="s">
        <v>8</v>
      </c>
      <c r="B10" s="6" t="s">
        <v>9</v>
      </c>
      <c r="C10" s="6" t="s">
        <v>10</v>
      </c>
    </row>
    <row r="11" spans="1:4" x14ac:dyDescent="0.25">
      <c r="A11" s="9">
        <f>B2</f>
        <v>31800</v>
      </c>
      <c r="B11" s="7">
        <f>-B3</f>
        <v>-1122.32</v>
      </c>
      <c r="C11" s="1">
        <f ca="1">B11/(1+B27)^(1-B8)</f>
        <v>-1019.7336636983799</v>
      </c>
    </row>
    <row r="12" spans="1:4" x14ac:dyDescent="0.25">
      <c r="A12" s="9">
        <f>DATE(1987,3,1)</f>
        <v>31837</v>
      </c>
      <c r="B12" s="1">
        <f t="shared" ref="B12:B24" si="0">$B$4</f>
        <v>59</v>
      </c>
      <c r="C12" s="1">
        <f t="shared" ref="C12:C25" si="1">B12</f>
        <v>59</v>
      </c>
    </row>
    <row r="13" spans="1:4" x14ac:dyDescent="0.25">
      <c r="A13" s="9">
        <v>32021</v>
      </c>
      <c r="B13" s="1">
        <f t="shared" si="0"/>
        <v>59</v>
      </c>
      <c r="C13" s="1">
        <f t="shared" si="1"/>
        <v>59</v>
      </c>
    </row>
    <row r="14" spans="1:4" x14ac:dyDescent="0.25">
      <c r="A14" s="9">
        <v>32203</v>
      </c>
      <c r="B14" s="1">
        <f t="shared" si="0"/>
        <v>59</v>
      </c>
      <c r="C14" s="1">
        <f t="shared" si="1"/>
        <v>59</v>
      </c>
    </row>
    <row r="15" spans="1:4" x14ac:dyDescent="0.25">
      <c r="A15" s="9">
        <v>32387</v>
      </c>
      <c r="B15" s="1">
        <f t="shared" si="0"/>
        <v>59</v>
      </c>
      <c r="C15" s="1">
        <f t="shared" si="1"/>
        <v>59</v>
      </c>
    </row>
    <row r="16" spans="1:4" x14ac:dyDescent="0.25">
      <c r="A16" s="9">
        <v>32568</v>
      </c>
      <c r="B16" s="1">
        <f t="shared" si="0"/>
        <v>59</v>
      </c>
      <c r="C16" s="1">
        <f t="shared" si="1"/>
        <v>59</v>
      </c>
    </row>
    <row r="17" spans="1:3" x14ac:dyDescent="0.25">
      <c r="A17" s="9">
        <v>32752</v>
      </c>
      <c r="B17" s="1">
        <f t="shared" si="0"/>
        <v>59</v>
      </c>
      <c r="C17" s="1">
        <f t="shared" si="1"/>
        <v>59</v>
      </c>
    </row>
    <row r="18" spans="1:3" x14ac:dyDescent="0.25">
      <c r="A18" s="9">
        <v>32933</v>
      </c>
      <c r="B18" s="1">
        <f t="shared" si="0"/>
        <v>59</v>
      </c>
      <c r="C18" s="1">
        <f t="shared" si="1"/>
        <v>59</v>
      </c>
    </row>
    <row r="19" spans="1:3" x14ac:dyDescent="0.25">
      <c r="A19" s="9">
        <v>33117</v>
      </c>
      <c r="B19" s="1">
        <f t="shared" si="0"/>
        <v>59</v>
      </c>
      <c r="C19" s="1">
        <f t="shared" si="1"/>
        <v>59</v>
      </c>
    </row>
    <row r="20" spans="1:3" x14ac:dyDescent="0.25">
      <c r="A20" s="9">
        <v>33298</v>
      </c>
      <c r="B20" s="1">
        <f t="shared" si="0"/>
        <v>59</v>
      </c>
      <c r="C20" s="1">
        <f t="shared" si="1"/>
        <v>59</v>
      </c>
    </row>
    <row r="21" spans="1:3" x14ac:dyDescent="0.25">
      <c r="A21" s="9">
        <v>33482</v>
      </c>
      <c r="B21" s="1">
        <f t="shared" si="0"/>
        <v>59</v>
      </c>
      <c r="C21" s="1">
        <f t="shared" si="1"/>
        <v>59</v>
      </c>
    </row>
    <row r="22" spans="1:3" x14ac:dyDescent="0.25">
      <c r="A22" s="9">
        <v>33664</v>
      </c>
      <c r="B22" s="1">
        <f t="shared" si="0"/>
        <v>59</v>
      </c>
      <c r="C22" s="1">
        <f t="shared" si="1"/>
        <v>59</v>
      </c>
    </row>
    <row r="23" spans="1:3" x14ac:dyDescent="0.25">
      <c r="A23" s="9">
        <v>33848</v>
      </c>
      <c r="B23" s="1">
        <f t="shared" si="0"/>
        <v>59</v>
      </c>
      <c r="C23" s="1">
        <f t="shared" si="1"/>
        <v>59</v>
      </c>
    </row>
    <row r="24" spans="1:3" x14ac:dyDescent="0.25">
      <c r="A24" s="9">
        <v>34029</v>
      </c>
      <c r="B24" s="1">
        <f t="shared" si="0"/>
        <v>59</v>
      </c>
      <c r="C24" s="1">
        <f t="shared" si="1"/>
        <v>59</v>
      </c>
    </row>
    <row r="25" spans="1:3" x14ac:dyDescent="0.25">
      <c r="A25" s="9">
        <v>34213</v>
      </c>
      <c r="B25" s="1">
        <f>$B$4+1000</f>
        <v>1059</v>
      </c>
      <c r="C25" s="1">
        <f t="shared" si="1"/>
        <v>1059</v>
      </c>
    </row>
    <row r="27" spans="1:3" ht="13.8" x14ac:dyDescent="0.25">
      <c r="A27" s="1" t="s">
        <v>11</v>
      </c>
      <c r="B27" s="8">
        <f ca="1">XIRR(C11:C25,A11:A25)</f>
        <v>0.12775887846946715</v>
      </c>
      <c r="C27" s="1" t="str">
        <f ca="1">_xlfn.FORMULATEXT(B27)</f>
        <v>=XIRR(C11:C25,A11:A25)</v>
      </c>
    </row>
    <row r="28" spans="1:3" ht="13.8" x14ac:dyDescent="0.25">
      <c r="B28" s="8"/>
    </row>
    <row r="29" spans="1:3" x14ac:dyDescent="0.25">
      <c r="A29" s="1" t="s">
        <v>12</v>
      </c>
      <c r="B29" s="5">
        <f ca="1">DURATION(B2,B5,B4,B27,1)</f>
        <v>3.2193479295597154</v>
      </c>
      <c r="C29" s="1" t="str">
        <f ca="1">_xlfn.FORMULATEXT(B29)&amp;", Measured in half years"</f>
        <v>=DURATION(B2,B5,B4,B27,1), Measured in half years</v>
      </c>
    </row>
    <row r="30" spans="1:3" x14ac:dyDescent="0.25">
      <c r="B30" s="5">
        <f ca="1">2*B29</f>
        <v>6.4386958591194308</v>
      </c>
      <c r="C30" s="1" t="str">
        <f ca="1">_xlfn.FORMULATEXT(B30)&amp;", Measured in whole years"</f>
        <v>=2*B29, Measured in whole years</v>
      </c>
    </row>
    <row r="36" spans="1:1" x14ac:dyDescent="0.25">
      <c r="A36" s="9"/>
    </row>
  </sheetData>
  <mergeCells count="1">
    <mergeCell ref="A1:D1"/>
  </mergeCells>
  <phoneticPr fontId="1" type="noConversion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0C3E-816A-47BD-A5F9-651AA1924A67}">
  <dimension ref="D8:G34"/>
  <sheetViews>
    <sheetView workbookViewId="0">
      <selection activeCell="F27" sqref="F27"/>
    </sheetView>
  </sheetViews>
  <sheetFormatPr defaultRowHeight="13.8" x14ac:dyDescent="0.25"/>
  <cols>
    <col min="6" max="6" width="10" bestFit="1" customWidth="1"/>
  </cols>
  <sheetData>
    <row r="8" spans="4:7" x14ac:dyDescent="0.25">
      <c r="F8" s="10">
        <f>DATE(2008,1,1)</f>
        <v>39448</v>
      </c>
      <c r="G8">
        <v>-954.12306245194793</v>
      </c>
    </row>
    <row r="9" spans="4:7" x14ac:dyDescent="0.25">
      <c r="D9" s="11"/>
      <c r="E9" s="11">
        <v>1</v>
      </c>
      <c r="F9" s="10">
        <f>DATE(2008,1+6*E9,1)</f>
        <v>39630</v>
      </c>
      <c r="G9">
        <v>40</v>
      </c>
    </row>
    <row r="10" spans="4:7" x14ac:dyDescent="0.25">
      <c r="D10" s="11"/>
      <c r="E10" s="11">
        <v>2</v>
      </c>
      <c r="F10" s="10">
        <f t="shared" ref="F10:F24" si="0">DATE(2008,1+6*E10,1)</f>
        <v>39814</v>
      </c>
      <c r="G10">
        <v>40</v>
      </c>
    </row>
    <row r="11" spans="4:7" x14ac:dyDescent="0.25">
      <c r="D11" s="11"/>
      <c r="E11" s="11">
        <v>3</v>
      </c>
      <c r="F11" s="10">
        <f t="shared" si="0"/>
        <v>39995</v>
      </c>
      <c r="G11">
        <v>40</v>
      </c>
    </row>
    <row r="12" spans="4:7" x14ac:dyDescent="0.25">
      <c r="D12" s="11"/>
      <c r="E12" s="11">
        <v>4</v>
      </c>
      <c r="F12" s="10">
        <f t="shared" si="0"/>
        <v>40179</v>
      </c>
      <c r="G12">
        <v>40</v>
      </c>
    </row>
    <row r="13" spans="4:7" x14ac:dyDescent="0.25">
      <c r="D13" s="11"/>
      <c r="E13" s="11">
        <v>5</v>
      </c>
      <c r="F13" s="10">
        <f t="shared" si="0"/>
        <v>40360</v>
      </c>
      <c r="G13">
        <v>40</v>
      </c>
    </row>
    <row r="14" spans="4:7" x14ac:dyDescent="0.25">
      <c r="D14" s="11"/>
      <c r="E14" s="11">
        <v>6</v>
      </c>
      <c r="F14" s="10">
        <f t="shared" si="0"/>
        <v>40544</v>
      </c>
      <c r="G14">
        <v>40</v>
      </c>
    </row>
    <row r="15" spans="4:7" x14ac:dyDescent="0.25">
      <c r="D15" s="11"/>
      <c r="E15" s="11">
        <v>7</v>
      </c>
      <c r="F15" s="10">
        <f t="shared" si="0"/>
        <v>40725</v>
      </c>
      <c r="G15">
        <v>40</v>
      </c>
    </row>
    <row r="16" spans="4:7" x14ac:dyDescent="0.25">
      <c r="D16" s="11"/>
      <c r="E16" s="11">
        <v>8</v>
      </c>
      <c r="F16" s="10">
        <f t="shared" si="0"/>
        <v>40909</v>
      </c>
      <c r="G16">
        <v>40</v>
      </c>
    </row>
    <row r="17" spans="4:7" x14ac:dyDescent="0.25">
      <c r="D17" s="11"/>
      <c r="E17" s="11">
        <v>9</v>
      </c>
      <c r="F17" s="10">
        <f t="shared" si="0"/>
        <v>41091</v>
      </c>
      <c r="G17">
        <v>40</v>
      </c>
    </row>
    <row r="18" spans="4:7" x14ac:dyDescent="0.25">
      <c r="D18" s="11"/>
      <c r="E18" s="11">
        <v>10</v>
      </c>
      <c r="F18" s="10">
        <f t="shared" si="0"/>
        <v>41275</v>
      </c>
      <c r="G18">
        <v>40</v>
      </c>
    </row>
    <row r="19" spans="4:7" x14ac:dyDescent="0.25">
      <c r="D19" s="11"/>
      <c r="E19" s="11">
        <v>11</v>
      </c>
      <c r="F19" s="10">
        <f t="shared" si="0"/>
        <v>41456</v>
      </c>
      <c r="G19">
        <v>40</v>
      </c>
    </row>
    <row r="20" spans="4:7" x14ac:dyDescent="0.25">
      <c r="D20" s="11"/>
      <c r="E20" s="11">
        <v>12</v>
      </c>
      <c r="F20" s="10">
        <f t="shared" si="0"/>
        <v>41640</v>
      </c>
      <c r="G20">
        <v>40</v>
      </c>
    </row>
    <row r="21" spans="4:7" x14ac:dyDescent="0.25">
      <c r="D21" s="11"/>
      <c r="E21" s="11">
        <v>13</v>
      </c>
      <c r="F21" s="10">
        <f t="shared" si="0"/>
        <v>41821</v>
      </c>
      <c r="G21">
        <v>40</v>
      </c>
    </row>
    <row r="22" spans="4:7" x14ac:dyDescent="0.25">
      <c r="D22" s="11"/>
      <c r="E22" s="11">
        <v>14</v>
      </c>
      <c r="F22" s="10">
        <f t="shared" si="0"/>
        <v>42005</v>
      </c>
      <c r="G22">
        <v>40</v>
      </c>
    </row>
    <row r="23" spans="4:7" x14ac:dyDescent="0.25">
      <c r="D23" s="11"/>
      <c r="E23" s="11">
        <v>15</v>
      </c>
      <c r="F23" s="10">
        <f t="shared" si="0"/>
        <v>42186</v>
      </c>
      <c r="G23">
        <v>40</v>
      </c>
    </row>
    <row r="24" spans="4:7" x14ac:dyDescent="0.25">
      <c r="D24" s="11"/>
      <c r="E24" s="11">
        <v>16</v>
      </c>
      <c r="F24" s="10">
        <f t="shared" si="0"/>
        <v>42370</v>
      </c>
      <c r="G24">
        <v>1040</v>
      </c>
    </row>
    <row r="25" spans="4:7" x14ac:dyDescent="0.25">
      <c r="D25" s="11"/>
      <c r="E25" s="11"/>
      <c r="F25" s="10"/>
    </row>
    <row r="26" spans="4:7" x14ac:dyDescent="0.25">
      <c r="D26" s="11"/>
      <c r="E26" s="11"/>
      <c r="F26" s="10"/>
    </row>
    <row r="27" spans="4:7" x14ac:dyDescent="0.25">
      <c r="D27" s="11"/>
      <c r="E27" s="11"/>
      <c r="F27" s="12">
        <f>XIRR(G8:G24,F8:F24)</f>
        <v>8.9994415640831021E-2</v>
      </c>
      <c r="G27" t="str">
        <f ca="1">_xlfn.FORMULATEXT(F27)</f>
        <v>=XIRR(G8:G24,F8:F24)</v>
      </c>
    </row>
    <row r="28" spans="4:7" x14ac:dyDescent="0.25">
      <c r="D28" s="11"/>
      <c r="E28" s="11"/>
      <c r="F28" s="13"/>
    </row>
    <row r="29" spans="4:7" x14ac:dyDescent="0.25">
      <c r="D29" s="11"/>
      <c r="E29" s="11"/>
      <c r="F29" s="10"/>
    </row>
    <row r="30" spans="4:7" x14ac:dyDescent="0.25">
      <c r="D30" s="11"/>
      <c r="E30" s="11"/>
      <c r="F30" s="10"/>
    </row>
    <row r="31" spans="4:7" x14ac:dyDescent="0.25">
      <c r="D31" s="11"/>
      <c r="E31" s="11"/>
      <c r="F31" s="14">
        <f>DURATION(F8,F24,8%,9%,2)</f>
        <v>5.9937749555451862</v>
      </c>
      <c r="G31" t="str">
        <f ca="1">_xlfn.FORMULATEXT(F31)</f>
        <v>=DURATION(F8,F24,8%,9%,2)</v>
      </c>
    </row>
    <row r="32" spans="4:7" x14ac:dyDescent="0.25">
      <c r="D32" s="11"/>
      <c r="E32" s="11"/>
      <c r="F32" s="15"/>
    </row>
    <row r="33" spans="4:6" x14ac:dyDescent="0.25">
      <c r="D33" s="11"/>
      <c r="E33" s="11"/>
      <c r="F33" s="10"/>
    </row>
    <row r="34" spans="4:6" x14ac:dyDescent="0.25">
      <c r="D34" s="11"/>
      <c r="E34" s="11"/>
      <c r="F34" s="1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Exercise 6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2024-12-16T09:36:50Z</dcterms:modified>
</cp:coreProperties>
</file>