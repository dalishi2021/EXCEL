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5\practice\"/>
    </mc:Choice>
  </mc:AlternateContent>
  <xr:revisionPtr revIDLastSave="0" documentId="13_ncr:1_{3E3A7721-0AB1-4148-91AD-007DA954A542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Exercise 1" sheetId="2" r:id="rId2"/>
  </sheets>
  <externalReferences>
    <externalReference r:id="rId3"/>
    <externalReference r:id="rId4"/>
  </externalReferences>
  <definedNames>
    <definedName name="alpha">'[2]Exercise 9'!$B$6</definedName>
    <definedName name="gamma">'[2]Exercise 9'!$B$3</definedName>
    <definedName name="lambda">'[2]Exercise 9'!$B$5</definedName>
    <definedName name="marker">'[1]Exercise 6'!#REF!</definedName>
    <definedName name="r_">'[2]Exercise 9'!$B$9</definedName>
    <definedName name="r_infinity">'[2]Exercise 9'!$B$7</definedName>
    <definedName name="sigma">'[2]Exercise 9'!$B$4</definedName>
    <definedName name="T">'[2]Exercise 9'!$B$10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2" l="1"/>
  <c r="B13" i="2" s="1"/>
  <c r="I19" i="2"/>
  <c r="C13" i="2"/>
  <c r="C9" i="2"/>
</calcChain>
</file>

<file path=xl/sharedStrings.xml><?xml version="1.0" encoding="utf-8"?>
<sst xmlns="http://schemas.openxmlformats.org/spreadsheetml/2006/main" count="13" uniqueCount="13">
  <si>
    <r>
      <t xml:space="preserve">CHANGING THE COUPON RATE
</t>
    </r>
    <r>
      <rPr>
        <b/>
        <sz val="12"/>
        <rFont val="Arial"/>
        <family val="2"/>
      </rPr>
      <t>Effect on Duration</t>
    </r>
  </si>
  <si>
    <t>Current date</t>
  </si>
  <si>
    <t>Maturity, in years</t>
  </si>
  <si>
    <t>Maturity date</t>
  </si>
  <si>
    <t>YTM</t>
  </si>
  <si>
    <t>Coupon</t>
  </si>
  <si>
    <t>Face value</t>
  </si>
  <si>
    <t>Duration</t>
  </si>
  <si>
    <t>Data table:  Coupon and duration</t>
  </si>
  <si>
    <t>Graph title below:</t>
  </si>
  <si>
    <t>Reminder:</t>
  </si>
  <si>
    <r>
      <t>Duration</t>
    </r>
    <r>
      <rPr>
        <sz val="11"/>
        <color theme="1"/>
        <rFont val="等线"/>
        <family val="2"/>
        <charset val="134"/>
        <scheme val="minor"/>
      </rPr>
      <t>(settlement, maturity, coupon, yield, frequency, basis)</t>
    </r>
  </si>
  <si>
    <t>Raising the coupon lowers the duration.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</si>
</sst>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7" formatCode="_(* #,##0.00_);_(* \(#,##0.00\);_(* &quot;-&quot;??_);_(@_)"/>
    <numFmt numFmtId="178" formatCode="_(* #,##0_);_(* \(#,##0\);_(* &quot;-&quot;??_);_(@_)"/>
    <numFmt numFmtId="179" formatCode="0.0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177" fontId="2" fillId="0" borderId="0" applyFont="0" applyFill="0" applyBorder="0" applyAlignment="0" applyProtection="0"/>
  </cellStyleXfs>
  <cellXfs count="10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/>
    <xf numFmtId="9" fontId="2" fillId="0" borderId="0" xfId="1" applyNumberFormat="1"/>
    <xf numFmtId="178" fontId="0" fillId="0" borderId="0" xfId="2" applyNumberFormat="1" applyFont="1"/>
    <xf numFmtId="179" fontId="2" fillId="0" borderId="0" xfId="1" quotePrefix="1" applyNumberFormat="1"/>
    <xf numFmtId="0" fontId="2" fillId="0" borderId="0" xfId="1" quotePrefix="1"/>
    <xf numFmtId="0" fontId="5" fillId="0" borderId="0" xfId="1" applyFont="1"/>
    <xf numFmtId="9" fontId="2" fillId="0" borderId="0" xfId="1" applyNumberFormat="1" applyAlignment="1">
      <alignment horizontal="center"/>
    </xf>
    <xf numFmtId="14" fontId="2" fillId="0" borderId="0" xfId="1" applyNumberFormat="1"/>
  </cellXfs>
  <cellStyles count="3">
    <cellStyle name="常规" xfId="0" builtinId="0"/>
    <cellStyle name="常规 2" xfId="1" xr:uid="{3F773985-116E-4F34-BDA4-DB1A1BA1BF82}"/>
    <cellStyle name="千位分隔 2" xfId="2" xr:uid="{28066841-49ED-418A-A8CE-A7AC680F1498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'Exercise 1'!$I$19</c:f>
          <c:strCache>
            <c:ptCount val="1"/>
            <c:pt idx="0">
              <c:v>Effect of Coupon on Duration 
Maturity = 21, Yield to Maturity = 15.00%</c:v>
            </c:pt>
          </c:strCache>
        </c:strRef>
      </c:tx>
      <c:layout>
        <c:manualLayout>
          <c:xMode val="edge"/>
          <c:yMode val="edge"/>
          <c:x val="0.19070961564749095"/>
          <c:y val="4.761930135687688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3691972405460887"/>
          <c:y val="0.28174753302818822"/>
          <c:w val="0.75550347737275247"/>
          <c:h val="0.4960343891341341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'Exercise 1'!$A$14:$A$25</c:f>
              <c:numCache>
                <c:formatCode>0%</c:formatCode>
                <c:ptCount val="12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</c:numCache>
            </c:numRef>
          </c:xVal>
          <c:yVal>
            <c:numRef>
              <c:f>'Exercise 1'!$B$14:$B$25</c:f>
              <c:numCache>
                <c:formatCode>General</c:formatCode>
                <c:ptCount val="12"/>
                <c:pt idx="0">
                  <c:v>20</c:v>
                </c:pt>
                <c:pt idx="1">
                  <c:v>13.100279260189703</c:v>
                </c:pt>
                <c:pt idx="2">
                  <c:v>10.837238526941626</c:v>
                </c:pt>
                <c:pt idx="3">
                  <c:v>9.7125061661732417</c:v>
                </c:pt>
                <c:pt idx="4">
                  <c:v>9.0398232933309774</c:v>
                </c:pt>
                <c:pt idx="5">
                  <c:v>8.5922630181340409</c:v>
                </c:pt>
                <c:pt idx="6">
                  <c:v>8.2730143374588003</c:v>
                </c:pt>
                <c:pt idx="7">
                  <c:v>8.0338165081661153</c:v>
                </c:pt>
                <c:pt idx="8">
                  <c:v>7.8479150048385584</c:v>
                </c:pt>
                <c:pt idx="9">
                  <c:v>7.6992827002450399</c:v>
                </c:pt>
                <c:pt idx="10">
                  <c:v>7.5777331787162998</c:v>
                </c:pt>
                <c:pt idx="11">
                  <c:v>7.476482259253312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CA-41B0-9BB9-9FF07B73F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255024"/>
        <c:axId val="1"/>
      </c:scatterChart>
      <c:valAx>
        <c:axId val="428255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Coupon rate</a:t>
                </a:r>
              </a:p>
            </c:rich>
          </c:tx>
          <c:layout>
            <c:manualLayout>
              <c:xMode val="edge"/>
              <c:yMode val="edge"/>
              <c:x val="0.42542914259824893"/>
              <c:y val="0.896830175554514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Duration</a:t>
                </a:r>
              </a:p>
            </c:rich>
          </c:tx>
          <c:layout>
            <c:manualLayout>
              <c:xMode val="edge"/>
              <c:yMode val="edge"/>
              <c:x val="2.4449950724037297E-2"/>
              <c:y val="0.428573712211891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42825502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&amp;CUN-15D</c:oddHeader>
    </c:headerFooter>
    <c:pageMargins b="1" l="0.75" r="0.75" t="1" header="0.5" footer="0.5"/>
    <c:pageSetup orientation="landscape" blackAndWhite="1" horizontalDpi="1200" verticalDpi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289560</xdr:colOff>
      <xdr:row>13</xdr:row>
      <xdr:rowOff>91440</xdr:rowOff>
    </xdr:from>
    <xdr:to>
      <xdr:col>6</xdr:col>
      <xdr:colOff>365760</xdr:colOff>
      <xdr:row>29</xdr:row>
      <xdr:rowOff>60960</xdr:rowOff>
    </xdr:to>
    <xdr:graphicFrame macro="">
      <xdr:nvGraphicFramePr>
        <xdr:cNvPr id="2" name="图表 2">
          <a:extLst>
            <a:ext uri="{FF2B5EF4-FFF2-40B4-BE49-F238E27FC236}">
              <a16:creationId xmlns:a16="http://schemas.microsoft.com/office/drawing/2014/main" id="{1DC09809-7514-4D8A-B2BD-21010E503E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498231</xdr:colOff>
      <xdr:row>0</xdr:row>
      <xdr:rowOff>241788</xdr:rowOff>
    </xdr:from>
    <xdr:to>
      <xdr:col>30</xdr:col>
      <xdr:colOff>23635</xdr:colOff>
      <xdr:row>44</xdr:row>
      <xdr:rowOff>124504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C9E2859-062A-7012-E69D-43F839F3D4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319596" y="241788"/>
          <a:ext cx="12904366" cy="697517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25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25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vasicek%20exercis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练习1"/>
      <sheetName val="Exercise 2"/>
      <sheetName val="练习2"/>
      <sheetName val="Exercise 3"/>
      <sheetName val="练习3"/>
      <sheetName val="Exercise 4"/>
      <sheetName val="练习4"/>
      <sheetName val="Exercise 5"/>
      <sheetName val="练习5"/>
      <sheetName val="Exercise 6"/>
      <sheetName val="练习6"/>
      <sheetName val="Exercise 7"/>
      <sheetName val="练习7"/>
      <sheetName val="Modified Dduration"/>
      <sheetName val="Exercise 8"/>
      <sheetName val="练习8"/>
    </sheetNames>
    <sheetDataSet>
      <sheetData sheetId="0">
        <row r="14">
          <cell r="A14">
            <v>0</v>
          </cell>
          <cell r="B14">
            <v>20</v>
          </cell>
        </row>
        <row r="15">
          <cell r="A15">
            <v>0.01</v>
          </cell>
          <cell r="B15">
            <v>13.100279260189703</v>
          </cell>
        </row>
        <row r="16">
          <cell r="A16">
            <v>0.02</v>
          </cell>
          <cell r="B16">
            <v>10.837238526941626</v>
          </cell>
        </row>
        <row r="17">
          <cell r="A17">
            <v>0.03</v>
          </cell>
          <cell r="B17">
            <v>9.7125061661732417</v>
          </cell>
        </row>
        <row r="18">
          <cell r="A18">
            <v>0.04</v>
          </cell>
          <cell r="B18">
            <v>9.0398232933309774</v>
          </cell>
        </row>
        <row r="19">
          <cell r="A19">
            <v>0.05</v>
          </cell>
          <cell r="B19">
            <v>8.5922630181340409</v>
          </cell>
          <cell r="I19" t="str">
            <v>Effect of Coupon on Duration 
Maturity = 21, Yield to Maturity = 15.00%</v>
          </cell>
        </row>
        <row r="20">
          <cell r="A20">
            <v>0.06</v>
          </cell>
          <cell r="B20">
            <v>8.2730143374588003</v>
          </cell>
        </row>
        <row r="21">
          <cell r="A21">
            <v>7.0000000000000007E-2</v>
          </cell>
          <cell r="B21">
            <v>8.0338165081661153</v>
          </cell>
        </row>
        <row r="22">
          <cell r="A22">
            <v>0.08</v>
          </cell>
          <cell r="B22">
            <v>7.8479150048385584</v>
          </cell>
        </row>
        <row r="23">
          <cell r="A23">
            <v>0.09</v>
          </cell>
          <cell r="B23">
            <v>7.6992827002450399</v>
          </cell>
        </row>
        <row r="24">
          <cell r="A24">
            <v>0.1</v>
          </cell>
          <cell r="B24">
            <v>7.5777331787162998</v>
          </cell>
        </row>
        <row r="25">
          <cell r="A25">
            <v>0.11</v>
          </cell>
          <cell r="B25">
            <v>7.476482259253312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5"/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ercise 9"/>
    </sheetNames>
    <sheetDataSet>
      <sheetData sheetId="0">
        <row r="3">
          <cell r="B3">
            <v>0.06</v>
          </cell>
        </row>
        <row r="4">
          <cell r="B4">
            <v>7.0000000000000007E-2</v>
          </cell>
        </row>
        <row r="5">
          <cell r="B5">
            <v>0.66700000000000004</v>
          </cell>
        </row>
        <row r="6">
          <cell r="B6">
            <v>1</v>
          </cell>
        </row>
        <row r="7">
          <cell r="B7">
            <v>0.10424000000000001</v>
          </cell>
        </row>
        <row r="9">
          <cell r="B9">
            <v>0.04</v>
          </cell>
        </row>
        <row r="10">
          <cell r="B10">
            <v>8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I26" sqref="I26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F643D-E57F-4278-A047-06ABA71C34A0}">
  <sheetPr codeName="Sheet2"/>
  <dimension ref="A1:I33"/>
  <sheetViews>
    <sheetView tabSelected="1" zoomScale="130" zoomScaleNormal="130" workbookViewId="0">
      <selection activeCell="G8" sqref="G8"/>
    </sheetView>
  </sheetViews>
  <sheetFormatPr defaultRowHeight="12" customHeight="1" x14ac:dyDescent="0.25"/>
  <cols>
    <col min="1" max="1" width="16.44140625" style="2" customWidth="1"/>
    <col min="2" max="2" width="9.6640625" style="2" bestFit="1" customWidth="1"/>
    <col min="3" max="3" width="29" style="2" bestFit="1" customWidth="1"/>
    <col min="4" max="256" width="8.88671875" style="2"/>
    <col min="257" max="257" width="16.44140625" style="2" customWidth="1"/>
    <col min="258" max="258" width="9.6640625" style="2" bestFit="1" customWidth="1"/>
    <col min="259" max="259" width="29" style="2" bestFit="1" customWidth="1"/>
    <col min="260" max="512" width="8.88671875" style="2"/>
    <col min="513" max="513" width="16.44140625" style="2" customWidth="1"/>
    <col min="514" max="514" width="9.6640625" style="2" bestFit="1" customWidth="1"/>
    <col min="515" max="515" width="29" style="2" bestFit="1" customWidth="1"/>
    <col min="516" max="768" width="8.88671875" style="2"/>
    <col min="769" max="769" width="16.44140625" style="2" customWidth="1"/>
    <col min="770" max="770" width="9.6640625" style="2" bestFit="1" customWidth="1"/>
    <col min="771" max="771" width="29" style="2" bestFit="1" customWidth="1"/>
    <col min="772" max="1024" width="8.88671875" style="2"/>
    <col min="1025" max="1025" width="16.44140625" style="2" customWidth="1"/>
    <col min="1026" max="1026" width="9.6640625" style="2" bestFit="1" customWidth="1"/>
    <col min="1027" max="1027" width="29" style="2" bestFit="1" customWidth="1"/>
    <col min="1028" max="1280" width="8.88671875" style="2"/>
    <col min="1281" max="1281" width="16.44140625" style="2" customWidth="1"/>
    <col min="1282" max="1282" width="9.6640625" style="2" bestFit="1" customWidth="1"/>
    <col min="1283" max="1283" width="29" style="2" bestFit="1" customWidth="1"/>
    <col min="1284" max="1536" width="8.88671875" style="2"/>
    <col min="1537" max="1537" width="16.44140625" style="2" customWidth="1"/>
    <col min="1538" max="1538" width="9.6640625" style="2" bestFit="1" customWidth="1"/>
    <col min="1539" max="1539" width="29" style="2" bestFit="1" customWidth="1"/>
    <col min="1540" max="1792" width="8.88671875" style="2"/>
    <col min="1793" max="1793" width="16.44140625" style="2" customWidth="1"/>
    <col min="1794" max="1794" width="9.6640625" style="2" bestFit="1" customWidth="1"/>
    <col min="1795" max="1795" width="29" style="2" bestFit="1" customWidth="1"/>
    <col min="1796" max="2048" width="8.88671875" style="2"/>
    <col min="2049" max="2049" width="16.44140625" style="2" customWidth="1"/>
    <col min="2050" max="2050" width="9.6640625" style="2" bestFit="1" customWidth="1"/>
    <col min="2051" max="2051" width="29" style="2" bestFit="1" customWidth="1"/>
    <col min="2052" max="2304" width="8.88671875" style="2"/>
    <col min="2305" max="2305" width="16.44140625" style="2" customWidth="1"/>
    <col min="2306" max="2306" width="9.6640625" style="2" bestFit="1" customWidth="1"/>
    <col min="2307" max="2307" width="29" style="2" bestFit="1" customWidth="1"/>
    <col min="2308" max="2560" width="8.88671875" style="2"/>
    <col min="2561" max="2561" width="16.44140625" style="2" customWidth="1"/>
    <col min="2562" max="2562" width="9.6640625" style="2" bestFit="1" customWidth="1"/>
    <col min="2563" max="2563" width="29" style="2" bestFit="1" customWidth="1"/>
    <col min="2564" max="2816" width="8.88671875" style="2"/>
    <col min="2817" max="2817" width="16.44140625" style="2" customWidth="1"/>
    <col min="2818" max="2818" width="9.6640625" style="2" bestFit="1" customWidth="1"/>
    <col min="2819" max="2819" width="29" style="2" bestFit="1" customWidth="1"/>
    <col min="2820" max="3072" width="8.88671875" style="2"/>
    <col min="3073" max="3073" width="16.44140625" style="2" customWidth="1"/>
    <col min="3074" max="3074" width="9.6640625" style="2" bestFit="1" customWidth="1"/>
    <col min="3075" max="3075" width="29" style="2" bestFit="1" customWidth="1"/>
    <col min="3076" max="3328" width="8.88671875" style="2"/>
    <col min="3329" max="3329" width="16.44140625" style="2" customWidth="1"/>
    <col min="3330" max="3330" width="9.6640625" style="2" bestFit="1" customWidth="1"/>
    <col min="3331" max="3331" width="29" style="2" bestFit="1" customWidth="1"/>
    <col min="3332" max="3584" width="8.88671875" style="2"/>
    <col min="3585" max="3585" width="16.44140625" style="2" customWidth="1"/>
    <col min="3586" max="3586" width="9.6640625" style="2" bestFit="1" customWidth="1"/>
    <col min="3587" max="3587" width="29" style="2" bestFit="1" customWidth="1"/>
    <col min="3588" max="3840" width="8.88671875" style="2"/>
    <col min="3841" max="3841" width="16.44140625" style="2" customWidth="1"/>
    <col min="3842" max="3842" width="9.6640625" style="2" bestFit="1" customWidth="1"/>
    <col min="3843" max="3843" width="29" style="2" bestFit="1" customWidth="1"/>
    <col min="3844" max="4096" width="8.88671875" style="2"/>
    <col min="4097" max="4097" width="16.44140625" style="2" customWidth="1"/>
    <col min="4098" max="4098" width="9.6640625" style="2" bestFit="1" customWidth="1"/>
    <col min="4099" max="4099" width="29" style="2" bestFit="1" customWidth="1"/>
    <col min="4100" max="4352" width="8.88671875" style="2"/>
    <col min="4353" max="4353" width="16.44140625" style="2" customWidth="1"/>
    <col min="4354" max="4354" width="9.6640625" style="2" bestFit="1" customWidth="1"/>
    <col min="4355" max="4355" width="29" style="2" bestFit="1" customWidth="1"/>
    <col min="4356" max="4608" width="8.88671875" style="2"/>
    <col min="4609" max="4609" width="16.44140625" style="2" customWidth="1"/>
    <col min="4610" max="4610" width="9.6640625" style="2" bestFit="1" customWidth="1"/>
    <col min="4611" max="4611" width="29" style="2" bestFit="1" customWidth="1"/>
    <col min="4612" max="4864" width="8.88671875" style="2"/>
    <col min="4865" max="4865" width="16.44140625" style="2" customWidth="1"/>
    <col min="4866" max="4866" width="9.6640625" style="2" bestFit="1" customWidth="1"/>
    <col min="4867" max="4867" width="29" style="2" bestFit="1" customWidth="1"/>
    <col min="4868" max="5120" width="8.88671875" style="2"/>
    <col min="5121" max="5121" width="16.44140625" style="2" customWidth="1"/>
    <col min="5122" max="5122" width="9.6640625" style="2" bestFit="1" customWidth="1"/>
    <col min="5123" max="5123" width="29" style="2" bestFit="1" customWidth="1"/>
    <col min="5124" max="5376" width="8.88671875" style="2"/>
    <col min="5377" max="5377" width="16.44140625" style="2" customWidth="1"/>
    <col min="5378" max="5378" width="9.6640625" style="2" bestFit="1" customWidth="1"/>
    <col min="5379" max="5379" width="29" style="2" bestFit="1" customWidth="1"/>
    <col min="5380" max="5632" width="8.88671875" style="2"/>
    <col min="5633" max="5633" width="16.44140625" style="2" customWidth="1"/>
    <col min="5634" max="5634" width="9.6640625" style="2" bestFit="1" customWidth="1"/>
    <col min="5635" max="5635" width="29" style="2" bestFit="1" customWidth="1"/>
    <col min="5636" max="5888" width="8.88671875" style="2"/>
    <col min="5889" max="5889" width="16.44140625" style="2" customWidth="1"/>
    <col min="5890" max="5890" width="9.6640625" style="2" bestFit="1" customWidth="1"/>
    <col min="5891" max="5891" width="29" style="2" bestFit="1" customWidth="1"/>
    <col min="5892" max="6144" width="8.88671875" style="2"/>
    <col min="6145" max="6145" width="16.44140625" style="2" customWidth="1"/>
    <col min="6146" max="6146" width="9.6640625" style="2" bestFit="1" customWidth="1"/>
    <col min="6147" max="6147" width="29" style="2" bestFit="1" customWidth="1"/>
    <col min="6148" max="6400" width="8.88671875" style="2"/>
    <col min="6401" max="6401" width="16.44140625" style="2" customWidth="1"/>
    <col min="6402" max="6402" width="9.6640625" style="2" bestFit="1" customWidth="1"/>
    <col min="6403" max="6403" width="29" style="2" bestFit="1" customWidth="1"/>
    <col min="6404" max="6656" width="8.88671875" style="2"/>
    <col min="6657" max="6657" width="16.44140625" style="2" customWidth="1"/>
    <col min="6658" max="6658" width="9.6640625" style="2" bestFit="1" customWidth="1"/>
    <col min="6659" max="6659" width="29" style="2" bestFit="1" customWidth="1"/>
    <col min="6660" max="6912" width="8.88671875" style="2"/>
    <col min="6913" max="6913" width="16.44140625" style="2" customWidth="1"/>
    <col min="6914" max="6914" width="9.6640625" style="2" bestFit="1" customWidth="1"/>
    <col min="6915" max="6915" width="29" style="2" bestFit="1" customWidth="1"/>
    <col min="6916" max="7168" width="8.88671875" style="2"/>
    <col min="7169" max="7169" width="16.44140625" style="2" customWidth="1"/>
    <col min="7170" max="7170" width="9.6640625" style="2" bestFit="1" customWidth="1"/>
    <col min="7171" max="7171" width="29" style="2" bestFit="1" customWidth="1"/>
    <col min="7172" max="7424" width="8.88671875" style="2"/>
    <col min="7425" max="7425" width="16.44140625" style="2" customWidth="1"/>
    <col min="7426" max="7426" width="9.6640625" style="2" bestFit="1" customWidth="1"/>
    <col min="7427" max="7427" width="29" style="2" bestFit="1" customWidth="1"/>
    <col min="7428" max="7680" width="8.88671875" style="2"/>
    <col min="7681" max="7681" width="16.44140625" style="2" customWidth="1"/>
    <col min="7682" max="7682" width="9.6640625" style="2" bestFit="1" customWidth="1"/>
    <col min="7683" max="7683" width="29" style="2" bestFit="1" customWidth="1"/>
    <col min="7684" max="7936" width="8.88671875" style="2"/>
    <col min="7937" max="7937" width="16.44140625" style="2" customWidth="1"/>
    <col min="7938" max="7938" width="9.6640625" style="2" bestFit="1" customWidth="1"/>
    <col min="7939" max="7939" width="29" style="2" bestFit="1" customWidth="1"/>
    <col min="7940" max="8192" width="8.88671875" style="2"/>
    <col min="8193" max="8193" width="16.44140625" style="2" customWidth="1"/>
    <col min="8194" max="8194" width="9.6640625" style="2" bestFit="1" customWidth="1"/>
    <col min="8195" max="8195" width="29" style="2" bestFit="1" customWidth="1"/>
    <col min="8196" max="8448" width="8.88671875" style="2"/>
    <col min="8449" max="8449" width="16.44140625" style="2" customWidth="1"/>
    <col min="8450" max="8450" width="9.6640625" style="2" bestFit="1" customWidth="1"/>
    <col min="8451" max="8451" width="29" style="2" bestFit="1" customWidth="1"/>
    <col min="8452" max="8704" width="8.88671875" style="2"/>
    <col min="8705" max="8705" width="16.44140625" style="2" customWidth="1"/>
    <col min="8706" max="8706" width="9.6640625" style="2" bestFit="1" customWidth="1"/>
    <col min="8707" max="8707" width="29" style="2" bestFit="1" customWidth="1"/>
    <col min="8708" max="8960" width="8.88671875" style="2"/>
    <col min="8961" max="8961" width="16.44140625" style="2" customWidth="1"/>
    <col min="8962" max="8962" width="9.6640625" style="2" bestFit="1" customWidth="1"/>
    <col min="8963" max="8963" width="29" style="2" bestFit="1" customWidth="1"/>
    <col min="8964" max="9216" width="8.88671875" style="2"/>
    <col min="9217" max="9217" width="16.44140625" style="2" customWidth="1"/>
    <col min="9218" max="9218" width="9.6640625" style="2" bestFit="1" customWidth="1"/>
    <col min="9219" max="9219" width="29" style="2" bestFit="1" customWidth="1"/>
    <col min="9220" max="9472" width="8.88671875" style="2"/>
    <col min="9473" max="9473" width="16.44140625" style="2" customWidth="1"/>
    <col min="9474" max="9474" width="9.6640625" style="2" bestFit="1" customWidth="1"/>
    <col min="9475" max="9475" width="29" style="2" bestFit="1" customWidth="1"/>
    <col min="9476" max="9728" width="8.88671875" style="2"/>
    <col min="9729" max="9729" width="16.44140625" style="2" customWidth="1"/>
    <col min="9730" max="9730" width="9.6640625" style="2" bestFit="1" customWidth="1"/>
    <col min="9731" max="9731" width="29" style="2" bestFit="1" customWidth="1"/>
    <col min="9732" max="9984" width="8.88671875" style="2"/>
    <col min="9985" max="9985" width="16.44140625" style="2" customWidth="1"/>
    <col min="9986" max="9986" width="9.6640625" style="2" bestFit="1" customWidth="1"/>
    <col min="9987" max="9987" width="29" style="2" bestFit="1" customWidth="1"/>
    <col min="9988" max="10240" width="8.88671875" style="2"/>
    <col min="10241" max="10241" width="16.44140625" style="2" customWidth="1"/>
    <col min="10242" max="10242" width="9.6640625" style="2" bestFit="1" customWidth="1"/>
    <col min="10243" max="10243" width="29" style="2" bestFit="1" customWidth="1"/>
    <col min="10244" max="10496" width="8.88671875" style="2"/>
    <col min="10497" max="10497" width="16.44140625" style="2" customWidth="1"/>
    <col min="10498" max="10498" width="9.6640625" style="2" bestFit="1" customWidth="1"/>
    <col min="10499" max="10499" width="29" style="2" bestFit="1" customWidth="1"/>
    <col min="10500" max="10752" width="8.88671875" style="2"/>
    <col min="10753" max="10753" width="16.44140625" style="2" customWidth="1"/>
    <col min="10754" max="10754" width="9.6640625" style="2" bestFit="1" customWidth="1"/>
    <col min="10755" max="10755" width="29" style="2" bestFit="1" customWidth="1"/>
    <col min="10756" max="11008" width="8.88671875" style="2"/>
    <col min="11009" max="11009" width="16.44140625" style="2" customWidth="1"/>
    <col min="11010" max="11010" width="9.6640625" style="2" bestFit="1" customWidth="1"/>
    <col min="11011" max="11011" width="29" style="2" bestFit="1" customWidth="1"/>
    <col min="11012" max="11264" width="8.88671875" style="2"/>
    <col min="11265" max="11265" width="16.44140625" style="2" customWidth="1"/>
    <col min="11266" max="11266" width="9.6640625" style="2" bestFit="1" customWidth="1"/>
    <col min="11267" max="11267" width="29" style="2" bestFit="1" customWidth="1"/>
    <col min="11268" max="11520" width="8.88671875" style="2"/>
    <col min="11521" max="11521" width="16.44140625" style="2" customWidth="1"/>
    <col min="11522" max="11522" width="9.6640625" style="2" bestFit="1" customWidth="1"/>
    <col min="11523" max="11523" width="29" style="2" bestFit="1" customWidth="1"/>
    <col min="11524" max="11776" width="8.88671875" style="2"/>
    <col min="11777" max="11777" width="16.44140625" style="2" customWidth="1"/>
    <col min="11778" max="11778" width="9.6640625" style="2" bestFit="1" customWidth="1"/>
    <col min="11779" max="11779" width="29" style="2" bestFit="1" customWidth="1"/>
    <col min="11780" max="12032" width="8.88671875" style="2"/>
    <col min="12033" max="12033" width="16.44140625" style="2" customWidth="1"/>
    <col min="12034" max="12034" width="9.6640625" style="2" bestFit="1" customWidth="1"/>
    <col min="12035" max="12035" width="29" style="2" bestFit="1" customWidth="1"/>
    <col min="12036" max="12288" width="8.88671875" style="2"/>
    <col min="12289" max="12289" width="16.44140625" style="2" customWidth="1"/>
    <col min="12290" max="12290" width="9.6640625" style="2" bestFit="1" customWidth="1"/>
    <col min="12291" max="12291" width="29" style="2" bestFit="1" customWidth="1"/>
    <col min="12292" max="12544" width="8.88671875" style="2"/>
    <col min="12545" max="12545" width="16.44140625" style="2" customWidth="1"/>
    <col min="12546" max="12546" width="9.6640625" style="2" bestFit="1" customWidth="1"/>
    <col min="12547" max="12547" width="29" style="2" bestFit="1" customWidth="1"/>
    <col min="12548" max="12800" width="8.88671875" style="2"/>
    <col min="12801" max="12801" width="16.44140625" style="2" customWidth="1"/>
    <col min="12802" max="12802" width="9.6640625" style="2" bestFit="1" customWidth="1"/>
    <col min="12803" max="12803" width="29" style="2" bestFit="1" customWidth="1"/>
    <col min="12804" max="13056" width="8.88671875" style="2"/>
    <col min="13057" max="13057" width="16.44140625" style="2" customWidth="1"/>
    <col min="13058" max="13058" width="9.6640625" style="2" bestFit="1" customWidth="1"/>
    <col min="13059" max="13059" width="29" style="2" bestFit="1" customWidth="1"/>
    <col min="13060" max="13312" width="8.88671875" style="2"/>
    <col min="13313" max="13313" width="16.44140625" style="2" customWidth="1"/>
    <col min="13314" max="13314" width="9.6640625" style="2" bestFit="1" customWidth="1"/>
    <col min="13315" max="13315" width="29" style="2" bestFit="1" customWidth="1"/>
    <col min="13316" max="13568" width="8.88671875" style="2"/>
    <col min="13569" max="13569" width="16.44140625" style="2" customWidth="1"/>
    <col min="13570" max="13570" width="9.6640625" style="2" bestFit="1" customWidth="1"/>
    <col min="13571" max="13571" width="29" style="2" bestFit="1" customWidth="1"/>
    <col min="13572" max="13824" width="8.88671875" style="2"/>
    <col min="13825" max="13825" width="16.44140625" style="2" customWidth="1"/>
    <col min="13826" max="13826" width="9.6640625" style="2" bestFit="1" customWidth="1"/>
    <col min="13827" max="13827" width="29" style="2" bestFit="1" customWidth="1"/>
    <col min="13828" max="14080" width="8.88671875" style="2"/>
    <col min="14081" max="14081" width="16.44140625" style="2" customWidth="1"/>
    <col min="14082" max="14082" width="9.6640625" style="2" bestFit="1" customWidth="1"/>
    <col min="14083" max="14083" width="29" style="2" bestFit="1" customWidth="1"/>
    <col min="14084" max="14336" width="8.88671875" style="2"/>
    <col min="14337" max="14337" width="16.44140625" style="2" customWidth="1"/>
    <col min="14338" max="14338" width="9.6640625" style="2" bestFit="1" customWidth="1"/>
    <col min="14339" max="14339" width="29" style="2" bestFit="1" customWidth="1"/>
    <col min="14340" max="14592" width="8.88671875" style="2"/>
    <col min="14593" max="14593" width="16.44140625" style="2" customWidth="1"/>
    <col min="14594" max="14594" width="9.6640625" style="2" bestFit="1" customWidth="1"/>
    <col min="14595" max="14595" width="29" style="2" bestFit="1" customWidth="1"/>
    <col min="14596" max="14848" width="8.88671875" style="2"/>
    <col min="14849" max="14849" width="16.44140625" style="2" customWidth="1"/>
    <col min="14850" max="14850" width="9.6640625" style="2" bestFit="1" customWidth="1"/>
    <col min="14851" max="14851" width="29" style="2" bestFit="1" customWidth="1"/>
    <col min="14852" max="15104" width="8.88671875" style="2"/>
    <col min="15105" max="15105" width="16.44140625" style="2" customWidth="1"/>
    <col min="15106" max="15106" width="9.6640625" style="2" bestFit="1" customWidth="1"/>
    <col min="15107" max="15107" width="29" style="2" bestFit="1" customWidth="1"/>
    <col min="15108" max="15360" width="8.88671875" style="2"/>
    <col min="15361" max="15361" width="16.44140625" style="2" customWidth="1"/>
    <col min="15362" max="15362" width="9.6640625" style="2" bestFit="1" customWidth="1"/>
    <col min="15363" max="15363" width="29" style="2" bestFit="1" customWidth="1"/>
    <col min="15364" max="15616" width="8.88671875" style="2"/>
    <col min="15617" max="15617" width="16.44140625" style="2" customWidth="1"/>
    <col min="15618" max="15618" width="9.6640625" style="2" bestFit="1" customWidth="1"/>
    <col min="15619" max="15619" width="29" style="2" bestFit="1" customWidth="1"/>
    <col min="15620" max="15872" width="8.88671875" style="2"/>
    <col min="15873" max="15873" width="16.44140625" style="2" customWidth="1"/>
    <col min="15874" max="15874" width="9.6640625" style="2" bestFit="1" customWidth="1"/>
    <col min="15875" max="15875" width="29" style="2" bestFit="1" customWidth="1"/>
    <col min="15876" max="16128" width="8.88671875" style="2"/>
    <col min="16129" max="16129" width="16.44140625" style="2" customWidth="1"/>
    <col min="16130" max="16130" width="9.6640625" style="2" bestFit="1" customWidth="1"/>
    <col min="16131" max="16131" width="29" style="2" bestFit="1" customWidth="1"/>
    <col min="16132" max="16384" width="8.88671875" style="2"/>
  </cols>
  <sheetData>
    <row r="1" spans="1:4" ht="37.5" customHeight="1" x14ac:dyDescent="0.25">
      <c r="A1" s="1" t="s">
        <v>0</v>
      </c>
      <c r="B1" s="1"/>
      <c r="C1" s="1"/>
    </row>
    <row r="2" spans="1:4" ht="12" customHeight="1" x14ac:dyDescent="0.25">
      <c r="A2" s="2" t="s">
        <v>1</v>
      </c>
      <c r="B2" s="9">
        <v>39223</v>
      </c>
    </row>
    <row r="3" spans="1:4" ht="12" customHeight="1" x14ac:dyDescent="0.25">
      <c r="A3" s="2" t="s">
        <v>2</v>
      </c>
      <c r="B3" s="2">
        <v>21</v>
      </c>
    </row>
    <row r="4" spans="1:4" ht="12" customHeight="1" x14ac:dyDescent="0.25">
      <c r="A4" s="2" t="s">
        <v>3</v>
      </c>
      <c r="B4" s="9">
        <v>46528</v>
      </c>
    </row>
    <row r="5" spans="1:4" ht="12" customHeight="1" x14ac:dyDescent="0.25">
      <c r="A5" s="2" t="s">
        <v>4</v>
      </c>
      <c r="B5" s="3">
        <v>0.15</v>
      </c>
    </row>
    <row r="6" spans="1:4" ht="12" customHeight="1" x14ac:dyDescent="0.25">
      <c r="A6" s="2" t="s">
        <v>5</v>
      </c>
      <c r="B6" s="3">
        <v>0.04</v>
      </c>
    </row>
    <row r="7" spans="1:4" ht="12" customHeight="1" x14ac:dyDescent="0.25">
      <c r="A7" s="2" t="s">
        <v>6</v>
      </c>
      <c r="B7" s="4">
        <v>1000</v>
      </c>
    </row>
    <row r="9" spans="1:4" ht="12" customHeight="1" x14ac:dyDescent="0.25">
      <c r="A9" s="2" t="s">
        <v>7</v>
      </c>
      <c r="B9" s="5">
        <f>DURATION(B2,B4,B6,B5,1)</f>
        <v>9.0398232933309774</v>
      </c>
      <c r="C9" s="2" t="str">
        <f ca="1">_xlfn.FORMULATEXT(B9)</f>
        <v>=DURATION(B2,B4,B6,B5,1)</v>
      </c>
    </row>
    <row r="10" spans="1:4" ht="12" customHeight="1" x14ac:dyDescent="0.25">
      <c r="B10" s="6"/>
      <c r="D10" s="7"/>
    </row>
    <row r="11" spans="1:4" ht="12" customHeight="1" x14ac:dyDescent="0.25">
      <c r="B11" s="6"/>
      <c r="D11" s="7"/>
    </row>
    <row r="12" spans="1:4" ht="12" customHeight="1" x14ac:dyDescent="0.25">
      <c r="A12" s="7" t="s">
        <v>8</v>
      </c>
    </row>
    <row r="13" spans="1:4" ht="12" customHeight="1" x14ac:dyDescent="0.25">
      <c r="B13" s="2">
        <f>B9</f>
        <v>9.0398232933309774</v>
      </c>
      <c r="C13" s="2" t="str">
        <f ca="1">_xlfn.FORMULATEXT(B13)</f>
        <v>=B9</v>
      </c>
    </row>
    <row r="14" spans="1:4" ht="12" customHeight="1" x14ac:dyDescent="0.25">
      <c r="A14" s="8">
        <v>0</v>
      </c>
      <c r="B14" s="2">
        <f t="dataTable" ref="B14:B25" dt2D="0" dtr="0" r1="B6"/>
        <v>20</v>
      </c>
    </row>
    <row r="15" spans="1:4" ht="12" customHeight="1" x14ac:dyDescent="0.25">
      <c r="A15" s="8">
        <v>0.01</v>
      </c>
      <c r="B15" s="2">
        <v>13.100279260189703</v>
      </c>
    </row>
    <row r="16" spans="1:4" ht="12" customHeight="1" x14ac:dyDescent="0.25">
      <c r="A16" s="8">
        <v>0.02</v>
      </c>
      <c r="B16" s="2">
        <v>10.837238526941626</v>
      </c>
    </row>
    <row r="17" spans="1:9" ht="12" customHeight="1" x14ac:dyDescent="0.25">
      <c r="A17" s="8">
        <v>0.03</v>
      </c>
      <c r="B17" s="2">
        <v>9.7125061661732417</v>
      </c>
    </row>
    <row r="18" spans="1:9" ht="12" customHeight="1" x14ac:dyDescent="0.25">
      <c r="A18" s="8">
        <v>0.04</v>
      </c>
      <c r="B18" s="2">
        <v>9.0398232933309774</v>
      </c>
      <c r="I18" s="2" t="s">
        <v>9</v>
      </c>
    </row>
    <row r="19" spans="1:9" ht="12" customHeight="1" x14ac:dyDescent="0.25">
      <c r="A19" s="8">
        <v>0.05</v>
      </c>
      <c r="B19" s="2">
        <v>8.5922630181340409</v>
      </c>
      <c r="I19" s="6" t="str">
        <f>"Effect of Coupon on Duration "&amp;CHAR(10)&amp;"Maturity = "&amp;TEXT(B3,"0")&amp;", Yield to Maturity = "&amp;TEXT(B5,"0.00%")</f>
        <v>Effect of Coupon on Duration 
Maturity = 21, Yield to Maturity = 15.00%</v>
      </c>
    </row>
    <row r="20" spans="1:9" ht="12" customHeight="1" x14ac:dyDescent="0.25">
      <c r="A20" s="8">
        <v>0.06</v>
      </c>
      <c r="B20" s="2">
        <v>8.2730143374588003</v>
      </c>
    </row>
    <row r="21" spans="1:9" ht="12" customHeight="1" x14ac:dyDescent="0.25">
      <c r="A21" s="8">
        <v>7.0000000000000007E-2</v>
      </c>
      <c r="B21" s="2">
        <v>8.0338165081661153</v>
      </c>
    </row>
    <row r="22" spans="1:9" ht="12" customHeight="1" x14ac:dyDescent="0.25">
      <c r="A22" s="8">
        <v>0.08</v>
      </c>
      <c r="B22" s="2">
        <v>7.8479150048385584</v>
      </c>
    </row>
    <row r="23" spans="1:9" ht="12" customHeight="1" x14ac:dyDescent="0.25">
      <c r="A23" s="8">
        <v>0.09</v>
      </c>
      <c r="B23" s="2">
        <v>7.6992827002450399</v>
      </c>
    </row>
    <row r="24" spans="1:9" ht="12" customHeight="1" x14ac:dyDescent="0.25">
      <c r="A24" s="8">
        <v>0.1</v>
      </c>
      <c r="B24" s="2">
        <v>7.5777331787162998</v>
      </c>
      <c r="I24" s="6"/>
    </row>
    <row r="25" spans="1:9" ht="12" customHeight="1" x14ac:dyDescent="0.25">
      <c r="A25" s="8">
        <v>0.11</v>
      </c>
      <c r="B25" s="2">
        <v>7.476482259253312</v>
      </c>
    </row>
    <row r="26" spans="1:9" ht="12" customHeight="1" x14ac:dyDescent="0.25">
      <c r="I26" s="2" t="s">
        <v>10</v>
      </c>
    </row>
    <row r="27" spans="1:9" ht="12" customHeight="1" x14ac:dyDescent="0.25">
      <c r="I27" s="7" t="s">
        <v>11</v>
      </c>
    </row>
    <row r="33" spans="1:1" ht="12" customHeight="1" x14ac:dyDescent="0.25">
      <c r="A33" s="2" t="s">
        <v>12</v>
      </c>
    </row>
  </sheetData>
  <mergeCells count="1">
    <mergeCell ref="A1:C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>
    <oddHeader>&amp;A</oddHeader>
    <oddFooter>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Exercise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2024-12-16T06:29:43Z</dcterms:modified>
</cp:coreProperties>
</file>