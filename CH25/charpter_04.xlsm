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7DBFCF56-68AF-4A5B-9852-21DA5DAE501B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78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34" i="2"/>
  <c r="B4" i="2"/>
  <c r="B2" i="2"/>
  <c r="D12" i="2"/>
  <c r="C9" i="2"/>
  <c r="C4" i="2"/>
  <c r="C2" i="2"/>
  <c r="C12" i="2" l="1"/>
</calcChain>
</file>

<file path=xl/sharedStrings.xml><?xml version="1.0" encoding="utf-8"?>
<sst xmlns="http://schemas.openxmlformats.org/spreadsheetml/2006/main" count="13" uniqueCount="13">
  <si>
    <t>EFFECT OF COUPON ON DURATION</t>
  </si>
  <si>
    <t>Current date</t>
  </si>
  <si>
    <t>Maturity, in years</t>
  </si>
  <si>
    <t>Maturity date</t>
  </si>
  <si>
    <t>Yield to maturity (i.e., discount rate)</t>
  </si>
  <si>
    <t>Coupon</t>
  </si>
  <si>
    <t>Face value</t>
  </si>
  <si>
    <t>Duration</t>
  </si>
  <si>
    <t>Data table:  Effect of coupon on duration</t>
  </si>
  <si>
    <t>Bond coupon --&gt;</t>
  </si>
  <si>
    <t>graph title</t>
  </si>
  <si>
    <t>Effect of Coupon on Duration</t>
  </si>
  <si>
    <t>YTM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</si>
</sst>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4" fillId="0" borderId="0" xfId="1" applyFont="1"/>
    <xf numFmtId="0" fontId="2" fillId="0" borderId="0" xfId="1"/>
    <xf numFmtId="14" fontId="2" fillId="0" borderId="0" xfId="1" applyNumberFormat="1"/>
    <xf numFmtId="9" fontId="2" fillId="0" borderId="0" xfId="1" applyNumberFormat="1"/>
    <xf numFmtId="0" fontId="2" fillId="0" borderId="0" xfId="1" quotePrefix="1"/>
    <xf numFmtId="177" fontId="2" fillId="0" borderId="0" xfId="2" applyNumberFormat="1"/>
    <xf numFmtId="178" fontId="2" fillId="0" borderId="0" xfId="1" quotePrefix="1" applyNumberFormat="1"/>
    <xf numFmtId="0" fontId="5" fillId="0" borderId="0" xfId="1" applyFont="1"/>
    <xf numFmtId="178" fontId="2" fillId="0" borderId="0" xfId="1" applyNumberFormat="1"/>
    <xf numFmtId="0" fontId="2" fillId="0" borderId="0" xfId="1" applyAlignment="1">
      <alignment horizontal="right"/>
    </xf>
    <xf numFmtId="9" fontId="2" fillId="2" borderId="0" xfId="1" applyNumberFormat="1" applyFill="1"/>
    <xf numFmtId="178" fontId="2" fillId="2" borderId="0" xfId="1" applyNumberFormat="1" applyFill="1"/>
  </cellXfs>
  <cellStyles count="3">
    <cellStyle name="常规" xfId="0" builtinId="0"/>
    <cellStyle name="常规 2" xfId="1" xr:uid="{FBCB67ED-16D3-429E-9D08-13D6437FD4BF}"/>
    <cellStyle name="千位分隔 2" xfId="2" xr:uid="{1D58F2E8-7EBA-420E-8B16-5FC050C334E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678'!$B$33:$B$34</c:f>
          <c:strCache>
            <c:ptCount val="2"/>
            <c:pt idx="0">
              <c:v>Effect of Coupon on Duration</c:v>
            </c:pt>
            <c:pt idx="1">
              <c:v>
Maturity = 21, YTM = 15.00%</c:v>
            </c:pt>
          </c:strCache>
        </c:strRef>
      </c:tx>
      <c:layout>
        <c:manualLayout>
          <c:xMode val="edge"/>
          <c:yMode val="edge"/>
          <c:x val="0.21660659365066634"/>
          <c:y val="4.436865613749883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23104703322737741"/>
          <c:y val="0.31399356651153026"/>
          <c:w val="0.66065011063453227"/>
          <c:h val="0.511946032355755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678'!$B$13:$B$24</c:f>
              <c:numCache>
                <c:formatCode>0%</c:formatCode>
                <c:ptCount val="1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0.13</c:v>
                </c:pt>
                <c:pt idx="10">
                  <c:v>0.15</c:v>
                </c:pt>
                <c:pt idx="11">
                  <c:v>0.17</c:v>
                </c:pt>
              </c:numCache>
            </c:numRef>
          </c:xVal>
          <c:yVal>
            <c:numRef>
              <c:f>'Page 678'!$C$13:$C$24</c:f>
              <c:numCache>
                <c:formatCode>0.0000</c:formatCode>
                <c:ptCount val="12"/>
                <c:pt idx="0">
                  <c:v>21</c:v>
                </c:pt>
                <c:pt idx="1">
                  <c:v>13.120405887067847</c:v>
                </c:pt>
                <c:pt idx="2">
                  <c:v>10.786542812879926</c:v>
                </c:pt>
                <c:pt idx="3">
                  <c:v>9.6677021220158164</c:v>
                </c:pt>
                <c:pt idx="4">
                  <c:v>9.0110319541472155</c:v>
                </c:pt>
                <c:pt idx="5">
                  <c:v>8.5791841881210171</c:v>
                </c:pt>
                <c:pt idx="6">
                  <c:v>8.27357670814032</c:v>
                </c:pt>
                <c:pt idx="7">
                  <c:v>8.0459136261399511</c:v>
                </c:pt>
                <c:pt idx="8">
                  <c:v>7.7293827299126399</c:v>
                </c:pt>
                <c:pt idx="9">
                  <c:v>7.3707363978561142</c:v>
                </c:pt>
                <c:pt idx="10">
                  <c:v>7.2593314737296479</c:v>
                </c:pt>
                <c:pt idx="11">
                  <c:v>7.1729028813112343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F-4EEB-A738-8D37CEE93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499920"/>
        <c:axId val="1"/>
      </c:scatterChart>
      <c:valAx>
        <c:axId val="880499920"/>
        <c:scaling>
          <c:orientation val="minMax"/>
          <c:max val="0.1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Coupon rate</a:t>
                </a:r>
              </a:p>
            </c:rich>
          </c:tx>
          <c:layout>
            <c:manualLayout>
              <c:xMode val="edge"/>
              <c:yMode val="edge"/>
              <c:x val="0.42960307740715492"/>
              <c:y val="0.9112639375932453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Duration</a:t>
                </a:r>
              </a:p>
            </c:rich>
          </c:tx>
          <c:layout>
            <c:manualLayout>
              <c:xMode val="edge"/>
              <c:yMode val="edge"/>
              <c:x val="6.4981978095199899E-2"/>
              <c:y val="0.484642243963448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04999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&amp;CUN-15D</c:oddHeader>
    </c:headerFooter>
    <c:pageMargins b="1" l="0.75" r="0.75" t="1" header="0.5" footer="0.5"/>
    <c:pageSetup orientation="landscape" blackAndWhite="1" horizontalDpi="1200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12</xdr:row>
      <xdr:rowOff>57150</xdr:rowOff>
    </xdr:from>
    <xdr:to>
      <xdr:col>4</xdr:col>
      <xdr:colOff>293077</xdr:colOff>
      <xdr:row>28</xdr:row>
      <xdr:rowOff>104775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63684118-2136-45A7-AA1C-C336C5B01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590550</xdr:colOff>
      <xdr:row>1</xdr:row>
      <xdr:rowOff>152400</xdr:rowOff>
    </xdr:from>
    <xdr:to>
      <xdr:col>21</xdr:col>
      <xdr:colOff>296595</xdr:colOff>
      <xdr:row>46</xdr:row>
      <xdr:rowOff>143951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CE5C3E3-B365-86E3-2D6E-E144732DF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6150" y="371475"/>
          <a:ext cx="9461550" cy="7708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72"/>
      <sheetName val="Page 672 (中文)"/>
      <sheetName val="Page 676"/>
      <sheetName val="Page 676 (中文)"/>
      <sheetName val="Page 677"/>
      <sheetName val="Page 677 (中文)"/>
      <sheetName val="Page 678"/>
      <sheetName val="Page 678 (中文)"/>
      <sheetName val="Page 679"/>
      <sheetName val="Page 679 (中文)"/>
      <sheetName val="Page 681"/>
      <sheetName val="Page 681 (中文)"/>
      <sheetName val="Page 683"/>
      <sheetName val="Page 683 (中文)"/>
      <sheetName val="Page 686, top"/>
      <sheetName val="Page 686, top (中文)"/>
      <sheetName val="Page 686, bottom"/>
      <sheetName val="Page 686, bottom (中文)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B13">
            <v>0</v>
          </cell>
          <cell r="C13">
            <v>21</v>
          </cell>
        </row>
        <row r="14">
          <cell r="B14">
            <v>0.01</v>
          </cell>
          <cell r="C14">
            <v>13.120405887067847</v>
          </cell>
        </row>
        <row r="15">
          <cell r="B15">
            <v>0.02</v>
          </cell>
          <cell r="C15">
            <v>10.786542812879926</v>
          </cell>
        </row>
        <row r="16">
          <cell r="B16">
            <v>0.03</v>
          </cell>
          <cell r="C16">
            <v>9.6677021220158164</v>
          </cell>
        </row>
        <row r="17">
          <cell r="B17">
            <v>0.04</v>
          </cell>
          <cell r="C17">
            <v>9.0110319541472155</v>
          </cell>
        </row>
        <row r="18">
          <cell r="B18">
            <v>0.05</v>
          </cell>
          <cell r="C18">
            <v>8.5791841881210171</v>
          </cell>
        </row>
        <row r="19">
          <cell r="B19">
            <v>0.06</v>
          </cell>
          <cell r="C19">
            <v>8.27357670814032</v>
          </cell>
        </row>
        <row r="20">
          <cell r="B20">
            <v>7.0000000000000007E-2</v>
          </cell>
          <cell r="C20">
            <v>8.0459136261399511</v>
          </cell>
        </row>
        <row r="21">
          <cell r="B21">
            <v>0.09</v>
          </cell>
          <cell r="C21">
            <v>7.7293827299126399</v>
          </cell>
        </row>
        <row r="22">
          <cell r="B22">
            <v>0.13</v>
          </cell>
          <cell r="C22">
            <v>7.3707363978561142</v>
          </cell>
        </row>
        <row r="23">
          <cell r="B23">
            <v>0.15</v>
          </cell>
          <cell r="C23">
            <v>7.2593314737296479</v>
          </cell>
        </row>
        <row r="24">
          <cell r="B24">
            <v>0.17</v>
          </cell>
          <cell r="C24">
            <v>7.1729028813112343</v>
          </cell>
        </row>
        <row r="33">
          <cell r="B33" t="str">
            <v>Effect of Coupon on Duration</v>
          </cell>
        </row>
        <row r="34">
          <cell r="B34" t="str">
            <v xml:space="preserve">
Maturity = 21, YTM = 15.00%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10" sqref="F1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23BC-962B-4537-A993-B49596E4DFFB}">
  <sheetPr codeName="Sheet8"/>
  <dimension ref="A1:J34"/>
  <sheetViews>
    <sheetView tabSelected="1" zoomScale="130" zoomScaleNormal="130" workbookViewId="0">
      <selection activeCell="W4" sqref="W4"/>
    </sheetView>
  </sheetViews>
  <sheetFormatPr defaultRowHeight="13.2" x14ac:dyDescent="0.25"/>
  <cols>
    <col min="1" max="1" width="16.44140625" style="3" customWidth="1"/>
    <col min="2" max="2" width="11.5546875" style="3" customWidth="1"/>
    <col min="3" max="3" width="11.6640625" style="3" customWidth="1"/>
    <col min="4" max="4" width="49.33203125" style="3" customWidth="1"/>
    <col min="5" max="256" width="8.88671875" style="3"/>
    <col min="257" max="257" width="16.44140625" style="3" customWidth="1"/>
    <col min="258" max="258" width="11.5546875" style="3" customWidth="1"/>
    <col min="259" max="259" width="11.6640625" style="3" customWidth="1"/>
    <col min="260" max="260" width="49.33203125" style="3" customWidth="1"/>
    <col min="261" max="512" width="8.88671875" style="3"/>
    <col min="513" max="513" width="16.44140625" style="3" customWidth="1"/>
    <col min="514" max="514" width="11.5546875" style="3" customWidth="1"/>
    <col min="515" max="515" width="11.6640625" style="3" customWidth="1"/>
    <col min="516" max="516" width="49.33203125" style="3" customWidth="1"/>
    <col min="517" max="768" width="8.88671875" style="3"/>
    <col min="769" max="769" width="16.44140625" style="3" customWidth="1"/>
    <col min="770" max="770" width="11.5546875" style="3" customWidth="1"/>
    <col min="771" max="771" width="11.6640625" style="3" customWidth="1"/>
    <col min="772" max="772" width="49.33203125" style="3" customWidth="1"/>
    <col min="773" max="1024" width="8.88671875" style="3"/>
    <col min="1025" max="1025" width="16.44140625" style="3" customWidth="1"/>
    <col min="1026" max="1026" width="11.5546875" style="3" customWidth="1"/>
    <col min="1027" max="1027" width="11.6640625" style="3" customWidth="1"/>
    <col min="1028" max="1028" width="49.33203125" style="3" customWidth="1"/>
    <col min="1029" max="1280" width="8.88671875" style="3"/>
    <col min="1281" max="1281" width="16.44140625" style="3" customWidth="1"/>
    <col min="1282" max="1282" width="11.5546875" style="3" customWidth="1"/>
    <col min="1283" max="1283" width="11.6640625" style="3" customWidth="1"/>
    <col min="1284" max="1284" width="49.33203125" style="3" customWidth="1"/>
    <col min="1285" max="1536" width="8.88671875" style="3"/>
    <col min="1537" max="1537" width="16.44140625" style="3" customWidth="1"/>
    <col min="1538" max="1538" width="11.5546875" style="3" customWidth="1"/>
    <col min="1539" max="1539" width="11.6640625" style="3" customWidth="1"/>
    <col min="1540" max="1540" width="49.33203125" style="3" customWidth="1"/>
    <col min="1541" max="1792" width="8.88671875" style="3"/>
    <col min="1793" max="1793" width="16.44140625" style="3" customWidth="1"/>
    <col min="1794" max="1794" width="11.5546875" style="3" customWidth="1"/>
    <col min="1795" max="1795" width="11.6640625" style="3" customWidth="1"/>
    <col min="1796" max="1796" width="49.33203125" style="3" customWidth="1"/>
    <col min="1797" max="2048" width="8.88671875" style="3"/>
    <col min="2049" max="2049" width="16.44140625" style="3" customWidth="1"/>
    <col min="2050" max="2050" width="11.5546875" style="3" customWidth="1"/>
    <col min="2051" max="2051" width="11.6640625" style="3" customWidth="1"/>
    <col min="2052" max="2052" width="49.33203125" style="3" customWidth="1"/>
    <col min="2053" max="2304" width="8.88671875" style="3"/>
    <col min="2305" max="2305" width="16.44140625" style="3" customWidth="1"/>
    <col min="2306" max="2306" width="11.5546875" style="3" customWidth="1"/>
    <col min="2307" max="2307" width="11.6640625" style="3" customWidth="1"/>
    <col min="2308" max="2308" width="49.33203125" style="3" customWidth="1"/>
    <col min="2309" max="2560" width="8.88671875" style="3"/>
    <col min="2561" max="2561" width="16.44140625" style="3" customWidth="1"/>
    <col min="2562" max="2562" width="11.5546875" style="3" customWidth="1"/>
    <col min="2563" max="2563" width="11.6640625" style="3" customWidth="1"/>
    <col min="2564" max="2564" width="49.33203125" style="3" customWidth="1"/>
    <col min="2565" max="2816" width="8.88671875" style="3"/>
    <col min="2817" max="2817" width="16.44140625" style="3" customWidth="1"/>
    <col min="2818" max="2818" width="11.5546875" style="3" customWidth="1"/>
    <col min="2819" max="2819" width="11.6640625" style="3" customWidth="1"/>
    <col min="2820" max="2820" width="49.33203125" style="3" customWidth="1"/>
    <col min="2821" max="3072" width="8.88671875" style="3"/>
    <col min="3073" max="3073" width="16.44140625" style="3" customWidth="1"/>
    <col min="3074" max="3074" width="11.5546875" style="3" customWidth="1"/>
    <col min="3075" max="3075" width="11.6640625" style="3" customWidth="1"/>
    <col min="3076" max="3076" width="49.33203125" style="3" customWidth="1"/>
    <col min="3077" max="3328" width="8.88671875" style="3"/>
    <col min="3329" max="3329" width="16.44140625" style="3" customWidth="1"/>
    <col min="3330" max="3330" width="11.5546875" style="3" customWidth="1"/>
    <col min="3331" max="3331" width="11.6640625" style="3" customWidth="1"/>
    <col min="3332" max="3332" width="49.33203125" style="3" customWidth="1"/>
    <col min="3333" max="3584" width="8.88671875" style="3"/>
    <col min="3585" max="3585" width="16.44140625" style="3" customWidth="1"/>
    <col min="3586" max="3586" width="11.5546875" style="3" customWidth="1"/>
    <col min="3587" max="3587" width="11.6640625" style="3" customWidth="1"/>
    <col min="3588" max="3588" width="49.33203125" style="3" customWidth="1"/>
    <col min="3589" max="3840" width="8.88671875" style="3"/>
    <col min="3841" max="3841" width="16.44140625" style="3" customWidth="1"/>
    <col min="3842" max="3842" width="11.5546875" style="3" customWidth="1"/>
    <col min="3843" max="3843" width="11.6640625" style="3" customWidth="1"/>
    <col min="3844" max="3844" width="49.33203125" style="3" customWidth="1"/>
    <col min="3845" max="4096" width="8.88671875" style="3"/>
    <col min="4097" max="4097" width="16.44140625" style="3" customWidth="1"/>
    <col min="4098" max="4098" width="11.5546875" style="3" customWidth="1"/>
    <col min="4099" max="4099" width="11.6640625" style="3" customWidth="1"/>
    <col min="4100" max="4100" width="49.33203125" style="3" customWidth="1"/>
    <col min="4101" max="4352" width="8.88671875" style="3"/>
    <col min="4353" max="4353" width="16.44140625" style="3" customWidth="1"/>
    <col min="4354" max="4354" width="11.5546875" style="3" customWidth="1"/>
    <col min="4355" max="4355" width="11.6640625" style="3" customWidth="1"/>
    <col min="4356" max="4356" width="49.33203125" style="3" customWidth="1"/>
    <col min="4357" max="4608" width="8.88671875" style="3"/>
    <col min="4609" max="4609" width="16.44140625" style="3" customWidth="1"/>
    <col min="4610" max="4610" width="11.5546875" style="3" customWidth="1"/>
    <col min="4611" max="4611" width="11.6640625" style="3" customWidth="1"/>
    <col min="4612" max="4612" width="49.33203125" style="3" customWidth="1"/>
    <col min="4613" max="4864" width="8.88671875" style="3"/>
    <col min="4865" max="4865" width="16.44140625" style="3" customWidth="1"/>
    <col min="4866" max="4866" width="11.5546875" style="3" customWidth="1"/>
    <col min="4867" max="4867" width="11.6640625" style="3" customWidth="1"/>
    <col min="4868" max="4868" width="49.33203125" style="3" customWidth="1"/>
    <col min="4869" max="5120" width="8.88671875" style="3"/>
    <col min="5121" max="5121" width="16.44140625" style="3" customWidth="1"/>
    <col min="5122" max="5122" width="11.5546875" style="3" customWidth="1"/>
    <col min="5123" max="5123" width="11.6640625" style="3" customWidth="1"/>
    <col min="5124" max="5124" width="49.33203125" style="3" customWidth="1"/>
    <col min="5125" max="5376" width="8.88671875" style="3"/>
    <col min="5377" max="5377" width="16.44140625" style="3" customWidth="1"/>
    <col min="5378" max="5378" width="11.5546875" style="3" customWidth="1"/>
    <col min="5379" max="5379" width="11.6640625" style="3" customWidth="1"/>
    <col min="5380" max="5380" width="49.33203125" style="3" customWidth="1"/>
    <col min="5381" max="5632" width="8.88671875" style="3"/>
    <col min="5633" max="5633" width="16.44140625" style="3" customWidth="1"/>
    <col min="5634" max="5634" width="11.5546875" style="3" customWidth="1"/>
    <col min="5635" max="5635" width="11.6640625" style="3" customWidth="1"/>
    <col min="5636" max="5636" width="49.33203125" style="3" customWidth="1"/>
    <col min="5637" max="5888" width="8.88671875" style="3"/>
    <col min="5889" max="5889" width="16.44140625" style="3" customWidth="1"/>
    <col min="5890" max="5890" width="11.5546875" style="3" customWidth="1"/>
    <col min="5891" max="5891" width="11.6640625" style="3" customWidth="1"/>
    <col min="5892" max="5892" width="49.33203125" style="3" customWidth="1"/>
    <col min="5893" max="6144" width="8.88671875" style="3"/>
    <col min="6145" max="6145" width="16.44140625" style="3" customWidth="1"/>
    <col min="6146" max="6146" width="11.5546875" style="3" customWidth="1"/>
    <col min="6147" max="6147" width="11.6640625" style="3" customWidth="1"/>
    <col min="6148" max="6148" width="49.33203125" style="3" customWidth="1"/>
    <col min="6149" max="6400" width="8.88671875" style="3"/>
    <col min="6401" max="6401" width="16.44140625" style="3" customWidth="1"/>
    <col min="6402" max="6402" width="11.5546875" style="3" customWidth="1"/>
    <col min="6403" max="6403" width="11.6640625" style="3" customWidth="1"/>
    <col min="6404" max="6404" width="49.33203125" style="3" customWidth="1"/>
    <col min="6405" max="6656" width="8.88671875" style="3"/>
    <col min="6657" max="6657" width="16.44140625" style="3" customWidth="1"/>
    <col min="6658" max="6658" width="11.5546875" style="3" customWidth="1"/>
    <col min="6659" max="6659" width="11.6640625" style="3" customWidth="1"/>
    <col min="6660" max="6660" width="49.33203125" style="3" customWidth="1"/>
    <col min="6661" max="6912" width="8.88671875" style="3"/>
    <col min="6913" max="6913" width="16.44140625" style="3" customWidth="1"/>
    <col min="6914" max="6914" width="11.5546875" style="3" customWidth="1"/>
    <col min="6915" max="6915" width="11.6640625" style="3" customWidth="1"/>
    <col min="6916" max="6916" width="49.33203125" style="3" customWidth="1"/>
    <col min="6917" max="7168" width="8.88671875" style="3"/>
    <col min="7169" max="7169" width="16.44140625" style="3" customWidth="1"/>
    <col min="7170" max="7170" width="11.5546875" style="3" customWidth="1"/>
    <col min="7171" max="7171" width="11.6640625" style="3" customWidth="1"/>
    <col min="7172" max="7172" width="49.33203125" style="3" customWidth="1"/>
    <col min="7173" max="7424" width="8.88671875" style="3"/>
    <col min="7425" max="7425" width="16.44140625" style="3" customWidth="1"/>
    <col min="7426" max="7426" width="11.5546875" style="3" customWidth="1"/>
    <col min="7427" max="7427" width="11.6640625" style="3" customWidth="1"/>
    <col min="7428" max="7428" width="49.33203125" style="3" customWidth="1"/>
    <col min="7429" max="7680" width="8.88671875" style="3"/>
    <col min="7681" max="7681" width="16.44140625" style="3" customWidth="1"/>
    <col min="7682" max="7682" width="11.5546875" style="3" customWidth="1"/>
    <col min="7683" max="7683" width="11.6640625" style="3" customWidth="1"/>
    <col min="7684" max="7684" width="49.33203125" style="3" customWidth="1"/>
    <col min="7685" max="7936" width="8.88671875" style="3"/>
    <col min="7937" max="7937" width="16.44140625" style="3" customWidth="1"/>
    <col min="7938" max="7938" width="11.5546875" style="3" customWidth="1"/>
    <col min="7939" max="7939" width="11.6640625" style="3" customWidth="1"/>
    <col min="7940" max="7940" width="49.33203125" style="3" customWidth="1"/>
    <col min="7941" max="8192" width="8.88671875" style="3"/>
    <col min="8193" max="8193" width="16.44140625" style="3" customWidth="1"/>
    <col min="8194" max="8194" width="11.5546875" style="3" customWidth="1"/>
    <col min="8195" max="8195" width="11.6640625" style="3" customWidth="1"/>
    <col min="8196" max="8196" width="49.33203125" style="3" customWidth="1"/>
    <col min="8197" max="8448" width="8.88671875" style="3"/>
    <col min="8449" max="8449" width="16.44140625" style="3" customWidth="1"/>
    <col min="8450" max="8450" width="11.5546875" style="3" customWidth="1"/>
    <col min="8451" max="8451" width="11.6640625" style="3" customWidth="1"/>
    <col min="8452" max="8452" width="49.33203125" style="3" customWidth="1"/>
    <col min="8453" max="8704" width="8.88671875" style="3"/>
    <col min="8705" max="8705" width="16.44140625" style="3" customWidth="1"/>
    <col min="8706" max="8706" width="11.5546875" style="3" customWidth="1"/>
    <col min="8707" max="8707" width="11.6640625" style="3" customWidth="1"/>
    <col min="8708" max="8708" width="49.33203125" style="3" customWidth="1"/>
    <col min="8709" max="8960" width="8.88671875" style="3"/>
    <col min="8961" max="8961" width="16.44140625" style="3" customWidth="1"/>
    <col min="8962" max="8962" width="11.5546875" style="3" customWidth="1"/>
    <col min="8963" max="8963" width="11.6640625" style="3" customWidth="1"/>
    <col min="8964" max="8964" width="49.33203125" style="3" customWidth="1"/>
    <col min="8965" max="9216" width="8.88671875" style="3"/>
    <col min="9217" max="9217" width="16.44140625" style="3" customWidth="1"/>
    <col min="9218" max="9218" width="11.5546875" style="3" customWidth="1"/>
    <col min="9219" max="9219" width="11.6640625" style="3" customWidth="1"/>
    <col min="9220" max="9220" width="49.33203125" style="3" customWidth="1"/>
    <col min="9221" max="9472" width="8.88671875" style="3"/>
    <col min="9473" max="9473" width="16.44140625" style="3" customWidth="1"/>
    <col min="9474" max="9474" width="11.5546875" style="3" customWidth="1"/>
    <col min="9475" max="9475" width="11.6640625" style="3" customWidth="1"/>
    <col min="9476" max="9476" width="49.33203125" style="3" customWidth="1"/>
    <col min="9477" max="9728" width="8.88671875" style="3"/>
    <col min="9729" max="9729" width="16.44140625" style="3" customWidth="1"/>
    <col min="9730" max="9730" width="11.5546875" style="3" customWidth="1"/>
    <col min="9731" max="9731" width="11.6640625" style="3" customWidth="1"/>
    <col min="9732" max="9732" width="49.33203125" style="3" customWidth="1"/>
    <col min="9733" max="9984" width="8.88671875" style="3"/>
    <col min="9985" max="9985" width="16.44140625" style="3" customWidth="1"/>
    <col min="9986" max="9986" width="11.5546875" style="3" customWidth="1"/>
    <col min="9987" max="9987" width="11.6640625" style="3" customWidth="1"/>
    <col min="9988" max="9988" width="49.33203125" style="3" customWidth="1"/>
    <col min="9989" max="10240" width="8.88671875" style="3"/>
    <col min="10241" max="10241" width="16.44140625" style="3" customWidth="1"/>
    <col min="10242" max="10242" width="11.5546875" style="3" customWidth="1"/>
    <col min="10243" max="10243" width="11.6640625" style="3" customWidth="1"/>
    <col min="10244" max="10244" width="49.33203125" style="3" customWidth="1"/>
    <col min="10245" max="10496" width="8.88671875" style="3"/>
    <col min="10497" max="10497" width="16.44140625" style="3" customWidth="1"/>
    <col min="10498" max="10498" width="11.5546875" style="3" customWidth="1"/>
    <col min="10499" max="10499" width="11.6640625" style="3" customWidth="1"/>
    <col min="10500" max="10500" width="49.33203125" style="3" customWidth="1"/>
    <col min="10501" max="10752" width="8.88671875" style="3"/>
    <col min="10753" max="10753" width="16.44140625" style="3" customWidth="1"/>
    <col min="10754" max="10754" width="11.5546875" style="3" customWidth="1"/>
    <col min="10755" max="10755" width="11.6640625" style="3" customWidth="1"/>
    <col min="10756" max="10756" width="49.33203125" style="3" customWidth="1"/>
    <col min="10757" max="11008" width="8.88671875" style="3"/>
    <col min="11009" max="11009" width="16.44140625" style="3" customWidth="1"/>
    <col min="11010" max="11010" width="11.5546875" style="3" customWidth="1"/>
    <col min="11011" max="11011" width="11.6640625" style="3" customWidth="1"/>
    <col min="11012" max="11012" width="49.33203125" style="3" customWidth="1"/>
    <col min="11013" max="11264" width="8.88671875" style="3"/>
    <col min="11265" max="11265" width="16.44140625" style="3" customWidth="1"/>
    <col min="11266" max="11266" width="11.5546875" style="3" customWidth="1"/>
    <col min="11267" max="11267" width="11.6640625" style="3" customWidth="1"/>
    <col min="11268" max="11268" width="49.33203125" style="3" customWidth="1"/>
    <col min="11269" max="11520" width="8.88671875" style="3"/>
    <col min="11521" max="11521" width="16.44140625" style="3" customWidth="1"/>
    <col min="11522" max="11522" width="11.5546875" style="3" customWidth="1"/>
    <col min="11523" max="11523" width="11.6640625" style="3" customWidth="1"/>
    <col min="11524" max="11524" width="49.33203125" style="3" customWidth="1"/>
    <col min="11525" max="11776" width="8.88671875" style="3"/>
    <col min="11777" max="11777" width="16.44140625" style="3" customWidth="1"/>
    <col min="11778" max="11778" width="11.5546875" style="3" customWidth="1"/>
    <col min="11779" max="11779" width="11.6640625" style="3" customWidth="1"/>
    <col min="11780" max="11780" width="49.33203125" style="3" customWidth="1"/>
    <col min="11781" max="12032" width="8.88671875" style="3"/>
    <col min="12033" max="12033" width="16.44140625" style="3" customWidth="1"/>
    <col min="12034" max="12034" width="11.5546875" style="3" customWidth="1"/>
    <col min="12035" max="12035" width="11.6640625" style="3" customWidth="1"/>
    <col min="12036" max="12036" width="49.33203125" style="3" customWidth="1"/>
    <col min="12037" max="12288" width="8.88671875" style="3"/>
    <col min="12289" max="12289" width="16.44140625" style="3" customWidth="1"/>
    <col min="12290" max="12290" width="11.5546875" style="3" customWidth="1"/>
    <col min="12291" max="12291" width="11.6640625" style="3" customWidth="1"/>
    <col min="12292" max="12292" width="49.33203125" style="3" customWidth="1"/>
    <col min="12293" max="12544" width="8.88671875" style="3"/>
    <col min="12545" max="12545" width="16.44140625" style="3" customWidth="1"/>
    <col min="12546" max="12546" width="11.5546875" style="3" customWidth="1"/>
    <col min="12547" max="12547" width="11.6640625" style="3" customWidth="1"/>
    <col min="12548" max="12548" width="49.33203125" style="3" customWidth="1"/>
    <col min="12549" max="12800" width="8.88671875" style="3"/>
    <col min="12801" max="12801" width="16.44140625" style="3" customWidth="1"/>
    <col min="12802" max="12802" width="11.5546875" style="3" customWidth="1"/>
    <col min="12803" max="12803" width="11.6640625" style="3" customWidth="1"/>
    <col min="12804" max="12804" width="49.33203125" style="3" customWidth="1"/>
    <col min="12805" max="13056" width="8.88671875" style="3"/>
    <col min="13057" max="13057" width="16.44140625" style="3" customWidth="1"/>
    <col min="13058" max="13058" width="11.5546875" style="3" customWidth="1"/>
    <col min="13059" max="13059" width="11.6640625" style="3" customWidth="1"/>
    <col min="13060" max="13060" width="49.33203125" style="3" customWidth="1"/>
    <col min="13061" max="13312" width="8.88671875" style="3"/>
    <col min="13313" max="13313" width="16.44140625" style="3" customWidth="1"/>
    <col min="13314" max="13314" width="11.5546875" style="3" customWidth="1"/>
    <col min="13315" max="13315" width="11.6640625" style="3" customWidth="1"/>
    <col min="13316" max="13316" width="49.33203125" style="3" customWidth="1"/>
    <col min="13317" max="13568" width="8.88671875" style="3"/>
    <col min="13569" max="13569" width="16.44140625" style="3" customWidth="1"/>
    <col min="13570" max="13570" width="11.5546875" style="3" customWidth="1"/>
    <col min="13571" max="13571" width="11.6640625" style="3" customWidth="1"/>
    <col min="13572" max="13572" width="49.33203125" style="3" customWidth="1"/>
    <col min="13573" max="13824" width="8.88671875" style="3"/>
    <col min="13825" max="13825" width="16.44140625" style="3" customWidth="1"/>
    <col min="13826" max="13826" width="11.5546875" style="3" customWidth="1"/>
    <col min="13827" max="13827" width="11.6640625" style="3" customWidth="1"/>
    <col min="13828" max="13828" width="49.33203125" style="3" customWidth="1"/>
    <col min="13829" max="14080" width="8.88671875" style="3"/>
    <col min="14081" max="14081" width="16.44140625" style="3" customWidth="1"/>
    <col min="14082" max="14082" width="11.5546875" style="3" customWidth="1"/>
    <col min="14083" max="14083" width="11.6640625" style="3" customWidth="1"/>
    <col min="14084" max="14084" width="49.33203125" style="3" customWidth="1"/>
    <col min="14085" max="14336" width="8.88671875" style="3"/>
    <col min="14337" max="14337" width="16.44140625" style="3" customWidth="1"/>
    <col min="14338" max="14338" width="11.5546875" style="3" customWidth="1"/>
    <col min="14339" max="14339" width="11.6640625" style="3" customWidth="1"/>
    <col min="14340" max="14340" width="49.33203125" style="3" customWidth="1"/>
    <col min="14341" max="14592" width="8.88671875" style="3"/>
    <col min="14593" max="14593" width="16.44140625" style="3" customWidth="1"/>
    <col min="14594" max="14594" width="11.5546875" style="3" customWidth="1"/>
    <col min="14595" max="14595" width="11.6640625" style="3" customWidth="1"/>
    <col min="14596" max="14596" width="49.33203125" style="3" customWidth="1"/>
    <col min="14597" max="14848" width="8.88671875" style="3"/>
    <col min="14849" max="14849" width="16.44140625" style="3" customWidth="1"/>
    <col min="14850" max="14850" width="11.5546875" style="3" customWidth="1"/>
    <col min="14851" max="14851" width="11.6640625" style="3" customWidth="1"/>
    <col min="14852" max="14852" width="49.33203125" style="3" customWidth="1"/>
    <col min="14853" max="15104" width="8.88671875" style="3"/>
    <col min="15105" max="15105" width="16.44140625" style="3" customWidth="1"/>
    <col min="15106" max="15106" width="11.5546875" style="3" customWidth="1"/>
    <col min="15107" max="15107" width="11.6640625" style="3" customWidth="1"/>
    <col min="15108" max="15108" width="49.33203125" style="3" customWidth="1"/>
    <col min="15109" max="15360" width="8.88671875" style="3"/>
    <col min="15361" max="15361" width="16.44140625" style="3" customWidth="1"/>
    <col min="15362" max="15362" width="11.5546875" style="3" customWidth="1"/>
    <col min="15363" max="15363" width="11.6640625" style="3" customWidth="1"/>
    <col min="15364" max="15364" width="49.33203125" style="3" customWidth="1"/>
    <col min="15365" max="15616" width="8.88671875" style="3"/>
    <col min="15617" max="15617" width="16.44140625" style="3" customWidth="1"/>
    <col min="15618" max="15618" width="11.5546875" style="3" customWidth="1"/>
    <col min="15619" max="15619" width="11.6640625" style="3" customWidth="1"/>
    <col min="15620" max="15620" width="49.33203125" style="3" customWidth="1"/>
    <col min="15621" max="15872" width="8.88671875" style="3"/>
    <col min="15873" max="15873" width="16.44140625" style="3" customWidth="1"/>
    <col min="15874" max="15874" width="11.5546875" style="3" customWidth="1"/>
    <col min="15875" max="15875" width="11.6640625" style="3" customWidth="1"/>
    <col min="15876" max="15876" width="49.33203125" style="3" customWidth="1"/>
    <col min="15877" max="16128" width="8.88671875" style="3"/>
    <col min="16129" max="16129" width="16.44140625" style="3" customWidth="1"/>
    <col min="16130" max="16130" width="11.5546875" style="3" customWidth="1"/>
    <col min="16131" max="16131" width="11.6640625" style="3" customWidth="1"/>
    <col min="16132" max="16132" width="49.33203125" style="3" customWidth="1"/>
    <col min="16133" max="16384" width="8.88671875" style="3"/>
  </cols>
  <sheetData>
    <row r="1" spans="1:10" s="2" customFormat="1" ht="17.399999999999999" x14ac:dyDescent="0.3">
      <c r="A1" s="1" t="s">
        <v>0</v>
      </c>
      <c r="B1" s="1"/>
      <c r="C1" s="1"/>
      <c r="D1" s="1"/>
    </row>
    <row r="2" spans="1:10" x14ac:dyDescent="0.25">
      <c r="A2" s="3" t="s">
        <v>1</v>
      </c>
      <c r="B2" s="4">
        <f>DATE(1996,5,21)</f>
        <v>35206</v>
      </c>
      <c r="C2" s="3" t="str">
        <f ca="1">_xlfn.FORMULATEXT(B2)</f>
        <v>=DATE(1996,5,21)</v>
      </c>
    </row>
    <row r="3" spans="1:10" x14ac:dyDescent="0.25">
      <c r="A3" s="3" t="s">
        <v>2</v>
      </c>
      <c r="B3" s="3">
        <v>21</v>
      </c>
    </row>
    <row r="4" spans="1:10" x14ac:dyDescent="0.25">
      <c r="A4" s="3" t="s">
        <v>3</v>
      </c>
      <c r="B4" s="4">
        <f>DATE(1996+B3,5,21)</f>
        <v>42876</v>
      </c>
      <c r="C4" s="3" t="str">
        <f ca="1">_xlfn.FORMULATEXT(B4)</f>
        <v>=DATE(1996+B3,5,21)</v>
      </c>
    </row>
    <row r="5" spans="1:10" x14ac:dyDescent="0.25">
      <c r="A5" s="3" t="s">
        <v>12</v>
      </c>
      <c r="B5" s="5">
        <v>0.15</v>
      </c>
      <c r="C5" s="3" t="s">
        <v>4</v>
      </c>
    </row>
    <row r="6" spans="1:10" x14ac:dyDescent="0.25">
      <c r="A6" s="3" t="s">
        <v>5</v>
      </c>
      <c r="B6" s="5">
        <v>0.04</v>
      </c>
      <c r="J6" s="6"/>
    </row>
    <row r="7" spans="1:10" x14ac:dyDescent="0.25">
      <c r="A7" s="3" t="s">
        <v>6</v>
      </c>
      <c r="B7" s="7">
        <v>1000</v>
      </c>
    </row>
    <row r="9" spans="1:10" x14ac:dyDescent="0.25">
      <c r="A9" s="3" t="s">
        <v>7</v>
      </c>
      <c r="B9" s="8">
        <f>DURATION(B2,B4,B6,B5,1)</f>
        <v>9.0110319541472155</v>
      </c>
      <c r="C9" s="3" t="str">
        <f ca="1">_xlfn.FORMULATEXT(B9)</f>
        <v>=DURATION(B2,B4,B6,B5,1)</v>
      </c>
      <c r="J9" s="9"/>
    </row>
    <row r="11" spans="1:10" x14ac:dyDescent="0.25">
      <c r="A11" s="9" t="s">
        <v>8</v>
      </c>
    </row>
    <row r="12" spans="1:10" x14ac:dyDescent="0.25">
      <c r="C12" s="10">
        <f>B9</f>
        <v>9.0110319541472155</v>
      </c>
      <c r="D12" s="3" t="str">
        <f ca="1">_xlfn.FORMULATEXT(C12)&amp;" , data table header"</f>
        <v>=B9 , data table header</v>
      </c>
    </row>
    <row r="13" spans="1:10" x14ac:dyDescent="0.25">
      <c r="B13" s="5">
        <v>0</v>
      </c>
      <c r="C13" s="10">
        <f t="dataTable" ref="C13:C24" dt2D="0" dtr="0" r1="B6"/>
        <v>21</v>
      </c>
    </row>
    <row r="14" spans="1:10" x14ac:dyDescent="0.25">
      <c r="B14" s="5">
        <v>0.01</v>
      </c>
      <c r="C14" s="10">
        <v>13.120405887067847</v>
      </c>
    </row>
    <row r="15" spans="1:10" x14ac:dyDescent="0.25">
      <c r="A15" s="11" t="s">
        <v>9</v>
      </c>
      <c r="B15" s="5">
        <v>0.02</v>
      </c>
      <c r="C15" s="10">
        <v>10.786542812879926</v>
      </c>
    </row>
    <row r="16" spans="1:10" x14ac:dyDescent="0.25">
      <c r="B16" s="5">
        <v>0.03</v>
      </c>
      <c r="C16" s="10">
        <v>9.6677021220158164</v>
      </c>
    </row>
    <row r="17" spans="2:3" x14ac:dyDescent="0.25">
      <c r="B17" s="12">
        <v>0.04</v>
      </c>
      <c r="C17" s="13">
        <v>9.0110319541472155</v>
      </c>
    </row>
    <row r="18" spans="2:3" x14ac:dyDescent="0.25">
      <c r="B18" s="5">
        <v>0.05</v>
      </c>
      <c r="C18" s="10">
        <v>8.5791841881210171</v>
      </c>
    </row>
    <row r="19" spans="2:3" x14ac:dyDescent="0.25">
      <c r="B19" s="5">
        <v>0.06</v>
      </c>
      <c r="C19" s="10">
        <v>8.27357670814032</v>
      </c>
    </row>
    <row r="20" spans="2:3" x14ac:dyDescent="0.25">
      <c r="B20" s="5">
        <v>7.0000000000000007E-2</v>
      </c>
      <c r="C20" s="10">
        <v>8.0459136261399511</v>
      </c>
    </row>
    <row r="21" spans="2:3" x14ac:dyDescent="0.25">
      <c r="B21" s="5">
        <v>0.09</v>
      </c>
      <c r="C21" s="10">
        <v>7.7293827299126399</v>
      </c>
    </row>
    <row r="22" spans="2:3" x14ac:dyDescent="0.25">
      <c r="B22" s="5">
        <v>0.13</v>
      </c>
      <c r="C22" s="10">
        <v>7.3707363978561142</v>
      </c>
    </row>
    <row r="23" spans="2:3" x14ac:dyDescent="0.25">
      <c r="B23" s="5">
        <v>0.15</v>
      </c>
      <c r="C23" s="10">
        <v>7.2593314737296479</v>
      </c>
    </row>
    <row r="24" spans="2:3" x14ac:dyDescent="0.25">
      <c r="B24" s="5">
        <v>0.17</v>
      </c>
      <c r="C24" s="10">
        <v>7.1729028813112343</v>
      </c>
    </row>
    <row r="32" spans="2:3" x14ac:dyDescent="0.25">
      <c r="B32" s="3" t="s">
        <v>10</v>
      </c>
    </row>
    <row r="33" spans="2:2" x14ac:dyDescent="0.25">
      <c r="B33" s="3" t="s">
        <v>11</v>
      </c>
    </row>
    <row r="34" spans="2:2" x14ac:dyDescent="0.25">
      <c r="B34" s="6" t="str">
        <f>"
Maturity = "&amp;TEXT(B3,"0")&amp;", YTM = "&amp;TEXT(B5,"0.00%")</f>
        <v xml:space="preserve">
Maturity = 21, YTM = 15.00%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678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2024-12-16T02:14:24Z</dcterms:modified>
</cp:coreProperties>
</file>