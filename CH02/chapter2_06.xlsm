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3D3408A0-3ADC-4DE0-9E6F-2AAD9300AD04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definedNames>
    <definedName name="solver_adj" localSheetId="0" hidden="1">Sheet1!$B$6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Sheet1!$B$13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120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B16" i="1"/>
  <c r="A12" i="1"/>
  <c r="C16" i="1"/>
  <c r="C17" i="1"/>
  <c r="C18" i="1"/>
  <c r="C19" i="1"/>
  <c r="C20" i="1"/>
  <c r="C21" i="1"/>
  <c r="C22" i="1"/>
  <c r="C11" i="1"/>
  <c r="C12" i="1"/>
  <c r="C13" i="1"/>
  <c r="C10" i="1"/>
  <c r="B10" i="1" l="1"/>
  <c r="B17" i="1"/>
  <c r="B18" i="1" s="1"/>
  <c r="B19" i="1" s="1"/>
  <c r="B20" i="1" s="1"/>
  <c r="B12" i="1" l="1"/>
  <c r="B13" i="1" s="1"/>
  <c r="B21" i="1"/>
  <c r="B22" i="1" s="1"/>
  <c r="B23" i="1" s="1"/>
  <c r="B24" i="1" s="1"/>
  <c r="B25" i="1" s="1"/>
  <c r="B26" i="1" s="1"/>
  <c r="B27" i="1" s="1"/>
</calcChain>
</file>

<file path=xl/sharedStrings.xml><?xml version="1.0" encoding="utf-8"?>
<sst xmlns="http://schemas.openxmlformats.org/spreadsheetml/2006/main" count="15" uniqueCount="14">
  <si>
    <t>THE GORDON MODEL WITH TWO GROWTH RATES</t>
  </si>
  <si>
    <r>
      <t>Current dividend, Div</t>
    </r>
    <r>
      <rPr>
        <vertAlign val="subscript"/>
        <sz val="10"/>
        <rFont val="Arial"/>
        <family val="2"/>
      </rPr>
      <t>0</t>
    </r>
  </si>
  <si>
    <r>
      <t>Growth rate g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, years 1-m ("supernormal")</t>
    </r>
  </si>
  <si>
    <r>
      <t>Growth rate g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 xml:space="preserve">, years 6 - </t>
    </r>
    <r>
      <rPr>
        <sz val="10"/>
        <rFont val="Symbol"/>
        <family val="1"/>
        <charset val="2"/>
      </rPr>
      <t>¥</t>
    </r>
  </si>
  <si>
    <t>Dividend valuation</t>
  </si>
  <si>
    <t>PV of supernormal growth years</t>
  </si>
  <si>
    <t xml:space="preserve">     Using Excel NPV</t>
  </si>
  <si>
    <t xml:space="preserve">     Check:  Using book formula</t>
  </si>
  <si>
    <t>Share value</t>
  </si>
  <si>
    <t>Year</t>
  </si>
  <si>
    <t>Anticipated
dividend</t>
  </si>
  <si>
    <t>etc.</t>
  </si>
  <si>
    <t>Number of supernormal growth years, m</t>
    <phoneticPr fontId="1" type="noConversion"/>
  </si>
  <si>
    <r>
      <t xml:space="preserve">Cost of equity </t>
    </r>
    <r>
      <rPr>
        <sz val="16"/>
        <color theme="1"/>
        <rFont val="等线"/>
        <family val="3"/>
        <charset val="134"/>
        <scheme val="minor"/>
      </rPr>
      <t>r</t>
    </r>
    <r>
      <rPr>
        <vertAlign val="subscript"/>
        <sz val="11"/>
        <color theme="1"/>
        <rFont val="等线"/>
        <family val="3"/>
        <charset val="134"/>
        <scheme val="minor"/>
      </rPr>
      <t>E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</si>
</sst>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b/>
      <sz val="10"/>
      <name val="Arial"/>
      <family val="2"/>
    </font>
    <font>
      <b/>
      <sz val="22"/>
      <name val="Arial"/>
      <family val="2"/>
    </font>
    <font>
      <vertAlign val="subscript"/>
      <sz val="11"/>
      <color theme="1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/>
    <xf numFmtId="40" fontId="0" fillId="0" borderId="0" xfId="0" applyNumberFormat="1" applyAlignment="1"/>
    <xf numFmtId="9" fontId="0" fillId="0" borderId="0" xfId="0" applyNumberFormat="1" applyAlignment="1"/>
    <xf numFmtId="0" fontId="4" fillId="0" borderId="0" xfId="0" applyFont="1" applyAlignment="1"/>
    <xf numFmtId="2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5" fillId="0" borderId="0" xfId="0" applyFont="1" applyAlignment="1">
      <alignment horizontal="center"/>
    </xf>
    <xf numFmtId="0" fontId="0" fillId="2" borderId="0" xfId="0" applyFill="1" applyAlignment="1"/>
    <xf numFmtId="2" fontId="0" fillId="2" borderId="0" xfId="0" applyNumberFormat="1" applyFill="1" applyAlignme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9" fontId="0" fillId="3" borderId="0" xfId="0" applyNumberFormat="1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28"/>
  <sheetViews>
    <sheetView tabSelected="1" workbookViewId="0">
      <selection activeCell="A12" sqref="A12"/>
    </sheetView>
  </sheetViews>
  <sheetFormatPr defaultRowHeight="13.8" x14ac:dyDescent="0.25"/>
  <cols>
    <col min="1" max="1" width="40.21875" bestFit="1" customWidth="1"/>
    <col min="2" max="3" width="34.21875" customWidth="1"/>
  </cols>
  <sheetData>
    <row r="1" spans="1:3" ht="28.2" x14ac:dyDescent="0.5">
      <c r="A1" s="8" t="s">
        <v>0</v>
      </c>
      <c r="B1" s="8"/>
      <c r="C1" s="8"/>
    </row>
    <row r="2" spans="1:3" ht="15.6" x14ac:dyDescent="0.35">
      <c r="A2" s="1" t="s">
        <v>1</v>
      </c>
      <c r="B2" s="2">
        <v>8</v>
      </c>
      <c r="C2" s="1"/>
    </row>
    <row r="3" spans="1:3" ht="15.6" x14ac:dyDescent="0.35">
      <c r="A3" s="1" t="s">
        <v>2</v>
      </c>
      <c r="B3" s="3">
        <v>0.35</v>
      </c>
      <c r="C3" s="1"/>
    </row>
    <row r="4" spans="1:3" ht="15.6" x14ac:dyDescent="0.35">
      <c r="A4" s="1" t="s">
        <v>3</v>
      </c>
      <c r="B4" s="3">
        <v>0.08</v>
      </c>
      <c r="C4" s="1"/>
    </row>
    <row r="5" spans="1:3" x14ac:dyDescent="0.25">
      <c r="A5" s="1" t="s">
        <v>12</v>
      </c>
      <c r="B5" s="1">
        <v>5</v>
      </c>
      <c r="C5" s="1"/>
    </row>
    <row r="6" spans="1:3" ht="20.399999999999999" x14ac:dyDescent="0.35">
      <c r="A6" s="1" t="s">
        <v>13</v>
      </c>
      <c r="B6" s="13">
        <v>0.18</v>
      </c>
      <c r="C6" s="1"/>
    </row>
    <row r="7" spans="1:3" x14ac:dyDescent="0.25">
      <c r="A7" s="1"/>
      <c r="B7" s="3"/>
      <c r="C7" s="1"/>
    </row>
    <row r="8" spans="1:3" x14ac:dyDescent="0.25">
      <c r="A8" s="4" t="s">
        <v>4</v>
      </c>
      <c r="B8" s="1"/>
      <c r="C8" s="1"/>
    </row>
    <row r="9" spans="1:3" x14ac:dyDescent="0.25">
      <c r="A9" s="1" t="s">
        <v>5</v>
      </c>
      <c r="B9" s="1"/>
      <c r="C9" s="1"/>
    </row>
    <row r="10" spans="1:3" x14ac:dyDescent="0.25">
      <c r="A10" s="1" t="s">
        <v>6</v>
      </c>
      <c r="B10" s="5">
        <f>NPV(B6,B16:B20)</f>
        <v>60.989019337066928</v>
      </c>
      <c r="C10" s="1" t="str">
        <f ca="1">[1]!getformula(B10)</f>
        <v>&lt;--  =NPV(B6,B16:B20)</v>
      </c>
    </row>
    <row r="11" spans="1:3" ht="18" customHeight="1" x14ac:dyDescent="0.25">
      <c r="A11" s="1" t="s">
        <v>7</v>
      </c>
      <c r="B11" s="5">
        <f>B2*(1+B3)/(1+B6)*(1-((1+B3)/(1+B6))^B5)/(1-(1+B3)/(1+B6))</f>
        <v>60.989019337066921</v>
      </c>
      <c r="C11" s="1" t="str">
        <f ca="1">[1]!getformula(B11)</f>
        <v>&lt;--  =B2*(1+B3)/(1+B6)*(1-((1+B3)/(1+B6))^B5)/(1-(1+B3)/(1+B6))</v>
      </c>
    </row>
    <row r="12" spans="1:3" x14ac:dyDescent="0.25">
      <c r="A12" s="1" t="str">
        <f>"PV of normal growth years, after year "&amp;TEXT(B5,"0")</f>
        <v>PV of normal growth years, after year 5</v>
      </c>
      <c r="B12" s="5">
        <f>B20*(1+B4)/(B6-B4)/(1+B6)^B5</f>
        <v>169.34506629841113</v>
      </c>
      <c r="C12" s="1" t="str">
        <f ca="1">[1]!getformula(B12)</f>
        <v>&lt;--  =B20*(1+B4)/(B6-B4)/(1+B6)^B5</v>
      </c>
    </row>
    <row r="13" spans="1:3" x14ac:dyDescent="0.25">
      <c r="A13" s="9" t="s">
        <v>8</v>
      </c>
      <c r="B13" s="10">
        <f>SUM(B11:B12)</f>
        <v>230.33408563547806</v>
      </c>
      <c r="C13" s="1" t="str">
        <f ca="1">[1]!getformula(B13)</f>
        <v>&lt;--  =SUM(B11:B12)</v>
      </c>
    </row>
    <row r="14" spans="1:3" x14ac:dyDescent="0.25">
      <c r="A14" s="1"/>
      <c r="B14" s="3"/>
      <c r="C14" s="1"/>
    </row>
    <row r="15" spans="1:3" ht="26.4" x14ac:dyDescent="0.25">
      <c r="A15" s="11" t="s">
        <v>9</v>
      </c>
      <c r="B15" s="12" t="s">
        <v>10</v>
      </c>
      <c r="C15" s="1"/>
    </row>
    <row r="16" spans="1:3" x14ac:dyDescent="0.25">
      <c r="A16" s="6">
        <v>1</v>
      </c>
      <c r="B16" s="5">
        <f>B2*(1+$B$3)</f>
        <v>10.8</v>
      </c>
      <c r="C16" s="1" t="str">
        <f ca="1">[1]!getformula(B16)</f>
        <v>&lt;--  =B2*(1+$B$3)</v>
      </c>
    </row>
    <row r="17" spans="1:3" x14ac:dyDescent="0.25">
      <c r="A17" s="6">
        <v>2</v>
      </c>
      <c r="B17" s="5">
        <f>B16*(1+$B$3)</f>
        <v>14.580000000000002</v>
      </c>
      <c r="C17" s="1" t="str">
        <f ca="1">[1]!getformula(B17)</f>
        <v>&lt;--  =B16*(1+$B$3)</v>
      </c>
    </row>
    <row r="18" spans="1:3" x14ac:dyDescent="0.25">
      <c r="A18" s="6">
        <v>3</v>
      </c>
      <c r="B18" s="5">
        <f>B17*(1+$B$3)</f>
        <v>19.683000000000003</v>
      </c>
      <c r="C18" s="1" t="str">
        <f ca="1">[1]!getformula(B18)</f>
        <v>&lt;--  =B17*(1+$B$3)</v>
      </c>
    </row>
    <row r="19" spans="1:3" x14ac:dyDescent="0.25">
      <c r="A19" s="6">
        <v>4</v>
      </c>
      <c r="B19" s="5">
        <f>B18*(1+$B$3)</f>
        <v>26.572050000000008</v>
      </c>
      <c r="C19" s="1" t="str">
        <f ca="1">[1]!getformula(B19)</f>
        <v>&lt;--  =B18*(1+$B$3)</v>
      </c>
    </row>
    <row r="20" spans="1:3" x14ac:dyDescent="0.25">
      <c r="A20" s="6">
        <v>5</v>
      </c>
      <c r="B20" s="5">
        <f>B19*(1+$B$3)</f>
        <v>35.872267500000014</v>
      </c>
      <c r="C20" s="1" t="str">
        <f ca="1">[1]!getformula(B20)</f>
        <v>&lt;--  =B19*(1+$B$3)</v>
      </c>
    </row>
    <row r="21" spans="1:3" x14ac:dyDescent="0.25">
      <c r="A21" s="6">
        <v>6</v>
      </c>
      <c r="B21" s="5">
        <f t="shared" ref="B21:B27" si="0">B20*(1+$B$4)</f>
        <v>38.742048900000015</v>
      </c>
      <c r="C21" s="1" t="str">
        <f ca="1">[1]!getformula(B21)</f>
        <v>&lt;--  =B20*(1+$B$4)</v>
      </c>
    </row>
    <row r="22" spans="1:3" x14ac:dyDescent="0.25">
      <c r="A22" s="6">
        <v>7</v>
      </c>
      <c r="B22" s="5">
        <f t="shared" si="0"/>
        <v>41.841412812000016</v>
      </c>
      <c r="C22" s="1" t="str">
        <f ca="1">[1]!getformula(B22)</f>
        <v>&lt;--  =B21*(1+$B$4)</v>
      </c>
    </row>
    <row r="23" spans="1:3" x14ac:dyDescent="0.25">
      <c r="A23" s="6">
        <v>8</v>
      </c>
      <c r="B23" s="5">
        <f t="shared" si="0"/>
        <v>45.188725836960018</v>
      </c>
      <c r="C23" s="1"/>
    </row>
    <row r="24" spans="1:3" x14ac:dyDescent="0.25">
      <c r="A24" s="6">
        <v>9</v>
      </c>
      <c r="B24" s="5">
        <f t="shared" si="0"/>
        <v>48.803823903916822</v>
      </c>
      <c r="C24" s="1"/>
    </row>
    <row r="25" spans="1:3" x14ac:dyDescent="0.25">
      <c r="A25" s="6">
        <v>10</v>
      </c>
      <c r="B25" s="5">
        <f t="shared" si="0"/>
        <v>52.708129816230169</v>
      </c>
      <c r="C25" s="1"/>
    </row>
    <row r="26" spans="1:3" x14ac:dyDescent="0.25">
      <c r="A26" s="6">
        <v>11</v>
      </c>
      <c r="B26" s="5">
        <f t="shared" si="0"/>
        <v>56.924780201528584</v>
      </c>
      <c r="C26" s="1"/>
    </row>
    <row r="27" spans="1:3" x14ac:dyDescent="0.25">
      <c r="A27" s="6">
        <v>12</v>
      </c>
      <c r="B27" s="5">
        <f t="shared" si="0"/>
        <v>61.478762617650872</v>
      </c>
      <c r="C27" s="1"/>
    </row>
    <row r="28" spans="1:3" x14ac:dyDescent="0.25">
      <c r="A28" s="6" t="s">
        <v>11</v>
      </c>
      <c r="B28" s="7" t="s">
        <v>11</v>
      </c>
      <c r="C28" s="1"/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2024-10-07T07:47:36Z</dcterms:modified>
</cp:coreProperties>
</file>