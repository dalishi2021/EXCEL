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FD8C07B3-7F1D-4DC7-B1F5-1F75E82DFFEA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" i="1" l="1"/>
  <c r="B21" i="1"/>
  <c r="E20" i="1"/>
  <c r="C20" i="1"/>
  <c r="B20" i="1"/>
  <c r="E18" i="1"/>
  <c r="E17" i="1"/>
  <c r="E16" i="1"/>
  <c r="E21" i="1" s="1"/>
  <c r="E15" i="1"/>
  <c r="E14" i="1"/>
  <c r="B5" i="1"/>
  <c r="B2" i="1"/>
  <c r="B4" i="1" s="1"/>
  <c r="F14" i="1"/>
  <c r="C11" i="1"/>
  <c r="C5" i="1"/>
  <c r="C4" i="1"/>
  <c r="F21" i="1"/>
  <c r="B11" i="1"/>
  <c r="F20" i="1"/>
  <c r="F15" i="1"/>
</calcChain>
</file>

<file path=xl/sharedStrings.xml><?xml version="1.0" encoding="utf-8"?>
<sst xmlns="http://schemas.openxmlformats.org/spreadsheetml/2006/main" count="21" uniqueCount="19">
  <si>
    <t>Shares outstanding</t>
  </si>
  <si>
    <t>Share price, end 2005</t>
  </si>
  <si>
    <t>Equity value, E</t>
  </si>
  <si>
    <t>End 2005 total equity payout</t>
  </si>
  <si>
    <r>
      <t>High growth rate, g</t>
    </r>
    <r>
      <rPr>
        <vertAlign val="subscript"/>
        <sz val="10"/>
        <rFont val="Arial"/>
        <family val="2"/>
      </rPr>
      <t>high</t>
    </r>
  </si>
  <si>
    <t>&lt;-- Guess</t>
  </si>
  <si>
    <t>Number of high-growth years</t>
  </si>
  <si>
    <r>
      <t>Normal growth rate, g</t>
    </r>
    <r>
      <rPr>
        <vertAlign val="subscript"/>
        <sz val="10"/>
        <rFont val="Arial"/>
        <family val="2"/>
      </rPr>
      <t>normal</t>
    </r>
  </si>
  <si>
    <r>
      <t>Cost of equity, r</t>
    </r>
    <r>
      <rPr>
        <vertAlign val="subscript"/>
        <sz val="10"/>
        <rFont val="Arial"/>
        <family val="2"/>
      </rPr>
      <t xml:space="preserve">E, </t>
    </r>
    <r>
      <rPr>
        <sz val="10"/>
        <rFont val="Arial"/>
        <family val="2"/>
      </rPr>
      <t xml:space="preserve">using the function </t>
    </r>
    <r>
      <rPr>
        <b/>
        <sz val="10"/>
        <rFont val="Arial"/>
        <family val="2"/>
      </rPr>
      <t>twostagegordon</t>
    </r>
  </si>
  <si>
    <t>Date</t>
  </si>
  <si>
    <t>Stock repurchases</t>
  </si>
  <si>
    <t>Dividends paid</t>
  </si>
  <si>
    <t>Stock issuance</t>
  </si>
  <si>
    <t>Cash flow to equity holders</t>
  </si>
  <si>
    <t>Growth rates</t>
  </si>
  <si>
    <t xml:space="preserve">                    Four year</t>
  </si>
  <si>
    <t xml:space="preserve">                    Two year</t>
  </si>
  <si>
    <t>Note:  "Stock issuance" is net proceeds from Class A common stock</t>
  </si>
  <si>
    <r>
      <t>KRAFT:  COST OF EQUITY r</t>
    </r>
    <r>
      <rPr>
        <b/>
        <vertAlign val="subscript"/>
        <sz val="18"/>
        <rFont val="Arial"/>
        <family val="2"/>
      </rPr>
      <t>E</t>
    </r>
    <r>
      <rPr>
        <b/>
        <sz val="18"/>
        <rFont val="Arial"/>
        <family val="2"/>
      </rPr>
      <t xml:space="preserve"> BASED ON CASH FLOW TO EQUITY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</si>
</sst>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6" formatCode="_(* #,##0.00_);_(* \(#,##0.00\);_(* &quot;-&quot;??_);_(@_)"/>
    <numFmt numFmtId="177" formatCode="_(* #,##0_);_(* \(#,##0\);_(* &quot;-&quot;??_);_(@_)"/>
    <numFmt numFmtId="178" formatCode="&quot;$&quot;#,##0_);[Red]\(&quot;$&quot;#,##0\)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  <charset val="177"/>
    </font>
    <font>
      <sz val="10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b/>
      <vertAlign val="subscript"/>
      <sz val="1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</cellStyleXfs>
  <cellXfs count="21">
    <xf numFmtId="0" fontId="0" fillId="0" borderId="0" xfId="0">
      <alignment vertical="center"/>
    </xf>
    <xf numFmtId="0" fontId="3" fillId="0" borderId="0" xfId="3"/>
    <xf numFmtId="3" fontId="3" fillId="0" borderId="0" xfId="3" applyNumberFormat="1"/>
    <xf numFmtId="177" fontId="2" fillId="0" borderId="0" xfId="1" applyNumberFormat="1" applyAlignment="1"/>
    <xf numFmtId="176" fontId="2" fillId="0" borderId="0" xfId="1" applyNumberFormat="1" applyAlignment="1"/>
    <xf numFmtId="10" fontId="3" fillId="0" borderId="0" xfId="3" applyNumberFormat="1"/>
    <xf numFmtId="0" fontId="2" fillId="0" borderId="0" xfId="1" applyNumberFormat="1" applyAlignment="1"/>
    <xf numFmtId="9" fontId="3" fillId="0" borderId="0" xfId="3" applyNumberFormat="1"/>
    <xf numFmtId="0" fontId="3" fillId="2" borderId="0" xfId="3" applyFill="1" applyAlignment="1">
      <alignment wrapText="1"/>
    </xf>
    <xf numFmtId="10" fontId="2" fillId="2" borderId="0" xfId="2" applyNumberFormat="1" applyFill="1" applyAlignment="1"/>
    <xf numFmtId="0" fontId="6" fillId="0" borderId="0" xfId="3" applyFont="1" applyAlignment="1">
      <alignment horizontal="center"/>
    </xf>
    <xf numFmtId="0" fontId="6" fillId="0" borderId="0" xfId="3" applyFont="1" applyAlignment="1">
      <alignment horizontal="center" vertical="center" wrapText="1"/>
    </xf>
    <xf numFmtId="0" fontId="6" fillId="0" borderId="0" xfId="3" applyFont="1" applyAlignment="1">
      <alignment vertical="center" wrapText="1"/>
    </xf>
    <xf numFmtId="38" fontId="3" fillId="0" borderId="0" xfId="3" applyNumberFormat="1"/>
    <xf numFmtId="10" fontId="3" fillId="0" borderId="0" xfId="2" applyNumberFormat="1" applyFont="1" applyAlignment="1"/>
    <xf numFmtId="0" fontId="3" fillId="0" borderId="0" xfId="3" applyAlignment="1">
      <alignment horizontal="center"/>
    </xf>
    <xf numFmtId="10" fontId="3" fillId="0" borderId="0" xfId="2" applyNumberFormat="1" applyFont="1" applyFill="1" applyAlignment="1"/>
    <xf numFmtId="178" fontId="3" fillId="0" borderId="0" xfId="3" applyNumberFormat="1"/>
    <xf numFmtId="3" fontId="3" fillId="3" borderId="0" xfId="3" applyNumberFormat="1" applyFill="1"/>
    <xf numFmtId="14" fontId="3" fillId="0" borderId="0" xfId="3" applyNumberFormat="1" applyAlignment="1">
      <alignment horizontal="center"/>
    </xf>
    <xf numFmtId="0" fontId="7" fillId="0" borderId="0" xfId="3" applyFont="1" applyAlignment="1">
      <alignment horizontal="center" vertical="center" wrapText="1"/>
    </xf>
  </cellXfs>
  <cellStyles count="4">
    <cellStyle name="Normal_Kraft" xfId="3" xr:uid="{7FE55A2F-EB6A-4972-A49A-CF13472C7688}"/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42"/>
      <sheetName val="Page 42 (中文)"/>
      <sheetName val="Page 43"/>
      <sheetName val="Page 43 (中文)"/>
      <sheetName val="Page 44"/>
      <sheetName val="Page 44 (中文)"/>
      <sheetName val="Pages 45-46"/>
      <sheetName val="Pages 45-46 (中文)"/>
      <sheetName val="Page 47"/>
      <sheetName val="Page 47 (中文)"/>
      <sheetName val="Page 49"/>
      <sheetName val="Page 49 (中文)"/>
      <sheetName val="Page 50"/>
      <sheetName val="Page 54"/>
      <sheetName val="Page 50 (中文)"/>
      <sheetName val="Page 51"/>
      <sheetName val="Page 51 (中文)"/>
      <sheetName val="Page 54 (中文)"/>
      <sheetName val="Page 56"/>
      <sheetName val="Page 56 (中文)"/>
      <sheetName val="Page 58"/>
      <sheetName val="Page 58 (中文)"/>
      <sheetName val="Page 59"/>
      <sheetName val="Page 59 (中文)"/>
      <sheetName val="Intel tax rate"/>
      <sheetName val="Page 62"/>
      <sheetName val="Page 62 (中文)"/>
      <sheetName val="Page 63"/>
      <sheetName val="Page 63 (中文)"/>
      <sheetName val="Page 64, top"/>
      <sheetName val="Page 64, top (中文)"/>
      <sheetName val="Page 64, bottom"/>
      <sheetName val="Page 64, bottom (中文)"/>
      <sheetName val="Page 65"/>
      <sheetName val="Page 65 (中文)"/>
      <sheetName val="Page 67"/>
      <sheetName val="Page 67 (中文)"/>
      <sheetName val="Page 69, top"/>
      <sheetName val="Page 69, bottom"/>
      <sheetName val="Page 69, bottom (中文)"/>
      <sheetName val="Page 71"/>
      <sheetName val="Page 71 (中文)"/>
      <sheetName val="Page 72, top"/>
      <sheetName val="Page 72, top (中文)"/>
      <sheetName val="Page 72, bottom"/>
      <sheetName val="Page 72, bottom (中文)"/>
      <sheetName val="Page 73"/>
      <sheetName val="Page 73 (中文)"/>
      <sheetName val="Page 74"/>
      <sheetName val="Page 74 (中文)"/>
      <sheetName val="Page 75"/>
      <sheetName val="Page 75 (中文)"/>
      <sheetName val="Page 76, top"/>
      <sheetName val="Page 76, top (中文)"/>
      <sheetName val="Page 76, bottom"/>
      <sheetName val="Page 76, bottom (中文)"/>
      <sheetName val="Page 77"/>
      <sheetName val="Page 77 (中文)"/>
      <sheetName val="Page 78"/>
      <sheetName val="Page 78 (中文)"/>
      <sheetName val="Page 79, top"/>
      <sheetName val="Page 79, top (中文)"/>
      <sheetName val="Page 79, bottom"/>
      <sheetName val="Page 79, bottom (中文)"/>
      <sheetName val="Page 80"/>
      <sheetName val="Page 80 (中文)"/>
      <sheetName val="Page 81"/>
      <sheetName val="Page 81 (中文)"/>
      <sheetName val="Pages 82-83"/>
      <sheetName val="Pages 82-83 (中文)"/>
      <sheetName val="Page 84"/>
      <sheetName val="Page 84 (中文)"/>
      <sheetName val="Page 85"/>
      <sheetName val="Page 85 (中文)"/>
      <sheetName val="Page 86"/>
      <sheetName val="Page 86 (中文)"/>
      <sheetName val="Page 93, top"/>
      <sheetName val="Page 93, top (中文)"/>
      <sheetName val="Page 93, middle"/>
      <sheetName val="Page 93, middle (中文)"/>
      <sheetName val="Page 93, bottom"/>
      <sheetName val="Page 93, bottom (中文)"/>
      <sheetName val="Page 94"/>
      <sheetName val="Page 94 (中文)"/>
      <sheetName val="Page 95"/>
      <sheetName val="Page 95 (中文)"/>
      <sheetName val="FRED data"/>
      <sheetName val="Kraft cash flow to equity"/>
      <sheetName val="Kraft 10K, 2005"/>
      <sheetName val="Tyson cash flow statement"/>
      <sheetName val="Tyson income statement"/>
      <sheetName val="Cascade cash flow statement"/>
      <sheetName val="Cascade 10K"/>
      <sheetName val="Cascade annual dividend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>
        <row r="169">
          <cell r="B169">
            <v>1669880755</v>
          </cell>
        </row>
      </sheetData>
      <sheetData sheetId="89"/>
      <sheetData sheetId="90"/>
      <sheetData sheetId="91"/>
      <sheetData sheetId="92"/>
      <sheetData sheetId="9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twostagegord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F26"/>
  <sheetViews>
    <sheetView tabSelected="1" workbookViewId="0">
      <selection activeCell="E21" sqref="E21"/>
    </sheetView>
  </sheetViews>
  <sheetFormatPr defaultRowHeight="13.8" x14ac:dyDescent="0.25"/>
  <cols>
    <col min="1" max="1" width="26.6640625" style="1" customWidth="1"/>
    <col min="2" max="2" width="16" style="1" customWidth="1"/>
    <col min="3" max="3" width="14.33203125" style="1" customWidth="1"/>
    <col min="4" max="5" width="16.109375" style="1" customWidth="1"/>
    <col min="6" max="6" width="20.109375" style="1" bestFit="1" customWidth="1"/>
  </cols>
  <sheetData>
    <row r="1" spans="1:6" ht="22.8" x14ac:dyDescent="0.25">
      <c r="A1" s="20" t="s">
        <v>18</v>
      </c>
      <c r="B1" s="20"/>
      <c r="C1" s="20"/>
      <c r="D1" s="20"/>
      <c r="E1" s="20"/>
      <c r="F1" s="20"/>
    </row>
    <row r="2" spans="1:6" x14ac:dyDescent="0.25">
      <c r="A2" s="1" t="s">
        <v>0</v>
      </c>
      <c r="B2" s="2">
        <f>'[1]Kraft 10K, 2005'!B169</f>
        <v>1669880755</v>
      </c>
    </row>
    <row r="3" spans="1:6" x14ac:dyDescent="0.25">
      <c r="A3" s="1" t="s">
        <v>1</v>
      </c>
      <c r="B3" s="1">
        <v>27.75</v>
      </c>
    </row>
    <row r="4" spans="1:6" x14ac:dyDescent="0.25">
      <c r="A4" s="1" t="s">
        <v>2</v>
      </c>
      <c r="B4" s="2">
        <f>B2*B3</f>
        <v>46339190951.25</v>
      </c>
      <c r="C4" s="1" t="str">
        <f ca="1">[2]!getformula(B4)</f>
        <v>&lt;--  =B2*B3</v>
      </c>
    </row>
    <row r="5" spans="1:6" x14ac:dyDescent="0.25">
      <c r="A5" s="1" t="s">
        <v>3</v>
      </c>
      <c r="B5" s="3">
        <f>E18</f>
        <v>2612000000</v>
      </c>
      <c r="C5" s="1" t="str">
        <f ca="1">[2]!getformula(B5)</f>
        <v>&lt;--  =E18</v>
      </c>
    </row>
    <row r="6" spans="1:6" x14ac:dyDescent="0.25">
      <c r="B6" s="4"/>
    </row>
    <row r="7" spans="1:6" ht="15.6" x14ac:dyDescent="0.35">
      <c r="A7" s="1" t="s">
        <v>4</v>
      </c>
      <c r="B7" s="5">
        <v>0.2</v>
      </c>
      <c r="C7" s="1" t="s">
        <v>5</v>
      </c>
    </row>
    <row r="8" spans="1:6" x14ac:dyDescent="0.25">
      <c r="A8" s="1" t="s">
        <v>6</v>
      </c>
      <c r="B8" s="6">
        <v>3</v>
      </c>
      <c r="C8" s="1" t="s">
        <v>5</v>
      </c>
    </row>
    <row r="9" spans="1:6" ht="15.6" x14ac:dyDescent="0.35">
      <c r="A9" s="1" t="s">
        <v>7</v>
      </c>
      <c r="B9" s="7">
        <v>0.06</v>
      </c>
      <c r="C9" s="1" t="s">
        <v>5</v>
      </c>
    </row>
    <row r="11" spans="1:6" ht="28.8" x14ac:dyDescent="0.25">
      <c r="A11" s="8" t="s">
        <v>8</v>
      </c>
      <c r="B11" s="9">
        <f>[2]!twostagegordon(B4,B5,B7,B8,B9)</f>
        <v>0.14458773983642459</v>
      </c>
      <c r="C11" s="1" t="str">
        <f ca="1">[2]!getformula(B11)</f>
        <v>&lt;--  =twostagegordon(B4,B5,B7,B8,B9)</v>
      </c>
    </row>
    <row r="13" spans="1:6" ht="26.4" x14ac:dyDescent="0.25">
      <c r="A13" s="10" t="s">
        <v>9</v>
      </c>
      <c r="B13" s="11" t="s">
        <v>10</v>
      </c>
      <c r="C13" s="12" t="s">
        <v>11</v>
      </c>
      <c r="D13" s="11" t="s">
        <v>12</v>
      </c>
      <c r="E13" s="11" t="s">
        <v>13</v>
      </c>
    </row>
    <row r="14" spans="1:6" x14ac:dyDescent="0.25">
      <c r="A14" s="19">
        <v>37256</v>
      </c>
      <c r="B14" s="2">
        <v>170000000</v>
      </c>
      <c r="C14" s="2">
        <v>225000000</v>
      </c>
      <c r="D14" s="13"/>
      <c r="E14" s="2">
        <f>B14+C14-D14</f>
        <v>395000000</v>
      </c>
      <c r="F14" s="1" t="str">
        <f ca="1">[2]!getformula(E14)</f>
        <v>&lt;--  =B14+C14-D14</v>
      </c>
    </row>
    <row r="15" spans="1:6" x14ac:dyDescent="0.25">
      <c r="A15" s="19">
        <v>37621</v>
      </c>
      <c r="B15" s="2">
        <v>372000000</v>
      </c>
      <c r="C15" s="2">
        <v>936000000</v>
      </c>
      <c r="D15" s="2">
        <v>8425000000</v>
      </c>
      <c r="E15" s="2">
        <f>B15+C15-D15</f>
        <v>-7117000000</v>
      </c>
      <c r="F15" s="1" t="str">
        <f ca="1">[2]!getformula(E15)</f>
        <v>&lt;--  =B15+C15-D15</v>
      </c>
    </row>
    <row r="16" spans="1:6" x14ac:dyDescent="0.25">
      <c r="A16" s="19">
        <v>37986</v>
      </c>
      <c r="B16" s="2">
        <v>372000000</v>
      </c>
      <c r="C16" s="2">
        <v>1089000000</v>
      </c>
      <c r="D16" s="13"/>
      <c r="E16" s="2">
        <f>B16+C16-D16</f>
        <v>1461000000</v>
      </c>
      <c r="F16" s="14"/>
    </row>
    <row r="17" spans="1:6" x14ac:dyDescent="0.25">
      <c r="A17" s="19">
        <v>38352</v>
      </c>
      <c r="B17" s="2">
        <v>688000000</v>
      </c>
      <c r="C17" s="2">
        <v>1280000000</v>
      </c>
      <c r="D17" s="13"/>
      <c r="E17" s="2">
        <f>B17+C17-D17</f>
        <v>1968000000</v>
      </c>
    </row>
    <row r="18" spans="1:6" x14ac:dyDescent="0.25">
      <c r="A18" s="19">
        <v>38717</v>
      </c>
      <c r="B18" s="2">
        <v>1175000000</v>
      </c>
      <c r="C18" s="2">
        <v>1437000000</v>
      </c>
      <c r="D18" s="13"/>
      <c r="E18" s="18">
        <f>B18+C18-D18</f>
        <v>2612000000</v>
      </c>
    </row>
    <row r="19" spans="1:6" x14ac:dyDescent="0.25">
      <c r="A19" s="15" t="s">
        <v>14</v>
      </c>
    </row>
    <row r="20" spans="1:6" x14ac:dyDescent="0.25">
      <c r="A20" s="1" t="s">
        <v>15</v>
      </c>
      <c r="B20" s="14">
        <f>(B18/B14)^(1/4)-1</f>
        <v>0.62142638657109717</v>
      </c>
      <c r="C20" s="14">
        <f>(C18/C14)^(1/4)-1</f>
        <v>0.58971240254434565</v>
      </c>
      <c r="D20" s="16"/>
      <c r="E20" s="16">
        <f>(E18/E14)^(1/4)-1</f>
        <v>0.60359251054414087</v>
      </c>
      <c r="F20" s="1" t="str">
        <f ca="1">[2]!getformula(E20)</f>
        <v>&lt;--  =(E18/E14)^(1/4)-1</v>
      </c>
    </row>
    <row r="21" spans="1:6" x14ac:dyDescent="0.25">
      <c r="A21" s="1" t="s">
        <v>16</v>
      </c>
      <c r="B21" s="16">
        <f>(B18/B16)^(1/2)-1</f>
        <v>0.77724566409307472</v>
      </c>
      <c r="C21" s="16">
        <f>(C18/C16)^(1/2)-1</f>
        <v>0.14872069218332507</v>
      </c>
      <c r="E21" s="16">
        <f>(E18/E16)^(1/2)-1</f>
        <v>0.33709257869351061</v>
      </c>
      <c r="F21" s="1" t="str">
        <f ca="1">[2]!getformula(E21)</f>
        <v>&lt;--  =(E18/E16)^(1/2)-1</v>
      </c>
    </row>
    <row r="26" spans="1:6" x14ac:dyDescent="0.25">
      <c r="A26" s="1" t="s">
        <v>17</v>
      </c>
      <c r="B26" s="17"/>
      <c r="C26" s="17"/>
      <c r="D26" s="17"/>
      <c r="E26" s="17"/>
    </row>
  </sheetData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2024-10-09T07:03:04Z</dcterms:modified>
</cp:coreProperties>
</file>