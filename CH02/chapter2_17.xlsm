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1194E20D-B0EB-46C3-91EA-14E8E56FE875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B15" i="1"/>
  <c r="B19" i="1" s="1"/>
  <c r="C12" i="1"/>
  <c r="B12" i="1"/>
  <c r="B13" i="1" s="1"/>
  <c r="D15" i="1"/>
  <c r="D19" i="1"/>
  <c r="D13" i="1"/>
  <c r="D12" i="1"/>
</calcChain>
</file>

<file path=xl/sharedStrings.xml><?xml version="1.0" encoding="utf-8"?>
<sst xmlns="http://schemas.openxmlformats.org/spreadsheetml/2006/main" count="14" uniqueCount="14">
  <si>
    <t>COMPUTING THE COST OF DEBT FOR KRAFT</t>
  </si>
  <si>
    <t>Short-term borrowings</t>
  </si>
  <si>
    <t>Due to Altria Group, Inc. and affiliates</t>
  </si>
  <si>
    <t>Long-term debt</t>
  </si>
  <si>
    <t>Interest and other debt expense, net</t>
  </si>
  <si>
    <t>Net debt</t>
  </si>
  <si>
    <t>Net interest cost</t>
  </si>
  <si>
    <t>Total debt</t>
  </si>
  <si>
    <t>Cash paid:</t>
  </si>
  <si>
    <t>Interest cost</t>
  </si>
  <si>
    <t>Note:  Altria debt is priced at LIBOR (from financial statements)</t>
  </si>
  <si>
    <t>Cash and cash equivalents</t>
    <phoneticPr fontId="1" type="noConversion"/>
  </si>
  <si>
    <t>Current portion of long-term debt</t>
    <phoneticPr fontId="1" type="noConversion"/>
  </si>
  <si>
    <t xml:space="preserve">    Interest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</si>
</sst>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&quot;$&quot;#,##0_);[Red]\(&quot;$&quot;#,##0\)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  <charset val="177"/>
    </font>
    <font>
      <b/>
      <sz val="2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3" fillId="0" borderId="0" xfId="2"/>
    <xf numFmtId="176" fontId="3" fillId="0" borderId="0" xfId="2" applyNumberFormat="1" applyAlignment="1">
      <alignment horizontal="center"/>
    </xf>
    <xf numFmtId="3" fontId="3" fillId="0" borderId="0" xfId="2" applyNumberFormat="1"/>
    <xf numFmtId="3" fontId="3" fillId="0" borderId="0" xfId="2" applyNumberFormat="1" applyAlignment="1">
      <alignment horizontal="center"/>
    </xf>
    <xf numFmtId="10" fontId="3" fillId="0" borderId="0" xfId="1" applyNumberFormat="1" applyFont="1" applyAlignment="1"/>
    <xf numFmtId="177" fontId="3" fillId="0" borderId="0" xfId="2" applyNumberFormat="1"/>
    <xf numFmtId="0" fontId="3" fillId="2" borderId="0" xfId="2" applyFill="1"/>
    <xf numFmtId="3" fontId="3" fillId="2" borderId="0" xfId="2" applyNumberFormat="1" applyFill="1"/>
    <xf numFmtId="10" fontId="3" fillId="2" borderId="0" xfId="1" applyNumberFormat="1" applyFont="1" applyFill="1" applyAlignment="1"/>
    <xf numFmtId="0" fontId="4" fillId="0" borderId="0" xfId="2" applyFont="1" applyAlignment="1">
      <alignment horizontal="center"/>
    </xf>
  </cellXfs>
  <cellStyles count="3">
    <cellStyle name="Normal_Kraft" xfId="2" xr:uid="{FD6E0B0E-7825-465F-BF88-190C5DEF8D61}"/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D27"/>
  <sheetViews>
    <sheetView tabSelected="1" workbookViewId="0">
      <selection activeCell="A13" sqref="A13"/>
    </sheetView>
  </sheetViews>
  <sheetFormatPr defaultRowHeight="13.8" x14ac:dyDescent="0.25"/>
  <cols>
    <col min="1" max="1" width="34.109375" style="1" customWidth="1"/>
    <col min="2" max="2" width="17" style="1" customWidth="1"/>
    <col min="3" max="3" width="16.33203125" style="1" customWidth="1"/>
    <col min="4" max="4" width="27.44140625" style="1" bestFit="1" customWidth="1"/>
  </cols>
  <sheetData>
    <row r="1" spans="1:4" ht="24.6" x14ac:dyDescent="0.4">
      <c r="A1" s="10" t="s">
        <v>0</v>
      </c>
      <c r="B1" s="10"/>
      <c r="C1" s="10"/>
      <c r="D1" s="10"/>
    </row>
    <row r="2" spans="1:4" x14ac:dyDescent="0.25">
      <c r="B2" s="2">
        <v>38717</v>
      </c>
      <c r="C2" s="2">
        <v>38352</v>
      </c>
    </row>
    <row r="3" spans="1:4" x14ac:dyDescent="0.25">
      <c r="A3" s="7" t="s">
        <v>11</v>
      </c>
      <c r="B3" s="8">
        <v>316000000</v>
      </c>
      <c r="C3" s="8">
        <v>282000000</v>
      </c>
    </row>
    <row r="4" spans="1:4" x14ac:dyDescent="0.25">
      <c r="B4" s="4"/>
      <c r="C4" s="4"/>
    </row>
    <row r="5" spans="1:4" x14ac:dyDescent="0.25">
      <c r="A5" s="1" t="s">
        <v>1</v>
      </c>
      <c r="B5" s="3">
        <v>805000000</v>
      </c>
      <c r="C5" s="3">
        <v>1818000000</v>
      </c>
    </row>
    <row r="6" spans="1:4" x14ac:dyDescent="0.25">
      <c r="A6" s="1" t="s">
        <v>12</v>
      </c>
      <c r="B6" s="3">
        <v>1268000000</v>
      </c>
      <c r="C6" s="3">
        <v>750000000</v>
      </c>
    </row>
    <row r="7" spans="1:4" x14ac:dyDescent="0.25">
      <c r="A7" s="1" t="s">
        <v>2</v>
      </c>
      <c r="B7" s="3">
        <v>652000000</v>
      </c>
      <c r="C7" s="3">
        <v>227000000</v>
      </c>
    </row>
    <row r="8" spans="1:4" x14ac:dyDescent="0.25">
      <c r="A8" s="1" t="s">
        <v>3</v>
      </c>
      <c r="B8" s="3">
        <v>8475000000</v>
      </c>
      <c r="C8" s="3">
        <v>9723000000</v>
      </c>
    </row>
    <row r="9" spans="1:4" x14ac:dyDescent="0.25">
      <c r="B9" s="3"/>
      <c r="C9" s="3"/>
    </row>
    <row r="10" spans="1:4" x14ac:dyDescent="0.25">
      <c r="A10" s="7" t="s">
        <v>4</v>
      </c>
      <c r="B10" s="8">
        <v>636000000</v>
      </c>
      <c r="C10" s="8">
        <v>666000000</v>
      </c>
    </row>
    <row r="11" spans="1:4" x14ac:dyDescent="0.25">
      <c r="B11" s="3"/>
      <c r="C11" s="3"/>
    </row>
    <row r="12" spans="1:4" x14ac:dyDescent="0.25">
      <c r="A12" s="1" t="s">
        <v>5</v>
      </c>
      <c r="B12" s="3">
        <f>SUM(B5:B8)-B3</f>
        <v>10884000000</v>
      </c>
      <c r="C12" s="3">
        <f>SUM(C5:C8)-C3</f>
        <v>12236000000</v>
      </c>
      <c r="D12" s="1" t="str">
        <f ca="1">[1]!getformula(C12)</f>
        <v>&lt;--  =SUM(C5:C8)-C3</v>
      </c>
    </row>
    <row r="13" spans="1:4" x14ac:dyDescent="0.25">
      <c r="A13" s="7" t="s">
        <v>6</v>
      </c>
      <c r="B13" s="9">
        <f>B10/AVERAGE(B12:C12)</f>
        <v>5.5017301038062287E-2</v>
      </c>
      <c r="D13" s="5" t="str">
        <f ca="1">[1]!getformula(B13)</f>
        <v>&lt;--  =B10/AVERAGE(B12:C12)</v>
      </c>
    </row>
    <row r="14" spans="1:4" x14ac:dyDescent="0.25">
      <c r="B14" s="6"/>
      <c r="C14" s="6"/>
    </row>
    <row r="15" spans="1:4" x14ac:dyDescent="0.25">
      <c r="A15" s="7" t="s">
        <v>7</v>
      </c>
      <c r="B15" s="8">
        <f>SUM(B5:B8)</f>
        <v>11200000000</v>
      </c>
      <c r="C15" s="8">
        <f>SUM(C5:C8)</f>
        <v>12518000000</v>
      </c>
      <c r="D15" s="5" t="str">
        <f ca="1">[1]!getformula(B15)</f>
        <v>&lt;--  =SUM(B5:B8)</v>
      </c>
    </row>
    <row r="16" spans="1:4" x14ac:dyDescent="0.25">
      <c r="A16" s="1" t="s">
        <v>8</v>
      </c>
      <c r="B16" s="3"/>
      <c r="C16" s="3"/>
    </row>
    <row r="17" spans="1:4" x14ac:dyDescent="0.25">
      <c r="A17" s="1" t="s">
        <v>13</v>
      </c>
      <c r="B17" s="3">
        <v>679000000</v>
      </c>
      <c r="C17" s="3">
        <v>633000000</v>
      </c>
    </row>
    <row r="19" spans="1:4" x14ac:dyDescent="0.25">
      <c r="A19" s="7" t="s">
        <v>9</v>
      </c>
      <c r="B19" s="9">
        <f>B17/AVERAGE(B15:C15)</f>
        <v>5.7256092419259635E-2</v>
      </c>
      <c r="D19" s="5" t="str">
        <f ca="1">[1]!getformula(B19)</f>
        <v>&lt;--  =B17/AVERAGE(B15:C15)</v>
      </c>
    </row>
    <row r="27" spans="1:4" x14ac:dyDescent="0.25">
      <c r="A27" s="1" t="s">
        <v>10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2024-10-09T07:34:00Z</dcterms:modified>
</cp:coreProperties>
</file>