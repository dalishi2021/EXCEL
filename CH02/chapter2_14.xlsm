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D7AF046C-4CDD-477D-9387-F5A106C48C2B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1" i="1" l="1"/>
  <c r="E241" i="1" s="1"/>
  <c r="E240" i="1"/>
  <c r="C240" i="1"/>
  <c r="C239" i="1"/>
  <c r="E239" i="1" s="1"/>
  <c r="E238" i="1"/>
  <c r="C238" i="1"/>
  <c r="E237" i="1"/>
  <c r="C237" i="1"/>
  <c r="E236" i="1"/>
  <c r="C236" i="1"/>
  <c r="C235" i="1"/>
  <c r="E235" i="1" s="1"/>
  <c r="E234" i="1"/>
  <c r="C234" i="1"/>
  <c r="C233" i="1"/>
  <c r="E233" i="1" s="1"/>
  <c r="E232" i="1"/>
  <c r="C232" i="1"/>
  <c r="C231" i="1"/>
  <c r="E231" i="1" s="1"/>
  <c r="E230" i="1"/>
  <c r="C230" i="1"/>
  <c r="E229" i="1"/>
  <c r="C229" i="1"/>
  <c r="E228" i="1"/>
  <c r="C228" i="1"/>
  <c r="C227" i="1"/>
  <c r="E227" i="1" s="1"/>
  <c r="E226" i="1"/>
  <c r="C226" i="1"/>
  <c r="C225" i="1"/>
  <c r="E225" i="1" s="1"/>
  <c r="E224" i="1"/>
  <c r="C224" i="1"/>
  <c r="C223" i="1"/>
  <c r="E223" i="1" s="1"/>
  <c r="E222" i="1"/>
  <c r="C222" i="1"/>
  <c r="E221" i="1"/>
  <c r="C221" i="1"/>
  <c r="E220" i="1"/>
  <c r="C220" i="1"/>
  <c r="C219" i="1"/>
  <c r="E219" i="1" s="1"/>
  <c r="E218" i="1"/>
  <c r="C218" i="1"/>
  <c r="C217" i="1"/>
  <c r="E217" i="1" s="1"/>
  <c r="E216" i="1"/>
  <c r="C216" i="1"/>
  <c r="C215" i="1"/>
  <c r="E215" i="1" s="1"/>
  <c r="E214" i="1"/>
  <c r="C214" i="1"/>
  <c r="E213" i="1"/>
  <c r="C213" i="1"/>
  <c r="E212" i="1"/>
  <c r="C212" i="1"/>
  <c r="C211" i="1"/>
  <c r="E211" i="1" s="1"/>
  <c r="E210" i="1"/>
  <c r="C210" i="1"/>
  <c r="C209" i="1"/>
  <c r="E209" i="1" s="1"/>
  <c r="E208" i="1"/>
  <c r="C208" i="1"/>
  <c r="C207" i="1"/>
  <c r="E207" i="1" s="1"/>
  <c r="E206" i="1"/>
  <c r="C206" i="1"/>
  <c r="E205" i="1"/>
  <c r="C205" i="1"/>
  <c r="E204" i="1"/>
  <c r="C204" i="1"/>
  <c r="C203" i="1"/>
  <c r="E203" i="1" s="1"/>
  <c r="E202" i="1"/>
  <c r="C202" i="1"/>
  <c r="C201" i="1"/>
  <c r="E201" i="1" s="1"/>
  <c r="E200" i="1"/>
  <c r="C200" i="1"/>
  <c r="C199" i="1"/>
  <c r="E199" i="1" s="1"/>
  <c r="E198" i="1"/>
  <c r="C198" i="1"/>
  <c r="E197" i="1"/>
  <c r="C197" i="1"/>
  <c r="E196" i="1"/>
  <c r="C196" i="1"/>
  <c r="C195" i="1"/>
  <c r="E195" i="1" s="1"/>
  <c r="E194" i="1"/>
  <c r="C194" i="1"/>
  <c r="C193" i="1"/>
  <c r="E193" i="1" s="1"/>
  <c r="E192" i="1"/>
  <c r="C192" i="1"/>
  <c r="C191" i="1"/>
  <c r="E191" i="1" s="1"/>
  <c r="E190" i="1"/>
  <c r="C190" i="1"/>
  <c r="E189" i="1"/>
  <c r="C189" i="1"/>
  <c r="E188" i="1"/>
  <c r="C188" i="1"/>
  <c r="C187" i="1"/>
  <c r="E187" i="1" s="1"/>
  <c r="E186" i="1"/>
  <c r="C186" i="1"/>
  <c r="C185" i="1"/>
  <c r="E185" i="1" s="1"/>
  <c r="E184" i="1"/>
  <c r="C184" i="1"/>
  <c r="C183" i="1"/>
  <c r="E183" i="1" s="1"/>
  <c r="E182" i="1"/>
  <c r="C182" i="1"/>
  <c r="E181" i="1"/>
  <c r="C181" i="1"/>
  <c r="E180" i="1"/>
  <c r="C180" i="1"/>
  <c r="C179" i="1"/>
  <c r="E179" i="1" s="1"/>
  <c r="E178" i="1"/>
  <c r="C178" i="1"/>
  <c r="C177" i="1"/>
  <c r="E177" i="1" s="1"/>
  <c r="E176" i="1"/>
  <c r="C176" i="1"/>
  <c r="C175" i="1"/>
  <c r="E175" i="1" s="1"/>
  <c r="E174" i="1"/>
  <c r="C174" i="1"/>
  <c r="E173" i="1"/>
  <c r="C173" i="1"/>
  <c r="E172" i="1"/>
  <c r="C172" i="1"/>
  <c r="C171" i="1"/>
  <c r="E171" i="1" s="1"/>
  <c r="E170" i="1"/>
  <c r="C170" i="1"/>
  <c r="C169" i="1"/>
  <c r="E169" i="1" s="1"/>
  <c r="E168" i="1"/>
  <c r="C168" i="1"/>
  <c r="C167" i="1"/>
  <c r="E167" i="1" s="1"/>
  <c r="E166" i="1"/>
  <c r="C166" i="1"/>
  <c r="E165" i="1"/>
  <c r="C165" i="1"/>
  <c r="E164" i="1"/>
  <c r="C164" i="1"/>
  <c r="C163" i="1"/>
  <c r="E163" i="1" s="1"/>
  <c r="E162" i="1"/>
  <c r="C162" i="1"/>
  <c r="C161" i="1"/>
  <c r="E161" i="1" s="1"/>
  <c r="E160" i="1"/>
  <c r="C160" i="1"/>
  <c r="C159" i="1"/>
  <c r="E159" i="1" s="1"/>
  <c r="E158" i="1"/>
  <c r="C158" i="1"/>
  <c r="E157" i="1"/>
  <c r="C157" i="1"/>
  <c r="E156" i="1"/>
  <c r="C156" i="1"/>
  <c r="C155" i="1"/>
  <c r="E155" i="1" s="1"/>
  <c r="E154" i="1"/>
  <c r="C154" i="1"/>
  <c r="C153" i="1"/>
  <c r="E153" i="1" s="1"/>
  <c r="E152" i="1"/>
  <c r="C152" i="1"/>
  <c r="C151" i="1"/>
  <c r="E151" i="1" s="1"/>
  <c r="E150" i="1"/>
  <c r="C150" i="1"/>
  <c r="E149" i="1"/>
  <c r="C149" i="1"/>
  <c r="E148" i="1"/>
  <c r="C148" i="1"/>
  <c r="C147" i="1"/>
  <c r="E147" i="1" s="1"/>
  <c r="E146" i="1"/>
  <c r="C146" i="1"/>
  <c r="C145" i="1"/>
  <c r="E145" i="1" s="1"/>
  <c r="E144" i="1"/>
  <c r="C144" i="1"/>
  <c r="C143" i="1"/>
  <c r="E143" i="1" s="1"/>
  <c r="E142" i="1"/>
  <c r="C142" i="1"/>
  <c r="E141" i="1"/>
  <c r="C141" i="1"/>
  <c r="E140" i="1"/>
  <c r="C140" i="1"/>
  <c r="C139" i="1"/>
  <c r="E139" i="1" s="1"/>
  <c r="E138" i="1"/>
  <c r="C138" i="1"/>
  <c r="C137" i="1"/>
  <c r="E137" i="1" s="1"/>
  <c r="C136" i="1"/>
  <c r="E136" i="1" s="1"/>
  <c r="C135" i="1"/>
  <c r="E135" i="1" s="1"/>
  <c r="C134" i="1"/>
  <c r="E134" i="1" s="1"/>
  <c r="E133" i="1"/>
  <c r="C133" i="1"/>
  <c r="C132" i="1"/>
  <c r="E132" i="1" s="1"/>
  <c r="C131" i="1"/>
  <c r="E131" i="1" s="1"/>
  <c r="C130" i="1"/>
  <c r="E130" i="1" s="1"/>
  <c r="C129" i="1"/>
  <c r="E129" i="1" s="1"/>
  <c r="C128" i="1"/>
  <c r="E128" i="1" s="1"/>
  <c r="C127" i="1"/>
  <c r="E127" i="1" s="1"/>
  <c r="C126" i="1"/>
  <c r="E126" i="1" s="1"/>
  <c r="C125" i="1"/>
  <c r="E125" i="1" s="1"/>
  <c r="E124" i="1"/>
  <c r="C124" i="1"/>
  <c r="C123" i="1"/>
  <c r="E123" i="1" s="1"/>
  <c r="C122" i="1"/>
  <c r="E122" i="1" s="1"/>
  <c r="C121" i="1"/>
  <c r="E121" i="1" s="1"/>
  <c r="C120" i="1"/>
  <c r="E120" i="1" s="1"/>
  <c r="C119" i="1"/>
  <c r="E119" i="1" s="1"/>
  <c r="C118" i="1"/>
  <c r="E118" i="1" s="1"/>
  <c r="E117" i="1"/>
  <c r="C117" i="1"/>
  <c r="C116" i="1"/>
  <c r="E116" i="1" s="1"/>
  <c r="C115" i="1"/>
  <c r="E115" i="1" s="1"/>
  <c r="E114" i="1"/>
  <c r="C114" i="1"/>
  <c r="C113" i="1"/>
  <c r="E113" i="1" s="1"/>
  <c r="C112" i="1"/>
  <c r="E112" i="1" s="1"/>
  <c r="C111" i="1"/>
  <c r="E111" i="1" s="1"/>
  <c r="C110" i="1"/>
  <c r="E110" i="1" s="1"/>
  <c r="E109" i="1"/>
  <c r="C109" i="1"/>
  <c r="C108" i="1"/>
  <c r="E108" i="1" s="1"/>
  <c r="C107" i="1"/>
  <c r="E107" i="1" s="1"/>
  <c r="C106" i="1"/>
  <c r="E106" i="1" s="1"/>
  <c r="C105" i="1"/>
  <c r="E105" i="1" s="1"/>
  <c r="E104" i="1"/>
  <c r="C104" i="1"/>
  <c r="C103" i="1"/>
  <c r="E103" i="1" s="1"/>
  <c r="C102" i="1"/>
  <c r="E102" i="1" s="1"/>
  <c r="C101" i="1"/>
  <c r="E101" i="1" s="1"/>
  <c r="C100" i="1"/>
  <c r="E100" i="1" s="1"/>
  <c r="C99" i="1"/>
  <c r="E99" i="1" s="1"/>
  <c r="C98" i="1"/>
  <c r="E98" i="1" s="1"/>
  <c r="C97" i="1"/>
  <c r="E97" i="1" s="1"/>
  <c r="C96" i="1"/>
  <c r="E96" i="1" s="1"/>
  <c r="C95" i="1"/>
  <c r="E95" i="1" s="1"/>
  <c r="E94" i="1"/>
  <c r="C94" i="1"/>
  <c r="C93" i="1"/>
  <c r="E93" i="1" s="1"/>
  <c r="E92" i="1"/>
  <c r="C92" i="1"/>
  <c r="C91" i="1"/>
  <c r="E91" i="1" s="1"/>
  <c r="C90" i="1"/>
  <c r="E90" i="1" s="1"/>
  <c r="C89" i="1"/>
  <c r="E89" i="1" s="1"/>
  <c r="C88" i="1"/>
  <c r="E88" i="1" s="1"/>
  <c r="C87" i="1"/>
  <c r="E87" i="1" s="1"/>
  <c r="C86" i="1"/>
  <c r="E86" i="1" s="1"/>
  <c r="C85" i="1"/>
  <c r="E85" i="1" s="1"/>
  <c r="E84" i="1"/>
  <c r="C84" i="1"/>
  <c r="C83" i="1"/>
  <c r="E83" i="1" s="1"/>
  <c r="E82" i="1"/>
  <c r="C82" i="1"/>
  <c r="C81" i="1"/>
  <c r="E81" i="1" s="1"/>
  <c r="C80" i="1"/>
  <c r="E80" i="1" s="1"/>
  <c r="C79" i="1"/>
  <c r="E79" i="1" s="1"/>
  <c r="C78" i="1"/>
  <c r="E78" i="1" s="1"/>
  <c r="C77" i="1"/>
  <c r="E77" i="1" s="1"/>
  <c r="C76" i="1"/>
  <c r="E76" i="1" s="1"/>
  <c r="C75" i="1"/>
  <c r="E75" i="1" s="1"/>
  <c r="E74" i="1"/>
  <c r="C74" i="1"/>
  <c r="C73" i="1"/>
  <c r="E73" i="1" s="1"/>
  <c r="E72" i="1"/>
  <c r="C72" i="1"/>
  <c r="C71" i="1"/>
  <c r="E71" i="1" s="1"/>
  <c r="C70" i="1"/>
  <c r="E70" i="1" s="1"/>
  <c r="E69" i="1"/>
  <c r="C69" i="1"/>
  <c r="E68" i="1"/>
  <c r="C68" i="1"/>
  <c r="C67" i="1"/>
  <c r="E67" i="1" s="1"/>
  <c r="C66" i="1"/>
  <c r="E66" i="1" s="1"/>
  <c r="C65" i="1"/>
  <c r="E65" i="1" s="1"/>
  <c r="E64" i="1"/>
  <c r="C64" i="1"/>
  <c r="C63" i="1"/>
  <c r="E63" i="1" s="1"/>
  <c r="E62" i="1"/>
  <c r="C62" i="1"/>
  <c r="C61" i="1"/>
  <c r="E61" i="1" s="1"/>
  <c r="E60" i="1"/>
  <c r="C60" i="1"/>
  <c r="C59" i="1"/>
  <c r="E59" i="1" s="1"/>
  <c r="E58" i="1"/>
  <c r="C58" i="1"/>
  <c r="C57" i="1"/>
  <c r="E57" i="1" s="1"/>
  <c r="C56" i="1"/>
  <c r="E56" i="1" s="1"/>
  <c r="C55" i="1"/>
  <c r="E55" i="1" s="1"/>
  <c r="E54" i="1"/>
  <c r="C54" i="1"/>
  <c r="C53" i="1"/>
  <c r="E53" i="1" s="1"/>
  <c r="C52" i="1"/>
  <c r="E52" i="1" s="1"/>
  <c r="C51" i="1"/>
  <c r="E51" i="1" s="1"/>
  <c r="E50" i="1"/>
  <c r="C50" i="1"/>
  <c r="C49" i="1"/>
  <c r="E49" i="1" s="1"/>
  <c r="E48" i="1"/>
  <c r="C48" i="1"/>
  <c r="C47" i="1"/>
  <c r="E47" i="1" s="1"/>
  <c r="C46" i="1"/>
  <c r="E46" i="1" s="1"/>
  <c r="E45" i="1"/>
  <c r="C45" i="1"/>
  <c r="C44" i="1"/>
  <c r="E44" i="1" s="1"/>
  <c r="C43" i="1"/>
  <c r="E43" i="1" s="1"/>
  <c r="C42" i="1"/>
  <c r="E42" i="1" s="1"/>
  <c r="C41" i="1"/>
  <c r="E41" i="1" s="1"/>
  <c r="E40" i="1"/>
  <c r="C40" i="1"/>
  <c r="C39" i="1"/>
  <c r="E39" i="1" s="1"/>
  <c r="E38" i="1"/>
  <c r="C38" i="1"/>
  <c r="C37" i="1"/>
  <c r="E37" i="1" s="1"/>
  <c r="C36" i="1"/>
  <c r="E36" i="1" s="1"/>
  <c r="C35" i="1"/>
  <c r="E35" i="1" s="1"/>
  <c r="C34" i="1"/>
  <c r="E34" i="1" s="1"/>
  <c r="C33" i="1"/>
  <c r="E33" i="1" s="1"/>
  <c r="C32" i="1"/>
  <c r="E32" i="1" s="1"/>
  <c r="C31" i="1"/>
  <c r="E31" i="1" s="1"/>
  <c r="E30" i="1"/>
  <c r="C30" i="1"/>
  <c r="C29" i="1"/>
  <c r="E29" i="1" s="1"/>
  <c r="C28" i="1"/>
  <c r="E28" i="1" s="1"/>
  <c r="C27" i="1"/>
  <c r="E27" i="1" s="1"/>
  <c r="C26" i="1"/>
  <c r="E26" i="1" s="1"/>
  <c r="C25" i="1"/>
  <c r="E25" i="1" s="1"/>
  <c r="C24" i="1"/>
  <c r="E24" i="1" s="1"/>
  <c r="C23" i="1"/>
  <c r="E23" i="1" s="1"/>
  <c r="C22" i="1"/>
  <c r="E22" i="1" s="1"/>
  <c r="C21" i="1"/>
  <c r="E21" i="1" s="1"/>
  <c r="C20" i="1"/>
  <c r="E20" i="1" s="1"/>
  <c r="C19" i="1"/>
  <c r="E19" i="1" s="1"/>
  <c r="C18" i="1"/>
  <c r="E18" i="1" s="1"/>
  <c r="C17" i="1"/>
  <c r="E17" i="1" s="1"/>
  <c r="C16" i="1"/>
  <c r="E16" i="1" s="1"/>
  <c r="C15" i="1"/>
  <c r="E15" i="1" s="1"/>
  <c r="C14" i="1"/>
  <c r="E14" i="1" s="1"/>
  <c r="E13" i="1"/>
  <c r="C13" i="1"/>
  <c r="C12" i="1"/>
  <c r="E12" i="1" s="1"/>
  <c r="C11" i="1"/>
  <c r="E11" i="1" s="1"/>
  <c r="C10" i="1"/>
  <c r="E10" i="1" s="1"/>
  <c r="F11" i="1"/>
  <c r="C3" i="1"/>
  <c r="C5" i="1"/>
  <c r="F10" i="1"/>
  <c r="C2" i="1"/>
  <c r="C6" i="1"/>
  <c r="B3" i="1" l="1"/>
  <c r="B6" i="1" s="1"/>
  <c r="B2" i="1"/>
  <c r="B5" i="1" s="1"/>
</calcChain>
</file>

<file path=xl/sharedStrings.xml><?xml version="1.0" encoding="utf-8"?>
<sst xmlns="http://schemas.openxmlformats.org/spreadsheetml/2006/main" count="10" uniqueCount="10">
  <si>
    <r>
      <t>MEASURING THE MARKET RISK PREMIUM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 - r</t>
    </r>
    <r>
      <rPr>
        <b/>
        <vertAlign val="subscript"/>
        <sz val="14"/>
        <rFont val="Arial"/>
        <family val="2"/>
      </rPr>
      <t>f</t>
    </r>
    <r>
      <rPr>
        <b/>
        <sz val="14"/>
        <rFont val="Arial"/>
        <family val="2"/>
      </rPr>
      <t xml:space="preserve"> USING HISTORICAL DATA
</t>
    </r>
    <r>
      <rPr>
        <b/>
        <sz val="12"/>
        <rFont val="Arial"/>
        <family val="2"/>
      </rPr>
      <t>Vanguard 500 Index Fund (symbol:  VFINX) minus Treasury Bills
April 1987 - August 2006
All measurements relate to monthly returns on SP500, r</t>
    </r>
    <r>
      <rPr>
        <b/>
        <vertAlign val="subscript"/>
        <sz val="12"/>
        <rFont val="Arial"/>
        <family val="2"/>
      </rPr>
      <t>Mt</t>
    </r>
    <r>
      <rPr>
        <b/>
        <sz val="12"/>
        <rFont val="Arial"/>
        <family val="2"/>
      </rPr>
      <t>, and the Treasury bill rate r</t>
    </r>
    <r>
      <rPr>
        <b/>
        <vertAlign val="subscript"/>
        <sz val="12"/>
        <rFont val="Arial"/>
        <family val="2"/>
      </rPr>
      <t>ft</t>
    </r>
  </si>
  <si>
    <t>Average monthly risk premium</t>
  </si>
  <si>
    <t>Monthly standard deviation</t>
  </si>
  <si>
    <t>Annualized risk premium</t>
  </si>
  <si>
    <t>Annualized standard deviation</t>
  </si>
  <si>
    <t>Date</t>
  </si>
  <si>
    <t>Price</t>
  </si>
  <si>
    <t>Return</t>
  </si>
  <si>
    <t>Treasury bill rate</t>
  </si>
  <si>
    <t>Market risk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</si>
</sst>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2" borderId="0" xfId="0" applyFill="1" applyAlignment="1"/>
    <xf numFmtId="10" fontId="0" fillId="2" borderId="0" xfId="0" applyNumberFormat="1" applyFill="1" applyAlignment="1"/>
    <xf numFmtId="0" fontId="0" fillId="0" borderId="0" xfId="0" applyAlignment="1"/>
    <xf numFmtId="10" fontId="2" fillId="0" borderId="0" xfId="1" applyNumberFormat="1" applyAlignment="1"/>
    <xf numFmtId="10" fontId="2" fillId="2" borderId="0" xfId="1" applyNumberFormat="1" applyFill="1" applyAlignme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2" fontId="0" fillId="0" borderId="0" xfId="0" applyNumberFormat="1" applyAlignment="1"/>
    <xf numFmtId="10" fontId="2" fillId="0" borderId="0" xfId="1" applyNumberFormat="1" applyAlignment="1">
      <alignment horizontal="right"/>
    </xf>
    <xf numFmtId="10" fontId="0" fillId="0" borderId="0" xfId="1" applyNumberFormat="1" applyFont="1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1</xdr:row>
      <xdr:rowOff>118110</xdr:rowOff>
    </xdr:from>
    <xdr:to>
      <xdr:col>6</xdr:col>
      <xdr:colOff>0</xdr:colOff>
      <xdr:row>9</xdr:row>
      <xdr:rowOff>1850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ADFCA4FF-2D45-4761-BF92-BDA1CC076E7B}"/>
            </a:ext>
          </a:extLst>
        </xdr:cNvPr>
        <xdr:cNvSpPr txBox="1">
          <a:spLocks noChangeArrowheads="1"/>
        </xdr:cNvSpPr>
      </xdr:nvSpPr>
      <xdr:spPr bwMode="auto">
        <a:xfrm>
          <a:off x="4933950" y="1053465"/>
          <a:ext cx="3095625" cy="158681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Methodological note:  I have used the St. Louis FRED data for 3-month Treasury Bills; this data is annualized, and I have divided it by 12 to get the monthly returns.  Since the data can be taken as an ex-ante return, the April 1987 rate is attributed to May 1987.</a:t>
          </a:r>
        </a:p>
        <a:p>
          <a:pPr algn="l" rtl="1">
            <a:defRPr sz="1000"/>
          </a:pPr>
          <a:endParaRPr lang="en-US" altLang="zh-CN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I've use 3-month instead of 1-month, because there are lots of data problems with the latter.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301"/>
  <sheetViews>
    <sheetView tabSelected="1" workbookViewId="0">
      <selection activeCell="B6" sqref="B6"/>
    </sheetView>
  </sheetViews>
  <sheetFormatPr defaultRowHeight="13.8" x14ac:dyDescent="0.25"/>
  <cols>
    <col min="1" max="1" width="26.5546875" style="3" customWidth="1"/>
    <col min="2" max="2" width="8.88671875" style="3"/>
    <col min="3" max="3" width="13.109375" style="3" customWidth="1"/>
    <col min="4" max="5" width="8.88671875" style="3"/>
    <col min="6" max="6" width="50.88671875" style="3" customWidth="1"/>
  </cols>
  <sheetData>
    <row r="1" spans="1:6" ht="17.399999999999999" x14ac:dyDescent="0.25">
      <c r="A1" s="15" t="s">
        <v>0</v>
      </c>
      <c r="B1" s="15"/>
      <c r="C1" s="15"/>
      <c r="D1" s="15"/>
      <c r="E1" s="15"/>
      <c r="F1" s="16"/>
    </row>
    <row r="2" spans="1:6" x14ac:dyDescent="0.25">
      <c r="A2" s="1" t="s">
        <v>1</v>
      </c>
      <c r="B2" s="2">
        <f>AVERAGE(E10:E241)</f>
        <v>4.5830072268936333E-3</v>
      </c>
      <c r="C2" s="3" t="str">
        <f ca="1">[1]!getformula(B2)</f>
        <v>&lt;--  =AVERAGE(E10:E241)</v>
      </c>
    </row>
    <row r="3" spans="1:6" x14ac:dyDescent="0.25">
      <c r="A3" s="3" t="s">
        <v>2</v>
      </c>
      <c r="B3" s="4">
        <f>STDEVP(E10:E241)</f>
        <v>4.3405575852663886E-2</v>
      </c>
      <c r="C3" s="3" t="str">
        <f ca="1">[1]!getformula(B3)</f>
        <v>&lt;--  =STDEVP(E10:E241)</v>
      </c>
    </row>
    <row r="5" spans="1:6" x14ac:dyDescent="0.25">
      <c r="A5" s="1" t="s">
        <v>3</v>
      </c>
      <c r="B5" s="5">
        <f>12*B2</f>
        <v>5.4996086722723603E-2</v>
      </c>
      <c r="C5" s="3" t="str">
        <f ca="1">[1]!getformula(B5)</f>
        <v>&lt;--  =12*B2</v>
      </c>
    </row>
    <row r="6" spans="1:6" x14ac:dyDescent="0.25">
      <c r="A6" s="3" t="s">
        <v>4</v>
      </c>
      <c r="B6" s="4">
        <f>SQRT(12)*B3</f>
        <v>0.15036132541719727</v>
      </c>
      <c r="C6" s="3" t="str">
        <f ca="1">[1]!getformula(B6)</f>
        <v>&lt;--  =SQRT(12)*B3</v>
      </c>
    </row>
    <row r="8" spans="1:6" ht="39.6" x14ac:dyDescent="0.25">
      <c r="A8" s="6" t="s">
        <v>5</v>
      </c>
      <c r="B8" s="6" t="s">
        <v>6</v>
      </c>
      <c r="C8" s="6" t="s">
        <v>7</v>
      </c>
      <c r="D8" s="7" t="s">
        <v>8</v>
      </c>
      <c r="E8" s="7" t="s">
        <v>9</v>
      </c>
    </row>
    <row r="9" spans="1:6" x14ac:dyDescent="0.25">
      <c r="A9" s="14">
        <v>31868</v>
      </c>
      <c r="B9" s="3">
        <v>17.32</v>
      </c>
      <c r="C9" s="8"/>
      <c r="D9" s="9"/>
    </row>
    <row r="10" spans="1:6" x14ac:dyDescent="0.25">
      <c r="A10" s="14">
        <v>31898</v>
      </c>
      <c r="B10" s="3">
        <v>17.489999999999998</v>
      </c>
      <c r="C10" s="10">
        <f t="shared" ref="C10:C73" si="0">LN(B10/B9)</f>
        <v>9.767385896221439E-3</v>
      </c>
      <c r="D10" s="11">
        <v>4.6999999999999993E-3</v>
      </c>
      <c r="E10" s="12">
        <f>C10-D10</f>
        <v>5.0673858962214397E-3</v>
      </c>
      <c r="F10" s="3" t="str">
        <f ca="1">[1]!getformula(E10)</f>
        <v>&lt;--  =C10-D10</v>
      </c>
    </row>
    <row r="11" spans="1:6" x14ac:dyDescent="0.25">
      <c r="A11" s="14">
        <v>31929</v>
      </c>
      <c r="B11" s="3">
        <v>18.37</v>
      </c>
      <c r="C11" s="10">
        <f t="shared" si="0"/>
        <v>4.9089610196523782E-2</v>
      </c>
      <c r="D11" s="11">
        <v>4.7166666666666668E-3</v>
      </c>
      <c r="E11" s="12">
        <f t="shared" ref="E11:E74" si="1">C11-D11</f>
        <v>4.4372943529857115E-2</v>
      </c>
      <c r="F11" s="3" t="str">
        <f ca="1">[1]!getformula(E11)</f>
        <v>&lt;--  =C11-D11</v>
      </c>
    </row>
    <row r="12" spans="1:6" x14ac:dyDescent="0.25">
      <c r="A12" s="14">
        <v>31959</v>
      </c>
      <c r="B12" s="3">
        <v>19.28</v>
      </c>
      <c r="C12" s="10">
        <f t="shared" si="0"/>
        <v>4.8349389955365189E-2</v>
      </c>
      <c r="D12" s="11">
        <v>4.725E-3</v>
      </c>
      <c r="E12" s="12">
        <f t="shared" si="1"/>
        <v>4.3624389955365189E-2</v>
      </c>
    </row>
    <row r="13" spans="1:6" x14ac:dyDescent="0.25">
      <c r="A13" s="14">
        <v>31992</v>
      </c>
      <c r="B13" s="3">
        <v>20.02</v>
      </c>
      <c r="C13" s="10">
        <f t="shared" si="0"/>
        <v>3.7663484704674836E-2</v>
      </c>
      <c r="D13" s="11">
        <v>4.7416666666666666E-3</v>
      </c>
      <c r="E13" s="12">
        <f t="shared" si="1"/>
        <v>3.2921818038008172E-2</v>
      </c>
    </row>
    <row r="14" spans="1:6" x14ac:dyDescent="0.25">
      <c r="A14" s="14">
        <v>32021</v>
      </c>
      <c r="B14" s="3">
        <v>19.559999999999999</v>
      </c>
      <c r="C14" s="10">
        <f t="shared" si="0"/>
        <v>-2.3245109280403249E-2</v>
      </c>
      <c r="D14" s="11">
        <v>5.0333333333333332E-3</v>
      </c>
      <c r="E14" s="12">
        <f t="shared" si="1"/>
        <v>-2.8278442613736583E-2</v>
      </c>
    </row>
    <row r="15" spans="1:6" x14ac:dyDescent="0.25">
      <c r="A15" s="14">
        <v>32051</v>
      </c>
      <c r="B15" s="3">
        <v>15.31</v>
      </c>
      <c r="C15" s="10">
        <f t="shared" si="0"/>
        <v>-0.24498045493707876</v>
      </c>
      <c r="D15" s="11">
        <v>5.3333333333333332E-3</v>
      </c>
      <c r="E15" s="12">
        <f t="shared" si="1"/>
        <v>-0.25031378827041212</v>
      </c>
    </row>
    <row r="16" spans="1:6" x14ac:dyDescent="0.25">
      <c r="A16" s="14">
        <v>32083</v>
      </c>
      <c r="B16" s="3">
        <v>14.06</v>
      </c>
      <c r="C16" s="10">
        <f t="shared" si="0"/>
        <v>-8.5172323287073484E-2</v>
      </c>
      <c r="D16" s="11">
        <v>5.1083333333333336E-3</v>
      </c>
      <c r="E16" s="12">
        <f t="shared" si="1"/>
        <v>-9.0280656620406824E-2</v>
      </c>
    </row>
    <row r="17" spans="1:5" x14ac:dyDescent="0.25">
      <c r="A17" s="14">
        <v>32112</v>
      </c>
      <c r="B17" s="3">
        <v>15.12</v>
      </c>
      <c r="C17" s="10">
        <f t="shared" si="0"/>
        <v>7.2684484368867916E-2</v>
      </c>
      <c r="D17" s="11">
        <v>4.7416666666666666E-3</v>
      </c>
      <c r="E17" s="12">
        <f t="shared" si="1"/>
        <v>6.7942817702201244E-2</v>
      </c>
    </row>
    <row r="18" spans="1:5" x14ac:dyDescent="0.25">
      <c r="A18" s="14">
        <v>32146</v>
      </c>
      <c r="B18" s="3">
        <v>15.75</v>
      </c>
      <c r="C18" s="10">
        <f t="shared" si="0"/>
        <v>4.08219945202552E-2</v>
      </c>
      <c r="D18" s="11">
        <v>4.8083333333333329E-3</v>
      </c>
      <c r="E18" s="12">
        <f t="shared" si="1"/>
        <v>3.6013661186921869E-2</v>
      </c>
    </row>
    <row r="19" spans="1:5" x14ac:dyDescent="0.25">
      <c r="A19" s="14">
        <v>32174</v>
      </c>
      <c r="B19" s="3">
        <v>16.48</v>
      </c>
      <c r="C19" s="10">
        <f t="shared" si="0"/>
        <v>4.5307159209683583E-2</v>
      </c>
      <c r="D19" s="11">
        <v>4.841666666666666E-3</v>
      </c>
      <c r="E19" s="12">
        <f t="shared" si="1"/>
        <v>4.0465492543016915E-2</v>
      </c>
    </row>
    <row r="20" spans="1:5" x14ac:dyDescent="0.25">
      <c r="A20" s="14">
        <v>32203</v>
      </c>
      <c r="B20" s="3">
        <v>15.98</v>
      </c>
      <c r="C20" s="10">
        <f t="shared" si="0"/>
        <v>-3.0809584143197077E-2</v>
      </c>
      <c r="D20" s="11">
        <v>4.7166666666666668E-3</v>
      </c>
      <c r="E20" s="12">
        <f t="shared" si="1"/>
        <v>-3.5526250809863741E-2</v>
      </c>
    </row>
    <row r="21" spans="1:5" x14ac:dyDescent="0.25">
      <c r="A21" s="14">
        <v>32237</v>
      </c>
      <c r="B21" s="3">
        <v>16.14</v>
      </c>
      <c r="C21" s="10">
        <f t="shared" si="0"/>
        <v>9.962722503674068E-3</v>
      </c>
      <c r="D21" s="11">
        <v>4.7500000000000007E-3</v>
      </c>
      <c r="E21" s="12">
        <f t="shared" si="1"/>
        <v>5.2127225036740672E-3</v>
      </c>
    </row>
    <row r="22" spans="1:5" x14ac:dyDescent="0.25">
      <c r="A22" s="14">
        <v>32265</v>
      </c>
      <c r="B22" s="3">
        <v>16.27</v>
      </c>
      <c r="C22" s="10">
        <f t="shared" si="0"/>
        <v>8.0222583891436262E-3</v>
      </c>
      <c r="D22" s="11">
        <v>4.9249999999999997E-3</v>
      </c>
      <c r="E22" s="12">
        <f t="shared" si="1"/>
        <v>3.0972583891436265E-3</v>
      </c>
    </row>
    <row r="23" spans="1:5" x14ac:dyDescent="0.25">
      <c r="A23" s="14">
        <v>32295</v>
      </c>
      <c r="B23" s="3">
        <v>17.010000000000002</v>
      </c>
      <c r="C23" s="10">
        <f t="shared" si="0"/>
        <v>4.4478485176824144E-2</v>
      </c>
      <c r="D23" s="11">
        <v>5.2166666666666663E-3</v>
      </c>
      <c r="E23" s="12">
        <f t="shared" si="1"/>
        <v>3.9261818510157476E-2</v>
      </c>
    </row>
    <row r="24" spans="1:5" x14ac:dyDescent="0.25">
      <c r="A24" s="14">
        <v>32325</v>
      </c>
      <c r="B24" s="3">
        <v>16.95</v>
      </c>
      <c r="C24" s="10">
        <f t="shared" si="0"/>
        <v>-3.5335725813112387E-3</v>
      </c>
      <c r="D24" s="11">
        <v>5.3833333333333337E-3</v>
      </c>
      <c r="E24" s="12">
        <f t="shared" si="1"/>
        <v>-8.9169059146445729E-3</v>
      </c>
    </row>
    <row r="25" spans="1:5" x14ac:dyDescent="0.25">
      <c r="A25" s="14">
        <v>32356</v>
      </c>
      <c r="B25" s="3">
        <v>16.37</v>
      </c>
      <c r="C25" s="10">
        <f t="shared" si="0"/>
        <v>-3.4817442443415586E-2</v>
      </c>
      <c r="D25" s="11">
        <v>5.6083333333333341E-3</v>
      </c>
      <c r="E25" s="12">
        <f t="shared" si="1"/>
        <v>-4.0425775776748919E-2</v>
      </c>
    </row>
    <row r="26" spans="1:5" x14ac:dyDescent="0.25">
      <c r="A26" s="14">
        <v>32387</v>
      </c>
      <c r="B26" s="3">
        <v>17.07</v>
      </c>
      <c r="C26" s="10">
        <f t="shared" si="0"/>
        <v>4.1872145423305564E-2</v>
      </c>
      <c r="D26" s="11">
        <v>5.8833333333333324E-3</v>
      </c>
      <c r="E26" s="12">
        <f t="shared" si="1"/>
        <v>3.5988812089972233E-2</v>
      </c>
    </row>
    <row r="27" spans="1:5" x14ac:dyDescent="0.25">
      <c r="A27" s="14">
        <v>32419</v>
      </c>
      <c r="B27" s="3">
        <v>17.54</v>
      </c>
      <c r="C27" s="10">
        <f t="shared" si="0"/>
        <v>2.7161450137687653E-2</v>
      </c>
      <c r="D27" s="11">
        <v>6.0333333333333341E-3</v>
      </c>
      <c r="E27" s="12">
        <f t="shared" si="1"/>
        <v>2.1128116804354318E-2</v>
      </c>
    </row>
    <row r="28" spans="1:5" x14ac:dyDescent="0.25">
      <c r="A28" s="14">
        <v>32448</v>
      </c>
      <c r="B28" s="3">
        <v>17.28</v>
      </c>
      <c r="C28" s="10">
        <f t="shared" si="0"/>
        <v>-1.4934223568127274E-2</v>
      </c>
      <c r="D28" s="11">
        <v>6.1249999999999994E-3</v>
      </c>
      <c r="E28" s="12">
        <f t="shared" si="1"/>
        <v>-2.1059223568127273E-2</v>
      </c>
    </row>
    <row r="29" spans="1:5" x14ac:dyDescent="0.25">
      <c r="A29" s="14">
        <v>32478</v>
      </c>
      <c r="B29" s="3">
        <v>17.579999999999998</v>
      </c>
      <c r="C29" s="10">
        <f t="shared" si="0"/>
        <v>1.7212128881121207E-2</v>
      </c>
      <c r="D29" s="11">
        <v>6.4666666666666657E-3</v>
      </c>
      <c r="E29" s="12">
        <f t="shared" si="1"/>
        <v>1.0745462214454542E-2</v>
      </c>
    </row>
    <row r="30" spans="1:5" x14ac:dyDescent="0.25">
      <c r="A30" s="14">
        <v>32511</v>
      </c>
      <c r="B30" s="3">
        <v>18.87</v>
      </c>
      <c r="C30" s="10">
        <f t="shared" si="0"/>
        <v>7.0811467123427993E-2</v>
      </c>
      <c r="D30" s="11">
        <v>6.7250000000000001E-3</v>
      </c>
      <c r="E30" s="12">
        <f t="shared" si="1"/>
        <v>6.4086467123427998E-2</v>
      </c>
    </row>
    <row r="31" spans="1:5" x14ac:dyDescent="0.25">
      <c r="A31" s="14">
        <v>32540</v>
      </c>
      <c r="B31" s="3">
        <v>18.399999999999999</v>
      </c>
      <c r="C31" s="10">
        <f t="shared" si="0"/>
        <v>-2.5222694765519079E-2</v>
      </c>
      <c r="D31" s="11">
        <v>6.8916666666666657E-3</v>
      </c>
      <c r="E31" s="12">
        <f t="shared" si="1"/>
        <v>-3.2114361432185747E-2</v>
      </c>
    </row>
    <row r="32" spans="1:5" x14ac:dyDescent="0.25">
      <c r="A32" s="14">
        <v>32568</v>
      </c>
      <c r="B32" s="3">
        <v>18.82</v>
      </c>
      <c r="C32" s="10">
        <f t="shared" si="0"/>
        <v>2.2569469542293673E-2</v>
      </c>
      <c r="D32" s="11">
        <v>7.1083333333333328E-3</v>
      </c>
      <c r="E32" s="12">
        <f t="shared" si="1"/>
        <v>1.5461136208960341E-2</v>
      </c>
    </row>
    <row r="33" spans="1:5" x14ac:dyDescent="0.25">
      <c r="A33" s="14">
        <v>32601</v>
      </c>
      <c r="B33" s="3">
        <v>19.8</v>
      </c>
      <c r="C33" s="10">
        <f t="shared" si="0"/>
        <v>5.0761803543255983E-2</v>
      </c>
      <c r="D33" s="11">
        <v>7.3499999999999998E-3</v>
      </c>
      <c r="E33" s="12">
        <f t="shared" si="1"/>
        <v>4.3411803543255981E-2</v>
      </c>
    </row>
    <row r="34" spans="1:5" x14ac:dyDescent="0.25">
      <c r="A34" s="14">
        <v>32629</v>
      </c>
      <c r="B34" s="3">
        <v>20.6</v>
      </c>
      <c r="C34" s="10">
        <f t="shared" si="0"/>
        <v>3.9609138095045883E-2</v>
      </c>
      <c r="D34" s="11">
        <v>7.2083333333333331E-3</v>
      </c>
      <c r="E34" s="12">
        <f t="shared" si="1"/>
        <v>3.2400804761712552E-2</v>
      </c>
    </row>
    <row r="35" spans="1:5" x14ac:dyDescent="0.25">
      <c r="A35" s="14">
        <v>32660</v>
      </c>
      <c r="B35" s="3">
        <v>20.47</v>
      </c>
      <c r="C35" s="10">
        <f t="shared" si="0"/>
        <v>-6.3306761223374114E-3</v>
      </c>
      <c r="D35" s="11">
        <v>7.025E-3</v>
      </c>
      <c r="E35" s="12">
        <f t="shared" si="1"/>
        <v>-1.3355676122337411E-2</v>
      </c>
    </row>
    <row r="36" spans="1:5" x14ac:dyDescent="0.25">
      <c r="A36" s="14">
        <v>32692</v>
      </c>
      <c r="B36" s="3">
        <v>22.32</v>
      </c>
      <c r="C36" s="10">
        <f t="shared" si="0"/>
        <v>8.6522737839912003E-2</v>
      </c>
      <c r="D36" s="11">
        <v>6.7916666666666672E-3</v>
      </c>
      <c r="E36" s="12">
        <f t="shared" si="1"/>
        <v>7.9731071173245335E-2</v>
      </c>
    </row>
    <row r="37" spans="1:5" x14ac:dyDescent="0.25">
      <c r="A37" s="14">
        <v>32721</v>
      </c>
      <c r="B37" s="3">
        <v>22.73</v>
      </c>
      <c r="C37" s="10">
        <f t="shared" si="0"/>
        <v>1.8202500351341667E-2</v>
      </c>
      <c r="D37" s="11">
        <v>6.566666666666666E-3</v>
      </c>
      <c r="E37" s="12">
        <f t="shared" si="1"/>
        <v>1.1635833684675002E-2</v>
      </c>
    </row>
    <row r="38" spans="1:5" x14ac:dyDescent="0.25">
      <c r="A38" s="14">
        <v>32752</v>
      </c>
      <c r="B38" s="3">
        <v>22.64</v>
      </c>
      <c r="C38" s="10">
        <f t="shared" si="0"/>
        <v>-3.9673845294696105E-3</v>
      </c>
      <c r="D38" s="11">
        <v>6.5833333333333334E-3</v>
      </c>
      <c r="E38" s="12">
        <f t="shared" si="1"/>
        <v>-1.0550717862802945E-2</v>
      </c>
    </row>
    <row r="39" spans="1:5" x14ac:dyDescent="0.25">
      <c r="A39" s="14">
        <v>32783</v>
      </c>
      <c r="B39" s="3">
        <v>22.11</v>
      </c>
      <c r="C39" s="10">
        <f t="shared" si="0"/>
        <v>-2.3688258465627315E-2</v>
      </c>
      <c r="D39" s="11">
        <v>6.4583333333333333E-3</v>
      </c>
      <c r="E39" s="12">
        <f t="shared" si="1"/>
        <v>-3.0146591798960648E-2</v>
      </c>
    </row>
    <row r="40" spans="1:5" x14ac:dyDescent="0.25">
      <c r="A40" s="14">
        <v>32813</v>
      </c>
      <c r="B40" s="3">
        <v>22.56</v>
      </c>
      <c r="C40" s="10">
        <f t="shared" si="0"/>
        <v>2.0148431760503238E-2</v>
      </c>
      <c r="D40" s="11">
        <v>6.3666666666666663E-3</v>
      </c>
      <c r="E40" s="12">
        <f t="shared" si="1"/>
        <v>1.3781765093836572E-2</v>
      </c>
    </row>
    <row r="41" spans="1:5" x14ac:dyDescent="0.25">
      <c r="A41" s="14">
        <v>32843</v>
      </c>
      <c r="B41" s="3">
        <v>23.1</v>
      </c>
      <c r="C41" s="10">
        <f t="shared" si="0"/>
        <v>2.365419089788981E-2</v>
      </c>
      <c r="D41" s="11">
        <v>6.4083333333333336E-3</v>
      </c>
      <c r="E41" s="12">
        <f t="shared" si="1"/>
        <v>1.7245857564556474E-2</v>
      </c>
    </row>
    <row r="42" spans="1:5" x14ac:dyDescent="0.25">
      <c r="A42" s="14">
        <v>32875</v>
      </c>
      <c r="B42" s="3">
        <v>21.55</v>
      </c>
      <c r="C42" s="10">
        <f t="shared" si="0"/>
        <v>-6.9456800977991062E-2</v>
      </c>
      <c r="D42" s="11">
        <v>6.3583333333333339E-3</v>
      </c>
      <c r="E42" s="12">
        <f t="shared" si="1"/>
        <v>-7.5815134311324389E-2</v>
      </c>
    </row>
    <row r="43" spans="1:5" x14ac:dyDescent="0.25">
      <c r="A43" s="14">
        <v>32905</v>
      </c>
      <c r="B43" s="3">
        <v>21.83</v>
      </c>
      <c r="C43" s="10">
        <f t="shared" si="0"/>
        <v>1.2909354012095722E-2</v>
      </c>
      <c r="D43" s="11">
        <v>6.3666666666666663E-3</v>
      </c>
      <c r="E43" s="12">
        <f t="shared" si="1"/>
        <v>6.5426873454290553E-3</v>
      </c>
    </row>
    <row r="44" spans="1:5" x14ac:dyDescent="0.25">
      <c r="A44" s="14">
        <v>32933</v>
      </c>
      <c r="B44" s="3">
        <v>22.4</v>
      </c>
      <c r="C44" s="10">
        <f t="shared" si="0"/>
        <v>2.5775788299141549E-2</v>
      </c>
      <c r="D44" s="11">
        <v>6.45E-3</v>
      </c>
      <c r="E44" s="12">
        <f t="shared" si="1"/>
        <v>1.9325788299141548E-2</v>
      </c>
    </row>
    <row r="45" spans="1:5" x14ac:dyDescent="0.25">
      <c r="A45" s="14">
        <v>32965</v>
      </c>
      <c r="B45" s="3">
        <v>21.84</v>
      </c>
      <c r="C45" s="10">
        <f t="shared" si="0"/>
        <v>-2.5317807984289783E-2</v>
      </c>
      <c r="D45" s="11">
        <v>6.5833333333333334E-3</v>
      </c>
      <c r="E45" s="12">
        <f t="shared" si="1"/>
        <v>-3.1901141317623116E-2</v>
      </c>
    </row>
    <row r="46" spans="1:5" x14ac:dyDescent="0.25">
      <c r="A46" s="14">
        <v>32994</v>
      </c>
      <c r="B46" s="3">
        <v>23.95</v>
      </c>
      <c r="C46" s="10">
        <f t="shared" si="0"/>
        <v>9.2225172980219844E-2</v>
      </c>
      <c r="D46" s="11">
        <v>6.4749999999999999E-3</v>
      </c>
      <c r="E46" s="12">
        <f t="shared" si="1"/>
        <v>8.5750172980219849E-2</v>
      </c>
    </row>
    <row r="47" spans="1:5" x14ac:dyDescent="0.25">
      <c r="A47" s="14">
        <v>33025</v>
      </c>
      <c r="B47" s="3">
        <v>23.79</v>
      </c>
      <c r="C47" s="10">
        <f t="shared" si="0"/>
        <v>-6.7029995420579917E-3</v>
      </c>
      <c r="D47" s="11">
        <v>6.45E-3</v>
      </c>
      <c r="E47" s="12">
        <f t="shared" si="1"/>
        <v>-1.3152999542057991E-2</v>
      </c>
    </row>
    <row r="48" spans="1:5" x14ac:dyDescent="0.25">
      <c r="A48" s="14">
        <v>33056</v>
      </c>
      <c r="B48" s="3">
        <v>23.71</v>
      </c>
      <c r="C48" s="10">
        <f t="shared" si="0"/>
        <v>-3.3684242375521057E-3</v>
      </c>
      <c r="D48" s="11">
        <v>6.4416666666666667E-3</v>
      </c>
      <c r="E48" s="12">
        <f t="shared" si="1"/>
        <v>-9.8100909042187733E-3</v>
      </c>
    </row>
    <row r="49" spans="1:5" x14ac:dyDescent="0.25">
      <c r="A49" s="14">
        <v>33086</v>
      </c>
      <c r="B49" s="3">
        <v>21.57</v>
      </c>
      <c r="C49" s="10">
        <f t="shared" si="0"/>
        <v>-9.4593439676249058E-2</v>
      </c>
      <c r="D49" s="11">
        <v>6.3499999999999997E-3</v>
      </c>
      <c r="E49" s="12">
        <f t="shared" si="1"/>
        <v>-0.10094343967624905</v>
      </c>
    </row>
    <row r="50" spans="1:5" x14ac:dyDescent="0.25">
      <c r="A50" s="14">
        <v>33120</v>
      </c>
      <c r="B50" s="3">
        <v>20.51</v>
      </c>
      <c r="C50" s="10">
        <f t="shared" si="0"/>
        <v>-5.0390888316775712E-2</v>
      </c>
      <c r="D50" s="11">
        <v>6.2083333333333331E-3</v>
      </c>
      <c r="E50" s="12">
        <f t="shared" si="1"/>
        <v>-5.6599221650109041E-2</v>
      </c>
    </row>
    <row r="51" spans="1:5" x14ac:dyDescent="0.25">
      <c r="A51" s="14">
        <v>33147</v>
      </c>
      <c r="B51" s="3">
        <v>20.43</v>
      </c>
      <c r="C51" s="10">
        <f t="shared" si="0"/>
        <v>-3.9081632547586908E-3</v>
      </c>
      <c r="D51" s="11">
        <v>6.1333333333333344E-3</v>
      </c>
      <c r="E51" s="12">
        <f t="shared" si="1"/>
        <v>-1.0041496588092025E-2</v>
      </c>
    </row>
    <row r="52" spans="1:5" x14ac:dyDescent="0.25">
      <c r="A52" s="14">
        <v>33178</v>
      </c>
      <c r="B52" s="3">
        <v>21.74</v>
      </c>
      <c r="C52" s="10">
        <f t="shared" si="0"/>
        <v>6.2149472863532604E-2</v>
      </c>
      <c r="D52" s="11">
        <v>5.9750000000000003E-3</v>
      </c>
      <c r="E52" s="12">
        <f t="shared" si="1"/>
        <v>5.6174472863532603E-2</v>
      </c>
    </row>
    <row r="53" spans="1:5" x14ac:dyDescent="0.25">
      <c r="A53" s="14">
        <v>33210</v>
      </c>
      <c r="B53" s="3">
        <v>22.33</v>
      </c>
      <c r="C53" s="10">
        <f t="shared" si="0"/>
        <v>2.6777184159003063E-2</v>
      </c>
      <c r="D53" s="11">
        <v>5.8833333333333324E-3</v>
      </c>
      <c r="E53" s="12">
        <f t="shared" si="1"/>
        <v>2.0893850825669733E-2</v>
      </c>
    </row>
    <row r="54" spans="1:5" x14ac:dyDescent="0.25">
      <c r="A54" s="14">
        <v>33240</v>
      </c>
      <c r="B54" s="3">
        <v>23.3</v>
      </c>
      <c r="C54" s="10">
        <f t="shared" si="0"/>
        <v>4.2522294719588544E-2</v>
      </c>
      <c r="D54" s="11">
        <v>5.6166666666666665E-3</v>
      </c>
      <c r="E54" s="12">
        <f t="shared" si="1"/>
        <v>3.6905628052921878E-2</v>
      </c>
    </row>
    <row r="55" spans="1:5" x14ac:dyDescent="0.25">
      <c r="A55" s="14">
        <v>33270</v>
      </c>
      <c r="B55" s="3">
        <v>24.96</v>
      </c>
      <c r="C55" s="10">
        <f t="shared" si="0"/>
        <v>6.8821182929572053E-2</v>
      </c>
      <c r="D55" s="11">
        <v>5.1833333333333332E-3</v>
      </c>
      <c r="E55" s="12">
        <f t="shared" si="1"/>
        <v>6.3637849596238721E-2</v>
      </c>
    </row>
    <row r="56" spans="1:5" x14ac:dyDescent="0.25">
      <c r="A56" s="14">
        <v>33298</v>
      </c>
      <c r="B56" s="3">
        <v>25.56</v>
      </c>
      <c r="C56" s="10">
        <f t="shared" si="0"/>
        <v>2.3754086008107057E-2</v>
      </c>
      <c r="D56" s="11">
        <v>4.9500000000000004E-3</v>
      </c>
      <c r="E56" s="12">
        <f t="shared" si="1"/>
        <v>1.8804086008107058E-2</v>
      </c>
    </row>
    <row r="57" spans="1:5" x14ac:dyDescent="0.25">
      <c r="A57" s="14">
        <v>33329</v>
      </c>
      <c r="B57" s="3">
        <v>25.61</v>
      </c>
      <c r="C57" s="10">
        <f t="shared" si="0"/>
        <v>1.9542707020999035E-3</v>
      </c>
      <c r="D57" s="11">
        <v>4.9249999999999997E-3</v>
      </c>
      <c r="E57" s="12">
        <f t="shared" si="1"/>
        <v>-2.9707292979000962E-3</v>
      </c>
    </row>
    <row r="58" spans="1:5" x14ac:dyDescent="0.25">
      <c r="A58" s="14">
        <v>33359</v>
      </c>
      <c r="B58" s="3">
        <v>26.7</v>
      </c>
      <c r="C58" s="10">
        <f t="shared" si="0"/>
        <v>4.1680665194770004E-2</v>
      </c>
      <c r="D58" s="11">
        <v>4.7083333333333335E-3</v>
      </c>
      <c r="E58" s="12">
        <f t="shared" si="1"/>
        <v>3.6972331861436669E-2</v>
      </c>
    </row>
    <row r="59" spans="1:5" x14ac:dyDescent="0.25">
      <c r="A59" s="14">
        <v>33392</v>
      </c>
      <c r="B59" s="3">
        <v>25.49</v>
      </c>
      <c r="C59" s="10">
        <f t="shared" si="0"/>
        <v>-4.6377347018179867E-2</v>
      </c>
      <c r="D59" s="11">
        <v>4.5500000000000002E-3</v>
      </c>
      <c r="E59" s="12">
        <f t="shared" si="1"/>
        <v>-5.0927347018179865E-2</v>
      </c>
    </row>
    <row r="60" spans="1:5" x14ac:dyDescent="0.25">
      <c r="A60" s="14">
        <v>33420</v>
      </c>
      <c r="B60" s="3">
        <v>26.67</v>
      </c>
      <c r="C60" s="10">
        <f t="shared" si="0"/>
        <v>4.5253119805898995E-2</v>
      </c>
      <c r="D60" s="11">
        <v>4.6416666666666663E-3</v>
      </c>
      <c r="E60" s="12">
        <f t="shared" si="1"/>
        <v>4.0611453139232326E-2</v>
      </c>
    </row>
    <row r="61" spans="1:5" x14ac:dyDescent="0.25">
      <c r="A61" s="14">
        <v>33451</v>
      </c>
      <c r="B61" s="3">
        <v>27.29</v>
      </c>
      <c r="C61" s="10">
        <f t="shared" si="0"/>
        <v>2.2980996526324026E-2</v>
      </c>
      <c r="D61" s="11">
        <v>4.6500000000000005E-3</v>
      </c>
      <c r="E61" s="12">
        <f t="shared" si="1"/>
        <v>1.8330996526324025E-2</v>
      </c>
    </row>
    <row r="62" spans="1:5" x14ac:dyDescent="0.25">
      <c r="A62" s="14">
        <v>33484</v>
      </c>
      <c r="B62" s="3">
        <v>26.83</v>
      </c>
      <c r="C62" s="10">
        <f t="shared" si="0"/>
        <v>-1.6999670282714326E-2</v>
      </c>
      <c r="D62" s="11">
        <v>4.4416666666666667E-3</v>
      </c>
      <c r="E62" s="12">
        <f t="shared" si="1"/>
        <v>-2.1441336949380992E-2</v>
      </c>
    </row>
    <row r="63" spans="1:5" x14ac:dyDescent="0.25">
      <c r="A63" s="14">
        <v>33512</v>
      </c>
      <c r="B63" s="3">
        <v>27.19</v>
      </c>
      <c r="C63" s="10">
        <f t="shared" si="0"/>
        <v>1.3328594206846713E-2</v>
      </c>
      <c r="D63" s="11">
        <v>4.3499999999999997E-3</v>
      </c>
      <c r="E63" s="12">
        <f t="shared" si="1"/>
        <v>8.9785942068467128E-3</v>
      </c>
    </row>
    <row r="64" spans="1:5" x14ac:dyDescent="0.25">
      <c r="A64" s="14">
        <v>33543</v>
      </c>
      <c r="B64" s="3">
        <v>26.1</v>
      </c>
      <c r="C64" s="10">
        <f t="shared" si="0"/>
        <v>-4.0913944315731629E-2</v>
      </c>
      <c r="D64" s="11">
        <v>4.1583333333333333E-3</v>
      </c>
      <c r="E64" s="12">
        <f t="shared" si="1"/>
        <v>-4.5072277649064962E-2</v>
      </c>
    </row>
    <row r="65" spans="1:5" x14ac:dyDescent="0.25">
      <c r="A65" s="14">
        <v>33574</v>
      </c>
      <c r="B65" s="3">
        <v>29.07</v>
      </c>
      <c r="C65" s="10">
        <f t="shared" si="0"/>
        <v>0.10777140024213673</v>
      </c>
      <c r="D65" s="11">
        <v>3.7999999999999996E-3</v>
      </c>
      <c r="E65" s="12">
        <f t="shared" si="1"/>
        <v>0.10397140024213673</v>
      </c>
    </row>
    <row r="66" spans="1:5" x14ac:dyDescent="0.25">
      <c r="A66" s="14">
        <v>33605</v>
      </c>
      <c r="B66" s="3">
        <v>28.53</v>
      </c>
      <c r="C66" s="10">
        <f t="shared" si="0"/>
        <v>-1.8750549345375917E-2</v>
      </c>
      <c r="D66" s="11">
        <v>3.3916666666666665E-3</v>
      </c>
      <c r="E66" s="12">
        <f t="shared" si="1"/>
        <v>-2.2142216012042585E-2</v>
      </c>
    </row>
    <row r="67" spans="1:5" x14ac:dyDescent="0.25">
      <c r="A67" s="14">
        <v>33637</v>
      </c>
      <c r="B67" s="3">
        <v>28.89</v>
      </c>
      <c r="C67" s="10">
        <f t="shared" si="0"/>
        <v>1.2539349252735173E-2</v>
      </c>
      <c r="D67" s="11">
        <v>3.1666666666666666E-3</v>
      </c>
      <c r="E67" s="12">
        <f t="shared" si="1"/>
        <v>9.3726825860685065E-3</v>
      </c>
    </row>
    <row r="68" spans="1:5" x14ac:dyDescent="0.25">
      <c r="A68" s="14">
        <v>33665</v>
      </c>
      <c r="B68" s="3">
        <v>28.33</v>
      </c>
      <c r="C68" s="10">
        <f t="shared" si="0"/>
        <v>-1.9574200635718825E-2</v>
      </c>
      <c r="D68" s="11">
        <v>3.2000000000000002E-3</v>
      </c>
      <c r="E68" s="12">
        <f t="shared" si="1"/>
        <v>-2.2774200635718826E-2</v>
      </c>
    </row>
    <row r="69" spans="1:5" x14ac:dyDescent="0.25">
      <c r="A69" s="14">
        <v>33695</v>
      </c>
      <c r="B69" s="3">
        <v>29.16</v>
      </c>
      <c r="C69" s="10">
        <f t="shared" si="0"/>
        <v>2.8876593298032372E-2</v>
      </c>
      <c r="D69" s="11">
        <v>3.3666666666666667E-3</v>
      </c>
      <c r="E69" s="12">
        <f t="shared" si="1"/>
        <v>2.5509926631365705E-2</v>
      </c>
    </row>
    <row r="70" spans="1:5" x14ac:dyDescent="0.25">
      <c r="A70" s="14">
        <v>33725</v>
      </c>
      <c r="B70" s="3">
        <v>29.3</v>
      </c>
      <c r="C70" s="10">
        <f t="shared" si="0"/>
        <v>4.7896088825642932E-3</v>
      </c>
      <c r="D70" s="11">
        <v>3.1250000000000002E-3</v>
      </c>
      <c r="E70" s="12">
        <f t="shared" si="1"/>
        <v>1.6646088825642931E-3</v>
      </c>
    </row>
    <row r="71" spans="1:5" x14ac:dyDescent="0.25">
      <c r="A71" s="14">
        <v>33756</v>
      </c>
      <c r="B71" s="3">
        <v>28.86</v>
      </c>
      <c r="C71" s="10">
        <f t="shared" si="0"/>
        <v>-1.5130962677296833E-2</v>
      </c>
      <c r="D71" s="11">
        <v>3.0249999999999999E-3</v>
      </c>
      <c r="E71" s="12">
        <f t="shared" si="1"/>
        <v>-1.8155962677296834E-2</v>
      </c>
    </row>
    <row r="72" spans="1:5" x14ac:dyDescent="0.25">
      <c r="A72" s="14">
        <v>33786</v>
      </c>
      <c r="B72" s="3">
        <v>30.03</v>
      </c>
      <c r="C72" s="10">
        <f t="shared" si="0"/>
        <v>3.9740328649514121E-2</v>
      </c>
      <c r="D72" s="11">
        <v>3.0499999999999998E-3</v>
      </c>
      <c r="E72" s="12">
        <f t="shared" si="1"/>
        <v>3.6690328649514124E-2</v>
      </c>
    </row>
    <row r="73" spans="1:5" x14ac:dyDescent="0.25">
      <c r="A73" s="14">
        <v>33819</v>
      </c>
      <c r="B73" s="3">
        <v>29.41</v>
      </c>
      <c r="C73" s="10">
        <f t="shared" si="0"/>
        <v>-2.0862129429335328E-2</v>
      </c>
      <c r="D73" s="11">
        <v>2.6750000000000003E-3</v>
      </c>
      <c r="E73" s="12">
        <f t="shared" si="1"/>
        <v>-2.3537129429335328E-2</v>
      </c>
    </row>
    <row r="74" spans="1:5" x14ac:dyDescent="0.25">
      <c r="A74" s="14">
        <v>33848</v>
      </c>
      <c r="B74" s="3">
        <v>29.75</v>
      </c>
      <c r="C74" s="10">
        <f t="shared" ref="C74:C137" si="2">LN(B74/B73)</f>
        <v>1.1494379425735212E-2</v>
      </c>
      <c r="D74" s="11">
        <v>2.6083333333333332E-3</v>
      </c>
      <c r="E74" s="12">
        <f t="shared" si="1"/>
        <v>8.8860460924018794E-3</v>
      </c>
    </row>
    <row r="75" spans="1:5" x14ac:dyDescent="0.25">
      <c r="A75" s="14">
        <v>33878</v>
      </c>
      <c r="B75" s="3">
        <v>29.85</v>
      </c>
      <c r="C75" s="10">
        <f t="shared" si="2"/>
        <v>3.3557078469723151E-3</v>
      </c>
      <c r="D75" s="11">
        <v>2.4250000000000001E-3</v>
      </c>
      <c r="E75" s="12">
        <f t="shared" ref="E75:E138" si="3">C75-D75</f>
        <v>9.30707846972315E-4</v>
      </c>
    </row>
    <row r="76" spans="1:5" x14ac:dyDescent="0.25">
      <c r="A76" s="14">
        <v>33910</v>
      </c>
      <c r="B76" s="3">
        <v>30.87</v>
      </c>
      <c r="C76" s="10">
        <f t="shared" si="2"/>
        <v>3.3599998675456849E-2</v>
      </c>
      <c r="D76" s="11">
        <v>2.3833333333333332E-3</v>
      </c>
      <c r="E76" s="12">
        <f t="shared" si="3"/>
        <v>3.1216665342123515E-2</v>
      </c>
    </row>
    <row r="77" spans="1:5" x14ac:dyDescent="0.25">
      <c r="A77" s="14">
        <v>33939</v>
      </c>
      <c r="B77" s="3">
        <v>31.46</v>
      </c>
      <c r="C77" s="10">
        <f t="shared" si="2"/>
        <v>1.8932059116063743E-2</v>
      </c>
      <c r="D77" s="11">
        <v>2.6083333333333332E-3</v>
      </c>
      <c r="E77" s="12">
        <f t="shared" si="3"/>
        <v>1.6323725782730409E-2</v>
      </c>
    </row>
    <row r="78" spans="1:5" x14ac:dyDescent="0.25">
      <c r="A78" s="14">
        <v>33973</v>
      </c>
      <c r="B78" s="3">
        <v>31.49</v>
      </c>
      <c r="C78" s="10">
        <f t="shared" si="2"/>
        <v>9.531374828013647E-4</v>
      </c>
      <c r="D78" s="11">
        <v>2.6833333333333336E-3</v>
      </c>
      <c r="E78" s="12">
        <f t="shared" si="3"/>
        <v>-1.730195850531969E-3</v>
      </c>
    </row>
    <row r="79" spans="1:5" x14ac:dyDescent="0.25">
      <c r="A79" s="14">
        <v>34001</v>
      </c>
      <c r="B79" s="3">
        <v>31.92</v>
      </c>
      <c r="C79" s="10">
        <f t="shared" si="2"/>
        <v>1.3562737468674806E-2</v>
      </c>
      <c r="D79" s="11">
        <v>2.5000000000000001E-3</v>
      </c>
      <c r="E79" s="12">
        <f t="shared" si="3"/>
        <v>1.1062737468674805E-2</v>
      </c>
    </row>
    <row r="80" spans="1:5" x14ac:dyDescent="0.25">
      <c r="A80" s="14">
        <v>34029</v>
      </c>
      <c r="B80" s="3">
        <v>32.590000000000003</v>
      </c>
      <c r="C80" s="10">
        <f t="shared" si="2"/>
        <v>2.0772720267862244E-2</v>
      </c>
      <c r="D80" s="11">
        <v>2.4416666666666666E-3</v>
      </c>
      <c r="E80" s="12">
        <f t="shared" si="3"/>
        <v>1.8331053601195579E-2</v>
      </c>
    </row>
    <row r="81" spans="1:5" x14ac:dyDescent="0.25">
      <c r="A81" s="14">
        <v>34060</v>
      </c>
      <c r="B81" s="3">
        <v>31.8</v>
      </c>
      <c r="C81" s="10">
        <f t="shared" si="2"/>
        <v>-2.4539203063339159E-2</v>
      </c>
      <c r="D81" s="11">
        <v>2.4583333333333336E-3</v>
      </c>
      <c r="E81" s="12">
        <f t="shared" si="3"/>
        <v>-2.6997536396672493E-2</v>
      </c>
    </row>
    <row r="82" spans="1:5" x14ac:dyDescent="0.25">
      <c r="A82" s="14">
        <v>34092</v>
      </c>
      <c r="B82" s="3">
        <v>32.64</v>
      </c>
      <c r="C82" s="10">
        <f t="shared" si="2"/>
        <v>2.6072240309775105E-2</v>
      </c>
      <c r="D82" s="11">
        <v>2.3916666666666665E-3</v>
      </c>
      <c r="E82" s="12">
        <f t="shared" si="3"/>
        <v>2.3680573643108438E-2</v>
      </c>
    </row>
    <row r="83" spans="1:5" x14ac:dyDescent="0.25">
      <c r="A83" s="14">
        <v>34121</v>
      </c>
      <c r="B83" s="3">
        <v>32.729999999999997</v>
      </c>
      <c r="C83" s="10">
        <f t="shared" si="2"/>
        <v>2.7535584171828166E-3</v>
      </c>
      <c r="D83" s="11">
        <v>2.4666666666666669E-3</v>
      </c>
      <c r="E83" s="12">
        <f t="shared" si="3"/>
        <v>2.8689175051614972E-4</v>
      </c>
    </row>
    <row r="84" spans="1:5" x14ac:dyDescent="0.25">
      <c r="A84" s="14">
        <v>34151</v>
      </c>
      <c r="B84" s="3">
        <v>32.590000000000003</v>
      </c>
      <c r="C84" s="10">
        <f t="shared" si="2"/>
        <v>-4.2865956636187526E-3</v>
      </c>
      <c r="D84" s="11">
        <v>2.558333333333333E-3</v>
      </c>
      <c r="E84" s="12">
        <f t="shared" si="3"/>
        <v>-6.8449289969520852E-3</v>
      </c>
    </row>
    <row r="85" spans="1:5" x14ac:dyDescent="0.25">
      <c r="A85" s="14">
        <v>34183</v>
      </c>
      <c r="B85" s="3">
        <v>33.82</v>
      </c>
      <c r="C85" s="10">
        <f t="shared" si="2"/>
        <v>3.7046850620963932E-2</v>
      </c>
      <c r="D85" s="11">
        <v>2.5333333333333336E-3</v>
      </c>
      <c r="E85" s="12">
        <f t="shared" si="3"/>
        <v>3.45135172876306E-2</v>
      </c>
    </row>
    <row r="86" spans="1:5" x14ac:dyDescent="0.25">
      <c r="A86" s="14">
        <v>34213</v>
      </c>
      <c r="B86" s="3">
        <v>33.56</v>
      </c>
      <c r="C86" s="10">
        <f t="shared" si="2"/>
        <v>-7.7174618714287539E-3</v>
      </c>
      <c r="D86" s="11">
        <v>2.5166666666666666E-3</v>
      </c>
      <c r="E86" s="12">
        <f t="shared" si="3"/>
        <v>-1.0234128538095421E-2</v>
      </c>
    </row>
    <row r="87" spans="1:5" x14ac:dyDescent="0.25">
      <c r="A87" s="14">
        <v>34243</v>
      </c>
      <c r="B87" s="3">
        <v>34.25</v>
      </c>
      <c r="C87" s="10">
        <f t="shared" si="2"/>
        <v>2.0351683109228771E-2</v>
      </c>
      <c r="D87" s="11">
        <v>2.4583333333333336E-3</v>
      </c>
      <c r="E87" s="12">
        <f t="shared" si="3"/>
        <v>1.7893349775895438E-2</v>
      </c>
    </row>
    <row r="88" spans="1:5" x14ac:dyDescent="0.25">
      <c r="A88" s="14">
        <v>34274</v>
      </c>
      <c r="B88" s="3">
        <v>33.909999999999997</v>
      </c>
      <c r="C88" s="10">
        <f t="shared" si="2"/>
        <v>-9.9766085706871864E-3</v>
      </c>
      <c r="D88" s="11">
        <v>2.5166666666666666E-3</v>
      </c>
      <c r="E88" s="12">
        <f t="shared" si="3"/>
        <v>-1.2493275237353853E-2</v>
      </c>
    </row>
    <row r="89" spans="1:5" x14ac:dyDescent="0.25">
      <c r="A89" s="14">
        <v>34304</v>
      </c>
      <c r="B89" s="3">
        <v>34.33</v>
      </c>
      <c r="C89" s="10">
        <f t="shared" si="2"/>
        <v>1.2309651332053433E-2</v>
      </c>
      <c r="D89" s="11">
        <v>2.5833333333333337E-3</v>
      </c>
      <c r="E89" s="12">
        <f t="shared" si="3"/>
        <v>9.7263179987200996E-3</v>
      </c>
    </row>
    <row r="90" spans="1:5" x14ac:dyDescent="0.25">
      <c r="A90" s="14">
        <v>34337</v>
      </c>
      <c r="B90" s="3">
        <v>35.49</v>
      </c>
      <c r="C90" s="10">
        <f t="shared" si="2"/>
        <v>3.3231359188804446E-2</v>
      </c>
      <c r="D90" s="11">
        <v>2.5500000000000002E-3</v>
      </c>
      <c r="E90" s="12">
        <f t="shared" si="3"/>
        <v>3.0681359188804446E-2</v>
      </c>
    </row>
    <row r="91" spans="1:5" x14ac:dyDescent="0.25">
      <c r="A91" s="14">
        <v>34366</v>
      </c>
      <c r="B91" s="3">
        <v>34.520000000000003</v>
      </c>
      <c r="C91" s="10">
        <f t="shared" si="2"/>
        <v>-2.7712100443177901E-2</v>
      </c>
      <c r="D91" s="11">
        <v>2.4833333333333331E-3</v>
      </c>
      <c r="E91" s="12">
        <f t="shared" si="3"/>
        <v>-3.0195433776511234E-2</v>
      </c>
    </row>
    <row r="92" spans="1:5" x14ac:dyDescent="0.25">
      <c r="A92" s="14">
        <v>34394</v>
      </c>
      <c r="B92" s="3">
        <v>33.01</v>
      </c>
      <c r="C92" s="10">
        <f t="shared" si="2"/>
        <v>-4.4728320350125736E-2</v>
      </c>
      <c r="D92" s="11">
        <v>2.708333333333333E-3</v>
      </c>
      <c r="E92" s="12">
        <f t="shared" si="3"/>
        <v>-4.7436653683459069E-2</v>
      </c>
    </row>
    <row r="93" spans="1:5" x14ac:dyDescent="0.25">
      <c r="A93" s="14">
        <v>34428</v>
      </c>
      <c r="B93" s="3">
        <v>33.44</v>
      </c>
      <c r="C93" s="10">
        <f t="shared" si="2"/>
        <v>1.2942242351399283E-2</v>
      </c>
      <c r="D93" s="11">
        <v>2.9166666666666668E-3</v>
      </c>
      <c r="E93" s="12">
        <f t="shared" si="3"/>
        <v>1.0025575684732616E-2</v>
      </c>
    </row>
    <row r="94" spans="1:5" x14ac:dyDescent="0.25">
      <c r="A94" s="14">
        <v>34456</v>
      </c>
      <c r="B94" s="3">
        <v>33.97</v>
      </c>
      <c r="C94" s="10">
        <f t="shared" si="2"/>
        <v>1.5724993955991681E-2</v>
      </c>
      <c r="D94" s="11">
        <v>3.0666666666666672E-3</v>
      </c>
      <c r="E94" s="12">
        <f t="shared" si="3"/>
        <v>1.2658327289325014E-2</v>
      </c>
    </row>
    <row r="95" spans="1:5" x14ac:dyDescent="0.25">
      <c r="A95" s="14">
        <v>34486</v>
      </c>
      <c r="B95" s="3">
        <v>33.14</v>
      </c>
      <c r="C95" s="10">
        <f t="shared" si="2"/>
        <v>-2.4736770174075648E-2</v>
      </c>
      <c r="D95" s="11">
        <v>3.4499999999999999E-3</v>
      </c>
      <c r="E95" s="12">
        <f t="shared" si="3"/>
        <v>-2.818677017407565E-2</v>
      </c>
    </row>
    <row r="96" spans="1:5" x14ac:dyDescent="0.25">
      <c r="A96" s="14">
        <v>34516</v>
      </c>
      <c r="B96" s="3">
        <v>34.229999999999997</v>
      </c>
      <c r="C96" s="10">
        <f t="shared" si="2"/>
        <v>3.2361440543676914E-2</v>
      </c>
      <c r="D96" s="11">
        <v>3.4499999999999999E-3</v>
      </c>
      <c r="E96" s="12">
        <f t="shared" si="3"/>
        <v>2.8911440543676913E-2</v>
      </c>
    </row>
    <row r="97" spans="1:5" x14ac:dyDescent="0.25">
      <c r="A97" s="14">
        <v>34547</v>
      </c>
      <c r="B97" s="3">
        <v>35.619999999999997</v>
      </c>
      <c r="C97" s="10">
        <f t="shared" si="2"/>
        <v>3.9804825319421568E-2</v>
      </c>
      <c r="D97" s="11">
        <v>3.6083333333333332E-3</v>
      </c>
      <c r="E97" s="12">
        <f t="shared" si="3"/>
        <v>3.6196491986088236E-2</v>
      </c>
    </row>
    <row r="98" spans="1:5" x14ac:dyDescent="0.25">
      <c r="A98" s="14">
        <v>34578</v>
      </c>
      <c r="B98" s="3">
        <v>34.75</v>
      </c>
      <c r="C98" s="10">
        <f t="shared" si="2"/>
        <v>-2.4727705850714418E-2</v>
      </c>
      <c r="D98" s="11">
        <v>3.7333333333333333E-3</v>
      </c>
      <c r="E98" s="12">
        <f t="shared" si="3"/>
        <v>-2.846103918404775E-2</v>
      </c>
    </row>
    <row r="99" spans="1:5" x14ac:dyDescent="0.25">
      <c r="A99" s="14">
        <v>34610</v>
      </c>
      <c r="B99" s="3">
        <v>35.53</v>
      </c>
      <c r="C99" s="10">
        <f t="shared" si="2"/>
        <v>2.2197838022134563E-2</v>
      </c>
      <c r="D99" s="11">
        <v>3.8500000000000001E-3</v>
      </c>
      <c r="E99" s="12">
        <f t="shared" si="3"/>
        <v>1.8347838022134563E-2</v>
      </c>
    </row>
    <row r="100" spans="1:5" x14ac:dyDescent="0.25">
      <c r="A100" s="14">
        <v>34639</v>
      </c>
      <c r="B100" s="3">
        <v>34.229999999999997</v>
      </c>
      <c r="C100" s="10">
        <f t="shared" si="2"/>
        <v>-3.7274957490841858E-2</v>
      </c>
      <c r="D100" s="11">
        <v>4.1250000000000002E-3</v>
      </c>
      <c r="E100" s="12">
        <f t="shared" si="3"/>
        <v>-4.1399957490841854E-2</v>
      </c>
    </row>
    <row r="101" spans="1:5" x14ac:dyDescent="0.25">
      <c r="A101" s="14">
        <v>34669</v>
      </c>
      <c r="B101" s="3">
        <v>34.729999999999997</v>
      </c>
      <c r="C101" s="10">
        <f t="shared" si="2"/>
        <v>1.4501414213888657E-2</v>
      </c>
      <c r="D101" s="11">
        <v>4.4083333333333335E-3</v>
      </c>
      <c r="E101" s="12">
        <f t="shared" si="3"/>
        <v>1.0093080880555324E-2</v>
      </c>
    </row>
    <row r="102" spans="1:5" x14ac:dyDescent="0.25">
      <c r="A102" s="14">
        <v>34702</v>
      </c>
      <c r="B102" s="3">
        <v>35.630000000000003</v>
      </c>
      <c r="C102" s="10">
        <f t="shared" si="2"/>
        <v>2.5584112861762195E-2</v>
      </c>
      <c r="D102" s="11">
        <v>4.6666666666666662E-3</v>
      </c>
      <c r="E102" s="12">
        <f t="shared" si="3"/>
        <v>2.0917446195095529E-2</v>
      </c>
    </row>
    <row r="103" spans="1:5" x14ac:dyDescent="0.25">
      <c r="A103" s="14">
        <v>34731</v>
      </c>
      <c r="B103" s="3">
        <v>37.01</v>
      </c>
      <c r="C103" s="10">
        <f t="shared" si="2"/>
        <v>3.8000166780319811E-2</v>
      </c>
      <c r="D103" s="11">
        <v>4.7583333333333332E-3</v>
      </c>
      <c r="E103" s="12">
        <f t="shared" si="3"/>
        <v>3.3241833446986474E-2</v>
      </c>
    </row>
    <row r="104" spans="1:5" x14ac:dyDescent="0.25">
      <c r="A104" s="14">
        <v>34759</v>
      </c>
      <c r="B104" s="3">
        <v>38.1</v>
      </c>
      <c r="C104" s="10">
        <f t="shared" si="2"/>
        <v>2.9026135734590706E-2</v>
      </c>
      <c r="D104" s="11">
        <v>4.8083333333333329E-3</v>
      </c>
      <c r="E104" s="12">
        <f t="shared" si="3"/>
        <v>2.4217802401257371E-2</v>
      </c>
    </row>
    <row r="105" spans="1:5" x14ac:dyDescent="0.25">
      <c r="A105" s="14">
        <v>34792</v>
      </c>
      <c r="B105" s="3">
        <v>39.22</v>
      </c>
      <c r="C105" s="10">
        <f t="shared" si="2"/>
        <v>2.8972538635544831E-2</v>
      </c>
      <c r="D105" s="11">
        <v>4.7750000000000006E-3</v>
      </c>
      <c r="E105" s="12">
        <f t="shared" si="3"/>
        <v>2.419753863554483E-2</v>
      </c>
    </row>
    <row r="106" spans="1:5" x14ac:dyDescent="0.25">
      <c r="A106" s="14">
        <v>34820</v>
      </c>
      <c r="B106" s="3">
        <v>40.78</v>
      </c>
      <c r="C106" s="10">
        <f t="shared" si="2"/>
        <v>3.9004944378108877E-2</v>
      </c>
      <c r="D106" s="11">
        <v>4.7083333333333335E-3</v>
      </c>
      <c r="E106" s="12">
        <f t="shared" si="3"/>
        <v>3.4296611044775542E-2</v>
      </c>
    </row>
    <row r="107" spans="1:5" x14ac:dyDescent="0.25">
      <c r="A107" s="14">
        <v>34851</v>
      </c>
      <c r="B107" s="3">
        <v>41.72</v>
      </c>
      <c r="C107" s="10">
        <f t="shared" si="2"/>
        <v>2.2788864986262578E-2</v>
      </c>
      <c r="D107" s="11">
        <v>4.725E-3</v>
      </c>
      <c r="E107" s="12">
        <f t="shared" si="3"/>
        <v>1.8063864986262577E-2</v>
      </c>
    </row>
    <row r="108" spans="1:5" x14ac:dyDescent="0.25">
      <c r="A108" s="14">
        <v>34883</v>
      </c>
      <c r="B108" s="3">
        <v>43.1</v>
      </c>
      <c r="C108" s="10">
        <f t="shared" si="2"/>
        <v>3.2542366977130463E-2</v>
      </c>
      <c r="D108" s="11">
        <v>4.5583333333333335E-3</v>
      </c>
      <c r="E108" s="12">
        <f t="shared" si="3"/>
        <v>2.7984033643797129E-2</v>
      </c>
    </row>
    <row r="109" spans="1:5" x14ac:dyDescent="0.25">
      <c r="A109" s="14">
        <v>34912</v>
      </c>
      <c r="B109" s="3">
        <v>43.21</v>
      </c>
      <c r="C109" s="10">
        <f t="shared" si="2"/>
        <v>2.5489528341397613E-3</v>
      </c>
      <c r="D109" s="11">
        <v>4.5166666666666662E-3</v>
      </c>
      <c r="E109" s="12">
        <f t="shared" si="3"/>
        <v>-1.9677138325269049E-3</v>
      </c>
    </row>
    <row r="110" spans="1:5" x14ac:dyDescent="0.25">
      <c r="A110" s="14">
        <v>34943</v>
      </c>
      <c r="B110" s="3">
        <v>45.03</v>
      </c>
      <c r="C110" s="10">
        <f t="shared" si="2"/>
        <v>4.1256984369638434E-2</v>
      </c>
      <c r="D110" s="11">
        <v>4.5000000000000005E-3</v>
      </c>
      <c r="E110" s="12">
        <f t="shared" si="3"/>
        <v>3.6756984369638437E-2</v>
      </c>
    </row>
    <row r="111" spans="1:5" x14ac:dyDescent="0.25">
      <c r="A111" s="14">
        <v>34974</v>
      </c>
      <c r="B111" s="3">
        <v>44.87</v>
      </c>
      <c r="C111" s="10">
        <f t="shared" si="2"/>
        <v>-3.5595143255884331E-3</v>
      </c>
      <c r="D111" s="11">
        <v>4.4000000000000003E-3</v>
      </c>
      <c r="E111" s="12">
        <f t="shared" si="3"/>
        <v>-7.9595143255884338E-3</v>
      </c>
    </row>
    <row r="112" spans="1:5" x14ac:dyDescent="0.25">
      <c r="A112" s="14">
        <v>35004</v>
      </c>
      <c r="B112" s="3">
        <v>46.83</v>
      </c>
      <c r="C112" s="10">
        <f t="shared" si="2"/>
        <v>4.2754603207558334E-2</v>
      </c>
      <c r="D112" s="11">
        <v>4.4000000000000003E-3</v>
      </c>
      <c r="E112" s="12">
        <f t="shared" si="3"/>
        <v>3.8354603207558333E-2</v>
      </c>
    </row>
    <row r="113" spans="1:5" x14ac:dyDescent="0.25">
      <c r="A113" s="14">
        <v>35034</v>
      </c>
      <c r="B113" s="3">
        <v>47.74</v>
      </c>
      <c r="C113" s="10">
        <f t="shared" si="2"/>
        <v>1.9245597715233778E-2</v>
      </c>
      <c r="D113" s="11">
        <v>4.4666666666666674E-3</v>
      </c>
      <c r="E113" s="12">
        <f t="shared" si="3"/>
        <v>1.4778931048567111E-2</v>
      </c>
    </row>
    <row r="114" spans="1:5" x14ac:dyDescent="0.25">
      <c r="A114" s="14">
        <v>35066</v>
      </c>
      <c r="B114" s="3">
        <v>49.35</v>
      </c>
      <c r="C114" s="10">
        <f t="shared" si="2"/>
        <v>3.3168144968806525E-2</v>
      </c>
      <c r="D114" s="11">
        <v>4.2833333333333326E-3</v>
      </c>
      <c r="E114" s="12">
        <f t="shared" si="3"/>
        <v>2.8884811635473191E-2</v>
      </c>
    </row>
    <row r="115" spans="1:5" x14ac:dyDescent="0.25">
      <c r="A115" s="14">
        <v>35096</v>
      </c>
      <c r="B115" s="3">
        <v>49.81</v>
      </c>
      <c r="C115" s="10">
        <f t="shared" si="2"/>
        <v>9.2780012057015367E-3</v>
      </c>
      <c r="D115" s="11">
        <v>4.1666666666666666E-3</v>
      </c>
      <c r="E115" s="12">
        <f t="shared" si="3"/>
        <v>5.1113345390348701E-3</v>
      </c>
    </row>
    <row r="116" spans="1:5" x14ac:dyDescent="0.25">
      <c r="A116" s="14">
        <v>35125</v>
      </c>
      <c r="B116" s="3">
        <v>50.3</v>
      </c>
      <c r="C116" s="10">
        <f t="shared" si="2"/>
        <v>9.7893100205014155E-3</v>
      </c>
      <c r="D116" s="11">
        <v>4.0249999999999999E-3</v>
      </c>
      <c r="E116" s="12">
        <f t="shared" si="3"/>
        <v>5.7643100205014156E-3</v>
      </c>
    </row>
    <row r="117" spans="1:5" x14ac:dyDescent="0.25">
      <c r="A117" s="14">
        <v>35156</v>
      </c>
      <c r="B117" s="3">
        <v>51.03</v>
      </c>
      <c r="C117" s="10">
        <f t="shared" si="2"/>
        <v>1.440861797018656E-2</v>
      </c>
      <c r="D117" s="11">
        <v>4.1333333333333335E-3</v>
      </c>
      <c r="E117" s="12">
        <f t="shared" si="3"/>
        <v>1.0275284636853226E-2</v>
      </c>
    </row>
    <row r="118" spans="1:5" x14ac:dyDescent="0.25">
      <c r="A118" s="14">
        <v>35186</v>
      </c>
      <c r="B118" s="3">
        <v>52.33</v>
      </c>
      <c r="C118" s="10">
        <f t="shared" si="2"/>
        <v>2.5156125308236226E-2</v>
      </c>
      <c r="D118" s="11">
        <v>4.1250000000000002E-3</v>
      </c>
      <c r="E118" s="12">
        <f t="shared" si="3"/>
        <v>2.1031125308236226E-2</v>
      </c>
    </row>
    <row r="119" spans="1:5" x14ac:dyDescent="0.25">
      <c r="A119" s="14">
        <v>35219</v>
      </c>
      <c r="B119" s="3">
        <v>52.53</v>
      </c>
      <c r="C119" s="10">
        <f t="shared" si="2"/>
        <v>3.8146145817537038E-3</v>
      </c>
      <c r="D119" s="11">
        <v>4.1833333333333332E-3</v>
      </c>
      <c r="E119" s="12">
        <f t="shared" si="3"/>
        <v>-3.6871875157962935E-4</v>
      </c>
    </row>
    <row r="120" spans="1:5" x14ac:dyDescent="0.25">
      <c r="A120" s="14">
        <v>35247</v>
      </c>
      <c r="B120" s="3">
        <v>50.21</v>
      </c>
      <c r="C120" s="10">
        <f t="shared" si="2"/>
        <v>-4.5170224919256097E-2</v>
      </c>
      <c r="D120" s="11">
        <v>4.2416666666666662E-3</v>
      </c>
      <c r="E120" s="12">
        <f t="shared" si="3"/>
        <v>-4.9411891585922761E-2</v>
      </c>
    </row>
    <row r="121" spans="1:5" x14ac:dyDescent="0.25">
      <c r="A121" s="14">
        <v>35278</v>
      </c>
      <c r="B121" s="3">
        <v>51.26</v>
      </c>
      <c r="C121" s="10">
        <f t="shared" si="2"/>
        <v>2.0696510889310966E-2</v>
      </c>
      <c r="D121" s="11">
        <v>4.2916666666666667E-3</v>
      </c>
      <c r="E121" s="12">
        <f t="shared" si="3"/>
        <v>1.6404844222644301E-2</v>
      </c>
    </row>
    <row r="122" spans="1:5" x14ac:dyDescent="0.25">
      <c r="A122" s="14">
        <v>35311</v>
      </c>
      <c r="B122" s="3">
        <v>54.13</v>
      </c>
      <c r="C122" s="10">
        <f t="shared" si="2"/>
        <v>5.447783987296162E-2</v>
      </c>
      <c r="D122" s="11">
        <v>4.208333333333333E-3</v>
      </c>
      <c r="E122" s="12">
        <f t="shared" si="3"/>
        <v>5.0269506539628285E-2</v>
      </c>
    </row>
    <row r="123" spans="1:5" x14ac:dyDescent="0.25">
      <c r="A123" s="14">
        <v>35339</v>
      </c>
      <c r="B123" s="3">
        <v>55.62</v>
      </c>
      <c r="C123" s="10">
        <f t="shared" si="2"/>
        <v>2.7154287996932095E-2</v>
      </c>
      <c r="D123" s="11">
        <v>4.2416666666666662E-3</v>
      </c>
      <c r="E123" s="12">
        <f t="shared" si="3"/>
        <v>2.2912621330265427E-2</v>
      </c>
    </row>
    <row r="124" spans="1:5" x14ac:dyDescent="0.25">
      <c r="A124" s="14">
        <v>35370</v>
      </c>
      <c r="B124" s="3">
        <v>59.83</v>
      </c>
      <c r="C124" s="10">
        <f t="shared" si="2"/>
        <v>7.2964358596121673E-2</v>
      </c>
      <c r="D124" s="11">
        <v>4.1583333333333333E-3</v>
      </c>
      <c r="E124" s="12">
        <f t="shared" si="3"/>
        <v>6.880602526278834E-2</v>
      </c>
    </row>
    <row r="125" spans="1:5" x14ac:dyDescent="0.25">
      <c r="A125" s="14">
        <v>35401</v>
      </c>
      <c r="B125" s="3">
        <v>58.65</v>
      </c>
      <c r="C125" s="10">
        <f t="shared" si="2"/>
        <v>-1.9919632302455997E-2</v>
      </c>
      <c r="D125" s="11">
        <v>4.1916666666666665E-3</v>
      </c>
      <c r="E125" s="12">
        <f t="shared" si="3"/>
        <v>-2.4111298969122664E-2</v>
      </c>
    </row>
    <row r="126" spans="1:5" x14ac:dyDescent="0.25">
      <c r="A126" s="14">
        <v>35432</v>
      </c>
      <c r="B126" s="3">
        <v>62.31</v>
      </c>
      <c r="C126" s="10">
        <f t="shared" si="2"/>
        <v>6.0534351456646249E-2</v>
      </c>
      <c r="D126" s="11">
        <v>4.0916666666666671E-3</v>
      </c>
      <c r="E126" s="12">
        <f t="shared" si="3"/>
        <v>5.6442684789979582E-2</v>
      </c>
    </row>
    <row r="127" spans="1:5" x14ac:dyDescent="0.25">
      <c r="A127" s="14">
        <v>35464</v>
      </c>
      <c r="B127" s="3">
        <v>62.8</v>
      </c>
      <c r="C127" s="10">
        <f t="shared" si="2"/>
        <v>7.8331469180221817E-3</v>
      </c>
      <c r="D127" s="11">
        <v>4.1916666666666665E-3</v>
      </c>
      <c r="E127" s="12">
        <f t="shared" si="3"/>
        <v>3.6414802513555153E-3</v>
      </c>
    </row>
    <row r="128" spans="1:5" x14ac:dyDescent="0.25">
      <c r="A128" s="14">
        <v>35492</v>
      </c>
      <c r="B128" s="3">
        <v>60.2</v>
      </c>
      <c r="C128" s="10">
        <f t="shared" si="2"/>
        <v>-4.2282721159377513E-2</v>
      </c>
      <c r="D128" s="11">
        <v>4.1749999999999999E-3</v>
      </c>
      <c r="E128" s="12">
        <f t="shared" si="3"/>
        <v>-4.6457721159377512E-2</v>
      </c>
    </row>
    <row r="129" spans="1:5" x14ac:dyDescent="0.25">
      <c r="A129" s="14">
        <v>35521</v>
      </c>
      <c r="B129" s="3">
        <v>63.79</v>
      </c>
      <c r="C129" s="10">
        <f t="shared" si="2"/>
        <v>5.7924085939088488E-2</v>
      </c>
      <c r="D129" s="11">
        <v>4.2833333333333326E-3</v>
      </c>
      <c r="E129" s="12">
        <f t="shared" si="3"/>
        <v>5.3640752605755154E-2</v>
      </c>
    </row>
    <row r="130" spans="1:5" x14ac:dyDescent="0.25">
      <c r="A130" s="14">
        <v>35551</v>
      </c>
      <c r="B130" s="3">
        <v>67.67</v>
      </c>
      <c r="C130" s="10">
        <f t="shared" si="2"/>
        <v>5.9046511990270265E-2</v>
      </c>
      <c r="D130" s="11">
        <v>4.3E-3</v>
      </c>
      <c r="E130" s="12">
        <f t="shared" si="3"/>
        <v>5.4746511990270266E-2</v>
      </c>
    </row>
    <row r="131" spans="1:5" x14ac:dyDescent="0.25">
      <c r="A131" s="14">
        <v>35583</v>
      </c>
      <c r="B131" s="3">
        <v>70.680000000000007</v>
      </c>
      <c r="C131" s="10">
        <f t="shared" si="2"/>
        <v>4.3519697207361513E-2</v>
      </c>
      <c r="D131" s="11">
        <v>4.208333333333333E-3</v>
      </c>
      <c r="E131" s="12">
        <f t="shared" si="3"/>
        <v>3.9311363874028178E-2</v>
      </c>
    </row>
    <row r="132" spans="1:5" x14ac:dyDescent="0.25">
      <c r="A132" s="14">
        <v>35612</v>
      </c>
      <c r="B132" s="3">
        <v>76.31</v>
      </c>
      <c r="C132" s="10">
        <f t="shared" si="2"/>
        <v>7.664134385004602E-2</v>
      </c>
      <c r="D132" s="11">
        <v>4.1083333333333336E-3</v>
      </c>
      <c r="E132" s="12">
        <f t="shared" si="3"/>
        <v>7.2533010516712682E-2</v>
      </c>
    </row>
    <row r="133" spans="1:5" x14ac:dyDescent="0.25">
      <c r="A133" s="14">
        <v>35643</v>
      </c>
      <c r="B133" s="3">
        <v>72.03</v>
      </c>
      <c r="C133" s="10">
        <f t="shared" si="2"/>
        <v>-5.7721292400270317E-2</v>
      </c>
      <c r="D133" s="11">
        <v>4.208333333333333E-3</v>
      </c>
      <c r="E133" s="12">
        <f t="shared" si="3"/>
        <v>-6.1929625733603652E-2</v>
      </c>
    </row>
    <row r="134" spans="1:5" x14ac:dyDescent="0.25">
      <c r="A134" s="14">
        <v>35675</v>
      </c>
      <c r="B134" s="3">
        <v>75.97</v>
      </c>
      <c r="C134" s="10">
        <f t="shared" si="2"/>
        <v>5.3255826613858748E-2</v>
      </c>
      <c r="D134" s="11">
        <v>4.2833333333333326E-3</v>
      </c>
      <c r="E134" s="12">
        <f t="shared" si="3"/>
        <v>4.8972493280525414E-2</v>
      </c>
    </row>
    <row r="135" spans="1:5" x14ac:dyDescent="0.25">
      <c r="A135" s="14">
        <v>35704</v>
      </c>
      <c r="B135" s="3">
        <v>73.430000000000007</v>
      </c>
      <c r="C135" s="10">
        <f t="shared" si="2"/>
        <v>-3.4005954051611005E-2</v>
      </c>
      <c r="D135" s="11">
        <v>4.1250000000000002E-3</v>
      </c>
      <c r="E135" s="12">
        <f t="shared" si="3"/>
        <v>-3.8130954051611002E-2</v>
      </c>
    </row>
    <row r="136" spans="1:5" x14ac:dyDescent="0.25">
      <c r="A136" s="14">
        <v>35737</v>
      </c>
      <c r="B136" s="3">
        <v>76.8</v>
      </c>
      <c r="C136" s="10">
        <f t="shared" si="2"/>
        <v>4.4872068690107306E-2</v>
      </c>
      <c r="D136" s="11">
        <v>4.1416666666666659E-3</v>
      </c>
      <c r="E136" s="12">
        <f t="shared" si="3"/>
        <v>4.0730402023440637E-2</v>
      </c>
    </row>
    <row r="137" spans="1:5" x14ac:dyDescent="0.25">
      <c r="A137" s="14">
        <v>35765</v>
      </c>
      <c r="B137" s="3">
        <v>78.11</v>
      </c>
      <c r="C137" s="10">
        <f t="shared" si="2"/>
        <v>1.6913449468579481E-2</v>
      </c>
      <c r="D137" s="11">
        <v>4.2833333333333326E-3</v>
      </c>
      <c r="E137" s="12">
        <f t="shared" si="3"/>
        <v>1.2630116135246148E-2</v>
      </c>
    </row>
    <row r="138" spans="1:5" x14ac:dyDescent="0.25">
      <c r="A138" s="14">
        <v>35797</v>
      </c>
      <c r="B138" s="3">
        <v>78.98</v>
      </c>
      <c r="C138" s="10">
        <f t="shared" ref="C138:C201" si="4">LN(B138/B137)</f>
        <v>1.107656623629746E-2</v>
      </c>
      <c r="D138" s="11">
        <v>4.3E-3</v>
      </c>
      <c r="E138" s="12">
        <f t="shared" si="3"/>
        <v>6.7765662362974603E-3</v>
      </c>
    </row>
    <row r="139" spans="1:5" x14ac:dyDescent="0.25">
      <c r="A139" s="14">
        <v>35828</v>
      </c>
      <c r="B139" s="3">
        <v>84.66</v>
      </c>
      <c r="C139" s="10">
        <f t="shared" si="4"/>
        <v>6.9448579234274277E-2</v>
      </c>
      <c r="D139" s="11">
        <v>4.1999999999999997E-3</v>
      </c>
      <c r="E139" s="12">
        <f t="shared" ref="E139:E202" si="5">C139-D139</f>
        <v>6.5248579234274282E-2</v>
      </c>
    </row>
    <row r="140" spans="1:5" x14ac:dyDescent="0.25">
      <c r="A140" s="14">
        <v>35856</v>
      </c>
      <c r="B140" s="3">
        <v>88.98</v>
      </c>
      <c r="C140" s="10">
        <f t="shared" si="4"/>
        <v>4.9768390285118161E-2</v>
      </c>
      <c r="D140" s="11">
        <v>4.2416666666666662E-3</v>
      </c>
      <c r="E140" s="12">
        <f t="shared" si="5"/>
        <v>4.5526723618451496E-2</v>
      </c>
    </row>
    <row r="141" spans="1:5" x14ac:dyDescent="0.25">
      <c r="A141" s="14">
        <v>35886</v>
      </c>
      <c r="B141" s="3">
        <v>89.88</v>
      </c>
      <c r="C141" s="10">
        <f t="shared" si="4"/>
        <v>1.0063821939232571E-2</v>
      </c>
      <c r="D141" s="11">
        <v>4.1916666666666665E-3</v>
      </c>
      <c r="E141" s="12">
        <f t="shared" si="5"/>
        <v>5.8721552725659043E-3</v>
      </c>
    </row>
    <row r="142" spans="1:5" x14ac:dyDescent="0.25">
      <c r="A142" s="14">
        <v>35916</v>
      </c>
      <c r="B142" s="3">
        <v>88.31</v>
      </c>
      <c r="C142" s="10">
        <f t="shared" si="4"/>
        <v>-1.7622095836417519E-2</v>
      </c>
      <c r="D142" s="11">
        <v>4.1250000000000002E-3</v>
      </c>
      <c r="E142" s="12">
        <f t="shared" si="5"/>
        <v>-2.174709583641752E-2</v>
      </c>
    </row>
    <row r="143" spans="1:5" x14ac:dyDescent="0.25">
      <c r="A143" s="14">
        <v>35947</v>
      </c>
      <c r="B143" s="3">
        <v>91.91</v>
      </c>
      <c r="C143" s="10">
        <f t="shared" si="4"/>
        <v>3.9956485889307114E-2</v>
      </c>
      <c r="D143" s="11">
        <v>4.1666666666666666E-3</v>
      </c>
      <c r="E143" s="12">
        <f t="shared" si="5"/>
        <v>3.5789819222640448E-2</v>
      </c>
    </row>
    <row r="144" spans="1:5" x14ac:dyDescent="0.25">
      <c r="A144" s="14">
        <v>35977</v>
      </c>
      <c r="B144" s="3">
        <v>90.94</v>
      </c>
      <c r="C144" s="10">
        <f t="shared" si="4"/>
        <v>-1.0609888973153602E-2</v>
      </c>
      <c r="D144" s="11">
        <v>4.15E-3</v>
      </c>
      <c r="E144" s="12">
        <f t="shared" si="5"/>
        <v>-1.4759888973153602E-2</v>
      </c>
    </row>
    <row r="145" spans="1:5" x14ac:dyDescent="0.25">
      <c r="A145" s="14">
        <v>36010</v>
      </c>
      <c r="B145" s="3">
        <v>77.78</v>
      </c>
      <c r="C145" s="10">
        <f t="shared" si="4"/>
        <v>-0.15631561966926324</v>
      </c>
      <c r="D145" s="11">
        <v>4.1333333333333335E-3</v>
      </c>
      <c r="E145" s="12">
        <f t="shared" si="5"/>
        <v>-0.16044895300259657</v>
      </c>
    </row>
    <row r="146" spans="1:5" x14ac:dyDescent="0.25">
      <c r="A146" s="14">
        <v>36039</v>
      </c>
      <c r="B146" s="3">
        <v>82.76</v>
      </c>
      <c r="C146" s="10">
        <f t="shared" si="4"/>
        <v>6.2060524149741114E-2</v>
      </c>
      <c r="D146" s="11">
        <v>4.0833333333333338E-3</v>
      </c>
      <c r="E146" s="12">
        <f t="shared" si="5"/>
        <v>5.797719081640778E-2</v>
      </c>
    </row>
    <row r="147" spans="1:5" x14ac:dyDescent="0.25">
      <c r="A147" s="14">
        <v>36069</v>
      </c>
      <c r="B147" s="3">
        <v>89.52</v>
      </c>
      <c r="C147" s="10">
        <f t="shared" si="4"/>
        <v>7.8517211126327424E-2</v>
      </c>
      <c r="D147" s="11">
        <v>3.8416666666666673E-3</v>
      </c>
      <c r="E147" s="12">
        <f t="shared" si="5"/>
        <v>7.467554445966075E-2</v>
      </c>
    </row>
    <row r="148" spans="1:5" x14ac:dyDescent="0.25">
      <c r="A148" s="14">
        <v>36101</v>
      </c>
      <c r="B148" s="3">
        <v>94.95</v>
      </c>
      <c r="C148" s="10">
        <f t="shared" si="4"/>
        <v>5.8888373254625259E-2</v>
      </c>
      <c r="D148" s="11">
        <v>3.3E-3</v>
      </c>
      <c r="E148" s="12">
        <f t="shared" si="5"/>
        <v>5.5588373254625262E-2</v>
      </c>
    </row>
    <row r="149" spans="1:5" x14ac:dyDescent="0.25">
      <c r="A149" s="14">
        <v>36130</v>
      </c>
      <c r="B149" s="3">
        <v>100.47</v>
      </c>
      <c r="C149" s="10">
        <f t="shared" si="4"/>
        <v>5.6508738215928035E-2</v>
      </c>
      <c r="D149" s="11">
        <v>3.6749999999999999E-3</v>
      </c>
      <c r="E149" s="12">
        <f t="shared" si="5"/>
        <v>5.2833738215928037E-2</v>
      </c>
    </row>
    <row r="150" spans="1:5" x14ac:dyDescent="0.25">
      <c r="A150" s="14">
        <v>36164</v>
      </c>
      <c r="B150" s="3">
        <v>104.69</v>
      </c>
      <c r="C150" s="10">
        <f t="shared" si="4"/>
        <v>4.114442685704061E-2</v>
      </c>
      <c r="D150" s="11">
        <v>3.6583333333333329E-3</v>
      </c>
      <c r="E150" s="12">
        <f t="shared" si="5"/>
        <v>3.7486093523707277E-2</v>
      </c>
    </row>
    <row r="151" spans="1:5" x14ac:dyDescent="0.25">
      <c r="A151" s="14">
        <v>36192</v>
      </c>
      <c r="B151" s="3">
        <v>101.42</v>
      </c>
      <c r="C151" s="10">
        <f t="shared" si="4"/>
        <v>-3.1733291964390523E-2</v>
      </c>
      <c r="D151" s="11">
        <v>3.6166666666666665E-3</v>
      </c>
      <c r="E151" s="12">
        <f t="shared" si="5"/>
        <v>-3.5349958631057186E-2</v>
      </c>
    </row>
    <row r="152" spans="1:5" x14ac:dyDescent="0.25">
      <c r="A152" s="14">
        <v>36220</v>
      </c>
      <c r="B152" s="3">
        <v>105.47</v>
      </c>
      <c r="C152" s="10">
        <f t="shared" si="4"/>
        <v>3.9156241921649799E-2</v>
      </c>
      <c r="D152" s="11">
        <v>3.7000000000000006E-3</v>
      </c>
      <c r="E152" s="12">
        <f t="shared" si="5"/>
        <v>3.5456241921649798E-2</v>
      </c>
    </row>
    <row r="153" spans="1:5" x14ac:dyDescent="0.25">
      <c r="A153" s="14">
        <v>36251</v>
      </c>
      <c r="B153" s="3">
        <v>109.53</v>
      </c>
      <c r="C153" s="10">
        <f t="shared" si="4"/>
        <v>3.7771932047132244E-2</v>
      </c>
      <c r="D153" s="11">
        <v>3.7000000000000006E-3</v>
      </c>
      <c r="E153" s="12">
        <f t="shared" si="5"/>
        <v>3.4071932047132242E-2</v>
      </c>
    </row>
    <row r="154" spans="1:5" x14ac:dyDescent="0.25">
      <c r="A154" s="14">
        <v>36283</v>
      </c>
      <c r="B154" s="3">
        <v>106.91</v>
      </c>
      <c r="C154" s="10">
        <f t="shared" si="4"/>
        <v>-2.4211125310246759E-2</v>
      </c>
      <c r="D154" s="11">
        <v>3.5750000000000001E-3</v>
      </c>
      <c r="E154" s="12">
        <f t="shared" si="5"/>
        <v>-2.7786125310246761E-2</v>
      </c>
    </row>
    <row r="155" spans="1:5" x14ac:dyDescent="0.25">
      <c r="A155" s="14">
        <v>36312</v>
      </c>
      <c r="B155" s="3">
        <v>112.85</v>
      </c>
      <c r="C155" s="10">
        <f t="shared" si="4"/>
        <v>5.4072144238136166E-2</v>
      </c>
      <c r="D155" s="11">
        <v>3.7499999999999999E-3</v>
      </c>
      <c r="E155" s="12">
        <f t="shared" si="5"/>
        <v>5.0322144238136163E-2</v>
      </c>
    </row>
    <row r="156" spans="1:5" x14ac:dyDescent="0.25">
      <c r="A156" s="14">
        <v>36342</v>
      </c>
      <c r="B156" s="3">
        <v>109.32</v>
      </c>
      <c r="C156" s="10">
        <f t="shared" si="4"/>
        <v>-3.1780142203677468E-2</v>
      </c>
      <c r="D156" s="11">
        <v>3.8083333333333337E-3</v>
      </c>
      <c r="E156" s="12">
        <f t="shared" si="5"/>
        <v>-3.5588475537010805E-2</v>
      </c>
    </row>
    <row r="157" spans="1:5" x14ac:dyDescent="0.25">
      <c r="A157" s="14">
        <v>36374</v>
      </c>
      <c r="B157" s="3">
        <v>108.78</v>
      </c>
      <c r="C157" s="10">
        <f t="shared" si="4"/>
        <v>-4.9518670650524951E-3</v>
      </c>
      <c r="D157" s="11">
        <v>3.7916666666666667E-3</v>
      </c>
      <c r="E157" s="12">
        <f t="shared" si="5"/>
        <v>-8.7435337317191622E-3</v>
      </c>
    </row>
    <row r="158" spans="1:5" x14ac:dyDescent="0.25">
      <c r="A158" s="14">
        <v>36404</v>
      </c>
      <c r="B158" s="3">
        <v>105.8</v>
      </c>
      <c r="C158" s="10">
        <f t="shared" si="4"/>
        <v>-2.7776974570615683E-2</v>
      </c>
      <c r="D158" s="11">
        <v>3.933333333333333E-3</v>
      </c>
      <c r="E158" s="12">
        <f t="shared" si="5"/>
        <v>-3.1710307903949013E-2</v>
      </c>
    </row>
    <row r="159" spans="1:5" x14ac:dyDescent="0.25">
      <c r="A159" s="14">
        <v>36434</v>
      </c>
      <c r="B159" s="3">
        <v>112.49</v>
      </c>
      <c r="C159" s="10">
        <f t="shared" si="4"/>
        <v>6.1313809380535468E-2</v>
      </c>
      <c r="D159" s="11">
        <v>3.8999999999999994E-3</v>
      </c>
      <c r="E159" s="12">
        <f t="shared" si="5"/>
        <v>5.7413809380535467E-2</v>
      </c>
    </row>
    <row r="160" spans="1:5" x14ac:dyDescent="0.25">
      <c r="A160" s="14">
        <v>36465</v>
      </c>
      <c r="B160" s="3">
        <v>114.77</v>
      </c>
      <c r="C160" s="10">
        <f t="shared" si="4"/>
        <v>2.0065796887842491E-2</v>
      </c>
      <c r="D160" s="11">
        <v>4.0500000000000006E-3</v>
      </c>
      <c r="E160" s="12">
        <f t="shared" si="5"/>
        <v>1.6015796887842489E-2</v>
      </c>
    </row>
    <row r="161" spans="1:5" x14ac:dyDescent="0.25">
      <c r="A161" s="14">
        <v>36495</v>
      </c>
      <c r="B161" s="3">
        <v>121.64</v>
      </c>
      <c r="C161" s="10">
        <f t="shared" si="4"/>
        <v>5.8135737116586907E-2</v>
      </c>
      <c r="D161" s="11">
        <v>4.2250000000000005E-3</v>
      </c>
      <c r="E161" s="12">
        <f t="shared" si="5"/>
        <v>5.3910737116586907E-2</v>
      </c>
    </row>
    <row r="162" spans="1:5" x14ac:dyDescent="0.25">
      <c r="A162" s="14">
        <v>36528</v>
      </c>
      <c r="B162" s="3">
        <v>115.52</v>
      </c>
      <c r="C162" s="10">
        <f t="shared" si="4"/>
        <v>-5.1622187664647892E-2</v>
      </c>
      <c r="D162" s="11">
        <v>4.3333333333333331E-3</v>
      </c>
      <c r="E162" s="12">
        <f t="shared" si="5"/>
        <v>-5.5955520997981227E-2</v>
      </c>
    </row>
    <row r="163" spans="1:5" x14ac:dyDescent="0.25">
      <c r="A163" s="14">
        <v>36557</v>
      </c>
      <c r="B163" s="3">
        <v>113.32</v>
      </c>
      <c r="C163" s="10">
        <f t="shared" si="4"/>
        <v>-1.9228000182200364E-2</v>
      </c>
      <c r="D163" s="11">
        <v>4.4333333333333334E-3</v>
      </c>
      <c r="E163" s="12">
        <f t="shared" si="5"/>
        <v>-2.3661333515533699E-2</v>
      </c>
    </row>
    <row r="164" spans="1:5" x14ac:dyDescent="0.25">
      <c r="A164" s="14">
        <v>36586</v>
      </c>
      <c r="B164" s="3">
        <v>124.38</v>
      </c>
      <c r="C164" s="10">
        <f t="shared" si="4"/>
        <v>9.3125720713427507E-2</v>
      </c>
      <c r="D164" s="11">
        <v>4.6249999999999998E-3</v>
      </c>
      <c r="E164" s="12">
        <f t="shared" si="5"/>
        <v>8.8500720713427503E-2</v>
      </c>
    </row>
    <row r="165" spans="1:5" x14ac:dyDescent="0.25">
      <c r="A165" s="14">
        <v>36619</v>
      </c>
      <c r="B165" s="3">
        <v>120.64</v>
      </c>
      <c r="C165" s="10">
        <f t="shared" si="4"/>
        <v>-3.0530491416097288E-2</v>
      </c>
      <c r="D165" s="11">
        <v>4.7416666666666666E-3</v>
      </c>
      <c r="E165" s="12">
        <f t="shared" si="5"/>
        <v>-3.5272158082763953E-2</v>
      </c>
    </row>
    <row r="166" spans="1:5" x14ac:dyDescent="0.25">
      <c r="A166" s="14">
        <v>36647</v>
      </c>
      <c r="B166" s="3">
        <v>118.18</v>
      </c>
      <c r="C166" s="10">
        <f t="shared" si="4"/>
        <v>-2.0602018342117379E-2</v>
      </c>
      <c r="D166" s="11">
        <v>4.7166666666666668E-3</v>
      </c>
      <c r="E166" s="12">
        <f t="shared" si="5"/>
        <v>-2.5318685008784047E-2</v>
      </c>
    </row>
    <row r="167" spans="1:5" x14ac:dyDescent="0.25">
      <c r="A167" s="14">
        <v>36678</v>
      </c>
      <c r="B167" s="3">
        <v>121.12</v>
      </c>
      <c r="C167" s="10">
        <f t="shared" si="4"/>
        <v>2.457290377161013E-2</v>
      </c>
      <c r="D167" s="11">
        <v>4.8249999999999994E-3</v>
      </c>
      <c r="E167" s="12">
        <f t="shared" si="5"/>
        <v>1.9747903771610131E-2</v>
      </c>
    </row>
    <row r="168" spans="1:5" x14ac:dyDescent="0.25">
      <c r="A168" s="14">
        <v>36710</v>
      </c>
      <c r="B168" s="3">
        <v>119.31</v>
      </c>
      <c r="C168" s="10">
        <f t="shared" si="4"/>
        <v>-1.5056641801429699E-2</v>
      </c>
      <c r="D168" s="11">
        <v>4.7416666666666666E-3</v>
      </c>
      <c r="E168" s="12">
        <f t="shared" si="5"/>
        <v>-1.9798308468096368E-2</v>
      </c>
    </row>
    <row r="169" spans="1:5" x14ac:dyDescent="0.25">
      <c r="A169" s="14">
        <v>36739</v>
      </c>
      <c r="B169" s="3">
        <v>126.7</v>
      </c>
      <c r="C169" s="10">
        <f t="shared" si="4"/>
        <v>6.0096939439384447E-2</v>
      </c>
      <c r="D169" s="11">
        <v>4.9666666666666661E-3</v>
      </c>
      <c r="E169" s="12">
        <f t="shared" si="5"/>
        <v>5.513027277271778E-2</v>
      </c>
    </row>
    <row r="170" spans="1:5" x14ac:dyDescent="0.25">
      <c r="A170" s="14">
        <v>36770</v>
      </c>
      <c r="B170" s="3">
        <v>120</v>
      </c>
      <c r="C170" s="10">
        <f t="shared" si="4"/>
        <v>-5.4330344545047364E-2</v>
      </c>
      <c r="D170" s="11">
        <v>5.0749999999999997E-3</v>
      </c>
      <c r="E170" s="12">
        <f t="shared" si="5"/>
        <v>-5.9405344545047367E-2</v>
      </c>
    </row>
    <row r="171" spans="1:5" x14ac:dyDescent="0.25">
      <c r="A171" s="14">
        <v>36801</v>
      </c>
      <c r="B171" s="3">
        <v>119.48</v>
      </c>
      <c r="C171" s="10">
        <f t="shared" si="4"/>
        <v>-4.3427494341369121E-3</v>
      </c>
      <c r="D171" s="11">
        <v>5.0000000000000001E-3</v>
      </c>
      <c r="E171" s="12">
        <f t="shared" si="5"/>
        <v>-9.3427494341369113E-3</v>
      </c>
    </row>
    <row r="172" spans="1:5" x14ac:dyDescent="0.25">
      <c r="A172" s="14">
        <v>36831</v>
      </c>
      <c r="B172" s="3">
        <v>110.07</v>
      </c>
      <c r="C172" s="10">
        <f t="shared" si="4"/>
        <v>-8.2032466312608798E-2</v>
      </c>
      <c r="D172" s="11">
        <v>5.0916666666666662E-3</v>
      </c>
      <c r="E172" s="12">
        <f t="shared" si="5"/>
        <v>-8.7124132979275459E-2</v>
      </c>
    </row>
    <row r="173" spans="1:5" x14ac:dyDescent="0.25">
      <c r="A173" s="14">
        <v>36861</v>
      </c>
      <c r="B173" s="3">
        <v>110.63</v>
      </c>
      <c r="C173" s="10">
        <f t="shared" si="4"/>
        <v>5.0747730115190542E-3</v>
      </c>
      <c r="D173" s="11">
        <v>5.1416666666666703E-3</v>
      </c>
      <c r="E173" s="12">
        <f t="shared" si="5"/>
        <v>-6.6893655147616006E-5</v>
      </c>
    </row>
    <row r="174" spans="1:5" x14ac:dyDescent="0.25">
      <c r="A174" s="14">
        <v>36893</v>
      </c>
      <c r="B174" s="3">
        <v>114.55</v>
      </c>
      <c r="C174" s="10">
        <f t="shared" si="4"/>
        <v>3.482010885268496E-2</v>
      </c>
      <c r="D174" s="11">
        <v>4.8083333333333329E-3</v>
      </c>
      <c r="E174" s="12">
        <f t="shared" si="5"/>
        <v>3.0011775519351629E-2</v>
      </c>
    </row>
    <row r="175" spans="1:5" x14ac:dyDescent="0.25">
      <c r="A175" s="14">
        <v>36923</v>
      </c>
      <c r="B175" s="3">
        <v>104.09</v>
      </c>
      <c r="C175" s="10">
        <f t="shared" si="4"/>
        <v>-9.5755499372127503E-2</v>
      </c>
      <c r="D175" s="11">
        <v>4.2916666666666667E-3</v>
      </c>
      <c r="E175" s="12">
        <f t="shared" si="5"/>
        <v>-0.10004716603879417</v>
      </c>
    </row>
    <row r="176" spans="1:5" x14ac:dyDescent="0.25">
      <c r="A176" s="14">
        <v>36951</v>
      </c>
      <c r="B176" s="3">
        <v>97.46</v>
      </c>
      <c r="C176" s="10">
        <f t="shared" si="4"/>
        <v>-6.5813872112016988E-2</v>
      </c>
      <c r="D176" s="11">
        <v>4.0666666666666663E-3</v>
      </c>
      <c r="E176" s="12">
        <f t="shared" si="5"/>
        <v>-6.9880538778683651E-2</v>
      </c>
    </row>
    <row r="177" spans="1:5" x14ac:dyDescent="0.25">
      <c r="A177" s="14">
        <v>36983</v>
      </c>
      <c r="B177" s="3">
        <v>105.04</v>
      </c>
      <c r="C177" s="10">
        <f t="shared" si="4"/>
        <v>7.4899192579180693E-2</v>
      </c>
      <c r="D177" s="11">
        <v>3.6833333333333336E-3</v>
      </c>
      <c r="E177" s="12">
        <f t="shared" si="5"/>
        <v>7.1215859245847363E-2</v>
      </c>
    </row>
    <row r="178" spans="1:5" x14ac:dyDescent="0.25">
      <c r="A178" s="14">
        <v>37012</v>
      </c>
      <c r="B178" s="3">
        <v>105.72</v>
      </c>
      <c r="C178" s="10">
        <f t="shared" si="4"/>
        <v>6.452859741547641E-3</v>
      </c>
      <c r="D178" s="11">
        <v>3.225E-3</v>
      </c>
      <c r="E178" s="12">
        <f t="shared" si="5"/>
        <v>3.227859741547641E-3</v>
      </c>
    </row>
    <row r="179" spans="1:5" x14ac:dyDescent="0.25">
      <c r="A179" s="14">
        <v>37043</v>
      </c>
      <c r="B179" s="3">
        <v>103.13</v>
      </c>
      <c r="C179" s="10">
        <f t="shared" si="4"/>
        <v>-2.4803761408110865E-2</v>
      </c>
      <c r="D179" s="11">
        <v>3.0166666666666671E-3</v>
      </c>
      <c r="E179" s="12">
        <f t="shared" si="5"/>
        <v>-2.7820428074777533E-2</v>
      </c>
    </row>
    <row r="180" spans="1:5" x14ac:dyDescent="0.25">
      <c r="A180" s="14">
        <v>37074</v>
      </c>
      <c r="B180" s="3">
        <v>102.1</v>
      </c>
      <c r="C180" s="10">
        <f t="shared" si="4"/>
        <v>-1.003760315735781E-2</v>
      </c>
      <c r="D180" s="11">
        <v>2.9083333333333335E-3</v>
      </c>
      <c r="E180" s="12">
        <f t="shared" si="5"/>
        <v>-1.2945936490691144E-2</v>
      </c>
    </row>
    <row r="181" spans="1:5" x14ac:dyDescent="0.25">
      <c r="A181" s="14">
        <v>37104</v>
      </c>
      <c r="B181" s="3">
        <v>95.7</v>
      </c>
      <c r="C181" s="10">
        <f t="shared" si="4"/>
        <v>-6.4734426711711188E-2</v>
      </c>
      <c r="D181" s="11">
        <v>2.9249999999999996E-3</v>
      </c>
      <c r="E181" s="12">
        <f t="shared" si="5"/>
        <v>-6.7659426711711185E-2</v>
      </c>
    </row>
    <row r="182" spans="1:5" x14ac:dyDescent="0.25">
      <c r="A182" s="14">
        <v>37138</v>
      </c>
      <c r="B182" s="3">
        <v>87.95</v>
      </c>
      <c r="C182" s="10">
        <f t="shared" si="4"/>
        <v>-8.4449827275341394E-2</v>
      </c>
      <c r="D182" s="11">
        <v>2.7999999999999995E-3</v>
      </c>
      <c r="E182" s="12">
        <f t="shared" si="5"/>
        <v>-8.7249827275341391E-2</v>
      </c>
    </row>
    <row r="183" spans="1:5" x14ac:dyDescent="0.25">
      <c r="A183" s="14">
        <v>37165</v>
      </c>
      <c r="B183" s="3">
        <v>89.61</v>
      </c>
      <c r="C183" s="10">
        <f t="shared" si="4"/>
        <v>1.869844971256086E-2</v>
      </c>
      <c r="D183" s="11">
        <v>2.2000000000000001E-3</v>
      </c>
      <c r="E183" s="12">
        <f t="shared" si="5"/>
        <v>1.6498449712560859E-2</v>
      </c>
    </row>
    <row r="184" spans="1:5" x14ac:dyDescent="0.25">
      <c r="A184" s="14">
        <v>37196</v>
      </c>
      <c r="B184" s="3">
        <v>96.47</v>
      </c>
      <c r="C184" s="10">
        <f t="shared" si="4"/>
        <v>7.3765158286334009E-2</v>
      </c>
      <c r="D184" s="11">
        <v>1.8000000000000002E-3</v>
      </c>
      <c r="E184" s="12">
        <f t="shared" si="5"/>
        <v>7.1965158286334013E-2</v>
      </c>
    </row>
    <row r="185" spans="1:5" x14ac:dyDescent="0.25">
      <c r="A185" s="14">
        <v>37228</v>
      </c>
      <c r="B185" s="3">
        <v>97.32</v>
      </c>
      <c r="C185" s="10">
        <f t="shared" si="4"/>
        <v>8.7724387328594819E-3</v>
      </c>
      <c r="D185" s="11">
        <v>1.5583333333333334E-3</v>
      </c>
      <c r="E185" s="12">
        <f t="shared" si="5"/>
        <v>7.2141053995261484E-3</v>
      </c>
    </row>
    <row r="186" spans="1:5" x14ac:dyDescent="0.25">
      <c r="A186" s="14">
        <v>37258</v>
      </c>
      <c r="B186" s="3">
        <v>95.88</v>
      </c>
      <c r="C186" s="10">
        <f t="shared" si="4"/>
        <v>-1.4907108349138229E-2</v>
      </c>
      <c r="D186" s="11">
        <v>1.4083333333333335E-3</v>
      </c>
      <c r="E186" s="12">
        <f t="shared" si="5"/>
        <v>-1.6315441682471562E-2</v>
      </c>
    </row>
    <row r="187" spans="1:5" x14ac:dyDescent="0.25">
      <c r="A187" s="14">
        <v>37288</v>
      </c>
      <c r="B187" s="3">
        <v>94.03</v>
      </c>
      <c r="C187" s="10">
        <f t="shared" si="4"/>
        <v>-1.9483529277198045E-2</v>
      </c>
      <c r="D187" s="11">
        <v>1.3749999999999999E-3</v>
      </c>
      <c r="E187" s="12">
        <f t="shared" si="5"/>
        <v>-2.0858529277198046E-2</v>
      </c>
    </row>
    <row r="188" spans="1:5" x14ac:dyDescent="0.25">
      <c r="A188" s="14">
        <v>37316</v>
      </c>
      <c r="B188" s="3">
        <v>97.55</v>
      </c>
      <c r="C188" s="10">
        <f t="shared" si="4"/>
        <v>3.6751186780134573E-2</v>
      </c>
      <c r="D188" s="11">
        <v>1.4416666666666666E-3</v>
      </c>
      <c r="E188" s="12">
        <f t="shared" si="5"/>
        <v>3.5309520113467906E-2</v>
      </c>
    </row>
    <row r="189" spans="1:5" x14ac:dyDescent="0.25">
      <c r="A189" s="14">
        <v>37347</v>
      </c>
      <c r="B189" s="3">
        <v>91.62</v>
      </c>
      <c r="C189" s="10">
        <f t="shared" si="4"/>
        <v>-6.2715478610524067E-2</v>
      </c>
      <c r="D189" s="11">
        <v>1.4916666666666667E-3</v>
      </c>
      <c r="E189" s="12">
        <f t="shared" si="5"/>
        <v>-6.4207145277190736E-2</v>
      </c>
    </row>
    <row r="190" spans="1:5" x14ac:dyDescent="0.25">
      <c r="A190" s="14">
        <v>37377</v>
      </c>
      <c r="B190" s="3">
        <v>90.93</v>
      </c>
      <c r="C190" s="10">
        <f t="shared" si="4"/>
        <v>-7.5596087207746108E-3</v>
      </c>
      <c r="D190" s="11">
        <v>1.4333333333333333E-3</v>
      </c>
      <c r="E190" s="12">
        <f t="shared" si="5"/>
        <v>-8.9929420541079441E-3</v>
      </c>
    </row>
    <row r="191" spans="1:5" x14ac:dyDescent="0.25">
      <c r="A191" s="14">
        <v>37410</v>
      </c>
      <c r="B191" s="3">
        <v>84.44</v>
      </c>
      <c r="C191" s="10">
        <f t="shared" si="4"/>
        <v>-7.404875675770177E-2</v>
      </c>
      <c r="D191" s="11">
        <v>1.4416666666666666E-3</v>
      </c>
      <c r="E191" s="12">
        <f t="shared" si="5"/>
        <v>-7.549042342436843E-2</v>
      </c>
    </row>
    <row r="192" spans="1:5" x14ac:dyDescent="0.25">
      <c r="A192" s="14">
        <v>37438</v>
      </c>
      <c r="B192" s="3">
        <v>77.92</v>
      </c>
      <c r="C192" s="10">
        <f t="shared" si="4"/>
        <v>-8.0358563645840139E-2</v>
      </c>
      <c r="D192" s="11">
        <v>1.4166666666666666E-3</v>
      </c>
      <c r="E192" s="12">
        <f t="shared" si="5"/>
        <v>-8.1775230312506803E-2</v>
      </c>
    </row>
    <row r="193" spans="1:5" x14ac:dyDescent="0.25">
      <c r="A193" s="14">
        <v>37469</v>
      </c>
      <c r="B193" s="3">
        <v>78.430000000000007</v>
      </c>
      <c r="C193" s="10">
        <f t="shared" si="4"/>
        <v>6.5238478902954139E-3</v>
      </c>
      <c r="D193" s="11">
        <v>1.3999999999999998E-3</v>
      </c>
      <c r="E193" s="12">
        <f t="shared" si="5"/>
        <v>5.1238478902954146E-3</v>
      </c>
    </row>
    <row r="194" spans="1:5" x14ac:dyDescent="0.25">
      <c r="A194" s="14">
        <v>37502</v>
      </c>
      <c r="B194" s="3">
        <v>69.89</v>
      </c>
      <c r="C194" s="10">
        <f t="shared" si="4"/>
        <v>-0.11528392973553753</v>
      </c>
      <c r="D194" s="11">
        <v>1.3500000000000001E-3</v>
      </c>
      <c r="E194" s="12">
        <f t="shared" si="5"/>
        <v>-0.11663392973553753</v>
      </c>
    </row>
    <row r="195" spans="1:5" x14ac:dyDescent="0.25">
      <c r="A195" s="14">
        <v>37530</v>
      </c>
      <c r="B195" s="3">
        <v>76.03</v>
      </c>
      <c r="C195" s="10">
        <f t="shared" si="4"/>
        <v>8.4205421751307546E-2</v>
      </c>
      <c r="D195" s="11">
        <v>1.3583333333333334E-3</v>
      </c>
      <c r="E195" s="12">
        <f t="shared" si="5"/>
        <v>8.284708841797421E-2</v>
      </c>
    </row>
    <row r="196" spans="1:5" x14ac:dyDescent="0.25">
      <c r="A196" s="14">
        <v>37561</v>
      </c>
      <c r="B196" s="3">
        <v>80.709999999999994</v>
      </c>
      <c r="C196" s="10">
        <f t="shared" si="4"/>
        <v>5.9734484095935639E-2</v>
      </c>
      <c r="D196" s="11">
        <v>1.3166666666666667E-3</v>
      </c>
      <c r="E196" s="12">
        <f t="shared" si="5"/>
        <v>5.8417817429268971E-2</v>
      </c>
    </row>
    <row r="197" spans="1:5" x14ac:dyDescent="0.25">
      <c r="A197" s="14">
        <v>37592</v>
      </c>
      <c r="B197" s="3">
        <v>75.739999999999995</v>
      </c>
      <c r="C197" s="10">
        <f t="shared" si="4"/>
        <v>-6.3556060862632213E-2</v>
      </c>
      <c r="D197" s="11">
        <v>1.0249999999999999E-3</v>
      </c>
      <c r="E197" s="12">
        <f t="shared" si="5"/>
        <v>-6.4581060862632211E-2</v>
      </c>
    </row>
    <row r="198" spans="1:5" x14ac:dyDescent="0.25">
      <c r="A198" s="14">
        <v>37623</v>
      </c>
      <c r="B198" s="3">
        <v>73.760000000000005</v>
      </c>
      <c r="C198" s="10">
        <f t="shared" si="4"/>
        <v>-2.6489843225310214E-2</v>
      </c>
      <c r="D198" s="11">
        <v>9.9166666666666674E-4</v>
      </c>
      <c r="E198" s="12">
        <f t="shared" si="5"/>
        <v>-2.7481509891976882E-2</v>
      </c>
    </row>
    <row r="199" spans="1:5" x14ac:dyDescent="0.25">
      <c r="A199" s="14">
        <v>37655</v>
      </c>
      <c r="B199" s="3">
        <v>72.64</v>
      </c>
      <c r="C199" s="10">
        <f t="shared" si="4"/>
        <v>-1.5300844955300598E-2</v>
      </c>
      <c r="D199" s="11">
        <v>9.7499999999999985E-4</v>
      </c>
      <c r="E199" s="12">
        <f t="shared" si="5"/>
        <v>-1.6275844955300597E-2</v>
      </c>
    </row>
    <row r="200" spans="1:5" x14ac:dyDescent="0.25">
      <c r="A200" s="14">
        <v>37683</v>
      </c>
      <c r="B200" s="3">
        <v>73.33</v>
      </c>
      <c r="C200" s="10">
        <f t="shared" si="4"/>
        <v>9.4540678126703286E-3</v>
      </c>
      <c r="D200" s="11">
        <v>9.7499999999999985E-4</v>
      </c>
      <c r="E200" s="12">
        <f t="shared" si="5"/>
        <v>8.4790678126703285E-3</v>
      </c>
    </row>
    <row r="201" spans="1:5" x14ac:dyDescent="0.25">
      <c r="A201" s="14">
        <v>37712</v>
      </c>
      <c r="B201" s="3">
        <v>79.38</v>
      </c>
      <c r="C201" s="10">
        <f t="shared" si="4"/>
        <v>7.9276645249211075E-2</v>
      </c>
      <c r="D201" s="11">
        <v>9.4166666666666661E-4</v>
      </c>
      <c r="E201" s="12">
        <f t="shared" si="5"/>
        <v>7.8334978582544415E-2</v>
      </c>
    </row>
    <row r="202" spans="1:5" x14ac:dyDescent="0.25">
      <c r="A202" s="14">
        <v>37742</v>
      </c>
      <c r="B202" s="3">
        <v>83.56</v>
      </c>
      <c r="C202" s="10">
        <f t="shared" ref="C202:C241" si="6">LN(B202/B201)</f>
        <v>5.1318489333445828E-2</v>
      </c>
      <c r="D202" s="11">
        <v>9.4166666666666661E-4</v>
      </c>
      <c r="E202" s="12">
        <f t="shared" si="5"/>
        <v>5.0376822666779161E-2</v>
      </c>
    </row>
    <row r="203" spans="1:5" x14ac:dyDescent="0.25">
      <c r="A203" s="14">
        <v>37774</v>
      </c>
      <c r="B203" s="3">
        <v>84.61</v>
      </c>
      <c r="C203" s="10">
        <f t="shared" si="6"/>
        <v>1.2487526248044539E-2</v>
      </c>
      <c r="D203" s="11">
        <v>8.9166666666666669E-4</v>
      </c>
      <c r="E203" s="12">
        <f t="shared" ref="E203:E241" si="7">C203-D203</f>
        <v>1.1595859581377871E-2</v>
      </c>
    </row>
    <row r="204" spans="1:5" x14ac:dyDescent="0.25">
      <c r="A204" s="14">
        <v>37803</v>
      </c>
      <c r="B204" s="3">
        <v>86.09</v>
      </c>
      <c r="C204" s="10">
        <f t="shared" si="6"/>
        <v>1.7340797733453733E-2</v>
      </c>
      <c r="D204" s="11">
        <v>7.666666666666668E-4</v>
      </c>
      <c r="E204" s="12">
        <f t="shared" si="7"/>
        <v>1.6574131066787068E-2</v>
      </c>
    </row>
    <row r="205" spans="1:5" x14ac:dyDescent="0.25">
      <c r="A205" s="14">
        <v>37834</v>
      </c>
      <c r="B205" s="3">
        <v>87.75</v>
      </c>
      <c r="C205" s="10">
        <f t="shared" si="6"/>
        <v>1.909860167611193E-2</v>
      </c>
      <c r="D205" s="11">
        <v>7.5000000000000002E-4</v>
      </c>
      <c r="E205" s="12">
        <f t="shared" si="7"/>
        <v>1.8348601676111929E-2</v>
      </c>
    </row>
    <row r="206" spans="1:5" x14ac:dyDescent="0.25">
      <c r="A206" s="14">
        <v>37866</v>
      </c>
      <c r="B206" s="3">
        <v>86.81</v>
      </c>
      <c r="C206" s="10">
        <f t="shared" si="6"/>
        <v>-1.0770039942258551E-2</v>
      </c>
      <c r="D206" s="11">
        <v>7.9166666666666665E-4</v>
      </c>
      <c r="E206" s="12">
        <f t="shared" si="7"/>
        <v>-1.1561706608925217E-2</v>
      </c>
    </row>
    <row r="207" spans="1:5" x14ac:dyDescent="0.25">
      <c r="A207" s="14">
        <v>37895</v>
      </c>
      <c r="B207" s="3">
        <v>91.71</v>
      </c>
      <c r="C207" s="10">
        <f t="shared" si="6"/>
        <v>5.4909602167136098E-2</v>
      </c>
      <c r="D207" s="11">
        <v>7.8333333333333326E-4</v>
      </c>
      <c r="E207" s="12">
        <f t="shared" si="7"/>
        <v>5.4126268833802768E-2</v>
      </c>
    </row>
    <row r="208" spans="1:5" x14ac:dyDescent="0.25">
      <c r="A208" s="14">
        <v>37928</v>
      </c>
      <c r="B208" s="3">
        <v>92.5</v>
      </c>
      <c r="C208" s="10">
        <f t="shared" si="6"/>
        <v>8.5772199475267277E-3</v>
      </c>
      <c r="D208" s="11">
        <v>7.666666666666668E-4</v>
      </c>
      <c r="E208" s="12">
        <f t="shared" si="7"/>
        <v>7.8105532808600605E-3</v>
      </c>
    </row>
    <row r="209" spans="1:5" x14ac:dyDescent="0.25">
      <c r="A209" s="14">
        <v>37956</v>
      </c>
      <c r="B209" s="3">
        <v>97.33</v>
      </c>
      <c r="C209" s="10">
        <f t="shared" si="6"/>
        <v>5.0898621920022813E-2</v>
      </c>
      <c r="D209" s="11">
        <v>7.7499999999999997E-4</v>
      </c>
      <c r="E209" s="12">
        <f t="shared" si="7"/>
        <v>5.0123621920022815E-2</v>
      </c>
    </row>
    <row r="210" spans="1:5" x14ac:dyDescent="0.25">
      <c r="A210" s="14">
        <v>37988</v>
      </c>
      <c r="B210" s="3">
        <v>99.1</v>
      </c>
      <c r="C210" s="10">
        <f t="shared" si="6"/>
        <v>1.8022174897540117E-2</v>
      </c>
      <c r="D210" s="11">
        <v>7.5000000000000002E-4</v>
      </c>
      <c r="E210" s="12">
        <f t="shared" si="7"/>
        <v>1.7272174897540116E-2</v>
      </c>
    </row>
    <row r="211" spans="1:5" x14ac:dyDescent="0.25">
      <c r="A211" s="14">
        <v>38019</v>
      </c>
      <c r="B211" s="3">
        <v>100.47</v>
      </c>
      <c r="C211" s="10">
        <f t="shared" si="6"/>
        <v>1.3729734138280559E-2</v>
      </c>
      <c r="D211" s="11">
        <v>7.3333333333333334E-4</v>
      </c>
      <c r="E211" s="12">
        <f t="shared" si="7"/>
        <v>1.2996400804947225E-2</v>
      </c>
    </row>
    <row r="212" spans="1:5" x14ac:dyDescent="0.25">
      <c r="A212" s="14">
        <v>38047</v>
      </c>
      <c r="B212" s="3">
        <v>98.95</v>
      </c>
      <c r="C212" s="10">
        <f t="shared" si="6"/>
        <v>-1.5244503425648172E-2</v>
      </c>
      <c r="D212" s="11">
        <v>7.7499999999999997E-4</v>
      </c>
      <c r="E212" s="12">
        <f t="shared" si="7"/>
        <v>-1.6019503425648174E-2</v>
      </c>
    </row>
    <row r="213" spans="1:5" x14ac:dyDescent="0.25">
      <c r="A213" s="14">
        <v>38078</v>
      </c>
      <c r="B213" s="3">
        <v>97.39</v>
      </c>
      <c r="C213" s="10">
        <f t="shared" si="6"/>
        <v>-1.5891136075466883E-2</v>
      </c>
      <c r="D213" s="11">
        <v>7.8333333333333326E-4</v>
      </c>
      <c r="E213" s="12">
        <f t="shared" si="7"/>
        <v>-1.6674469408800217E-2</v>
      </c>
    </row>
    <row r="214" spans="1:5" x14ac:dyDescent="0.25">
      <c r="A214" s="14">
        <v>38110</v>
      </c>
      <c r="B214" s="3">
        <v>98.71</v>
      </c>
      <c r="C214" s="10">
        <f t="shared" si="6"/>
        <v>1.3462722456688678E-2</v>
      </c>
      <c r="D214" s="11">
        <v>7.8333333333333326E-4</v>
      </c>
      <c r="E214" s="12">
        <f t="shared" si="7"/>
        <v>1.2679389123355344E-2</v>
      </c>
    </row>
    <row r="215" spans="1:5" x14ac:dyDescent="0.25">
      <c r="A215" s="14">
        <v>38139</v>
      </c>
      <c r="B215" s="3">
        <v>100.61</v>
      </c>
      <c r="C215" s="10">
        <f t="shared" si="6"/>
        <v>1.9065397874162875E-2</v>
      </c>
      <c r="D215" s="11">
        <v>8.5000000000000006E-4</v>
      </c>
      <c r="E215" s="12">
        <f t="shared" si="7"/>
        <v>1.8215397874162875E-2</v>
      </c>
    </row>
    <row r="216" spans="1:5" x14ac:dyDescent="0.25">
      <c r="A216" s="14">
        <v>38169</v>
      </c>
      <c r="B216" s="3">
        <v>97.28</v>
      </c>
      <c r="C216" s="10">
        <f t="shared" si="6"/>
        <v>-3.3658238086102396E-2</v>
      </c>
      <c r="D216" s="11">
        <v>1.0583333333333334E-3</v>
      </c>
      <c r="E216" s="12">
        <f t="shared" si="7"/>
        <v>-3.4716571419435731E-2</v>
      </c>
    </row>
    <row r="217" spans="1:5" x14ac:dyDescent="0.25">
      <c r="A217" s="14">
        <v>38201</v>
      </c>
      <c r="B217" s="3">
        <v>97.65</v>
      </c>
      <c r="C217" s="10">
        <f t="shared" si="6"/>
        <v>3.7962391048310053E-3</v>
      </c>
      <c r="D217" s="11">
        <v>1.1083333333333333E-3</v>
      </c>
      <c r="E217" s="12">
        <f t="shared" si="7"/>
        <v>2.6879057714976722E-3</v>
      </c>
    </row>
    <row r="218" spans="1:5" x14ac:dyDescent="0.25">
      <c r="A218" s="14">
        <v>38231</v>
      </c>
      <c r="B218" s="3">
        <v>98.69</v>
      </c>
      <c r="C218" s="10">
        <f t="shared" si="6"/>
        <v>1.0593966861227712E-2</v>
      </c>
      <c r="D218" s="11">
        <v>1.2333333333333335E-3</v>
      </c>
      <c r="E218" s="12">
        <f t="shared" si="7"/>
        <v>9.3606335278943794E-3</v>
      </c>
    </row>
    <row r="219" spans="1:5" x14ac:dyDescent="0.25">
      <c r="A219" s="14">
        <v>38261</v>
      </c>
      <c r="B219" s="3">
        <v>100.19</v>
      </c>
      <c r="C219" s="10">
        <f t="shared" si="6"/>
        <v>1.5084759087255827E-2</v>
      </c>
      <c r="D219" s="11">
        <v>1.3749999999999999E-3</v>
      </c>
      <c r="E219" s="12">
        <f t="shared" si="7"/>
        <v>1.3709759087255828E-2</v>
      </c>
    </row>
    <row r="220" spans="1:5" x14ac:dyDescent="0.25">
      <c r="A220" s="14">
        <v>38292</v>
      </c>
      <c r="B220" s="3">
        <v>104.24</v>
      </c>
      <c r="C220" s="10">
        <f t="shared" si="6"/>
        <v>3.9627549545418E-2</v>
      </c>
      <c r="D220" s="11">
        <v>1.4666666666666667E-3</v>
      </c>
      <c r="E220" s="12">
        <f t="shared" si="7"/>
        <v>3.8160882878751336E-2</v>
      </c>
    </row>
    <row r="221" spans="1:5" x14ac:dyDescent="0.25">
      <c r="A221" s="14">
        <v>38322</v>
      </c>
      <c r="B221" s="3">
        <v>107.78</v>
      </c>
      <c r="C221" s="10">
        <f t="shared" si="6"/>
        <v>3.3396179688760991E-2</v>
      </c>
      <c r="D221" s="11">
        <v>1.725E-3</v>
      </c>
      <c r="E221" s="12">
        <f t="shared" si="7"/>
        <v>3.1671179688760993E-2</v>
      </c>
    </row>
    <row r="222" spans="1:5" x14ac:dyDescent="0.25">
      <c r="A222" s="14">
        <v>38355</v>
      </c>
      <c r="B222" s="3">
        <v>105.14</v>
      </c>
      <c r="C222" s="10">
        <f t="shared" si="6"/>
        <v>-2.4799317114048595E-2</v>
      </c>
      <c r="D222" s="11">
        <v>1.825E-3</v>
      </c>
      <c r="E222" s="12">
        <f t="shared" si="7"/>
        <v>-2.6624317114048595E-2</v>
      </c>
    </row>
    <row r="223" spans="1:5" x14ac:dyDescent="0.25">
      <c r="A223" s="14">
        <v>38384</v>
      </c>
      <c r="B223" s="3">
        <v>107.34</v>
      </c>
      <c r="C223" s="10">
        <f t="shared" si="6"/>
        <v>2.0708571357380887E-2</v>
      </c>
      <c r="D223" s="11">
        <v>1.9416666666666668E-3</v>
      </c>
      <c r="E223" s="12">
        <f t="shared" si="7"/>
        <v>1.8766904690714219E-2</v>
      </c>
    </row>
    <row r="224" spans="1:5" x14ac:dyDescent="0.25">
      <c r="A224" s="14">
        <v>38412</v>
      </c>
      <c r="B224" s="3">
        <v>105.45</v>
      </c>
      <c r="C224" s="10">
        <f t="shared" si="6"/>
        <v>-1.7764459823899202E-2</v>
      </c>
      <c r="D224" s="11">
        <v>2.1166666666666669E-3</v>
      </c>
      <c r="E224" s="12">
        <f t="shared" si="7"/>
        <v>-1.9881126490565868E-2</v>
      </c>
    </row>
    <row r="225" spans="1:5" x14ac:dyDescent="0.25">
      <c r="A225" s="14">
        <v>38443</v>
      </c>
      <c r="B225" s="3">
        <v>103.43</v>
      </c>
      <c r="C225" s="10">
        <f t="shared" si="6"/>
        <v>-1.9341851535071248E-2</v>
      </c>
      <c r="D225" s="11">
        <v>2.2833333333333334E-3</v>
      </c>
      <c r="E225" s="12">
        <f t="shared" si="7"/>
        <v>-2.1625184868404583E-2</v>
      </c>
    </row>
    <row r="226" spans="1:5" x14ac:dyDescent="0.25">
      <c r="A226" s="14">
        <v>38474</v>
      </c>
      <c r="B226" s="3">
        <v>106.71</v>
      </c>
      <c r="C226" s="10">
        <f t="shared" si="6"/>
        <v>3.1219819238761201E-2</v>
      </c>
      <c r="D226" s="11">
        <v>2.3166666666666665E-3</v>
      </c>
      <c r="E226" s="12">
        <f t="shared" si="7"/>
        <v>2.8903152572094533E-2</v>
      </c>
    </row>
    <row r="227" spans="1:5" x14ac:dyDescent="0.25">
      <c r="A227" s="14">
        <v>38504</v>
      </c>
      <c r="B227" s="3">
        <v>106.84</v>
      </c>
      <c r="C227" s="10">
        <f t="shared" si="6"/>
        <v>1.2175136132866087E-3</v>
      </c>
      <c r="D227" s="11">
        <v>2.3666666666666667E-3</v>
      </c>
      <c r="E227" s="12">
        <f t="shared" si="7"/>
        <v>-1.1491530533800579E-3</v>
      </c>
    </row>
    <row r="228" spans="1:5" x14ac:dyDescent="0.25">
      <c r="A228" s="14">
        <v>38534</v>
      </c>
      <c r="B228" s="3">
        <v>110.8</v>
      </c>
      <c r="C228" s="10">
        <f t="shared" si="6"/>
        <v>3.6394386071423208E-2</v>
      </c>
      <c r="D228" s="11">
        <v>2.4750000000000002E-3</v>
      </c>
      <c r="E228" s="12">
        <f t="shared" si="7"/>
        <v>3.391938607142321E-2</v>
      </c>
    </row>
    <row r="229" spans="1:5" x14ac:dyDescent="0.25">
      <c r="A229" s="14">
        <v>38565</v>
      </c>
      <c r="B229" s="3">
        <v>109.79</v>
      </c>
      <c r="C229" s="10">
        <f t="shared" si="6"/>
        <v>-9.1573240665423078E-3</v>
      </c>
      <c r="D229" s="11">
        <v>2.6833333333333336E-3</v>
      </c>
      <c r="E229" s="12">
        <f t="shared" si="7"/>
        <v>-1.1840657399875641E-2</v>
      </c>
    </row>
    <row r="230" spans="1:5" x14ac:dyDescent="0.25">
      <c r="A230" s="14">
        <v>38596</v>
      </c>
      <c r="B230" s="3">
        <v>110.66</v>
      </c>
      <c r="C230" s="10">
        <f t="shared" si="6"/>
        <v>7.8929872233225486E-3</v>
      </c>
      <c r="D230" s="11">
        <v>2.8666666666666667E-3</v>
      </c>
      <c r="E230" s="12">
        <f t="shared" si="7"/>
        <v>5.0263205566558819E-3</v>
      </c>
    </row>
    <row r="231" spans="1:5" x14ac:dyDescent="0.25">
      <c r="A231" s="14">
        <v>38628</v>
      </c>
      <c r="B231" s="3">
        <v>108.8</v>
      </c>
      <c r="C231" s="10">
        <f t="shared" si="6"/>
        <v>-1.6951103048121391E-2</v>
      </c>
      <c r="D231" s="11">
        <v>2.8499999999999997E-3</v>
      </c>
      <c r="E231" s="12">
        <f t="shared" si="7"/>
        <v>-1.9801103048121389E-2</v>
      </c>
    </row>
    <row r="232" spans="1:5" x14ac:dyDescent="0.25">
      <c r="A232" s="14">
        <v>38657</v>
      </c>
      <c r="B232" s="3">
        <v>112.9</v>
      </c>
      <c r="C232" s="10">
        <f t="shared" si="6"/>
        <v>3.6991136733774216E-2</v>
      </c>
      <c r="D232" s="11">
        <v>3.0916666666666666E-3</v>
      </c>
      <c r="E232" s="12">
        <f t="shared" si="7"/>
        <v>3.389947006710755E-2</v>
      </c>
    </row>
    <row r="233" spans="1:5" x14ac:dyDescent="0.25">
      <c r="A233" s="14">
        <v>38687</v>
      </c>
      <c r="B233" s="3">
        <v>112.92</v>
      </c>
      <c r="C233" s="10">
        <f t="shared" si="6"/>
        <v>1.7713222967226359E-4</v>
      </c>
      <c r="D233" s="11">
        <v>3.2333333333333329E-3</v>
      </c>
      <c r="E233" s="12">
        <f t="shared" si="7"/>
        <v>-3.0562011036610695E-3</v>
      </c>
    </row>
    <row r="234" spans="1:5" x14ac:dyDescent="0.25">
      <c r="A234" s="14">
        <v>38720</v>
      </c>
      <c r="B234" s="3">
        <v>115.91</v>
      </c>
      <c r="C234" s="10">
        <f t="shared" si="6"/>
        <v>2.6134424515365007E-2</v>
      </c>
      <c r="D234" s="11">
        <v>3.2416666666666666E-3</v>
      </c>
      <c r="E234" s="12">
        <f t="shared" si="7"/>
        <v>2.289275784869834E-2</v>
      </c>
    </row>
    <row r="235" spans="1:5" x14ac:dyDescent="0.25">
      <c r="A235" s="14">
        <v>38749</v>
      </c>
      <c r="B235" s="3">
        <v>116.21</v>
      </c>
      <c r="C235" s="10">
        <f t="shared" si="6"/>
        <v>2.5848713341285997E-3</v>
      </c>
      <c r="D235" s="11">
        <v>3.5333333333333332E-3</v>
      </c>
      <c r="E235" s="12">
        <f t="shared" si="7"/>
        <v>-9.4846199920473355E-4</v>
      </c>
    </row>
    <row r="236" spans="1:5" x14ac:dyDescent="0.25">
      <c r="A236" s="14">
        <v>38777</v>
      </c>
      <c r="B236" s="3">
        <v>117.65</v>
      </c>
      <c r="C236" s="10">
        <f t="shared" si="6"/>
        <v>1.2315215938589152E-2</v>
      </c>
      <c r="D236" s="11">
        <v>3.6916666666666664E-3</v>
      </c>
      <c r="E236" s="12">
        <f t="shared" si="7"/>
        <v>8.6235492719224857E-3</v>
      </c>
    </row>
    <row r="237" spans="1:5" x14ac:dyDescent="0.25">
      <c r="A237" s="14">
        <v>38810</v>
      </c>
      <c r="B237" s="3">
        <v>119.22</v>
      </c>
      <c r="C237" s="10">
        <f t="shared" si="6"/>
        <v>1.3256410618408886E-2</v>
      </c>
      <c r="D237" s="11">
        <v>3.7583333333333331E-3</v>
      </c>
      <c r="E237" s="12">
        <f t="shared" si="7"/>
        <v>9.498077285075554E-3</v>
      </c>
    </row>
    <row r="238" spans="1:5" x14ac:dyDescent="0.25">
      <c r="A238" s="14">
        <v>38838</v>
      </c>
      <c r="B238" s="3">
        <v>115.76</v>
      </c>
      <c r="C238" s="10">
        <f t="shared" si="6"/>
        <v>-2.9451443468551962E-2</v>
      </c>
      <c r="D238" s="11">
        <v>3.8333333333333331E-3</v>
      </c>
      <c r="E238" s="12">
        <f t="shared" si="7"/>
        <v>-3.3284776801885296E-2</v>
      </c>
    </row>
    <row r="239" spans="1:5" x14ac:dyDescent="0.25">
      <c r="A239" s="14">
        <v>38869</v>
      </c>
      <c r="B239" s="3">
        <v>115.91</v>
      </c>
      <c r="C239" s="10">
        <f t="shared" si="6"/>
        <v>1.2949455774252212E-3</v>
      </c>
      <c r="D239" s="11">
        <v>3.933333333333333E-3</v>
      </c>
      <c r="E239" s="12">
        <f t="shared" si="7"/>
        <v>-2.638387755908112E-3</v>
      </c>
    </row>
    <row r="240" spans="1:5" x14ac:dyDescent="0.25">
      <c r="A240" s="14">
        <v>38901</v>
      </c>
      <c r="B240" s="3">
        <v>116.61</v>
      </c>
      <c r="C240" s="10">
        <f t="shared" si="6"/>
        <v>6.0210056315879125E-3</v>
      </c>
      <c r="D240" s="11">
        <v>3.9916666666666668E-3</v>
      </c>
      <c r="E240" s="12">
        <f t="shared" si="7"/>
        <v>2.0293389649212457E-3</v>
      </c>
    </row>
    <row r="241" spans="1:5" x14ac:dyDescent="0.25">
      <c r="A241" s="14">
        <v>38930</v>
      </c>
      <c r="B241" s="3">
        <v>119.37</v>
      </c>
      <c r="C241" s="10">
        <f t="shared" si="6"/>
        <v>2.3392879574705594E-2</v>
      </c>
      <c r="D241" s="11">
        <v>4.1250000000000002E-3</v>
      </c>
      <c r="E241" s="12">
        <f t="shared" si="7"/>
        <v>1.9267879574705594E-2</v>
      </c>
    </row>
    <row r="242" spans="1:5" x14ac:dyDescent="0.25">
      <c r="A242" s="13"/>
    </row>
    <row r="243" spans="1:5" x14ac:dyDescent="0.25">
      <c r="A243" s="13"/>
    </row>
    <row r="244" spans="1:5" x14ac:dyDescent="0.25">
      <c r="A244" s="13"/>
    </row>
    <row r="245" spans="1:5" x14ac:dyDescent="0.25">
      <c r="A245" s="13"/>
    </row>
    <row r="246" spans="1:5" x14ac:dyDescent="0.25">
      <c r="A246" s="13"/>
    </row>
    <row r="247" spans="1:5" x14ac:dyDescent="0.25">
      <c r="A247" s="13"/>
    </row>
    <row r="248" spans="1:5" x14ac:dyDescent="0.25">
      <c r="A248" s="13"/>
    </row>
    <row r="249" spans="1:5" x14ac:dyDescent="0.25">
      <c r="A249" s="13"/>
    </row>
    <row r="250" spans="1:5" x14ac:dyDescent="0.25">
      <c r="A250" s="13"/>
    </row>
    <row r="251" spans="1:5" x14ac:dyDescent="0.25">
      <c r="A251" s="13"/>
    </row>
    <row r="252" spans="1:5" x14ac:dyDescent="0.25">
      <c r="A252" s="13"/>
    </row>
    <row r="253" spans="1:5" x14ac:dyDescent="0.25">
      <c r="A253" s="13"/>
    </row>
    <row r="254" spans="1:5" x14ac:dyDescent="0.25">
      <c r="A254" s="13"/>
    </row>
    <row r="255" spans="1:5" x14ac:dyDescent="0.25">
      <c r="A255" s="13"/>
    </row>
    <row r="256" spans="1:5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  <row r="273" spans="1:1" x14ac:dyDescent="0.25">
      <c r="A273" s="13"/>
    </row>
    <row r="274" spans="1:1" x14ac:dyDescent="0.25">
      <c r="A274" s="13"/>
    </row>
    <row r="275" spans="1:1" x14ac:dyDescent="0.25">
      <c r="A275" s="13"/>
    </row>
    <row r="276" spans="1:1" x14ac:dyDescent="0.25">
      <c r="A276" s="13"/>
    </row>
    <row r="277" spans="1:1" x14ac:dyDescent="0.25">
      <c r="A277" s="13"/>
    </row>
    <row r="278" spans="1:1" x14ac:dyDescent="0.25">
      <c r="A278" s="13"/>
    </row>
    <row r="279" spans="1:1" x14ac:dyDescent="0.25">
      <c r="A279" s="13"/>
    </row>
    <row r="280" spans="1:1" x14ac:dyDescent="0.25">
      <c r="A280" s="13"/>
    </row>
    <row r="281" spans="1:1" x14ac:dyDescent="0.25">
      <c r="A281" s="13"/>
    </row>
    <row r="282" spans="1:1" x14ac:dyDescent="0.25">
      <c r="A282" s="13"/>
    </row>
    <row r="283" spans="1:1" x14ac:dyDescent="0.25">
      <c r="A283" s="13"/>
    </row>
    <row r="284" spans="1:1" x14ac:dyDescent="0.25">
      <c r="A284" s="13"/>
    </row>
    <row r="285" spans="1:1" x14ac:dyDescent="0.25">
      <c r="A285" s="13"/>
    </row>
    <row r="286" spans="1:1" x14ac:dyDescent="0.25">
      <c r="A286" s="13"/>
    </row>
    <row r="287" spans="1:1" x14ac:dyDescent="0.25">
      <c r="A287" s="13"/>
    </row>
    <row r="288" spans="1:1" x14ac:dyDescent="0.25">
      <c r="A288" s="13"/>
    </row>
    <row r="289" spans="1:1" x14ac:dyDescent="0.25">
      <c r="A289" s="13"/>
    </row>
    <row r="290" spans="1:1" x14ac:dyDescent="0.25">
      <c r="A290" s="13"/>
    </row>
    <row r="291" spans="1:1" x14ac:dyDescent="0.25">
      <c r="A291" s="13"/>
    </row>
    <row r="292" spans="1:1" x14ac:dyDescent="0.25">
      <c r="A292" s="13"/>
    </row>
    <row r="293" spans="1:1" x14ac:dyDescent="0.25">
      <c r="A293" s="13"/>
    </row>
    <row r="294" spans="1:1" x14ac:dyDescent="0.25">
      <c r="A294" s="13"/>
    </row>
    <row r="295" spans="1:1" x14ac:dyDescent="0.25">
      <c r="A295" s="13"/>
    </row>
    <row r="296" spans="1:1" x14ac:dyDescent="0.25">
      <c r="A296" s="13"/>
    </row>
    <row r="297" spans="1:1" x14ac:dyDescent="0.25">
      <c r="A297" s="13"/>
    </row>
    <row r="298" spans="1:1" x14ac:dyDescent="0.25">
      <c r="A298" s="13"/>
    </row>
    <row r="299" spans="1:1" x14ac:dyDescent="0.25">
      <c r="A299" s="13"/>
    </row>
    <row r="300" spans="1:1" x14ac:dyDescent="0.25">
      <c r="A300" s="13"/>
    </row>
    <row r="301" spans="1:1" x14ac:dyDescent="0.25">
      <c r="A301" s="13"/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2024-10-08T05:13:01Z</dcterms:modified>
</cp:coreProperties>
</file>