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"/>
    </mc:Choice>
  </mc:AlternateContent>
  <xr:revisionPtr revIDLastSave="0" documentId="13_ncr:1_{56EC3324-C1E2-4C61-BC0E-B8E2425F5F8B}" xr6:coauthVersionLast="47" xr6:coauthVersionMax="47" xr10:uidLastSave="{00000000-0000-0000-0000-000000000000}"/>
  <bookViews>
    <workbookView xWindow="28680" yWindow="-120" windowWidth="16440" windowHeight="283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2" i="1"/>
  <c r="B8" i="1" s="1"/>
  <c r="C8" i="1"/>
  <c r="C7" i="1"/>
  <c r="B7" i="1" l="1"/>
</calcChain>
</file>

<file path=xl/sharedStrings.xml><?xml version="1.0" encoding="utf-8"?>
<sst xmlns="http://schemas.openxmlformats.org/spreadsheetml/2006/main" count="10" uniqueCount="10">
  <si>
    <r>
      <t>COMPUTING THE COST OF EQUITY FOR INTEL USING THE MARKET RISK PREMIUM E(r</t>
    </r>
    <r>
      <rPr>
        <b/>
        <vertAlign val="subscript"/>
        <sz val="14"/>
        <rFont val="Arial"/>
        <family val="2"/>
      </rPr>
      <t>M</t>
    </r>
    <r>
      <rPr>
        <b/>
        <sz val="14"/>
        <rFont val="Arial"/>
        <family val="2"/>
      </rPr>
      <t>) - r</t>
    </r>
    <r>
      <rPr>
        <b/>
        <vertAlign val="subscript"/>
        <sz val="14"/>
        <rFont val="Arial"/>
        <family val="2"/>
      </rPr>
      <t>f</t>
    </r>
    <r>
      <rPr>
        <b/>
        <sz val="12"/>
        <rFont val="Arial"/>
        <family val="2"/>
      </rPr>
      <t/>
    </r>
  </si>
  <si>
    <t>Intel beta</t>
  </si>
  <si>
    <t>Historical market risk premium</t>
  </si>
  <si>
    <r>
      <t>Intel tax rate, T</t>
    </r>
    <r>
      <rPr>
        <vertAlign val="subscript"/>
        <sz val="10"/>
        <rFont val="Arial"/>
        <family val="2"/>
      </rPr>
      <t>C</t>
    </r>
  </si>
  <si>
    <t>&lt;-- Computed from Intel financials</t>
  </si>
  <si>
    <r>
      <t>Risk free rate, r</t>
    </r>
    <r>
      <rPr>
        <vertAlign val="subscript"/>
        <sz val="10"/>
        <rFont val="Arial"/>
        <family val="2"/>
      </rPr>
      <t>f</t>
    </r>
  </si>
  <si>
    <r>
      <t>Intel cost of equity, r</t>
    </r>
    <r>
      <rPr>
        <vertAlign val="subscript"/>
        <sz val="10"/>
        <rFont val="Arial"/>
        <family val="2"/>
      </rPr>
      <t>E,Intel</t>
    </r>
  </si>
  <si>
    <t xml:space="preserve">     Classic CAPM</t>
  </si>
  <si>
    <t xml:space="preserve">     Tax-adjusted CAPM</t>
  </si>
  <si>
    <r>
      <t>Note</t>
    </r>
    <r>
      <rPr>
        <sz val="10"/>
        <rFont val="Arial"/>
        <family val="2"/>
      </rPr>
      <t>:  The tax-adjusted model in cell B8 uses the equivalence:
E(r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</rPr>
      <t>) - r</t>
    </r>
    <r>
      <rPr>
        <vertAlign val="subscript"/>
        <sz val="10"/>
        <rFont val="Arial"/>
        <family val="2"/>
      </rPr>
      <t>f</t>
    </r>
    <r>
      <rPr>
        <sz val="10"/>
        <rFont val="Arial"/>
        <family val="2"/>
      </rPr>
      <t xml:space="preserve"> (1-T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>) = E(r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</rPr>
      <t>) - r</t>
    </r>
    <r>
      <rPr>
        <vertAlign val="subscript"/>
        <sz val="10"/>
        <rFont val="Arial"/>
        <family val="2"/>
      </rPr>
      <t>f</t>
    </r>
    <r>
      <rPr>
        <sz val="10"/>
        <rFont val="Arial"/>
        <family val="2"/>
      </rPr>
      <t xml:space="preserve"> + T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>*r</t>
    </r>
    <r>
      <rPr>
        <vertAlign val="subscript"/>
        <sz val="10"/>
        <rFont val="Arial"/>
        <family val="2"/>
      </rPr>
      <t>f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</si>
</sst>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vertAlign val="subscript"/>
      <sz val="14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/>
    <xf numFmtId="176" fontId="0" fillId="0" borderId="0" xfId="0" applyNumberFormat="1" applyAlignment="1"/>
    <xf numFmtId="10" fontId="0" fillId="0" borderId="0" xfId="1" applyNumberFormat="1" applyFont="1" applyAlignment="1"/>
    <xf numFmtId="10" fontId="2" fillId="0" borderId="0" xfId="1" applyNumberFormat="1" applyAlignment="1"/>
    <xf numFmtId="10" fontId="0" fillId="0" borderId="0" xfId="0" applyNumberFormat="1" applyAlignment="1"/>
    <xf numFmtId="0" fontId="0" fillId="2" borderId="0" xfId="0" applyFill="1" applyAlignment="1"/>
    <xf numFmtId="10" fontId="0" fillId="2" borderId="0" xfId="1" applyNumberFormat="1" applyFont="1" applyFill="1" applyAlignment="1"/>
    <xf numFmtId="2" fontId="0" fillId="0" borderId="0" xfId="0" applyNumberFormat="1" applyAlignment="1"/>
    <xf numFmtId="0" fontId="3" fillId="0" borderId="0" xfId="0" applyFont="1" applyAlignment="1">
      <alignment horizontal="center" vertical="center" wrapText="1"/>
    </xf>
    <xf numFmtId="0" fontId="8" fillId="0" borderId="0" xfId="0" applyFont="1" applyAlignment="1">
      <alignment horizontal="left" vertical="center" wrapText="1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Excel\fm3_chapter02%20(version%202).xls" TargetMode="External"/><Relationship Id="rId1" Type="http://schemas.openxmlformats.org/officeDocument/2006/relationships/externalLinkPath" Target="file:///C:\Users\li'zheng'dong\AppData\Roaming\Microsoft\Excel\fm3_chapter02%20(version%202)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42"/>
      <sheetName val="Page 42 (中文)"/>
      <sheetName val="Page 43"/>
      <sheetName val="Page 43 (中文)"/>
      <sheetName val="Page 44"/>
      <sheetName val="Page 44 (中文)"/>
      <sheetName val="Pages 45-46"/>
      <sheetName val="Pages 45-46 (中文)"/>
      <sheetName val="Page 47"/>
      <sheetName val="Page 47 (中文)"/>
      <sheetName val="Page 49"/>
      <sheetName val="Page 49 (中文)"/>
      <sheetName val="Page 50"/>
      <sheetName val="Page 54"/>
      <sheetName val="Page 50 (中文)"/>
      <sheetName val="Page 51"/>
      <sheetName val="Page 51 (中文)"/>
      <sheetName val="Page 54 (中文)"/>
      <sheetName val="Page 56"/>
      <sheetName val="Page 56 (中文)"/>
      <sheetName val="Page 58"/>
      <sheetName val="Page 58 (中文)"/>
      <sheetName val="Page 59"/>
      <sheetName val="Page 59 (中文)"/>
      <sheetName val="Intel tax rate"/>
      <sheetName val="Page 62"/>
      <sheetName val="Page 62 (中文)"/>
      <sheetName val="Page 63"/>
      <sheetName val="Page 63 (中文)"/>
      <sheetName val="Page 64, top"/>
      <sheetName val="Page 64, top (中文)"/>
      <sheetName val="Page 64, bottom"/>
      <sheetName val="Page 64, bottom (中文)"/>
      <sheetName val="Page 65"/>
      <sheetName val="Page 65 (中文)"/>
      <sheetName val="Page 67"/>
      <sheetName val="Page 67 (中文)"/>
      <sheetName val="Page 69, top"/>
      <sheetName val="Page 69, bottom"/>
      <sheetName val="Page 69, bottom (中文)"/>
      <sheetName val="Page 71"/>
      <sheetName val="Page 71 (中文)"/>
      <sheetName val="Page 72, top"/>
      <sheetName val="Page 72, top (中文)"/>
      <sheetName val="Page 72, bottom"/>
      <sheetName val="Page 72, bottom (中文)"/>
      <sheetName val="Page 73"/>
      <sheetName val="Page 73 (中文)"/>
      <sheetName val="Page 74"/>
      <sheetName val="Page 74 (中文)"/>
      <sheetName val="Page 75"/>
      <sheetName val="Page 75 (中文)"/>
      <sheetName val="Page 76, top"/>
      <sheetName val="Page 76, top (中文)"/>
      <sheetName val="Page 76, bottom"/>
      <sheetName val="Page 76, bottom (中文)"/>
      <sheetName val="Page 77"/>
      <sheetName val="Page 77 (中文)"/>
      <sheetName val="Page 78"/>
      <sheetName val="Page 78 (中文)"/>
      <sheetName val="Page 79, top"/>
      <sheetName val="Page 79, top (中文)"/>
      <sheetName val="Page 79, bottom"/>
      <sheetName val="Page 79, bottom (中文)"/>
      <sheetName val="Page 80"/>
      <sheetName val="Page 80 (中文)"/>
      <sheetName val="Page 81"/>
      <sheetName val="Page 81 (中文)"/>
      <sheetName val="Pages 82-83"/>
      <sheetName val="Pages 82-83 (中文)"/>
      <sheetName val="Page 84"/>
      <sheetName val="Page 84 (中文)"/>
      <sheetName val="Page 85"/>
      <sheetName val="Page 85 (中文)"/>
      <sheetName val="Page 86"/>
      <sheetName val="Page 86 (中文)"/>
      <sheetName val="Page 93, top"/>
      <sheetName val="Page 93, top (中文)"/>
      <sheetName val="Page 93, middle"/>
      <sheetName val="Page 93, middle (中文)"/>
      <sheetName val="Page 93, bottom"/>
      <sheetName val="Page 93, bottom (中文)"/>
      <sheetName val="Page 94"/>
      <sheetName val="Page 94 (中文)"/>
      <sheetName val="Page 95"/>
      <sheetName val="Page 95 (中文)"/>
      <sheetName val="FRED data"/>
      <sheetName val="Kraft cash flow to equity"/>
      <sheetName val="Kraft 10K, 2005"/>
      <sheetName val="Tyson cash flow statement"/>
      <sheetName val="Tyson income statement"/>
      <sheetName val="Cascade cash flow statement"/>
      <sheetName val="Cascade 10K"/>
      <sheetName val="Cascade annual dividend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2">
          <cell r="B2">
            <v>2.2516049448723261</v>
          </cell>
        </row>
      </sheetData>
      <sheetData sheetId="23"/>
      <sheetData sheetId="24"/>
      <sheetData sheetId="25"/>
      <sheetData sheetId="26"/>
      <sheetData sheetId="27"/>
      <sheetData sheetId="28"/>
      <sheetData sheetId="29">
        <row r="5">
          <cell r="B5">
            <v>5.4996086722723603E-2</v>
          </cell>
        </row>
      </sheetData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C19"/>
  <sheetViews>
    <sheetView tabSelected="1" workbookViewId="0">
      <selection activeCell="A10" sqref="A10:C10"/>
    </sheetView>
  </sheetViews>
  <sheetFormatPr defaultRowHeight="13.8" x14ac:dyDescent="0.25"/>
  <cols>
    <col min="1" max="1" width="38.44140625" style="1" customWidth="1"/>
    <col min="2" max="2" width="11.33203125" style="1" customWidth="1"/>
    <col min="3" max="3" width="29.33203125" style="1" bestFit="1" customWidth="1"/>
  </cols>
  <sheetData>
    <row r="1" spans="1:3" ht="17.399999999999999" x14ac:dyDescent="0.25">
      <c r="A1" s="9" t="s">
        <v>0</v>
      </c>
      <c r="B1" s="9"/>
      <c r="C1" s="9"/>
    </row>
    <row r="2" spans="1:3" x14ac:dyDescent="0.25">
      <c r="A2" s="1" t="s">
        <v>1</v>
      </c>
      <c r="B2" s="2">
        <f>'[1]Page 59'!B2</f>
        <v>2.2516049448723261</v>
      </c>
    </row>
    <row r="3" spans="1:3" x14ac:dyDescent="0.25">
      <c r="A3" s="1" t="s">
        <v>2</v>
      </c>
      <c r="B3" s="3">
        <f>'[1]Page 64, top'!B5</f>
        <v>5.4996086722723603E-2</v>
      </c>
    </row>
    <row r="4" spans="1:3" ht="15.6" x14ac:dyDescent="0.35">
      <c r="A4" s="1" t="s">
        <v>3</v>
      </c>
      <c r="B4" s="4">
        <v>0.31290000000000001</v>
      </c>
      <c r="C4" s="1" t="s">
        <v>4</v>
      </c>
    </row>
    <row r="5" spans="1:3" ht="15.6" x14ac:dyDescent="0.35">
      <c r="A5" s="1" t="s">
        <v>5</v>
      </c>
      <c r="B5" s="5">
        <v>4.9299999999999997E-2</v>
      </c>
    </row>
    <row r="6" spans="1:3" ht="15.6" x14ac:dyDescent="0.35">
      <c r="A6" s="1" t="s">
        <v>6</v>
      </c>
      <c r="B6" s="4"/>
    </row>
    <row r="7" spans="1:3" x14ac:dyDescent="0.25">
      <c r="A7" s="6" t="s">
        <v>7</v>
      </c>
      <c r="B7" s="7">
        <f>B5+B2*B3</f>
        <v>0.17312946081351174</v>
      </c>
      <c r="C7" s="1" t="str">
        <f ca="1">[2]!getformula(B7)</f>
        <v>&lt;--  =B5+B2*B3</v>
      </c>
    </row>
    <row r="8" spans="1:3" x14ac:dyDescent="0.25">
      <c r="A8" s="6" t="s">
        <v>8</v>
      </c>
      <c r="B8" s="7">
        <f>B5*(1-B4)+B2*(B3+B4*B5)</f>
        <v>0.1924366811449639</v>
      </c>
      <c r="C8" s="1" t="str">
        <f ca="1">[2]!getformula(B8)</f>
        <v>&lt;--  =B5*(1-B4)+B2*(B3+B4*B5)</v>
      </c>
    </row>
    <row r="9" spans="1:3" x14ac:dyDescent="0.25">
      <c r="B9" s="8"/>
    </row>
    <row r="10" spans="1:3" ht="51.6" customHeight="1" x14ac:dyDescent="0.25">
      <c r="A10" s="10" t="s">
        <v>9</v>
      </c>
      <c r="B10" s="10"/>
      <c r="C10" s="10"/>
    </row>
    <row r="11" spans="1:3" x14ac:dyDescent="0.25">
      <c r="B11" s="8"/>
    </row>
    <row r="12" spans="1:3" x14ac:dyDescent="0.25">
      <c r="B12" s="8"/>
    </row>
    <row r="13" spans="1:3" x14ac:dyDescent="0.25">
      <c r="B13" s="8"/>
    </row>
    <row r="14" spans="1:3" x14ac:dyDescent="0.25">
      <c r="B14" s="8"/>
    </row>
    <row r="15" spans="1:3" x14ac:dyDescent="0.25">
      <c r="B15" s="8"/>
    </row>
    <row r="16" spans="1:3" x14ac:dyDescent="0.25">
      <c r="B16" s="8"/>
    </row>
    <row r="17" spans="2:2" x14ac:dyDescent="0.25">
      <c r="B17" s="8"/>
    </row>
    <row r="18" spans="2:2" x14ac:dyDescent="0.25">
      <c r="B18" s="8"/>
    </row>
    <row r="19" spans="2:2" x14ac:dyDescent="0.25">
      <c r="B19" s="8"/>
    </row>
  </sheetData>
  <mergeCells count="2">
    <mergeCell ref="A1:C1"/>
    <mergeCell ref="A10:C10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2024-10-08T05:29:35Z</dcterms:modified>
</cp:coreProperties>
</file>