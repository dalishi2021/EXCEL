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E38EA65E-7433-40BD-BA60-40BD9070F7BA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2" i="1"/>
  <c r="B5" i="1"/>
  <c r="B8" i="1"/>
  <c r="C13" i="1"/>
  <c r="C12" i="1"/>
  <c r="C5" i="1"/>
</calcChain>
</file>

<file path=xl/sharedStrings.xml><?xml version="1.0" encoding="utf-8"?>
<sst xmlns="http://schemas.openxmlformats.org/spreadsheetml/2006/main" count="15" uniqueCount="15">
  <si>
    <t>Market price/earnings multiple, August 2006</t>
  </si>
  <si>
    <t>Equity cash flow payout ratio</t>
  </si>
  <si>
    <t>Anticipated growth of market equity cash flow</t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</si>
  <si>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</t>
    </r>
  </si>
  <si>
    <t>Intel cost of equity calculations</t>
  </si>
  <si>
    <t>Intel beta</t>
  </si>
  <si>
    <r>
      <t>Intel tax rate, T</t>
    </r>
    <r>
      <rPr>
        <vertAlign val="subscript"/>
        <sz val="10"/>
        <rFont val="Arial"/>
        <family val="2"/>
      </rPr>
      <t>C</t>
    </r>
  </si>
  <si>
    <t>&lt;-- Computed from Intel financials</t>
  </si>
  <si>
    <r>
      <t>Risk free rate, r</t>
    </r>
    <r>
      <rPr>
        <vertAlign val="subscript"/>
        <sz val="10"/>
        <rFont val="Arial"/>
        <family val="2"/>
      </rPr>
      <t>f</t>
    </r>
  </si>
  <si>
    <r>
      <t>Intel cost of equity, r</t>
    </r>
    <r>
      <rPr>
        <vertAlign val="subscript"/>
        <sz val="10"/>
        <rFont val="Arial"/>
        <family val="2"/>
      </rPr>
      <t>E,Intel</t>
    </r>
  </si>
  <si>
    <t xml:space="preserve">     Classic CAPM</t>
  </si>
  <si>
    <t xml:space="preserve">     Tax-adjusted CAPM</t>
  </si>
  <si>
    <r>
      <t>Note</t>
    </r>
    <r>
      <rPr>
        <sz val="10"/>
        <rFont val="Arial"/>
        <family val="2"/>
      </rPr>
      <t>:  Price/Earnings ratio for S&amp;P 500 from http://www.bullandbearwise.com</t>
    </r>
  </si>
  <si>
    <t>PE</t>
    <phoneticPr fontId="1" type="noConversion"/>
  </si>
  <si>
    <r>
      <t>COMPUTING THE COST OF EQUITY FOR INTEL USING THE MARKET PRICE/EARNINGS MULTIPLE TO COMPUTE E(r</t>
    </r>
    <r>
      <rPr>
        <b/>
        <vertAlign val="subscript"/>
        <sz val="18"/>
        <rFont val="Arial"/>
        <family val="2"/>
      </rPr>
      <t>M</t>
    </r>
    <r>
      <rPr>
        <b/>
        <sz val="18"/>
        <rFont val="Arial"/>
        <family val="2"/>
      </rPr>
      <t xml:space="preserve">) </t>
    </r>
    <r>
      <rPr>
        <b/>
        <sz val="12"/>
        <rFont val="Arial"/>
        <family val="2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</si>
</sst>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2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vertAlign val="subscript"/>
      <sz val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10" fontId="0" fillId="0" borderId="0" xfId="1" applyNumberFormat="1" applyFont="1" applyAlignment="1"/>
    <xf numFmtId="0" fontId="6" fillId="0" borderId="0" xfId="0" applyFont="1" applyAlignment="1"/>
    <xf numFmtId="176" fontId="0" fillId="0" borderId="0" xfId="0" applyNumberFormat="1" applyAlignment="1"/>
    <xf numFmtId="10" fontId="2" fillId="0" borderId="0" xfId="1" applyNumberFormat="1" applyAlignment="1"/>
    <xf numFmtId="10" fontId="0" fillId="0" borderId="0" xfId="0" applyNumberFormat="1" applyAlignment="1"/>
    <xf numFmtId="0" fontId="0" fillId="2" borderId="0" xfId="0" applyFill="1" applyAlignment="1"/>
    <xf numFmtId="10" fontId="2" fillId="2" borderId="0" xfId="1" applyNumberFormat="1" applyFill="1" applyAlignment="1"/>
    <xf numFmtId="2" fontId="0" fillId="0" borderId="0" xfId="0" applyNumberFormat="1" applyAlignment="1"/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Excel\fm3_chapter02%20(version%202).xls" TargetMode="External"/><Relationship Id="rId1" Type="http://schemas.openxmlformats.org/officeDocument/2006/relationships/externalLinkPath" Target="file:///C:\Users\li'zheng'dong\AppData\Roaming\Microsoft\Excel\fm3_chapter02%20(version%202)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2">
          <cell r="B2">
            <v>2.2516049448723261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24"/>
  <sheetViews>
    <sheetView tabSelected="1" workbookViewId="0">
      <selection activeCell="F13" sqref="F13"/>
    </sheetView>
  </sheetViews>
  <sheetFormatPr defaultRowHeight="13.8" x14ac:dyDescent="0.25"/>
  <cols>
    <col min="1" max="1" width="42" style="1" customWidth="1"/>
    <col min="2" max="2" width="11.33203125" style="1" customWidth="1"/>
    <col min="3" max="3" width="34.88671875" style="1" customWidth="1"/>
  </cols>
  <sheetData>
    <row r="1" spans="1:3" ht="22.8" x14ac:dyDescent="0.25">
      <c r="A1" s="12" t="s">
        <v>14</v>
      </c>
      <c r="B1" s="12"/>
      <c r="C1" s="12"/>
    </row>
    <row r="2" spans="1:3" x14ac:dyDescent="0.25">
      <c r="A2" s="1" t="s">
        <v>0</v>
      </c>
      <c r="B2" s="1">
        <v>17</v>
      </c>
      <c r="C2" s="1" t="s">
        <v>13</v>
      </c>
    </row>
    <row r="3" spans="1:3" x14ac:dyDescent="0.25">
      <c r="A3" s="1" t="s">
        <v>1</v>
      </c>
      <c r="B3" s="2">
        <v>0.5</v>
      </c>
    </row>
    <row r="4" spans="1:3" x14ac:dyDescent="0.25">
      <c r="A4" s="1" t="s">
        <v>2</v>
      </c>
      <c r="B4" s="2">
        <v>0.06</v>
      </c>
    </row>
    <row r="5" spans="1:3" ht="15.6" x14ac:dyDescent="0.35">
      <c r="A5" s="1" t="s">
        <v>3</v>
      </c>
      <c r="B5" s="2">
        <f>B3*(1+B4)/B2+B4</f>
        <v>9.1176470588235289E-2</v>
      </c>
      <c r="C5" s="1" t="str">
        <f ca="1">[2]!getformula(B5)</f>
        <v>&lt;--  =B3*(1+B4)/B2+B4</v>
      </c>
    </row>
    <row r="6" spans="1:3" x14ac:dyDescent="0.25">
      <c r="B6" s="2"/>
    </row>
    <row r="7" spans="1:3" x14ac:dyDescent="0.25">
      <c r="A7" s="3" t="s">
        <v>4</v>
      </c>
      <c r="B7" s="2"/>
    </row>
    <row r="8" spans="1:3" x14ac:dyDescent="0.25">
      <c r="A8" s="1" t="s">
        <v>5</v>
      </c>
      <c r="B8" s="4">
        <f>'[1]Page 62'!B2</f>
        <v>2.2516049448723261</v>
      </c>
    </row>
    <row r="9" spans="1:3" ht="15.6" x14ac:dyDescent="0.35">
      <c r="A9" s="1" t="s">
        <v>6</v>
      </c>
      <c r="B9" s="5">
        <v>0.31290000000000001</v>
      </c>
      <c r="C9" s="1" t="s">
        <v>7</v>
      </c>
    </row>
    <row r="10" spans="1:3" ht="15.6" x14ac:dyDescent="0.35">
      <c r="A10" s="1" t="s">
        <v>8</v>
      </c>
      <c r="B10" s="6">
        <v>4.9299999999999997E-2</v>
      </c>
    </row>
    <row r="11" spans="1:3" ht="15.6" x14ac:dyDescent="0.35">
      <c r="A11" s="1" t="s">
        <v>9</v>
      </c>
      <c r="B11" s="5"/>
    </row>
    <row r="12" spans="1:3" x14ac:dyDescent="0.25">
      <c r="A12" s="7" t="s">
        <v>10</v>
      </c>
      <c r="B12" s="8">
        <f>B10+B8*(B5-B10)</f>
        <v>0.1435892682502711</v>
      </c>
      <c r="C12" s="1" t="str">
        <f ca="1">[2]!getformula(B12)</f>
        <v>&lt;--  =B10+B8*(B5-B10)</v>
      </c>
    </row>
    <row r="13" spans="1:3" x14ac:dyDescent="0.25">
      <c r="A13" s="7" t="s">
        <v>11</v>
      </c>
      <c r="B13" s="8">
        <f>B10*(1-B9)+B8*((B5-B10)+B9*B10)</f>
        <v>0.16289648858172326</v>
      </c>
      <c r="C13" s="1" t="str">
        <f ca="1">[2]!getformula(B13)</f>
        <v>&lt;--  =B10*(1-B9)+B8*((B5-B10)+B9*B10)</v>
      </c>
    </row>
    <row r="14" spans="1:3" x14ac:dyDescent="0.25">
      <c r="B14" s="9"/>
    </row>
    <row r="15" spans="1:3" x14ac:dyDescent="0.25">
      <c r="A15" s="10" t="s">
        <v>12</v>
      </c>
      <c r="B15" s="11"/>
      <c r="C15" s="11"/>
    </row>
    <row r="16" spans="1:3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9"/>
    </row>
    <row r="24" spans="2:2" x14ac:dyDescent="0.25">
      <c r="B24" s="9"/>
    </row>
  </sheetData>
  <mergeCells count="2">
    <mergeCell ref="A1:C1"/>
    <mergeCell ref="A15:C1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2024-10-08T14:08:12Z</dcterms:modified>
</cp:coreProperties>
</file>