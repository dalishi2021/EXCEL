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F3FDABDC-80A5-478A-88FD-100EBB3F80A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2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6" i="2" l="1"/>
  <c r="V25" i="2"/>
  <c r="V24" i="2"/>
  <c r="V23" i="2"/>
  <c r="U41" i="2"/>
  <c r="T41" i="2"/>
  <c r="U43" i="2"/>
  <c r="T43" i="2"/>
  <c r="O42" i="2" a="1"/>
  <c r="O42" i="2" s="1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E13" i="2"/>
  <c r="W26" i="2"/>
  <c r="W25" i="2"/>
  <c r="W24" i="2"/>
  <c r="W23" i="2"/>
  <c r="U42" i="2"/>
  <c r="T42" i="2"/>
  <c r="O40" i="2"/>
  <c r="B7" i="2"/>
  <c r="B8" i="2"/>
  <c r="C8" i="2"/>
  <c r="C7" i="2"/>
  <c r="C6" i="2"/>
  <c r="C5" i="2"/>
  <c r="C4" i="2"/>
  <c r="C2" i="2"/>
  <c r="G15" i="2"/>
  <c r="G14" i="2"/>
  <c r="G13" i="2"/>
  <c r="P46" i="2" l="1"/>
  <c r="O46" i="2"/>
  <c r="P45" i="2"/>
  <c r="O45" i="2"/>
  <c r="P44" i="2"/>
  <c r="O44" i="2"/>
  <c r="P43" i="2"/>
  <c r="O43" i="2"/>
  <c r="P42" i="2"/>
  <c r="B4" i="2"/>
  <c r="B2" i="2"/>
  <c r="B5" i="2"/>
  <c r="B6" i="2"/>
</calcChain>
</file>

<file path=xl/sharedStrings.xml><?xml version="1.0" encoding="utf-8"?>
<sst xmlns="http://schemas.openxmlformats.org/spreadsheetml/2006/main" count="27" uniqueCount="25">
  <si>
    <r>
      <t xml:space="preserve">COMPUTING THE BETA FOR INTEL
</t>
    </r>
    <r>
      <rPr>
        <b/>
        <sz val="12"/>
        <rFont val="Arial"/>
        <family val="2"/>
      </rPr>
      <t>monthly returns for Intel and S&amp;P 500, 2001-2006</t>
    </r>
  </si>
  <si>
    <t>Alpha</t>
  </si>
  <si>
    <t>Beta</t>
  </si>
  <si>
    <r>
      <t xml:space="preserve">     Using Excel's </t>
    </r>
    <r>
      <rPr>
        <b/>
        <sz val="10"/>
        <rFont val="Arial"/>
        <family val="2"/>
      </rPr>
      <t>Slope</t>
    </r>
    <r>
      <rPr>
        <sz val="10"/>
        <rFont val="Arial"/>
        <family val="2"/>
      </rPr>
      <t xml:space="preserve"> function</t>
    </r>
  </si>
  <si>
    <t xml:space="preserve">     Using Cov/Var</t>
  </si>
  <si>
    <t>R-squared</t>
  </si>
  <si>
    <t>t-statistic for alpha</t>
  </si>
  <si>
    <t>t-statistic for beta</t>
  </si>
  <si>
    <t>Prices</t>
  </si>
  <si>
    <t>Returns</t>
  </si>
  <si>
    <t>Date</t>
  </si>
  <si>
    <t>Intel</t>
  </si>
  <si>
    <t>SP500</t>
  </si>
  <si>
    <t>斜率</t>
    <phoneticPr fontId="1" type="noConversion"/>
  </si>
  <si>
    <t>斜率的标准误</t>
    <phoneticPr fontId="1" type="noConversion"/>
  </si>
  <si>
    <r>
      <t>R</t>
    </r>
    <r>
      <rPr>
        <vertAlign val="superscript"/>
        <sz val="10"/>
        <rFont val="Arial"/>
        <family val="2"/>
      </rPr>
      <t>2</t>
    </r>
    <phoneticPr fontId="1" type="noConversion"/>
  </si>
  <si>
    <r>
      <t>F</t>
    </r>
    <r>
      <rPr>
        <sz val="10"/>
        <rFont val="宋体"/>
        <family val="2"/>
        <charset val="134"/>
      </rPr>
      <t>统计量</t>
    </r>
    <phoneticPr fontId="1" type="noConversion"/>
  </si>
  <si>
    <r>
      <t>SS</t>
    </r>
    <r>
      <rPr>
        <vertAlign val="subscript"/>
        <sz val="10"/>
        <rFont val="Arial"/>
        <family val="2"/>
      </rPr>
      <t>xy</t>
    </r>
    <phoneticPr fontId="1" type="noConversion"/>
  </si>
  <si>
    <t>Slope</t>
    <phoneticPr fontId="1" type="noConversion"/>
  </si>
  <si>
    <t>Intercept</t>
    <phoneticPr fontId="1" type="noConversion"/>
  </si>
  <si>
    <t>截距</t>
    <phoneticPr fontId="1" type="noConversion"/>
  </si>
  <si>
    <t>截距的标准误</t>
    <phoneticPr fontId="1" type="noConversion"/>
  </si>
  <si>
    <r>
      <t>y</t>
    </r>
    <r>
      <rPr>
        <sz val="10"/>
        <rFont val="宋体"/>
        <family val="2"/>
        <charset val="134"/>
      </rPr>
      <t>值的标准误</t>
    </r>
    <phoneticPr fontId="1" type="noConversion"/>
  </si>
  <si>
    <t>自由度</t>
    <phoneticPr fontId="1" type="noConversion"/>
  </si>
  <si>
    <r>
      <t>SSE=</t>
    </r>
    <r>
      <rPr>
        <sz val="10"/>
        <rFont val="宋体"/>
        <family val="2"/>
        <charset val="134"/>
      </rPr>
      <t>残差平方和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</si>
</sst>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00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宋体"/>
      <family val="2"/>
      <charset val="134"/>
    </font>
    <font>
      <vertAlign val="superscript"/>
      <sz val="1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6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3" fillId="0" borderId="0" xfId="1" applyFont="1" applyAlignment="1">
      <alignment vertical="center"/>
    </xf>
    <xf numFmtId="0" fontId="2" fillId="0" borderId="0" xfId="1"/>
    <xf numFmtId="176" fontId="2" fillId="0" borderId="0" xfId="1" applyNumberFormat="1"/>
    <xf numFmtId="0" fontId="2" fillId="2" borderId="0" xfId="1" applyFill="1"/>
    <xf numFmtId="176" fontId="2" fillId="2" borderId="0" xfId="1" applyNumberFormat="1" applyFill="1"/>
    <xf numFmtId="0" fontId="2" fillId="3" borderId="0" xfId="1" applyFill="1" applyAlignment="1">
      <alignment horizontal="center"/>
    </xf>
    <xf numFmtId="0" fontId="5" fillId="0" borderId="0" xfId="1" applyFont="1" applyAlignment="1">
      <alignment horizontal="center"/>
    </xf>
    <xf numFmtId="10" fontId="0" fillId="0" borderId="0" xfId="2" applyNumberFormat="1" applyFont="1"/>
    <xf numFmtId="14" fontId="2" fillId="0" borderId="0" xfId="1" applyNumberFormat="1" applyAlignment="1">
      <alignment horizontal="center"/>
    </xf>
    <xf numFmtId="177" fontId="2" fillId="0" borderId="0" xfId="1" applyNumberFormat="1"/>
    <xf numFmtId="0" fontId="7" fillId="0" borderId="0" xfId="1" applyFont="1"/>
    <xf numFmtId="0" fontId="2" fillId="0" borderId="0" xfId="1" applyAlignment="1">
      <alignment horizontal="center"/>
    </xf>
    <xf numFmtId="0" fontId="9" fillId="0" borderId="0" xfId="1" applyFont="1"/>
    <xf numFmtId="0" fontId="2" fillId="0" borderId="0" xfId="1" applyAlignment="1">
      <alignment horizontal="left"/>
    </xf>
  </cellXfs>
  <cellStyles count="3">
    <cellStyle name="百分比 2" xfId="2" xr:uid="{25A2061A-6814-429B-B5C7-48B03EB3DF62}"/>
    <cellStyle name="常规" xfId="0" builtinId="0"/>
    <cellStyle name="常规 2" xfId="1" xr:uid="{F2F297D7-D0C2-46F2-BA83-D9FE5120F6D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Intel Returns vs SP500, 2001-2006</a:t>
            </a:r>
            <a:endParaRPr lang="zh-CN" alt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2804473390505447"/>
                  <c:y val="0.50088268445255102"/>
                </c:manualLayout>
              </c:layout>
              <c:numFmt formatCode="General" sourceLinked="0"/>
              <c:spPr>
                <a:solidFill>
                  <a:schemeClr val="lt1"/>
                </a:solidFill>
                <a:ln w="12700" cap="flat" cmpd="sng" algn="ctr">
                  <a:solidFill>
                    <a:schemeClr val="dk1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1" i="0" u="none" strike="noStrike" kern="1200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sheet1!$F$13:$F$72</c:f>
              <c:numCache>
                <c:formatCode>0.00%</c:formatCode>
                <c:ptCount val="60"/>
                <c:pt idx="0">
                  <c:v>-9.6831090416541171E-2</c:v>
                </c:pt>
                <c:pt idx="1">
                  <c:v>-6.635854393013127E-2</c:v>
                </c:pt>
                <c:pt idx="2">
                  <c:v>7.4007010555980454E-2</c:v>
                </c:pt>
                <c:pt idx="3">
                  <c:v>5.0772876986084174E-3</c:v>
                </c:pt>
                <c:pt idx="4">
                  <c:v>-2.5354152249423972E-2</c:v>
                </c:pt>
                <c:pt idx="5">
                  <c:v>-1.0798221205900169E-2</c:v>
                </c:pt>
                <c:pt idx="6">
                  <c:v>-6.6255605887467039E-2</c:v>
                </c:pt>
                <c:pt idx="7">
                  <c:v>-8.5256615246989922E-2</c:v>
                </c:pt>
                <c:pt idx="8">
                  <c:v>1.7937188329115412E-2</c:v>
                </c:pt>
                <c:pt idx="9">
                  <c:v>7.2484350433373146E-2</c:v>
                </c:pt>
                <c:pt idx="10">
                  <c:v>7.545292033896033E-3</c:v>
                </c:pt>
                <c:pt idx="11">
                  <c:v>-1.5696373666933345E-2</c:v>
                </c:pt>
                <c:pt idx="12">
                  <c:v>-2.0984886675167722E-2</c:v>
                </c:pt>
                <c:pt idx="13">
                  <c:v>3.6080076252758407E-2</c:v>
                </c:pt>
                <c:pt idx="14">
                  <c:v>-6.3384682784413518E-2</c:v>
                </c:pt>
                <c:pt idx="15">
                  <c:v>-9.122942297125956E-3</c:v>
                </c:pt>
                <c:pt idx="16">
                  <c:v>-7.5214343275906148E-2</c:v>
                </c:pt>
                <c:pt idx="17">
                  <c:v>-8.2299871837899052E-2</c:v>
                </c:pt>
                <c:pt idx="18">
                  <c:v>4.8695443903156652E-3</c:v>
                </c:pt>
                <c:pt idx="19">
                  <c:v>-0.11656116844786664</c:v>
                </c:pt>
                <c:pt idx="20">
                  <c:v>8.2914421028757151E-2</c:v>
                </c:pt>
                <c:pt idx="21">
                  <c:v>5.550058467611222E-2</c:v>
                </c:pt>
                <c:pt idx="22">
                  <c:v>-6.2229277129875436E-2</c:v>
                </c:pt>
                <c:pt idx="23">
                  <c:v>-2.7797493671422965E-2</c:v>
                </c:pt>
                <c:pt idx="24">
                  <c:v>-1.7149844258839787E-2</c:v>
                </c:pt>
                <c:pt idx="25">
                  <c:v>8.3228742528296627E-3</c:v>
                </c:pt>
                <c:pt idx="26">
                  <c:v>7.7927350029476733E-2</c:v>
                </c:pt>
                <c:pt idx="27">
                  <c:v>4.9645665489287727E-2</c:v>
                </c:pt>
                <c:pt idx="28">
                  <c:v>1.125862601085219E-2</c:v>
                </c:pt>
                <c:pt idx="29">
                  <c:v>1.6093506478773681E-2</c:v>
                </c:pt>
                <c:pt idx="30">
                  <c:v>1.7715343790636197E-2</c:v>
                </c:pt>
                <c:pt idx="31">
                  <c:v>-1.2016232567985653E-2</c:v>
                </c:pt>
                <c:pt idx="32">
                  <c:v>5.3504268464946513E-2</c:v>
                </c:pt>
                <c:pt idx="33">
                  <c:v>7.1032253560451564E-3</c:v>
                </c:pt>
                <c:pt idx="34">
                  <c:v>4.9518899306471208E-2</c:v>
                </c:pt>
                <c:pt idx="35">
                  <c:v>1.7128882262967212E-2</c:v>
                </c:pt>
                <c:pt idx="36">
                  <c:v>1.2135100829125884E-2</c:v>
                </c:pt>
                <c:pt idx="37">
                  <c:v>-1.6494220669989047E-2</c:v>
                </c:pt>
                <c:pt idx="38">
                  <c:v>-1.6933393494544095E-2</c:v>
                </c:pt>
                <c:pt idx="39">
                  <c:v>1.2011024205564368E-2</c:v>
                </c:pt>
                <c:pt idx="40">
                  <c:v>1.7829189249312503E-2</c:v>
                </c:pt>
                <c:pt idx="41">
                  <c:v>-3.4892238215330364E-2</c:v>
                </c:pt>
                <c:pt idx="42">
                  <c:v>2.284720571713859E-3</c:v>
                </c:pt>
                <c:pt idx="43">
                  <c:v>9.3203368022064838E-3</c:v>
                </c:pt>
                <c:pt idx="44">
                  <c:v>1.391695587821374E-2</c:v>
                </c:pt>
                <c:pt idx="45">
                  <c:v>3.7868779461133012E-2</c:v>
                </c:pt>
                <c:pt idx="46">
                  <c:v>3.1942491193192112E-2</c:v>
                </c:pt>
                <c:pt idx="47">
                  <c:v>-2.5615747968515911E-2</c:v>
                </c:pt>
                <c:pt idx="48">
                  <c:v>1.8726934874337724E-2</c:v>
                </c:pt>
                <c:pt idx="49">
                  <c:v>-1.930275225452871E-2</c:v>
                </c:pt>
                <c:pt idx="50">
                  <c:v>-2.031351934767037E-2</c:v>
                </c:pt>
                <c:pt idx="51">
                  <c:v>2.9512223385105795E-2</c:v>
                </c:pt>
                <c:pt idx="52">
                  <c:v>-1.4268747689802155E-4</c:v>
                </c:pt>
                <c:pt idx="53">
                  <c:v>3.5336451864729147E-2</c:v>
                </c:pt>
                <c:pt idx="54">
                  <c:v>-1.1285467972359155E-2</c:v>
                </c:pt>
                <c:pt idx="55">
                  <c:v>6.9249074268589216E-3</c:v>
                </c:pt>
                <c:pt idx="56">
                  <c:v>-1.7899994313773929E-2</c:v>
                </c:pt>
                <c:pt idx="57">
                  <c:v>3.4581237676988605E-2</c:v>
                </c:pt>
                <c:pt idx="58">
                  <c:v>-9.528500142413687E-4</c:v>
                </c:pt>
                <c:pt idx="59">
                  <c:v>2.9334236847947951E-2</c:v>
                </c:pt>
              </c:numCache>
            </c:numRef>
          </c:xVal>
          <c:yVal>
            <c:numRef>
              <c:f>sheet1!$E$13:$E$72</c:f>
              <c:numCache>
                <c:formatCode>0.00%</c:formatCode>
                <c:ptCount val="60"/>
                <c:pt idx="0">
                  <c:v>-0.25852765402904992</c:v>
                </c:pt>
                <c:pt idx="1">
                  <c:v>-8.1966225555364772E-2</c:v>
                </c:pt>
                <c:pt idx="2">
                  <c:v>0.1611075247171613</c:v>
                </c:pt>
                <c:pt idx="3">
                  <c:v>-0.13406296052067446</c:v>
                </c:pt>
                <c:pt idx="4">
                  <c:v>7.9507136831492492E-2</c:v>
                </c:pt>
                <c:pt idx="5">
                  <c:v>1.9102101873486498E-2</c:v>
                </c:pt>
                <c:pt idx="6">
                  <c:v>-6.3651271785663807E-2</c:v>
                </c:pt>
                <c:pt idx="7">
                  <c:v>-0.31314670316066234</c:v>
                </c:pt>
                <c:pt idx="8">
                  <c:v>0.17779994349372341</c:v>
                </c:pt>
                <c:pt idx="9">
                  <c:v>0.29162895474222661</c:v>
                </c:pt>
                <c:pt idx="10">
                  <c:v>-3.775261216511986E-2</c:v>
                </c:pt>
                <c:pt idx="11">
                  <c:v>0.1080434804510071</c:v>
                </c:pt>
                <c:pt idx="12">
                  <c:v>-0.20441558376389865</c:v>
                </c:pt>
                <c:pt idx="13">
                  <c:v>6.3327964019327276E-2</c:v>
                </c:pt>
                <c:pt idx="14">
                  <c:v>-6.11389810219456E-2</c:v>
                </c:pt>
                <c:pt idx="15">
                  <c:v>-3.4479782556750341E-2</c:v>
                </c:pt>
                <c:pt idx="16">
                  <c:v>-0.41303803335689737</c:v>
                </c:pt>
                <c:pt idx="17">
                  <c:v>2.8107527690440601E-2</c:v>
                </c:pt>
                <c:pt idx="18">
                  <c:v>-0.11875357299426439</c:v>
                </c:pt>
                <c:pt idx="19">
                  <c:v>-0.18232155679395459</c:v>
                </c:pt>
                <c:pt idx="20">
                  <c:v>0.21909040458104365</c:v>
                </c:pt>
                <c:pt idx="21">
                  <c:v>0.18961538939954087</c:v>
                </c:pt>
                <c:pt idx="22">
                  <c:v>-0.29350620073776967</c:v>
                </c:pt>
                <c:pt idx="23">
                  <c:v>5.3262442826741627E-3</c:v>
                </c:pt>
                <c:pt idx="24">
                  <c:v>9.8564567055554733E-2</c:v>
                </c:pt>
                <c:pt idx="25">
                  <c:v>-5.8220774505040408E-2</c:v>
                </c:pt>
                <c:pt idx="26">
                  <c:v>0.12230793025467306</c:v>
                </c:pt>
                <c:pt idx="27">
                  <c:v>0.12503034964659357</c:v>
                </c:pt>
                <c:pt idx="28">
                  <c:v>-4.9813201528156148E-4</c:v>
                </c:pt>
                <c:pt idx="29">
                  <c:v>0.17882766753969889</c:v>
                </c:pt>
                <c:pt idx="30">
                  <c:v>0.13939955788124916</c:v>
                </c:pt>
                <c:pt idx="31">
                  <c:v>-3.8047063620961642E-2</c:v>
                </c:pt>
                <c:pt idx="32">
                  <c:v>0.18005996517789805</c:v>
                </c:pt>
                <c:pt idx="33">
                  <c:v>1.8383443397106829E-2</c:v>
                </c:pt>
                <c:pt idx="34">
                  <c:v>-4.547673405263282E-2</c:v>
                </c:pt>
                <c:pt idx="35">
                  <c:v>-4.9000202381001737E-2</c:v>
                </c:pt>
                <c:pt idx="36">
                  <c:v>-4.2987554484205395E-2</c:v>
                </c:pt>
                <c:pt idx="37">
                  <c:v>-7.0816303081679077E-2</c:v>
                </c:pt>
                <c:pt idx="38">
                  <c:v>-5.5504671312740235E-2</c:v>
                </c:pt>
                <c:pt idx="39">
                  <c:v>0.10519973102849055</c:v>
                </c:pt>
                <c:pt idx="40">
                  <c:v>-3.385165023102419E-2</c:v>
                </c:pt>
                <c:pt idx="41">
                  <c:v>-0.1237419975710234</c:v>
                </c:pt>
                <c:pt idx="42">
                  <c:v>-0.13395503169037984</c:v>
                </c:pt>
                <c:pt idx="43">
                  <c:v>-5.9354242649182619E-2</c:v>
                </c:pt>
                <c:pt idx="44">
                  <c:v>0.10386916776885685</c:v>
                </c:pt>
                <c:pt idx="45">
                  <c:v>6.9236371663474131E-3</c:v>
                </c:pt>
                <c:pt idx="46">
                  <c:v>4.4531756171388596E-2</c:v>
                </c:pt>
                <c:pt idx="47">
                  <c:v>-4.1317057650914257E-2</c:v>
                </c:pt>
                <c:pt idx="48">
                  <c:v>6.9940000382550133E-2</c:v>
                </c:pt>
                <c:pt idx="49">
                  <c:v>-3.2148728667044726E-2</c:v>
                </c:pt>
                <c:pt idx="50">
                  <c:v>1.2286244940770153E-2</c:v>
                </c:pt>
                <c:pt idx="51">
                  <c:v>0.14016005041935548</c:v>
                </c:pt>
                <c:pt idx="52">
                  <c:v>-3.5497554159907997E-2</c:v>
                </c:pt>
                <c:pt idx="53">
                  <c:v>4.1921154558687335E-2</c:v>
                </c:pt>
                <c:pt idx="54">
                  <c:v>-5.0599710014935483E-2</c:v>
                </c:pt>
                <c:pt idx="55">
                  <c:v>-4.2490713051076448E-2</c:v>
                </c:pt>
                <c:pt idx="56">
                  <c:v>-4.7839809781023035E-2</c:v>
                </c:pt>
                <c:pt idx="57">
                  <c:v>0.13032808885653555</c:v>
                </c:pt>
                <c:pt idx="58">
                  <c:v>-6.6901417164360683E-2</c:v>
                </c:pt>
                <c:pt idx="59">
                  <c:v>5.2716782172404206E-2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6A-4E84-B0F5-9A724BA39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3765792"/>
        <c:axId val="973766152"/>
      </c:scatterChart>
      <c:valAx>
        <c:axId val="973765792"/>
        <c:scaling>
          <c:orientation val="minMax"/>
          <c:max val="8.0000000000000016E-2"/>
          <c:min val="-0.1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 b="1"/>
                  <a:t>SP500</a:t>
                </a:r>
                <a:r>
                  <a:rPr lang="en-US" altLang="zh-CN" sz="1200" b="1" baseline="0"/>
                  <a:t> returns</a:t>
                </a:r>
                <a:endParaRPr lang="zh-CN" altLang="en-US" b="1"/>
              </a:p>
            </c:rich>
          </c:tx>
          <c:layout>
            <c:manualLayout>
              <c:xMode val="edge"/>
              <c:yMode val="edge"/>
              <c:x val="0.78862037456246536"/>
              <c:y val="0.502313082836664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3766152"/>
        <c:crosses val="autoZero"/>
        <c:crossBetween val="midCat"/>
        <c:majorUnit val="2.0000000000000004E-2"/>
      </c:valAx>
      <c:valAx>
        <c:axId val="973766152"/>
        <c:scaling>
          <c:orientation val="minMax"/>
          <c:max val="0.30000000000000004"/>
          <c:min val="-0.45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 b="1"/>
                  <a:t>Intel returns</a:t>
                </a:r>
                <a:endParaRPr lang="zh-CN" altLang="en-US" sz="1200" b="1"/>
              </a:p>
            </c:rich>
          </c:tx>
          <c:layout>
            <c:manualLayout>
              <c:xMode val="edge"/>
              <c:yMode val="edge"/>
              <c:x val="0.51585945309355652"/>
              <c:y val="0.734617647908852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376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0000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68579</xdr:colOff>
      <xdr:row>3</xdr:row>
      <xdr:rowOff>63816</xdr:rowOff>
    </xdr:from>
    <xdr:to>
      <xdr:col>18</xdr:col>
      <xdr:colOff>497205</xdr:colOff>
      <xdr:row>32</xdr:row>
      <xdr:rowOff>74294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74219A9E-B1D8-4E80-AE33-B7E2B33510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352425</xdr:colOff>
      <xdr:row>47</xdr:row>
      <xdr:rowOff>161925</xdr:rowOff>
    </xdr:from>
    <xdr:to>
      <xdr:col>27</xdr:col>
      <xdr:colOff>209090</xdr:colOff>
      <xdr:row>102</xdr:row>
      <xdr:rowOff>140378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169BAA5B-5178-B471-1ECA-9E2ADD151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63125" y="8543925"/>
          <a:ext cx="10353215" cy="941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"/>
      <sheetName val="Page 42 (中文)"/>
      <sheetName val="Page 43"/>
      <sheetName val="Page 43 (中文)"/>
      <sheetName val="Page 44"/>
      <sheetName val="Page 44 (中文)"/>
      <sheetName val="Pages 45-46"/>
      <sheetName val="Pages 45-46 (中文)"/>
      <sheetName val="Page 47"/>
      <sheetName val="Page 47 (中文)"/>
      <sheetName val="Page 49"/>
      <sheetName val="Page 49 (中文)"/>
      <sheetName val="Page 50"/>
      <sheetName val="Page 54"/>
      <sheetName val="Page 50 (中文)"/>
      <sheetName val="Page 51"/>
      <sheetName val="Page 51 (中文)"/>
      <sheetName val="Page 54 (中文)"/>
      <sheetName val="Page 56"/>
      <sheetName val="Page 56 (中文)"/>
      <sheetName val="Page 58"/>
      <sheetName val="Page 58 (中文)"/>
      <sheetName val="Page 59"/>
      <sheetName val="Page 59 (中文)"/>
      <sheetName val="Intel tax rate"/>
      <sheetName val="Page 62"/>
      <sheetName val="Page 62 (中文)"/>
      <sheetName val="Page 63"/>
      <sheetName val="Page 63 (中文)"/>
      <sheetName val="Page 64, top"/>
      <sheetName val="Page 64, top (中文)"/>
      <sheetName val="Page 64, bottom"/>
      <sheetName val="Page 64, bottom (中文)"/>
      <sheetName val="Page 65"/>
      <sheetName val="Page 65 (中文)"/>
      <sheetName val="Page 67"/>
      <sheetName val="Page 67 (中文)"/>
      <sheetName val="Page 69, top"/>
      <sheetName val="Page 69, bottom"/>
      <sheetName val="Page 69, bottom (中文)"/>
      <sheetName val="Page 71"/>
      <sheetName val="Page 71 (中文)"/>
      <sheetName val="Page 72, top"/>
      <sheetName val="Page 72, top (中文)"/>
      <sheetName val="Page 72, bottom"/>
      <sheetName val="Page 72, bottom (中文)"/>
      <sheetName val="Page 73"/>
      <sheetName val="Page 73 (中文)"/>
      <sheetName val="Page 74"/>
      <sheetName val="Page 74 (中文)"/>
      <sheetName val="Page 75"/>
      <sheetName val="Page 75 (中文)"/>
      <sheetName val="Page 76, top"/>
      <sheetName val="Page 76, top (中文)"/>
      <sheetName val="Page 76, bottom"/>
      <sheetName val="Page 76, bottom (中文)"/>
      <sheetName val="Page 77"/>
      <sheetName val="Page 77 (中文)"/>
      <sheetName val="Page 78"/>
      <sheetName val="Page 78 (中文)"/>
      <sheetName val="Page 79, top"/>
      <sheetName val="Page 79, top (中文)"/>
      <sheetName val="Page 79, bottom"/>
      <sheetName val="Page 79, bottom (中文)"/>
      <sheetName val="Page 80"/>
      <sheetName val="Page 80 (中文)"/>
      <sheetName val="Page 81"/>
      <sheetName val="Page 81 (中文)"/>
      <sheetName val="Pages 82-83"/>
      <sheetName val="Pages 82-83 (中文)"/>
      <sheetName val="Page 84"/>
      <sheetName val="Page 84 (中文)"/>
      <sheetName val="Page 85"/>
      <sheetName val="Page 85 (中文)"/>
      <sheetName val="Page 86"/>
      <sheetName val="Page 86 (中文)"/>
      <sheetName val="Page 93, top"/>
      <sheetName val="Page 93, top (中文)"/>
      <sheetName val="Page 93, middle"/>
      <sheetName val="Page 93, middle (中文)"/>
      <sheetName val="Page 93, bottom"/>
      <sheetName val="Page 93, bottom (中文)"/>
      <sheetName val="Page 94"/>
      <sheetName val="Page 94 (中文)"/>
      <sheetName val="Page 95"/>
      <sheetName val="Page 95 (中文)"/>
      <sheetName val="FRED data"/>
      <sheetName val="Kraft cash flow to equity"/>
      <sheetName val="Kraft 10K, 2005"/>
      <sheetName val="Tyson cash flow statement"/>
      <sheetName val="Tyson income statement"/>
      <sheetName val="Cascade cash flow statement"/>
      <sheetName val="Cascade 10K"/>
      <sheetName val="Cascade annual dividend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3">
          <cell r="E13">
            <v>-0.25852765402904992</v>
          </cell>
          <cell r="F13">
            <v>-9.6831090416541171E-2</v>
          </cell>
        </row>
        <row r="14">
          <cell r="E14">
            <v>-8.1966225555364772E-2</v>
          </cell>
          <cell r="F14">
            <v>-6.635854393013127E-2</v>
          </cell>
        </row>
        <row r="15">
          <cell r="E15">
            <v>0.1611075247171613</v>
          </cell>
          <cell r="F15">
            <v>7.4007010555980454E-2</v>
          </cell>
        </row>
        <row r="16">
          <cell r="E16">
            <v>-0.13406296052067446</v>
          </cell>
          <cell r="F16">
            <v>5.0772876986084174E-3</v>
          </cell>
        </row>
        <row r="17">
          <cell r="E17">
            <v>7.9507136831492492E-2</v>
          </cell>
          <cell r="F17">
            <v>-2.5354152249423972E-2</v>
          </cell>
        </row>
        <row r="18">
          <cell r="E18">
            <v>1.9102101873486498E-2</v>
          </cell>
          <cell r="F18">
            <v>-1.0798221205900169E-2</v>
          </cell>
        </row>
        <row r="19">
          <cell r="E19">
            <v>-6.3651271785663807E-2</v>
          </cell>
          <cell r="F19">
            <v>-6.6255605887467039E-2</v>
          </cell>
        </row>
        <row r="20">
          <cell r="E20">
            <v>-0.31314670316066234</v>
          </cell>
          <cell r="F20">
            <v>-8.5256615246989922E-2</v>
          </cell>
        </row>
        <row r="21">
          <cell r="E21">
            <v>0.17779994349372341</v>
          </cell>
          <cell r="F21">
            <v>1.7937188329115412E-2</v>
          </cell>
        </row>
        <row r="22">
          <cell r="E22">
            <v>0.29162895474222661</v>
          </cell>
          <cell r="F22">
            <v>7.2484350433373146E-2</v>
          </cell>
        </row>
        <row r="23">
          <cell r="E23">
            <v>-3.775261216511986E-2</v>
          </cell>
          <cell r="F23">
            <v>7.545292033896033E-3</v>
          </cell>
        </row>
        <row r="24">
          <cell r="E24">
            <v>0.1080434804510071</v>
          </cell>
          <cell r="F24">
            <v>-1.5696373666933345E-2</v>
          </cell>
        </row>
        <row r="25">
          <cell r="E25">
            <v>-0.20441558376389865</v>
          </cell>
          <cell r="F25">
            <v>-2.0984886675167722E-2</v>
          </cell>
        </row>
        <row r="26">
          <cell r="E26">
            <v>6.3327964019327276E-2</v>
          </cell>
          <cell r="F26">
            <v>3.6080076252758407E-2</v>
          </cell>
        </row>
        <row r="27">
          <cell r="E27">
            <v>-6.11389810219456E-2</v>
          </cell>
          <cell r="F27">
            <v>-6.3384682784413518E-2</v>
          </cell>
        </row>
        <row r="28">
          <cell r="E28">
            <v>-3.4479782556750341E-2</v>
          </cell>
          <cell r="F28">
            <v>-9.122942297125956E-3</v>
          </cell>
        </row>
        <row r="29">
          <cell r="E29">
            <v>-0.41303803335689737</v>
          </cell>
          <cell r="F29">
            <v>-7.5214343275906148E-2</v>
          </cell>
        </row>
        <row r="30">
          <cell r="E30">
            <v>2.8107527690440601E-2</v>
          </cell>
          <cell r="F30">
            <v>-8.2299871837899052E-2</v>
          </cell>
        </row>
        <row r="31">
          <cell r="E31">
            <v>-0.11875357299426439</v>
          </cell>
          <cell r="F31">
            <v>4.8695443903156652E-3</v>
          </cell>
        </row>
        <row r="32">
          <cell r="E32">
            <v>-0.18232155679395459</v>
          </cell>
          <cell r="F32">
            <v>-0.11656116844786664</v>
          </cell>
        </row>
        <row r="33">
          <cell r="E33">
            <v>0.21909040458104365</v>
          </cell>
          <cell r="F33">
            <v>8.2914421028757151E-2</v>
          </cell>
        </row>
        <row r="34">
          <cell r="E34">
            <v>0.18961538939954087</v>
          </cell>
          <cell r="F34">
            <v>5.550058467611222E-2</v>
          </cell>
        </row>
        <row r="35">
          <cell r="E35">
            <v>-0.29350620073776967</v>
          </cell>
          <cell r="F35">
            <v>-6.2229277129875436E-2</v>
          </cell>
        </row>
        <row r="36">
          <cell r="E36">
            <v>5.3262442826741627E-3</v>
          </cell>
          <cell r="F36">
            <v>-2.7797493671422965E-2</v>
          </cell>
        </row>
        <row r="37">
          <cell r="E37">
            <v>9.8564567055554733E-2</v>
          </cell>
          <cell r="F37">
            <v>-1.7149844258839787E-2</v>
          </cell>
        </row>
        <row r="38">
          <cell r="E38">
            <v>-5.8220774505040408E-2</v>
          </cell>
          <cell r="F38">
            <v>8.3228742528296627E-3</v>
          </cell>
        </row>
        <row r="39">
          <cell r="E39">
            <v>0.12230793025467306</v>
          </cell>
          <cell r="F39">
            <v>7.7927350029476733E-2</v>
          </cell>
        </row>
        <row r="40">
          <cell r="E40">
            <v>0.12503034964659357</v>
          </cell>
          <cell r="F40">
            <v>4.9645665489287727E-2</v>
          </cell>
        </row>
        <row r="41">
          <cell r="E41">
            <v>-4.9813201528156148E-4</v>
          </cell>
          <cell r="F41">
            <v>1.125862601085219E-2</v>
          </cell>
        </row>
        <row r="42">
          <cell r="E42">
            <v>0.17882766753969889</v>
          </cell>
          <cell r="F42">
            <v>1.6093506478773681E-2</v>
          </cell>
        </row>
        <row r="43">
          <cell r="E43">
            <v>0.13939955788124916</v>
          </cell>
          <cell r="F43">
            <v>1.7715343790636197E-2</v>
          </cell>
        </row>
        <row r="44">
          <cell r="E44">
            <v>-3.8047063620961642E-2</v>
          </cell>
          <cell r="F44">
            <v>-1.2016232567985653E-2</v>
          </cell>
        </row>
        <row r="45">
          <cell r="E45">
            <v>0.18005996517789805</v>
          </cell>
          <cell r="F45">
            <v>5.3504268464946513E-2</v>
          </cell>
        </row>
        <row r="46">
          <cell r="E46">
            <v>1.8383443397106829E-2</v>
          </cell>
          <cell r="F46">
            <v>7.1032253560451564E-3</v>
          </cell>
        </row>
        <row r="47">
          <cell r="E47">
            <v>-4.547673405263282E-2</v>
          </cell>
          <cell r="F47">
            <v>4.9518899306471208E-2</v>
          </cell>
        </row>
        <row r="48">
          <cell r="E48">
            <v>-4.9000202381001737E-2</v>
          </cell>
          <cell r="F48">
            <v>1.7128882262967212E-2</v>
          </cell>
        </row>
        <row r="49">
          <cell r="E49">
            <v>-4.2987554484205395E-2</v>
          </cell>
          <cell r="F49">
            <v>1.2135100829125884E-2</v>
          </cell>
        </row>
        <row r="50">
          <cell r="E50">
            <v>-7.0816303081679077E-2</v>
          </cell>
          <cell r="F50">
            <v>-1.6494220669989047E-2</v>
          </cell>
        </row>
        <row r="51">
          <cell r="E51">
            <v>-5.5504671312740235E-2</v>
          </cell>
          <cell r="F51">
            <v>-1.6933393494544095E-2</v>
          </cell>
        </row>
        <row r="52">
          <cell r="E52">
            <v>0.10519973102849055</v>
          </cell>
          <cell r="F52">
            <v>1.2011024205564368E-2</v>
          </cell>
        </row>
        <row r="53">
          <cell r="E53">
            <v>-3.385165023102419E-2</v>
          </cell>
          <cell r="F53">
            <v>1.7829189249312503E-2</v>
          </cell>
        </row>
        <row r="54">
          <cell r="E54">
            <v>-0.1237419975710234</v>
          </cell>
          <cell r="F54">
            <v>-3.4892238215330364E-2</v>
          </cell>
        </row>
        <row r="55">
          <cell r="E55">
            <v>-0.13395503169037984</v>
          </cell>
          <cell r="F55">
            <v>2.284720571713859E-3</v>
          </cell>
        </row>
        <row r="56">
          <cell r="E56">
            <v>-5.9354242649182619E-2</v>
          </cell>
          <cell r="F56">
            <v>9.3203368022064838E-3</v>
          </cell>
        </row>
        <row r="57">
          <cell r="E57">
            <v>0.10386916776885685</v>
          </cell>
          <cell r="F57">
            <v>1.391695587821374E-2</v>
          </cell>
        </row>
        <row r="58">
          <cell r="E58">
            <v>6.9236371663474131E-3</v>
          </cell>
          <cell r="F58">
            <v>3.7868779461133012E-2</v>
          </cell>
        </row>
        <row r="59">
          <cell r="E59">
            <v>4.4531756171388596E-2</v>
          </cell>
          <cell r="F59">
            <v>3.1942491193192112E-2</v>
          </cell>
        </row>
        <row r="60">
          <cell r="E60">
            <v>-4.1317057650914257E-2</v>
          </cell>
          <cell r="F60">
            <v>-2.5615747968515911E-2</v>
          </cell>
        </row>
        <row r="61">
          <cell r="E61">
            <v>6.9940000382550133E-2</v>
          </cell>
          <cell r="F61">
            <v>1.8726934874337724E-2</v>
          </cell>
        </row>
        <row r="62">
          <cell r="E62">
            <v>-3.2148728667044726E-2</v>
          </cell>
          <cell r="F62">
            <v>-1.930275225452871E-2</v>
          </cell>
        </row>
        <row r="63">
          <cell r="E63">
            <v>1.2286244940770153E-2</v>
          </cell>
          <cell r="F63">
            <v>-2.031351934767037E-2</v>
          </cell>
        </row>
        <row r="64">
          <cell r="E64">
            <v>0.14016005041935548</v>
          </cell>
          <cell r="F64">
            <v>2.9512223385105795E-2</v>
          </cell>
        </row>
        <row r="65">
          <cell r="E65">
            <v>-3.5497554159907997E-2</v>
          </cell>
          <cell r="F65">
            <v>-1.4268747689802155E-4</v>
          </cell>
        </row>
        <row r="66">
          <cell r="E66">
            <v>4.1921154558687335E-2</v>
          </cell>
          <cell r="F66">
            <v>3.5336451864729147E-2</v>
          </cell>
        </row>
        <row r="67">
          <cell r="E67">
            <v>-5.0599710014935483E-2</v>
          </cell>
          <cell r="F67">
            <v>-1.1285467972359155E-2</v>
          </cell>
        </row>
        <row r="68">
          <cell r="E68">
            <v>-4.2490713051076448E-2</v>
          </cell>
          <cell r="F68">
            <v>6.9249074268589216E-3</v>
          </cell>
        </row>
        <row r="69">
          <cell r="E69">
            <v>-4.7839809781023035E-2</v>
          </cell>
          <cell r="F69">
            <v>-1.7899994313773929E-2</v>
          </cell>
        </row>
        <row r="70">
          <cell r="E70">
            <v>0.13032808885653555</v>
          </cell>
          <cell r="F70">
            <v>3.4581237676988605E-2</v>
          </cell>
        </row>
        <row r="71">
          <cell r="E71">
            <v>-6.6901417164360683E-2</v>
          </cell>
          <cell r="F71">
            <v>-9.528500142413687E-4</v>
          </cell>
        </row>
        <row r="72">
          <cell r="E72">
            <v>5.2716782172404206E-2</v>
          </cell>
          <cell r="F72">
            <v>2.9334236847947951E-2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tintercept"/>
      <definedName name="tslop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20A70-0CC1-4D0C-B814-E024B7C69506}">
  <sheetPr codeName="Sheet9"/>
  <dimension ref="A1:W72"/>
  <sheetViews>
    <sheetView tabSelected="1" topLeftCell="A18" workbookViewId="0">
      <selection activeCell="Y39" sqref="Y39"/>
    </sheetView>
  </sheetViews>
  <sheetFormatPr defaultRowHeight="13.2" x14ac:dyDescent="0.25"/>
  <cols>
    <col min="1" max="1" width="30.6640625" style="3" customWidth="1"/>
    <col min="2" max="2" width="10.109375" style="3" bestFit="1" customWidth="1"/>
    <col min="3" max="6" width="8.88671875" style="3"/>
    <col min="7" max="7" width="16.33203125" style="3" bestFit="1" customWidth="1"/>
    <col min="8" max="13" width="8.88671875" style="3"/>
    <col min="14" max="14" width="13.109375" style="3" bestFit="1" customWidth="1"/>
    <col min="15" max="19" width="8.88671875" style="3"/>
    <col min="20" max="20" width="17.109375" style="3" bestFit="1" customWidth="1"/>
    <col min="21" max="21" width="16.21875" style="3" bestFit="1" customWidth="1"/>
    <col min="22" max="256" width="8.88671875" style="3"/>
    <col min="257" max="257" width="30.6640625" style="3" customWidth="1"/>
    <col min="258" max="262" width="8.88671875" style="3"/>
    <col min="263" max="263" width="16.33203125" style="3" bestFit="1" customWidth="1"/>
    <col min="264" max="512" width="8.88671875" style="3"/>
    <col min="513" max="513" width="30.6640625" style="3" customWidth="1"/>
    <col min="514" max="518" width="8.88671875" style="3"/>
    <col min="519" max="519" width="16.33203125" style="3" bestFit="1" customWidth="1"/>
    <col min="520" max="768" width="8.88671875" style="3"/>
    <col min="769" max="769" width="30.6640625" style="3" customWidth="1"/>
    <col min="770" max="774" width="8.88671875" style="3"/>
    <col min="775" max="775" width="16.33203125" style="3" bestFit="1" customWidth="1"/>
    <col min="776" max="1024" width="8.88671875" style="3"/>
    <col min="1025" max="1025" width="30.6640625" style="3" customWidth="1"/>
    <col min="1026" max="1030" width="8.88671875" style="3"/>
    <col min="1031" max="1031" width="16.33203125" style="3" bestFit="1" customWidth="1"/>
    <col min="1032" max="1280" width="8.88671875" style="3"/>
    <col min="1281" max="1281" width="30.6640625" style="3" customWidth="1"/>
    <col min="1282" max="1286" width="8.88671875" style="3"/>
    <col min="1287" max="1287" width="16.33203125" style="3" bestFit="1" customWidth="1"/>
    <col min="1288" max="1536" width="8.88671875" style="3"/>
    <col min="1537" max="1537" width="30.6640625" style="3" customWidth="1"/>
    <col min="1538" max="1542" width="8.88671875" style="3"/>
    <col min="1543" max="1543" width="16.33203125" style="3" bestFit="1" customWidth="1"/>
    <col min="1544" max="1792" width="8.88671875" style="3"/>
    <col min="1793" max="1793" width="30.6640625" style="3" customWidth="1"/>
    <col min="1794" max="1798" width="8.88671875" style="3"/>
    <col min="1799" max="1799" width="16.33203125" style="3" bestFit="1" customWidth="1"/>
    <col min="1800" max="2048" width="8.88671875" style="3"/>
    <col min="2049" max="2049" width="30.6640625" style="3" customWidth="1"/>
    <col min="2050" max="2054" width="8.88671875" style="3"/>
    <col min="2055" max="2055" width="16.33203125" style="3" bestFit="1" customWidth="1"/>
    <col min="2056" max="2304" width="8.88671875" style="3"/>
    <col min="2305" max="2305" width="30.6640625" style="3" customWidth="1"/>
    <col min="2306" max="2310" width="8.88671875" style="3"/>
    <col min="2311" max="2311" width="16.33203125" style="3" bestFit="1" customWidth="1"/>
    <col min="2312" max="2560" width="8.88671875" style="3"/>
    <col min="2561" max="2561" width="30.6640625" style="3" customWidth="1"/>
    <col min="2562" max="2566" width="8.88671875" style="3"/>
    <col min="2567" max="2567" width="16.33203125" style="3" bestFit="1" customWidth="1"/>
    <col min="2568" max="2816" width="8.88671875" style="3"/>
    <col min="2817" max="2817" width="30.6640625" style="3" customWidth="1"/>
    <col min="2818" max="2822" width="8.88671875" style="3"/>
    <col min="2823" max="2823" width="16.33203125" style="3" bestFit="1" customWidth="1"/>
    <col min="2824" max="3072" width="8.88671875" style="3"/>
    <col min="3073" max="3073" width="30.6640625" style="3" customWidth="1"/>
    <col min="3074" max="3078" width="8.88671875" style="3"/>
    <col min="3079" max="3079" width="16.33203125" style="3" bestFit="1" customWidth="1"/>
    <col min="3080" max="3328" width="8.88671875" style="3"/>
    <col min="3329" max="3329" width="30.6640625" style="3" customWidth="1"/>
    <col min="3330" max="3334" width="8.88671875" style="3"/>
    <col min="3335" max="3335" width="16.33203125" style="3" bestFit="1" customWidth="1"/>
    <col min="3336" max="3584" width="8.88671875" style="3"/>
    <col min="3585" max="3585" width="30.6640625" style="3" customWidth="1"/>
    <col min="3586" max="3590" width="8.88671875" style="3"/>
    <col min="3591" max="3591" width="16.33203125" style="3" bestFit="1" customWidth="1"/>
    <col min="3592" max="3840" width="8.88671875" style="3"/>
    <col min="3841" max="3841" width="30.6640625" style="3" customWidth="1"/>
    <col min="3842" max="3846" width="8.88671875" style="3"/>
    <col min="3847" max="3847" width="16.33203125" style="3" bestFit="1" customWidth="1"/>
    <col min="3848" max="4096" width="8.88671875" style="3"/>
    <col min="4097" max="4097" width="30.6640625" style="3" customWidth="1"/>
    <col min="4098" max="4102" width="8.88671875" style="3"/>
    <col min="4103" max="4103" width="16.33203125" style="3" bestFit="1" customWidth="1"/>
    <col min="4104" max="4352" width="8.88671875" style="3"/>
    <col min="4353" max="4353" width="30.6640625" style="3" customWidth="1"/>
    <col min="4354" max="4358" width="8.88671875" style="3"/>
    <col min="4359" max="4359" width="16.33203125" style="3" bestFit="1" customWidth="1"/>
    <col min="4360" max="4608" width="8.88671875" style="3"/>
    <col min="4609" max="4609" width="30.6640625" style="3" customWidth="1"/>
    <col min="4610" max="4614" width="8.88671875" style="3"/>
    <col min="4615" max="4615" width="16.33203125" style="3" bestFit="1" customWidth="1"/>
    <col min="4616" max="4864" width="8.88671875" style="3"/>
    <col min="4865" max="4865" width="30.6640625" style="3" customWidth="1"/>
    <col min="4866" max="4870" width="8.88671875" style="3"/>
    <col min="4871" max="4871" width="16.33203125" style="3" bestFit="1" customWidth="1"/>
    <col min="4872" max="5120" width="8.88671875" style="3"/>
    <col min="5121" max="5121" width="30.6640625" style="3" customWidth="1"/>
    <col min="5122" max="5126" width="8.88671875" style="3"/>
    <col min="5127" max="5127" width="16.33203125" style="3" bestFit="1" customWidth="1"/>
    <col min="5128" max="5376" width="8.88671875" style="3"/>
    <col min="5377" max="5377" width="30.6640625" style="3" customWidth="1"/>
    <col min="5378" max="5382" width="8.88671875" style="3"/>
    <col min="5383" max="5383" width="16.33203125" style="3" bestFit="1" customWidth="1"/>
    <col min="5384" max="5632" width="8.88671875" style="3"/>
    <col min="5633" max="5633" width="30.6640625" style="3" customWidth="1"/>
    <col min="5634" max="5638" width="8.88671875" style="3"/>
    <col min="5639" max="5639" width="16.33203125" style="3" bestFit="1" customWidth="1"/>
    <col min="5640" max="5888" width="8.88671875" style="3"/>
    <col min="5889" max="5889" width="30.6640625" style="3" customWidth="1"/>
    <col min="5890" max="5894" width="8.88671875" style="3"/>
    <col min="5895" max="5895" width="16.33203125" style="3" bestFit="1" customWidth="1"/>
    <col min="5896" max="6144" width="8.88671875" style="3"/>
    <col min="6145" max="6145" width="30.6640625" style="3" customWidth="1"/>
    <col min="6146" max="6150" width="8.88671875" style="3"/>
    <col min="6151" max="6151" width="16.33203125" style="3" bestFit="1" customWidth="1"/>
    <col min="6152" max="6400" width="8.88671875" style="3"/>
    <col min="6401" max="6401" width="30.6640625" style="3" customWidth="1"/>
    <col min="6402" max="6406" width="8.88671875" style="3"/>
    <col min="6407" max="6407" width="16.33203125" style="3" bestFit="1" customWidth="1"/>
    <col min="6408" max="6656" width="8.88671875" style="3"/>
    <col min="6657" max="6657" width="30.6640625" style="3" customWidth="1"/>
    <col min="6658" max="6662" width="8.88671875" style="3"/>
    <col min="6663" max="6663" width="16.33203125" style="3" bestFit="1" customWidth="1"/>
    <col min="6664" max="6912" width="8.88671875" style="3"/>
    <col min="6913" max="6913" width="30.6640625" style="3" customWidth="1"/>
    <col min="6914" max="6918" width="8.88671875" style="3"/>
    <col min="6919" max="6919" width="16.33203125" style="3" bestFit="1" customWidth="1"/>
    <col min="6920" max="7168" width="8.88671875" style="3"/>
    <col min="7169" max="7169" width="30.6640625" style="3" customWidth="1"/>
    <col min="7170" max="7174" width="8.88671875" style="3"/>
    <col min="7175" max="7175" width="16.33203125" style="3" bestFit="1" customWidth="1"/>
    <col min="7176" max="7424" width="8.88671875" style="3"/>
    <col min="7425" max="7425" width="30.6640625" style="3" customWidth="1"/>
    <col min="7426" max="7430" width="8.88671875" style="3"/>
    <col min="7431" max="7431" width="16.33203125" style="3" bestFit="1" customWidth="1"/>
    <col min="7432" max="7680" width="8.88671875" style="3"/>
    <col min="7681" max="7681" width="30.6640625" style="3" customWidth="1"/>
    <col min="7682" max="7686" width="8.88671875" style="3"/>
    <col min="7687" max="7687" width="16.33203125" style="3" bestFit="1" customWidth="1"/>
    <col min="7688" max="7936" width="8.88671875" style="3"/>
    <col min="7937" max="7937" width="30.6640625" style="3" customWidth="1"/>
    <col min="7938" max="7942" width="8.88671875" style="3"/>
    <col min="7943" max="7943" width="16.33203125" style="3" bestFit="1" customWidth="1"/>
    <col min="7944" max="8192" width="8.88671875" style="3"/>
    <col min="8193" max="8193" width="30.6640625" style="3" customWidth="1"/>
    <col min="8194" max="8198" width="8.88671875" style="3"/>
    <col min="8199" max="8199" width="16.33203125" style="3" bestFit="1" customWidth="1"/>
    <col min="8200" max="8448" width="8.88671875" style="3"/>
    <col min="8449" max="8449" width="30.6640625" style="3" customWidth="1"/>
    <col min="8450" max="8454" width="8.88671875" style="3"/>
    <col min="8455" max="8455" width="16.33203125" style="3" bestFit="1" customWidth="1"/>
    <col min="8456" max="8704" width="8.88671875" style="3"/>
    <col min="8705" max="8705" width="30.6640625" style="3" customWidth="1"/>
    <col min="8706" max="8710" width="8.88671875" style="3"/>
    <col min="8711" max="8711" width="16.33203125" style="3" bestFit="1" customWidth="1"/>
    <col min="8712" max="8960" width="8.88671875" style="3"/>
    <col min="8961" max="8961" width="30.6640625" style="3" customWidth="1"/>
    <col min="8962" max="8966" width="8.88671875" style="3"/>
    <col min="8967" max="8967" width="16.33203125" style="3" bestFit="1" customWidth="1"/>
    <col min="8968" max="9216" width="8.88671875" style="3"/>
    <col min="9217" max="9217" width="30.6640625" style="3" customWidth="1"/>
    <col min="9218" max="9222" width="8.88671875" style="3"/>
    <col min="9223" max="9223" width="16.33203125" style="3" bestFit="1" customWidth="1"/>
    <col min="9224" max="9472" width="8.88671875" style="3"/>
    <col min="9473" max="9473" width="30.6640625" style="3" customWidth="1"/>
    <col min="9474" max="9478" width="8.88671875" style="3"/>
    <col min="9479" max="9479" width="16.33203125" style="3" bestFit="1" customWidth="1"/>
    <col min="9480" max="9728" width="8.88671875" style="3"/>
    <col min="9729" max="9729" width="30.6640625" style="3" customWidth="1"/>
    <col min="9730" max="9734" width="8.88671875" style="3"/>
    <col min="9735" max="9735" width="16.33203125" style="3" bestFit="1" customWidth="1"/>
    <col min="9736" max="9984" width="8.88671875" style="3"/>
    <col min="9985" max="9985" width="30.6640625" style="3" customWidth="1"/>
    <col min="9986" max="9990" width="8.88671875" style="3"/>
    <col min="9991" max="9991" width="16.33203125" style="3" bestFit="1" customWidth="1"/>
    <col min="9992" max="10240" width="8.88671875" style="3"/>
    <col min="10241" max="10241" width="30.6640625" style="3" customWidth="1"/>
    <col min="10242" max="10246" width="8.88671875" style="3"/>
    <col min="10247" max="10247" width="16.33203125" style="3" bestFit="1" customWidth="1"/>
    <col min="10248" max="10496" width="8.88671875" style="3"/>
    <col min="10497" max="10497" width="30.6640625" style="3" customWidth="1"/>
    <col min="10498" max="10502" width="8.88671875" style="3"/>
    <col min="10503" max="10503" width="16.33203125" style="3" bestFit="1" customWidth="1"/>
    <col min="10504" max="10752" width="8.88671875" style="3"/>
    <col min="10753" max="10753" width="30.6640625" style="3" customWidth="1"/>
    <col min="10754" max="10758" width="8.88671875" style="3"/>
    <col min="10759" max="10759" width="16.33203125" style="3" bestFit="1" customWidth="1"/>
    <col min="10760" max="11008" width="8.88671875" style="3"/>
    <col min="11009" max="11009" width="30.6640625" style="3" customWidth="1"/>
    <col min="11010" max="11014" width="8.88671875" style="3"/>
    <col min="11015" max="11015" width="16.33203125" style="3" bestFit="1" customWidth="1"/>
    <col min="11016" max="11264" width="8.88671875" style="3"/>
    <col min="11265" max="11265" width="30.6640625" style="3" customWidth="1"/>
    <col min="11266" max="11270" width="8.88671875" style="3"/>
    <col min="11271" max="11271" width="16.33203125" style="3" bestFit="1" customWidth="1"/>
    <col min="11272" max="11520" width="8.88671875" style="3"/>
    <col min="11521" max="11521" width="30.6640625" style="3" customWidth="1"/>
    <col min="11522" max="11526" width="8.88671875" style="3"/>
    <col min="11527" max="11527" width="16.33203125" style="3" bestFit="1" customWidth="1"/>
    <col min="11528" max="11776" width="8.88671875" style="3"/>
    <col min="11777" max="11777" width="30.6640625" style="3" customWidth="1"/>
    <col min="11778" max="11782" width="8.88671875" style="3"/>
    <col min="11783" max="11783" width="16.33203125" style="3" bestFit="1" customWidth="1"/>
    <col min="11784" max="12032" width="8.88671875" style="3"/>
    <col min="12033" max="12033" width="30.6640625" style="3" customWidth="1"/>
    <col min="12034" max="12038" width="8.88671875" style="3"/>
    <col min="12039" max="12039" width="16.33203125" style="3" bestFit="1" customWidth="1"/>
    <col min="12040" max="12288" width="8.88671875" style="3"/>
    <col min="12289" max="12289" width="30.6640625" style="3" customWidth="1"/>
    <col min="12290" max="12294" width="8.88671875" style="3"/>
    <col min="12295" max="12295" width="16.33203125" style="3" bestFit="1" customWidth="1"/>
    <col min="12296" max="12544" width="8.88671875" style="3"/>
    <col min="12545" max="12545" width="30.6640625" style="3" customWidth="1"/>
    <col min="12546" max="12550" width="8.88671875" style="3"/>
    <col min="12551" max="12551" width="16.33203125" style="3" bestFit="1" customWidth="1"/>
    <col min="12552" max="12800" width="8.88671875" style="3"/>
    <col min="12801" max="12801" width="30.6640625" style="3" customWidth="1"/>
    <col min="12802" max="12806" width="8.88671875" style="3"/>
    <col min="12807" max="12807" width="16.33203125" style="3" bestFit="1" customWidth="1"/>
    <col min="12808" max="13056" width="8.88671875" style="3"/>
    <col min="13057" max="13057" width="30.6640625" style="3" customWidth="1"/>
    <col min="13058" max="13062" width="8.88671875" style="3"/>
    <col min="13063" max="13063" width="16.33203125" style="3" bestFit="1" customWidth="1"/>
    <col min="13064" max="13312" width="8.88671875" style="3"/>
    <col min="13313" max="13313" width="30.6640625" style="3" customWidth="1"/>
    <col min="13314" max="13318" width="8.88671875" style="3"/>
    <col min="13319" max="13319" width="16.33203125" style="3" bestFit="1" customWidth="1"/>
    <col min="13320" max="13568" width="8.88671875" style="3"/>
    <col min="13569" max="13569" width="30.6640625" style="3" customWidth="1"/>
    <col min="13570" max="13574" width="8.88671875" style="3"/>
    <col min="13575" max="13575" width="16.33203125" style="3" bestFit="1" customWidth="1"/>
    <col min="13576" max="13824" width="8.88671875" style="3"/>
    <col min="13825" max="13825" width="30.6640625" style="3" customWidth="1"/>
    <col min="13826" max="13830" width="8.88671875" style="3"/>
    <col min="13831" max="13831" width="16.33203125" style="3" bestFit="1" customWidth="1"/>
    <col min="13832" max="14080" width="8.88671875" style="3"/>
    <col min="14081" max="14081" width="30.6640625" style="3" customWidth="1"/>
    <col min="14082" max="14086" width="8.88671875" style="3"/>
    <col min="14087" max="14087" width="16.33203125" style="3" bestFit="1" customWidth="1"/>
    <col min="14088" max="14336" width="8.88671875" style="3"/>
    <col min="14337" max="14337" width="30.6640625" style="3" customWidth="1"/>
    <col min="14338" max="14342" width="8.88671875" style="3"/>
    <col min="14343" max="14343" width="16.33203125" style="3" bestFit="1" customWidth="1"/>
    <col min="14344" max="14592" width="8.88671875" style="3"/>
    <col min="14593" max="14593" width="30.6640625" style="3" customWidth="1"/>
    <col min="14594" max="14598" width="8.88671875" style="3"/>
    <col min="14599" max="14599" width="16.33203125" style="3" bestFit="1" customWidth="1"/>
    <col min="14600" max="14848" width="8.88671875" style="3"/>
    <col min="14849" max="14849" width="30.6640625" style="3" customWidth="1"/>
    <col min="14850" max="14854" width="8.88671875" style="3"/>
    <col min="14855" max="14855" width="16.33203125" style="3" bestFit="1" customWidth="1"/>
    <col min="14856" max="15104" width="8.88671875" style="3"/>
    <col min="15105" max="15105" width="30.6640625" style="3" customWidth="1"/>
    <col min="15106" max="15110" width="8.88671875" style="3"/>
    <col min="15111" max="15111" width="16.33203125" style="3" bestFit="1" customWidth="1"/>
    <col min="15112" max="15360" width="8.88671875" style="3"/>
    <col min="15361" max="15361" width="30.6640625" style="3" customWidth="1"/>
    <col min="15362" max="15366" width="8.88671875" style="3"/>
    <col min="15367" max="15367" width="16.33203125" style="3" bestFit="1" customWidth="1"/>
    <col min="15368" max="15616" width="8.88671875" style="3"/>
    <col min="15617" max="15617" width="30.6640625" style="3" customWidth="1"/>
    <col min="15618" max="15622" width="8.88671875" style="3"/>
    <col min="15623" max="15623" width="16.33203125" style="3" bestFit="1" customWidth="1"/>
    <col min="15624" max="15872" width="8.88671875" style="3"/>
    <col min="15873" max="15873" width="30.6640625" style="3" customWidth="1"/>
    <col min="15874" max="15878" width="8.88671875" style="3"/>
    <col min="15879" max="15879" width="16.33203125" style="3" bestFit="1" customWidth="1"/>
    <col min="15880" max="16128" width="8.88671875" style="3"/>
    <col min="16129" max="16129" width="30.6640625" style="3" customWidth="1"/>
    <col min="16130" max="16134" width="8.88671875" style="3"/>
    <col min="16135" max="16135" width="16.33203125" style="3" bestFit="1" customWidth="1"/>
    <col min="16136" max="16384" width="8.88671875" style="3"/>
  </cols>
  <sheetData>
    <row r="1" spans="1:15" ht="34.5" customHeight="1" x14ac:dyDescent="0.25">
      <c r="A1" s="1" t="s">
        <v>0</v>
      </c>
      <c r="B1" s="1"/>
      <c r="C1" s="1"/>
      <c r="D1" s="1"/>
      <c r="E1" s="1"/>
      <c r="F1" s="1"/>
      <c r="G1" s="1"/>
      <c r="H1" s="2"/>
      <c r="I1" s="2"/>
      <c r="J1" s="2"/>
      <c r="K1" s="2"/>
      <c r="L1" s="2"/>
      <c r="M1" s="2"/>
      <c r="N1" s="2"/>
      <c r="O1" s="2"/>
    </row>
    <row r="2" spans="1:15" x14ac:dyDescent="0.25">
      <c r="A2" s="3" t="s">
        <v>1</v>
      </c>
      <c r="B2" s="11">
        <f>INTERCEPT(E13:E72,F13:F72)</f>
        <v>-2.9173232533321715E-3</v>
      </c>
      <c r="C2" s="3" t="str">
        <f ca="1">[2]!getformula(B2)</f>
        <v>&lt;--  =INTERCEPT(E13:E72,F13:F72)</v>
      </c>
    </row>
    <row r="3" spans="1:15" x14ac:dyDescent="0.25">
      <c r="A3" s="3" t="s">
        <v>2</v>
      </c>
    </row>
    <row r="4" spans="1:15" x14ac:dyDescent="0.25">
      <c r="A4" s="5" t="s">
        <v>3</v>
      </c>
      <c r="B4" s="6">
        <f>SLOPE(E13:E72,F13:F72)</f>
        <v>2.2516049448723261</v>
      </c>
      <c r="C4" s="3" t="str">
        <f ca="1">[2]!getformula(B4)</f>
        <v>&lt;--  =SLOPE(E13:E72,F13:F72)</v>
      </c>
    </row>
    <row r="5" spans="1:15" x14ac:dyDescent="0.25">
      <c r="A5" s="5" t="s">
        <v>4</v>
      </c>
      <c r="B5" s="6">
        <f>COVAR(E13:E72,F13:F72)/VARP(F13:F72)</f>
        <v>2.251604944872327</v>
      </c>
      <c r="C5" s="3" t="str">
        <f ca="1">[2]!getformula(B5)</f>
        <v>&lt;--  =COVAR(E13:E72,F13:F72)/VARP(F13:F72)</v>
      </c>
    </row>
    <row r="6" spans="1:15" x14ac:dyDescent="0.25">
      <c r="A6" s="3" t="s">
        <v>5</v>
      </c>
      <c r="B6" s="4">
        <f>RSQ(E13:E72,F13:F72)</f>
        <v>0.53042330220399059</v>
      </c>
      <c r="C6" s="3" t="str">
        <f ca="1">[2]!getformula(B6)</f>
        <v>&lt;--  =RSQ(E13:E72,F13:F72)</v>
      </c>
    </row>
    <row r="7" spans="1:15" x14ac:dyDescent="0.25">
      <c r="A7" s="3" t="s">
        <v>6</v>
      </c>
      <c r="B7" s="4">
        <f>[2]!tintercept(E13:E72,F13:F72)</f>
        <v>-0.24376210222256453</v>
      </c>
      <c r="C7" s="3" t="str">
        <f ca="1">[2]!getformula(B7)</f>
        <v>&lt;--  =tintercept(E13:E72,F13:F72)</v>
      </c>
    </row>
    <row r="8" spans="1:15" x14ac:dyDescent="0.25">
      <c r="A8" s="3" t="s">
        <v>7</v>
      </c>
      <c r="B8" s="4">
        <f>[2]!tslope(E13:E72,F13:F72)</f>
        <v>8.0941644835556392</v>
      </c>
      <c r="C8" s="3" t="str">
        <f ca="1">[2]!getformula(B8)</f>
        <v>&lt;--  =tslope(E13:E72,F13:F72)</v>
      </c>
    </row>
    <row r="10" spans="1:15" x14ac:dyDescent="0.25">
      <c r="B10" s="7" t="s">
        <v>8</v>
      </c>
      <c r="C10" s="7"/>
      <c r="E10" s="7" t="s">
        <v>9</v>
      </c>
      <c r="F10" s="7"/>
    </row>
    <row r="11" spans="1:15" x14ac:dyDescent="0.25">
      <c r="A11" s="8" t="s">
        <v>10</v>
      </c>
      <c r="B11" s="8" t="s">
        <v>11</v>
      </c>
      <c r="C11" s="8" t="s">
        <v>12</v>
      </c>
      <c r="E11" s="8" t="s">
        <v>11</v>
      </c>
      <c r="F11" s="8" t="s">
        <v>12</v>
      </c>
    </row>
    <row r="12" spans="1:15" x14ac:dyDescent="0.25">
      <c r="A12" s="10">
        <v>36900</v>
      </c>
      <c r="B12" s="3">
        <v>35.380000000000003</v>
      </c>
      <c r="C12" s="3">
        <v>1366.01</v>
      </c>
    </row>
    <row r="13" spans="1:15" ht="13.8" x14ac:dyDescent="0.25">
      <c r="A13" s="10">
        <v>36923</v>
      </c>
      <c r="B13" s="3">
        <v>27.32</v>
      </c>
      <c r="C13" s="3">
        <v>1239.94</v>
      </c>
      <c r="E13" s="9">
        <f>LN(B13/B12)</f>
        <v>-0.25852765402904992</v>
      </c>
      <c r="F13" s="9">
        <f>LN(C13/C12)</f>
        <v>-9.6831090416541171E-2</v>
      </c>
      <c r="G13" s="3" t="str">
        <f ca="1">[2]!getformula(F13)</f>
        <v>&lt;--  =LN(C13/C12)</v>
      </c>
    </row>
    <row r="14" spans="1:15" ht="13.8" x14ac:dyDescent="0.25">
      <c r="A14" s="10">
        <v>36951</v>
      </c>
      <c r="B14" s="3">
        <v>25.17</v>
      </c>
      <c r="C14" s="3">
        <v>1160.33</v>
      </c>
      <c r="E14" s="9">
        <f t="shared" ref="E14:E72" si="0">LN(B14/B13)</f>
        <v>-8.1966225555364772E-2</v>
      </c>
      <c r="F14" s="9">
        <f t="shared" ref="E14:F72" si="1">LN(C14/C13)</f>
        <v>-6.635854393013127E-2</v>
      </c>
      <c r="G14" s="3" t="str">
        <f ca="1">[2]!getformula(F14)</f>
        <v>&lt;--  =LN(C14/C13)</v>
      </c>
    </row>
    <row r="15" spans="1:15" ht="13.8" x14ac:dyDescent="0.25">
      <c r="A15" s="10">
        <v>36983</v>
      </c>
      <c r="B15" s="3">
        <v>29.57</v>
      </c>
      <c r="C15" s="3">
        <v>1249.46</v>
      </c>
      <c r="E15" s="9">
        <f t="shared" si="0"/>
        <v>0.1611075247171613</v>
      </c>
      <c r="F15" s="9">
        <f t="shared" si="1"/>
        <v>7.4007010555980454E-2</v>
      </c>
      <c r="G15" s="3" t="str">
        <f ca="1">[2]!getformula(F15)</f>
        <v>&lt;--  =LN(C15/C14)</v>
      </c>
    </row>
    <row r="16" spans="1:15" ht="13.8" x14ac:dyDescent="0.25">
      <c r="A16" s="10">
        <v>37012</v>
      </c>
      <c r="B16" s="3">
        <v>25.86</v>
      </c>
      <c r="C16" s="3">
        <v>1255.82</v>
      </c>
      <c r="E16" s="9">
        <f t="shared" si="0"/>
        <v>-0.13406296052067446</v>
      </c>
      <c r="F16" s="9">
        <f t="shared" si="1"/>
        <v>5.0772876986084174E-3</v>
      </c>
    </row>
    <row r="17" spans="1:23" ht="13.8" x14ac:dyDescent="0.25">
      <c r="A17" s="10">
        <v>37043</v>
      </c>
      <c r="B17" s="3">
        <v>28</v>
      </c>
      <c r="C17" s="3">
        <v>1224.3800000000001</v>
      </c>
      <c r="E17" s="9">
        <f t="shared" si="0"/>
        <v>7.9507136831492492E-2</v>
      </c>
      <c r="F17" s="9">
        <f t="shared" si="1"/>
        <v>-2.5354152249423972E-2</v>
      </c>
      <c r="V17" s="3">
        <v>90</v>
      </c>
    </row>
    <row r="18" spans="1:23" ht="13.8" x14ac:dyDescent="0.25">
      <c r="A18" s="10">
        <v>37074</v>
      </c>
      <c r="B18" s="3">
        <v>28.54</v>
      </c>
      <c r="C18" s="3">
        <v>1211.23</v>
      </c>
      <c r="E18" s="9">
        <f t="shared" si="0"/>
        <v>1.9102101873486498E-2</v>
      </c>
      <c r="F18" s="9">
        <f t="shared" si="1"/>
        <v>-1.0798221205900169E-2</v>
      </c>
      <c r="V18" s="3">
        <v>80</v>
      </c>
    </row>
    <row r="19" spans="1:23" ht="13.8" x14ac:dyDescent="0.25">
      <c r="A19" s="10">
        <v>37104</v>
      </c>
      <c r="B19" s="3">
        <v>26.78</v>
      </c>
      <c r="C19" s="3">
        <v>1133.58</v>
      </c>
      <c r="E19" s="9">
        <f t="shared" si="0"/>
        <v>-6.3651271785663807E-2</v>
      </c>
      <c r="F19" s="9">
        <f t="shared" si="1"/>
        <v>-6.6255605887467039E-2</v>
      </c>
      <c r="V19" s="3">
        <v>100</v>
      </c>
    </row>
    <row r="20" spans="1:23" ht="13.8" x14ac:dyDescent="0.25">
      <c r="A20" s="10">
        <v>37138</v>
      </c>
      <c r="B20" s="3">
        <v>19.579999999999998</v>
      </c>
      <c r="C20" s="3">
        <v>1040.94</v>
      </c>
      <c r="E20" s="9">
        <f t="shared" si="0"/>
        <v>-0.31314670316066234</v>
      </c>
      <c r="F20" s="9">
        <f t="shared" si="1"/>
        <v>-8.5256615246989922E-2</v>
      </c>
      <c r="V20" s="3">
        <v>120</v>
      </c>
    </row>
    <row r="21" spans="1:23" ht="13.8" x14ac:dyDescent="0.25">
      <c r="A21" s="10">
        <v>37165</v>
      </c>
      <c r="B21" s="3">
        <v>23.39</v>
      </c>
      <c r="C21" s="3">
        <v>1059.78</v>
      </c>
      <c r="E21" s="9">
        <f t="shared" si="0"/>
        <v>0.17779994349372341</v>
      </c>
      <c r="F21" s="9">
        <f t="shared" si="1"/>
        <v>1.7937188329115412E-2</v>
      </c>
      <c r="V21" s="3">
        <v>110</v>
      </c>
    </row>
    <row r="22" spans="1:23" ht="13.8" x14ac:dyDescent="0.25">
      <c r="A22" s="10">
        <v>37196</v>
      </c>
      <c r="B22" s="3">
        <v>31.31</v>
      </c>
      <c r="C22" s="3">
        <v>1139.45</v>
      </c>
      <c r="E22" s="9">
        <f t="shared" si="0"/>
        <v>0.29162895474222661</v>
      </c>
      <c r="F22" s="9">
        <f t="shared" si="1"/>
        <v>7.2484350433373146E-2</v>
      </c>
    </row>
    <row r="23" spans="1:23" ht="13.8" x14ac:dyDescent="0.25">
      <c r="A23" s="10">
        <v>37228</v>
      </c>
      <c r="B23" s="3">
        <v>30.15</v>
      </c>
      <c r="C23" s="3">
        <v>1148.08</v>
      </c>
      <c r="E23" s="9">
        <f t="shared" si="0"/>
        <v>-3.775261216511986E-2</v>
      </c>
      <c r="F23" s="9">
        <f t="shared" si="1"/>
        <v>7.545292033896033E-3</v>
      </c>
      <c r="V23" s="3">
        <f>_xlfn.STDEV.S(V17:V21)</f>
        <v>15.811388300841896</v>
      </c>
      <c r="W23" s="3" t="str">
        <f ca="1">_xlfn.FORMULATEXT(V23)</f>
        <v>=STDEV.S(V17:V21)</v>
      </c>
    </row>
    <row r="24" spans="1:23" ht="13.8" x14ac:dyDescent="0.25">
      <c r="A24" s="10">
        <v>37258</v>
      </c>
      <c r="B24" s="3">
        <v>33.590000000000003</v>
      </c>
      <c r="C24" s="3">
        <v>1130.2</v>
      </c>
      <c r="E24" s="9">
        <f t="shared" si="0"/>
        <v>0.1080434804510071</v>
      </c>
      <c r="F24" s="9">
        <f t="shared" si="1"/>
        <v>-1.5696373666933345E-2</v>
      </c>
      <c r="V24" s="3">
        <f>_xlfn.STDEV.P(V17:V21)</f>
        <v>14.142135623730951</v>
      </c>
      <c r="W24" s="3" t="str">
        <f ca="1">_xlfn.FORMULATEXT(V24)</f>
        <v>=STDEV.P(V17:V21)</v>
      </c>
    </row>
    <row r="25" spans="1:23" ht="13.8" x14ac:dyDescent="0.25">
      <c r="A25" s="10">
        <v>37288</v>
      </c>
      <c r="B25" s="3">
        <v>27.38</v>
      </c>
      <c r="C25" s="3">
        <v>1106.73</v>
      </c>
      <c r="E25" s="9">
        <f t="shared" si="0"/>
        <v>-0.20441558376389865</v>
      </c>
      <c r="F25" s="9">
        <f t="shared" si="1"/>
        <v>-2.0984886675167722E-2</v>
      </c>
      <c r="V25" s="3">
        <f>STDEVA(V17:V21)</f>
        <v>15.811388300841896</v>
      </c>
      <c r="W25" s="3" t="str">
        <f ca="1">_xlfn.FORMULATEXT(V25)</f>
        <v>=STDEVA(V17:V21)</v>
      </c>
    </row>
    <row r="26" spans="1:23" ht="13.8" x14ac:dyDescent="0.25">
      <c r="A26" s="10">
        <v>37316</v>
      </c>
      <c r="B26" s="3">
        <v>29.17</v>
      </c>
      <c r="C26" s="3">
        <v>1147.3900000000001</v>
      </c>
      <c r="E26" s="9">
        <f t="shared" si="0"/>
        <v>6.3327964019327276E-2</v>
      </c>
      <c r="F26" s="9">
        <f t="shared" si="1"/>
        <v>3.6080076252758407E-2</v>
      </c>
      <c r="V26" s="3">
        <f>STDEVPA(V17:V21)</f>
        <v>14.142135623730951</v>
      </c>
      <c r="W26" s="3" t="str">
        <f ca="1">_xlfn.FORMULATEXT(V26)</f>
        <v>=STDEVPA(V17:V21)</v>
      </c>
    </row>
    <row r="27" spans="1:23" ht="13.8" x14ac:dyDescent="0.25">
      <c r="A27" s="10">
        <v>37347</v>
      </c>
      <c r="B27" s="3">
        <v>27.44</v>
      </c>
      <c r="C27" s="3">
        <v>1076.92</v>
      </c>
      <c r="E27" s="9">
        <f t="shared" si="0"/>
        <v>-6.11389810219456E-2</v>
      </c>
      <c r="F27" s="9">
        <f t="shared" si="1"/>
        <v>-6.3384682784413518E-2</v>
      </c>
    </row>
    <row r="28" spans="1:23" ht="13.8" x14ac:dyDescent="0.25">
      <c r="A28" s="10">
        <v>37377</v>
      </c>
      <c r="B28" s="3">
        <v>26.51</v>
      </c>
      <c r="C28" s="3">
        <v>1067.1400000000001</v>
      </c>
      <c r="E28" s="9">
        <f t="shared" si="0"/>
        <v>-3.4479782556750341E-2</v>
      </c>
      <c r="F28" s="9">
        <f t="shared" si="1"/>
        <v>-9.122942297125956E-3</v>
      </c>
    </row>
    <row r="29" spans="1:23" ht="13.8" x14ac:dyDescent="0.25">
      <c r="A29" s="10">
        <v>37410</v>
      </c>
      <c r="B29" s="3">
        <v>17.54</v>
      </c>
      <c r="C29" s="3">
        <v>989.82</v>
      </c>
      <c r="E29" s="9">
        <f t="shared" si="0"/>
        <v>-0.41303803335689737</v>
      </c>
      <c r="F29" s="9">
        <f t="shared" si="1"/>
        <v>-7.5214343275906148E-2</v>
      </c>
    </row>
    <row r="30" spans="1:23" ht="13.8" x14ac:dyDescent="0.25">
      <c r="A30" s="10">
        <v>37438</v>
      </c>
      <c r="B30" s="3">
        <v>18.04</v>
      </c>
      <c r="C30" s="3">
        <v>911.62</v>
      </c>
      <c r="E30" s="9">
        <f t="shared" si="0"/>
        <v>2.8107527690440601E-2</v>
      </c>
      <c r="F30" s="9">
        <f t="shared" si="1"/>
        <v>-8.2299871837899052E-2</v>
      </c>
    </row>
    <row r="31" spans="1:23" ht="13.8" x14ac:dyDescent="0.25">
      <c r="A31" s="10">
        <v>37469</v>
      </c>
      <c r="B31" s="3">
        <v>16.02</v>
      </c>
      <c r="C31" s="3">
        <v>916.07</v>
      </c>
      <c r="E31" s="9">
        <f t="shared" si="0"/>
        <v>-0.11875357299426439</v>
      </c>
      <c r="F31" s="9">
        <f t="shared" si="1"/>
        <v>4.8695443903156652E-3</v>
      </c>
    </row>
    <row r="32" spans="1:23" ht="13.8" x14ac:dyDescent="0.25">
      <c r="A32" s="10">
        <v>37502</v>
      </c>
      <c r="B32" s="3">
        <v>13.35</v>
      </c>
      <c r="C32" s="3">
        <v>815.28</v>
      </c>
      <c r="E32" s="9">
        <f t="shared" si="0"/>
        <v>-0.18232155679395459</v>
      </c>
      <c r="F32" s="9">
        <f t="shared" si="1"/>
        <v>-0.11656116844786664</v>
      </c>
    </row>
    <row r="33" spans="1:21" ht="13.8" x14ac:dyDescent="0.25">
      <c r="A33" s="10">
        <v>37530</v>
      </c>
      <c r="B33" s="3">
        <v>16.62</v>
      </c>
      <c r="C33" s="3">
        <v>885.76</v>
      </c>
      <c r="E33" s="9">
        <f t="shared" si="0"/>
        <v>0.21909040458104365</v>
      </c>
      <c r="F33" s="9">
        <f t="shared" si="1"/>
        <v>8.2914421028757151E-2</v>
      </c>
    </row>
    <row r="34" spans="1:21" ht="13.8" x14ac:dyDescent="0.25">
      <c r="A34" s="10">
        <v>37561</v>
      </c>
      <c r="B34" s="3">
        <v>20.09</v>
      </c>
      <c r="C34" s="3">
        <v>936.31</v>
      </c>
      <c r="E34" s="9">
        <f t="shared" si="0"/>
        <v>0.18961538939954087</v>
      </c>
      <c r="F34" s="9">
        <f t="shared" si="1"/>
        <v>5.550058467611222E-2</v>
      </c>
    </row>
    <row r="35" spans="1:21" ht="13.8" x14ac:dyDescent="0.25">
      <c r="A35" s="10">
        <v>37592</v>
      </c>
      <c r="B35" s="3">
        <v>14.98</v>
      </c>
      <c r="C35" s="3">
        <v>879.82</v>
      </c>
      <c r="E35" s="9">
        <f t="shared" si="0"/>
        <v>-0.29350620073776967</v>
      </c>
      <c r="F35" s="9">
        <f t="shared" si="1"/>
        <v>-6.2229277129875436E-2</v>
      </c>
    </row>
    <row r="36" spans="1:21" ht="13.8" x14ac:dyDescent="0.25">
      <c r="A36" s="10">
        <v>37623</v>
      </c>
      <c r="B36" s="3">
        <v>15.06</v>
      </c>
      <c r="C36" s="3">
        <v>855.7</v>
      </c>
      <c r="E36" s="9">
        <f t="shared" si="0"/>
        <v>5.3262442826741627E-3</v>
      </c>
      <c r="F36" s="9">
        <f t="shared" si="1"/>
        <v>-2.7797493671422965E-2</v>
      </c>
    </row>
    <row r="37" spans="1:21" ht="13.8" x14ac:dyDescent="0.25">
      <c r="A37" s="10">
        <v>37655</v>
      </c>
      <c r="B37" s="3">
        <v>16.62</v>
      </c>
      <c r="C37" s="3">
        <v>841.15</v>
      </c>
      <c r="E37" s="9">
        <f t="shared" si="0"/>
        <v>9.8564567055554733E-2</v>
      </c>
      <c r="F37" s="9">
        <f t="shared" si="1"/>
        <v>-1.7149844258839787E-2</v>
      </c>
    </row>
    <row r="38" spans="1:21" ht="13.8" x14ac:dyDescent="0.25">
      <c r="A38" s="10">
        <v>37683</v>
      </c>
      <c r="B38" s="3">
        <v>15.68</v>
      </c>
      <c r="C38" s="3">
        <v>848.18</v>
      </c>
      <c r="E38" s="9">
        <f t="shared" si="0"/>
        <v>-5.8220774505040408E-2</v>
      </c>
      <c r="F38" s="9">
        <f t="shared" si="1"/>
        <v>8.3228742528296627E-3</v>
      </c>
    </row>
    <row r="39" spans="1:21" ht="13.8" x14ac:dyDescent="0.25">
      <c r="A39" s="10">
        <v>37712</v>
      </c>
      <c r="B39" s="3">
        <v>17.72</v>
      </c>
      <c r="C39" s="3">
        <v>916.92</v>
      </c>
      <c r="E39" s="9">
        <f t="shared" si="0"/>
        <v>0.12230793025467306</v>
      </c>
      <c r="F39" s="9">
        <f t="shared" si="1"/>
        <v>7.7927350029476733E-2</v>
      </c>
    </row>
    <row r="40" spans="1:21" ht="13.8" x14ac:dyDescent="0.25">
      <c r="A40" s="10">
        <v>37742</v>
      </c>
      <c r="B40" s="3">
        <v>20.079999999999998</v>
      </c>
      <c r="C40" s="3">
        <v>963.59</v>
      </c>
      <c r="E40" s="9">
        <f t="shared" si="0"/>
        <v>0.12503034964659357</v>
      </c>
      <c r="F40" s="9">
        <f t="shared" si="1"/>
        <v>4.9645665489287727E-2</v>
      </c>
      <c r="O40" s="3" t="str">
        <f ca="1">_xlfn.FORMULATEXT(O42)</f>
        <v>{=LINEST(E13:E72,F13:F72,TRUE,TRUE)}</v>
      </c>
    </row>
    <row r="41" spans="1:21" ht="13.8" x14ac:dyDescent="0.25">
      <c r="A41" s="10">
        <v>37774</v>
      </c>
      <c r="B41" s="3">
        <v>20.07</v>
      </c>
      <c r="C41" s="3">
        <v>974.5</v>
      </c>
      <c r="E41" s="9">
        <f t="shared" si="0"/>
        <v>-4.9813201528156148E-4</v>
      </c>
      <c r="F41" s="9">
        <f t="shared" si="1"/>
        <v>1.125862601085219E-2</v>
      </c>
      <c r="O41" s="13" t="s">
        <v>18</v>
      </c>
      <c r="P41" s="13" t="s">
        <v>19</v>
      </c>
      <c r="T41" s="3" t="str">
        <f>A7</f>
        <v>t-statistic for alpha</v>
      </c>
      <c r="U41" s="3" t="str">
        <f>A8</f>
        <v>t-statistic for beta</v>
      </c>
    </row>
    <row r="42" spans="1:21" ht="13.8" x14ac:dyDescent="0.25">
      <c r="A42" s="10">
        <v>37803</v>
      </c>
      <c r="B42" s="3">
        <v>24</v>
      </c>
      <c r="C42" s="3">
        <v>990.31</v>
      </c>
      <c r="E42" s="9">
        <f t="shared" si="0"/>
        <v>0.17882766753969889</v>
      </c>
      <c r="F42" s="9">
        <f t="shared" si="1"/>
        <v>1.6093506478773681E-2</v>
      </c>
      <c r="N42" s="12" t="s">
        <v>13</v>
      </c>
      <c r="O42" s="3">
        <f t="array" ref="O42:P46">LINEST(E13:E72,F13:F72,TRUE,TRUE)</f>
        <v>2.251604944872327</v>
      </c>
      <c r="P42" s="3">
        <v>-2.9173232533321707E-3</v>
      </c>
      <c r="Q42" s="12" t="s">
        <v>20</v>
      </c>
      <c r="T42" s="15" t="str">
        <f ca="1">_xlfn.FORMULATEXT(T43)</f>
        <v>=P42/P43</v>
      </c>
      <c r="U42" s="15" t="str">
        <f ca="1">_xlfn.FORMULATEXT(U43)</f>
        <v>=O42/O43</v>
      </c>
    </row>
    <row r="43" spans="1:21" ht="13.8" x14ac:dyDescent="0.25">
      <c r="A43" s="10">
        <v>37834</v>
      </c>
      <c r="B43" s="3">
        <v>27.59</v>
      </c>
      <c r="C43" s="3">
        <v>1008.01</v>
      </c>
      <c r="E43" s="9">
        <f t="shared" si="0"/>
        <v>0.13939955788124916</v>
      </c>
      <c r="F43" s="9">
        <f t="shared" si="1"/>
        <v>1.7715343790636197E-2</v>
      </c>
      <c r="N43" s="12" t="s">
        <v>14</v>
      </c>
      <c r="O43" s="3">
        <v>0.27817632683975707</v>
      </c>
      <c r="P43" s="3">
        <v>1.1967911446171145E-2</v>
      </c>
      <c r="Q43" s="12" t="s">
        <v>21</v>
      </c>
      <c r="T43" s="15">
        <f>P42/P43</f>
        <v>-0.24376210222256453</v>
      </c>
      <c r="U43" s="15">
        <f>O42/O43</f>
        <v>8.0941644835556392</v>
      </c>
    </row>
    <row r="44" spans="1:21" ht="15.6" x14ac:dyDescent="0.25">
      <c r="A44" s="10">
        <v>37866</v>
      </c>
      <c r="B44" s="3">
        <v>26.56</v>
      </c>
      <c r="C44" s="3">
        <v>995.97</v>
      </c>
      <c r="E44" s="9">
        <f t="shared" si="0"/>
        <v>-3.8047063620961642E-2</v>
      </c>
      <c r="F44" s="9">
        <f t="shared" si="1"/>
        <v>-1.2016232567985653E-2</v>
      </c>
      <c r="N44" s="3" t="s">
        <v>15</v>
      </c>
      <c r="O44" s="3">
        <v>0.5304233022039907</v>
      </c>
      <c r="P44" s="3">
        <v>9.2677338212707017E-2</v>
      </c>
      <c r="Q44" s="3" t="s">
        <v>22</v>
      </c>
    </row>
    <row r="45" spans="1:21" ht="13.8" x14ac:dyDescent="0.25">
      <c r="A45" s="10">
        <v>37895</v>
      </c>
      <c r="B45" s="3">
        <v>31.8</v>
      </c>
      <c r="C45" s="3">
        <v>1050.71</v>
      </c>
      <c r="E45" s="9">
        <f t="shared" si="0"/>
        <v>0.18005996517789805</v>
      </c>
      <c r="F45" s="9">
        <f t="shared" si="1"/>
        <v>5.3504268464946513E-2</v>
      </c>
      <c r="N45" s="3" t="s">
        <v>16</v>
      </c>
      <c r="O45" s="3">
        <v>65.515498686853519</v>
      </c>
      <c r="P45" s="3">
        <v>58</v>
      </c>
      <c r="Q45" s="12" t="s">
        <v>23</v>
      </c>
    </row>
    <row r="46" spans="1:21" ht="15.6" x14ac:dyDescent="0.35">
      <c r="A46" s="10">
        <v>37928</v>
      </c>
      <c r="B46" s="3">
        <v>32.39</v>
      </c>
      <c r="C46" s="3">
        <v>1058.2</v>
      </c>
      <c r="E46" s="9">
        <f t="shared" si="0"/>
        <v>1.8383443397106829E-2</v>
      </c>
      <c r="F46" s="9">
        <f t="shared" si="1"/>
        <v>7.1032253560451564E-3</v>
      </c>
      <c r="N46" s="3" t="s">
        <v>17</v>
      </c>
      <c r="O46" s="3">
        <v>0.56271845029265777</v>
      </c>
      <c r="P46" s="3">
        <v>0.49816716305516417</v>
      </c>
      <c r="Q46" s="3" t="s">
        <v>24</v>
      </c>
    </row>
    <row r="47" spans="1:21" ht="13.8" x14ac:dyDescent="0.25">
      <c r="A47" s="10">
        <v>37956</v>
      </c>
      <c r="B47" s="3">
        <v>30.95</v>
      </c>
      <c r="C47" s="3">
        <v>1111.92</v>
      </c>
      <c r="E47" s="9">
        <f t="shared" si="0"/>
        <v>-4.547673405263282E-2</v>
      </c>
      <c r="F47" s="9">
        <f t="shared" si="1"/>
        <v>4.9518899306471208E-2</v>
      </c>
    </row>
    <row r="48" spans="1:21" ht="13.8" x14ac:dyDescent="0.25">
      <c r="A48" s="10">
        <v>37988</v>
      </c>
      <c r="B48" s="3">
        <v>29.47</v>
      </c>
      <c r="C48" s="3">
        <v>1131.1300000000001</v>
      </c>
      <c r="E48" s="9">
        <f t="shared" si="0"/>
        <v>-4.9000202381001737E-2</v>
      </c>
      <c r="F48" s="9">
        <f t="shared" si="1"/>
        <v>1.7128882262967212E-2</v>
      </c>
    </row>
    <row r="49" spans="1:6" ht="13.8" x14ac:dyDescent="0.25">
      <c r="A49" s="10">
        <v>38019</v>
      </c>
      <c r="B49" s="3">
        <v>28.23</v>
      </c>
      <c r="C49" s="3">
        <v>1144.94</v>
      </c>
      <c r="E49" s="9">
        <f t="shared" si="0"/>
        <v>-4.2987554484205395E-2</v>
      </c>
      <c r="F49" s="9">
        <f t="shared" si="1"/>
        <v>1.2135100829125884E-2</v>
      </c>
    </row>
    <row r="50" spans="1:6" ht="13.8" x14ac:dyDescent="0.25">
      <c r="A50" s="10">
        <v>38047</v>
      </c>
      <c r="B50" s="3">
        <v>26.3</v>
      </c>
      <c r="C50" s="3">
        <v>1126.21</v>
      </c>
      <c r="E50" s="9">
        <f t="shared" si="0"/>
        <v>-7.0816303081679077E-2</v>
      </c>
      <c r="F50" s="9">
        <f t="shared" si="1"/>
        <v>-1.6494220669989047E-2</v>
      </c>
    </row>
    <row r="51" spans="1:6" ht="13.8" x14ac:dyDescent="0.25">
      <c r="A51" s="10">
        <v>38078</v>
      </c>
      <c r="B51" s="3">
        <v>24.88</v>
      </c>
      <c r="C51" s="3">
        <v>1107.3</v>
      </c>
      <c r="E51" s="9">
        <f t="shared" si="0"/>
        <v>-5.5504671312740235E-2</v>
      </c>
      <c r="F51" s="9">
        <f t="shared" si="1"/>
        <v>-1.6933393494544095E-2</v>
      </c>
    </row>
    <row r="52" spans="1:6" ht="13.8" x14ac:dyDescent="0.25">
      <c r="A52" s="10">
        <v>38110</v>
      </c>
      <c r="B52" s="3">
        <v>27.64</v>
      </c>
      <c r="C52" s="3">
        <v>1120.68</v>
      </c>
      <c r="E52" s="9">
        <f t="shared" si="0"/>
        <v>0.10519973102849055</v>
      </c>
      <c r="F52" s="9">
        <f t="shared" si="1"/>
        <v>1.2011024205564368E-2</v>
      </c>
    </row>
    <row r="53" spans="1:6" ht="13.8" x14ac:dyDescent="0.25">
      <c r="A53" s="10">
        <v>38139</v>
      </c>
      <c r="B53" s="3">
        <v>26.72</v>
      </c>
      <c r="C53" s="3">
        <v>1140.8399999999999</v>
      </c>
      <c r="E53" s="9">
        <f t="shared" si="0"/>
        <v>-3.385165023102419E-2</v>
      </c>
      <c r="F53" s="9">
        <f t="shared" si="1"/>
        <v>1.7829189249312503E-2</v>
      </c>
    </row>
    <row r="54" spans="1:6" ht="13.8" x14ac:dyDescent="0.25">
      <c r="A54" s="10">
        <v>38169</v>
      </c>
      <c r="B54" s="3">
        <v>23.61</v>
      </c>
      <c r="C54" s="3">
        <v>1101.72</v>
      </c>
      <c r="E54" s="9">
        <f t="shared" si="0"/>
        <v>-0.1237419975710234</v>
      </c>
      <c r="F54" s="9">
        <f t="shared" si="1"/>
        <v>-3.4892238215330364E-2</v>
      </c>
    </row>
    <row r="55" spans="1:6" ht="13.8" x14ac:dyDescent="0.25">
      <c r="A55" s="10">
        <v>38201</v>
      </c>
      <c r="B55" s="3">
        <v>20.65</v>
      </c>
      <c r="C55" s="3">
        <v>1104.24</v>
      </c>
      <c r="E55" s="9">
        <f t="shared" si="0"/>
        <v>-0.13395503169037984</v>
      </c>
      <c r="F55" s="9">
        <f t="shared" si="1"/>
        <v>2.284720571713859E-3</v>
      </c>
    </row>
    <row r="56" spans="1:6" ht="13.8" x14ac:dyDescent="0.25">
      <c r="A56" s="10">
        <v>38231</v>
      </c>
      <c r="B56" s="3">
        <v>19.46</v>
      </c>
      <c r="C56" s="3">
        <v>1114.58</v>
      </c>
      <c r="E56" s="9">
        <f t="shared" si="0"/>
        <v>-5.9354242649182619E-2</v>
      </c>
      <c r="F56" s="9">
        <f t="shared" si="1"/>
        <v>9.3203368022064838E-3</v>
      </c>
    </row>
    <row r="57" spans="1:6" ht="13.8" x14ac:dyDescent="0.25">
      <c r="A57" s="10">
        <v>38261</v>
      </c>
      <c r="B57" s="3">
        <v>21.59</v>
      </c>
      <c r="C57" s="3">
        <v>1130.2</v>
      </c>
      <c r="E57" s="9">
        <f t="shared" si="0"/>
        <v>0.10386916776885685</v>
      </c>
      <c r="F57" s="9">
        <f t="shared" si="1"/>
        <v>1.391695587821374E-2</v>
      </c>
    </row>
    <row r="58" spans="1:6" ht="13.8" x14ac:dyDescent="0.25">
      <c r="A58" s="10">
        <v>38292</v>
      </c>
      <c r="B58" s="3">
        <v>21.74</v>
      </c>
      <c r="C58" s="3">
        <v>1173.82</v>
      </c>
      <c r="E58" s="9">
        <f t="shared" si="0"/>
        <v>6.9236371663474131E-3</v>
      </c>
      <c r="F58" s="9">
        <f t="shared" si="1"/>
        <v>3.7868779461133012E-2</v>
      </c>
    </row>
    <row r="59" spans="1:6" ht="13.8" x14ac:dyDescent="0.25">
      <c r="A59" s="10">
        <v>38322</v>
      </c>
      <c r="B59" s="3">
        <v>22.73</v>
      </c>
      <c r="C59" s="3">
        <v>1211.92</v>
      </c>
      <c r="E59" s="9">
        <f t="shared" si="0"/>
        <v>4.4531756171388596E-2</v>
      </c>
      <c r="F59" s="9">
        <f t="shared" si="1"/>
        <v>3.1942491193192112E-2</v>
      </c>
    </row>
    <row r="60" spans="1:6" ht="13.8" x14ac:dyDescent="0.25">
      <c r="A60" s="10">
        <v>38355</v>
      </c>
      <c r="B60" s="3">
        <v>21.81</v>
      </c>
      <c r="C60" s="3">
        <v>1181.27</v>
      </c>
      <c r="E60" s="9">
        <f t="shared" si="0"/>
        <v>-4.1317057650914257E-2</v>
      </c>
      <c r="F60" s="9">
        <f t="shared" si="1"/>
        <v>-2.5615747968515911E-2</v>
      </c>
    </row>
    <row r="61" spans="1:6" ht="13.8" x14ac:dyDescent="0.25">
      <c r="A61" s="10">
        <v>38384</v>
      </c>
      <c r="B61" s="3">
        <v>23.39</v>
      </c>
      <c r="C61" s="3">
        <v>1203.5999999999999</v>
      </c>
      <c r="E61" s="9">
        <f t="shared" si="0"/>
        <v>6.9940000382550133E-2</v>
      </c>
      <c r="F61" s="9">
        <f t="shared" si="1"/>
        <v>1.8726934874337724E-2</v>
      </c>
    </row>
    <row r="62" spans="1:6" ht="13.8" x14ac:dyDescent="0.25">
      <c r="A62" s="10">
        <v>38412</v>
      </c>
      <c r="B62" s="3">
        <v>22.65</v>
      </c>
      <c r="C62" s="3">
        <v>1180.5899999999999</v>
      </c>
      <c r="E62" s="9">
        <f t="shared" si="0"/>
        <v>-3.2148728667044726E-2</v>
      </c>
      <c r="F62" s="9">
        <f t="shared" si="1"/>
        <v>-1.930275225452871E-2</v>
      </c>
    </row>
    <row r="63" spans="1:6" ht="13.8" x14ac:dyDescent="0.25">
      <c r="A63" s="10">
        <v>38443</v>
      </c>
      <c r="B63" s="3">
        <v>22.93</v>
      </c>
      <c r="C63" s="3">
        <v>1156.8499999999999</v>
      </c>
      <c r="E63" s="9">
        <f t="shared" si="0"/>
        <v>1.2286244940770153E-2</v>
      </c>
      <c r="F63" s="9">
        <f t="shared" si="1"/>
        <v>-2.031351934767037E-2</v>
      </c>
    </row>
    <row r="64" spans="1:6" ht="13.8" x14ac:dyDescent="0.25">
      <c r="A64" s="10">
        <v>38474</v>
      </c>
      <c r="B64" s="3">
        <v>26.38</v>
      </c>
      <c r="C64" s="3">
        <v>1191.5</v>
      </c>
      <c r="E64" s="9">
        <f t="shared" si="0"/>
        <v>0.14016005041935548</v>
      </c>
      <c r="F64" s="9">
        <f t="shared" si="1"/>
        <v>2.9512223385105795E-2</v>
      </c>
    </row>
    <row r="65" spans="1:17" ht="13.8" x14ac:dyDescent="0.25">
      <c r="A65" s="10">
        <v>38504</v>
      </c>
      <c r="B65" s="3">
        <v>25.46</v>
      </c>
      <c r="C65" s="3">
        <v>1191.33</v>
      </c>
      <c r="E65" s="9">
        <f t="shared" si="0"/>
        <v>-3.5497554159907997E-2</v>
      </c>
      <c r="F65" s="9">
        <f t="shared" si="1"/>
        <v>-1.4268747689802155E-4</v>
      </c>
    </row>
    <row r="66" spans="1:17" ht="13.8" x14ac:dyDescent="0.25">
      <c r="A66" s="10">
        <v>38534</v>
      </c>
      <c r="B66" s="3">
        <v>26.55</v>
      </c>
      <c r="C66" s="3">
        <v>1234.18</v>
      </c>
      <c r="E66" s="9">
        <f t="shared" si="0"/>
        <v>4.1921154558687335E-2</v>
      </c>
      <c r="F66" s="9">
        <f t="shared" si="1"/>
        <v>3.5336451864729147E-2</v>
      </c>
    </row>
    <row r="67" spans="1:17" ht="13.8" x14ac:dyDescent="0.25">
      <c r="A67" s="10">
        <v>38565</v>
      </c>
      <c r="B67" s="3">
        <v>25.24</v>
      </c>
      <c r="C67" s="3">
        <v>1220.33</v>
      </c>
      <c r="E67" s="9">
        <f t="shared" si="0"/>
        <v>-5.0599710014935483E-2</v>
      </c>
      <c r="F67" s="9">
        <f t="shared" si="1"/>
        <v>-1.1285467972359155E-2</v>
      </c>
    </row>
    <row r="68" spans="1:17" ht="13.8" x14ac:dyDescent="0.25">
      <c r="A68" s="10">
        <v>38596</v>
      </c>
      <c r="B68" s="3">
        <v>24.19</v>
      </c>
      <c r="C68" s="3">
        <v>1228.81</v>
      </c>
      <c r="E68" s="9">
        <f t="shared" si="0"/>
        <v>-4.2490713051076448E-2</v>
      </c>
      <c r="F68" s="9">
        <f t="shared" si="1"/>
        <v>6.9249074268589216E-3</v>
      </c>
    </row>
    <row r="69" spans="1:17" ht="13.8" x14ac:dyDescent="0.25">
      <c r="A69" s="10">
        <v>38628</v>
      </c>
      <c r="B69" s="3">
        <v>23.06</v>
      </c>
      <c r="C69" s="3">
        <v>1207.01</v>
      </c>
      <c r="E69" s="9">
        <f t="shared" si="0"/>
        <v>-4.7839809781023035E-2</v>
      </c>
      <c r="F69" s="9">
        <f t="shared" si="1"/>
        <v>-1.7899994313773929E-2</v>
      </c>
    </row>
    <row r="70" spans="1:17" ht="13.8" x14ac:dyDescent="0.25">
      <c r="A70" s="10">
        <v>38657</v>
      </c>
      <c r="B70" s="3">
        <v>26.27</v>
      </c>
      <c r="C70" s="3">
        <v>1249.48</v>
      </c>
      <c r="E70" s="9">
        <f t="shared" si="0"/>
        <v>0.13032808885653555</v>
      </c>
      <c r="F70" s="9">
        <f t="shared" si="1"/>
        <v>3.4581237676988605E-2</v>
      </c>
      <c r="O70" s="14"/>
      <c r="P70" s="14"/>
      <c r="Q70" s="12"/>
    </row>
    <row r="71" spans="1:17" ht="13.8" x14ac:dyDescent="0.25">
      <c r="A71" s="10">
        <v>38687</v>
      </c>
      <c r="B71" s="3">
        <v>24.57</v>
      </c>
      <c r="C71" s="3">
        <v>1248.29</v>
      </c>
      <c r="E71" s="9">
        <f t="shared" si="0"/>
        <v>-6.6901417164360683E-2</v>
      </c>
      <c r="F71" s="9">
        <f t="shared" si="1"/>
        <v>-9.528500142413687E-4</v>
      </c>
      <c r="O71" s="14"/>
      <c r="P71" s="14"/>
    </row>
    <row r="72" spans="1:17" ht="13.8" x14ac:dyDescent="0.25">
      <c r="A72" s="10">
        <v>38720</v>
      </c>
      <c r="B72" s="3">
        <v>25.9</v>
      </c>
      <c r="C72" s="3">
        <v>1285.45</v>
      </c>
      <c r="E72" s="9">
        <f t="shared" si="0"/>
        <v>5.2716782172404206E-2</v>
      </c>
      <c r="F72" s="9">
        <f t="shared" si="1"/>
        <v>2.9334236847947951E-2</v>
      </c>
    </row>
  </sheetData>
  <mergeCells count="3">
    <mergeCell ref="A1:G1"/>
    <mergeCell ref="B10:C10"/>
    <mergeCell ref="E10:F10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2024-10-07T12:20:04Z</dcterms:modified>
</cp:coreProperties>
</file>