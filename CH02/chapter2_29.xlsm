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A30A2E03-4BED-4A2E-929F-5C4C1535B57F}" xr6:coauthVersionLast="47" xr6:coauthVersionMax="47" xr10:uidLastSave="{00000000-0000-0000-0000-000000000000}"/>
  <bookViews>
    <workbookView xWindow="28680" yWindow="-120" windowWidth="16440" windowHeight="28320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1" l="1"/>
  <c r="E17" i="1" s="1"/>
  <c r="B6" i="1" s="1"/>
  <c r="E15" i="1"/>
  <c r="E14" i="1"/>
  <c r="E13" i="1"/>
  <c r="E12" i="1"/>
  <c r="E11" i="1"/>
  <c r="B5" i="1"/>
  <c r="B4" i="1"/>
  <c r="F17" i="1"/>
  <c r="C5" i="1"/>
  <c r="C6" i="1"/>
  <c r="C7" i="1"/>
  <c r="C4" i="1"/>
  <c r="B7" i="1" l="1"/>
</calcChain>
</file>

<file path=xl/sharedStrings.xml><?xml version="1.0" encoding="utf-8"?>
<sst xmlns="http://schemas.openxmlformats.org/spreadsheetml/2006/main" count="13" uniqueCount="13">
  <si>
    <r>
      <t>CASCADE:  COST OF EQUITY r</t>
    </r>
    <r>
      <rPr>
        <b/>
        <vertAlign val="subscript"/>
        <sz val="14"/>
        <rFont val="Arial"/>
        <family val="2"/>
      </rPr>
      <t>E</t>
    </r>
    <r>
      <rPr>
        <b/>
        <sz val="14"/>
        <rFont val="Arial"/>
        <family val="2"/>
      </rPr>
      <t xml:space="preserve"> BASED ON CASH FLOW TO EQUITY</t>
    </r>
  </si>
  <si>
    <t>Shares outstanding</t>
  </si>
  <si>
    <t>Share price, 31jan06</t>
  </si>
  <si>
    <t>Equity value, E</t>
  </si>
  <si>
    <t>2005 total equity payout</t>
  </si>
  <si>
    <t>Growth rate of payouts</t>
  </si>
  <si>
    <r>
      <t>Cost of equity, r</t>
    </r>
    <r>
      <rPr>
        <vertAlign val="subscript"/>
        <sz val="10"/>
        <rFont val="Arial"/>
        <family val="2"/>
      </rPr>
      <t>E</t>
    </r>
    <r>
      <rPr>
        <sz val="10"/>
        <rFont val="Arial"/>
        <family val="2"/>
      </rPr>
      <t/>
    </r>
  </si>
  <si>
    <t>Date</t>
  </si>
  <si>
    <t>Stock repurchases</t>
  </si>
  <si>
    <t>Dividends paid</t>
  </si>
  <si>
    <t>Stock issuance</t>
  </si>
  <si>
    <t>Cash flow to equity holders</t>
  </si>
  <si>
    <t>Growth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</si>
</sst>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7" formatCode="_(* #,##0_);_(* \(#,##0\);_(* &quot;-&quot;??_);_(@_)"/>
    <numFmt numFmtId="178" formatCode="m/d/yyyy;@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  <charset val="177"/>
    </font>
    <font>
      <b/>
      <sz val="14"/>
      <name val="Arial"/>
      <family val="2"/>
    </font>
    <font>
      <b/>
      <vertAlign val="subscript"/>
      <sz val="14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3" fillId="0" borderId="0"/>
  </cellStyleXfs>
  <cellXfs count="17">
    <xf numFmtId="0" fontId="0" fillId="0" borderId="0" xfId="0">
      <alignment vertical="center"/>
    </xf>
    <xf numFmtId="0" fontId="4" fillId="0" borderId="0" xfId="3" applyFont="1" applyAlignment="1">
      <alignment horizontal="center" vertical="center" wrapText="1"/>
    </xf>
    <xf numFmtId="0" fontId="3" fillId="0" borderId="0" xfId="3"/>
    <xf numFmtId="3" fontId="3" fillId="0" borderId="0" xfId="3" applyNumberFormat="1"/>
    <xf numFmtId="177" fontId="2" fillId="0" borderId="0" xfId="1" applyNumberFormat="1" applyAlignment="1"/>
    <xf numFmtId="10" fontId="2" fillId="0" borderId="0" xfId="1" applyNumberFormat="1" applyAlignment="1"/>
    <xf numFmtId="0" fontId="8" fillId="0" borderId="0" xfId="3" applyFont="1" applyAlignment="1">
      <alignment horizontal="center"/>
    </xf>
    <xf numFmtId="0" fontId="8" fillId="0" borderId="0" xfId="3" applyFont="1" applyAlignment="1">
      <alignment horizontal="center" vertical="center" wrapText="1"/>
    </xf>
    <xf numFmtId="0" fontId="8" fillId="0" borderId="0" xfId="3" applyFont="1" applyAlignment="1">
      <alignment vertical="center" wrapText="1"/>
    </xf>
    <xf numFmtId="178" fontId="3" fillId="0" borderId="0" xfId="3" applyNumberFormat="1" applyAlignment="1">
      <alignment horizontal="center"/>
    </xf>
    <xf numFmtId="38" fontId="3" fillId="0" borderId="0" xfId="3" applyNumberFormat="1"/>
    <xf numFmtId="10" fontId="3" fillId="0" borderId="0" xfId="2" applyNumberFormat="1" applyFont="1" applyAlignment="1"/>
    <xf numFmtId="0" fontId="3" fillId="2" borderId="0" xfId="3" applyFill="1" applyAlignment="1">
      <alignment horizontal="center"/>
    </xf>
    <xf numFmtId="10" fontId="3" fillId="2" borderId="0" xfId="2" applyNumberFormat="1" applyFont="1" applyFill="1" applyAlignment="1"/>
    <xf numFmtId="38" fontId="3" fillId="3" borderId="0" xfId="3" applyNumberFormat="1" applyFill="1"/>
    <xf numFmtId="0" fontId="3" fillId="3" borderId="0" xfId="3" applyFill="1" applyAlignment="1">
      <alignment wrapText="1"/>
    </xf>
    <xf numFmtId="10" fontId="2" fillId="3" borderId="0" xfId="2" applyNumberFormat="1" applyFill="1" applyAlignment="1"/>
  </cellXfs>
  <cellStyles count="4">
    <cellStyle name="Normal_Cascade Corp" xfId="3" xr:uid="{BAB5FAC1-0ADC-4E5F-9A35-28C823961D57}"/>
    <cellStyle name="百分比" xfId="2" builtinId="5"/>
    <cellStyle name="常规" xfId="0" builtinId="0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F17"/>
  <sheetViews>
    <sheetView tabSelected="1" workbookViewId="0">
      <selection activeCell="E22" sqref="E22"/>
    </sheetView>
  </sheetViews>
  <sheetFormatPr defaultRowHeight="13.8" x14ac:dyDescent="0.25"/>
  <cols>
    <col min="1" max="1" width="26.6640625" style="2" customWidth="1"/>
    <col min="2" max="2" width="16" style="2" customWidth="1"/>
    <col min="3" max="3" width="14.33203125" style="2" customWidth="1"/>
    <col min="4" max="5" width="16.109375" style="2" customWidth="1"/>
    <col min="6" max="6" width="20.109375" style="2" bestFit="1" customWidth="1"/>
  </cols>
  <sheetData>
    <row r="1" spans="1:6" ht="17.399999999999999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2" t="s">
        <v>1</v>
      </c>
      <c r="B2" s="3">
        <v>12536000</v>
      </c>
    </row>
    <row r="3" spans="1:6" x14ac:dyDescent="0.25">
      <c r="A3" s="2" t="s">
        <v>2</v>
      </c>
      <c r="B3" s="2">
        <v>50.69</v>
      </c>
    </row>
    <row r="4" spans="1:6" x14ac:dyDescent="0.25">
      <c r="A4" s="2" t="s">
        <v>3</v>
      </c>
      <c r="B4" s="3">
        <f>B2*B3</f>
        <v>635449840</v>
      </c>
      <c r="C4" s="2" t="str">
        <f ca="1">[1]!getformula(B4)</f>
        <v>&lt;--  =B2*B3</v>
      </c>
    </row>
    <row r="5" spans="1:6" x14ac:dyDescent="0.25">
      <c r="A5" s="2" t="s">
        <v>4</v>
      </c>
      <c r="B5" s="4">
        <f>E16</f>
        <v>3904000</v>
      </c>
      <c r="C5" s="2" t="str">
        <f ca="1">[1]!getformula(B5)</f>
        <v>&lt;--  =E16</v>
      </c>
    </row>
    <row r="6" spans="1:6" x14ac:dyDescent="0.25">
      <c r="A6" s="2" t="s">
        <v>5</v>
      </c>
      <c r="B6" s="5">
        <f>E17</f>
        <v>9.784158945490451E-2</v>
      </c>
      <c r="C6" s="2" t="str">
        <f ca="1">[1]!getformula(B6)</f>
        <v>&lt;--  =E17</v>
      </c>
    </row>
    <row r="7" spans="1:6" ht="15.6" x14ac:dyDescent="0.35">
      <c r="A7" s="15" t="s">
        <v>6</v>
      </c>
      <c r="B7" s="16">
        <f>B5*(1+B6)/B4+B6</f>
        <v>0.10458637605400405</v>
      </c>
      <c r="C7" s="2" t="str">
        <f ca="1">[1]!getformula(B7)</f>
        <v>&lt;--  =B5*(1+B6)/B4+B6</v>
      </c>
    </row>
    <row r="10" spans="1:6" ht="26.4" x14ac:dyDescent="0.25">
      <c r="A10" s="6" t="s">
        <v>7</v>
      </c>
      <c r="B10" s="7" t="s">
        <v>8</v>
      </c>
      <c r="C10" s="8" t="s">
        <v>9</v>
      </c>
      <c r="D10" s="7" t="s">
        <v>10</v>
      </c>
      <c r="E10" s="7" t="s">
        <v>11</v>
      </c>
    </row>
    <row r="11" spans="1:6" x14ac:dyDescent="0.25">
      <c r="A11" s="9">
        <v>36922</v>
      </c>
      <c r="B11" s="3">
        <v>0</v>
      </c>
      <c r="C11" s="3">
        <v>2448000</v>
      </c>
      <c r="D11" s="3"/>
      <c r="E11" s="10">
        <f t="shared" ref="E11:E16" si="0">B11+C11-D11</f>
        <v>2448000</v>
      </c>
    </row>
    <row r="12" spans="1:6" x14ac:dyDescent="0.25">
      <c r="A12" s="9">
        <v>37287</v>
      </c>
      <c r="B12" s="3">
        <v>1354000</v>
      </c>
      <c r="C12" s="3">
        <v>0</v>
      </c>
      <c r="D12" s="3"/>
      <c r="E12" s="10">
        <f t="shared" si="0"/>
        <v>1354000</v>
      </c>
    </row>
    <row r="13" spans="1:6" x14ac:dyDescent="0.25">
      <c r="A13" s="9">
        <v>37652</v>
      </c>
      <c r="B13" s="3">
        <v>1396000</v>
      </c>
      <c r="C13" s="3">
        <v>1200000</v>
      </c>
      <c r="D13" s="3">
        <v>73000</v>
      </c>
      <c r="E13" s="10">
        <f t="shared" si="0"/>
        <v>2523000</v>
      </c>
      <c r="F13" s="11"/>
    </row>
    <row r="14" spans="1:6" x14ac:dyDescent="0.25">
      <c r="A14" s="9">
        <v>38017</v>
      </c>
      <c r="B14" s="3">
        <v>0</v>
      </c>
      <c r="C14" s="3">
        <v>4936000</v>
      </c>
      <c r="D14" s="3">
        <v>1299000</v>
      </c>
      <c r="E14" s="10">
        <f t="shared" si="0"/>
        <v>3637000</v>
      </c>
      <c r="F14" s="11"/>
    </row>
    <row r="15" spans="1:6" x14ac:dyDescent="0.25">
      <c r="A15" s="9">
        <v>38383</v>
      </c>
      <c r="B15" s="3"/>
      <c r="C15" s="3">
        <v>5478000</v>
      </c>
      <c r="D15" s="3">
        <v>1616000</v>
      </c>
      <c r="E15" s="10">
        <f t="shared" si="0"/>
        <v>3862000</v>
      </c>
    </row>
    <row r="16" spans="1:6" x14ac:dyDescent="0.25">
      <c r="A16" s="9">
        <v>38748</v>
      </c>
      <c r="B16" s="3"/>
      <c r="C16" s="3">
        <v>6691000</v>
      </c>
      <c r="D16" s="3">
        <v>2787000</v>
      </c>
      <c r="E16" s="14">
        <f t="shared" si="0"/>
        <v>3904000</v>
      </c>
    </row>
    <row r="17" spans="3:6" x14ac:dyDescent="0.25">
      <c r="C17" s="11"/>
      <c r="D17" s="12" t="s">
        <v>12</v>
      </c>
      <c r="E17" s="13">
        <f>(E16/E11)^(1/5)-1</f>
        <v>9.784158945490451E-2</v>
      </c>
      <c r="F17" s="2" t="str">
        <f ca="1">[1]!getformula(E17)</f>
        <v>&lt;--  =(E16/E11)^(1/5)-1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2024-10-09T08:01:27Z</dcterms:modified>
</cp:coreProperties>
</file>