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425AC98A-5522-4425-859F-CD2F4B4BCD71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1" l="1"/>
  <c r="B14" i="1"/>
  <c r="B13" i="1"/>
  <c r="C31" i="1"/>
  <c r="C29" i="1"/>
  <c r="C14" i="1"/>
  <c r="C13" i="1"/>
  <c r="B31" i="1" l="1"/>
  <c r="B29" i="1"/>
</calcChain>
</file>

<file path=xl/sharedStrings.xml><?xml version="1.0" encoding="utf-8"?>
<sst xmlns="http://schemas.openxmlformats.org/spreadsheetml/2006/main" count="11" uniqueCount="9">
  <si>
    <t>FORD MOTOR CO. DIVIDEND HISTORY
1989-1998</t>
  </si>
  <si>
    <t>Year</t>
  </si>
  <si>
    <t>Dividend</t>
  </si>
  <si>
    <t>Growth rate, 1989-1997</t>
  </si>
  <si>
    <t>Growth rate, 1989-1998</t>
  </si>
  <si>
    <t>FORD'S DIVIDENDS EXCLUDING THE 1998 $21.09 DIVIDEND</t>
  </si>
  <si>
    <t>Growth rate, 1994-1998</t>
  </si>
  <si>
    <t>Ford's stock price, end-1998</t>
  </si>
  <si>
    <t>Gordon cost of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</si>
</sst>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/>
    <xf numFmtId="0" fontId="0" fillId="0" borderId="0" xfId="0" applyAlignment="1"/>
    <xf numFmtId="0" fontId="0" fillId="0" borderId="0" xfId="0" applyAlignment="1">
      <alignment horizontal="center"/>
    </xf>
    <xf numFmtId="2" fontId="0" fillId="0" borderId="0" xfId="0" applyNumberFormat="1" applyAlignment="1"/>
    <xf numFmtId="0" fontId="4" fillId="0" borderId="0" xfId="0" applyFont="1" applyAlignment="1">
      <alignment horizontal="center"/>
    </xf>
    <xf numFmtId="0" fontId="2" fillId="0" borderId="0" xfId="1" applyNumberFormat="1" applyAlignment="1"/>
    <xf numFmtId="0" fontId="0" fillId="2" borderId="0" xfId="0" applyFill="1" applyAlignment="1"/>
    <xf numFmtId="10" fontId="0" fillId="2" borderId="0" xfId="0" applyNumberFormat="1" applyFill="1" applyAlignment="1"/>
    <xf numFmtId="10" fontId="2" fillId="2" borderId="0" xfId="1" applyNumberForma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31"/>
  <sheetViews>
    <sheetView tabSelected="1" topLeftCell="A6" workbookViewId="0">
      <selection activeCell="E19" sqref="E19"/>
    </sheetView>
  </sheetViews>
  <sheetFormatPr defaultRowHeight="13.8" x14ac:dyDescent="0.25"/>
  <cols>
    <col min="1" max="1" width="24.6640625" style="4" customWidth="1"/>
    <col min="2" max="2" width="10.33203125" style="4" customWidth="1"/>
    <col min="3" max="3" width="24.33203125" style="4" bestFit="1" customWidth="1"/>
  </cols>
  <sheetData>
    <row r="1" spans="1:3" ht="17.399999999999999" x14ac:dyDescent="0.25">
      <c r="A1" s="1" t="s">
        <v>0</v>
      </c>
      <c r="B1" s="1"/>
      <c r="C1" s="1"/>
    </row>
    <row r="2" spans="1:3" x14ac:dyDescent="0.25">
      <c r="A2" s="2" t="s">
        <v>1</v>
      </c>
      <c r="B2" s="3" t="s">
        <v>2</v>
      </c>
    </row>
    <row r="3" spans="1:3" x14ac:dyDescent="0.25">
      <c r="A3" s="5">
        <v>1989</v>
      </c>
      <c r="B3" s="6">
        <v>3</v>
      </c>
    </row>
    <row r="4" spans="1:3" x14ac:dyDescent="0.25">
      <c r="A4" s="5">
        <v>1990</v>
      </c>
      <c r="B4" s="6">
        <v>3</v>
      </c>
    </row>
    <row r="5" spans="1:3" x14ac:dyDescent="0.25">
      <c r="A5" s="5">
        <v>1991</v>
      </c>
      <c r="B5" s="6">
        <v>1.95</v>
      </c>
    </row>
    <row r="6" spans="1:3" x14ac:dyDescent="0.25">
      <c r="A6" s="5">
        <v>1992</v>
      </c>
      <c r="B6" s="6">
        <v>1.6</v>
      </c>
    </row>
    <row r="7" spans="1:3" x14ac:dyDescent="0.25">
      <c r="A7" s="5">
        <v>1993</v>
      </c>
      <c r="B7" s="6">
        <v>1.6</v>
      </c>
    </row>
    <row r="8" spans="1:3" x14ac:dyDescent="0.25">
      <c r="A8" s="5">
        <v>1994</v>
      </c>
      <c r="B8" s="6">
        <v>1.33</v>
      </c>
    </row>
    <row r="9" spans="1:3" x14ac:dyDescent="0.25">
      <c r="A9" s="5">
        <v>1995</v>
      </c>
      <c r="B9" s="6">
        <v>1.23</v>
      </c>
    </row>
    <row r="10" spans="1:3" x14ac:dyDescent="0.25">
      <c r="A10" s="5">
        <v>1996</v>
      </c>
      <c r="B10" s="6">
        <v>1.46</v>
      </c>
    </row>
    <row r="11" spans="1:3" x14ac:dyDescent="0.25">
      <c r="A11" s="5">
        <v>1997</v>
      </c>
      <c r="B11" s="6">
        <v>1.64</v>
      </c>
    </row>
    <row r="12" spans="1:3" x14ac:dyDescent="0.25">
      <c r="A12" s="5">
        <v>1998</v>
      </c>
      <c r="B12" s="6">
        <v>22.81</v>
      </c>
    </row>
    <row r="13" spans="1:3" x14ac:dyDescent="0.25">
      <c r="A13" s="9" t="s">
        <v>3</v>
      </c>
      <c r="B13" s="11">
        <f>(B11/B3)^(1/8)-1</f>
        <v>-7.2710538406066894E-2</v>
      </c>
      <c r="C13" s="4" t="str">
        <f ca="1">[1]!getformula(B13)</f>
        <v>&lt;--  =(B11/B3)^(1/8)-1</v>
      </c>
    </row>
    <row r="14" spans="1:3" x14ac:dyDescent="0.25">
      <c r="A14" s="9" t="s">
        <v>4</v>
      </c>
      <c r="B14" s="11">
        <f>(B12/B3)^(1/9)-1</f>
        <v>0.25282190071375465</v>
      </c>
      <c r="C14" s="4" t="str">
        <f ca="1">[1]!getformula(B14)</f>
        <v>&lt;--  =(B12/B3)^(1/9)-1</v>
      </c>
    </row>
    <row r="17" spans="1:3" x14ac:dyDescent="0.25">
      <c r="A17" s="7" t="s">
        <v>5</v>
      </c>
      <c r="B17" s="7"/>
      <c r="C17" s="7"/>
    </row>
    <row r="18" spans="1:3" x14ac:dyDescent="0.25">
      <c r="A18" s="2" t="s">
        <v>1</v>
      </c>
      <c r="B18" s="3" t="s">
        <v>2</v>
      </c>
    </row>
    <row r="19" spans="1:3" x14ac:dyDescent="0.25">
      <c r="A19" s="5">
        <v>1989</v>
      </c>
      <c r="B19" s="6">
        <v>3</v>
      </c>
    </row>
    <row r="20" spans="1:3" x14ac:dyDescent="0.25">
      <c r="A20" s="5">
        <v>1990</v>
      </c>
      <c r="B20" s="6">
        <v>3</v>
      </c>
    </row>
    <row r="21" spans="1:3" x14ac:dyDescent="0.25">
      <c r="A21" s="5">
        <v>1991</v>
      </c>
      <c r="B21" s="6">
        <v>1.95</v>
      </c>
    </row>
    <row r="22" spans="1:3" x14ac:dyDescent="0.25">
      <c r="A22" s="5">
        <v>1992</v>
      </c>
      <c r="B22" s="6">
        <v>1.6</v>
      </c>
    </row>
    <row r="23" spans="1:3" x14ac:dyDescent="0.25">
      <c r="A23" s="5">
        <v>1993</v>
      </c>
      <c r="B23" s="6">
        <v>1.6</v>
      </c>
    </row>
    <row r="24" spans="1:3" x14ac:dyDescent="0.25">
      <c r="A24" s="5">
        <v>1994</v>
      </c>
      <c r="B24" s="6">
        <v>1.33</v>
      </c>
    </row>
    <row r="25" spans="1:3" x14ac:dyDescent="0.25">
      <c r="A25" s="5">
        <v>1995</v>
      </c>
      <c r="B25" s="6">
        <v>1.23</v>
      </c>
    </row>
    <row r="26" spans="1:3" x14ac:dyDescent="0.25">
      <c r="A26" s="5">
        <v>1996</v>
      </c>
      <c r="B26" s="6">
        <v>1.46</v>
      </c>
    </row>
    <row r="27" spans="1:3" x14ac:dyDescent="0.25">
      <c r="A27" s="5">
        <v>1997</v>
      </c>
      <c r="B27" s="6">
        <v>1.64</v>
      </c>
    </row>
    <row r="28" spans="1:3" x14ac:dyDescent="0.25">
      <c r="A28" s="5">
        <v>1998</v>
      </c>
      <c r="B28" s="6">
        <f>1.72</f>
        <v>1.72</v>
      </c>
    </row>
    <row r="29" spans="1:3" x14ac:dyDescent="0.25">
      <c r="A29" s="9" t="s">
        <v>6</v>
      </c>
      <c r="B29" s="11">
        <f>(B28/B24)^(1/4)-1</f>
        <v>6.639770432646741E-2</v>
      </c>
      <c r="C29" s="4" t="str">
        <f ca="1">[1]!getformula(B29)</f>
        <v>&lt;--  =(B28/B24)^(1/4)-1</v>
      </c>
    </row>
    <row r="30" spans="1:3" x14ac:dyDescent="0.25">
      <c r="A30" s="4" t="s">
        <v>7</v>
      </c>
      <c r="B30" s="8">
        <v>58.69</v>
      </c>
    </row>
    <row r="31" spans="1:3" x14ac:dyDescent="0.25">
      <c r="A31" s="9" t="s">
        <v>8</v>
      </c>
      <c r="B31" s="10">
        <f>B28*(1+B29)/B30+B29</f>
        <v>9.7650116175871465E-2</v>
      </c>
      <c r="C31" s="4" t="str">
        <f ca="1">[1]!getformula(B31)</f>
        <v>&lt;--  =B28*(1+B29)/B30+B29</v>
      </c>
    </row>
  </sheetData>
  <mergeCells count="2">
    <mergeCell ref="A1:C1"/>
    <mergeCell ref="A17:C17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2024-10-09T09:14:25Z</dcterms:modified>
</cp:coreProperties>
</file>