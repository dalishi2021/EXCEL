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D470BE79-8B48-47C5-886D-C546E3899306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2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" l="1"/>
  <c r="B13" i="2"/>
  <c r="C13" i="2"/>
  <c r="D13" i="2"/>
  <c r="E13" i="2"/>
  <c r="B18" i="2" s="1"/>
  <c r="I62" i="2"/>
  <c r="H62" i="2"/>
  <c r="G62" i="2"/>
  <c r="F62" i="2"/>
  <c r="E62" i="2"/>
  <c r="D62" i="2"/>
  <c r="C62" i="2"/>
  <c r="B62" i="2"/>
  <c r="I58" i="2"/>
  <c r="H58" i="2"/>
  <c r="G58" i="2"/>
  <c r="F58" i="2"/>
  <c r="E58" i="2"/>
  <c r="D58" i="2"/>
  <c r="C58" i="2"/>
  <c r="B58" i="2"/>
  <c r="D36" i="2"/>
  <c r="D38" i="2" s="1"/>
  <c r="E35" i="2"/>
  <c r="D35" i="2"/>
  <c r="D34" i="2"/>
  <c r="D33" i="2"/>
  <c r="D32" i="2"/>
  <c r="E31" i="2"/>
  <c r="D31" i="2"/>
  <c r="E30" i="2"/>
  <c r="D30" i="2"/>
  <c r="D29" i="2"/>
  <c r="D28" i="2"/>
  <c r="B19" i="2"/>
  <c r="E11" i="2"/>
  <c r="E36" i="2" s="1"/>
  <c r="E38" i="2" s="1"/>
  <c r="E10" i="2"/>
  <c r="E9" i="2"/>
  <c r="E34" i="2" s="1"/>
  <c r="E8" i="2"/>
  <c r="E33" i="2" s="1"/>
  <c r="E7" i="2"/>
  <c r="E32" i="2" s="1"/>
  <c r="E6" i="2"/>
  <c r="E5" i="2"/>
  <c r="E4" i="2"/>
  <c r="E29" i="2" s="1"/>
  <c r="E3" i="2"/>
  <c r="E28" i="2" s="1"/>
  <c r="C21" i="2"/>
  <c r="C20" i="2"/>
  <c r="C19" i="2"/>
  <c r="C18" i="2"/>
  <c r="F13" i="2"/>
  <c r="F3" i="2"/>
  <c r="F4" i="2"/>
  <c r="B20" i="2" l="1"/>
</calcChain>
</file>

<file path=xl/sharedStrings.xml><?xml version="1.0" encoding="utf-8"?>
<sst xmlns="http://schemas.openxmlformats.org/spreadsheetml/2006/main" count="22" uniqueCount="22">
  <si>
    <t>Total Dividend 
payments</t>
  </si>
  <si>
    <t>Common
stock repurchased</t>
  </si>
  <si>
    <t>Total equity
cash flow</t>
  </si>
  <si>
    <t>Compound growth rate</t>
  </si>
  <si>
    <t>Cost of capital using the Gordon Model 
Using total equity payout and total equity value</t>
  </si>
  <si>
    <t>End 1999 stock price</t>
  </si>
  <si>
    <t>Future dividend growth, g?</t>
  </si>
  <si>
    <r>
      <t>End 1999 equity  value, P</t>
    </r>
    <r>
      <rPr>
        <vertAlign val="subscript"/>
        <sz val="10"/>
        <rFont val="Arial"/>
        <family val="2"/>
      </rPr>
      <t>0</t>
    </r>
  </si>
  <si>
    <r>
      <t>Gordon model cost 
of equity, r</t>
    </r>
    <r>
      <rPr>
        <vertAlign val="subscript"/>
        <sz val="10"/>
        <rFont val="Arial"/>
        <family val="2"/>
      </rPr>
      <t>E</t>
    </r>
  </si>
  <si>
    <t>Shares
outstanding,
annual average</t>
  </si>
  <si>
    <t>Dividend per
share</t>
  </si>
  <si>
    <t>Total equity payout
per share</t>
  </si>
  <si>
    <t>Common stock issued</t>
  </si>
  <si>
    <t>Dividend payments</t>
  </si>
  <si>
    <t>Common stock repurchased</t>
  </si>
  <si>
    <t>Total equity payout</t>
  </si>
  <si>
    <t>Number of shares outstanding
end of year</t>
  </si>
  <si>
    <t>Dividends per share</t>
  </si>
  <si>
    <t>WACHOVIA BANK--DIVIDENDS, STOCK ISSUED AND STOCK REPURCHASED
Does historical growth overstate the cost of equity?</t>
    <phoneticPr fontId="1" type="noConversion"/>
  </si>
  <si>
    <t>Common
stock issued</t>
    <phoneticPr fontId="1" type="noConversion"/>
  </si>
  <si>
    <t>Number of shares outstanding, end 1999</t>
    <phoneticPr fontId="1" type="noConversion"/>
  </si>
  <si>
    <r>
      <t>Projected next total 
equity cash flow, D</t>
    </r>
    <r>
      <rPr>
        <vertAlign val="subscript"/>
        <sz val="10"/>
        <rFont val="Arial"/>
        <family val="2"/>
      </rPr>
      <t>1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</si>
</sst>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_(* #,##0_);_(* \(#,##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/>
    <xf numFmtId="0" fontId="4" fillId="0" borderId="0" xfId="1" applyFont="1"/>
    <xf numFmtId="0" fontId="4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177" fontId="2" fillId="0" borderId="0" xfId="2" applyNumberFormat="1"/>
    <xf numFmtId="177" fontId="2" fillId="0" borderId="0" xfId="1" applyNumberFormat="1"/>
    <xf numFmtId="0" fontId="2" fillId="0" borderId="0" xfId="1"/>
    <xf numFmtId="0" fontId="2" fillId="0" borderId="0" xfId="1" applyAlignment="1">
      <alignment wrapText="1"/>
    </xf>
    <xf numFmtId="10" fontId="2" fillId="0" borderId="0" xfId="3" applyNumberFormat="1"/>
    <xf numFmtId="0" fontId="4" fillId="0" borderId="0" xfId="1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" fontId="2" fillId="0" borderId="0" xfId="1" applyNumberFormat="1" applyAlignment="1">
      <alignment vertical="center" wrapText="1"/>
    </xf>
    <xf numFmtId="0" fontId="4" fillId="0" borderId="0" xfId="1" applyFont="1" applyAlignment="1">
      <alignment horizontal="left" vertical="center" wrapText="1"/>
    </xf>
    <xf numFmtId="3" fontId="2" fillId="0" borderId="0" xfId="2" applyNumberFormat="1"/>
    <xf numFmtId="0" fontId="2" fillId="2" borderId="0" xfId="1" applyFill="1"/>
    <xf numFmtId="10" fontId="2" fillId="2" borderId="0" xfId="3" applyNumberFormat="1" applyFill="1"/>
    <xf numFmtId="0" fontId="2" fillId="2" borderId="0" xfId="1" applyFill="1" applyAlignment="1">
      <alignment wrapText="1"/>
    </xf>
    <xf numFmtId="10" fontId="2" fillId="2" borderId="0" xfId="1" applyNumberFormat="1" applyFill="1"/>
    <xf numFmtId="0" fontId="2" fillId="0" borderId="0" xfId="1" applyAlignment="1">
      <alignment horizontal="center" wrapText="1"/>
    </xf>
    <xf numFmtId="2" fontId="2" fillId="0" borderId="0" xfId="1" applyNumberFormat="1"/>
    <xf numFmtId="3" fontId="2" fillId="0" borderId="0" xfId="1" applyNumberFormat="1"/>
  </cellXfs>
  <cellStyles count="4">
    <cellStyle name="百分比 2" xfId="3" xr:uid="{C0B902FD-969B-4CCD-8F62-695E4D31AEE8}"/>
    <cellStyle name="常规" xfId="0" builtinId="0"/>
    <cellStyle name="常规 2" xfId="1" xr:uid="{AA73C7E9-29AB-42D7-8A84-2BE0A4DA548A}"/>
    <cellStyle name="千位分隔 2" xfId="2" xr:uid="{B5BFDED3-3779-4173-ACD1-5A40186FC9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68174-1BBA-48CB-977B-2E0B7467B9D7}">
  <sheetPr codeName="Sheet11"/>
  <dimension ref="A1:I62"/>
  <sheetViews>
    <sheetView tabSelected="1" topLeftCell="A2" workbookViewId="0">
      <selection activeCell="G14" sqref="G14"/>
    </sheetView>
  </sheetViews>
  <sheetFormatPr defaultRowHeight="13.2" x14ac:dyDescent="0.25"/>
  <cols>
    <col min="1" max="1" width="24.6640625" style="8" customWidth="1"/>
    <col min="2" max="2" width="16" style="8" customWidth="1"/>
    <col min="3" max="5" width="13.44140625" style="8" customWidth="1"/>
    <col min="6" max="6" width="28.109375" style="8" bestFit="1" customWidth="1"/>
    <col min="7" max="7" width="35" style="8" bestFit="1" customWidth="1"/>
    <col min="8" max="8" width="16.33203125" style="8" customWidth="1"/>
    <col min="9" max="9" width="11" style="8" customWidth="1"/>
    <col min="10" max="30" width="13.44140625" style="8" customWidth="1"/>
    <col min="31" max="256" width="8.88671875" style="8"/>
    <col min="257" max="257" width="24.6640625" style="8" customWidth="1"/>
    <col min="258" max="258" width="16" style="8" customWidth="1"/>
    <col min="259" max="261" width="13.44140625" style="8" customWidth="1"/>
    <col min="262" max="262" width="28.109375" style="8" bestFit="1" customWidth="1"/>
    <col min="263" max="263" width="35" style="8" bestFit="1" customWidth="1"/>
    <col min="264" max="264" width="16.33203125" style="8" customWidth="1"/>
    <col min="265" max="265" width="11" style="8" customWidth="1"/>
    <col min="266" max="286" width="13.44140625" style="8" customWidth="1"/>
    <col min="287" max="512" width="8.88671875" style="8"/>
    <col min="513" max="513" width="24.6640625" style="8" customWidth="1"/>
    <col min="514" max="514" width="16" style="8" customWidth="1"/>
    <col min="515" max="517" width="13.44140625" style="8" customWidth="1"/>
    <col min="518" max="518" width="28.109375" style="8" bestFit="1" customWidth="1"/>
    <col min="519" max="519" width="35" style="8" bestFit="1" customWidth="1"/>
    <col min="520" max="520" width="16.33203125" style="8" customWidth="1"/>
    <col min="521" max="521" width="11" style="8" customWidth="1"/>
    <col min="522" max="542" width="13.44140625" style="8" customWidth="1"/>
    <col min="543" max="768" width="8.88671875" style="8"/>
    <col min="769" max="769" width="24.6640625" style="8" customWidth="1"/>
    <col min="770" max="770" width="16" style="8" customWidth="1"/>
    <col min="771" max="773" width="13.44140625" style="8" customWidth="1"/>
    <col min="774" max="774" width="28.109375" style="8" bestFit="1" customWidth="1"/>
    <col min="775" max="775" width="35" style="8" bestFit="1" customWidth="1"/>
    <col min="776" max="776" width="16.33203125" style="8" customWidth="1"/>
    <col min="777" max="777" width="11" style="8" customWidth="1"/>
    <col min="778" max="798" width="13.44140625" style="8" customWidth="1"/>
    <col min="799" max="1024" width="8.88671875" style="8"/>
    <col min="1025" max="1025" width="24.6640625" style="8" customWidth="1"/>
    <col min="1026" max="1026" width="16" style="8" customWidth="1"/>
    <col min="1027" max="1029" width="13.44140625" style="8" customWidth="1"/>
    <col min="1030" max="1030" width="28.109375" style="8" bestFit="1" customWidth="1"/>
    <col min="1031" max="1031" width="35" style="8" bestFit="1" customWidth="1"/>
    <col min="1032" max="1032" width="16.33203125" style="8" customWidth="1"/>
    <col min="1033" max="1033" width="11" style="8" customWidth="1"/>
    <col min="1034" max="1054" width="13.44140625" style="8" customWidth="1"/>
    <col min="1055" max="1280" width="8.88671875" style="8"/>
    <col min="1281" max="1281" width="24.6640625" style="8" customWidth="1"/>
    <col min="1282" max="1282" width="16" style="8" customWidth="1"/>
    <col min="1283" max="1285" width="13.44140625" style="8" customWidth="1"/>
    <col min="1286" max="1286" width="28.109375" style="8" bestFit="1" customWidth="1"/>
    <col min="1287" max="1287" width="35" style="8" bestFit="1" customWidth="1"/>
    <col min="1288" max="1288" width="16.33203125" style="8" customWidth="1"/>
    <col min="1289" max="1289" width="11" style="8" customWidth="1"/>
    <col min="1290" max="1310" width="13.44140625" style="8" customWidth="1"/>
    <col min="1311" max="1536" width="8.88671875" style="8"/>
    <col min="1537" max="1537" width="24.6640625" style="8" customWidth="1"/>
    <col min="1538" max="1538" width="16" style="8" customWidth="1"/>
    <col min="1539" max="1541" width="13.44140625" style="8" customWidth="1"/>
    <col min="1542" max="1542" width="28.109375" style="8" bestFit="1" customWidth="1"/>
    <col min="1543" max="1543" width="35" style="8" bestFit="1" customWidth="1"/>
    <col min="1544" max="1544" width="16.33203125" style="8" customWidth="1"/>
    <col min="1545" max="1545" width="11" style="8" customWidth="1"/>
    <col min="1546" max="1566" width="13.44140625" style="8" customWidth="1"/>
    <col min="1567" max="1792" width="8.88671875" style="8"/>
    <col min="1793" max="1793" width="24.6640625" style="8" customWidth="1"/>
    <col min="1794" max="1794" width="16" style="8" customWidth="1"/>
    <col min="1795" max="1797" width="13.44140625" style="8" customWidth="1"/>
    <col min="1798" max="1798" width="28.109375" style="8" bestFit="1" customWidth="1"/>
    <col min="1799" max="1799" width="35" style="8" bestFit="1" customWidth="1"/>
    <col min="1800" max="1800" width="16.33203125" style="8" customWidth="1"/>
    <col min="1801" max="1801" width="11" style="8" customWidth="1"/>
    <col min="1802" max="1822" width="13.44140625" style="8" customWidth="1"/>
    <col min="1823" max="2048" width="8.88671875" style="8"/>
    <col min="2049" max="2049" width="24.6640625" style="8" customWidth="1"/>
    <col min="2050" max="2050" width="16" style="8" customWidth="1"/>
    <col min="2051" max="2053" width="13.44140625" style="8" customWidth="1"/>
    <col min="2054" max="2054" width="28.109375" style="8" bestFit="1" customWidth="1"/>
    <col min="2055" max="2055" width="35" style="8" bestFit="1" customWidth="1"/>
    <col min="2056" max="2056" width="16.33203125" style="8" customWidth="1"/>
    <col min="2057" max="2057" width="11" style="8" customWidth="1"/>
    <col min="2058" max="2078" width="13.44140625" style="8" customWidth="1"/>
    <col min="2079" max="2304" width="8.88671875" style="8"/>
    <col min="2305" max="2305" width="24.6640625" style="8" customWidth="1"/>
    <col min="2306" max="2306" width="16" style="8" customWidth="1"/>
    <col min="2307" max="2309" width="13.44140625" style="8" customWidth="1"/>
    <col min="2310" max="2310" width="28.109375" style="8" bestFit="1" customWidth="1"/>
    <col min="2311" max="2311" width="35" style="8" bestFit="1" customWidth="1"/>
    <col min="2312" max="2312" width="16.33203125" style="8" customWidth="1"/>
    <col min="2313" max="2313" width="11" style="8" customWidth="1"/>
    <col min="2314" max="2334" width="13.44140625" style="8" customWidth="1"/>
    <col min="2335" max="2560" width="8.88671875" style="8"/>
    <col min="2561" max="2561" width="24.6640625" style="8" customWidth="1"/>
    <col min="2562" max="2562" width="16" style="8" customWidth="1"/>
    <col min="2563" max="2565" width="13.44140625" style="8" customWidth="1"/>
    <col min="2566" max="2566" width="28.109375" style="8" bestFit="1" customWidth="1"/>
    <col min="2567" max="2567" width="35" style="8" bestFit="1" customWidth="1"/>
    <col min="2568" max="2568" width="16.33203125" style="8" customWidth="1"/>
    <col min="2569" max="2569" width="11" style="8" customWidth="1"/>
    <col min="2570" max="2590" width="13.44140625" style="8" customWidth="1"/>
    <col min="2591" max="2816" width="8.88671875" style="8"/>
    <col min="2817" max="2817" width="24.6640625" style="8" customWidth="1"/>
    <col min="2818" max="2818" width="16" style="8" customWidth="1"/>
    <col min="2819" max="2821" width="13.44140625" style="8" customWidth="1"/>
    <col min="2822" max="2822" width="28.109375" style="8" bestFit="1" customWidth="1"/>
    <col min="2823" max="2823" width="35" style="8" bestFit="1" customWidth="1"/>
    <col min="2824" max="2824" width="16.33203125" style="8" customWidth="1"/>
    <col min="2825" max="2825" width="11" style="8" customWidth="1"/>
    <col min="2826" max="2846" width="13.44140625" style="8" customWidth="1"/>
    <col min="2847" max="3072" width="8.88671875" style="8"/>
    <col min="3073" max="3073" width="24.6640625" style="8" customWidth="1"/>
    <col min="3074" max="3074" width="16" style="8" customWidth="1"/>
    <col min="3075" max="3077" width="13.44140625" style="8" customWidth="1"/>
    <col min="3078" max="3078" width="28.109375" style="8" bestFit="1" customWidth="1"/>
    <col min="3079" max="3079" width="35" style="8" bestFit="1" customWidth="1"/>
    <col min="3080" max="3080" width="16.33203125" style="8" customWidth="1"/>
    <col min="3081" max="3081" width="11" style="8" customWidth="1"/>
    <col min="3082" max="3102" width="13.44140625" style="8" customWidth="1"/>
    <col min="3103" max="3328" width="8.88671875" style="8"/>
    <col min="3329" max="3329" width="24.6640625" style="8" customWidth="1"/>
    <col min="3330" max="3330" width="16" style="8" customWidth="1"/>
    <col min="3331" max="3333" width="13.44140625" style="8" customWidth="1"/>
    <col min="3334" max="3334" width="28.109375" style="8" bestFit="1" customWidth="1"/>
    <col min="3335" max="3335" width="35" style="8" bestFit="1" customWidth="1"/>
    <col min="3336" max="3336" width="16.33203125" style="8" customWidth="1"/>
    <col min="3337" max="3337" width="11" style="8" customWidth="1"/>
    <col min="3338" max="3358" width="13.44140625" style="8" customWidth="1"/>
    <col min="3359" max="3584" width="8.88671875" style="8"/>
    <col min="3585" max="3585" width="24.6640625" style="8" customWidth="1"/>
    <col min="3586" max="3586" width="16" style="8" customWidth="1"/>
    <col min="3587" max="3589" width="13.44140625" style="8" customWidth="1"/>
    <col min="3590" max="3590" width="28.109375" style="8" bestFit="1" customWidth="1"/>
    <col min="3591" max="3591" width="35" style="8" bestFit="1" customWidth="1"/>
    <col min="3592" max="3592" width="16.33203125" style="8" customWidth="1"/>
    <col min="3593" max="3593" width="11" style="8" customWidth="1"/>
    <col min="3594" max="3614" width="13.44140625" style="8" customWidth="1"/>
    <col min="3615" max="3840" width="8.88671875" style="8"/>
    <col min="3841" max="3841" width="24.6640625" style="8" customWidth="1"/>
    <col min="3842" max="3842" width="16" style="8" customWidth="1"/>
    <col min="3843" max="3845" width="13.44140625" style="8" customWidth="1"/>
    <col min="3846" max="3846" width="28.109375" style="8" bestFit="1" customWidth="1"/>
    <col min="3847" max="3847" width="35" style="8" bestFit="1" customWidth="1"/>
    <col min="3848" max="3848" width="16.33203125" style="8" customWidth="1"/>
    <col min="3849" max="3849" width="11" style="8" customWidth="1"/>
    <col min="3850" max="3870" width="13.44140625" style="8" customWidth="1"/>
    <col min="3871" max="4096" width="8.88671875" style="8"/>
    <col min="4097" max="4097" width="24.6640625" style="8" customWidth="1"/>
    <col min="4098" max="4098" width="16" style="8" customWidth="1"/>
    <col min="4099" max="4101" width="13.44140625" style="8" customWidth="1"/>
    <col min="4102" max="4102" width="28.109375" style="8" bestFit="1" customWidth="1"/>
    <col min="4103" max="4103" width="35" style="8" bestFit="1" customWidth="1"/>
    <col min="4104" max="4104" width="16.33203125" style="8" customWidth="1"/>
    <col min="4105" max="4105" width="11" style="8" customWidth="1"/>
    <col min="4106" max="4126" width="13.44140625" style="8" customWidth="1"/>
    <col min="4127" max="4352" width="8.88671875" style="8"/>
    <col min="4353" max="4353" width="24.6640625" style="8" customWidth="1"/>
    <col min="4354" max="4354" width="16" style="8" customWidth="1"/>
    <col min="4355" max="4357" width="13.44140625" style="8" customWidth="1"/>
    <col min="4358" max="4358" width="28.109375" style="8" bestFit="1" customWidth="1"/>
    <col min="4359" max="4359" width="35" style="8" bestFit="1" customWidth="1"/>
    <col min="4360" max="4360" width="16.33203125" style="8" customWidth="1"/>
    <col min="4361" max="4361" width="11" style="8" customWidth="1"/>
    <col min="4362" max="4382" width="13.44140625" style="8" customWidth="1"/>
    <col min="4383" max="4608" width="8.88671875" style="8"/>
    <col min="4609" max="4609" width="24.6640625" style="8" customWidth="1"/>
    <col min="4610" max="4610" width="16" style="8" customWidth="1"/>
    <col min="4611" max="4613" width="13.44140625" style="8" customWidth="1"/>
    <col min="4614" max="4614" width="28.109375" style="8" bestFit="1" customWidth="1"/>
    <col min="4615" max="4615" width="35" style="8" bestFit="1" customWidth="1"/>
    <col min="4616" max="4616" width="16.33203125" style="8" customWidth="1"/>
    <col min="4617" max="4617" width="11" style="8" customWidth="1"/>
    <col min="4618" max="4638" width="13.44140625" style="8" customWidth="1"/>
    <col min="4639" max="4864" width="8.88671875" style="8"/>
    <col min="4865" max="4865" width="24.6640625" style="8" customWidth="1"/>
    <col min="4866" max="4866" width="16" style="8" customWidth="1"/>
    <col min="4867" max="4869" width="13.44140625" style="8" customWidth="1"/>
    <col min="4870" max="4870" width="28.109375" style="8" bestFit="1" customWidth="1"/>
    <col min="4871" max="4871" width="35" style="8" bestFit="1" customWidth="1"/>
    <col min="4872" max="4872" width="16.33203125" style="8" customWidth="1"/>
    <col min="4873" max="4873" width="11" style="8" customWidth="1"/>
    <col min="4874" max="4894" width="13.44140625" style="8" customWidth="1"/>
    <col min="4895" max="5120" width="8.88671875" style="8"/>
    <col min="5121" max="5121" width="24.6640625" style="8" customWidth="1"/>
    <col min="5122" max="5122" width="16" style="8" customWidth="1"/>
    <col min="5123" max="5125" width="13.44140625" style="8" customWidth="1"/>
    <col min="5126" max="5126" width="28.109375" style="8" bestFit="1" customWidth="1"/>
    <col min="5127" max="5127" width="35" style="8" bestFit="1" customWidth="1"/>
    <col min="5128" max="5128" width="16.33203125" style="8" customWidth="1"/>
    <col min="5129" max="5129" width="11" style="8" customWidth="1"/>
    <col min="5130" max="5150" width="13.44140625" style="8" customWidth="1"/>
    <col min="5151" max="5376" width="8.88671875" style="8"/>
    <col min="5377" max="5377" width="24.6640625" style="8" customWidth="1"/>
    <col min="5378" max="5378" width="16" style="8" customWidth="1"/>
    <col min="5379" max="5381" width="13.44140625" style="8" customWidth="1"/>
    <col min="5382" max="5382" width="28.109375" style="8" bestFit="1" customWidth="1"/>
    <col min="5383" max="5383" width="35" style="8" bestFit="1" customWidth="1"/>
    <col min="5384" max="5384" width="16.33203125" style="8" customWidth="1"/>
    <col min="5385" max="5385" width="11" style="8" customWidth="1"/>
    <col min="5386" max="5406" width="13.44140625" style="8" customWidth="1"/>
    <col min="5407" max="5632" width="8.88671875" style="8"/>
    <col min="5633" max="5633" width="24.6640625" style="8" customWidth="1"/>
    <col min="5634" max="5634" width="16" style="8" customWidth="1"/>
    <col min="5635" max="5637" width="13.44140625" style="8" customWidth="1"/>
    <col min="5638" max="5638" width="28.109375" style="8" bestFit="1" customWidth="1"/>
    <col min="5639" max="5639" width="35" style="8" bestFit="1" customWidth="1"/>
    <col min="5640" max="5640" width="16.33203125" style="8" customWidth="1"/>
    <col min="5641" max="5641" width="11" style="8" customWidth="1"/>
    <col min="5642" max="5662" width="13.44140625" style="8" customWidth="1"/>
    <col min="5663" max="5888" width="8.88671875" style="8"/>
    <col min="5889" max="5889" width="24.6640625" style="8" customWidth="1"/>
    <col min="5890" max="5890" width="16" style="8" customWidth="1"/>
    <col min="5891" max="5893" width="13.44140625" style="8" customWidth="1"/>
    <col min="5894" max="5894" width="28.109375" style="8" bestFit="1" customWidth="1"/>
    <col min="5895" max="5895" width="35" style="8" bestFit="1" customWidth="1"/>
    <col min="5896" max="5896" width="16.33203125" style="8" customWidth="1"/>
    <col min="5897" max="5897" width="11" style="8" customWidth="1"/>
    <col min="5898" max="5918" width="13.44140625" style="8" customWidth="1"/>
    <col min="5919" max="6144" width="8.88671875" style="8"/>
    <col min="6145" max="6145" width="24.6640625" style="8" customWidth="1"/>
    <col min="6146" max="6146" width="16" style="8" customWidth="1"/>
    <col min="6147" max="6149" width="13.44140625" style="8" customWidth="1"/>
    <col min="6150" max="6150" width="28.109375" style="8" bestFit="1" customWidth="1"/>
    <col min="6151" max="6151" width="35" style="8" bestFit="1" customWidth="1"/>
    <col min="6152" max="6152" width="16.33203125" style="8" customWidth="1"/>
    <col min="6153" max="6153" width="11" style="8" customWidth="1"/>
    <col min="6154" max="6174" width="13.44140625" style="8" customWidth="1"/>
    <col min="6175" max="6400" width="8.88671875" style="8"/>
    <col min="6401" max="6401" width="24.6640625" style="8" customWidth="1"/>
    <col min="6402" max="6402" width="16" style="8" customWidth="1"/>
    <col min="6403" max="6405" width="13.44140625" style="8" customWidth="1"/>
    <col min="6406" max="6406" width="28.109375" style="8" bestFit="1" customWidth="1"/>
    <col min="6407" max="6407" width="35" style="8" bestFit="1" customWidth="1"/>
    <col min="6408" max="6408" width="16.33203125" style="8" customWidth="1"/>
    <col min="6409" max="6409" width="11" style="8" customWidth="1"/>
    <col min="6410" max="6430" width="13.44140625" style="8" customWidth="1"/>
    <col min="6431" max="6656" width="8.88671875" style="8"/>
    <col min="6657" max="6657" width="24.6640625" style="8" customWidth="1"/>
    <col min="6658" max="6658" width="16" style="8" customWidth="1"/>
    <col min="6659" max="6661" width="13.44140625" style="8" customWidth="1"/>
    <col min="6662" max="6662" width="28.109375" style="8" bestFit="1" customWidth="1"/>
    <col min="6663" max="6663" width="35" style="8" bestFit="1" customWidth="1"/>
    <col min="6664" max="6664" width="16.33203125" style="8" customWidth="1"/>
    <col min="6665" max="6665" width="11" style="8" customWidth="1"/>
    <col min="6666" max="6686" width="13.44140625" style="8" customWidth="1"/>
    <col min="6687" max="6912" width="8.88671875" style="8"/>
    <col min="6913" max="6913" width="24.6640625" style="8" customWidth="1"/>
    <col min="6914" max="6914" width="16" style="8" customWidth="1"/>
    <col min="6915" max="6917" width="13.44140625" style="8" customWidth="1"/>
    <col min="6918" max="6918" width="28.109375" style="8" bestFit="1" customWidth="1"/>
    <col min="6919" max="6919" width="35" style="8" bestFit="1" customWidth="1"/>
    <col min="6920" max="6920" width="16.33203125" style="8" customWidth="1"/>
    <col min="6921" max="6921" width="11" style="8" customWidth="1"/>
    <col min="6922" max="6942" width="13.44140625" style="8" customWidth="1"/>
    <col min="6943" max="7168" width="8.88671875" style="8"/>
    <col min="7169" max="7169" width="24.6640625" style="8" customWidth="1"/>
    <col min="7170" max="7170" width="16" style="8" customWidth="1"/>
    <col min="7171" max="7173" width="13.44140625" style="8" customWidth="1"/>
    <col min="7174" max="7174" width="28.109375" style="8" bestFit="1" customWidth="1"/>
    <col min="7175" max="7175" width="35" style="8" bestFit="1" customWidth="1"/>
    <col min="7176" max="7176" width="16.33203125" style="8" customWidth="1"/>
    <col min="7177" max="7177" width="11" style="8" customWidth="1"/>
    <col min="7178" max="7198" width="13.44140625" style="8" customWidth="1"/>
    <col min="7199" max="7424" width="8.88671875" style="8"/>
    <col min="7425" max="7425" width="24.6640625" style="8" customWidth="1"/>
    <col min="7426" max="7426" width="16" style="8" customWidth="1"/>
    <col min="7427" max="7429" width="13.44140625" style="8" customWidth="1"/>
    <col min="7430" max="7430" width="28.109375" style="8" bestFit="1" customWidth="1"/>
    <col min="7431" max="7431" width="35" style="8" bestFit="1" customWidth="1"/>
    <col min="7432" max="7432" width="16.33203125" style="8" customWidth="1"/>
    <col min="7433" max="7433" width="11" style="8" customWidth="1"/>
    <col min="7434" max="7454" width="13.44140625" style="8" customWidth="1"/>
    <col min="7455" max="7680" width="8.88671875" style="8"/>
    <col min="7681" max="7681" width="24.6640625" style="8" customWidth="1"/>
    <col min="7682" max="7682" width="16" style="8" customWidth="1"/>
    <col min="7683" max="7685" width="13.44140625" style="8" customWidth="1"/>
    <col min="7686" max="7686" width="28.109375" style="8" bestFit="1" customWidth="1"/>
    <col min="7687" max="7687" width="35" style="8" bestFit="1" customWidth="1"/>
    <col min="7688" max="7688" width="16.33203125" style="8" customWidth="1"/>
    <col min="7689" max="7689" width="11" style="8" customWidth="1"/>
    <col min="7690" max="7710" width="13.44140625" style="8" customWidth="1"/>
    <col min="7711" max="7936" width="8.88671875" style="8"/>
    <col min="7937" max="7937" width="24.6640625" style="8" customWidth="1"/>
    <col min="7938" max="7938" width="16" style="8" customWidth="1"/>
    <col min="7939" max="7941" width="13.44140625" style="8" customWidth="1"/>
    <col min="7942" max="7942" width="28.109375" style="8" bestFit="1" customWidth="1"/>
    <col min="7943" max="7943" width="35" style="8" bestFit="1" customWidth="1"/>
    <col min="7944" max="7944" width="16.33203125" style="8" customWidth="1"/>
    <col min="7945" max="7945" width="11" style="8" customWidth="1"/>
    <col min="7946" max="7966" width="13.44140625" style="8" customWidth="1"/>
    <col min="7967" max="8192" width="8.88671875" style="8"/>
    <col min="8193" max="8193" width="24.6640625" style="8" customWidth="1"/>
    <col min="8194" max="8194" width="16" style="8" customWidth="1"/>
    <col min="8195" max="8197" width="13.44140625" style="8" customWidth="1"/>
    <col min="8198" max="8198" width="28.109375" style="8" bestFit="1" customWidth="1"/>
    <col min="8199" max="8199" width="35" style="8" bestFit="1" customWidth="1"/>
    <col min="8200" max="8200" width="16.33203125" style="8" customWidth="1"/>
    <col min="8201" max="8201" width="11" style="8" customWidth="1"/>
    <col min="8202" max="8222" width="13.44140625" style="8" customWidth="1"/>
    <col min="8223" max="8448" width="8.88671875" style="8"/>
    <col min="8449" max="8449" width="24.6640625" style="8" customWidth="1"/>
    <col min="8450" max="8450" width="16" style="8" customWidth="1"/>
    <col min="8451" max="8453" width="13.44140625" style="8" customWidth="1"/>
    <col min="8454" max="8454" width="28.109375" style="8" bestFit="1" customWidth="1"/>
    <col min="8455" max="8455" width="35" style="8" bestFit="1" customWidth="1"/>
    <col min="8456" max="8456" width="16.33203125" style="8" customWidth="1"/>
    <col min="8457" max="8457" width="11" style="8" customWidth="1"/>
    <col min="8458" max="8478" width="13.44140625" style="8" customWidth="1"/>
    <col min="8479" max="8704" width="8.88671875" style="8"/>
    <col min="8705" max="8705" width="24.6640625" style="8" customWidth="1"/>
    <col min="8706" max="8706" width="16" style="8" customWidth="1"/>
    <col min="8707" max="8709" width="13.44140625" style="8" customWidth="1"/>
    <col min="8710" max="8710" width="28.109375" style="8" bestFit="1" customWidth="1"/>
    <col min="8711" max="8711" width="35" style="8" bestFit="1" customWidth="1"/>
    <col min="8712" max="8712" width="16.33203125" style="8" customWidth="1"/>
    <col min="8713" max="8713" width="11" style="8" customWidth="1"/>
    <col min="8714" max="8734" width="13.44140625" style="8" customWidth="1"/>
    <col min="8735" max="8960" width="8.88671875" style="8"/>
    <col min="8961" max="8961" width="24.6640625" style="8" customWidth="1"/>
    <col min="8962" max="8962" width="16" style="8" customWidth="1"/>
    <col min="8963" max="8965" width="13.44140625" style="8" customWidth="1"/>
    <col min="8966" max="8966" width="28.109375" style="8" bestFit="1" customWidth="1"/>
    <col min="8967" max="8967" width="35" style="8" bestFit="1" customWidth="1"/>
    <col min="8968" max="8968" width="16.33203125" style="8" customWidth="1"/>
    <col min="8969" max="8969" width="11" style="8" customWidth="1"/>
    <col min="8970" max="8990" width="13.44140625" style="8" customWidth="1"/>
    <col min="8991" max="9216" width="8.88671875" style="8"/>
    <col min="9217" max="9217" width="24.6640625" style="8" customWidth="1"/>
    <col min="9218" max="9218" width="16" style="8" customWidth="1"/>
    <col min="9219" max="9221" width="13.44140625" style="8" customWidth="1"/>
    <col min="9222" max="9222" width="28.109375" style="8" bestFit="1" customWidth="1"/>
    <col min="9223" max="9223" width="35" style="8" bestFit="1" customWidth="1"/>
    <col min="9224" max="9224" width="16.33203125" style="8" customWidth="1"/>
    <col min="9225" max="9225" width="11" style="8" customWidth="1"/>
    <col min="9226" max="9246" width="13.44140625" style="8" customWidth="1"/>
    <col min="9247" max="9472" width="8.88671875" style="8"/>
    <col min="9473" max="9473" width="24.6640625" style="8" customWidth="1"/>
    <col min="9474" max="9474" width="16" style="8" customWidth="1"/>
    <col min="9475" max="9477" width="13.44140625" style="8" customWidth="1"/>
    <col min="9478" max="9478" width="28.109375" style="8" bestFit="1" customWidth="1"/>
    <col min="9479" max="9479" width="35" style="8" bestFit="1" customWidth="1"/>
    <col min="9480" max="9480" width="16.33203125" style="8" customWidth="1"/>
    <col min="9481" max="9481" width="11" style="8" customWidth="1"/>
    <col min="9482" max="9502" width="13.44140625" style="8" customWidth="1"/>
    <col min="9503" max="9728" width="8.88671875" style="8"/>
    <col min="9729" max="9729" width="24.6640625" style="8" customWidth="1"/>
    <col min="9730" max="9730" width="16" style="8" customWidth="1"/>
    <col min="9731" max="9733" width="13.44140625" style="8" customWidth="1"/>
    <col min="9734" max="9734" width="28.109375" style="8" bestFit="1" customWidth="1"/>
    <col min="9735" max="9735" width="35" style="8" bestFit="1" customWidth="1"/>
    <col min="9736" max="9736" width="16.33203125" style="8" customWidth="1"/>
    <col min="9737" max="9737" width="11" style="8" customWidth="1"/>
    <col min="9738" max="9758" width="13.44140625" style="8" customWidth="1"/>
    <col min="9759" max="9984" width="8.88671875" style="8"/>
    <col min="9985" max="9985" width="24.6640625" style="8" customWidth="1"/>
    <col min="9986" max="9986" width="16" style="8" customWidth="1"/>
    <col min="9987" max="9989" width="13.44140625" style="8" customWidth="1"/>
    <col min="9990" max="9990" width="28.109375" style="8" bestFit="1" customWidth="1"/>
    <col min="9991" max="9991" width="35" style="8" bestFit="1" customWidth="1"/>
    <col min="9992" max="9992" width="16.33203125" style="8" customWidth="1"/>
    <col min="9993" max="9993" width="11" style="8" customWidth="1"/>
    <col min="9994" max="10014" width="13.44140625" style="8" customWidth="1"/>
    <col min="10015" max="10240" width="8.88671875" style="8"/>
    <col min="10241" max="10241" width="24.6640625" style="8" customWidth="1"/>
    <col min="10242" max="10242" width="16" style="8" customWidth="1"/>
    <col min="10243" max="10245" width="13.44140625" style="8" customWidth="1"/>
    <col min="10246" max="10246" width="28.109375" style="8" bestFit="1" customWidth="1"/>
    <col min="10247" max="10247" width="35" style="8" bestFit="1" customWidth="1"/>
    <col min="10248" max="10248" width="16.33203125" style="8" customWidth="1"/>
    <col min="10249" max="10249" width="11" style="8" customWidth="1"/>
    <col min="10250" max="10270" width="13.44140625" style="8" customWidth="1"/>
    <col min="10271" max="10496" width="8.88671875" style="8"/>
    <col min="10497" max="10497" width="24.6640625" style="8" customWidth="1"/>
    <col min="10498" max="10498" width="16" style="8" customWidth="1"/>
    <col min="10499" max="10501" width="13.44140625" style="8" customWidth="1"/>
    <col min="10502" max="10502" width="28.109375" style="8" bestFit="1" customWidth="1"/>
    <col min="10503" max="10503" width="35" style="8" bestFit="1" customWidth="1"/>
    <col min="10504" max="10504" width="16.33203125" style="8" customWidth="1"/>
    <col min="10505" max="10505" width="11" style="8" customWidth="1"/>
    <col min="10506" max="10526" width="13.44140625" style="8" customWidth="1"/>
    <col min="10527" max="10752" width="8.88671875" style="8"/>
    <col min="10753" max="10753" width="24.6640625" style="8" customWidth="1"/>
    <col min="10754" max="10754" width="16" style="8" customWidth="1"/>
    <col min="10755" max="10757" width="13.44140625" style="8" customWidth="1"/>
    <col min="10758" max="10758" width="28.109375" style="8" bestFit="1" customWidth="1"/>
    <col min="10759" max="10759" width="35" style="8" bestFit="1" customWidth="1"/>
    <col min="10760" max="10760" width="16.33203125" style="8" customWidth="1"/>
    <col min="10761" max="10761" width="11" style="8" customWidth="1"/>
    <col min="10762" max="10782" width="13.44140625" style="8" customWidth="1"/>
    <col min="10783" max="11008" width="8.88671875" style="8"/>
    <col min="11009" max="11009" width="24.6640625" style="8" customWidth="1"/>
    <col min="11010" max="11010" width="16" style="8" customWidth="1"/>
    <col min="11011" max="11013" width="13.44140625" style="8" customWidth="1"/>
    <col min="11014" max="11014" width="28.109375" style="8" bestFit="1" customWidth="1"/>
    <col min="11015" max="11015" width="35" style="8" bestFit="1" customWidth="1"/>
    <col min="11016" max="11016" width="16.33203125" style="8" customWidth="1"/>
    <col min="11017" max="11017" width="11" style="8" customWidth="1"/>
    <col min="11018" max="11038" width="13.44140625" style="8" customWidth="1"/>
    <col min="11039" max="11264" width="8.88671875" style="8"/>
    <col min="11265" max="11265" width="24.6640625" style="8" customWidth="1"/>
    <col min="11266" max="11266" width="16" style="8" customWidth="1"/>
    <col min="11267" max="11269" width="13.44140625" style="8" customWidth="1"/>
    <col min="11270" max="11270" width="28.109375" style="8" bestFit="1" customWidth="1"/>
    <col min="11271" max="11271" width="35" style="8" bestFit="1" customWidth="1"/>
    <col min="11272" max="11272" width="16.33203125" style="8" customWidth="1"/>
    <col min="11273" max="11273" width="11" style="8" customWidth="1"/>
    <col min="11274" max="11294" width="13.44140625" style="8" customWidth="1"/>
    <col min="11295" max="11520" width="8.88671875" style="8"/>
    <col min="11521" max="11521" width="24.6640625" style="8" customWidth="1"/>
    <col min="11522" max="11522" width="16" style="8" customWidth="1"/>
    <col min="11523" max="11525" width="13.44140625" style="8" customWidth="1"/>
    <col min="11526" max="11526" width="28.109375" style="8" bestFit="1" customWidth="1"/>
    <col min="11527" max="11527" width="35" style="8" bestFit="1" customWidth="1"/>
    <col min="11528" max="11528" width="16.33203125" style="8" customWidth="1"/>
    <col min="11529" max="11529" width="11" style="8" customWidth="1"/>
    <col min="11530" max="11550" width="13.44140625" style="8" customWidth="1"/>
    <col min="11551" max="11776" width="8.88671875" style="8"/>
    <col min="11777" max="11777" width="24.6640625" style="8" customWidth="1"/>
    <col min="11778" max="11778" width="16" style="8" customWidth="1"/>
    <col min="11779" max="11781" width="13.44140625" style="8" customWidth="1"/>
    <col min="11782" max="11782" width="28.109375" style="8" bestFit="1" customWidth="1"/>
    <col min="11783" max="11783" width="35" style="8" bestFit="1" customWidth="1"/>
    <col min="11784" max="11784" width="16.33203125" style="8" customWidth="1"/>
    <col min="11785" max="11785" width="11" style="8" customWidth="1"/>
    <col min="11786" max="11806" width="13.44140625" style="8" customWidth="1"/>
    <col min="11807" max="12032" width="8.88671875" style="8"/>
    <col min="12033" max="12033" width="24.6640625" style="8" customWidth="1"/>
    <col min="12034" max="12034" width="16" style="8" customWidth="1"/>
    <col min="12035" max="12037" width="13.44140625" style="8" customWidth="1"/>
    <col min="12038" max="12038" width="28.109375" style="8" bestFit="1" customWidth="1"/>
    <col min="12039" max="12039" width="35" style="8" bestFit="1" customWidth="1"/>
    <col min="12040" max="12040" width="16.33203125" style="8" customWidth="1"/>
    <col min="12041" max="12041" width="11" style="8" customWidth="1"/>
    <col min="12042" max="12062" width="13.44140625" style="8" customWidth="1"/>
    <col min="12063" max="12288" width="8.88671875" style="8"/>
    <col min="12289" max="12289" width="24.6640625" style="8" customWidth="1"/>
    <col min="12290" max="12290" width="16" style="8" customWidth="1"/>
    <col min="12291" max="12293" width="13.44140625" style="8" customWidth="1"/>
    <col min="12294" max="12294" width="28.109375" style="8" bestFit="1" customWidth="1"/>
    <col min="12295" max="12295" width="35" style="8" bestFit="1" customWidth="1"/>
    <col min="12296" max="12296" width="16.33203125" style="8" customWidth="1"/>
    <col min="12297" max="12297" width="11" style="8" customWidth="1"/>
    <col min="12298" max="12318" width="13.44140625" style="8" customWidth="1"/>
    <col min="12319" max="12544" width="8.88671875" style="8"/>
    <col min="12545" max="12545" width="24.6640625" style="8" customWidth="1"/>
    <col min="12546" max="12546" width="16" style="8" customWidth="1"/>
    <col min="12547" max="12549" width="13.44140625" style="8" customWidth="1"/>
    <col min="12550" max="12550" width="28.109375" style="8" bestFit="1" customWidth="1"/>
    <col min="12551" max="12551" width="35" style="8" bestFit="1" customWidth="1"/>
    <col min="12552" max="12552" width="16.33203125" style="8" customWidth="1"/>
    <col min="12553" max="12553" width="11" style="8" customWidth="1"/>
    <col min="12554" max="12574" width="13.44140625" style="8" customWidth="1"/>
    <col min="12575" max="12800" width="8.88671875" style="8"/>
    <col min="12801" max="12801" width="24.6640625" style="8" customWidth="1"/>
    <col min="12802" max="12802" width="16" style="8" customWidth="1"/>
    <col min="12803" max="12805" width="13.44140625" style="8" customWidth="1"/>
    <col min="12806" max="12806" width="28.109375" style="8" bestFit="1" customWidth="1"/>
    <col min="12807" max="12807" width="35" style="8" bestFit="1" customWidth="1"/>
    <col min="12808" max="12808" width="16.33203125" style="8" customWidth="1"/>
    <col min="12809" max="12809" width="11" style="8" customWidth="1"/>
    <col min="12810" max="12830" width="13.44140625" style="8" customWidth="1"/>
    <col min="12831" max="13056" width="8.88671875" style="8"/>
    <col min="13057" max="13057" width="24.6640625" style="8" customWidth="1"/>
    <col min="13058" max="13058" width="16" style="8" customWidth="1"/>
    <col min="13059" max="13061" width="13.44140625" style="8" customWidth="1"/>
    <col min="13062" max="13062" width="28.109375" style="8" bestFit="1" customWidth="1"/>
    <col min="13063" max="13063" width="35" style="8" bestFit="1" customWidth="1"/>
    <col min="13064" max="13064" width="16.33203125" style="8" customWidth="1"/>
    <col min="13065" max="13065" width="11" style="8" customWidth="1"/>
    <col min="13066" max="13086" width="13.44140625" style="8" customWidth="1"/>
    <col min="13087" max="13312" width="8.88671875" style="8"/>
    <col min="13313" max="13313" width="24.6640625" style="8" customWidth="1"/>
    <col min="13314" max="13314" width="16" style="8" customWidth="1"/>
    <col min="13315" max="13317" width="13.44140625" style="8" customWidth="1"/>
    <col min="13318" max="13318" width="28.109375" style="8" bestFit="1" customWidth="1"/>
    <col min="13319" max="13319" width="35" style="8" bestFit="1" customWidth="1"/>
    <col min="13320" max="13320" width="16.33203125" style="8" customWidth="1"/>
    <col min="13321" max="13321" width="11" style="8" customWidth="1"/>
    <col min="13322" max="13342" width="13.44140625" style="8" customWidth="1"/>
    <col min="13343" max="13568" width="8.88671875" style="8"/>
    <col min="13569" max="13569" width="24.6640625" style="8" customWidth="1"/>
    <col min="13570" max="13570" width="16" style="8" customWidth="1"/>
    <col min="13571" max="13573" width="13.44140625" style="8" customWidth="1"/>
    <col min="13574" max="13574" width="28.109375" style="8" bestFit="1" customWidth="1"/>
    <col min="13575" max="13575" width="35" style="8" bestFit="1" customWidth="1"/>
    <col min="13576" max="13576" width="16.33203125" style="8" customWidth="1"/>
    <col min="13577" max="13577" width="11" style="8" customWidth="1"/>
    <col min="13578" max="13598" width="13.44140625" style="8" customWidth="1"/>
    <col min="13599" max="13824" width="8.88671875" style="8"/>
    <col min="13825" max="13825" width="24.6640625" style="8" customWidth="1"/>
    <col min="13826" max="13826" width="16" style="8" customWidth="1"/>
    <col min="13827" max="13829" width="13.44140625" style="8" customWidth="1"/>
    <col min="13830" max="13830" width="28.109375" style="8" bestFit="1" customWidth="1"/>
    <col min="13831" max="13831" width="35" style="8" bestFit="1" customWidth="1"/>
    <col min="13832" max="13832" width="16.33203125" style="8" customWidth="1"/>
    <col min="13833" max="13833" width="11" style="8" customWidth="1"/>
    <col min="13834" max="13854" width="13.44140625" style="8" customWidth="1"/>
    <col min="13855" max="14080" width="8.88671875" style="8"/>
    <col min="14081" max="14081" width="24.6640625" style="8" customWidth="1"/>
    <col min="14082" max="14082" width="16" style="8" customWidth="1"/>
    <col min="14083" max="14085" width="13.44140625" style="8" customWidth="1"/>
    <col min="14086" max="14086" width="28.109375" style="8" bestFit="1" customWidth="1"/>
    <col min="14087" max="14087" width="35" style="8" bestFit="1" customWidth="1"/>
    <col min="14088" max="14088" width="16.33203125" style="8" customWidth="1"/>
    <col min="14089" max="14089" width="11" style="8" customWidth="1"/>
    <col min="14090" max="14110" width="13.44140625" style="8" customWidth="1"/>
    <col min="14111" max="14336" width="8.88671875" style="8"/>
    <col min="14337" max="14337" width="24.6640625" style="8" customWidth="1"/>
    <col min="14338" max="14338" width="16" style="8" customWidth="1"/>
    <col min="14339" max="14341" width="13.44140625" style="8" customWidth="1"/>
    <col min="14342" max="14342" width="28.109375" style="8" bestFit="1" customWidth="1"/>
    <col min="14343" max="14343" width="35" style="8" bestFit="1" customWidth="1"/>
    <col min="14344" max="14344" width="16.33203125" style="8" customWidth="1"/>
    <col min="14345" max="14345" width="11" style="8" customWidth="1"/>
    <col min="14346" max="14366" width="13.44140625" style="8" customWidth="1"/>
    <col min="14367" max="14592" width="8.88671875" style="8"/>
    <col min="14593" max="14593" width="24.6640625" style="8" customWidth="1"/>
    <col min="14594" max="14594" width="16" style="8" customWidth="1"/>
    <col min="14595" max="14597" width="13.44140625" style="8" customWidth="1"/>
    <col min="14598" max="14598" width="28.109375" style="8" bestFit="1" customWidth="1"/>
    <col min="14599" max="14599" width="35" style="8" bestFit="1" customWidth="1"/>
    <col min="14600" max="14600" width="16.33203125" style="8" customWidth="1"/>
    <col min="14601" max="14601" width="11" style="8" customWidth="1"/>
    <col min="14602" max="14622" width="13.44140625" style="8" customWidth="1"/>
    <col min="14623" max="14848" width="8.88671875" style="8"/>
    <col min="14849" max="14849" width="24.6640625" style="8" customWidth="1"/>
    <col min="14850" max="14850" width="16" style="8" customWidth="1"/>
    <col min="14851" max="14853" width="13.44140625" style="8" customWidth="1"/>
    <col min="14854" max="14854" width="28.109375" style="8" bestFit="1" customWidth="1"/>
    <col min="14855" max="14855" width="35" style="8" bestFit="1" customWidth="1"/>
    <col min="14856" max="14856" width="16.33203125" style="8" customWidth="1"/>
    <col min="14857" max="14857" width="11" style="8" customWidth="1"/>
    <col min="14858" max="14878" width="13.44140625" style="8" customWidth="1"/>
    <col min="14879" max="15104" width="8.88671875" style="8"/>
    <col min="15105" max="15105" width="24.6640625" style="8" customWidth="1"/>
    <col min="15106" max="15106" width="16" style="8" customWidth="1"/>
    <col min="15107" max="15109" width="13.44140625" style="8" customWidth="1"/>
    <col min="15110" max="15110" width="28.109375" style="8" bestFit="1" customWidth="1"/>
    <col min="15111" max="15111" width="35" style="8" bestFit="1" customWidth="1"/>
    <col min="15112" max="15112" width="16.33203125" style="8" customWidth="1"/>
    <col min="15113" max="15113" width="11" style="8" customWidth="1"/>
    <col min="15114" max="15134" width="13.44140625" style="8" customWidth="1"/>
    <col min="15135" max="15360" width="8.88671875" style="8"/>
    <col min="15361" max="15361" width="24.6640625" style="8" customWidth="1"/>
    <col min="15362" max="15362" width="16" style="8" customWidth="1"/>
    <col min="15363" max="15365" width="13.44140625" style="8" customWidth="1"/>
    <col min="15366" max="15366" width="28.109375" style="8" bestFit="1" customWidth="1"/>
    <col min="15367" max="15367" width="35" style="8" bestFit="1" customWidth="1"/>
    <col min="15368" max="15368" width="16.33203125" style="8" customWidth="1"/>
    <col min="15369" max="15369" width="11" style="8" customWidth="1"/>
    <col min="15370" max="15390" width="13.44140625" style="8" customWidth="1"/>
    <col min="15391" max="15616" width="8.88671875" style="8"/>
    <col min="15617" max="15617" width="24.6640625" style="8" customWidth="1"/>
    <col min="15618" max="15618" width="16" style="8" customWidth="1"/>
    <col min="15619" max="15621" width="13.44140625" style="8" customWidth="1"/>
    <col min="15622" max="15622" width="28.109375" style="8" bestFit="1" customWidth="1"/>
    <col min="15623" max="15623" width="35" style="8" bestFit="1" customWidth="1"/>
    <col min="15624" max="15624" width="16.33203125" style="8" customWidth="1"/>
    <col min="15625" max="15625" width="11" style="8" customWidth="1"/>
    <col min="15626" max="15646" width="13.44140625" style="8" customWidth="1"/>
    <col min="15647" max="15872" width="8.88671875" style="8"/>
    <col min="15873" max="15873" width="24.6640625" style="8" customWidth="1"/>
    <col min="15874" max="15874" width="16" style="8" customWidth="1"/>
    <col min="15875" max="15877" width="13.44140625" style="8" customWidth="1"/>
    <col min="15878" max="15878" width="28.109375" style="8" bestFit="1" customWidth="1"/>
    <col min="15879" max="15879" width="35" style="8" bestFit="1" customWidth="1"/>
    <col min="15880" max="15880" width="16.33203125" style="8" customWidth="1"/>
    <col min="15881" max="15881" width="11" style="8" customWidth="1"/>
    <col min="15882" max="15902" width="13.44140625" style="8" customWidth="1"/>
    <col min="15903" max="16128" width="8.88671875" style="8"/>
    <col min="16129" max="16129" width="24.6640625" style="8" customWidth="1"/>
    <col min="16130" max="16130" width="16" style="8" customWidth="1"/>
    <col min="16131" max="16133" width="13.44140625" style="8" customWidth="1"/>
    <col min="16134" max="16134" width="28.109375" style="8" bestFit="1" customWidth="1"/>
    <col min="16135" max="16135" width="35" style="8" bestFit="1" customWidth="1"/>
    <col min="16136" max="16136" width="16.33203125" style="8" customWidth="1"/>
    <col min="16137" max="16137" width="11" style="8" customWidth="1"/>
    <col min="16138" max="16158" width="13.44140625" style="8" customWidth="1"/>
    <col min="16159" max="16384" width="8.88671875" style="8"/>
  </cols>
  <sheetData>
    <row r="1" spans="1:6" s="2" customFormat="1" ht="45.75" customHeight="1" x14ac:dyDescent="0.3">
      <c r="A1" s="1" t="s">
        <v>18</v>
      </c>
      <c r="B1" s="1"/>
      <c r="C1" s="1"/>
      <c r="D1" s="1"/>
      <c r="E1" s="1"/>
      <c r="F1" s="1"/>
    </row>
    <row r="2" spans="1:6" s="3" customFormat="1" ht="40.5" customHeight="1" x14ac:dyDescent="0.25">
      <c r="B2" s="4" t="s">
        <v>19</v>
      </c>
      <c r="C2" s="4" t="s">
        <v>0</v>
      </c>
      <c r="D2" s="4" t="s">
        <v>1</v>
      </c>
      <c r="E2" s="4" t="s">
        <v>2</v>
      </c>
    </row>
    <row r="3" spans="1:6" x14ac:dyDescent="0.25">
      <c r="A3" s="5">
        <v>1991</v>
      </c>
      <c r="B3" s="6">
        <v>16462000</v>
      </c>
      <c r="C3" s="6">
        <v>150730000</v>
      </c>
      <c r="D3" s="6">
        <v>1215000</v>
      </c>
      <c r="E3" s="7">
        <f t="shared" ref="E3:E11" si="0">D3+C3-B3</f>
        <v>135483000</v>
      </c>
      <c r="F3" s="8" t="str">
        <f ca="1">[1]!getformula(E3)</f>
        <v>&lt;--  =D3+C3-B3</v>
      </c>
    </row>
    <row r="4" spans="1:6" x14ac:dyDescent="0.25">
      <c r="A4" s="5">
        <v>1992</v>
      </c>
      <c r="B4" s="6">
        <v>29717000</v>
      </c>
      <c r="C4" s="6">
        <v>170756000</v>
      </c>
      <c r="D4" s="6">
        <v>31197000</v>
      </c>
      <c r="E4" s="7">
        <f t="shared" si="0"/>
        <v>172236000</v>
      </c>
      <c r="F4" s="8" t="str">
        <f ca="1">[1]!getformula(E4)</f>
        <v>&lt;--  =D4+C4-B4</v>
      </c>
    </row>
    <row r="5" spans="1:6" x14ac:dyDescent="0.25">
      <c r="A5" s="5">
        <v>1993</v>
      </c>
      <c r="B5" s="6">
        <v>24961000</v>
      </c>
      <c r="C5" s="6">
        <v>191488000</v>
      </c>
      <c r="D5" s="6">
        <v>98804000</v>
      </c>
      <c r="E5" s="7">
        <f t="shared" si="0"/>
        <v>265331000</v>
      </c>
    </row>
    <row r="6" spans="1:6" x14ac:dyDescent="0.25">
      <c r="A6" s="5">
        <v>1994</v>
      </c>
      <c r="B6" s="6">
        <v>25339000</v>
      </c>
      <c r="C6" s="6">
        <v>210503000</v>
      </c>
      <c r="D6" s="6">
        <v>52908000</v>
      </c>
      <c r="E6" s="7">
        <f t="shared" si="0"/>
        <v>238072000</v>
      </c>
    </row>
    <row r="7" spans="1:6" x14ac:dyDescent="0.25">
      <c r="A7" s="5">
        <v>1995</v>
      </c>
      <c r="B7" s="6">
        <v>24115000</v>
      </c>
      <c r="C7" s="6">
        <v>235495000</v>
      </c>
      <c r="D7" s="6">
        <v>65032000</v>
      </c>
      <c r="E7" s="7">
        <f t="shared" si="0"/>
        <v>276412000</v>
      </c>
    </row>
    <row r="8" spans="1:6" x14ac:dyDescent="0.25">
      <c r="A8" s="5">
        <v>1996</v>
      </c>
      <c r="B8" s="6">
        <v>25826000</v>
      </c>
      <c r="C8" s="6">
        <v>254458000</v>
      </c>
      <c r="D8" s="6">
        <v>376716000</v>
      </c>
      <c r="E8" s="7">
        <f t="shared" si="0"/>
        <v>605348000</v>
      </c>
    </row>
    <row r="9" spans="1:6" x14ac:dyDescent="0.25">
      <c r="A9" s="5">
        <v>1997</v>
      </c>
      <c r="B9" s="6">
        <v>59281000</v>
      </c>
      <c r="C9" s="6">
        <v>327303000</v>
      </c>
      <c r="D9" s="6">
        <v>532682000</v>
      </c>
      <c r="E9" s="7">
        <f t="shared" si="0"/>
        <v>800704000</v>
      </c>
    </row>
    <row r="10" spans="1:6" x14ac:dyDescent="0.25">
      <c r="A10" s="5">
        <v>1998</v>
      </c>
      <c r="B10" s="6">
        <v>80375000</v>
      </c>
      <c r="C10" s="6">
        <v>381798000</v>
      </c>
      <c r="D10" s="6">
        <v>531122000</v>
      </c>
      <c r="E10" s="7">
        <f t="shared" si="0"/>
        <v>832545000</v>
      </c>
    </row>
    <row r="11" spans="1:6" x14ac:dyDescent="0.25">
      <c r="A11" s="5">
        <v>1999</v>
      </c>
      <c r="B11" s="6">
        <v>59478000</v>
      </c>
      <c r="C11" s="6">
        <v>418447000</v>
      </c>
      <c r="D11" s="6">
        <v>634623000</v>
      </c>
      <c r="E11" s="7">
        <f t="shared" si="0"/>
        <v>993592000</v>
      </c>
    </row>
    <row r="13" spans="1:6" x14ac:dyDescent="0.25">
      <c r="A13" s="9" t="s">
        <v>3</v>
      </c>
      <c r="B13" s="10">
        <f t="shared" ref="B13:E13" si="1">(B11/B3)^(1/8)-1</f>
        <v>0.17417875958117346</v>
      </c>
      <c r="C13" s="10">
        <f t="shared" si="1"/>
        <v>0.13613540789864365</v>
      </c>
      <c r="D13" s="10">
        <f t="shared" si="1"/>
        <v>1.1864645543990164</v>
      </c>
      <c r="E13" s="10">
        <f t="shared" si="1"/>
        <v>0.28281907822053398</v>
      </c>
      <c r="F13" s="10" t="str">
        <f ca="1">[1]!getformula(E13)</f>
        <v>&lt;--  =(E11/E3)^(1/8)-1</v>
      </c>
    </row>
    <row r="15" spans="1:6" ht="31.5" customHeight="1" x14ac:dyDescent="0.25">
      <c r="A15" s="11" t="s">
        <v>4</v>
      </c>
      <c r="B15" s="11"/>
      <c r="C15" s="11"/>
    </row>
    <row r="16" spans="1:6" ht="12.75" customHeight="1" x14ac:dyDescent="0.25">
      <c r="A16" s="12" t="s">
        <v>5</v>
      </c>
      <c r="B16" s="13">
        <v>68</v>
      </c>
      <c r="C16" s="14"/>
    </row>
    <row r="17" spans="1:5" ht="27" customHeight="1" x14ac:dyDescent="0.25">
      <c r="A17" s="12" t="s">
        <v>20</v>
      </c>
      <c r="B17" s="15">
        <v>202795000</v>
      </c>
      <c r="C17" s="14"/>
    </row>
    <row r="18" spans="1:5" ht="14.25" customHeight="1" x14ac:dyDescent="0.25">
      <c r="A18" s="16" t="s">
        <v>6</v>
      </c>
      <c r="B18" s="17">
        <f>E13</f>
        <v>0.28281907822053398</v>
      </c>
      <c r="C18" s="8" t="str">
        <f ca="1">[1]!getformula(B18)</f>
        <v>&lt;--  =E13</v>
      </c>
    </row>
    <row r="19" spans="1:5" ht="15.6" x14ac:dyDescent="0.35">
      <c r="A19" s="9" t="s">
        <v>7</v>
      </c>
      <c r="B19" s="6">
        <f>B16*B17</f>
        <v>13790060000</v>
      </c>
      <c r="C19" s="8" t="str">
        <f ca="1">[1]!getformula(B19)</f>
        <v>&lt;--  =B16*B17</v>
      </c>
    </row>
    <row r="20" spans="1:5" ht="31.5" customHeight="1" x14ac:dyDescent="0.35">
      <c r="A20" s="9" t="s">
        <v>21</v>
      </c>
      <c r="B20" s="6">
        <f>E11*(1+B18)</f>
        <v>1274598773.5672967</v>
      </c>
      <c r="C20" s="8" t="str">
        <f ca="1">[1]!getformula(B20)</f>
        <v>&lt;--  =E11*(1+B18)</v>
      </c>
    </row>
    <row r="21" spans="1:5" ht="32.25" customHeight="1" x14ac:dyDescent="0.35">
      <c r="A21" s="18" t="s">
        <v>8</v>
      </c>
      <c r="B21" s="19">
        <f>B20/B19+B18</f>
        <v>0.37524788372009649</v>
      </c>
      <c r="C21" s="8" t="str">
        <f ca="1">[1]!getformula(B21)</f>
        <v>&lt;--  =B20/B19+B18</v>
      </c>
    </row>
    <row r="23" spans="1:5" ht="12.75" customHeight="1" x14ac:dyDescent="0.25"/>
    <row r="27" spans="1:5" ht="39.6" x14ac:dyDescent="0.25">
      <c r="C27" s="20" t="s">
        <v>9</v>
      </c>
      <c r="D27" s="20" t="s">
        <v>10</v>
      </c>
      <c r="E27" s="20" t="s">
        <v>11</v>
      </c>
    </row>
    <row r="28" spans="1:5" x14ac:dyDescent="0.25">
      <c r="C28" s="6">
        <v>169841000</v>
      </c>
      <c r="D28" s="21">
        <f t="shared" ref="D28:D36" si="2">C3/C28</f>
        <v>0.88747711094494264</v>
      </c>
      <c r="E28" s="21">
        <f t="shared" ref="E28:E36" si="3">E3/C28</f>
        <v>0.79770491224144935</v>
      </c>
    </row>
    <row r="29" spans="1:5" x14ac:dyDescent="0.25">
      <c r="C29" s="6">
        <v>170673000</v>
      </c>
      <c r="D29" s="21">
        <f t="shared" si="2"/>
        <v>1.000486310078337</v>
      </c>
      <c r="E29" s="21">
        <f t="shared" si="3"/>
        <v>1.0091578632824172</v>
      </c>
    </row>
    <row r="30" spans="1:5" x14ac:dyDescent="0.25">
      <c r="C30" s="6">
        <v>172273000</v>
      </c>
      <c r="D30" s="21">
        <f t="shared" si="2"/>
        <v>1.1115380819977594</v>
      </c>
      <c r="E30" s="21">
        <f t="shared" si="3"/>
        <v>1.5401775089538117</v>
      </c>
    </row>
    <row r="31" spans="1:5" x14ac:dyDescent="0.25">
      <c r="C31" s="6">
        <v>172339000</v>
      </c>
      <c r="D31" s="21">
        <f t="shared" si="2"/>
        <v>1.2214472638230465</v>
      </c>
      <c r="E31" s="21">
        <f t="shared" si="3"/>
        <v>1.3814168586332751</v>
      </c>
    </row>
    <row r="32" spans="1:5" x14ac:dyDescent="0.25">
      <c r="C32" s="6">
        <v>170635000</v>
      </c>
      <c r="D32" s="21">
        <f t="shared" si="2"/>
        <v>1.380109590646702</v>
      </c>
      <c r="E32" s="21">
        <f t="shared" si="3"/>
        <v>1.6199021302780789</v>
      </c>
    </row>
    <row r="33" spans="3:5" x14ac:dyDescent="0.25">
      <c r="C33" s="6">
        <v>167255000</v>
      </c>
      <c r="D33" s="21">
        <f t="shared" si="2"/>
        <v>1.5213775372933545</v>
      </c>
      <c r="E33" s="21">
        <f t="shared" si="3"/>
        <v>3.6193118292427728</v>
      </c>
    </row>
    <row r="34" spans="3:5" x14ac:dyDescent="0.25">
      <c r="C34" s="6">
        <v>198290000</v>
      </c>
      <c r="D34" s="21">
        <f t="shared" si="2"/>
        <v>1.6506278682737405</v>
      </c>
      <c r="E34" s="21">
        <f t="shared" si="3"/>
        <v>4.0380452872056081</v>
      </c>
    </row>
    <row r="35" spans="3:5" x14ac:dyDescent="0.25">
      <c r="C35" s="6">
        <v>205058000</v>
      </c>
      <c r="D35" s="21">
        <f t="shared" si="2"/>
        <v>1.8619024861258766</v>
      </c>
      <c r="E35" s="21">
        <f t="shared" si="3"/>
        <v>4.0600464258892606</v>
      </c>
    </row>
    <row r="36" spans="3:5" x14ac:dyDescent="0.25">
      <c r="C36" s="6">
        <v>202795000</v>
      </c>
      <c r="D36" s="21">
        <f t="shared" si="2"/>
        <v>2.0633989989891268</v>
      </c>
      <c r="E36" s="21">
        <f t="shared" si="3"/>
        <v>4.899489632387386</v>
      </c>
    </row>
    <row r="37" spans="3:5" x14ac:dyDescent="0.25">
      <c r="E37" s="21"/>
    </row>
    <row r="38" spans="3:5" x14ac:dyDescent="0.25">
      <c r="D38" s="10">
        <f>(D36/D28)^(1/8)-1</f>
        <v>0.11122820696752211</v>
      </c>
      <c r="E38" s="10">
        <f>(E36/E28)^(1/8)-1</f>
        <v>0.25469616935123685</v>
      </c>
    </row>
    <row r="54" spans="1:9" x14ac:dyDescent="0.25">
      <c r="B54" s="8">
        <v>1999</v>
      </c>
      <c r="C54" s="8">
        <v>1998</v>
      </c>
      <c r="D54" s="8">
        <v>1997</v>
      </c>
      <c r="E54" s="5">
        <v>1996</v>
      </c>
      <c r="F54" s="5">
        <v>1994</v>
      </c>
      <c r="G54" s="5">
        <v>1993</v>
      </c>
      <c r="H54" s="5">
        <v>1992</v>
      </c>
      <c r="I54" s="5">
        <v>1991</v>
      </c>
    </row>
    <row r="55" spans="1:9" x14ac:dyDescent="0.25">
      <c r="A55" s="8" t="s">
        <v>12</v>
      </c>
      <c r="B55" s="22">
        <v>59478000</v>
      </c>
      <c r="C55" s="22">
        <v>80375000</v>
      </c>
      <c r="D55" s="22">
        <v>59281000</v>
      </c>
      <c r="E55" s="22">
        <v>25826000</v>
      </c>
      <c r="F55" s="22">
        <v>25339000</v>
      </c>
      <c r="G55" s="22">
        <v>24961000</v>
      </c>
      <c r="H55" s="22">
        <v>29717000</v>
      </c>
      <c r="I55" s="22">
        <v>16462000</v>
      </c>
    </row>
    <row r="56" spans="1:9" x14ac:dyDescent="0.25">
      <c r="A56" s="8" t="s">
        <v>13</v>
      </c>
      <c r="B56" s="22">
        <v>418447000</v>
      </c>
      <c r="C56" s="22">
        <v>381798000</v>
      </c>
      <c r="D56" s="22">
        <v>327303000</v>
      </c>
      <c r="E56" s="22">
        <v>254458000</v>
      </c>
      <c r="F56" s="22">
        <v>210503000</v>
      </c>
      <c r="G56" s="22">
        <v>191488000</v>
      </c>
      <c r="H56" s="22">
        <v>170756000</v>
      </c>
      <c r="I56" s="22">
        <v>150730000</v>
      </c>
    </row>
    <row r="57" spans="1:9" x14ac:dyDescent="0.25">
      <c r="A57" s="8" t="s">
        <v>14</v>
      </c>
      <c r="B57" s="22">
        <v>634623000</v>
      </c>
      <c r="C57" s="22">
        <v>531122000</v>
      </c>
      <c r="D57" s="22">
        <v>532682000</v>
      </c>
      <c r="E57" s="22">
        <v>376716000</v>
      </c>
      <c r="F57" s="22">
        <v>52908000</v>
      </c>
      <c r="G57" s="22">
        <v>98804000</v>
      </c>
      <c r="H57" s="22">
        <v>31197000</v>
      </c>
      <c r="I57" s="22">
        <v>1215000</v>
      </c>
    </row>
    <row r="58" spans="1:9" x14ac:dyDescent="0.25">
      <c r="A58" s="8" t="s">
        <v>15</v>
      </c>
      <c r="B58" s="22">
        <f t="shared" ref="B58:I58" si="4">SUM(B55:B57)</f>
        <v>1112548000</v>
      </c>
      <c r="C58" s="22">
        <f t="shared" si="4"/>
        <v>993295000</v>
      </c>
      <c r="D58" s="22">
        <f t="shared" si="4"/>
        <v>919266000</v>
      </c>
      <c r="E58" s="22">
        <f t="shared" si="4"/>
        <v>657000000</v>
      </c>
      <c r="F58" s="22">
        <f t="shared" si="4"/>
        <v>288750000</v>
      </c>
      <c r="G58" s="22">
        <f t="shared" si="4"/>
        <v>315253000</v>
      </c>
      <c r="H58" s="22">
        <f t="shared" si="4"/>
        <v>231670000</v>
      </c>
      <c r="I58" s="22">
        <f t="shared" si="4"/>
        <v>168407000</v>
      </c>
    </row>
    <row r="60" spans="1:9" ht="39.6" x14ac:dyDescent="0.25">
      <c r="A60" s="9" t="s">
        <v>16</v>
      </c>
      <c r="B60" s="22">
        <v>202795000</v>
      </c>
      <c r="C60" s="22">
        <v>205058000</v>
      </c>
      <c r="D60" s="22">
        <v>198290000</v>
      </c>
      <c r="E60" s="22">
        <v>167255000</v>
      </c>
      <c r="F60" s="22">
        <v>172339000</v>
      </c>
      <c r="G60" s="22">
        <v>172273000</v>
      </c>
      <c r="H60" s="22">
        <v>170763000</v>
      </c>
      <c r="I60" s="22">
        <v>169841000</v>
      </c>
    </row>
    <row r="62" spans="1:9" x14ac:dyDescent="0.25">
      <c r="A62" s="8" t="s">
        <v>17</v>
      </c>
      <c r="B62" s="21">
        <f t="shared" ref="B62:I62" si="5">B56/B60</f>
        <v>2.0633989989891268</v>
      </c>
      <c r="C62" s="21">
        <f t="shared" si="5"/>
        <v>1.8619024861258766</v>
      </c>
      <c r="D62" s="21">
        <f t="shared" si="5"/>
        <v>1.6506278682737405</v>
      </c>
      <c r="E62" s="21">
        <f t="shared" si="5"/>
        <v>1.5213775372933545</v>
      </c>
      <c r="F62" s="21">
        <f t="shared" si="5"/>
        <v>1.2214472638230465</v>
      </c>
      <c r="G62" s="21">
        <f t="shared" si="5"/>
        <v>1.1115380819977594</v>
      </c>
      <c r="H62" s="21">
        <f t="shared" si="5"/>
        <v>0.99995900751333722</v>
      </c>
      <c r="I62" s="21">
        <f t="shared" si="5"/>
        <v>0.88747711094494264</v>
      </c>
    </row>
  </sheetData>
  <mergeCells count="2">
    <mergeCell ref="A1:F1"/>
    <mergeCell ref="A15:C15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2024-10-07T08:00:49Z</dcterms:modified>
</cp:coreProperties>
</file>