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E7FA0E2D-0EB6-4477-B3A5-EEAC5306CA0E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B13" i="1"/>
  <c r="B16" i="1" s="1"/>
  <c r="C12" i="1"/>
  <c r="B12" i="1"/>
  <c r="B15" i="1" s="1"/>
  <c r="C10" i="1"/>
  <c r="C19" i="1" s="1"/>
  <c r="B10" i="1"/>
  <c r="B19" i="1" s="1"/>
  <c r="C4" i="1"/>
  <c r="B4" i="1"/>
  <c r="C3" i="1"/>
  <c r="B3" i="1"/>
  <c r="D18" i="1"/>
  <c r="C16" i="1"/>
  <c r="C15" i="1"/>
  <c r="B18" i="1" l="1"/>
  <c r="C18" i="1"/>
</calcChain>
</file>

<file path=xl/sharedStrings.xml><?xml version="1.0" encoding="utf-8"?>
<sst xmlns="http://schemas.openxmlformats.org/spreadsheetml/2006/main" count="13" uniqueCount="12">
  <si>
    <r>
      <t>COMPUTING THE COST OF DEBT  r</t>
    </r>
    <r>
      <rPr>
        <b/>
        <vertAlign val="subscript"/>
        <sz val="14"/>
        <rFont val="Arial"/>
        <family val="2"/>
      </rPr>
      <t>D</t>
    </r>
    <r>
      <rPr>
        <b/>
        <sz val="14"/>
        <rFont val="Arial"/>
        <family val="2"/>
      </rPr>
      <t xml:space="preserve"> FOR CASCADE</t>
    </r>
  </si>
  <si>
    <t>Cash and cash equivalents</t>
  </si>
  <si>
    <t>Marketable securities</t>
  </si>
  <si>
    <t>Notes payable to banks</t>
    <phoneticPr fontId="6" type="noConversion"/>
  </si>
  <si>
    <t>Current portion of long-term debt</t>
    <phoneticPr fontId="6" type="noConversion"/>
  </si>
  <si>
    <t>Long-term debt, net of current portion</t>
    <phoneticPr fontId="6" type="noConversion"/>
  </si>
  <si>
    <t>Total debt</t>
  </si>
  <si>
    <t>Interest expense</t>
  </si>
  <si>
    <t>Interest income</t>
  </si>
  <si>
    <t>Interest cost</t>
  </si>
  <si>
    <t>Debt net of cash</t>
    <phoneticPr fontId="6" type="noConversion"/>
  </si>
  <si>
    <t>Debt net of cash and marketable securities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</si>
</sst>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  <charset val="177"/>
    </font>
    <font>
      <b/>
      <sz val="14"/>
      <name val="Arial"/>
      <family val="2"/>
    </font>
    <font>
      <b/>
      <vertAlign val="subscript"/>
      <sz val="14"/>
      <name val="Arial"/>
      <family val="2"/>
    </font>
    <font>
      <sz val="8"/>
      <name val="Arial"/>
      <family val="2"/>
      <charset val="177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10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176" fontId="3" fillId="0" borderId="0" xfId="2" applyNumberFormat="1" applyAlignment="1">
      <alignment horizontal="center"/>
    </xf>
    <xf numFmtId="3" fontId="3" fillId="0" borderId="0" xfId="2" applyNumberFormat="1" applyAlignment="1">
      <alignment horizontal="right"/>
    </xf>
    <xf numFmtId="10" fontId="3" fillId="0" borderId="0" xfId="1" applyNumberFormat="1" applyFont="1" applyAlignment="1"/>
    <xf numFmtId="3" fontId="3" fillId="0" borderId="0" xfId="2" applyNumberFormat="1"/>
    <xf numFmtId="0" fontId="3" fillId="2" borderId="0" xfId="2" applyFill="1"/>
    <xf numFmtId="3" fontId="3" fillId="2" borderId="0" xfId="2" applyNumberFormat="1" applyFill="1" applyAlignment="1">
      <alignment horizontal="right"/>
    </xf>
    <xf numFmtId="10" fontId="3" fillId="2" borderId="0" xfId="1" applyNumberFormat="1" applyFont="1" applyFill="1" applyAlignment="1"/>
  </cellXfs>
  <cellStyles count="3">
    <cellStyle name="Normal_Cascade Corp" xfId="2" xr:uid="{B45EDBF3-69DB-4B6A-A2F2-549E94988F48}"/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"/>
      <sheetName val="Page 42 (中文)"/>
      <sheetName val="Page 43"/>
      <sheetName val="Page 43 (中文)"/>
      <sheetName val="Page 44"/>
      <sheetName val="Page 44 (中文)"/>
      <sheetName val="Pages 45-46"/>
      <sheetName val="Pages 45-46 (中文)"/>
      <sheetName val="Page 47"/>
      <sheetName val="Page 47 (中文)"/>
      <sheetName val="Page 49"/>
      <sheetName val="Page 49 (中文)"/>
      <sheetName val="Page 50"/>
      <sheetName val="Page 54"/>
      <sheetName val="Page 50 (中文)"/>
      <sheetName val="Page 51"/>
      <sheetName val="Page 51 (中文)"/>
      <sheetName val="Page 54 (中文)"/>
      <sheetName val="Page 56"/>
      <sheetName val="Page 56 (中文)"/>
      <sheetName val="Page 58"/>
      <sheetName val="Page 58 (中文)"/>
      <sheetName val="Page 59"/>
      <sheetName val="Page 59 (中文)"/>
      <sheetName val="Intel tax rate"/>
      <sheetName val="Page 62"/>
      <sheetName val="Page 62 (中文)"/>
      <sheetName val="Page 63"/>
      <sheetName val="Page 63 (中文)"/>
      <sheetName val="Page 64, top"/>
      <sheetName val="Page 64, top (中文)"/>
      <sheetName val="Page 64, bottom"/>
      <sheetName val="Page 64, bottom (中文)"/>
      <sheetName val="Page 65"/>
      <sheetName val="Page 65 (中文)"/>
      <sheetName val="Page 67"/>
      <sheetName val="Page 67 (中文)"/>
      <sheetName val="Page 69, top"/>
      <sheetName val="Page 69, bottom"/>
      <sheetName val="Page 69, bottom (中文)"/>
      <sheetName val="Page 71"/>
      <sheetName val="Page 71 (中文)"/>
      <sheetName val="Page 72, top"/>
      <sheetName val="Page 72, top (中文)"/>
      <sheetName val="Page 72, bottom"/>
      <sheetName val="Page 72, bottom (中文)"/>
      <sheetName val="Page 73"/>
      <sheetName val="Page 73 (中文)"/>
      <sheetName val="Page 74"/>
      <sheetName val="Page 74 (中文)"/>
      <sheetName val="Page 75"/>
      <sheetName val="Page 75 (中文)"/>
      <sheetName val="Page 76, top"/>
      <sheetName val="Page 76, top (中文)"/>
      <sheetName val="Page 76, bottom"/>
      <sheetName val="Page 76, bottom (中文)"/>
      <sheetName val="Page 77"/>
      <sheetName val="Page 77 (中文)"/>
      <sheetName val="Page 78"/>
      <sheetName val="Page 78 (中文)"/>
      <sheetName val="Page 79, top"/>
      <sheetName val="Page 79, top (中文)"/>
      <sheetName val="Page 79, bottom"/>
      <sheetName val="Page 79, bottom (中文)"/>
      <sheetName val="Page 80"/>
      <sheetName val="Page 80 (中文)"/>
      <sheetName val="Page 81"/>
      <sheetName val="Page 81 (中文)"/>
      <sheetName val="Pages 82-83"/>
      <sheetName val="Pages 82-83 (中文)"/>
      <sheetName val="Page 84"/>
      <sheetName val="Page 84 (中文)"/>
      <sheetName val="Page 85"/>
      <sheetName val="Page 85 (中文)"/>
      <sheetName val="Page 86"/>
      <sheetName val="Page 86 (中文)"/>
      <sheetName val="Page 93, top"/>
      <sheetName val="Page 93, top (中文)"/>
      <sheetName val="Page 93, middle"/>
      <sheetName val="Page 93, middle (中文)"/>
      <sheetName val="Page 93, bottom"/>
      <sheetName val="Page 93, bottom (中文)"/>
      <sheetName val="Page 94"/>
      <sheetName val="Page 94 (中文)"/>
      <sheetName val="Page 95"/>
      <sheetName val="Page 95 (中文)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>
        <row r="11">
          <cell r="B11">
            <v>2741000</v>
          </cell>
          <cell r="C11">
            <v>3570000</v>
          </cell>
        </row>
        <row r="12">
          <cell r="B12">
            <v>-979000</v>
          </cell>
          <cell r="C12">
            <v>-562000</v>
          </cell>
        </row>
        <row r="30">
          <cell r="B30">
            <v>35493000</v>
          </cell>
          <cell r="C30">
            <v>30482000</v>
          </cell>
        </row>
        <row r="31">
          <cell r="B31">
            <v>23004000</v>
          </cell>
          <cell r="C31">
            <v>1503000</v>
          </cell>
        </row>
      </sheetData>
      <sheetData sheetId="9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D20"/>
  <sheetViews>
    <sheetView tabSelected="1" workbookViewId="0">
      <selection activeCell="F13" sqref="F13"/>
    </sheetView>
  </sheetViews>
  <sheetFormatPr defaultRowHeight="13.8" x14ac:dyDescent="0.25"/>
  <cols>
    <col min="1" max="1" width="37.33203125" style="2" bestFit="1" customWidth="1"/>
    <col min="2" max="2" width="17" style="2" customWidth="1"/>
    <col min="3" max="3" width="16.33203125" style="2" customWidth="1"/>
    <col min="4" max="4" width="27.44140625" style="2" bestFit="1" customWidth="1"/>
  </cols>
  <sheetData>
    <row r="1" spans="1:4" ht="21" x14ac:dyDescent="0.45">
      <c r="A1" s="1" t="s">
        <v>0</v>
      </c>
      <c r="B1" s="1"/>
      <c r="C1" s="1"/>
      <c r="D1" s="1"/>
    </row>
    <row r="2" spans="1:4" x14ac:dyDescent="0.25">
      <c r="B2" s="3">
        <v>38748</v>
      </c>
      <c r="C2" s="3">
        <v>38383</v>
      </c>
    </row>
    <row r="3" spans="1:4" x14ac:dyDescent="0.25">
      <c r="A3" s="2" t="s">
        <v>1</v>
      </c>
      <c r="B3" s="4">
        <f>'[1]Cascade 10K'!B30</f>
        <v>35493000</v>
      </c>
      <c r="C3" s="4">
        <f>'[1]Cascade 10K'!C30</f>
        <v>30482000</v>
      </c>
    </row>
    <row r="4" spans="1:4" x14ac:dyDescent="0.25">
      <c r="A4" s="2" t="s">
        <v>2</v>
      </c>
      <c r="B4" s="4">
        <f>'[1]Cascade 10K'!B31</f>
        <v>23004000</v>
      </c>
      <c r="C4" s="4">
        <f>'[1]Cascade 10K'!C31</f>
        <v>1503000</v>
      </c>
    </row>
    <row r="5" spans="1:4" x14ac:dyDescent="0.25">
      <c r="B5" s="4"/>
      <c r="C5" s="4"/>
    </row>
    <row r="6" spans="1:4" x14ac:dyDescent="0.25">
      <c r="B6" s="4"/>
      <c r="C6" s="4"/>
    </row>
    <row r="7" spans="1:4" x14ac:dyDescent="0.25">
      <c r="A7" s="2" t="s">
        <v>3</v>
      </c>
      <c r="B7" s="4">
        <v>4741000</v>
      </c>
      <c r="C7" s="4">
        <v>2461000</v>
      </c>
    </row>
    <row r="8" spans="1:4" x14ac:dyDescent="0.25">
      <c r="A8" s="2" t="s">
        <v>4</v>
      </c>
      <c r="B8" s="4">
        <v>12681000</v>
      </c>
      <c r="C8" s="4">
        <v>12916000</v>
      </c>
    </row>
    <row r="9" spans="1:4" x14ac:dyDescent="0.25">
      <c r="A9" s="2" t="s">
        <v>5</v>
      </c>
      <c r="B9" s="4">
        <v>12500000</v>
      </c>
      <c r="C9" s="4">
        <v>25187000</v>
      </c>
    </row>
    <row r="10" spans="1:4" x14ac:dyDescent="0.25">
      <c r="A10" s="7" t="s">
        <v>6</v>
      </c>
      <c r="B10" s="8">
        <f>SUM(B7:B9)</f>
        <v>29922000</v>
      </c>
      <c r="C10" s="8">
        <f>SUM(C7:C9)</f>
        <v>40564000</v>
      </c>
    </row>
    <row r="11" spans="1:4" x14ac:dyDescent="0.25">
      <c r="B11" s="4"/>
      <c r="C11" s="4"/>
    </row>
    <row r="12" spans="1:4" x14ac:dyDescent="0.25">
      <c r="A12" s="2" t="s">
        <v>7</v>
      </c>
      <c r="B12" s="4">
        <f>'[1]Cascade 10K'!B11</f>
        <v>2741000</v>
      </c>
      <c r="C12" s="4">
        <f>'[1]Cascade 10K'!C11</f>
        <v>3570000</v>
      </c>
    </row>
    <row r="13" spans="1:4" x14ac:dyDescent="0.25">
      <c r="A13" s="2" t="s">
        <v>8</v>
      </c>
      <c r="B13" s="4">
        <f>-'[1]Cascade 10K'!B12</f>
        <v>979000</v>
      </c>
      <c r="C13" s="4">
        <f>-'[1]Cascade 10K'!C12</f>
        <v>562000</v>
      </c>
    </row>
    <row r="14" spans="1:4" x14ac:dyDescent="0.25">
      <c r="B14" s="4"/>
      <c r="C14" s="4"/>
    </row>
    <row r="15" spans="1:4" x14ac:dyDescent="0.25">
      <c r="A15" s="7" t="s">
        <v>9</v>
      </c>
      <c r="B15" s="9">
        <f>B12/AVERAGE(B10:C10)</f>
        <v>7.7774309792015439E-2</v>
      </c>
      <c r="C15" s="5" t="str">
        <f ca="1">[2]!getformula(B15)</f>
        <v>&lt;--  =B12/AVERAGE(B10:C10)</v>
      </c>
    </row>
    <row r="16" spans="1:4" x14ac:dyDescent="0.25">
      <c r="A16" s="2" t="s">
        <v>8</v>
      </c>
      <c r="B16" s="5">
        <f>B13/AVERAGE(B3:C3)</f>
        <v>2.9677908298597955E-2</v>
      </c>
      <c r="C16" s="5" t="str">
        <f ca="1">[2]!getformula(B16)</f>
        <v>&lt;--  =B13/AVERAGE(B3:C3)</v>
      </c>
    </row>
    <row r="17" spans="1:4" x14ac:dyDescent="0.25">
      <c r="B17" s="5"/>
      <c r="C17" s="5"/>
    </row>
    <row r="18" spans="1:4" x14ac:dyDescent="0.25">
      <c r="A18" s="2" t="s">
        <v>10</v>
      </c>
      <c r="B18" s="6">
        <f>B10-B3</f>
        <v>-5571000</v>
      </c>
      <c r="C18" s="6">
        <f>C10-C3</f>
        <v>10082000</v>
      </c>
      <c r="D18" s="2" t="str">
        <f ca="1">[2]!getformula(C18)</f>
        <v>&lt;--  =C10-C3</v>
      </c>
    </row>
    <row r="19" spans="1:4" x14ac:dyDescent="0.25">
      <c r="A19" s="2" t="s">
        <v>11</v>
      </c>
      <c r="B19" s="6">
        <f>B10-SUM(B3:B4)</f>
        <v>-28575000</v>
      </c>
      <c r="C19" s="6">
        <f>C10-SUM(C3:C4)</f>
        <v>8579000</v>
      </c>
    </row>
    <row r="20" spans="1:4" x14ac:dyDescent="0.25">
      <c r="B20" s="5"/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2024-10-09T08:01:09Z</dcterms:modified>
</cp:coreProperties>
</file>