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AB3E13B1-129E-4154-BF18-3670279DA589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14" i="1"/>
  <c r="D15" i="1"/>
  <c r="D7" i="1"/>
  <c r="B22" i="1"/>
  <c r="B19" i="1"/>
  <c r="B6" i="1"/>
  <c r="B3" i="1"/>
  <c r="C22" i="1"/>
  <c r="C3" i="1"/>
  <c r="C19" i="1"/>
  <c r="C6" i="1"/>
</calcChain>
</file>

<file path=xl/sharedStrings.xml><?xml version="1.0" encoding="utf-8"?>
<sst xmlns="http://schemas.openxmlformats.org/spreadsheetml/2006/main" count="9" uniqueCount="6">
  <si>
    <t>Average time to maturity (years)</t>
  </si>
  <si>
    <t>Yield</t>
  </si>
  <si>
    <t>Sensitivity analysis</t>
  </si>
  <si>
    <t>Years to maturity</t>
  </si>
  <si>
    <r>
      <t>COMPUTING KRAFT'S r</t>
    </r>
    <r>
      <rPr>
        <b/>
        <vertAlign val="subscript"/>
        <sz val="20"/>
        <rFont val="Arial"/>
        <family val="2"/>
      </rPr>
      <t>D</t>
    </r>
    <r>
      <rPr>
        <b/>
        <sz val="20"/>
        <rFont val="Arial"/>
        <family val="2"/>
      </rPr>
      <t xml:space="preserve"> FROM A YIELD CURVE
YTM=0.0001*time</t>
    </r>
    <r>
      <rPr>
        <b/>
        <vertAlign val="superscript"/>
        <sz val="20"/>
        <rFont val="Arial"/>
        <family val="2"/>
      </rPr>
      <t>3</t>
    </r>
    <r>
      <rPr>
        <b/>
        <sz val="20"/>
        <rFont val="Arial"/>
        <family val="2"/>
      </rPr>
      <t>-0.0023*time</t>
    </r>
    <r>
      <rPr>
        <b/>
        <vertAlign val="superscript"/>
        <sz val="20"/>
        <rFont val="Arial"/>
        <family val="2"/>
      </rPr>
      <t>2</t>
    </r>
    <r>
      <rPr>
        <b/>
        <sz val="20"/>
        <rFont val="Arial"/>
        <family val="2"/>
      </rPr>
      <t>+0.0152*time+0.0221</t>
    </r>
  </si>
  <si>
    <t>Sensitivity analysis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</si>
</sst>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b/>
      <sz val="20"/>
      <name val="Arial"/>
      <family val="2"/>
    </font>
    <font>
      <b/>
      <vertAlign val="subscript"/>
      <sz val="20"/>
      <name val="Arial"/>
      <family val="2"/>
    </font>
    <font>
      <b/>
      <vertAlign val="superscript"/>
      <sz val="2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/>
    <xf numFmtId="10" fontId="2" fillId="0" borderId="0" xfId="1" applyNumberFormat="1" applyAlignment="1"/>
    <xf numFmtId="0" fontId="3" fillId="0" borderId="0" xfId="0" applyFont="1" applyAlignment="1"/>
    <xf numFmtId="176" fontId="0" fillId="0" borderId="0" xfId="0" applyNumberFormat="1" applyAlignment="1"/>
    <xf numFmtId="0" fontId="0" fillId="0" borderId="0" xfId="0" applyAlignment="1">
      <alignment horizontal="center"/>
    </xf>
    <xf numFmtId="10" fontId="0" fillId="0" borderId="0" xfId="1" applyNumberFormat="1" applyFont="1" applyAlignment="1"/>
    <xf numFmtId="0" fontId="4" fillId="0" borderId="0" xfId="0" applyFont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31"/>
  <sheetViews>
    <sheetView tabSelected="1" workbookViewId="0">
      <selection activeCell="F4" sqref="F4"/>
    </sheetView>
  </sheetViews>
  <sheetFormatPr defaultRowHeight="13.8" x14ac:dyDescent="0.25"/>
  <cols>
    <col min="1" max="1" width="29.109375" style="1" customWidth="1"/>
    <col min="2" max="2" width="8.88671875" style="1"/>
    <col min="3" max="3" width="49.5546875" style="1" bestFit="1" customWidth="1"/>
  </cols>
  <sheetData>
    <row r="1" spans="1:4" ht="99" customHeight="1" x14ac:dyDescent="0.25">
      <c r="A1" s="7" t="s">
        <v>4</v>
      </c>
      <c r="B1" s="7"/>
      <c r="C1" s="7"/>
    </row>
    <row r="2" spans="1:4" x14ac:dyDescent="0.25">
      <c r="A2" s="1" t="s">
        <v>0</v>
      </c>
      <c r="B2" s="1">
        <v>5</v>
      </c>
    </row>
    <row r="3" spans="1:4" x14ac:dyDescent="0.25">
      <c r="A3" s="1" t="s">
        <v>1</v>
      </c>
      <c r="B3" s="2">
        <f>0.0001*B2^3-0.0023*B2^2+0.0152*B2+0.0221</f>
        <v>5.3100000000000001E-2</v>
      </c>
      <c r="C3" s="1" t="str">
        <f ca="1">[1]!getformula(B3)</f>
        <v>&lt;--  =0.0001*B2^3-0.0023*B2^2+0.0152*B2+0.0221</v>
      </c>
    </row>
    <row r="5" spans="1:4" x14ac:dyDescent="0.25">
      <c r="A5" s="3" t="s">
        <v>5</v>
      </c>
    </row>
    <row r="6" spans="1:4" x14ac:dyDescent="0.25">
      <c r="A6" s="1" t="s">
        <v>3</v>
      </c>
      <c r="B6" s="4">
        <f>B3</f>
        <v>5.3100000000000001E-2</v>
      </c>
      <c r="C6" s="1" t="str">
        <f ca="1">[1]!getformula(B6)&amp;" , table header"</f>
        <v>&lt;--  =B3 , table header</v>
      </c>
    </row>
    <row r="7" spans="1:4" x14ac:dyDescent="0.25">
      <c r="A7" s="5">
        <v>3</v>
      </c>
      <c r="B7" s="2">
        <v>4.9700000000000008E-2</v>
      </c>
      <c r="D7" s="2">
        <f>0.0001*$A7^3-0.0023*$A7^2+0.0152*$A7+0.0221</f>
        <v>4.9700000000000008E-2</v>
      </c>
    </row>
    <row r="8" spans="1:4" x14ac:dyDescent="0.25">
      <c r="A8" s="5">
        <v>4</v>
      </c>
      <c r="B8" s="2">
        <v>5.2500000000000005E-2</v>
      </c>
      <c r="D8" s="2">
        <f t="shared" ref="D8:D15" si="0">0.0001*$A8^3-0.0023*$A8^2+0.0152*$A8+0.0221</f>
        <v>5.2500000000000005E-2</v>
      </c>
    </row>
    <row r="9" spans="1:4" x14ac:dyDescent="0.25">
      <c r="A9" s="5">
        <v>5</v>
      </c>
      <c r="B9" s="2">
        <v>5.3100000000000001E-2</v>
      </c>
      <c r="D9" s="2">
        <f t="shared" si="0"/>
        <v>5.3100000000000001E-2</v>
      </c>
    </row>
    <row r="10" spans="1:4" x14ac:dyDescent="0.25">
      <c r="A10" s="5">
        <v>6</v>
      </c>
      <c r="B10" s="2">
        <v>5.2100000000000007E-2</v>
      </c>
      <c r="D10" s="2">
        <f t="shared" si="0"/>
        <v>5.2100000000000007E-2</v>
      </c>
    </row>
    <row r="11" spans="1:4" x14ac:dyDescent="0.25">
      <c r="A11" s="5">
        <v>7</v>
      </c>
      <c r="B11" s="2">
        <v>5.0099999999999999E-2</v>
      </c>
      <c r="D11" s="2">
        <f t="shared" si="0"/>
        <v>5.0099999999999999E-2</v>
      </c>
    </row>
    <row r="12" spans="1:4" x14ac:dyDescent="0.25">
      <c r="A12" s="5">
        <v>8</v>
      </c>
      <c r="B12" s="2">
        <v>4.7699999999999999E-2</v>
      </c>
      <c r="D12" s="2">
        <f t="shared" si="0"/>
        <v>4.7699999999999999E-2</v>
      </c>
    </row>
    <row r="13" spans="1:4" x14ac:dyDescent="0.25">
      <c r="A13" s="5">
        <v>9</v>
      </c>
      <c r="B13" s="2">
        <v>4.550000000000002E-2</v>
      </c>
      <c r="D13" s="2">
        <f t="shared" si="0"/>
        <v>4.550000000000002E-2</v>
      </c>
    </row>
    <row r="14" spans="1:4" x14ac:dyDescent="0.25">
      <c r="A14" s="5">
        <v>10</v>
      </c>
      <c r="B14" s="2">
        <v>4.4100000000000021E-2</v>
      </c>
      <c r="D14" s="2">
        <f t="shared" si="0"/>
        <v>4.4100000000000021E-2</v>
      </c>
    </row>
    <row r="15" spans="1:4" x14ac:dyDescent="0.25">
      <c r="A15" s="5">
        <v>11</v>
      </c>
      <c r="B15" s="2">
        <v>4.4099999999999993E-2</v>
      </c>
      <c r="D15" s="2">
        <f t="shared" si="0"/>
        <v>4.4099999999999993E-2</v>
      </c>
    </row>
    <row r="18" spans="1:3" x14ac:dyDescent="0.25">
      <c r="A18" s="1" t="s">
        <v>0</v>
      </c>
      <c r="B18" s="1">
        <v>1</v>
      </c>
    </row>
    <row r="19" spans="1:3" x14ac:dyDescent="0.25">
      <c r="A19" s="1" t="s">
        <v>1</v>
      </c>
      <c r="B19" s="6">
        <f>0.00004*B18^4+0.0009*B18^3-0.0075*B18^2+0.0283*B18+0.0127</f>
        <v>3.4439999999999998E-2</v>
      </c>
      <c r="C19" s="1" t="str">
        <f ca="1">[1]!getformula(B19)</f>
        <v>&lt;--  =0.00004*B18^4+0.0009*B18^3-0.0075*B18^2+0.0283*B18+0.0127</v>
      </c>
    </row>
    <row r="21" spans="1:3" x14ac:dyDescent="0.25">
      <c r="A21" s="3" t="s">
        <v>2</v>
      </c>
    </row>
    <row r="22" spans="1:3" x14ac:dyDescent="0.25">
      <c r="A22" s="1" t="s">
        <v>3</v>
      </c>
      <c r="B22" s="4">
        <f>B19</f>
        <v>3.4439999999999998E-2</v>
      </c>
      <c r="C22" s="1" t="str">
        <f ca="1">[1]!getformula(B22)&amp;" , table header"</f>
        <v>&lt;--  =B19 , table header</v>
      </c>
    </row>
    <row r="23" spans="1:3" x14ac:dyDescent="0.25">
      <c r="A23" s="5">
        <v>3</v>
      </c>
      <c r="B23" s="2">
        <v>4.9700000000000008E-2</v>
      </c>
    </row>
    <row r="24" spans="1:3" x14ac:dyDescent="0.25">
      <c r="A24" s="5">
        <v>4</v>
      </c>
      <c r="B24" s="2">
        <v>5.2499999999999998E-2</v>
      </c>
    </row>
    <row r="25" spans="1:3" x14ac:dyDescent="0.25">
      <c r="A25" s="5">
        <v>5</v>
      </c>
      <c r="B25" s="2">
        <v>5.3100000000000001E-2</v>
      </c>
    </row>
    <row r="26" spans="1:3" x14ac:dyDescent="0.25">
      <c r="A26" s="5">
        <v>6</v>
      </c>
      <c r="B26" s="2">
        <v>5.2100000000000007E-2</v>
      </c>
    </row>
    <row r="27" spans="1:3" x14ac:dyDescent="0.25">
      <c r="A27" s="5">
        <v>7</v>
      </c>
      <c r="B27" s="2">
        <v>5.0099999999999999E-2</v>
      </c>
    </row>
    <row r="28" spans="1:3" x14ac:dyDescent="0.25">
      <c r="A28" s="5">
        <v>8</v>
      </c>
      <c r="B28" s="2">
        <v>4.7699999999999999E-2</v>
      </c>
    </row>
    <row r="29" spans="1:3" x14ac:dyDescent="0.25">
      <c r="A29" s="5">
        <v>9</v>
      </c>
      <c r="B29" s="2">
        <v>4.550000000000002E-2</v>
      </c>
    </row>
    <row r="30" spans="1:3" x14ac:dyDescent="0.25">
      <c r="A30" s="5">
        <v>10</v>
      </c>
      <c r="B30" s="2">
        <v>4.4100000000000021E-2</v>
      </c>
    </row>
    <row r="31" spans="1:3" x14ac:dyDescent="0.25">
      <c r="A31" s="5">
        <v>11</v>
      </c>
      <c r="B31" s="2">
        <v>4.4099999999999993E-2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2024-10-09T04:49:43Z</dcterms:modified>
</cp:coreProperties>
</file>