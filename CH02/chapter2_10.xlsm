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AAAD85F5-0A7D-4FF9-B920-F295A2EDFCE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2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0" i="2" l="1"/>
  <c r="E70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F47" i="2"/>
  <c r="E47" i="2"/>
  <c r="F46" i="2"/>
  <c r="E46" i="2"/>
  <c r="F45" i="2"/>
  <c r="E45" i="2"/>
  <c r="F44" i="2"/>
  <c r="E44" i="2"/>
  <c r="F43" i="2"/>
  <c r="E43" i="2"/>
  <c r="F42" i="2"/>
  <c r="E42" i="2"/>
  <c r="F41" i="2"/>
  <c r="E41" i="2"/>
  <c r="F40" i="2"/>
  <c r="E40" i="2"/>
  <c r="F39" i="2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G13" i="2"/>
  <c r="G12" i="2"/>
  <c r="G11" i="2"/>
  <c r="B6" i="2"/>
  <c r="B5" i="2"/>
  <c r="C2" i="2"/>
  <c r="C3" i="2"/>
  <c r="C4" i="2"/>
  <c r="C5" i="2"/>
  <c r="C6" i="2"/>
  <c r="B4" i="2" l="1"/>
  <c r="B3" i="2"/>
  <c r="B2" i="2"/>
</calcChain>
</file>

<file path=xl/sharedStrings.xml><?xml version="1.0" encoding="utf-8"?>
<sst xmlns="http://schemas.openxmlformats.org/spreadsheetml/2006/main" count="64" uniqueCount="44">
  <si>
    <r>
      <t xml:space="preserve">COMPUTING BETA FOR INTEL
</t>
    </r>
    <r>
      <rPr>
        <b/>
        <sz val="12"/>
        <rFont val="Arial"/>
        <family val="2"/>
      </rPr>
      <t>Monthly returns for Intel and S&amp;P500, 2001-2006</t>
    </r>
  </si>
  <si>
    <t>Alpha</t>
  </si>
  <si>
    <t>Beta</t>
  </si>
  <si>
    <t>R-squared</t>
  </si>
  <si>
    <t>t for alpha</t>
  </si>
  <si>
    <t>t for beta</t>
  </si>
  <si>
    <t>Prices</t>
  </si>
  <si>
    <t>Returns</t>
  </si>
  <si>
    <t>Date</t>
  </si>
  <si>
    <t>Intel</t>
  </si>
  <si>
    <t>SP500</t>
  </si>
  <si>
    <t>Regression screen: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</si>
  <si>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</si>
  <si>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</si>
  <si>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</si>
  <si>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</si>
  <si>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</si>
  <si>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</si>
  <si>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</si>
  <si>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</si>
  <si>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</si>
  <si>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</si>
  <si>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</si>
  <si>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</si>
  <si>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</si>
  <si>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</si>
  <si>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</si>
  <si>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</si>
  <si>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</si>
  <si>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</si>
  <si>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</si>
  <si>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</si>
  <si>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</si>
  <si>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Intercept</t>
  </si>
  <si>
    <t>X Variable 1</t>
  </si>
  <si>
    <t>回归统计</t>
  </si>
  <si>
    <t>标准误差</t>
  </si>
  <si>
    <t>观测值</t>
  </si>
  <si>
    <t>方差分析</t>
  </si>
  <si>
    <t>回归分析</t>
  </si>
  <si>
    <t>残差</t>
  </si>
  <si>
    <t>总计</t>
  </si>
  <si>
    <t>下限 95.0%</t>
  </si>
  <si>
    <t>上限 95.0%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</si>
</sst>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9">
    <xf numFmtId="0" fontId="0" fillId="0" borderId="0" xfId="0">
      <alignment vertical="center"/>
    </xf>
    <xf numFmtId="0" fontId="4" fillId="0" borderId="0" xfId="1" applyFont="1" applyAlignment="1">
      <alignment horizontal="center" vertical="center" wrapText="1"/>
    </xf>
    <xf numFmtId="0" fontId="3" fillId="0" borderId="0" xfId="1"/>
    <xf numFmtId="176" fontId="3" fillId="0" borderId="0" xfId="1" applyNumberFormat="1"/>
    <xf numFmtId="0" fontId="6" fillId="2" borderId="0" xfId="1" applyFont="1" applyFill="1" applyAlignment="1">
      <alignment horizontal="center"/>
    </xf>
    <xf numFmtId="0" fontId="6" fillId="0" borderId="0" xfId="1" applyFont="1" applyAlignment="1">
      <alignment horizontal="center"/>
    </xf>
    <xf numFmtId="0" fontId="6" fillId="0" borderId="0" xfId="1" applyFont="1"/>
    <xf numFmtId="2" fontId="3" fillId="0" borderId="0" xfId="1" applyNumberFormat="1"/>
    <xf numFmtId="0" fontId="7" fillId="0" borderId="1" xfId="1" applyFont="1" applyBorder="1" applyAlignment="1">
      <alignment horizontal="centerContinuous"/>
    </xf>
    <xf numFmtId="0" fontId="3" fillId="0" borderId="2" xfId="1" applyBorder="1"/>
    <xf numFmtId="0" fontId="7" fillId="0" borderId="1" xfId="1" applyFont="1" applyBorder="1" applyAlignment="1">
      <alignment horizontal="center"/>
    </xf>
    <xf numFmtId="176" fontId="3" fillId="0" borderId="2" xfId="1" applyNumberFormat="1" applyBorder="1"/>
    <xf numFmtId="14" fontId="3" fillId="0" borderId="0" xfId="1" applyNumberFormat="1" applyAlignment="1">
      <alignment horizontal="center"/>
    </xf>
    <xf numFmtId="0" fontId="0" fillId="0" borderId="0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Continuous" vertical="center"/>
    </xf>
    <xf numFmtId="0" fontId="2" fillId="0" borderId="2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</cellXfs>
  <cellStyles count="2">
    <cellStyle name="常规" xfId="0" builtinId="0"/>
    <cellStyle name="常规 2" xfId="1" xr:uid="{535283AB-FD49-49CD-9D12-A7636733396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282465</xdr:colOff>
      <xdr:row>9</xdr:row>
      <xdr:rowOff>126716</xdr:rowOff>
    </xdr:from>
    <xdr:to>
      <xdr:col>15</xdr:col>
      <xdr:colOff>293698</xdr:colOff>
      <xdr:row>80</xdr:row>
      <xdr:rowOff>132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1E3755-A55D-4374-A7D8-DCA7F6C58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5224" y="2064561"/>
          <a:ext cx="4044577" cy="38279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intercept"/>
      <definedName name="tslop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1705A-0752-43E6-BE3F-1F40CE3899F3}">
  <sheetPr codeName="Sheet12"/>
  <dimension ref="A1:Q93"/>
  <sheetViews>
    <sheetView tabSelected="1" topLeftCell="A6" zoomScale="145" zoomScaleNormal="145" workbookViewId="0">
      <selection activeCell="I68" sqref="I68"/>
    </sheetView>
  </sheetViews>
  <sheetFormatPr defaultRowHeight="13.2" x14ac:dyDescent="0.25"/>
  <cols>
    <col min="1" max="1" width="18.6640625" style="2" bestFit="1" customWidth="1"/>
    <col min="2" max="5" width="8.88671875" style="2"/>
    <col min="6" max="6" width="12.109375" style="2" customWidth="1"/>
    <col min="7" max="7" width="12.88671875" style="2" customWidth="1"/>
    <col min="8" max="8" width="3.5546875" style="2" customWidth="1"/>
    <col min="9" max="9" width="19.6640625" style="2" bestFit="1" customWidth="1"/>
    <col min="10" max="10" width="12.33203125" style="2" bestFit="1" customWidth="1"/>
    <col min="11" max="12" width="8.88671875" style="2"/>
    <col min="13" max="13" width="13.44140625" style="2" bestFit="1" customWidth="1"/>
    <col min="14" max="14" width="14.33203125" style="2" bestFit="1" customWidth="1"/>
    <col min="15" max="15" width="13.21875" style="2" bestFit="1" customWidth="1"/>
    <col min="16" max="257" width="8.88671875" style="2"/>
    <col min="258" max="258" width="18.6640625" style="2" bestFit="1" customWidth="1"/>
    <col min="259" max="262" width="8.88671875" style="2"/>
    <col min="263" max="263" width="12.109375" style="2" customWidth="1"/>
    <col min="264" max="264" width="12.88671875" style="2" customWidth="1"/>
    <col min="265" max="265" width="12.5546875" style="2" bestFit="1" customWidth="1"/>
    <col min="266" max="266" width="12.33203125" style="2" bestFit="1" customWidth="1"/>
    <col min="267" max="513" width="8.88671875" style="2"/>
    <col min="514" max="514" width="18.6640625" style="2" bestFit="1" customWidth="1"/>
    <col min="515" max="518" width="8.88671875" style="2"/>
    <col min="519" max="519" width="12.109375" style="2" customWidth="1"/>
    <col min="520" max="520" width="12.88671875" style="2" customWidth="1"/>
    <col min="521" max="521" width="12.5546875" style="2" bestFit="1" customWidth="1"/>
    <col min="522" max="522" width="12.33203125" style="2" bestFit="1" customWidth="1"/>
    <col min="523" max="769" width="8.88671875" style="2"/>
    <col min="770" max="770" width="18.6640625" style="2" bestFit="1" customWidth="1"/>
    <col min="771" max="774" width="8.88671875" style="2"/>
    <col min="775" max="775" width="12.109375" style="2" customWidth="1"/>
    <col min="776" max="776" width="12.88671875" style="2" customWidth="1"/>
    <col min="777" max="777" width="12.5546875" style="2" bestFit="1" customWidth="1"/>
    <col min="778" max="778" width="12.33203125" style="2" bestFit="1" customWidth="1"/>
    <col min="779" max="1025" width="8.88671875" style="2"/>
    <col min="1026" max="1026" width="18.6640625" style="2" bestFit="1" customWidth="1"/>
    <col min="1027" max="1030" width="8.88671875" style="2"/>
    <col min="1031" max="1031" width="12.109375" style="2" customWidth="1"/>
    <col min="1032" max="1032" width="12.88671875" style="2" customWidth="1"/>
    <col min="1033" max="1033" width="12.5546875" style="2" bestFit="1" customWidth="1"/>
    <col min="1034" max="1034" width="12.33203125" style="2" bestFit="1" customWidth="1"/>
    <col min="1035" max="1281" width="8.88671875" style="2"/>
    <col min="1282" max="1282" width="18.6640625" style="2" bestFit="1" customWidth="1"/>
    <col min="1283" max="1286" width="8.88671875" style="2"/>
    <col min="1287" max="1287" width="12.109375" style="2" customWidth="1"/>
    <col min="1288" max="1288" width="12.88671875" style="2" customWidth="1"/>
    <col min="1289" max="1289" width="12.5546875" style="2" bestFit="1" customWidth="1"/>
    <col min="1290" max="1290" width="12.33203125" style="2" bestFit="1" customWidth="1"/>
    <col min="1291" max="1537" width="8.88671875" style="2"/>
    <col min="1538" max="1538" width="18.6640625" style="2" bestFit="1" customWidth="1"/>
    <col min="1539" max="1542" width="8.88671875" style="2"/>
    <col min="1543" max="1543" width="12.109375" style="2" customWidth="1"/>
    <col min="1544" max="1544" width="12.88671875" style="2" customWidth="1"/>
    <col min="1545" max="1545" width="12.5546875" style="2" bestFit="1" customWidth="1"/>
    <col min="1546" max="1546" width="12.33203125" style="2" bestFit="1" customWidth="1"/>
    <col min="1547" max="1793" width="8.88671875" style="2"/>
    <col min="1794" max="1794" width="18.6640625" style="2" bestFit="1" customWidth="1"/>
    <col min="1795" max="1798" width="8.88671875" style="2"/>
    <col min="1799" max="1799" width="12.109375" style="2" customWidth="1"/>
    <col min="1800" max="1800" width="12.88671875" style="2" customWidth="1"/>
    <col min="1801" max="1801" width="12.5546875" style="2" bestFit="1" customWidth="1"/>
    <col min="1802" max="1802" width="12.33203125" style="2" bestFit="1" customWidth="1"/>
    <col min="1803" max="2049" width="8.88671875" style="2"/>
    <col min="2050" max="2050" width="18.6640625" style="2" bestFit="1" customWidth="1"/>
    <col min="2051" max="2054" width="8.88671875" style="2"/>
    <col min="2055" max="2055" width="12.109375" style="2" customWidth="1"/>
    <col min="2056" max="2056" width="12.88671875" style="2" customWidth="1"/>
    <col min="2057" max="2057" width="12.5546875" style="2" bestFit="1" customWidth="1"/>
    <col min="2058" max="2058" width="12.33203125" style="2" bestFit="1" customWidth="1"/>
    <col min="2059" max="2305" width="8.88671875" style="2"/>
    <col min="2306" max="2306" width="18.6640625" style="2" bestFit="1" customWidth="1"/>
    <col min="2307" max="2310" width="8.88671875" style="2"/>
    <col min="2311" max="2311" width="12.109375" style="2" customWidth="1"/>
    <col min="2312" max="2312" width="12.88671875" style="2" customWidth="1"/>
    <col min="2313" max="2313" width="12.5546875" style="2" bestFit="1" customWidth="1"/>
    <col min="2314" max="2314" width="12.33203125" style="2" bestFit="1" customWidth="1"/>
    <col min="2315" max="2561" width="8.88671875" style="2"/>
    <col min="2562" max="2562" width="18.6640625" style="2" bestFit="1" customWidth="1"/>
    <col min="2563" max="2566" width="8.88671875" style="2"/>
    <col min="2567" max="2567" width="12.109375" style="2" customWidth="1"/>
    <col min="2568" max="2568" width="12.88671875" style="2" customWidth="1"/>
    <col min="2569" max="2569" width="12.5546875" style="2" bestFit="1" customWidth="1"/>
    <col min="2570" max="2570" width="12.33203125" style="2" bestFit="1" customWidth="1"/>
    <col min="2571" max="2817" width="8.88671875" style="2"/>
    <col min="2818" max="2818" width="18.6640625" style="2" bestFit="1" customWidth="1"/>
    <col min="2819" max="2822" width="8.88671875" style="2"/>
    <col min="2823" max="2823" width="12.109375" style="2" customWidth="1"/>
    <col min="2824" max="2824" width="12.88671875" style="2" customWidth="1"/>
    <col min="2825" max="2825" width="12.5546875" style="2" bestFit="1" customWidth="1"/>
    <col min="2826" max="2826" width="12.33203125" style="2" bestFit="1" customWidth="1"/>
    <col min="2827" max="3073" width="8.88671875" style="2"/>
    <col min="3074" max="3074" width="18.6640625" style="2" bestFit="1" customWidth="1"/>
    <col min="3075" max="3078" width="8.88671875" style="2"/>
    <col min="3079" max="3079" width="12.109375" style="2" customWidth="1"/>
    <col min="3080" max="3080" width="12.88671875" style="2" customWidth="1"/>
    <col min="3081" max="3081" width="12.5546875" style="2" bestFit="1" customWidth="1"/>
    <col min="3082" max="3082" width="12.33203125" style="2" bestFit="1" customWidth="1"/>
    <col min="3083" max="3329" width="8.88671875" style="2"/>
    <col min="3330" max="3330" width="18.6640625" style="2" bestFit="1" customWidth="1"/>
    <col min="3331" max="3334" width="8.88671875" style="2"/>
    <col min="3335" max="3335" width="12.109375" style="2" customWidth="1"/>
    <col min="3336" max="3336" width="12.88671875" style="2" customWidth="1"/>
    <col min="3337" max="3337" width="12.5546875" style="2" bestFit="1" customWidth="1"/>
    <col min="3338" max="3338" width="12.33203125" style="2" bestFit="1" customWidth="1"/>
    <col min="3339" max="3585" width="8.88671875" style="2"/>
    <col min="3586" max="3586" width="18.6640625" style="2" bestFit="1" customWidth="1"/>
    <col min="3587" max="3590" width="8.88671875" style="2"/>
    <col min="3591" max="3591" width="12.109375" style="2" customWidth="1"/>
    <col min="3592" max="3592" width="12.88671875" style="2" customWidth="1"/>
    <col min="3593" max="3593" width="12.5546875" style="2" bestFit="1" customWidth="1"/>
    <col min="3594" max="3594" width="12.33203125" style="2" bestFit="1" customWidth="1"/>
    <col min="3595" max="3841" width="8.88671875" style="2"/>
    <col min="3842" max="3842" width="18.6640625" style="2" bestFit="1" customWidth="1"/>
    <col min="3843" max="3846" width="8.88671875" style="2"/>
    <col min="3847" max="3847" width="12.109375" style="2" customWidth="1"/>
    <col min="3848" max="3848" width="12.88671875" style="2" customWidth="1"/>
    <col min="3849" max="3849" width="12.5546875" style="2" bestFit="1" customWidth="1"/>
    <col min="3850" max="3850" width="12.33203125" style="2" bestFit="1" customWidth="1"/>
    <col min="3851" max="4097" width="8.88671875" style="2"/>
    <col min="4098" max="4098" width="18.6640625" style="2" bestFit="1" customWidth="1"/>
    <col min="4099" max="4102" width="8.88671875" style="2"/>
    <col min="4103" max="4103" width="12.109375" style="2" customWidth="1"/>
    <col min="4104" max="4104" width="12.88671875" style="2" customWidth="1"/>
    <col min="4105" max="4105" width="12.5546875" style="2" bestFit="1" customWidth="1"/>
    <col min="4106" max="4106" width="12.33203125" style="2" bestFit="1" customWidth="1"/>
    <col min="4107" max="4353" width="8.88671875" style="2"/>
    <col min="4354" max="4354" width="18.6640625" style="2" bestFit="1" customWidth="1"/>
    <col min="4355" max="4358" width="8.88671875" style="2"/>
    <col min="4359" max="4359" width="12.109375" style="2" customWidth="1"/>
    <col min="4360" max="4360" width="12.88671875" style="2" customWidth="1"/>
    <col min="4361" max="4361" width="12.5546875" style="2" bestFit="1" customWidth="1"/>
    <col min="4362" max="4362" width="12.33203125" style="2" bestFit="1" customWidth="1"/>
    <col min="4363" max="4609" width="8.88671875" style="2"/>
    <col min="4610" max="4610" width="18.6640625" style="2" bestFit="1" customWidth="1"/>
    <col min="4611" max="4614" width="8.88671875" style="2"/>
    <col min="4615" max="4615" width="12.109375" style="2" customWidth="1"/>
    <col min="4616" max="4616" width="12.88671875" style="2" customWidth="1"/>
    <col min="4617" max="4617" width="12.5546875" style="2" bestFit="1" customWidth="1"/>
    <col min="4618" max="4618" width="12.33203125" style="2" bestFit="1" customWidth="1"/>
    <col min="4619" max="4865" width="8.88671875" style="2"/>
    <col min="4866" max="4866" width="18.6640625" style="2" bestFit="1" customWidth="1"/>
    <col min="4867" max="4870" width="8.88671875" style="2"/>
    <col min="4871" max="4871" width="12.109375" style="2" customWidth="1"/>
    <col min="4872" max="4872" width="12.88671875" style="2" customWidth="1"/>
    <col min="4873" max="4873" width="12.5546875" style="2" bestFit="1" customWidth="1"/>
    <col min="4874" max="4874" width="12.33203125" style="2" bestFit="1" customWidth="1"/>
    <col min="4875" max="5121" width="8.88671875" style="2"/>
    <col min="5122" max="5122" width="18.6640625" style="2" bestFit="1" customWidth="1"/>
    <col min="5123" max="5126" width="8.88671875" style="2"/>
    <col min="5127" max="5127" width="12.109375" style="2" customWidth="1"/>
    <col min="5128" max="5128" width="12.88671875" style="2" customWidth="1"/>
    <col min="5129" max="5129" width="12.5546875" style="2" bestFit="1" customWidth="1"/>
    <col min="5130" max="5130" width="12.33203125" style="2" bestFit="1" customWidth="1"/>
    <col min="5131" max="5377" width="8.88671875" style="2"/>
    <col min="5378" max="5378" width="18.6640625" style="2" bestFit="1" customWidth="1"/>
    <col min="5379" max="5382" width="8.88671875" style="2"/>
    <col min="5383" max="5383" width="12.109375" style="2" customWidth="1"/>
    <col min="5384" max="5384" width="12.88671875" style="2" customWidth="1"/>
    <col min="5385" max="5385" width="12.5546875" style="2" bestFit="1" customWidth="1"/>
    <col min="5386" max="5386" width="12.33203125" style="2" bestFit="1" customWidth="1"/>
    <col min="5387" max="5633" width="8.88671875" style="2"/>
    <col min="5634" max="5634" width="18.6640625" style="2" bestFit="1" customWidth="1"/>
    <col min="5635" max="5638" width="8.88671875" style="2"/>
    <col min="5639" max="5639" width="12.109375" style="2" customWidth="1"/>
    <col min="5640" max="5640" width="12.88671875" style="2" customWidth="1"/>
    <col min="5641" max="5641" width="12.5546875" style="2" bestFit="1" customWidth="1"/>
    <col min="5642" max="5642" width="12.33203125" style="2" bestFit="1" customWidth="1"/>
    <col min="5643" max="5889" width="8.88671875" style="2"/>
    <col min="5890" max="5890" width="18.6640625" style="2" bestFit="1" customWidth="1"/>
    <col min="5891" max="5894" width="8.88671875" style="2"/>
    <col min="5895" max="5895" width="12.109375" style="2" customWidth="1"/>
    <col min="5896" max="5896" width="12.88671875" style="2" customWidth="1"/>
    <col min="5897" max="5897" width="12.5546875" style="2" bestFit="1" customWidth="1"/>
    <col min="5898" max="5898" width="12.33203125" style="2" bestFit="1" customWidth="1"/>
    <col min="5899" max="6145" width="8.88671875" style="2"/>
    <col min="6146" max="6146" width="18.6640625" style="2" bestFit="1" customWidth="1"/>
    <col min="6147" max="6150" width="8.88671875" style="2"/>
    <col min="6151" max="6151" width="12.109375" style="2" customWidth="1"/>
    <col min="6152" max="6152" width="12.88671875" style="2" customWidth="1"/>
    <col min="6153" max="6153" width="12.5546875" style="2" bestFit="1" customWidth="1"/>
    <col min="6154" max="6154" width="12.33203125" style="2" bestFit="1" customWidth="1"/>
    <col min="6155" max="6401" width="8.88671875" style="2"/>
    <col min="6402" max="6402" width="18.6640625" style="2" bestFit="1" customWidth="1"/>
    <col min="6403" max="6406" width="8.88671875" style="2"/>
    <col min="6407" max="6407" width="12.109375" style="2" customWidth="1"/>
    <col min="6408" max="6408" width="12.88671875" style="2" customWidth="1"/>
    <col min="6409" max="6409" width="12.5546875" style="2" bestFit="1" customWidth="1"/>
    <col min="6410" max="6410" width="12.33203125" style="2" bestFit="1" customWidth="1"/>
    <col min="6411" max="6657" width="8.88671875" style="2"/>
    <col min="6658" max="6658" width="18.6640625" style="2" bestFit="1" customWidth="1"/>
    <col min="6659" max="6662" width="8.88671875" style="2"/>
    <col min="6663" max="6663" width="12.109375" style="2" customWidth="1"/>
    <col min="6664" max="6664" width="12.88671875" style="2" customWidth="1"/>
    <col min="6665" max="6665" width="12.5546875" style="2" bestFit="1" customWidth="1"/>
    <col min="6666" max="6666" width="12.33203125" style="2" bestFit="1" customWidth="1"/>
    <col min="6667" max="6913" width="8.88671875" style="2"/>
    <col min="6914" max="6914" width="18.6640625" style="2" bestFit="1" customWidth="1"/>
    <col min="6915" max="6918" width="8.88671875" style="2"/>
    <col min="6919" max="6919" width="12.109375" style="2" customWidth="1"/>
    <col min="6920" max="6920" width="12.88671875" style="2" customWidth="1"/>
    <col min="6921" max="6921" width="12.5546875" style="2" bestFit="1" customWidth="1"/>
    <col min="6922" max="6922" width="12.33203125" style="2" bestFit="1" customWidth="1"/>
    <col min="6923" max="7169" width="8.88671875" style="2"/>
    <col min="7170" max="7170" width="18.6640625" style="2" bestFit="1" customWidth="1"/>
    <col min="7171" max="7174" width="8.88671875" style="2"/>
    <col min="7175" max="7175" width="12.109375" style="2" customWidth="1"/>
    <col min="7176" max="7176" width="12.88671875" style="2" customWidth="1"/>
    <col min="7177" max="7177" width="12.5546875" style="2" bestFit="1" customWidth="1"/>
    <col min="7178" max="7178" width="12.33203125" style="2" bestFit="1" customWidth="1"/>
    <col min="7179" max="7425" width="8.88671875" style="2"/>
    <col min="7426" max="7426" width="18.6640625" style="2" bestFit="1" customWidth="1"/>
    <col min="7427" max="7430" width="8.88671875" style="2"/>
    <col min="7431" max="7431" width="12.109375" style="2" customWidth="1"/>
    <col min="7432" max="7432" width="12.88671875" style="2" customWidth="1"/>
    <col min="7433" max="7433" width="12.5546875" style="2" bestFit="1" customWidth="1"/>
    <col min="7434" max="7434" width="12.33203125" style="2" bestFit="1" customWidth="1"/>
    <col min="7435" max="7681" width="8.88671875" style="2"/>
    <col min="7682" max="7682" width="18.6640625" style="2" bestFit="1" customWidth="1"/>
    <col min="7683" max="7686" width="8.88671875" style="2"/>
    <col min="7687" max="7687" width="12.109375" style="2" customWidth="1"/>
    <col min="7688" max="7688" width="12.88671875" style="2" customWidth="1"/>
    <col min="7689" max="7689" width="12.5546875" style="2" bestFit="1" customWidth="1"/>
    <col min="7690" max="7690" width="12.33203125" style="2" bestFit="1" customWidth="1"/>
    <col min="7691" max="7937" width="8.88671875" style="2"/>
    <col min="7938" max="7938" width="18.6640625" style="2" bestFit="1" customWidth="1"/>
    <col min="7939" max="7942" width="8.88671875" style="2"/>
    <col min="7943" max="7943" width="12.109375" style="2" customWidth="1"/>
    <col min="7944" max="7944" width="12.88671875" style="2" customWidth="1"/>
    <col min="7945" max="7945" width="12.5546875" style="2" bestFit="1" customWidth="1"/>
    <col min="7946" max="7946" width="12.33203125" style="2" bestFit="1" customWidth="1"/>
    <col min="7947" max="8193" width="8.88671875" style="2"/>
    <col min="8194" max="8194" width="18.6640625" style="2" bestFit="1" customWidth="1"/>
    <col min="8195" max="8198" width="8.88671875" style="2"/>
    <col min="8199" max="8199" width="12.109375" style="2" customWidth="1"/>
    <col min="8200" max="8200" width="12.88671875" style="2" customWidth="1"/>
    <col min="8201" max="8201" width="12.5546875" style="2" bestFit="1" customWidth="1"/>
    <col min="8202" max="8202" width="12.33203125" style="2" bestFit="1" customWidth="1"/>
    <col min="8203" max="8449" width="8.88671875" style="2"/>
    <col min="8450" max="8450" width="18.6640625" style="2" bestFit="1" customWidth="1"/>
    <col min="8451" max="8454" width="8.88671875" style="2"/>
    <col min="8455" max="8455" width="12.109375" style="2" customWidth="1"/>
    <col min="8456" max="8456" width="12.88671875" style="2" customWidth="1"/>
    <col min="8457" max="8457" width="12.5546875" style="2" bestFit="1" customWidth="1"/>
    <col min="8458" max="8458" width="12.33203125" style="2" bestFit="1" customWidth="1"/>
    <col min="8459" max="8705" width="8.88671875" style="2"/>
    <col min="8706" max="8706" width="18.6640625" style="2" bestFit="1" customWidth="1"/>
    <col min="8707" max="8710" width="8.88671875" style="2"/>
    <col min="8711" max="8711" width="12.109375" style="2" customWidth="1"/>
    <col min="8712" max="8712" width="12.88671875" style="2" customWidth="1"/>
    <col min="8713" max="8713" width="12.5546875" style="2" bestFit="1" customWidth="1"/>
    <col min="8714" max="8714" width="12.33203125" style="2" bestFit="1" customWidth="1"/>
    <col min="8715" max="8961" width="8.88671875" style="2"/>
    <col min="8962" max="8962" width="18.6640625" style="2" bestFit="1" customWidth="1"/>
    <col min="8963" max="8966" width="8.88671875" style="2"/>
    <col min="8967" max="8967" width="12.109375" style="2" customWidth="1"/>
    <col min="8968" max="8968" width="12.88671875" style="2" customWidth="1"/>
    <col min="8969" max="8969" width="12.5546875" style="2" bestFit="1" customWidth="1"/>
    <col min="8970" max="8970" width="12.33203125" style="2" bestFit="1" customWidth="1"/>
    <col min="8971" max="9217" width="8.88671875" style="2"/>
    <col min="9218" max="9218" width="18.6640625" style="2" bestFit="1" customWidth="1"/>
    <col min="9219" max="9222" width="8.88671875" style="2"/>
    <col min="9223" max="9223" width="12.109375" style="2" customWidth="1"/>
    <col min="9224" max="9224" width="12.88671875" style="2" customWidth="1"/>
    <col min="9225" max="9225" width="12.5546875" style="2" bestFit="1" customWidth="1"/>
    <col min="9226" max="9226" width="12.33203125" style="2" bestFit="1" customWidth="1"/>
    <col min="9227" max="9473" width="8.88671875" style="2"/>
    <col min="9474" max="9474" width="18.6640625" style="2" bestFit="1" customWidth="1"/>
    <col min="9475" max="9478" width="8.88671875" style="2"/>
    <col min="9479" max="9479" width="12.109375" style="2" customWidth="1"/>
    <col min="9480" max="9480" width="12.88671875" style="2" customWidth="1"/>
    <col min="9481" max="9481" width="12.5546875" style="2" bestFit="1" customWidth="1"/>
    <col min="9482" max="9482" width="12.33203125" style="2" bestFit="1" customWidth="1"/>
    <col min="9483" max="9729" width="8.88671875" style="2"/>
    <col min="9730" max="9730" width="18.6640625" style="2" bestFit="1" customWidth="1"/>
    <col min="9731" max="9734" width="8.88671875" style="2"/>
    <col min="9735" max="9735" width="12.109375" style="2" customWidth="1"/>
    <col min="9736" max="9736" width="12.88671875" style="2" customWidth="1"/>
    <col min="9737" max="9737" width="12.5546875" style="2" bestFit="1" customWidth="1"/>
    <col min="9738" max="9738" width="12.33203125" style="2" bestFit="1" customWidth="1"/>
    <col min="9739" max="9985" width="8.88671875" style="2"/>
    <col min="9986" max="9986" width="18.6640625" style="2" bestFit="1" customWidth="1"/>
    <col min="9987" max="9990" width="8.88671875" style="2"/>
    <col min="9991" max="9991" width="12.109375" style="2" customWidth="1"/>
    <col min="9992" max="9992" width="12.88671875" style="2" customWidth="1"/>
    <col min="9993" max="9993" width="12.5546875" style="2" bestFit="1" customWidth="1"/>
    <col min="9994" max="9994" width="12.33203125" style="2" bestFit="1" customWidth="1"/>
    <col min="9995" max="10241" width="8.88671875" style="2"/>
    <col min="10242" max="10242" width="18.6640625" style="2" bestFit="1" customWidth="1"/>
    <col min="10243" max="10246" width="8.88671875" style="2"/>
    <col min="10247" max="10247" width="12.109375" style="2" customWidth="1"/>
    <col min="10248" max="10248" width="12.88671875" style="2" customWidth="1"/>
    <col min="10249" max="10249" width="12.5546875" style="2" bestFit="1" customWidth="1"/>
    <col min="10250" max="10250" width="12.33203125" style="2" bestFit="1" customWidth="1"/>
    <col min="10251" max="10497" width="8.88671875" style="2"/>
    <col min="10498" max="10498" width="18.6640625" style="2" bestFit="1" customWidth="1"/>
    <col min="10499" max="10502" width="8.88671875" style="2"/>
    <col min="10503" max="10503" width="12.109375" style="2" customWidth="1"/>
    <col min="10504" max="10504" width="12.88671875" style="2" customWidth="1"/>
    <col min="10505" max="10505" width="12.5546875" style="2" bestFit="1" customWidth="1"/>
    <col min="10506" max="10506" width="12.33203125" style="2" bestFit="1" customWidth="1"/>
    <col min="10507" max="10753" width="8.88671875" style="2"/>
    <col min="10754" max="10754" width="18.6640625" style="2" bestFit="1" customWidth="1"/>
    <col min="10755" max="10758" width="8.88671875" style="2"/>
    <col min="10759" max="10759" width="12.109375" style="2" customWidth="1"/>
    <col min="10760" max="10760" width="12.88671875" style="2" customWidth="1"/>
    <col min="10761" max="10761" width="12.5546875" style="2" bestFit="1" customWidth="1"/>
    <col min="10762" max="10762" width="12.33203125" style="2" bestFit="1" customWidth="1"/>
    <col min="10763" max="11009" width="8.88671875" style="2"/>
    <col min="11010" max="11010" width="18.6640625" style="2" bestFit="1" customWidth="1"/>
    <col min="11011" max="11014" width="8.88671875" style="2"/>
    <col min="11015" max="11015" width="12.109375" style="2" customWidth="1"/>
    <col min="11016" max="11016" width="12.88671875" style="2" customWidth="1"/>
    <col min="11017" max="11017" width="12.5546875" style="2" bestFit="1" customWidth="1"/>
    <col min="11018" max="11018" width="12.33203125" style="2" bestFit="1" customWidth="1"/>
    <col min="11019" max="11265" width="8.88671875" style="2"/>
    <col min="11266" max="11266" width="18.6640625" style="2" bestFit="1" customWidth="1"/>
    <col min="11267" max="11270" width="8.88671875" style="2"/>
    <col min="11271" max="11271" width="12.109375" style="2" customWidth="1"/>
    <col min="11272" max="11272" width="12.88671875" style="2" customWidth="1"/>
    <col min="11273" max="11273" width="12.5546875" style="2" bestFit="1" customWidth="1"/>
    <col min="11274" max="11274" width="12.33203125" style="2" bestFit="1" customWidth="1"/>
    <col min="11275" max="11521" width="8.88671875" style="2"/>
    <col min="11522" max="11522" width="18.6640625" style="2" bestFit="1" customWidth="1"/>
    <col min="11523" max="11526" width="8.88671875" style="2"/>
    <col min="11527" max="11527" width="12.109375" style="2" customWidth="1"/>
    <col min="11528" max="11528" width="12.88671875" style="2" customWidth="1"/>
    <col min="11529" max="11529" width="12.5546875" style="2" bestFit="1" customWidth="1"/>
    <col min="11530" max="11530" width="12.33203125" style="2" bestFit="1" customWidth="1"/>
    <col min="11531" max="11777" width="8.88671875" style="2"/>
    <col min="11778" max="11778" width="18.6640625" style="2" bestFit="1" customWidth="1"/>
    <col min="11779" max="11782" width="8.88671875" style="2"/>
    <col min="11783" max="11783" width="12.109375" style="2" customWidth="1"/>
    <col min="11784" max="11784" width="12.88671875" style="2" customWidth="1"/>
    <col min="11785" max="11785" width="12.5546875" style="2" bestFit="1" customWidth="1"/>
    <col min="11786" max="11786" width="12.33203125" style="2" bestFit="1" customWidth="1"/>
    <col min="11787" max="12033" width="8.88671875" style="2"/>
    <col min="12034" max="12034" width="18.6640625" style="2" bestFit="1" customWidth="1"/>
    <col min="12035" max="12038" width="8.88671875" style="2"/>
    <col min="12039" max="12039" width="12.109375" style="2" customWidth="1"/>
    <col min="12040" max="12040" width="12.88671875" style="2" customWidth="1"/>
    <col min="12041" max="12041" width="12.5546875" style="2" bestFit="1" customWidth="1"/>
    <col min="12042" max="12042" width="12.33203125" style="2" bestFit="1" customWidth="1"/>
    <col min="12043" max="12289" width="8.88671875" style="2"/>
    <col min="12290" max="12290" width="18.6640625" style="2" bestFit="1" customWidth="1"/>
    <col min="12291" max="12294" width="8.88671875" style="2"/>
    <col min="12295" max="12295" width="12.109375" style="2" customWidth="1"/>
    <col min="12296" max="12296" width="12.88671875" style="2" customWidth="1"/>
    <col min="12297" max="12297" width="12.5546875" style="2" bestFit="1" customWidth="1"/>
    <col min="12298" max="12298" width="12.33203125" style="2" bestFit="1" customWidth="1"/>
    <col min="12299" max="12545" width="8.88671875" style="2"/>
    <col min="12546" max="12546" width="18.6640625" style="2" bestFit="1" customWidth="1"/>
    <col min="12547" max="12550" width="8.88671875" style="2"/>
    <col min="12551" max="12551" width="12.109375" style="2" customWidth="1"/>
    <col min="12552" max="12552" width="12.88671875" style="2" customWidth="1"/>
    <col min="12553" max="12553" width="12.5546875" style="2" bestFit="1" customWidth="1"/>
    <col min="12554" max="12554" width="12.33203125" style="2" bestFit="1" customWidth="1"/>
    <col min="12555" max="12801" width="8.88671875" style="2"/>
    <col min="12802" max="12802" width="18.6640625" style="2" bestFit="1" customWidth="1"/>
    <col min="12803" max="12806" width="8.88671875" style="2"/>
    <col min="12807" max="12807" width="12.109375" style="2" customWidth="1"/>
    <col min="12808" max="12808" width="12.88671875" style="2" customWidth="1"/>
    <col min="12809" max="12809" width="12.5546875" style="2" bestFit="1" customWidth="1"/>
    <col min="12810" max="12810" width="12.33203125" style="2" bestFit="1" customWidth="1"/>
    <col min="12811" max="13057" width="8.88671875" style="2"/>
    <col min="13058" max="13058" width="18.6640625" style="2" bestFit="1" customWidth="1"/>
    <col min="13059" max="13062" width="8.88671875" style="2"/>
    <col min="13063" max="13063" width="12.109375" style="2" customWidth="1"/>
    <col min="13064" max="13064" width="12.88671875" style="2" customWidth="1"/>
    <col min="13065" max="13065" width="12.5546875" style="2" bestFit="1" customWidth="1"/>
    <col min="13066" max="13066" width="12.33203125" style="2" bestFit="1" customWidth="1"/>
    <col min="13067" max="13313" width="8.88671875" style="2"/>
    <col min="13314" max="13314" width="18.6640625" style="2" bestFit="1" customWidth="1"/>
    <col min="13315" max="13318" width="8.88671875" style="2"/>
    <col min="13319" max="13319" width="12.109375" style="2" customWidth="1"/>
    <col min="13320" max="13320" width="12.88671875" style="2" customWidth="1"/>
    <col min="13321" max="13321" width="12.5546875" style="2" bestFit="1" customWidth="1"/>
    <col min="13322" max="13322" width="12.33203125" style="2" bestFit="1" customWidth="1"/>
    <col min="13323" max="13569" width="8.88671875" style="2"/>
    <col min="13570" max="13570" width="18.6640625" style="2" bestFit="1" customWidth="1"/>
    <col min="13571" max="13574" width="8.88671875" style="2"/>
    <col min="13575" max="13575" width="12.109375" style="2" customWidth="1"/>
    <col min="13576" max="13576" width="12.88671875" style="2" customWidth="1"/>
    <col min="13577" max="13577" width="12.5546875" style="2" bestFit="1" customWidth="1"/>
    <col min="13578" max="13578" width="12.33203125" style="2" bestFit="1" customWidth="1"/>
    <col min="13579" max="13825" width="8.88671875" style="2"/>
    <col min="13826" max="13826" width="18.6640625" style="2" bestFit="1" customWidth="1"/>
    <col min="13827" max="13830" width="8.88671875" style="2"/>
    <col min="13831" max="13831" width="12.109375" style="2" customWidth="1"/>
    <col min="13832" max="13832" width="12.88671875" style="2" customWidth="1"/>
    <col min="13833" max="13833" width="12.5546875" style="2" bestFit="1" customWidth="1"/>
    <col min="13834" max="13834" width="12.33203125" style="2" bestFit="1" customWidth="1"/>
    <col min="13835" max="14081" width="8.88671875" style="2"/>
    <col min="14082" max="14082" width="18.6640625" style="2" bestFit="1" customWidth="1"/>
    <col min="14083" max="14086" width="8.88671875" style="2"/>
    <col min="14087" max="14087" width="12.109375" style="2" customWidth="1"/>
    <col min="14088" max="14088" width="12.88671875" style="2" customWidth="1"/>
    <col min="14089" max="14089" width="12.5546875" style="2" bestFit="1" customWidth="1"/>
    <col min="14090" max="14090" width="12.33203125" style="2" bestFit="1" customWidth="1"/>
    <col min="14091" max="14337" width="8.88671875" style="2"/>
    <col min="14338" max="14338" width="18.6640625" style="2" bestFit="1" customWidth="1"/>
    <col min="14339" max="14342" width="8.88671875" style="2"/>
    <col min="14343" max="14343" width="12.109375" style="2" customWidth="1"/>
    <col min="14344" max="14344" width="12.88671875" style="2" customWidth="1"/>
    <col min="14345" max="14345" width="12.5546875" style="2" bestFit="1" customWidth="1"/>
    <col min="14346" max="14346" width="12.33203125" style="2" bestFit="1" customWidth="1"/>
    <col min="14347" max="14593" width="8.88671875" style="2"/>
    <col min="14594" max="14594" width="18.6640625" style="2" bestFit="1" customWidth="1"/>
    <col min="14595" max="14598" width="8.88671875" style="2"/>
    <col min="14599" max="14599" width="12.109375" style="2" customWidth="1"/>
    <col min="14600" max="14600" width="12.88671875" style="2" customWidth="1"/>
    <col min="14601" max="14601" width="12.5546875" style="2" bestFit="1" customWidth="1"/>
    <col min="14602" max="14602" width="12.33203125" style="2" bestFit="1" customWidth="1"/>
    <col min="14603" max="14849" width="8.88671875" style="2"/>
    <col min="14850" max="14850" width="18.6640625" style="2" bestFit="1" customWidth="1"/>
    <col min="14851" max="14854" width="8.88671875" style="2"/>
    <col min="14855" max="14855" width="12.109375" style="2" customWidth="1"/>
    <col min="14856" max="14856" width="12.88671875" style="2" customWidth="1"/>
    <col min="14857" max="14857" width="12.5546875" style="2" bestFit="1" customWidth="1"/>
    <col min="14858" max="14858" width="12.33203125" style="2" bestFit="1" customWidth="1"/>
    <col min="14859" max="15105" width="8.88671875" style="2"/>
    <col min="15106" max="15106" width="18.6640625" style="2" bestFit="1" customWidth="1"/>
    <col min="15107" max="15110" width="8.88671875" style="2"/>
    <col min="15111" max="15111" width="12.109375" style="2" customWidth="1"/>
    <col min="15112" max="15112" width="12.88671875" style="2" customWidth="1"/>
    <col min="15113" max="15113" width="12.5546875" style="2" bestFit="1" customWidth="1"/>
    <col min="15114" max="15114" width="12.33203125" style="2" bestFit="1" customWidth="1"/>
    <col min="15115" max="15361" width="8.88671875" style="2"/>
    <col min="15362" max="15362" width="18.6640625" style="2" bestFit="1" customWidth="1"/>
    <col min="15363" max="15366" width="8.88671875" style="2"/>
    <col min="15367" max="15367" width="12.109375" style="2" customWidth="1"/>
    <col min="15368" max="15368" width="12.88671875" style="2" customWidth="1"/>
    <col min="15369" max="15369" width="12.5546875" style="2" bestFit="1" customWidth="1"/>
    <col min="15370" max="15370" width="12.33203125" style="2" bestFit="1" customWidth="1"/>
    <col min="15371" max="15617" width="8.88671875" style="2"/>
    <col min="15618" max="15618" width="18.6640625" style="2" bestFit="1" customWidth="1"/>
    <col min="15619" max="15622" width="8.88671875" style="2"/>
    <col min="15623" max="15623" width="12.109375" style="2" customWidth="1"/>
    <col min="15624" max="15624" width="12.88671875" style="2" customWidth="1"/>
    <col min="15625" max="15625" width="12.5546875" style="2" bestFit="1" customWidth="1"/>
    <col min="15626" max="15626" width="12.33203125" style="2" bestFit="1" customWidth="1"/>
    <col min="15627" max="15873" width="8.88671875" style="2"/>
    <col min="15874" max="15874" width="18.6640625" style="2" bestFit="1" customWidth="1"/>
    <col min="15875" max="15878" width="8.88671875" style="2"/>
    <col min="15879" max="15879" width="12.109375" style="2" customWidth="1"/>
    <col min="15880" max="15880" width="12.88671875" style="2" customWidth="1"/>
    <col min="15881" max="15881" width="12.5546875" style="2" bestFit="1" customWidth="1"/>
    <col min="15882" max="15882" width="12.33203125" style="2" bestFit="1" customWidth="1"/>
    <col min="15883" max="16129" width="8.88671875" style="2"/>
    <col min="16130" max="16130" width="18.6640625" style="2" bestFit="1" customWidth="1"/>
    <col min="16131" max="16134" width="8.88671875" style="2"/>
    <col min="16135" max="16135" width="12.109375" style="2" customWidth="1"/>
    <col min="16136" max="16136" width="12.88671875" style="2" customWidth="1"/>
    <col min="16137" max="16137" width="12.5546875" style="2" bestFit="1" customWidth="1"/>
    <col min="16138" max="16138" width="12.33203125" style="2" bestFit="1" customWidth="1"/>
    <col min="16139" max="16384" width="8.88671875" style="2"/>
  </cols>
  <sheetData>
    <row r="1" spans="1:11" ht="45" customHeight="1" x14ac:dyDescent="0.25">
      <c r="A1" s="1" t="s">
        <v>0</v>
      </c>
      <c r="B1" s="1"/>
      <c r="C1" s="1"/>
      <c r="D1" s="1"/>
      <c r="E1" s="1"/>
      <c r="F1" s="1"/>
    </row>
    <row r="2" spans="1:11" x14ac:dyDescent="0.25">
      <c r="A2" s="2" t="s">
        <v>1</v>
      </c>
      <c r="B2" s="3">
        <f>INTERCEPT(E11:E70,F11:F70)</f>
        <v>-2.9173232533321715E-3</v>
      </c>
      <c r="C2" s="2" t="str">
        <f ca="1">[1]!getformula(B2)</f>
        <v>&lt;--  =INTERCEPT(E11:E70,F11:F70)</v>
      </c>
    </row>
    <row r="3" spans="1:11" x14ac:dyDescent="0.25">
      <c r="A3" s="2" t="s">
        <v>2</v>
      </c>
      <c r="B3" s="3">
        <f>SLOPE(E11:E70,F11:F70)</f>
        <v>2.2516049448723261</v>
      </c>
      <c r="C3" s="2" t="str">
        <f ca="1">[1]!getformula(B3)</f>
        <v>&lt;--  =SLOPE(E11:E70,F11:F70)</v>
      </c>
    </row>
    <row r="4" spans="1:11" x14ac:dyDescent="0.25">
      <c r="A4" s="2" t="s">
        <v>3</v>
      </c>
      <c r="B4" s="3">
        <f>RSQ(E11:E70,F11:F70)</f>
        <v>0.53042330220399059</v>
      </c>
      <c r="C4" s="2" t="str">
        <f ca="1">[1]!getformula(B4)</f>
        <v>&lt;--  =RSQ(E11:E70,F11:F70)</v>
      </c>
    </row>
    <row r="5" spans="1:11" x14ac:dyDescent="0.25">
      <c r="A5" s="2" t="s">
        <v>4</v>
      </c>
      <c r="B5" s="3">
        <f>[1]!tintercept(E11:E70,F11:F70)</f>
        <v>-0.24376210222256453</v>
      </c>
      <c r="C5" s="2" t="str">
        <f ca="1">[1]!getformula(B5)</f>
        <v>&lt;--  =tintercept(E11:E70,F11:F70)</v>
      </c>
    </row>
    <row r="6" spans="1:11" x14ac:dyDescent="0.25">
      <c r="A6" s="2" t="s">
        <v>5</v>
      </c>
      <c r="B6" s="3">
        <f>[1]!tslope(E11:E70,F11:F70)</f>
        <v>8.0941644835556392</v>
      </c>
      <c r="C6" s="2" t="str">
        <f ca="1">[1]!getformula(B6)</f>
        <v>&lt;--  =tslope(E11:E70,F11:F70)</v>
      </c>
    </row>
    <row r="8" spans="1:11" x14ac:dyDescent="0.25">
      <c r="B8" s="4" t="s">
        <v>6</v>
      </c>
      <c r="C8" s="4"/>
      <c r="E8" s="4" t="s">
        <v>7</v>
      </c>
      <c r="F8" s="4"/>
    </row>
    <row r="9" spans="1:11" x14ac:dyDescent="0.25">
      <c r="A9" s="5" t="s">
        <v>8</v>
      </c>
      <c r="B9" s="5" t="s">
        <v>9</v>
      </c>
      <c r="C9" s="5" t="s">
        <v>10</v>
      </c>
      <c r="E9" s="5" t="s">
        <v>9</v>
      </c>
      <c r="F9" s="5" t="s">
        <v>10</v>
      </c>
      <c r="K9" s="6" t="s">
        <v>11</v>
      </c>
    </row>
    <row r="10" spans="1:11" x14ac:dyDescent="0.25">
      <c r="A10" s="12">
        <v>36900</v>
      </c>
      <c r="B10" s="7">
        <v>35.380000000000003</v>
      </c>
      <c r="C10" s="2">
        <v>1366.01</v>
      </c>
    </row>
    <row r="11" spans="1:11" x14ac:dyDescent="0.25">
      <c r="A11" s="12">
        <v>36923</v>
      </c>
      <c r="B11" s="7">
        <v>27.32</v>
      </c>
      <c r="C11" s="2">
        <v>1239.94</v>
      </c>
      <c r="E11" s="3">
        <f t="shared" ref="E11:F42" si="0">LN(B11/B10)</f>
        <v>-0.25852765402904992</v>
      </c>
      <c r="F11" s="3">
        <f t="shared" si="0"/>
        <v>-9.6831090416541171E-2</v>
      </c>
      <c r="G11" s="2" t="str">
        <f ca="1">[1]!getformula(F11)</f>
        <v>&lt;--  =LN(C11/C10)</v>
      </c>
    </row>
    <row r="12" spans="1:11" x14ac:dyDescent="0.25">
      <c r="A12" s="12">
        <v>36951</v>
      </c>
      <c r="B12" s="7">
        <v>25.17</v>
      </c>
      <c r="C12" s="2">
        <v>1160.33</v>
      </c>
      <c r="E12" s="3">
        <f t="shared" si="0"/>
        <v>-8.1966225555364772E-2</v>
      </c>
      <c r="F12" s="3">
        <f t="shared" si="0"/>
        <v>-6.635854393013127E-2</v>
      </c>
      <c r="G12" s="2" t="str">
        <f ca="1">[1]!getformula(F12)</f>
        <v>&lt;--  =LN(C12/C11)</v>
      </c>
    </row>
    <row r="13" spans="1:11" x14ac:dyDescent="0.25">
      <c r="A13" s="12">
        <v>36983</v>
      </c>
      <c r="B13" s="7">
        <v>29.57</v>
      </c>
      <c r="C13" s="2">
        <v>1249.46</v>
      </c>
      <c r="E13" s="3">
        <f t="shared" si="0"/>
        <v>0.1611075247171613</v>
      </c>
      <c r="F13" s="3">
        <f t="shared" si="0"/>
        <v>7.4007010555980454E-2</v>
      </c>
      <c r="G13" s="2" t="str">
        <f ca="1">[1]!getformula(F13)</f>
        <v>&lt;--  =LN(C13/C12)</v>
      </c>
    </row>
    <row r="14" spans="1:11" x14ac:dyDescent="0.25">
      <c r="A14" s="12">
        <v>37012</v>
      </c>
      <c r="B14" s="7">
        <v>25.86</v>
      </c>
      <c r="C14" s="2">
        <v>1255.82</v>
      </c>
      <c r="E14" s="3">
        <f t="shared" si="0"/>
        <v>-0.13406296052067446</v>
      </c>
      <c r="F14" s="3">
        <f t="shared" si="0"/>
        <v>5.0772876986084174E-3</v>
      </c>
    </row>
    <row r="15" spans="1:11" x14ac:dyDescent="0.25">
      <c r="A15" s="12">
        <v>37043</v>
      </c>
      <c r="B15" s="7">
        <v>28</v>
      </c>
      <c r="C15" s="2">
        <v>1224.3800000000001</v>
      </c>
      <c r="E15" s="3">
        <f t="shared" si="0"/>
        <v>7.9507136831492492E-2</v>
      </c>
      <c r="F15" s="3">
        <f t="shared" si="0"/>
        <v>-2.5354152249423972E-2</v>
      </c>
    </row>
    <row r="16" spans="1:11" x14ac:dyDescent="0.25">
      <c r="A16" s="12">
        <v>37074</v>
      </c>
      <c r="B16" s="7">
        <v>28.54</v>
      </c>
      <c r="C16" s="2">
        <v>1211.23</v>
      </c>
      <c r="E16" s="3">
        <f t="shared" si="0"/>
        <v>1.9102101873486498E-2</v>
      </c>
      <c r="F16" s="3">
        <f t="shared" si="0"/>
        <v>-1.0798221205900169E-2</v>
      </c>
    </row>
    <row r="17" spans="1:6" hidden="1" x14ac:dyDescent="0.25">
      <c r="A17" s="12">
        <v>37104</v>
      </c>
      <c r="B17" s="7">
        <v>26.78</v>
      </c>
      <c r="C17" s="2">
        <v>1133.58</v>
      </c>
      <c r="E17" s="3">
        <f t="shared" si="0"/>
        <v>-6.3651271785663807E-2</v>
      </c>
      <c r="F17" s="3">
        <f t="shared" si="0"/>
        <v>-6.6255605887467039E-2</v>
      </c>
    </row>
    <row r="18" spans="1:6" hidden="1" x14ac:dyDescent="0.25">
      <c r="A18" s="12">
        <v>37138</v>
      </c>
      <c r="B18" s="7">
        <v>19.579999999999998</v>
      </c>
      <c r="C18" s="2">
        <v>1040.94</v>
      </c>
      <c r="E18" s="3">
        <f t="shared" si="0"/>
        <v>-0.31314670316066234</v>
      </c>
      <c r="F18" s="3">
        <f t="shared" si="0"/>
        <v>-8.5256615246989922E-2</v>
      </c>
    </row>
    <row r="19" spans="1:6" hidden="1" x14ac:dyDescent="0.25">
      <c r="A19" s="12">
        <v>37165</v>
      </c>
      <c r="B19" s="7">
        <v>23.39</v>
      </c>
      <c r="C19" s="2">
        <v>1059.78</v>
      </c>
      <c r="E19" s="3">
        <f t="shared" si="0"/>
        <v>0.17779994349372341</v>
      </c>
      <c r="F19" s="3">
        <f t="shared" si="0"/>
        <v>1.7937188329115412E-2</v>
      </c>
    </row>
    <row r="20" spans="1:6" hidden="1" x14ac:dyDescent="0.25">
      <c r="A20" s="12">
        <v>37196</v>
      </c>
      <c r="B20" s="7">
        <v>31.31</v>
      </c>
      <c r="C20" s="2">
        <v>1139.45</v>
      </c>
      <c r="E20" s="3">
        <f t="shared" si="0"/>
        <v>0.29162895474222661</v>
      </c>
      <c r="F20" s="3">
        <f t="shared" si="0"/>
        <v>7.2484350433373146E-2</v>
      </c>
    </row>
    <row r="21" spans="1:6" hidden="1" x14ac:dyDescent="0.25">
      <c r="A21" s="12">
        <v>37228</v>
      </c>
      <c r="B21" s="7">
        <v>30.15</v>
      </c>
      <c r="C21" s="2">
        <v>1148.08</v>
      </c>
      <c r="E21" s="3">
        <f t="shared" si="0"/>
        <v>-3.775261216511986E-2</v>
      </c>
      <c r="F21" s="3">
        <f t="shared" si="0"/>
        <v>7.545292033896033E-3</v>
      </c>
    </row>
    <row r="22" spans="1:6" hidden="1" x14ac:dyDescent="0.25">
      <c r="A22" s="12">
        <v>37258</v>
      </c>
      <c r="B22" s="7">
        <v>33.590000000000003</v>
      </c>
      <c r="C22" s="2">
        <v>1130.2</v>
      </c>
      <c r="E22" s="3">
        <f t="shared" si="0"/>
        <v>0.1080434804510071</v>
      </c>
      <c r="F22" s="3">
        <f t="shared" si="0"/>
        <v>-1.5696373666933345E-2</v>
      </c>
    </row>
    <row r="23" spans="1:6" hidden="1" x14ac:dyDescent="0.25">
      <c r="A23" s="12">
        <v>37288</v>
      </c>
      <c r="B23" s="7">
        <v>27.38</v>
      </c>
      <c r="C23" s="2">
        <v>1106.73</v>
      </c>
      <c r="E23" s="3">
        <f t="shared" si="0"/>
        <v>-0.20441558376389865</v>
      </c>
      <c r="F23" s="3">
        <f t="shared" si="0"/>
        <v>-2.0984886675167722E-2</v>
      </c>
    </row>
    <row r="24" spans="1:6" hidden="1" x14ac:dyDescent="0.25">
      <c r="A24" s="12">
        <v>37316</v>
      </c>
      <c r="B24" s="7">
        <v>29.17</v>
      </c>
      <c r="C24" s="2">
        <v>1147.3900000000001</v>
      </c>
      <c r="E24" s="3">
        <f t="shared" si="0"/>
        <v>6.3327964019327276E-2</v>
      </c>
      <c r="F24" s="3">
        <f t="shared" si="0"/>
        <v>3.6080076252758407E-2</v>
      </c>
    </row>
    <row r="25" spans="1:6" hidden="1" x14ac:dyDescent="0.25">
      <c r="A25" s="12">
        <v>37347</v>
      </c>
      <c r="B25" s="7">
        <v>27.44</v>
      </c>
      <c r="C25" s="2">
        <v>1076.92</v>
      </c>
      <c r="E25" s="3">
        <f t="shared" si="0"/>
        <v>-6.11389810219456E-2</v>
      </c>
      <c r="F25" s="3">
        <f t="shared" si="0"/>
        <v>-6.3384682784413518E-2</v>
      </c>
    </row>
    <row r="26" spans="1:6" hidden="1" x14ac:dyDescent="0.25">
      <c r="A26" s="12">
        <v>37377</v>
      </c>
      <c r="B26" s="7">
        <v>26.51</v>
      </c>
      <c r="C26" s="2">
        <v>1067.1400000000001</v>
      </c>
      <c r="E26" s="3">
        <f t="shared" si="0"/>
        <v>-3.4479782556750341E-2</v>
      </c>
      <c r="F26" s="3">
        <f t="shared" si="0"/>
        <v>-9.122942297125956E-3</v>
      </c>
    </row>
    <row r="27" spans="1:6" hidden="1" x14ac:dyDescent="0.25">
      <c r="A27" s="12">
        <v>37410</v>
      </c>
      <c r="B27" s="7">
        <v>17.54</v>
      </c>
      <c r="C27" s="2">
        <v>989.82</v>
      </c>
      <c r="E27" s="3">
        <f t="shared" si="0"/>
        <v>-0.41303803335689737</v>
      </c>
      <c r="F27" s="3">
        <f t="shared" si="0"/>
        <v>-7.5214343275906148E-2</v>
      </c>
    </row>
    <row r="28" spans="1:6" hidden="1" x14ac:dyDescent="0.25">
      <c r="A28" s="12">
        <v>37438</v>
      </c>
      <c r="B28" s="7">
        <v>18.04</v>
      </c>
      <c r="C28" s="2">
        <v>911.62</v>
      </c>
      <c r="E28" s="3">
        <f t="shared" si="0"/>
        <v>2.8107527690440601E-2</v>
      </c>
      <c r="F28" s="3">
        <f t="shared" si="0"/>
        <v>-8.2299871837899052E-2</v>
      </c>
    </row>
    <row r="29" spans="1:6" hidden="1" x14ac:dyDescent="0.25">
      <c r="A29" s="12">
        <v>37469</v>
      </c>
      <c r="B29" s="7">
        <v>16.02</v>
      </c>
      <c r="C29" s="2">
        <v>916.07</v>
      </c>
      <c r="E29" s="3">
        <f t="shared" si="0"/>
        <v>-0.11875357299426439</v>
      </c>
      <c r="F29" s="3">
        <f t="shared" si="0"/>
        <v>4.8695443903156652E-3</v>
      </c>
    </row>
    <row r="30" spans="1:6" hidden="1" x14ac:dyDescent="0.25">
      <c r="A30" s="12">
        <v>37502</v>
      </c>
      <c r="B30" s="7">
        <v>13.35</v>
      </c>
      <c r="C30" s="2">
        <v>815.28</v>
      </c>
      <c r="E30" s="3">
        <f t="shared" si="0"/>
        <v>-0.18232155679395459</v>
      </c>
      <c r="F30" s="3">
        <f t="shared" si="0"/>
        <v>-0.11656116844786664</v>
      </c>
    </row>
    <row r="31" spans="1:6" hidden="1" x14ac:dyDescent="0.25">
      <c r="A31" s="12">
        <v>37530</v>
      </c>
      <c r="B31" s="7">
        <v>16.62</v>
      </c>
      <c r="C31" s="2">
        <v>885.76</v>
      </c>
      <c r="E31" s="3">
        <f t="shared" si="0"/>
        <v>0.21909040458104365</v>
      </c>
      <c r="F31" s="3">
        <f t="shared" si="0"/>
        <v>8.2914421028757151E-2</v>
      </c>
    </row>
    <row r="32" spans="1:6" hidden="1" x14ac:dyDescent="0.25">
      <c r="A32" s="12">
        <v>37561</v>
      </c>
      <c r="B32" s="7">
        <v>20.09</v>
      </c>
      <c r="C32" s="2">
        <v>936.31</v>
      </c>
      <c r="E32" s="3">
        <f t="shared" si="0"/>
        <v>0.18961538939954087</v>
      </c>
      <c r="F32" s="3">
        <f t="shared" si="0"/>
        <v>5.550058467611222E-2</v>
      </c>
    </row>
    <row r="33" spans="1:6" hidden="1" x14ac:dyDescent="0.25">
      <c r="A33" s="12">
        <v>37592</v>
      </c>
      <c r="B33" s="7">
        <v>14.98</v>
      </c>
      <c r="C33" s="2">
        <v>879.82</v>
      </c>
      <c r="E33" s="3">
        <f t="shared" si="0"/>
        <v>-0.29350620073776967</v>
      </c>
      <c r="F33" s="3">
        <f t="shared" si="0"/>
        <v>-6.2229277129875436E-2</v>
      </c>
    </row>
    <row r="34" spans="1:6" hidden="1" x14ac:dyDescent="0.25">
      <c r="A34" s="12">
        <v>37623</v>
      </c>
      <c r="B34" s="7">
        <v>15.06</v>
      </c>
      <c r="C34" s="2">
        <v>855.7</v>
      </c>
      <c r="E34" s="3">
        <f t="shared" si="0"/>
        <v>5.3262442826741627E-3</v>
      </c>
      <c r="F34" s="3">
        <f t="shared" si="0"/>
        <v>-2.7797493671422965E-2</v>
      </c>
    </row>
    <row r="35" spans="1:6" hidden="1" x14ac:dyDescent="0.25">
      <c r="A35" s="12">
        <v>37655</v>
      </c>
      <c r="B35" s="7">
        <v>16.62</v>
      </c>
      <c r="C35" s="2">
        <v>841.15</v>
      </c>
      <c r="E35" s="3">
        <f t="shared" si="0"/>
        <v>9.8564567055554733E-2</v>
      </c>
      <c r="F35" s="3">
        <f t="shared" si="0"/>
        <v>-1.7149844258839787E-2</v>
      </c>
    </row>
    <row r="36" spans="1:6" hidden="1" x14ac:dyDescent="0.25">
      <c r="A36" s="12">
        <v>37683</v>
      </c>
      <c r="B36" s="7">
        <v>15.68</v>
      </c>
      <c r="C36" s="2">
        <v>848.18</v>
      </c>
      <c r="E36" s="3">
        <f t="shared" si="0"/>
        <v>-5.8220774505040408E-2</v>
      </c>
      <c r="F36" s="3">
        <f t="shared" si="0"/>
        <v>8.3228742528296627E-3</v>
      </c>
    </row>
    <row r="37" spans="1:6" hidden="1" x14ac:dyDescent="0.25">
      <c r="A37" s="12">
        <v>37712</v>
      </c>
      <c r="B37" s="7">
        <v>17.72</v>
      </c>
      <c r="C37" s="2">
        <v>916.92</v>
      </c>
      <c r="E37" s="3">
        <f t="shared" si="0"/>
        <v>0.12230793025467306</v>
      </c>
      <c r="F37" s="3">
        <f t="shared" si="0"/>
        <v>7.7927350029476733E-2</v>
      </c>
    </row>
    <row r="38" spans="1:6" hidden="1" x14ac:dyDescent="0.25">
      <c r="A38" s="12">
        <v>37742</v>
      </c>
      <c r="B38" s="7">
        <v>20.079999999999998</v>
      </c>
      <c r="C38" s="2">
        <v>963.59</v>
      </c>
      <c r="E38" s="3">
        <f t="shared" si="0"/>
        <v>0.12503034964659357</v>
      </c>
      <c r="F38" s="3">
        <f t="shared" si="0"/>
        <v>4.9645665489287727E-2</v>
      </c>
    </row>
    <row r="39" spans="1:6" hidden="1" x14ac:dyDescent="0.25">
      <c r="A39" s="12">
        <v>37774</v>
      </c>
      <c r="B39" s="7">
        <v>20.07</v>
      </c>
      <c r="C39" s="2">
        <v>974.5</v>
      </c>
      <c r="E39" s="3">
        <f t="shared" si="0"/>
        <v>-4.9813201528156148E-4</v>
      </c>
      <c r="F39" s="3">
        <f t="shared" si="0"/>
        <v>1.125862601085219E-2</v>
      </c>
    </row>
    <row r="40" spans="1:6" hidden="1" x14ac:dyDescent="0.25">
      <c r="A40" s="12">
        <v>37803</v>
      </c>
      <c r="B40" s="7">
        <v>24</v>
      </c>
      <c r="C40" s="2">
        <v>990.31</v>
      </c>
      <c r="E40" s="3">
        <f t="shared" si="0"/>
        <v>0.17882766753969889</v>
      </c>
      <c r="F40" s="3">
        <f t="shared" si="0"/>
        <v>1.6093506478773681E-2</v>
      </c>
    </row>
    <row r="41" spans="1:6" hidden="1" x14ac:dyDescent="0.25">
      <c r="A41" s="12">
        <v>37834</v>
      </c>
      <c r="B41" s="7">
        <v>27.59</v>
      </c>
      <c r="C41" s="2">
        <v>1008.01</v>
      </c>
      <c r="E41" s="3">
        <f t="shared" si="0"/>
        <v>0.13939955788124916</v>
      </c>
      <c r="F41" s="3">
        <f t="shared" si="0"/>
        <v>1.7715343790636197E-2</v>
      </c>
    </row>
    <row r="42" spans="1:6" hidden="1" x14ac:dyDescent="0.25">
      <c r="A42" s="12">
        <v>37866</v>
      </c>
      <c r="B42" s="7">
        <v>26.56</v>
      </c>
      <c r="C42" s="2">
        <v>995.97</v>
      </c>
      <c r="E42" s="3">
        <f t="shared" si="0"/>
        <v>-3.8047063620961642E-2</v>
      </c>
      <c r="F42" s="3">
        <f t="shared" si="0"/>
        <v>-1.2016232567985653E-2</v>
      </c>
    </row>
    <row r="43" spans="1:6" hidden="1" x14ac:dyDescent="0.25">
      <c r="A43" s="12">
        <v>37895</v>
      </c>
      <c r="B43" s="7">
        <v>31.8</v>
      </c>
      <c r="C43" s="2">
        <v>1050.71</v>
      </c>
      <c r="E43" s="3">
        <f t="shared" ref="E43:F70" si="1">LN(B43/B42)</f>
        <v>0.18005996517789805</v>
      </c>
      <c r="F43" s="3">
        <f t="shared" si="1"/>
        <v>5.3504268464946513E-2</v>
      </c>
    </row>
    <row r="44" spans="1:6" hidden="1" x14ac:dyDescent="0.25">
      <c r="A44" s="12">
        <v>37928</v>
      </c>
      <c r="B44" s="7">
        <v>32.39</v>
      </c>
      <c r="C44" s="2">
        <v>1058.2</v>
      </c>
      <c r="E44" s="3">
        <f t="shared" si="1"/>
        <v>1.8383443397106829E-2</v>
      </c>
      <c r="F44" s="3">
        <f t="shared" si="1"/>
        <v>7.1032253560451564E-3</v>
      </c>
    </row>
    <row r="45" spans="1:6" hidden="1" x14ac:dyDescent="0.25">
      <c r="A45" s="12">
        <v>37956</v>
      </c>
      <c r="B45" s="7">
        <v>30.95</v>
      </c>
      <c r="C45" s="2">
        <v>1111.92</v>
      </c>
      <c r="E45" s="3">
        <f t="shared" si="1"/>
        <v>-4.547673405263282E-2</v>
      </c>
      <c r="F45" s="3">
        <f t="shared" si="1"/>
        <v>4.9518899306471208E-2</v>
      </c>
    </row>
    <row r="46" spans="1:6" hidden="1" x14ac:dyDescent="0.25">
      <c r="A46" s="12">
        <v>37988</v>
      </c>
      <c r="B46" s="7">
        <v>29.47</v>
      </c>
      <c r="C46" s="2">
        <v>1131.1300000000001</v>
      </c>
      <c r="E46" s="3">
        <f t="shared" si="1"/>
        <v>-4.9000202381001737E-2</v>
      </c>
      <c r="F46" s="3">
        <f t="shared" si="1"/>
        <v>1.7128882262967212E-2</v>
      </c>
    </row>
    <row r="47" spans="1:6" hidden="1" x14ac:dyDescent="0.25">
      <c r="A47" s="12">
        <v>38019</v>
      </c>
      <c r="B47" s="7">
        <v>28.23</v>
      </c>
      <c r="C47" s="2">
        <v>1144.94</v>
      </c>
      <c r="E47" s="3">
        <f t="shared" si="1"/>
        <v>-4.2987554484205395E-2</v>
      </c>
      <c r="F47" s="3">
        <f t="shared" si="1"/>
        <v>1.2135100829125884E-2</v>
      </c>
    </row>
    <row r="48" spans="1:6" hidden="1" x14ac:dyDescent="0.25">
      <c r="A48" s="12">
        <v>38047</v>
      </c>
      <c r="B48" s="7">
        <v>26.3</v>
      </c>
      <c r="C48" s="2">
        <v>1126.21</v>
      </c>
      <c r="E48" s="3">
        <f t="shared" si="1"/>
        <v>-7.0816303081679077E-2</v>
      </c>
      <c r="F48" s="3">
        <f t="shared" si="1"/>
        <v>-1.6494220669989047E-2</v>
      </c>
    </row>
    <row r="49" spans="1:6" hidden="1" x14ac:dyDescent="0.25">
      <c r="A49" s="12">
        <v>38078</v>
      </c>
      <c r="B49" s="7">
        <v>24.88</v>
      </c>
      <c r="C49" s="2">
        <v>1107.3</v>
      </c>
      <c r="E49" s="3">
        <f t="shared" si="1"/>
        <v>-5.5504671312740235E-2</v>
      </c>
      <c r="F49" s="3">
        <f t="shared" si="1"/>
        <v>-1.6933393494544095E-2</v>
      </c>
    </row>
    <row r="50" spans="1:6" hidden="1" x14ac:dyDescent="0.25">
      <c r="A50" s="12">
        <v>38110</v>
      </c>
      <c r="B50" s="7">
        <v>27.64</v>
      </c>
      <c r="C50" s="2">
        <v>1120.68</v>
      </c>
      <c r="E50" s="3">
        <f t="shared" si="1"/>
        <v>0.10519973102849055</v>
      </c>
      <c r="F50" s="3">
        <f t="shared" si="1"/>
        <v>1.2011024205564368E-2</v>
      </c>
    </row>
    <row r="51" spans="1:6" hidden="1" x14ac:dyDescent="0.25">
      <c r="A51" s="12">
        <v>38139</v>
      </c>
      <c r="B51" s="7">
        <v>26.72</v>
      </c>
      <c r="C51" s="2">
        <v>1140.8399999999999</v>
      </c>
      <c r="E51" s="3">
        <f t="shared" si="1"/>
        <v>-3.385165023102419E-2</v>
      </c>
      <c r="F51" s="3">
        <f t="shared" si="1"/>
        <v>1.7829189249312503E-2</v>
      </c>
    </row>
    <row r="52" spans="1:6" hidden="1" x14ac:dyDescent="0.25">
      <c r="A52" s="12">
        <v>38169</v>
      </c>
      <c r="B52" s="7">
        <v>23.61</v>
      </c>
      <c r="C52" s="2">
        <v>1101.72</v>
      </c>
      <c r="E52" s="3">
        <f t="shared" si="1"/>
        <v>-0.1237419975710234</v>
      </c>
      <c r="F52" s="3">
        <f t="shared" si="1"/>
        <v>-3.4892238215330364E-2</v>
      </c>
    </row>
    <row r="53" spans="1:6" hidden="1" x14ac:dyDescent="0.25">
      <c r="A53" s="12">
        <v>38201</v>
      </c>
      <c r="B53" s="7">
        <v>20.65</v>
      </c>
      <c r="C53" s="2">
        <v>1104.24</v>
      </c>
      <c r="E53" s="3">
        <f t="shared" si="1"/>
        <v>-0.13395503169037984</v>
      </c>
      <c r="F53" s="3">
        <f t="shared" si="1"/>
        <v>2.284720571713859E-3</v>
      </c>
    </row>
    <row r="54" spans="1:6" hidden="1" x14ac:dyDescent="0.25">
      <c r="A54" s="12">
        <v>38231</v>
      </c>
      <c r="B54" s="7">
        <v>19.46</v>
      </c>
      <c r="C54" s="2">
        <v>1114.58</v>
      </c>
      <c r="E54" s="3">
        <f t="shared" si="1"/>
        <v>-5.9354242649182619E-2</v>
      </c>
      <c r="F54" s="3">
        <f t="shared" si="1"/>
        <v>9.3203368022064838E-3</v>
      </c>
    </row>
    <row r="55" spans="1:6" hidden="1" x14ac:dyDescent="0.25">
      <c r="A55" s="12">
        <v>38261</v>
      </c>
      <c r="B55" s="7">
        <v>21.59</v>
      </c>
      <c r="C55" s="2">
        <v>1130.2</v>
      </c>
      <c r="E55" s="3">
        <f t="shared" si="1"/>
        <v>0.10386916776885685</v>
      </c>
      <c r="F55" s="3">
        <f t="shared" si="1"/>
        <v>1.391695587821374E-2</v>
      </c>
    </row>
    <row r="56" spans="1:6" hidden="1" x14ac:dyDescent="0.25">
      <c r="A56" s="12">
        <v>38292</v>
      </c>
      <c r="B56" s="7">
        <v>21.74</v>
      </c>
      <c r="C56" s="2">
        <v>1173.82</v>
      </c>
      <c r="E56" s="3">
        <f t="shared" si="1"/>
        <v>6.9236371663474131E-3</v>
      </c>
      <c r="F56" s="3">
        <f t="shared" si="1"/>
        <v>3.7868779461133012E-2</v>
      </c>
    </row>
    <row r="57" spans="1:6" hidden="1" x14ac:dyDescent="0.25">
      <c r="A57" s="12">
        <v>38322</v>
      </c>
      <c r="B57" s="7">
        <v>22.73</v>
      </c>
      <c r="C57" s="2">
        <v>1211.92</v>
      </c>
      <c r="E57" s="3">
        <f t="shared" si="1"/>
        <v>4.4531756171388596E-2</v>
      </c>
      <c r="F57" s="3">
        <f t="shared" si="1"/>
        <v>3.1942491193192112E-2</v>
      </c>
    </row>
    <row r="58" spans="1:6" hidden="1" x14ac:dyDescent="0.25">
      <c r="A58" s="12">
        <v>38355</v>
      </c>
      <c r="B58" s="7">
        <v>21.81</v>
      </c>
      <c r="C58" s="2">
        <v>1181.27</v>
      </c>
      <c r="E58" s="3">
        <f t="shared" si="1"/>
        <v>-4.1317057650914257E-2</v>
      </c>
      <c r="F58" s="3">
        <f t="shared" si="1"/>
        <v>-2.5615747968515911E-2</v>
      </c>
    </row>
    <row r="59" spans="1:6" hidden="1" x14ac:dyDescent="0.25">
      <c r="A59" s="12">
        <v>38384</v>
      </c>
      <c r="B59" s="7">
        <v>23.39</v>
      </c>
      <c r="C59" s="2">
        <v>1203.5999999999999</v>
      </c>
      <c r="E59" s="3">
        <f t="shared" si="1"/>
        <v>6.9940000382550133E-2</v>
      </c>
      <c r="F59" s="3">
        <f t="shared" si="1"/>
        <v>1.8726934874337724E-2</v>
      </c>
    </row>
    <row r="60" spans="1:6" hidden="1" x14ac:dyDescent="0.25">
      <c r="A60" s="12">
        <v>38412</v>
      </c>
      <c r="B60" s="7">
        <v>22.65</v>
      </c>
      <c r="C60" s="2">
        <v>1180.5899999999999</v>
      </c>
      <c r="E60" s="3">
        <f t="shared" si="1"/>
        <v>-3.2148728667044726E-2</v>
      </c>
      <c r="F60" s="3">
        <f t="shared" si="1"/>
        <v>-1.930275225452871E-2</v>
      </c>
    </row>
    <row r="61" spans="1:6" hidden="1" x14ac:dyDescent="0.25">
      <c r="A61" s="12">
        <v>38443</v>
      </c>
      <c r="B61" s="7">
        <v>22.93</v>
      </c>
      <c r="C61" s="2">
        <v>1156.8499999999999</v>
      </c>
      <c r="E61" s="3">
        <f t="shared" si="1"/>
        <v>1.2286244940770153E-2</v>
      </c>
      <c r="F61" s="3">
        <f t="shared" si="1"/>
        <v>-2.031351934767037E-2</v>
      </c>
    </row>
    <row r="62" spans="1:6" hidden="1" x14ac:dyDescent="0.25">
      <c r="A62" s="12">
        <v>38474</v>
      </c>
      <c r="B62" s="7">
        <v>26.38</v>
      </c>
      <c r="C62" s="2">
        <v>1191.5</v>
      </c>
      <c r="E62" s="3">
        <f t="shared" si="1"/>
        <v>0.14016005041935548</v>
      </c>
      <c r="F62" s="3">
        <f t="shared" si="1"/>
        <v>2.9512223385105795E-2</v>
      </c>
    </row>
    <row r="63" spans="1:6" hidden="1" x14ac:dyDescent="0.25">
      <c r="A63" s="12">
        <v>38504</v>
      </c>
      <c r="B63" s="7">
        <v>25.46</v>
      </c>
      <c r="C63" s="2">
        <v>1191.33</v>
      </c>
      <c r="E63" s="3">
        <f t="shared" si="1"/>
        <v>-3.5497554159907997E-2</v>
      </c>
      <c r="F63" s="3">
        <f t="shared" si="1"/>
        <v>-1.4268747689802155E-4</v>
      </c>
    </row>
    <row r="64" spans="1:6" hidden="1" x14ac:dyDescent="0.25">
      <c r="A64" s="12">
        <v>38534</v>
      </c>
      <c r="B64" s="7">
        <v>26.55</v>
      </c>
      <c r="C64" s="2">
        <v>1234.18</v>
      </c>
      <c r="E64" s="3">
        <f t="shared" si="1"/>
        <v>4.1921154558687335E-2</v>
      </c>
      <c r="F64" s="3">
        <f t="shared" si="1"/>
        <v>3.5336451864729147E-2</v>
      </c>
    </row>
    <row r="65" spans="1:17" x14ac:dyDescent="0.25">
      <c r="A65" s="12">
        <v>38565</v>
      </c>
      <c r="B65" s="7">
        <v>25.24</v>
      </c>
      <c r="C65" s="2">
        <v>1220.33</v>
      </c>
      <c r="E65" s="3">
        <f t="shared" si="1"/>
        <v>-5.0599710014935483E-2</v>
      </c>
      <c r="F65" s="3">
        <f t="shared" si="1"/>
        <v>-1.1285467972359155E-2</v>
      </c>
    </row>
    <row r="66" spans="1:17" x14ac:dyDescent="0.25">
      <c r="A66" s="12">
        <v>38596</v>
      </c>
      <c r="B66" s="7">
        <v>24.19</v>
      </c>
      <c r="C66" s="2">
        <v>1228.81</v>
      </c>
      <c r="E66" s="3">
        <f t="shared" si="1"/>
        <v>-4.2490713051076448E-2</v>
      </c>
      <c r="F66" s="3">
        <f t="shared" si="1"/>
        <v>6.9249074268589216E-3</v>
      </c>
    </row>
    <row r="67" spans="1:17" x14ac:dyDescent="0.25">
      <c r="A67" s="12">
        <v>38628</v>
      </c>
      <c r="B67" s="7">
        <v>23.06</v>
      </c>
      <c r="C67" s="2">
        <v>1207.01</v>
      </c>
      <c r="E67" s="3">
        <f t="shared" si="1"/>
        <v>-4.7839809781023035E-2</v>
      </c>
      <c r="F67" s="3">
        <f t="shared" si="1"/>
        <v>-1.7899994313773929E-2</v>
      </c>
    </row>
    <row r="68" spans="1:17" x14ac:dyDescent="0.25">
      <c r="A68" s="12">
        <v>38657</v>
      </c>
      <c r="B68" s="7">
        <v>26.27</v>
      </c>
      <c r="C68" s="2">
        <v>1249.48</v>
      </c>
      <c r="E68" s="3">
        <f t="shared" si="1"/>
        <v>0.13032808885653555</v>
      </c>
      <c r="F68" s="3">
        <f t="shared" si="1"/>
        <v>3.4581237676988605E-2</v>
      </c>
    </row>
    <row r="69" spans="1:17" x14ac:dyDescent="0.25">
      <c r="A69" s="12">
        <v>38687</v>
      </c>
      <c r="B69" s="7">
        <v>24.57</v>
      </c>
      <c r="C69" s="2">
        <v>1248.29</v>
      </c>
      <c r="E69" s="3">
        <f t="shared" si="1"/>
        <v>-6.6901417164360683E-2</v>
      </c>
      <c r="F69" s="3">
        <f t="shared" si="1"/>
        <v>-9.528500142413687E-4</v>
      </c>
    </row>
    <row r="70" spans="1:17" x14ac:dyDescent="0.25">
      <c r="A70" s="12">
        <v>38720</v>
      </c>
      <c r="B70" s="7">
        <v>25.9</v>
      </c>
      <c r="C70" s="2">
        <v>1285.45</v>
      </c>
      <c r="E70" s="3">
        <f t="shared" si="1"/>
        <v>5.2716782172404206E-2</v>
      </c>
      <c r="F70" s="3">
        <f t="shared" si="1"/>
        <v>2.9334236847947951E-2</v>
      </c>
    </row>
    <row r="73" spans="1:17" ht="13.8" x14ac:dyDescent="0.25">
      <c r="A73" s="2" t="s">
        <v>12</v>
      </c>
      <c r="I73" t="s">
        <v>12</v>
      </c>
      <c r="J73"/>
      <c r="K73"/>
      <c r="L73"/>
      <c r="M73"/>
      <c r="N73"/>
      <c r="O73"/>
      <c r="P73"/>
      <c r="Q73"/>
    </row>
    <row r="74" spans="1:17" ht="14.4" thickBot="1" x14ac:dyDescent="0.3">
      <c r="I74"/>
      <c r="J74"/>
      <c r="K74"/>
      <c r="L74"/>
      <c r="M74"/>
      <c r="N74"/>
      <c r="O74"/>
      <c r="P74"/>
      <c r="Q74"/>
    </row>
    <row r="75" spans="1:17" ht="13.8" x14ac:dyDescent="0.25">
      <c r="A75" s="8" t="s">
        <v>13</v>
      </c>
      <c r="B75" s="8"/>
      <c r="I75" s="16" t="s">
        <v>35</v>
      </c>
      <c r="J75" s="16"/>
      <c r="K75"/>
      <c r="L75"/>
      <c r="M75"/>
      <c r="N75"/>
      <c r="O75"/>
      <c r="P75"/>
      <c r="Q75"/>
    </row>
    <row r="76" spans="1:17" ht="13.8" x14ac:dyDescent="0.25">
      <c r="A76" s="2" t="s">
        <v>14</v>
      </c>
      <c r="B76" s="3">
        <v>0.72830165604918862</v>
      </c>
      <c r="I76" s="13" t="s">
        <v>14</v>
      </c>
      <c r="J76" s="13">
        <v>0.72830165604918862</v>
      </c>
      <c r="K76"/>
      <c r="L76"/>
      <c r="M76"/>
      <c r="N76"/>
      <c r="O76"/>
      <c r="P76"/>
      <c r="Q76"/>
    </row>
    <row r="77" spans="1:17" ht="13.8" x14ac:dyDescent="0.25">
      <c r="A77" s="2" t="s">
        <v>15</v>
      </c>
      <c r="B77" s="3">
        <v>0.5304233022039907</v>
      </c>
      <c r="I77" s="13" t="s">
        <v>15</v>
      </c>
      <c r="J77" s="18">
        <v>0.5304233022039907</v>
      </c>
      <c r="K77"/>
      <c r="L77"/>
      <c r="M77"/>
      <c r="N77"/>
      <c r="O77"/>
      <c r="P77"/>
      <c r="Q77"/>
    </row>
    <row r="78" spans="1:17" ht="13.8" x14ac:dyDescent="0.25">
      <c r="A78" s="2" t="s">
        <v>16</v>
      </c>
      <c r="B78" s="3">
        <v>0.52232715224199056</v>
      </c>
      <c r="I78" s="13" t="s">
        <v>16</v>
      </c>
      <c r="J78" s="13">
        <v>0.52232715224199056</v>
      </c>
      <c r="K78"/>
      <c r="L78"/>
      <c r="M78"/>
      <c r="N78"/>
      <c r="O78"/>
      <c r="P78"/>
      <c r="Q78"/>
    </row>
    <row r="79" spans="1:17" ht="13.8" x14ac:dyDescent="0.25">
      <c r="A79" s="2" t="s">
        <v>17</v>
      </c>
      <c r="B79" s="3">
        <v>9.2677338212707017E-2</v>
      </c>
      <c r="I79" s="13" t="s">
        <v>36</v>
      </c>
      <c r="J79" s="13">
        <v>9.2677338212707017E-2</v>
      </c>
      <c r="K79"/>
      <c r="L79"/>
      <c r="M79"/>
      <c r="N79"/>
      <c r="O79"/>
      <c r="P79"/>
      <c r="Q79"/>
    </row>
    <row r="80" spans="1:17" ht="14.4" thickBot="1" x14ac:dyDescent="0.3">
      <c r="A80" s="9" t="s">
        <v>18</v>
      </c>
      <c r="B80" s="9">
        <v>60</v>
      </c>
      <c r="I80" s="14" t="s">
        <v>37</v>
      </c>
      <c r="J80" s="14">
        <v>60</v>
      </c>
      <c r="K80"/>
      <c r="L80"/>
      <c r="M80"/>
      <c r="N80"/>
      <c r="O80"/>
      <c r="P80"/>
      <c r="Q80"/>
    </row>
    <row r="81" spans="1:17" ht="13.8" x14ac:dyDescent="0.25">
      <c r="I81"/>
      <c r="J81"/>
      <c r="K81"/>
      <c r="L81"/>
      <c r="M81"/>
      <c r="N81"/>
      <c r="O81"/>
      <c r="P81"/>
      <c r="Q81"/>
    </row>
    <row r="82" spans="1:17" ht="14.4" thickBot="1" x14ac:dyDescent="0.3">
      <c r="A82" s="2" t="s">
        <v>19</v>
      </c>
      <c r="I82" t="s">
        <v>38</v>
      </c>
      <c r="J82"/>
      <c r="K82"/>
      <c r="L82"/>
      <c r="M82"/>
      <c r="N82"/>
      <c r="O82"/>
      <c r="P82"/>
      <c r="Q82"/>
    </row>
    <row r="83" spans="1:17" ht="13.8" x14ac:dyDescent="0.25">
      <c r="A83" s="10"/>
      <c r="B83" s="10" t="s">
        <v>20</v>
      </c>
      <c r="C83" s="10" t="s">
        <v>21</v>
      </c>
      <c r="D83" s="10" t="s">
        <v>22</v>
      </c>
      <c r="E83" s="10" t="s">
        <v>23</v>
      </c>
      <c r="F83" s="10" t="s">
        <v>24</v>
      </c>
      <c r="I83" s="15"/>
      <c r="J83" s="15" t="s">
        <v>20</v>
      </c>
      <c r="K83" s="15" t="s">
        <v>21</v>
      </c>
      <c r="L83" s="15" t="s">
        <v>22</v>
      </c>
      <c r="M83" s="15" t="s">
        <v>23</v>
      </c>
      <c r="N83" s="15" t="s">
        <v>24</v>
      </c>
      <c r="O83"/>
      <c r="P83"/>
      <c r="Q83"/>
    </row>
    <row r="84" spans="1:17" ht="13.8" x14ac:dyDescent="0.25">
      <c r="A84" s="2" t="s">
        <v>25</v>
      </c>
      <c r="B84" s="2">
        <v>1</v>
      </c>
      <c r="C84" s="3">
        <v>0.56271845029265777</v>
      </c>
      <c r="D84" s="3">
        <v>0.56271845029265777</v>
      </c>
      <c r="E84" s="3">
        <v>65.515498686853519</v>
      </c>
      <c r="F84" s="3">
        <v>4.2592948149800936E-11</v>
      </c>
      <c r="I84" s="13" t="s">
        <v>39</v>
      </c>
      <c r="J84" s="13">
        <v>1</v>
      </c>
      <c r="K84" s="13">
        <v>0.56271845029265777</v>
      </c>
      <c r="L84" s="13">
        <v>0.56271845029265777</v>
      </c>
      <c r="M84" s="13">
        <v>65.515498686853519</v>
      </c>
      <c r="N84" s="13">
        <v>4.2592948153005589E-11</v>
      </c>
      <c r="O84"/>
      <c r="P84"/>
      <c r="Q84"/>
    </row>
    <row r="85" spans="1:17" ht="13.8" x14ac:dyDescent="0.25">
      <c r="A85" s="2" t="s">
        <v>26</v>
      </c>
      <c r="B85" s="2">
        <v>58</v>
      </c>
      <c r="C85" s="3">
        <v>0.49816716305516417</v>
      </c>
      <c r="D85" s="3">
        <v>8.5890890181924851E-3</v>
      </c>
      <c r="E85" s="3"/>
      <c r="F85" s="3"/>
      <c r="I85" s="13" t="s">
        <v>40</v>
      </c>
      <c r="J85" s="13">
        <v>58</v>
      </c>
      <c r="K85" s="13">
        <v>0.49816716305516417</v>
      </c>
      <c r="L85" s="13">
        <v>8.5890890181924851E-3</v>
      </c>
      <c r="M85" s="13"/>
      <c r="N85" s="13"/>
      <c r="O85"/>
      <c r="P85"/>
      <c r="Q85"/>
    </row>
    <row r="86" spans="1:17" ht="14.4" thickBot="1" x14ac:dyDescent="0.3">
      <c r="A86" s="9" t="s">
        <v>27</v>
      </c>
      <c r="B86" s="9">
        <v>59</v>
      </c>
      <c r="C86" s="11">
        <v>1.0608856133478219</v>
      </c>
      <c r="D86" s="11"/>
      <c r="E86" s="11"/>
      <c r="F86" s="11"/>
      <c r="I86" s="14" t="s">
        <v>41</v>
      </c>
      <c r="J86" s="14">
        <v>59</v>
      </c>
      <c r="K86" s="14">
        <v>1.0608856133478219</v>
      </c>
      <c r="L86" s="14"/>
      <c r="M86" s="14"/>
      <c r="N86" s="14"/>
      <c r="O86"/>
      <c r="P86"/>
      <c r="Q86"/>
    </row>
    <row r="87" spans="1:17" ht="14.4" thickBot="1" x14ac:dyDescent="0.3">
      <c r="I87"/>
      <c r="J87"/>
      <c r="K87"/>
      <c r="L87"/>
      <c r="M87"/>
      <c r="N87"/>
      <c r="O87"/>
      <c r="P87"/>
      <c r="Q87"/>
    </row>
    <row r="88" spans="1:17" ht="13.8" x14ac:dyDescent="0.25">
      <c r="A88" s="10"/>
      <c r="B88" s="10" t="s">
        <v>28</v>
      </c>
      <c r="C88" s="10" t="s">
        <v>17</v>
      </c>
      <c r="D88" s="10" t="s">
        <v>29</v>
      </c>
      <c r="E88" s="10" t="s">
        <v>30</v>
      </c>
      <c r="F88" s="10" t="s">
        <v>31</v>
      </c>
      <c r="G88" s="10" t="s">
        <v>32</v>
      </c>
      <c r="I88" s="15"/>
      <c r="J88" s="15" t="s">
        <v>28</v>
      </c>
      <c r="K88" s="15" t="s">
        <v>36</v>
      </c>
      <c r="L88" s="15" t="s">
        <v>29</v>
      </c>
      <c r="M88" s="15" t="s">
        <v>30</v>
      </c>
      <c r="N88" s="15" t="s">
        <v>31</v>
      </c>
      <c r="O88" s="15" t="s">
        <v>32</v>
      </c>
      <c r="P88" s="15" t="s">
        <v>42</v>
      </c>
      <c r="Q88" s="15" t="s">
        <v>43</v>
      </c>
    </row>
    <row r="89" spans="1:17" ht="13.8" x14ac:dyDescent="0.25">
      <c r="A89" s="2" t="s">
        <v>33</v>
      </c>
      <c r="B89" s="3">
        <v>-2.9173232533321707E-3</v>
      </c>
      <c r="C89" s="3">
        <v>1.1967911446171145E-2</v>
      </c>
      <c r="D89" s="3">
        <v>-0.24376210222256453</v>
      </c>
      <c r="E89" s="3">
        <v>0.8082752448583761</v>
      </c>
      <c r="F89" s="3">
        <v>-2.6873700650651377E-2</v>
      </c>
      <c r="G89" s="3">
        <v>2.1039054143987036E-2</v>
      </c>
      <c r="I89" s="13" t="s">
        <v>33</v>
      </c>
      <c r="J89" s="18">
        <v>-2.9173232533321707E-3</v>
      </c>
      <c r="K89" s="13">
        <v>1.1967911446171145E-2</v>
      </c>
      <c r="L89" s="13">
        <v>-0.24376210222256453</v>
      </c>
      <c r="M89" s="13">
        <v>0.80827524484614044</v>
      </c>
      <c r="N89" s="13">
        <v>-2.6873700843834839E-2</v>
      </c>
      <c r="O89" s="13">
        <v>2.1039054337170498E-2</v>
      </c>
      <c r="P89" s="13">
        <v>-2.6873700843834839E-2</v>
      </c>
      <c r="Q89" s="13">
        <v>2.1039054337170498E-2</v>
      </c>
    </row>
    <row r="90" spans="1:17" ht="14.4" thickBot="1" x14ac:dyDescent="0.3">
      <c r="A90" s="9" t="s">
        <v>34</v>
      </c>
      <c r="B90" s="11">
        <v>2.251604944872327</v>
      </c>
      <c r="C90" s="11">
        <v>0.27817632683975707</v>
      </c>
      <c r="D90" s="11">
        <v>8.0941644835556392</v>
      </c>
      <c r="E90" s="11">
        <v>4.259294814980091E-11</v>
      </c>
      <c r="F90" s="11">
        <v>1.6947745322521484</v>
      </c>
      <c r="G90" s="11">
        <v>2.8084353574925056</v>
      </c>
      <c r="I90" s="14" t="s">
        <v>34</v>
      </c>
      <c r="J90" s="17">
        <v>2.251604944872327</v>
      </c>
      <c r="K90" s="14">
        <v>0.27817632683975707</v>
      </c>
      <c r="L90" s="14">
        <v>8.0941644835556392</v>
      </c>
      <c r="M90" s="17">
        <v>4.2592948153005434E-11</v>
      </c>
      <c r="N90" s="14">
        <v>1.6947745277618858</v>
      </c>
      <c r="O90" s="14">
        <v>2.8084353619827684</v>
      </c>
      <c r="P90" s="14">
        <v>1.6947745277618858</v>
      </c>
      <c r="Q90" s="14">
        <v>2.8084353619827684</v>
      </c>
    </row>
    <row r="91" spans="1:17" ht="13.8" x14ac:dyDescent="0.25">
      <c r="I91"/>
      <c r="J91"/>
      <c r="K91"/>
      <c r="L91"/>
      <c r="M91"/>
      <c r="N91"/>
      <c r="O91"/>
      <c r="P91"/>
      <c r="Q91"/>
    </row>
    <row r="92" spans="1:17" ht="13.8" x14ac:dyDescent="0.25">
      <c r="I92"/>
      <c r="J92"/>
      <c r="K92"/>
      <c r="L92"/>
      <c r="M92"/>
      <c r="N92"/>
      <c r="O92"/>
      <c r="P92"/>
      <c r="Q92"/>
    </row>
    <row r="93" spans="1:17" ht="13.8" x14ac:dyDescent="0.25">
      <c r="I93"/>
      <c r="J93"/>
      <c r="K93"/>
      <c r="L93"/>
      <c r="M93"/>
      <c r="N93"/>
      <c r="O93"/>
      <c r="P93"/>
      <c r="Q93"/>
    </row>
  </sheetData>
  <mergeCells count="3">
    <mergeCell ref="A1:F1"/>
    <mergeCell ref="B8:C8"/>
    <mergeCell ref="E8:F8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2024-10-07T12:32:12Z</dcterms:modified>
</cp:coreProperties>
</file>