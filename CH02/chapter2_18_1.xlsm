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93D8A1FB-1F60-41E6-B03F-ED08DD47BEAE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27" i="1" l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K4" i="1"/>
</calcChain>
</file>

<file path=xl/sharedStrings.xml><?xml version="1.0" encoding="utf-8"?>
<sst xmlns="http://schemas.openxmlformats.org/spreadsheetml/2006/main" count="1707" uniqueCount="280">
  <si>
    <t>Coupon(%)</t>
  </si>
  <si>
    <t>Maturity</t>
  </si>
  <si>
    <t>YTM(%)</t>
  </si>
  <si>
    <t>Current
yield</t>
  </si>
  <si>
    <t>Fitch 
rating</t>
  </si>
  <si>
    <t>Callable</t>
  </si>
  <si>
    <t>Years to maturity</t>
  </si>
  <si>
    <t>BBB</t>
  </si>
  <si>
    <t>No</t>
  </si>
  <si>
    <t>Type</t>
  </si>
  <si>
    <t>Issuer</t>
  </si>
  <si>
    <t>Price</t>
  </si>
  <si>
    <t>Corp</t>
  </si>
  <si>
    <t>PANHANDLE EASTN PIPE LINE CO</t>
  </si>
  <si>
    <t>SAFEWAY INC</t>
  </si>
  <si>
    <t>WEYERHAEUSER CO</t>
  </si>
  <si>
    <t>CONSTELLATION ENERGY GROUP INC</t>
  </si>
  <si>
    <t>PENNEY J C INC</t>
  </si>
  <si>
    <t>MOHAWK INDS INC</t>
  </si>
  <si>
    <t>PROGRESS ENERGY INC</t>
  </si>
  <si>
    <t>AOL TIME WARNER INC</t>
  </si>
  <si>
    <t>ARAMARK SVCS INC</t>
  </si>
  <si>
    <t>BANK UTD CORP</t>
  </si>
  <si>
    <t>COMCAST CABLE COMMUNICATIONS</t>
  </si>
  <si>
    <t>STARWOOD HOTELS&amp;RESORTS WRLDWD</t>
  </si>
  <si>
    <t>VIACOM INC</t>
  </si>
  <si>
    <t>REALTY INCOME CORP</t>
  </si>
  <si>
    <t>CIGNA CORP</t>
  </si>
  <si>
    <t>TELUS CORP</t>
  </si>
  <si>
    <t>EOP OPER LTD PARTNERSHIP</t>
  </si>
  <si>
    <t>POTASH CORP SASK INC</t>
  </si>
  <si>
    <t>VORNADO RLTY TR</t>
  </si>
  <si>
    <t>KENTUCKY POWER CO</t>
  </si>
  <si>
    <t>AVALONBAY CMNTYS INC MTN BE</t>
  </si>
  <si>
    <t>ARCHSTONE SMITH TR</t>
  </si>
  <si>
    <t>BANK OKLA N A TULSA</t>
  </si>
  <si>
    <t>LIBERTY PPTY LTD PARTNERSHIP</t>
  </si>
  <si>
    <t>MASCO CORP</t>
  </si>
  <si>
    <t>RAYTHEON CO</t>
  </si>
  <si>
    <t>TIME WARNER COMPANIES INC</t>
  </si>
  <si>
    <t>TANDY CORP</t>
  </si>
  <si>
    <t>ICI WILMINGTON INC</t>
  </si>
  <si>
    <t>PHH CORP INTERNOTES BOOK ENTRY</t>
  </si>
  <si>
    <t>OCEAN ENERGY INC DEL</t>
  </si>
  <si>
    <t>USA WASTE SVCS INC</t>
  </si>
  <si>
    <t>CALENERGY INC</t>
  </si>
  <si>
    <t>ENTERPRISE PRODS OPER LP</t>
  </si>
  <si>
    <t>POTOMAC ELEC PWR CO</t>
  </si>
  <si>
    <t>ROYAL CARIBBEAN CRUISES LTD</t>
  </si>
  <si>
    <t>UNION PAC CORP</t>
  </si>
  <si>
    <t>CVS CORP</t>
  </si>
  <si>
    <t>ENSCO INTL INC</t>
  </si>
  <si>
    <t>MALLINCKRODT GROUP INC</t>
  </si>
  <si>
    <t>MEDIAONE GROUP INC MTN BE</t>
  </si>
  <si>
    <t>UNION CAMP CORP</t>
  </si>
  <si>
    <t>PSEG FDG TR I</t>
  </si>
  <si>
    <t>PLATINUM UNDERWRITERS FIN INC</t>
  </si>
  <si>
    <t>GENERAL MLS INC</t>
  </si>
  <si>
    <t>LILLY INDS INC</t>
  </si>
  <si>
    <t>AMERICAN FINL GROUP INC OHIO</t>
  </si>
  <si>
    <t>PENNEY JC INC MTN BE</t>
  </si>
  <si>
    <t>PRECISION CASTPARTS CORP</t>
  </si>
  <si>
    <t>NEWS AMER INC</t>
  </si>
  <si>
    <t>CNA FINL CORP</t>
  </si>
  <si>
    <t>CENTURY TEL ENTERPRISES INC</t>
  </si>
  <si>
    <t>CLEAR CHANNEL COMMUNICATIONS</t>
  </si>
  <si>
    <t>SARA LEE CORP MTN BE</t>
  </si>
  <si>
    <t>AMERICAN STD INC</t>
  </si>
  <si>
    <t>CONSUMERS ENERGY CO</t>
  </si>
  <si>
    <t>AVNET INC</t>
  </si>
  <si>
    <t>DOMINION RES INC VA NEW</t>
  </si>
  <si>
    <t>IDEX CORP</t>
  </si>
  <si>
    <t>LENFEST COMMUNICATIONS INC</t>
  </si>
  <si>
    <t>MARSH &amp; MCLENNAN COS INC</t>
  </si>
  <si>
    <t>PEMEX PROJ FDG MASTER TR</t>
  </si>
  <si>
    <t>TANGER PPTYS LTD PARTNERSHIP</t>
  </si>
  <si>
    <t>HOSPITALITY PPTYS TR</t>
  </si>
  <si>
    <t>KROGER CO</t>
  </si>
  <si>
    <t>UNITED DOMINION RLTY TR MTNSBE</t>
  </si>
  <si>
    <t>BECKMAN COULTER INC</t>
  </si>
  <si>
    <t>GREATER BAY BANCORP</t>
  </si>
  <si>
    <t>CAROLINA PWR &amp; LT CO MTN BE</t>
  </si>
  <si>
    <t>FORTUNE BRANDS INC</t>
  </si>
  <si>
    <t>GOODRICH CORP</t>
  </si>
  <si>
    <t>PROLOGIS</t>
  </si>
  <si>
    <t>APPALACHIAN PWR CO</t>
  </si>
  <si>
    <t>BERKLEY W R CORP</t>
  </si>
  <si>
    <t>MIDAMERICAN ENERGY HLDGS NEW</t>
  </si>
  <si>
    <t>TRW INC SR MEDTERMNTS BK EN</t>
  </si>
  <si>
    <t>DUKE RLTY LTD PARTNERSHIP</t>
  </si>
  <si>
    <t>AAG HLDG INC</t>
  </si>
  <si>
    <t>CENTERPOINT ENERGY INC</t>
  </si>
  <si>
    <t>NORTHEAST UTILS</t>
  </si>
  <si>
    <t>ARCHSTONE-SMITH OPER TR</t>
  </si>
  <si>
    <t>PHILIP MORRIS COS INC</t>
  </si>
  <si>
    <t>CAPITAL ONE FINL CORP</t>
  </si>
  <si>
    <t>COX COMMUNICATIONS INC NEW</t>
  </si>
  <si>
    <t>MILLER BREWING CO</t>
  </si>
  <si>
    <t>CONTINENTAL CABLEVISION INC</t>
  </si>
  <si>
    <t>TIME WARNER ENTMT CO LP</t>
  </si>
  <si>
    <t>BALT GAS &amp; ELEC CO MTN BE BONY</t>
  </si>
  <si>
    <t>CADBURY SCHWEPPES US FINANACE</t>
  </si>
  <si>
    <t>TRIBUNE CO MTN BK MONT TR CO</t>
  </si>
  <si>
    <t>RAYCHEM CORP DEL</t>
  </si>
  <si>
    <t>UNIVISION COMMUNICATIONS INC</t>
  </si>
  <si>
    <t>NEWS AMER HLDGS INC</t>
  </si>
  <si>
    <t>CHANCELLOR MEDIA CORP LA</t>
  </si>
  <si>
    <t>MAY DEPT STORES CO</t>
  </si>
  <si>
    <t>ALTRIA GROUP INC</t>
  </si>
  <si>
    <t>SPRINT CAP CORP</t>
  </si>
  <si>
    <t>TELECOM ITALIA CAP</t>
  </si>
  <si>
    <t>WASTE MGMT INC DEL</t>
  </si>
  <si>
    <t>HALLIBURTON CO MTN BE</t>
  </si>
  <si>
    <t>LUBRIZOL CORP</t>
  </si>
  <si>
    <t>EOP OPER LTD PARTNERSHIP EOP</t>
  </si>
  <si>
    <t>OAKMONT ASSET TR</t>
  </si>
  <si>
    <t>D R HORTON INC</t>
  </si>
  <si>
    <t>VALASSIS COMMUNICATIONS INC</t>
  </si>
  <si>
    <t>BRITISH SKY BROADCASTING GROUP</t>
  </si>
  <si>
    <t>LENNAR CORP</t>
  </si>
  <si>
    <t>PPL CAP FDG INC</t>
  </si>
  <si>
    <t>SOUTHWESTERN PUB SVC CO</t>
  </si>
  <si>
    <t>BURLINGTON NORTHN SANTA FE CP</t>
  </si>
  <si>
    <t>COLONIAL BK MONTGOMERY ALA</t>
  </si>
  <si>
    <t>MACK-CALI RLTY L P</t>
  </si>
  <si>
    <t>PSEG PWR LLC</t>
  </si>
  <si>
    <t>PENNSYLVANIA ELEC CO</t>
  </si>
  <si>
    <t>UNION CARBIDE CORP</t>
  </si>
  <si>
    <t>DTE ENERGY CO</t>
  </si>
  <si>
    <t>UNION PAC RES GROUP INC</t>
  </si>
  <si>
    <t>NIPSCO CAP MKTS INC MTN BE</t>
  </si>
  <si>
    <t>ASHLAND INC MTN BE</t>
  </si>
  <si>
    <t>GENERAL AMERICAN TRANS CORP</t>
  </si>
  <si>
    <t>SPIEKER PPTYS L P</t>
  </si>
  <si>
    <t>SEMPRA ENERGY</t>
  </si>
  <si>
    <t>GATX FINL CORP</t>
  </si>
  <si>
    <t>UNITED DOMINION REALTY TR INC</t>
  </si>
  <si>
    <t>WILLAMETTE INDS INC MTN BE</t>
  </si>
  <si>
    <t>PUBLIC SERVICE CO COLO</t>
  </si>
  <si>
    <t>PULTE HOMES INC</t>
  </si>
  <si>
    <t>NEW PLAN EXCEL RLTY TR INC MTN</t>
  </si>
  <si>
    <t>DUKE CAP CORP</t>
  </si>
  <si>
    <t>ELECTRONIC DATA SYS CORP</t>
  </si>
  <si>
    <t>CLEVELAND ELEC ILLUM CO</t>
  </si>
  <si>
    <t>FEDERAL REALTY INVT TR</t>
  </si>
  <si>
    <t>DOMINION RES INC</t>
  </si>
  <si>
    <t>WELLPOINT INC</t>
  </si>
  <si>
    <t>COMCAST CORP NEW</t>
  </si>
  <si>
    <t>COLONIAL RLTY LTD PARTNERSHIP</t>
  </si>
  <si>
    <t>IBP INC</t>
  </si>
  <si>
    <t>SAFECO CORP</t>
  </si>
  <si>
    <t>AIFUL CORPORATION</t>
  </si>
  <si>
    <t>PENNEY J C CORP INC</t>
  </si>
  <si>
    <t>NISSAN MTR ACCEP CORP</t>
  </si>
  <si>
    <t>AMERICAN ELEC PWR INC</t>
  </si>
  <si>
    <t>METROPOLITAN EDISON CO</t>
  </si>
  <si>
    <t>SCOTTISH PWR PLC</t>
  </si>
  <si>
    <t>INTL PAPER CO</t>
  </si>
  <si>
    <t>WASHINGTON MUT INC</t>
  </si>
  <si>
    <t>NEWELL RUBBERMAID INC</t>
  </si>
  <si>
    <t>NORFOLK SOUTHERN CORP</t>
  </si>
  <si>
    <t>PEPCO HOLDINGS INC</t>
  </si>
  <si>
    <t>EXELON CORP</t>
  </si>
  <si>
    <t>NORTHERN BORDER PARTNERS L P</t>
  </si>
  <si>
    <t>HARRAHS OPER INC</t>
  </si>
  <si>
    <t>WILLIS NORTH AMER INC</t>
  </si>
  <si>
    <t>PENNSYLVANIA ELEC CO UNSEC MTN</t>
  </si>
  <si>
    <t>TRIBUNE CO NEW</t>
  </si>
  <si>
    <t>DUKE ENERGY FIELD SVCS LLC</t>
  </si>
  <si>
    <t>SOVEREIGN BANCORP INC</t>
  </si>
  <si>
    <t>CONAGRA FOODS INC</t>
  </si>
  <si>
    <t>HEALTH CARE PPTY INVS INC MTN</t>
  </si>
  <si>
    <t>NUVEEN INVTS INC</t>
  </si>
  <si>
    <t>PUBLIC SERVICE CO OKLA</t>
  </si>
  <si>
    <t>MOLSON COORS CAP FIN</t>
  </si>
  <si>
    <t>ROYAL KPN NV</t>
  </si>
  <si>
    <t>GTECH HLDGS CORP</t>
  </si>
  <si>
    <t>HALLIBURTON CO</t>
  </si>
  <si>
    <t>CENTEX CORP</t>
  </si>
  <si>
    <t>KINDER MORGAN ENERGY PARTNERS</t>
  </si>
  <si>
    <t>UNITRIN INC</t>
  </si>
  <si>
    <t>NISOURCE FIN CORP</t>
  </si>
  <si>
    <t>TEXAS EASTN TRANSMISSION CORP</t>
  </si>
  <si>
    <t>XCEL ENERGY INC MINN</t>
  </si>
  <si>
    <t>ISTAR FINL INC</t>
  </si>
  <si>
    <t>VIRGINIA ELEC &amp; PWR CO</t>
  </si>
  <si>
    <t>KINDER MORGAN FINANCE CORP ULC</t>
  </si>
  <si>
    <t>BOSTON SCIENTIFIC CORP</t>
  </si>
  <si>
    <t>AGL CAP CORP</t>
  </si>
  <si>
    <t>BRE PROPERTIES INC</t>
  </si>
  <si>
    <t>RECKSON OPER PARTNERSHIP L P</t>
  </si>
  <si>
    <t>WADDELL &amp; REED FINL INC</t>
  </si>
  <si>
    <t>CARDINAL HEALTH INC</t>
  </si>
  <si>
    <t>VORNADO RLTY L P</t>
  </si>
  <si>
    <t>RESIDENTIAL CAP CORP</t>
  </si>
  <si>
    <t>ALCAN INC</t>
  </si>
  <si>
    <t>CSX CORP</t>
  </si>
  <si>
    <t>FEDERATED DEPT STORES INC DEL</t>
  </si>
  <si>
    <t>KELLOGG CO</t>
  </si>
  <si>
    <t>RYDER SYS MTN BE</t>
  </si>
  <si>
    <t>ONEOK INC NEW</t>
  </si>
  <si>
    <t>TRICON GLOBAL RESTAURANTS</t>
  </si>
  <si>
    <t>ANADARKO FIN CO</t>
  </si>
  <si>
    <t>HEALTHCARE RLTY TR</t>
  </si>
  <si>
    <t>PREMCOR REFNG GROUP INC</t>
  </si>
  <si>
    <t>BLACK &amp; DECKER CORP</t>
  </si>
  <si>
    <t>MATTEL INC MTN BE</t>
  </si>
  <si>
    <t>EXELON GENERATION CO LLC</t>
  </si>
  <si>
    <t>WHIRLPOOL CORP</t>
  </si>
  <si>
    <t>TELEFONICA EMISONES SA</t>
  </si>
  <si>
    <t>SABMILLER PLC</t>
  </si>
  <si>
    <t>QUEST DIAGNOSTICS INC</t>
  </si>
  <si>
    <t>ALLIED CAP CORP NEW</t>
  </si>
  <si>
    <t>HEINZ H J FIN CO</t>
  </si>
  <si>
    <t>LAFARGE COPPEE S A</t>
  </si>
  <si>
    <t>FIDELITY NATL FINL INC</t>
  </si>
  <si>
    <t>REPUBLIC SVCS INC</t>
  </si>
  <si>
    <t>SARA LEE CORP</t>
  </si>
  <si>
    <t>DEVON FING CORP U L C</t>
  </si>
  <si>
    <t>TYSON FOODS INC</t>
  </si>
  <si>
    <t>TYCO INTL GROUP S A</t>
  </si>
  <si>
    <t>CONSOLIDATED NAT GAS CO</t>
  </si>
  <si>
    <t>PPL ENERGY SUPPLY LLC</t>
  </si>
  <si>
    <t>FIRSTENERGY CORP</t>
  </si>
  <si>
    <t>COVENTRY HEALTH CARE INC</t>
  </si>
  <si>
    <t>WELLPOINT HEALTH NETWORK NEW</t>
  </si>
  <si>
    <t>TEPPCO PARTNERS L P</t>
  </si>
  <si>
    <t>CRH AMER INC</t>
  </si>
  <si>
    <t>JEFFERIES GROUP INC NEW</t>
  </si>
  <si>
    <t>MEADWESTVACO CORP</t>
  </si>
  <si>
    <t>VALERO ENERGY CORP NEW</t>
  </si>
  <si>
    <t>ARAMARK CORP</t>
  </si>
  <si>
    <t>KENNAMETAL INC</t>
  </si>
  <si>
    <t>HEALTH CARE PPTY INVS INC</t>
  </si>
  <si>
    <t>NEXFOR INC</t>
  </si>
  <si>
    <t>CONTINENTAL CORP</t>
  </si>
  <si>
    <t>KINDER MORGAN INC</t>
  </si>
  <si>
    <t>AMERISOURCEBERGEN CORP</t>
  </si>
  <si>
    <t>CINCINNATI GAS &amp; ELEC CO</t>
  </si>
  <si>
    <t>STANCORP FINL GROUP INC</t>
  </si>
  <si>
    <t>ASTORIA FINL CORP</t>
  </si>
  <si>
    <t>DEVELOPERS DIVERSIFIED RLTY CO</t>
  </si>
  <si>
    <t>PLAINS ALL AMERN PIPELINE L P</t>
  </si>
  <si>
    <t>CENDANT CORP</t>
  </si>
  <si>
    <t>USA INTERACTIVE</t>
  </si>
  <si>
    <t>AEP TEX CENT CO</t>
  </si>
  <si>
    <t>AEP TEX NORTH CO</t>
  </si>
  <si>
    <t>NATIONAL FUEL GAS CO N J</t>
  </si>
  <si>
    <t>TXU ENERGY CO LLC</t>
  </si>
  <si>
    <t>CENTERPOINT ENERGY RESOURCES</t>
  </si>
  <si>
    <t>FUND AMERN COS INC</t>
  </si>
  <si>
    <t>M D C HLDGS INC</t>
  </si>
  <si>
    <t>EMBARQ CORP</t>
  </si>
  <si>
    <t>CYTEC INDS INC</t>
  </si>
  <si>
    <t>HARLEYSVILLE GROUP INC</t>
  </si>
  <si>
    <t>PACKAGING CORP AMER</t>
  </si>
  <si>
    <t>TELE COMMUNICATIONS INC</t>
  </si>
  <si>
    <t>CAROLINA TEL &amp; TELEG CO</t>
  </si>
  <si>
    <t>PSI ENERGY INC</t>
  </si>
  <si>
    <t>COMMERCE GROUP INC MASS</t>
  </si>
  <si>
    <t>IMCERA GROUP INC</t>
  </si>
  <si>
    <t>CENTERPOINT ENERGY RES CORP</t>
  </si>
  <si>
    <t>PACIFIC GAS &amp; ELEC CO</t>
  </si>
  <si>
    <t>CORNING INC</t>
  </si>
  <si>
    <t>TOLL BROS FIN CORP</t>
  </si>
  <si>
    <t>GLENCORE FDG LLC</t>
  </si>
  <si>
    <t>MAGELLAN MIDSTREAM PRTNRS LP</t>
  </si>
  <si>
    <t>OHIO CAS CORP</t>
  </si>
  <si>
    <t>ARIZONA PUB SVC CO</t>
  </si>
  <si>
    <t>WESTAR ENERGY INC</t>
  </si>
  <si>
    <t>MAYTAG CORP MEDTERM NTS BK ENT</t>
  </si>
  <si>
    <t>ATMOS ENERGY CORP</t>
  </si>
  <si>
    <t>INDIANA MICH PWR CO</t>
  </si>
  <si>
    <t>JONES APPAREL GROUP INC /</t>
  </si>
  <si>
    <t>ONCOR ELEC DELIVERY CO</t>
  </si>
  <si>
    <t>CENTURYTEL INC</t>
  </si>
  <si>
    <t>ODYSSEY RE HLDGS CORP</t>
  </si>
  <si>
    <t>HEALTH CARE REIT INC</t>
  </si>
  <si>
    <t>EQUITY ONE</t>
  </si>
  <si>
    <t>YAHOO:  NON-CALLABLE BBB CORPORATE BONDS WITH MATURITY 0.5 - 10 YEARS
11 August 2006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</si>
</sst>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2" fontId="0" fillId="0" borderId="0" xfId="0" applyNumberFormat="1" applyAlignment="1"/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10" fontId="2" fillId="0" borderId="0" xfId="1" applyNumberFormat="1" applyAlignment="1"/>
    <xf numFmtId="14" fontId="0" fillId="0" borderId="0" xfId="0" applyNumberFormat="1" applyAlignment="1"/>
    <xf numFmtId="0" fontId="3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BBB Bond Yields, 11Aug06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rgbClr val="000080"/>
              </a:solidFill>
              <a:ln w="9525">
                <a:solidFill>
                  <a:srgbClr val="000080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8152161853385591E-2"/>
                  <c:y val="0.381988294249733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Sheet1!$J$4:$J$427</c:f>
              <c:numCache>
                <c:formatCode>0.00</c:formatCode>
                <c:ptCount val="424"/>
                <c:pt idx="0">
                  <c:v>0.59178082191780823</c:v>
                </c:pt>
                <c:pt idx="1">
                  <c:v>0.59178082191780823</c:v>
                </c:pt>
                <c:pt idx="2">
                  <c:v>0.59178082191780823</c:v>
                </c:pt>
                <c:pt idx="3">
                  <c:v>0.63835616438356169</c:v>
                </c:pt>
                <c:pt idx="4">
                  <c:v>0.63835616438356169</c:v>
                </c:pt>
                <c:pt idx="5">
                  <c:v>0.67671232876712328</c:v>
                </c:pt>
                <c:pt idx="6">
                  <c:v>0.67671232876712328</c:v>
                </c:pt>
                <c:pt idx="7">
                  <c:v>0.72054794520547949</c:v>
                </c:pt>
                <c:pt idx="8">
                  <c:v>0.72054794520547949</c:v>
                </c:pt>
                <c:pt idx="9">
                  <c:v>0.72054794520547949</c:v>
                </c:pt>
                <c:pt idx="10">
                  <c:v>0.72054794520547949</c:v>
                </c:pt>
                <c:pt idx="11">
                  <c:v>0.72054794520547949</c:v>
                </c:pt>
                <c:pt idx="12">
                  <c:v>0.72054794520547949</c:v>
                </c:pt>
                <c:pt idx="13">
                  <c:v>0.73424657534246573</c:v>
                </c:pt>
                <c:pt idx="14">
                  <c:v>0.75890410958904109</c:v>
                </c:pt>
                <c:pt idx="15">
                  <c:v>0.80547945205479454</c:v>
                </c:pt>
                <c:pt idx="16">
                  <c:v>0.84383561643835614</c:v>
                </c:pt>
                <c:pt idx="17">
                  <c:v>0.84383561643835614</c:v>
                </c:pt>
                <c:pt idx="18">
                  <c:v>0.84383561643835614</c:v>
                </c:pt>
                <c:pt idx="19">
                  <c:v>0.88767123287671235</c:v>
                </c:pt>
                <c:pt idx="20">
                  <c:v>0.9726027397260274</c:v>
                </c:pt>
                <c:pt idx="21">
                  <c:v>1.010958904109589</c:v>
                </c:pt>
                <c:pt idx="22">
                  <c:v>1.010958904109589</c:v>
                </c:pt>
                <c:pt idx="23">
                  <c:v>1.010958904109589</c:v>
                </c:pt>
                <c:pt idx="24">
                  <c:v>1.010958904109589</c:v>
                </c:pt>
                <c:pt idx="25">
                  <c:v>1.010958904109589</c:v>
                </c:pt>
                <c:pt idx="26">
                  <c:v>1.010958904109589</c:v>
                </c:pt>
                <c:pt idx="27">
                  <c:v>1.0575342465753426</c:v>
                </c:pt>
                <c:pt idx="28">
                  <c:v>1.095890410958904</c:v>
                </c:pt>
                <c:pt idx="29">
                  <c:v>1.095890410958904</c:v>
                </c:pt>
                <c:pt idx="30">
                  <c:v>1.1397260273972603</c:v>
                </c:pt>
                <c:pt idx="31">
                  <c:v>1.1397260273972603</c:v>
                </c:pt>
                <c:pt idx="32">
                  <c:v>1.178082191780822</c:v>
                </c:pt>
                <c:pt idx="33">
                  <c:v>1.178082191780822</c:v>
                </c:pt>
                <c:pt idx="34">
                  <c:v>1.178082191780822</c:v>
                </c:pt>
                <c:pt idx="35">
                  <c:v>1.178082191780822</c:v>
                </c:pt>
                <c:pt idx="36">
                  <c:v>1.178082191780822</c:v>
                </c:pt>
                <c:pt idx="37">
                  <c:v>1.2246575342465753</c:v>
                </c:pt>
                <c:pt idx="38">
                  <c:v>1.263013698630137</c:v>
                </c:pt>
                <c:pt idx="39">
                  <c:v>1.263013698630137</c:v>
                </c:pt>
                <c:pt idx="40">
                  <c:v>1.263013698630137</c:v>
                </c:pt>
                <c:pt idx="41">
                  <c:v>1.263013698630137</c:v>
                </c:pt>
                <c:pt idx="42">
                  <c:v>1.263013698630137</c:v>
                </c:pt>
                <c:pt idx="43">
                  <c:v>1.2657534246575342</c:v>
                </c:pt>
                <c:pt idx="44">
                  <c:v>1.2657534246575342</c:v>
                </c:pt>
                <c:pt idx="45">
                  <c:v>1.3041095890410959</c:v>
                </c:pt>
                <c:pt idx="46">
                  <c:v>1.3068493150684932</c:v>
                </c:pt>
                <c:pt idx="47">
                  <c:v>1.3452054794520547</c:v>
                </c:pt>
                <c:pt idx="48">
                  <c:v>1.3452054794520547</c:v>
                </c:pt>
                <c:pt idx="49">
                  <c:v>1.3452054794520547</c:v>
                </c:pt>
                <c:pt idx="50">
                  <c:v>1.4136986301369863</c:v>
                </c:pt>
                <c:pt idx="51">
                  <c:v>1.4301369863013698</c:v>
                </c:pt>
                <c:pt idx="52">
                  <c:v>1.4301369863013698</c:v>
                </c:pt>
                <c:pt idx="53">
                  <c:v>1.4301369863013698</c:v>
                </c:pt>
                <c:pt idx="54">
                  <c:v>1.4301369863013698</c:v>
                </c:pt>
                <c:pt idx="55">
                  <c:v>1.4301369863013698</c:v>
                </c:pt>
                <c:pt idx="56">
                  <c:v>1.4767123287671233</c:v>
                </c:pt>
                <c:pt idx="57">
                  <c:v>1.4767123287671233</c:v>
                </c:pt>
                <c:pt idx="58">
                  <c:v>1.4767123287671233</c:v>
                </c:pt>
                <c:pt idx="59">
                  <c:v>1.515068493150685</c:v>
                </c:pt>
                <c:pt idx="60">
                  <c:v>1.515068493150685</c:v>
                </c:pt>
                <c:pt idx="61">
                  <c:v>1.515068493150685</c:v>
                </c:pt>
                <c:pt idx="62">
                  <c:v>1.515068493150685</c:v>
                </c:pt>
                <c:pt idx="63">
                  <c:v>1.515068493150685</c:v>
                </c:pt>
                <c:pt idx="64">
                  <c:v>1.515068493150685</c:v>
                </c:pt>
                <c:pt idx="65">
                  <c:v>1.515068493150685</c:v>
                </c:pt>
                <c:pt idx="66">
                  <c:v>1.515068493150685</c:v>
                </c:pt>
                <c:pt idx="67">
                  <c:v>1.515068493150685</c:v>
                </c:pt>
                <c:pt idx="68">
                  <c:v>1.5561643835616439</c:v>
                </c:pt>
                <c:pt idx="69">
                  <c:v>1.5561643835616439</c:v>
                </c:pt>
                <c:pt idx="70">
                  <c:v>1.5616438356164384</c:v>
                </c:pt>
                <c:pt idx="71">
                  <c:v>1.5643835616438355</c:v>
                </c:pt>
                <c:pt idx="72">
                  <c:v>1.5945205479452054</c:v>
                </c:pt>
                <c:pt idx="73">
                  <c:v>1.6383561643835616</c:v>
                </c:pt>
                <c:pt idx="74">
                  <c:v>1.6410958904109589</c:v>
                </c:pt>
                <c:pt idx="75">
                  <c:v>1.6410958904109589</c:v>
                </c:pt>
                <c:pt idx="76">
                  <c:v>1.6794520547945206</c:v>
                </c:pt>
                <c:pt idx="77">
                  <c:v>1.6794520547945206</c:v>
                </c:pt>
                <c:pt idx="78">
                  <c:v>1.7616438356164383</c:v>
                </c:pt>
                <c:pt idx="79">
                  <c:v>1.7616438356164383</c:v>
                </c:pt>
                <c:pt idx="80">
                  <c:v>1.7616438356164383</c:v>
                </c:pt>
                <c:pt idx="81">
                  <c:v>1.7616438356164383</c:v>
                </c:pt>
                <c:pt idx="82">
                  <c:v>1.7616438356164383</c:v>
                </c:pt>
                <c:pt idx="83">
                  <c:v>1.8027397260273972</c:v>
                </c:pt>
                <c:pt idx="84">
                  <c:v>1.8082191780821917</c:v>
                </c:pt>
                <c:pt idx="85">
                  <c:v>1.8082191780821917</c:v>
                </c:pt>
                <c:pt idx="86">
                  <c:v>1.8082191780821917</c:v>
                </c:pt>
                <c:pt idx="87">
                  <c:v>1.8465753424657534</c:v>
                </c:pt>
                <c:pt idx="88">
                  <c:v>1.8575342465753424</c:v>
                </c:pt>
                <c:pt idx="89">
                  <c:v>1.8904109589041096</c:v>
                </c:pt>
                <c:pt idx="90">
                  <c:v>1.9753424657534246</c:v>
                </c:pt>
                <c:pt idx="91">
                  <c:v>1.9753424657534246</c:v>
                </c:pt>
                <c:pt idx="92">
                  <c:v>2.0136986301369864</c:v>
                </c:pt>
                <c:pt idx="93">
                  <c:v>2.0136986301369864</c:v>
                </c:pt>
                <c:pt idx="94">
                  <c:v>2.0602739726027397</c:v>
                </c:pt>
                <c:pt idx="95">
                  <c:v>2.0602739726027397</c:v>
                </c:pt>
                <c:pt idx="96">
                  <c:v>2.1424657534246574</c:v>
                </c:pt>
                <c:pt idx="97">
                  <c:v>2.1424657534246574</c:v>
                </c:pt>
                <c:pt idx="98">
                  <c:v>2.1424657534246574</c:v>
                </c:pt>
                <c:pt idx="99">
                  <c:v>2.1561643835616437</c:v>
                </c:pt>
                <c:pt idx="100">
                  <c:v>2.1808219178082191</c:v>
                </c:pt>
                <c:pt idx="101">
                  <c:v>2.1808219178082191</c:v>
                </c:pt>
                <c:pt idx="102">
                  <c:v>2.1808219178082191</c:v>
                </c:pt>
                <c:pt idx="103">
                  <c:v>2.1863013698630138</c:v>
                </c:pt>
                <c:pt idx="104">
                  <c:v>2.2273972602739724</c:v>
                </c:pt>
                <c:pt idx="105">
                  <c:v>2.2273972602739724</c:v>
                </c:pt>
                <c:pt idx="106">
                  <c:v>2.2273972602739724</c:v>
                </c:pt>
                <c:pt idx="107">
                  <c:v>2.2273972602739724</c:v>
                </c:pt>
                <c:pt idx="108">
                  <c:v>2.2356164383561645</c:v>
                </c:pt>
                <c:pt idx="109">
                  <c:v>2.2657534246575342</c:v>
                </c:pt>
                <c:pt idx="110">
                  <c:v>2.2657534246575342</c:v>
                </c:pt>
                <c:pt idx="111">
                  <c:v>2.2657534246575342</c:v>
                </c:pt>
                <c:pt idx="112">
                  <c:v>2.2657534246575342</c:v>
                </c:pt>
                <c:pt idx="113">
                  <c:v>2.3095890410958906</c:v>
                </c:pt>
                <c:pt idx="114">
                  <c:v>2.3095890410958906</c:v>
                </c:pt>
                <c:pt idx="115">
                  <c:v>2.3287671232876712</c:v>
                </c:pt>
                <c:pt idx="116">
                  <c:v>2.3479452054794518</c:v>
                </c:pt>
                <c:pt idx="117">
                  <c:v>2.3479452054794518</c:v>
                </c:pt>
                <c:pt idx="118">
                  <c:v>2.3671232876712329</c:v>
                </c:pt>
                <c:pt idx="119">
                  <c:v>2.4328767123287673</c:v>
                </c:pt>
                <c:pt idx="120">
                  <c:v>2.4328767123287673</c:v>
                </c:pt>
                <c:pt idx="121">
                  <c:v>2.4328767123287673</c:v>
                </c:pt>
                <c:pt idx="122">
                  <c:v>2.4794520547945207</c:v>
                </c:pt>
                <c:pt idx="123">
                  <c:v>2.5178082191780824</c:v>
                </c:pt>
                <c:pt idx="124">
                  <c:v>2.5232876712328767</c:v>
                </c:pt>
                <c:pt idx="125">
                  <c:v>2.5397260273972604</c:v>
                </c:pt>
                <c:pt idx="126">
                  <c:v>2.5561643835616437</c:v>
                </c:pt>
                <c:pt idx="127">
                  <c:v>2.5561643835616437</c:v>
                </c:pt>
                <c:pt idx="128">
                  <c:v>2.5561643835616437</c:v>
                </c:pt>
                <c:pt idx="129">
                  <c:v>2.5945205479452054</c:v>
                </c:pt>
                <c:pt idx="130">
                  <c:v>2.5945205479452054</c:v>
                </c:pt>
                <c:pt idx="131">
                  <c:v>2.5945205479452054</c:v>
                </c:pt>
                <c:pt idx="132">
                  <c:v>2.6410958904109587</c:v>
                </c:pt>
                <c:pt idx="133">
                  <c:v>2.6410958904109587</c:v>
                </c:pt>
                <c:pt idx="134">
                  <c:v>2.6410958904109587</c:v>
                </c:pt>
                <c:pt idx="135">
                  <c:v>2.6794520547945204</c:v>
                </c:pt>
                <c:pt idx="136">
                  <c:v>2.6794520547945204</c:v>
                </c:pt>
                <c:pt idx="137">
                  <c:v>2.6794520547945204</c:v>
                </c:pt>
                <c:pt idx="138">
                  <c:v>2.6849315068493151</c:v>
                </c:pt>
                <c:pt idx="139">
                  <c:v>2.7232876712328768</c:v>
                </c:pt>
                <c:pt idx="140">
                  <c:v>2.7232876712328768</c:v>
                </c:pt>
                <c:pt idx="141">
                  <c:v>2.7232876712328768</c:v>
                </c:pt>
                <c:pt idx="142">
                  <c:v>2.7232876712328768</c:v>
                </c:pt>
                <c:pt idx="143">
                  <c:v>2.7616438356164386</c:v>
                </c:pt>
                <c:pt idx="144">
                  <c:v>2.7616438356164386</c:v>
                </c:pt>
                <c:pt idx="145">
                  <c:v>2.8082191780821919</c:v>
                </c:pt>
                <c:pt idx="146">
                  <c:v>2.8465753424657536</c:v>
                </c:pt>
                <c:pt idx="147">
                  <c:v>2.8465753424657536</c:v>
                </c:pt>
                <c:pt idx="148">
                  <c:v>2.8547945205479452</c:v>
                </c:pt>
                <c:pt idx="149">
                  <c:v>2.9287671232876713</c:v>
                </c:pt>
                <c:pt idx="150">
                  <c:v>2.9287671232876713</c:v>
                </c:pt>
                <c:pt idx="151">
                  <c:v>2.9287671232876713</c:v>
                </c:pt>
                <c:pt idx="152">
                  <c:v>2.9287671232876713</c:v>
                </c:pt>
                <c:pt idx="153">
                  <c:v>3.0136986301369864</c:v>
                </c:pt>
                <c:pt idx="154">
                  <c:v>3.0986301369863014</c:v>
                </c:pt>
                <c:pt idx="155">
                  <c:v>3.1424657534246574</c:v>
                </c:pt>
                <c:pt idx="156">
                  <c:v>3.1808219178082191</c:v>
                </c:pt>
                <c:pt idx="157">
                  <c:v>3.2273972602739724</c:v>
                </c:pt>
                <c:pt idx="158">
                  <c:v>3.3095890410958906</c:v>
                </c:pt>
                <c:pt idx="159">
                  <c:v>3.3479452054794518</c:v>
                </c:pt>
                <c:pt idx="160">
                  <c:v>3.3479452054794518</c:v>
                </c:pt>
                <c:pt idx="161">
                  <c:v>3.4328767123287673</c:v>
                </c:pt>
                <c:pt idx="162">
                  <c:v>3.4328767123287673</c:v>
                </c:pt>
                <c:pt idx="163">
                  <c:v>3.4328767123287673</c:v>
                </c:pt>
                <c:pt idx="164">
                  <c:v>3.4328767123287673</c:v>
                </c:pt>
                <c:pt idx="165">
                  <c:v>3.4328767123287673</c:v>
                </c:pt>
                <c:pt idx="166">
                  <c:v>3.4328767123287673</c:v>
                </c:pt>
                <c:pt idx="167">
                  <c:v>3.4794520547945207</c:v>
                </c:pt>
                <c:pt idx="168">
                  <c:v>3.4794520547945207</c:v>
                </c:pt>
                <c:pt idx="169">
                  <c:v>3.4794520547945207</c:v>
                </c:pt>
                <c:pt idx="170">
                  <c:v>3.4794520547945207</c:v>
                </c:pt>
                <c:pt idx="171">
                  <c:v>3.5178082191780824</c:v>
                </c:pt>
                <c:pt idx="172">
                  <c:v>3.5205479452054793</c:v>
                </c:pt>
                <c:pt idx="173">
                  <c:v>3.5561643835616437</c:v>
                </c:pt>
                <c:pt idx="174">
                  <c:v>3.5561643835616437</c:v>
                </c:pt>
                <c:pt idx="175">
                  <c:v>3.5753424657534247</c:v>
                </c:pt>
                <c:pt idx="176">
                  <c:v>3.5945205479452054</c:v>
                </c:pt>
                <c:pt idx="177">
                  <c:v>3.5945205479452054</c:v>
                </c:pt>
                <c:pt idx="178">
                  <c:v>3.5945205479452054</c:v>
                </c:pt>
                <c:pt idx="179">
                  <c:v>3.5945205479452054</c:v>
                </c:pt>
                <c:pt idx="180">
                  <c:v>3.5945205479452054</c:v>
                </c:pt>
                <c:pt idx="181">
                  <c:v>3.6410958904109587</c:v>
                </c:pt>
                <c:pt idx="182">
                  <c:v>3.6410958904109587</c:v>
                </c:pt>
                <c:pt idx="183">
                  <c:v>3.6794520547945204</c:v>
                </c:pt>
                <c:pt idx="184">
                  <c:v>3.7232876712328768</c:v>
                </c:pt>
                <c:pt idx="185">
                  <c:v>3.7616438356164386</c:v>
                </c:pt>
                <c:pt idx="186">
                  <c:v>3.7616438356164386</c:v>
                </c:pt>
                <c:pt idx="187">
                  <c:v>3.7616438356164386</c:v>
                </c:pt>
                <c:pt idx="188">
                  <c:v>3.8082191780821919</c:v>
                </c:pt>
                <c:pt idx="189">
                  <c:v>3.8082191780821919</c:v>
                </c:pt>
                <c:pt idx="190">
                  <c:v>3.8465753424657536</c:v>
                </c:pt>
                <c:pt idx="191">
                  <c:v>3.8465753424657536</c:v>
                </c:pt>
                <c:pt idx="192">
                  <c:v>3.8465753424657536</c:v>
                </c:pt>
                <c:pt idx="193">
                  <c:v>3.8904109589041096</c:v>
                </c:pt>
                <c:pt idx="194">
                  <c:v>3.9287671232876713</c:v>
                </c:pt>
                <c:pt idx="195">
                  <c:v>3.9753424657534246</c:v>
                </c:pt>
                <c:pt idx="196">
                  <c:v>3.9753424657534246</c:v>
                </c:pt>
                <c:pt idx="197">
                  <c:v>3.978082191780822</c:v>
                </c:pt>
                <c:pt idx="198">
                  <c:v>4.0136986301369859</c:v>
                </c:pt>
                <c:pt idx="199">
                  <c:v>4.0164383561643833</c:v>
                </c:pt>
                <c:pt idx="200">
                  <c:v>4.0164383561643833</c:v>
                </c:pt>
                <c:pt idx="201">
                  <c:v>4.0602739726027401</c:v>
                </c:pt>
                <c:pt idx="202">
                  <c:v>4.0986301369863014</c:v>
                </c:pt>
                <c:pt idx="203">
                  <c:v>4.0986301369863014</c:v>
                </c:pt>
                <c:pt idx="204">
                  <c:v>4.0986301369863014</c:v>
                </c:pt>
                <c:pt idx="205">
                  <c:v>4.0986301369863014</c:v>
                </c:pt>
                <c:pt idx="206">
                  <c:v>4.0986301369863014</c:v>
                </c:pt>
                <c:pt idx="207">
                  <c:v>4.0986301369863014</c:v>
                </c:pt>
                <c:pt idx="208">
                  <c:v>4.117808219178082</c:v>
                </c:pt>
                <c:pt idx="209">
                  <c:v>4.13972602739726</c:v>
                </c:pt>
                <c:pt idx="210">
                  <c:v>4.1424657534246574</c:v>
                </c:pt>
                <c:pt idx="211">
                  <c:v>4.1424657534246574</c:v>
                </c:pt>
                <c:pt idx="212">
                  <c:v>4.1424657534246574</c:v>
                </c:pt>
                <c:pt idx="213">
                  <c:v>4.1808219178082195</c:v>
                </c:pt>
                <c:pt idx="214">
                  <c:v>4.1808219178082195</c:v>
                </c:pt>
                <c:pt idx="215">
                  <c:v>4.1808219178082195</c:v>
                </c:pt>
                <c:pt idx="216">
                  <c:v>4.2273972602739729</c:v>
                </c:pt>
                <c:pt idx="217">
                  <c:v>4.2273972602739729</c:v>
                </c:pt>
                <c:pt idx="218">
                  <c:v>4.2273972602739729</c:v>
                </c:pt>
                <c:pt idx="219">
                  <c:v>4.2273972602739729</c:v>
                </c:pt>
                <c:pt idx="220">
                  <c:v>4.2657534246575342</c:v>
                </c:pt>
                <c:pt idx="221">
                  <c:v>4.2657534246575342</c:v>
                </c:pt>
                <c:pt idx="222">
                  <c:v>4.3095890410958901</c:v>
                </c:pt>
                <c:pt idx="223">
                  <c:v>4.3095890410958901</c:v>
                </c:pt>
                <c:pt idx="224">
                  <c:v>4.3479452054794523</c:v>
                </c:pt>
                <c:pt idx="225">
                  <c:v>4.3479452054794523</c:v>
                </c:pt>
                <c:pt idx="226">
                  <c:v>4.3479452054794523</c:v>
                </c:pt>
                <c:pt idx="227">
                  <c:v>4.3479452054794523</c:v>
                </c:pt>
                <c:pt idx="228">
                  <c:v>4.3479452054794523</c:v>
                </c:pt>
                <c:pt idx="229">
                  <c:v>4.4054794520547942</c:v>
                </c:pt>
                <c:pt idx="230">
                  <c:v>4.4246575342465757</c:v>
                </c:pt>
                <c:pt idx="231">
                  <c:v>4.4301369863013695</c:v>
                </c:pt>
                <c:pt idx="232">
                  <c:v>4.4328767123287669</c:v>
                </c:pt>
                <c:pt idx="233">
                  <c:v>4.4328767123287669</c:v>
                </c:pt>
                <c:pt idx="234">
                  <c:v>4.4328767123287669</c:v>
                </c:pt>
                <c:pt idx="235">
                  <c:v>4.4328767123287669</c:v>
                </c:pt>
                <c:pt idx="236">
                  <c:v>4.4328767123287669</c:v>
                </c:pt>
                <c:pt idx="237">
                  <c:v>4.4328767123287669</c:v>
                </c:pt>
                <c:pt idx="238">
                  <c:v>4.4739726027397264</c:v>
                </c:pt>
                <c:pt idx="239">
                  <c:v>4.4739726027397264</c:v>
                </c:pt>
                <c:pt idx="240">
                  <c:v>4.4794520547945202</c:v>
                </c:pt>
                <c:pt idx="241">
                  <c:v>4.4821917808219176</c:v>
                </c:pt>
                <c:pt idx="242">
                  <c:v>4.5178082191780824</c:v>
                </c:pt>
                <c:pt idx="243">
                  <c:v>4.5178082191780824</c:v>
                </c:pt>
                <c:pt idx="244">
                  <c:v>4.5178082191780824</c:v>
                </c:pt>
                <c:pt idx="245">
                  <c:v>4.536986301369863</c:v>
                </c:pt>
                <c:pt idx="246">
                  <c:v>4.5561643835616437</c:v>
                </c:pt>
                <c:pt idx="247">
                  <c:v>4.5917808219178085</c:v>
                </c:pt>
                <c:pt idx="248">
                  <c:v>4.5945205479452058</c:v>
                </c:pt>
                <c:pt idx="249">
                  <c:v>4.5945205479452058</c:v>
                </c:pt>
                <c:pt idx="250">
                  <c:v>4.5945205479452058</c:v>
                </c:pt>
                <c:pt idx="251">
                  <c:v>4.5945205479452058</c:v>
                </c:pt>
                <c:pt idx="252">
                  <c:v>4.5945205479452058</c:v>
                </c:pt>
                <c:pt idx="253">
                  <c:v>4.5945205479452058</c:v>
                </c:pt>
                <c:pt idx="254">
                  <c:v>4.6410958904109592</c:v>
                </c:pt>
                <c:pt idx="255">
                  <c:v>4.6410958904109592</c:v>
                </c:pt>
                <c:pt idx="256">
                  <c:v>4.6410958904109592</c:v>
                </c:pt>
                <c:pt idx="257">
                  <c:v>4.6410958904109592</c:v>
                </c:pt>
                <c:pt idx="258">
                  <c:v>4.6410958904109592</c:v>
                </c:pt>
                <c:pt idx="259">
                  <c:v>4.6794520547945204</c:v>
                </c:pt>
                <c:pt idx="260">
                  <c:v>4.6794520547945204</c:v>
                </c:pt>
                <c:pt idx="261">
                  <c:v>4.6794520547945204</c:v>
                </c:pt>
                <c:pt idx="262">
                  <c:v>4.720547945205479</c:v>
                </c:pt>
                <c:pt idx="263">
                  <c:v>4.7232876712328764</c:v>
                </c:pt>
                <c:pt idx="264">
                  <c:v>4.7232876712328764</c:v>
                </c:pt>
                <c:pt idx="265">
                  <c:v>4.7232876712328764</c:v>
                </c:pt>
                <c:pt idx="266">
                  <c:v>4.7232876712328764</c:v>
                </c:pt>
                <c:pt idx="267">
                  <c:v>4.7260273972602738</c:v>
                </c:pt>
                <c:pt idx="268">
                  <c:v>4.7616438356164386</c:v>
                </c:pt>
                <c:pt idx="269">
                  <c:v>4.7616438356164386</c:v>
                </c:pt>
                <c:pt idx="270">
                  <c:v>4.7616438356164386</c:v>
                </c:pt>
                <c:pt idx="271">
                  <c:v>4.8082191780821919</c:v>
                </c:pt>
                <c:pt idx="272">
                  <c:v>4.8082191780821919</c:v>
                </c:pt>
                <c:pt idx="273">
                  <c:v>4.8410958904109593</c:v>
                </c:pt>
                <c:pt idx="274">
                  <c:v>4.8465753424657532</c:v>
                </c:pt>
                <c:pt idx="275">
                  <c:v>4.8465753424657532</c:v>
                </c:pt>
                <c:pt idx="276">
                  <c:v>4.8465753424657532</c:v>
                </c:pt>
                <c:pt idx="277">
                  <c:v>4.86027397260274</c:v>
                </c:pt>
                <c:pt idx="278">
                  <c:v>4.8904109589041092</c:v>
                </c:pt>
                <c:pt idx="279">
                  <c:v>4.9205479452054792</c:v>
                </c:pt>
                <c:pt idx="280">
                  <c:v>4.9287671232876713</c:v>
                </c:pt>
                <c:pt idx="281">
                  <c:v>4.9287671232876713</c:v>
                </c:pt>
                <c:pt idx="282">
                  <c:v>4.9287671232876713</c:v>
                </c:pt>
                <c:pt idx="283">
                  <c:v>4.9287671232876713</c:v>
                </c:pt>
                <c:pt idx="284">
                  <c:v>4.9287671232876713</c:v>
                </c:pt>
                <c:pt idx="285">
                  <c:v>4.9753424657534246</c:v>
                </c:pt>
                <c:pt idx="286">
                  <c:v>5.0136986301369859</c:v>
                </c:pt>
                <c:pt idx="287">
                  <c:v>5.0136986301369859</c:v>
                </c:pt>
                <c:pt idx="288">
                  <c:v>5.0136986301369859</c:v>
                </c:pt>
                <c:pt idx="289">
                  <c:v>5.0986301369863014</c:v>
                </c:pt>
                <c:pt idx="290">
                  <c:v>5.0986301369863014</c:v>
                </c:pt>
                <c:pt idx="291">
                  <c:v>5.0986301369863014</c:v>
                </c:pt>
                <c:pt idx="292">
                  <c:v>5.13972602739726</c:v>
                </c:pt>
                <c:pt idx="293">
                  <c:v>5.1424657534246574</c:v>
                </c:pt>
                <c:pt idx="294">
                  <c:v>5.1808219178082195</c:v>
                </c:pt>
                <c:pt idx="295">
                  <c:v>5.2273972602739729</c:v>
                </c:pt>
                <c:pt idx="296">
                  <c:v>5.2273972602739729</c:v>
                </c:pt>
                <c:pt idx="297">
                  <c:v>5.2657534246575342</c:v>
                </c:pt>
                <c:pt idx="298">
                  <c:v>5.4328767123287669</c:v>
                </c:pt>
                <c:pt idx="299">
                  <c:v>5.4328767123287669</c:v>
                </c:pt>
                <c:pt idx="300">
                  <c:v>5.5178082191780824</c:v>
                </c:pt>
                <c:pt idx="301">
                  <c:v>5.5178082191780824</c:v>
                </c:pt>
                <c:pt idx="302">
                  <c:v>5.5972602739726032</c:v>
                </c:pt>
                <c:pt idx="303">
                  <c:v>5.5972602739726032</c:v>
                </c:pt>
                <c:pt idx="304">
                  <c:v>5.5972602739726032</c:v>
                </c:pt>
                <c:pt idx="305">
                  <c:v>5.5972602739726032</c:v>
                </c:pt>
                <c:pt idx="306">
                  <c:v>5.5972602739726032</c:v>
                </c:pt>
                <c:pt idx="307">
                  <c:v>5.5972602739726032</c:v>
                </c:pt>
                <c:pt idx="308">
                  <c:v>5.5972602739726032</c:v>
                </c:pt>
                <c:pt idx="309">
                  <c:v>5.5972602739726032</c:v>
                </c:pt>
                <c:pt idx="310">
                  <c:v>5.6438356164383565</c:v>
                </c:pt>
                <c:pt idx="311">
                  <c:v>5.6438356164383565</c:v>
                </c:pt>
                <c:pt idx="312">
                  <c:v>5.6821917808219178</c:v>
                </c:pt>
                <c:pt idx="313">
                  <c:v>5.6821917808219178</c:v>
                </c:pt>
                <c:pt idx="314">
                  <c:v>5.6821917808219178</c:v>
                </c:pt>
                <c:pt idx="315">
                  <c:v>5.7260273972602738</c:v>
                </c:pt>
                <c:pt idx="316">
                  <c:v>5.7260273972602738</c:v>
                </c:pt>
                <c:pt idx="317">
                  <c:v>5.8109589041095893</c:v>
                </c:pt>
                <c:pt idx="318">
                  <c:v>5.8109589041095893</c:v>
                </c:pt>
                <c:pt idx="319">
                  <c:v>5.8493150684931505</c:v>
                </c:pt>
                <c:pt idx="320">
                  <c:v>5.8767123287671232</c:v>
                </c:pt>
                <c:pt idx="321">
                  <c:v>5.8904109589041092</c:v>
                </c:pt>
                <c:pt idx="322">
                  <c:v>5.8931506849315065</c:v>
                </c:pt>
                <c:pt idx="323">
                  <c:v>5.9315068493150687</c:v>
                </c:pt>
                <c:pt idx="324">
                  <c:v>6.0164383561643833</c:v>
                </c:pt>
                <c:pt idx="325">
                  <c:v>6.0164383561643833</c:v>
                </c:pt>
                <c:pt idx="326">
                  <c:v>6.0164383561643833</c:v>
                </c:pt>
                <c:pt idx="327">
                  <c:v>6.0630136986301366</c:v>
                </c:pt>
                <c:pt idx="328">
                  <c:v>6.0630136986301366</c:v>
                </c:pt>
                <c:pt idx="329">
                  <c:v>6.1013698630136988</c:v>
                </c:pt>
                <c:pt idx="330">
                  <c:v>6.1013698630136988</c:v>
                </c:pt>
                <c:pt idx="331">
                  <c:v>6.1013698630136988</c:v>
                </c:pt>
                <c:pt idx="332">
                  <c:v>6.1452054794520548</c:v>
                </c:pt>
                <c:pt idx="333">
                  <c:v>6.1452054794520548</c:v>
                </c:pt>
                <c:pt idx="334">
                  <c:v>6.183561643835616</c:v>
                </c:pt>
                <c:pt idx="335">
                  <c:v>6.183561643835616</c:v>
                </c:pt>
                <c:pt idx="336">
                  <c:v>6.183561643835616</c:v>
                </c:pt>
                <c:pt idx="337">
                  <c:v>6.2246575342465755</c:v>
                </c:pt>
                <c:pt idx="338">
                  <c:v>6.4356164383561643</c:v>
                </c:pt>
                <c:pt idx="339">
                  <c:v>6.4356164383561643</c:v>
                </c:pt>
                <c:pt idx="340">
                  <c:v>6.4356164383561643</c:v>
                </c:pt>
                <c:pt idx="341">
                  <c:v>6.4356164383561643</c:v>
                </c:pt>
                <c:pt idx="342">
                  <c:v>6.4821917808219176</c:v>
                </c:pt>
                <c:pt idx="343">
                  <c:v>6.5205479452054798</c:v>
                </c:pt>
                <c:pt idx="344">
                  <c:v>6.5205479452054798</c:v>
                </c:pt>
                <c:pt idx="345">
                  <c:v>6.5205479452054798</c:v>
                </c:pt>
                <c:pt idx="346">
                  <c:v>6.558904109589041</c:v>
                </c:pt>
                <c:pt idx="347">
                  <c:v>6.558904109589041</c:v>
                </c:pt>
                <c:pt idx="348">
                  <c:v>6.558904109589041</c:v>
                </c:pt>
                <c:pt idx="349">
                  <c:v>6.5972602739726032</c:v>
                </c:pt>
                <c:pt idx="350">
                  <c:v>6.6438356164383565</c:v>
                </c:pt>
                <c:pt idx="351">
                  <c:v>6.6876712328767125</c:v>
                </c:pt>
                <c:pt idx="352">
                  <c:v>6.7260273972602738</c:v>
                </c:pt>
                <c:pt idx="353">
                  <c:v>6.7643835616438359</c:v>
                </c:pt>
                <c:pt idx="354">
                  <c:v>6.7643835616438359</c:v>
                </c:pt>
                <c:pt idx="355">
                  <c:v>6.8109589041095893</c:v>
                </c:pt>
                <c:pt idx="356">
                  <c:v>6.8493150684931505</c:v>
                </c:pt>
                <c:pt idx="357">
                  <c:v>6.8931506849315065</c:v>
                </c:pt>
                <c:pt idx="358">
                  <c:v>6.9315068493150687</c:v>
                </c:pt>
                <c:pt idx="359">
                  <c:v>6.978082191780822</c:v>
                </c:pt>
                <c:pt idx="360">
                  <c:v>6.978082191780822</c:v>
                </c:pt>
                <c:pt idx="361">
                  <c:v>7.0164383561643833</c:v>
                </c:pt>
                <c:pt idx="362">
                  <c:v>7.1013698630136988</c:v>
                </c:pt>
                <c:pt idx="363">
                  <c:v>7.2684931506849315</c:v>
                </c:pt>
                <c:pt idx="364">
                  <c:v>7.2684931506849315</c:v>
                </c:pt>
                <c:pt idx="365">
                  <c:v>7.3123287671232875</c:v>
                </c:pt>
                <c:pt idx="366">
                  <c:v>7.3123287671232875</c:v>
                </c:pt>
                <c:pt idx="367">
                  <c:v>7.3342465753424655</c:v>
                </c:pt>
                <c:pt idx="368">
                  <c:v>7.3506849315068497</c:v>
                </c:pt>
                <c:pt idx="369">
                  <c:v>7.3506849315068497</c:v>
                </c:pt>
                <c:pt idx="370">
                  <c:v>7.3506849315068497</c:v>
                </c:pt>
                <c:pt idx="371">
                  <c:v>7.4356164383561643</c:v>
                </c:pt>
                <c:pt idx="372">
                  <c:v>7.4356164383561643</c:v>
                </c:pt>
                <c:pt idx="373">
                  <c:v>7.4356164383561643</c:v>
                </c:pt>
                <c:pt idx="374">
                  <c:v>7.5205479452054798</c:v>
                </c:pt>
                <c:pt idx="375">
                  <c:v>7.558904109589041</c:v>
                </c:pt>
                <c:pt idx="376">
                  <c:v>7.558904109589041</c:v>
                </c:pt>
                <c:pt idx="377">
                  <c:v>7.5972602739726032</c:v>
                </c:pt>
                <c:pt idx="378">
                  <c:v>7.5972602739726032</c:v>
                </c:pt>
                <c:pt idx="379">
                  <c:v>7.6438356164383565</c:v>
                </c:pt>
                <c:pt idx="380">
                  <c:v>7.6821917808219178</c:v>
                </c:pt>
                <c:pt idx="381">
                  <c:v>7.6821917808219178</c:v>
                </c:pt>
                <c:pt idx="382">
                  <c:v>7.8109589041095893</c:v>
                </c:pt>
                <c:pt idx="383">
                  <c:v>7.8493150684931505</c:v>
                </c:pt>
                <c:pt idx="384">
                  <c:v>7.8904109589041092</c:v>
                </c:pt>
                <c:pt idx="385">
                  <c:v>7.8931506849315065</c:v>
                </c:pt>
                <c:pt idx="386">
                  <c:v>7.9315068493150687</c:v>
                </c:pt>
                <c:pt idx="387">
                  <c:v>8.0164383561643842</c:v>
                </c:pt>
                <c:pt idx="388">
                  <c:v>8.1013698630136979</c:v>
                </c:pt>
                <c:pt idx="389">
                  <c:v>8.1013698630136979</c:v>
                </c:pt>
                <c:pt idx="390">
                  <c:v>8.1424657534246574</c:v>
                </c:pt>
                <c:pt idx="391">
                  <c:v>8.1452054794520556</c:v>
                </c:pt>
                <c:pt idx="392">
                  <c:v>8.1835616438356169</c:v>
                </c:pt>
                <c:pt idx="393">
                  <c:v>8.2684931506849306</c:v>
                </c:pt>
                <c:pt idx="394">
                  <c:v>8.2684931506849306</c:v>
                </c:pt>
                <c:pt idx="395">
                  <c:v>8.3123287671232884</c:v>
                </c:pt>
                <c:pt idx="396">
                  <c:v>8.4356164383561651</c:v>
                </c:pt>
                <c:pt idx="397">
                  <c:v>8.4356164383561651</c:v>
                </c:pt>
                <c:pt idx="398">
                  <c:v>8.4821917808219176</c:v>
                </c:pt>
                <c:pt idx="399">
                  <c:v>8.5205479452054789</c:v>
                </c:pt>
                <c:pt idx="400">
                  <c:v>8.5205479452054789</c:v>
                </c:pt>
                <c:pt idx="401">
                  <c:v>8.5589041095890419</c:v>
                </c:pt>
                <c:pt idx="402">
                  <c:v>8.6438356164383556</c:v>
                </c:pt>
                <c:pt idx="403">
                  <c:v>8.7260273972602747</c:v>
                </c:pt>
                <c:pt idx="404">
                  <c:v>8.7260273972602747</c:v>
                </c:pt>
                <c:pt idx="405">
                  <c:v>8.7643835616438359</c:v>
                </c:pt>
                <c:pt idx="406">
                  <c:v>8.7643835616438359</c:v>
                </c:pt>
                <c:pt idx="407">
                  <c:v>8.8109589041095884</c:v>
                </c:pt>
                <c:pt idx="408">
                  <c:v>8.8109589041095884</c:v>
                </c:pt>
                <c:pt idx="409">
                  <c:v>8.8109589041095884</c:v>
                </c:pt>
                <c:pt idx="410">
                  <c:v>8.8493150684931514</c:v>
                </c:pt>
                <c:pt idx="411">
                  <c:v>8.8493150684931514</c:v>
                </c:pt>
                <c:pt idx="412">
                  <c:v>8.8493150684931514</c:v>
                </c:pt>
                <c:pt idx="413">
                  <c:v>8.8493150684931514</c:v>
                </c:pt>
                <c:pt idx="414">
                  <c:v>9.1452054794520556</c:v>
                </c:pt>
                <c:pt idx="415">
                  <c:v>9.1452054794520556</c:v>
                </c:pt>
                <c:pt idx="416">
                  <c:v>9.1726027397260275</c:v>
                </c:pt>
                <c:pt idx="417">
                  <c:v>9.1835616438356169</c:v>
                </c:pt>
                <c:pt idx="418">
                  <c:v>9.1835616438356169</c:v>
                </c:pt>
                <c:pt idx="419">
                  <c:v>9.2684931506849306</c:v>
                </c:pt>
                <c:pt idx="420">
                  <c:v>9.8136986301369866</c:v>
                </c:pt>
                <c:pt idx="421">
                  <c:v>9.8520547945205479</c:v>
                </c:pt>
                <c:pt idx="422">
                  <c:v>9.8520547945205479</c:v>
                </c:pt>
                <c:pt idx="423">
                  <c:v>10.019178082191781</c:v>
                </c:pt>
              </c:numCache>
            </c:numRef>
          </c:xVal>
          <c:yVal>
            <c:numRef>
              <c:f>Sheet1!$F$4:$F$427</c:f>
              <c:numCache>
                <c:formatCode>0.00%</c:formatCode>
                <c:ptCount val="424"/>
                <c:pt idx="0">
                  <c:v>2.2360000000000001E-2</c:v>
                </c:pt>
                <c:pt idx="1">
                  <c:v>1.617E-2</c:v>
                </c:pt>
                <c:pt idx="2">
                  <c:v>2.0320000000000001E-2</c:v>
                </c:pt>
                <c:pt idx="3">
                  <c:v>2.53E-2</c:v>
                </c:pt>
                <c:pt idx="4">
                  <c:v>2.5559999999999999E-2</c:v>
                </c:pt>
                <c:pt idx="5">
                  <c:v>2.4990000000000002E-2</c:v>
                </c:pt>
                <c:pt idx="6">
                  <c:v>2.5939999999999998E-2</c:v>
                </c:pt>
                <c:pt idx="7">
                  <c:v>2.7779999999999999E-2</c:v>
                </c:pt>
                <c:pt idx="8">
                  <c:v>3.0099999999999998E-2</c:v>
                </c:pt>
                <c:pt idx="9">
                  <c:v>2.673E-2</c:v>
                </c:pt>
                <c:pt idx="10">
                  <c:v>2.6789999999999998E-2</c:v>
                </c:pt>
                <c:pt idx="11">
                  <c:v>3.0520000000000002E-2</c:v>
                </c:pt>
                <c:pt idx="12">
                  <c:v>2.886E-2</c:v>
                </c:pt>
                <c:pt idx="13">
                  <c:v>2.9350000000000001E-2</c:v>
                </c:pt>
                <c:pt idx="14">
                  <c:v>2.8839999999999998E-2</c:v>
                </c:pt>
                <c:pt idx="15">
                  <c:v>2.8660000000000001E-2</c:v>
                </c:pt>
                <c:pt idx="16">
                  <c:v>3.0769999999999999E-2</c:v>
                </c:pt>
                <c:pt idx="17">
                  <c:v>3.1099999999999999E-2</c:v>
                </c:pt>
                <c:pt idx="18">
                  <c:v>3.1030000000000002E-2</c:v>
                </c:pt>
                <c:pt idx="19">
                  <c:v>3.0800000000000001E-2</c:v>
                </c:pt>
                <c:pt idx="20">
                  <c:v>3.4419999999999999E-2</c:v>
                </c:pt>
                <c:pt idx="21">
                  <c:v>3.3250000000000002E-2</c:v>
                </c:pt>
                <c:pt idx="22">
                  <c:v>3.4750000000000003E-2</c:v>
                </c:pt>
                <c:pt idx="23">
                  <c:v>3.5740000000000001E-2</c:v>
                </c:pt>
                <c:pt idx="24">
                  <c:v>3.4390000000000004E-2</c:v>
                </c:pt>
                <c:pt idx="25">
                  <c:v>3.5549999999999998E-2</c:v>
                </c:pt>
                <c:pt idx="26">
                  <c:v>3.5880000000000002E-2</c:v>
                </c:pt>
                <c:pt idx="27">
                  <c:v>3.6560000000000002E-2</c:v>
                </c:pt>
                <c:pt idx="28">
                  <c:v>3.9220000000000005E-2</c:v>
                </c:pt>
                <c:pt idx="29">
                  <c:v>3.7810000000000003E-2</c:v>
                </c:pt>
                <c:pt idx="30">
                  <c:v>3.6159999999999998E-2</c:v>
                </c:pt>
                <c:pt idx="31">
                  <c:v>3.8280000000000002E-2</c:v>
                </c:pt>
                <c:pt idx="32">
                  <c:v>3.8780000000000002E-2</c:v>
                </c:pt>
                <c:pt idx="33">
                  <c:v>3.8650000000000004E-2</c:v>
                </c:pt>
                <c:pt idx="34">
                  <c:v>3.8159999999999999E-2</c:v>
                </c:pt>
                <c:pt idx="35">
                  <c:v>4.2000000000000003E-2</c:v>
                </c:pt>
                <c:pt idx="36">
                  <c:v>2.2440000000000002E-2</c:v>
                </c:pt>
                <c:pt idx="37">
                  <c:v>3.866E-2</c:v>
                </c:pt>
                <c:pt idx="38">
                  <c:v>3.9699999999999999E-2</c:v>
                </c:pt>
                <c:pt idx="39">
                  <c:v>3.9550000000000002E-2</c:v>
                </c:pt>
                <c:pt idx="40">
                  <c:v>3.918E-2</c:v>
                </c:pt>
                <c:pt idx="41">
                  <c:v>4.3029999999999999E-2</c:v>
                </c:pt>
                <c:pt idx="42">
                  <c:v>3.9670000000000004E-2</c:v>
                </c:pt>
                <c:pt idx="43">
                  <c:v>4.0689999999999997E-2</c:v>
                </c:pt>
                <c:pt idx="44">
                  <c:v>4.5519999999999998E-2</c:v>
                </c:pt>
                <c:pt idx="45">
                  <c:v>3.9620000000000002E-2</c:v>
                </c:pt>
                <c:pt idx="46">
                  <c:v>4.156E-2</c:v>
                </c:pt>
                <c:pt idx="47">
                  <c:v>4.1390000000000003E-2</c:v>
                </c:pt>
                <c:pt idx="48">
                  <c:v>4.2130000000000001E-2</c:v>
                </c:pt>
                <c:pt idx="49">
                  <c:v>3.9050000000000001E-2</c:v>
                </c:pt>
                <c:pt idx="50">
                  <c:v>3.9740000000000004E-2</c:v>
                </c:pt>
                <c:pt idx="51">
                  <c:v>4.2180000000000002E-2</c:v>
                </c:pt>
                <c:pt idx="52">
                  <c:v>4.2130000000000001E-2</c:v>
                </c:pt>
                <c:pt idx="53">
                  <c:v>4.3139999999999998E-2</c:v>
                </c:pt>
                <c:pt idx="54">
                  <c:v>4.2430000000000002E-2</c:v>
                </c:pt>
                <c:pt idx="55">
                  <c:v>4.2169999999999999E-2</c:v>
                </c:pt>
                <c:pt idx="56">
                  <c:v>4.3540000000000002E-2</c:v>
                </c:pt>
                <c:pt idx="57">
                  <c:v>4.24E-2</c:v>
                </c:pt>
                <c:pt idx="58">
                  <c:v>4.1110000000000001E-2</c:v>
                </c:pt>
                <c:pt idx="59">
                  <c:v>4.7100000000000003E-2</c:v>
                </c:pt>
                <c:pt idx="60">
                  <c:v>4.4969999999999996E-2</c:v>
                </c:pt>
                <c:pt idx="61">
                  <c:v>3.9960000000000002E-2</c:v>
                </c:pt>
                <c:pt idx="62">
                  <c:v>4.274E-2</c:v>
                </c:pt>
                <c:pt idx="63">
                  <c:v>4.4800000000000006E-2</c:v>
                </c:pt>
                <c:pt idx="64">
                  <c:v>4.2950000000000002E-2</c:v>
                </c:pt>
                <c:pt idx="65">
                  <c:v>4.0839999999999994E-2</c:v>
                </c:pt>
                <c:pt idx="66">
                  <c:v>4.1599999999999998E-2</c:v>
                </c:pt>
                <c:pt idx="67">
                  <c:v>4.487E-2</c:v>
                </c:pt>
                <c:pt idx="68">
                  <c:v>4.3110000000000002E-2</c:v>
                </c:pt>
                <c:pt idx="69">
                  <c:v>4.249E-2</c:v>
                </c:pt>
                <c:pt idx="70">
                  <c:v>4.317E-2</c:v>
                </c:pt>
                <c:pt idx="71">
                  <c:v>4.2900000000000001E-2</c:v>
                </c:pt>
                <c:pt idx="72">
                  <c:v>4.4260000000000001E-2</c:v>
                </c:pt>
                <c:pt idx="73">
                  <c:v>4.5629999999999997E-2</c:v>
                </c:pt>
                <c:pt idx="74">
                  <c:v>4.3230000000000005E-2</c:v>
                </c:pt>
                <c:pt idx="75">
                  <c:v>4.2859999999999995E-2</c:v>
                </c:pt>
                <c:pt idx="76">
                  <c:v>4.4569999999999999E-2</c:v>
                </c:pt>
                <c:pt idx="77">
                  <c:v>4.351E-2</c:v>
                </c:pt>
                <c:pt idx="78">
                  <c:v>4.3459999999999999E-2</c:v>
                </c:pt>
                <c:pt idx="79">
                  <c:v>4.5629999999999997E-2</c:v>
                </c:pt>
                <c:pt idx="80">
                  <c:v>4.3659999999999997E-2</c:v>
                </c:pt>
                <c:pt idx="81">
                  <c:v>4.5839999999999999E-2</c:v>
                </c:pt>
                <c:pt idx="82">
                  <c:v>4.3240000000000001E-2</c:v>
                </c:pt>
                <c:pt idx="83">
                  <c:v>4.4050000000000006E-2</c:v>
                </c:pt>
                <c:pt idx="84">
                  <c:v>4.6519999999999999E-2</c:v>
                </c:pt>
                <c:pt idx="85">
                  <c:v>4.6079999999999996E-2</c:v>
                </c:pt>
                <c:pt idx="86">
                  <c:v>4.3890000000000005E-2</c:v>
                </c:pt>
                <c:pt idx="87">
                  <c:v>4.5759999999999995E-2</c:v>
                </c:pt>
                <c:pt idx="88">
                  <c:v>4.6519999999999999E-2</c:v>
                </c:pt>
                <c:pt idx="89">
                  <c:v>4.5449999999999997E-2</c:v>
                </c:pt>
                <c:pt idx="90">
                  <c:v>4.5890000000000007E-2</c:v>
                </c:pt>
                <c:pt idx="91">
                  <c:v>4.6330000000000003E-2</c:v>
                </c:pt>
                <c:pt idx="92">
                  <c:v>4.4979999999999999E-2</c:v>
                </c:pt>
                <c:pt idx="93">
                  <c:v>4.2069999999999996E-2</c:v>
                </c:pt>
                <c:pt idx="94">
                  <c:v>4.6460000000000001E-2</c:v>
                </c:pt>
                <c:pt idx="95">
                  <c:v>4.5869999999999994E-2</c:v>
                </c:pt>
                <c:pt idx="96">
                  <c:v>4.6559999999999997E-2</c:v>
                </c:pt>
                <c:pt idx="97">
                  <c:v>4.5449999999999997E-2</c:v>
                </c:pt>
                <c:pt idx="98">
                  <c:v>4.7880000000000006E-2</c:v>
                </c:pt>
                <c:pt idx="99">
                  <c:v>4.9610000000000001E-2</c:v>
                </c:pt>
                <c:pt idx="100">
                  <c:v>4.7259999999999996E-2</c:v>
                </c:pt>
                <c:pt idx="101">
                  <c:v>4.6809999999999997E-2</c:v>
                </c:pt>
                <c:pt idx="102">
                  <c:v>4.9029999999999997E-2</c:v>
                </c:pt>
                <c:pt idx="103">
                  <c:v>4.6719999999999998E-2</c:v>
                </c:pt>
                <c:pt idx="104">
                  <c:v>5.0019999999999995E-2</c:v>
                </c:pt>
                <c:pt idx="105">
                  <c:v>4.6849999999999996E-2</c:v>
                </c:pt>
                <c:pt idx="106">
                  <c:v>4.5730000000000007E-2</c:v>
                </c:pt>
                <c:pt idx="107">
                  <c:v>4.4989999999999995E-2</c:v>
                </c:pt>
                <c:pt idx="108">
                  <c:v>4.6799999999999994E-2</c:v>
                </c:pt>
                <c:pt idx="109">
                  <c:v>4.6249999999999999E-2</c:v>
                </c:pt>
                <c:pt idx="110">
                  <c:v>4.6050000000000008E-2</c:v>
                </c:pt>
                <c:pt idx="111">
                  <c:v>4.6849999999999996E-2</c:v>
                </c:pt>
                <c:pt idx="112">
                  <c:v>4.6089999999999999E-2</c:v>
                </c:pt>
                <c:pt idx="113">
                  <c:v>4.6349999999999995E-2</c:v>
                </c:pt>
                <c:pt idx="114">
                  <c:v>4.8730000000000002E-2</c:v>
                </c:pt>
                <c:pt idx="115">
                  <c:v>5.0819999999999997E-2</c:v>
                </c:pt>
                <c:pt idx="116">
                  <c:v>4.8529999999999997E-2</c:v>
                </c:pt>
                <c:pt idx="117">
                  <c:v>4.8239999999999998E-2</c:v>
                </c:pt>
                <c:pt idx="118">
                  <c:v>5.1929999999999997E-2</c:v>
                </c:pt>
                <c:pt idx="119">
                  <c:v>4.9980000000000004E-2</c:v>
                </c:pt>
                <c:pt idx="120">
                  <c:v>4.8280000000000003E-2</c:v>
                </c:pt>
                <c:pt idx="121">
                  <c:v>5.1150000000000001E-2</c:v>
                </c:pt>
                <c:pt idx="122">
                  <c:v>5.1459999999999999E-2</c:v>
                </c:pt>
                <c:pt idx="123">
                  <c:v>5.0890000000000005E-2</c:v>
                </c:pt>
                <c:pt idx="124">
                  <c:v>4.777E-2</c:v>
                </c:pt>
                <c:pt idx="125">
                  <c:v>4.8390000000000002E-2</c:v>
                </c:pt>
                <c:pt idx="126">
                  <c:v>5.0750000000000003E-2</c:v>
                </c:pt>
                <c:pt idx="127">
                  <c:v>4.7840000000000001E-2</c:v>
                </c:pt>
                <c:pt idx="128">
                  <c:v>4.6989999999999997E-2</c:v>
                </c:pt>
                <c:pt idx="129">
                  <c:v>4.6340000000000006E-2</c:v>
                </c:pt>
                <c:pt idx="130">
                  <c:v>4.9439999999999998E-2</c:v>
                </c:pt>
                <c:pt idx="131">
                  <c:v>4.7309999999999998E-2</c:v>
                </c:pt>
                <c:pt idx="132">
                  <c:v>4.7390000000000002E-2</c:v>
                </c:pt>
                <c:pt idx="133">
                  <c:v>4.854E-2</c:v>
                </c:pt>
                <c:pt idx="134">
                  <c:v>5.457E-2</c:v>
                </c:pt>
                <c:pt idx="135">
                  <c:v>4.8379999999999999E-2</c:v>
                </c:pt>
                <c:pt idx="136">
                  <c:v>4.9279999999999997E-2</c:v>
                </c:pt>
                <c:pt idx="137">
                  <c:v>4.8579999999999998E-2</c:v>
                </c:pt>
                <c:pt idx="138">
                  <c:v>4.9930000000000002E-2</c:v>
                </c:pt>
                <c:pt idx="139">
                  <c:v>4.7149999999999997E-2</c:v>
                </c:pt>
                <c:pt idx="140">
                  <c:v>4.8710000000000003E-2</c:v>
                </c:pt>
                <c:pt idx="141">
                  <c:v>4.8750000000000002E-2</c:v>
                </c:pt>
                <c:pt idx="142">
                  <c:v>4.7899999999999998E-2</c:v>
                </c:pt>
                <c:pt idx="143">
                  <c:v>5.126E-2</c:v>
                </c:pt>
                <c:pt idx="144">
                  <c:v>4.811E-2</c:v>
                </c:pt>
                <c:pt idx="145">
                  <c:v>5.1909999999999998E-2</c:v>
                </c:pt>
                <c:pt idx="146">
                  <c:v>4.9100000000000005E-2</c:v>
                </c:pt>
                <c:pt idx="147">
                  <c:v>4.9779999999999998E-2</c:v>
                </c:pt>
                <c:pt idx="148">
                  <c:v>4.8550000000000003E-2</c:v>
                </c:pt>
                <c:pt idx="149">
                  <c:v>4.8930000000000001E-2</c:v>
                </c:pt>
                <c:pt idx="150">
                  <c:v>4.8829999999999998E-2</c:v>
                </c:pt>
                <c:pt idx="151">
                  <c:v>4.9050000000000003E-2</c:v>
                </c:pt>
                <c:pt idx="152">
                  <c:v>5.1459999999999999E-2</c:v>
                </c:pt>
                <c:pt idx="153">
                  <c:v>5.0639999999999998E-2</c:v>
                </c:pt>
                <c:pt idx="154">
                  <c:v>5.0890000000000005E-2</c:v>
                </c:pt>
                <c:pt idx="155">
                  <c:v>4.9680000000000002E-2</c:v>
                </c:pt>
                <c:pt idx="156">
                  <c:v>5.0610000000000002E-2</c:v>
                </c:pt>
                <c:pt idx="157">
                  <c:v>4.938E-2</c:v>
                </c:pt>
                <c:pt idx="158">
                  <c:v>5.2300000000000006E-2</c:v>
                </c:pt>
                <c:pt idx="159">
                  <c:v>4.9749999999999996E-2</c:v>
                </c:pt>
                <c:pt idx="160">
                  <c:v>4.8840000000000001E-2</c:v>
                </c:pt>
                <c:pt idx="161">
                  <c:v>5.4379999999999998E-2</c:v>
                </c:pt>
                <c:pt idx="162">
                  <c:v>4.9660000000000003E-2</c:v>
                </c:pt>
                <c:pt idx="163">
                  <c:v>5.1859999999999996E-2</c:v>
                </c:pt>
                <c:pt idx="164">
                  <c:v>5.178E-2</c:v>
                </c:pt>
                <c:pt idx="165">
                  <c:v>5.1830000000000001E-2</c:v>
                </c:pt>
                <c:pt idx="166">
                  <c:v>5.1749999999999997E-2</c:v>
                </c:pt>
                <c:pt idx="167">
                  <c:v>5.1040000000000002E-2</c:v>
                </c:pt>
                <c:pt idx="168">
                  <c:v>5.3559999999999997E-2</c:v>
                </c:pt>
                <c:pt idx="169">
                  <c:v>5.2389999999999999E-2</c:v>
                </c:pt>
                <c:pt idx="170">
                  <c:v>4.9850000000000005E-2</c:v>
                </c:pt>
                <c:pt idx="171">
                  <c:v>5.3089999999999998E-2</c:v>
                </c:pt>
                <c:pt idx="172">
                  <c:v>5.5359999999999993E-2</c:v>
                </c:pt>
                <c:pt idx="173">
                  <c:v>5.135E-2</c:v>
                </c:pt>
                <c:pt idx="174">
                  <c:v>5.0389999999999997E-2</c:v>
                </c:pt>
                <c:pt idx="175">
                  <c:v>5.1680000000000004E-2</c:v>
                </c:pt>
                <c:pt idx="176">
                  <c:v>5.0140000000000004E-2</c:v>
                </c:pt>
                <c:pt idx="177">
                  <c:v>5.0810000000000001E-2</c:v>
                </c:pt>
                <c:pt idx="178">
                  <c:v>4.9770000000000002E-2</c:v>
                </c:pt>
                <c:pt idx="179">
                  <c:v>4.9400000000000006E-2</c:v>
                </c:pt>
                <c:pt idx="180">
                  <c:v>5.0959999999999998E-2</c:v>
                </c:pt>
                <c:pt idx="181">
                  <c:v>5.0140000000000004E-2</c:v>
                </c:pt>
                <c:pt idx="182">
                  <c:v>5.1220000000000002E-2</c:v>
                </c:pt>
                <c:pt idx="183">
                  <c:v>5.2580000000000002E-2</c:v>
                </c:pt>
                <c:pt idx="184">
                  <c:v>5.0849999999999999E-2</c:v>
                </c:pt>
                <c:pt idx="185">
                  <c:v>5.0069999999999996E-2</c:v>
                </c:pt>
                <c:pt idx="186">
                  <c:v>5.1769999999999997E-2</c:v>
                </c:pt>
                <c:pt idx="187">
                  <c:v>5.8700000000000002E-2</c:v>
                </c:pt>
                <c:pt idx="188">
                  <c:v>5.2639999999999999E-2</c:v>
                </c:pt>
                <c:pt idx="189">
                  <c:v>4.9550000000000004E-2</c:v>
                </c:pt>
                <c:pt idx="190">
                  <c:v>5.1790000000000003E-2</c:v>
                </c:pt>
                <c:pt idx="191">
                  <c:v>5.0290000000000001E-2</c:v>
                </c:pt>
                <c:pt idx="192">
                  <c:v>5.3239999999999996E-2</c:v>
                </c:pt>
                <c:pt idx="193">
                  <c:v>5.3120000000000001E-2</c:v>
                </c:pt>
                <c:pt idx="194">
                  <c:v>5.2699999999999997E-2</c:v>
                </c:pt>
                <c:pt idx="195">
                  <c:v>5.2729999999999999E-2</c:v>
                </c:pt>
                <c:pt idx="196">
                  <c:v>5.0930000000000003E-2</c:v>
                </c:pt>
                <c:pt idx="197">
                  <c:v>5.3710000000000008E-2</c:v>
                </c:pt>
                <c:pt idx="198">
                  <c:v>5.8009999999999999E-2</c:v>
                </c:pt>
                <c:pt idx="199">
                  <c:v>5.1920000000000001E-2</c:v>
                </c:pt>
                <c:pt idx="200">
                  <c:v>5.3339999999999999E-2</c:v>
                </c:pt>
                <c:pt idx="201">
                  <c:v>5.1230000000000005E-2</c:v>
                </c:pt>
                <c:pt idx="202">
                  <c:v>5.8150000000000007E-2</c:v>
                </c:pt>
                <c:pt idx="203">
                  <c:v>5.1529999999999992E-2</c:v>
                </c:pt>
                <c:pt idx="204">
                  <c:v>5.3630000000000004E-2</c:v>
                </c:pt>
                <c:pt idx="205">
                  <c:v>5.2140000000000006E-2</c:v>
                </c:pt>
                <c:pt idx="206">
                  <c:v>5.2670000000000002E-2</c:v>
                </c:pt>
                <c:pt idx="207">
                  <c:v>5.1550000000000006E-2</c:v>
                </c:pt>
                <c:pt idx="208">
                  <c:v>5.0529999999999999E-2</c:v>
                </c:pt>
                <c:pt idx="209">
                  <c:v>5.2440000000000001E-2</c:v>
                </c:pt>
                <c:pt idx="210">
                  <c:v>5.2580000000000002E-2</c:v>
                </c:pt>
                <c:pt idx="211">
                  <c:v>5.57E-2</c:v>
                </c:pt>
                <c:pt idx="212">
                  <c:v>5.3390000000000007E-2</c:v>
                </c:pt>
                <c:pt idx="213">
                  <c:v>5.2539999999999996E-2</c:v>
                </c:pt>
                <c:pt idx="214">
                  <c:v>5.1580000000000001E-2</c:v>
                </c:pt>
                <c:pt idx="215">
                  <c:v>5.0189999999999999E-2</c:v>
                </c:pt>
                <c:pt idx="216">
                  <c:v>5.4519999999999999E-2</c:v>
                </c:pt>
                <c:pt idx="217">
                  <c:v>5.4859999999999999E-2</c:v>
                </c:pt>
                <c:pt idx="218">
                  <c:v>5.4949999999999999E-2</c:v>
                </c:pt>
                <c:pt idx="219">
                  <c:v>5.4169999999999996E-2</c:v>
                </c:pt>
                <c:pt idx="220">
                  <c:v>5.1449999999999996E-2</c:v>
                </c:pt>
                <c:pt idx="221">
                  <c:v>4.9859999999999995E-2</c:v>
                </c:pt>
                <c:pt idx="222">
                  <c:v>5.228E-2</c:v>
                </c:pt>
                <c:pt idx="223">
                  <c:v>5.142E-2</c:v>
                </c:pt>
                <c:pt idx="224">
                  <c:v>5.0750000000000003E-2</c:v>
                </c:pt>
                <c:pt idx="225">
                  <c:v>5.2110000000000004E-2</c:v>
                </c:pt>
                <c:pt idx="226">
                  <c:v>5.3159999999999999E-2</c:v>
                </c:pt>
                <c:pt idx="227">
                  <c:v>5.0039999999999994E-2</c:v>
                </c:pt>
                <c:pt idx="228">
                  <c:v>5.1330000000000001E-2</c:v>
                </c:pt>
                <c:pt idx="229">
                  <c:v>6.4560000000000006E-2</c:v>
                </c:pt>
                <c:pt idx="230">
                  <c:v>5.2939999999999994E-2</c:v>
                </c:pt>
                <c:pt idx="231">
                  <c:v>5.2019999999999997E-2</c:v>
                </c:pt>
                <c:pt idx="232">
                  <c:v>5.2549999999999999E-2</c:v>
                </c:pt>
                <c:pt idx="233">
                  <c:v>5.237E-2</c:v>
                </c:pt>
                <c:pt idx="234">
                  <c:v>5.0290000000000001E-2</c:v>
                </c:pt>
                <c:pt idx="235">
                  <c:v>5.5599999999999997E-2</c:v>
                </c:pt>
                <c:pt idx="236">
                  <c:v>5.4870000000000002E-2</c:v>
                </c:pt>
                <c:pt idx="237">
                  <c:v>5.1079999999999993E-2</c:v>
                </c:pt>
                <c:pt idx="238">
                  <c:v>5.2009999999999994E-2</c:v>
                </c:pt>
                <c:pt idx="239">
                  <c:v>5.3380000000000004E-2</c:v>
                </c:pt>
                <c:pt idx="240">
                  <c:v>5.6150000000000005E-2</c:v>
                </c:pt>
                <c:pt idx="241">
                  <c:v>6.0279999999999993E-2</c:v>
                </c:pt>
                <c:pt idx="242">
                  <c:v>5.1269999999999996E-2</c:v>
                </c:pt>
                <c:pt idx="243">
                  <c:v>5.0490000000000007E-2</c:v>
                </c:pt>
                <c:pt idx="244">
                  <c:v>5.3179999999999998E-2</c:v>
                </c:pt>
                <c:pt idx="245">
                  <c:v>5.892E-2</c:v>
                </c:pt>
                <c:pt idx="246">
                  <c:v>5.4509999999999996E-2</c:v>
                </c:pt>
                <c:pt idx="247">
                  <c:v>5.3470000000000004E-2</c:v>
                </c:pt>
                <c:pt idx="248">
                  <c:v>5.142E-2</c:v>
                </c:pt>
                <c:pt idx="249">
                  <c:v>5.1840000000000004E-2</c:v>
                </c:pt>
                <c:pt idx="250">
                  <c:v>5.9500000000000004E-2</c:v>
                </c:pt>
                <c:pt idx="251">
                  <c:v>5.2380000000000003E-2</c:v>
                </c:pt>
                <c:pt idx="252">
                  <c:v>5.595E-2</c:v>
                </c:pt>
                <c:pt idx="253">
                  <c:v>5.5160000000000001E-2</c:v>
                </c:pt>
                <c:pt idx="254">
                  <c:v>5.3060000000000003E-2</c:v>
                </c:pt>
                <c:pt idx="255">
                  <c:v>5.2750000000000005E-2</c:v>
                </c:pt>
                <c:pt idx="256">
                  <c:v>5.0689999999999999E-2</c:v>
                </c:pt>
                <c:pt idx="257">
                  <c:v>5.3550000000000007E-2</c:v>
                </c:pt>
                <c:pt idx="258">
                  <c:v>5.3339999999999999E-2</c:v>
                </c:pt>
                <c:pt idx="259">
                  <c:v>5.4850000000000003E-2</c:v>
                </c:pt>
                <c:pt idx="260">
                  <c:v>5.4880000000000005E-2</c:v>
                </c:pt>
                <c:pt idx="261">
                  <c:v>5.4100000000000002E-2</c:v>
                </c:pt>
                <c:pt idx="262">
                  <c:v>5.5650000000000005E-2</c:v>
                </c:pt>
                <c:pt idx="263">
                  <c:v>5.2839999999999998E-2</c:v>
                </c:pt>
                <c:pt idx="264">
                  <c:v>5.3289999999999997E-2</c:v>
                </c:pt>
                <c:pt idx="265">
                  <c:v>5.5519999999999993E-2</c:v>
                </c:pt>
                <c:pt idx="266">
                  <c:v>5.228E-2</c:v>
                </c:pt>
                <c:pt idx="267">
                  <c:v>5.3630000000000004E-2</c:v>
                </c:pt>
                <c:pt idx="268">
                  <c:v>5.9429999999999997E-2</c:v>
                </c:pt>
                <c:pt idx="269">
                  <c:v>5.2610000000000004E-2</c:v>
                </c:pt>
                <c:pt idx="270">
                  <c:v>5.364E-2</c:v>
                </c:pt>
                <c:pt idx="271">
                  <c:v>5.4029999999999995E-2</c:v>
                </c:pt>
                <c:pt idx="272">
                  <c:v>5.4219999999999997E-2</c:v>
                </c:pt>
                <c:pt idx="273">
                  <c:v>6.1799999999999994E-2</c:v>
                </c:pt>
                <c:pt idx="274">
                  <c:v>5.5789999999999999E-2</c:v>
                </c:pt>
                <c:pt idx="275">
                  <c:v>5.2969999999999996E-2</c:v>
                </c:pt>
                <c:pt idx="276">
                  <c:v>5.4339999999999999E-2</c:v>
                </c:pt>
                <c:pt idx="277">
                  <c:v>5.3360000000000005E-2</c:v>
                </c:pt>
                <c:pt idx="278">
                  <c:v>5.2430000000000004E-2</c:v>
                </c:pt>
                <c:pt idx="279">
                  <c:v>5.2309999999999995E-2</c:v>
                </c:pt>
                <c:pt idx="280">
                  <c:v>6.0039999999999996E-2</c:v>
                </c:pt>
                <c:pt idx="281">
                  <c:v>5.0959999999999998E-2</c:v>
                </c:pt>
                <c:pt idx="282">
                  <c:v>5.4019999999999999E-2</c:v>
                </c:pt>
                <c:pt idx="283">
                  <c:v>5.2999999999999999E-2</c:v>
                </c:pt>
                <c:pt idx="284">
                  <c:v>5.4509999999999996E-2</c:v>
                </c:pt>
                <c:pt idx="285">
                  <c:v>5.7869999999999998E-2</c:v>
                </c:pt>
                <c:pt idx="286">
                  <c:v>5.4949999999999999E-2</c:v>
                </c:pt>
                <c:pt idx="287">
                  <c:v>6.3399999999999998E-2</c:v>
                </c:pt>
                <c:pt idx="288">
                  <c:v>5.2789999999999997E-2</c:v>
                </c:pt>
                <c:pt idx="289">
                  <c:v>5.3150000000000003E-2</c:v>
                </c:pt>
                <c:pt idx="290">
                  <c:v>5.6159999999999995E-2</c:v>
                </c:pt>
                <c:pt idx="291">
                  <c:v>5.5540000000000006E-2</c:v>
                </c:pt>
                <c:pt idx="292">
                  <c:v>5.2220000000000003E-2</c:v>
                </c:pt>
                <c:pt idx="293">
                  <c:v>6.2149999999999997E-2</c:v>
                </c:pt>
                <c:pt idx="294">
                  <c:v>5.1220000000000002E-2</c:v>
                </c:pt>
                <c:pt idx="295">
                  <c:v>5.407E-2</c:v>
                </c:pt>
                <c:pt idx="296">
                  <c:v>5.364E-2</c:v>
                </c:pt>
                <c:pt idx="297">
                  <c:v>5.3529999999999994E-2</c:v>
                </c:pt>
                <c:pt idx="298">
                  <c:v>5.9050000000000005E-2</c:v>
                </c:pt>
                <c:pt idx="299">
                  <c:v>5.3249999999999999E-2</c:v>
                </c:pt>
                <c:pt idx="300">
                  <c:v>5.3929999999999999E-2</c:v>
                </c:pt>
                <c:pt idx="301">
                  <c:v>5.892E-2</c:v>
                </c:pt>
                <c:pt idx="302">
                  <c:v>5.5970000000000006E-2</c:v>
                </c:pt>
                <c:pt idx="303">
                  <c:v>6.2270000000000006E-2</c:v>
                </c:pt>
                <c:pt idx="304">
                  <c:v>5.4880000000000005E-2</c:v>
                </c:pt>
                <c:pt idx="305">
                  <c:v>5.5759999999999997E-2</c:v>
                </c:pt>
                <c:pt idx="306">
                  <c:v>5.7939999999999998E-2</c:v>
                </c:pt>
                <c:pt idx="307">
                  <c:v>5.6870000000000004E-2</c:v>
                </c:pt>
                <c:pt idx="308">
                  <c:v>5.6219999999999999E-2</c:v>
                </c:pt>
                <c:pt idx="309">
                  <c:v>5.5849999999999997E-2</c:v>
                </c:pt>
                <c:pt idx="310">
                  <c:v>5.6600000000000004E-2</c:v>
                </c:pt>
                <c:pt idx="311">
                  <c:v>5.4260000000000003E-2</c:v>
                </c:pt>
                <c:pt idx="312">
                  <c:v>5.57E-2</c:v>
                </c:pt>
                <c:pt idx="313">
                  <c:v>5.1889999999999999E-2</c:v>
                </c:pt>
                <c:pt idx="314">
                  <c:v>5.3859999999999998E-2</c:v>
                </c:pt>
                <c:pt idx="315">
                  <c:v>5.6870000000000004E-2</c:v>
                </c:pt>
                <c:pt idx="316">
                  <c:v>5.987E-2</c:v>
                </c:pt>
                <c:pt idx="317">
                  <c:v>7.4819999999999998E-2</c:v>
                </c:pt>
                <c:pt idx="318">
                  <c:v>5.5119999999999995E-2</c:v>
                </c:pt>
                <c:pt idx="319">
                  <c:v>5.704E-2</c:v>
                </c:pt>
                <c:pt idx="320">
                  <c:v>5.6219999999999999E-2</c:v>
                </c:pt>
                <c:pt idx="321">
                  <c:v>5.4699999999999999E-2</c:v>
                </c:pt>
                <c:pt idx="322">
                  <c:v>5.6070000000000002E-2</c:v>
                </c:pt>
                <c:pt idx="323">
                  <c:v>5.6280000000000004E-2</c:v>
                </c:pt>
                <c:pt idx="324">
                  <c:v>6.3990000000000005E-2</c:v>
                </c:pt>
                <c:pt idx="325">
                  <c:v>5.6159999999999995E-2</c:v>
                </c:pt>
                <c:pt idx="326">
                  <c:v>5.5330000000000004E-2</c:v>
                </c:pt>
                <c:pt idx="327">
                  <c:v>6.8029999999999993E-2</c:v>
                </c:pt>
                <c:pt idx="328">
                  <c:v>5.8560000000000001E-2</c:v>
                </c:pt>
                <c:pt idx="329">
                  <c:v>5.4059999999999997E-2</c:v>
                </c:pt>
                <c:pt idx="330">
                  <c:v>5.806E-2</c:v>
                </c:pt>
                <c:pt idx="331">
                  <c:v>5.4160000000000007E-2</c:v>
                </c:pt>
                <c:pt idx="332">
                  <c:v>5.2939999999999994E-2</c:v>
                </c:pt>
                <c:pt idx="333">
                  <c:v>5.4720000000000005E-2</c:v>
                </c:pt>
                <c:pt idx="334">
                  <c:v>5.4800000000000001E-2</c:v>
                </c:pt>
                <c:pt idx="335">
                  <c:v>5.466E-2</c:v>
                </c:pt>
                <c:pt idx="336">
                  <c:v>5.5780000000000003E-2</c:v>
                </c:pt>
                <c:pt idx="337">
                  <c:v>5.389E-2</c:v>
                </c:pt>
                <c:pt idx="338">
                  <c:v>6.2240000000000004E-2</c:v>
                </c:pt>
                <c:pt idx="339">
                  <c:v>6.447E-2</c:v>
                </c:pt>
                <c:pt idx="340">
                  <c:v>6.1010000000000002E-2</c:v>
                </c:pt>
                <c:pt idx="341">
                  <c:v>6.3640000000000002E-2</c:v>
                </c:pt>
                <c:pt idx="342">
                  <c:v>5.5069999999999994E-2</c:v>
                </c:pt>
                <c:pt idx="343">
                  <c:v>5.5330000000000004E-2</c:v>
                </c:pt>
                <c:pt idx="344">
                  <c:v>5.5289999999999999E-2</c:v>
                </c:pt>
                <c:pt idx="345">
                  <c:v>5.7050000000000003E-2</c:v>
                </c:pt>
                <c:pt idx="346">
                  <c:v>5.525E-2</c:v>
                </c:pt>
                <c:pt idx="347">
                  <c:v>5.7889999999999997E-2</c:v>
                </c:pt>
                <c:pt idx="348">
                  <c:v>5.8070000000000004E-2</c:v>
                </c:pt>
                <c:pt idx="349">
                  <c:v>6.0299999999999999E-2</c:v>
                </c:pt>
                <c:pt idx="350">
                  <c:v>5.7679999999999995E-2</c:v>
                </c:pt>
                <c:pt idx="351">
                  <c:v>6.0739999999999995E-2</c:v>
                </c:pt>
                <c:pt idx="352">
                  <c:v>6.3170000000000004E-2</c:v>
                </c:pt>
                <c:pt idx="353">
                  <c:v>6.0410000000000005E-2</c:v>
                </c:pt>
                <c:pt idx="354">
                  <c:v>6.5850000000000006E-2</c:v>
                </c:pt>
                <c:pt idx="355">
                  <c:v>6.1630000000000004E-2</c:v>
                </c:pt>
                <c:pt idx="356">
                  <c:v>6.5380000000000008E-2</c:v>
                </c:pt>
                <c:pt idx="357">
                  <c:v>5.9650000000000002E-2</c:v>
                </c:pt>
                <c:pt idx="358">
                  <c:v>6.0629999999999996E-2</c:v>
                </c:pt>
                <c:pt idx="359">
                  <c:v>5.9829999999999994E-2</c:v>
                </c:pt>
                <c:pt idx="360">
                  <c:v>5.8680000000000003E-2</c:v>
                </c:pt>
                <c:pt idx="361">
                  <c:v>6.3019999999999993E-2</c:v>
                </c:pt>
                <c:pt idx="362">
                  <c:v>5.5220000000000005E-2</c:v>
                </c:pt>
                <c:pt idx="363">
                  <c:v>5.3330000000000002E-2</c:v>
                </c:pt>
                <c:pt idx="364">
                  <c:v>5.8730000000000004E-2</c:v>
                </c:pt>
                <c:pt idx="365">
                  <c:v>5.6760000000000005E-2</c:v>
                </c:pt>
                <c:pt idx="366">
                  <c:v>6.6100000000000006E-2</c:v>
                </c:pt>
                <c:pt idx="367">
                  <c:v>5.8990000000000001E-2</c:v>
                </c:pt>
                <c:pt idx="368">
                  <c:v>5.7030000000000004E-2</c:v>
                </c:pt>
                <c:pt idx="369">
                  <c:v>5.9119999999999999E-2</c:v>
                </c:pt>
                <c:pt idx="370">
                  <c:v>5.7030000000000004E-2</c:v>
                </c:pt>
                <c:pt idx="371">
                  <c:v>5.7689999999999998E-2</c:v>
                </c:pt>
                <c:pt idx="372">
                  <c:v>5.7579999999999999E-2</c:v>
                </c:pt>
                <c:pt idx="373">
                  <c:v>5.5879999999999999E-2</c:v>
                </c:pt>
                <c:pt idx="374">
                  <c:v>5.747E-2</c:v>
                </c:pt>
                <c:pt idx="375">
                  <c:v>5.7089999999999995E-2</c:v>
                </c:pt>
                <c:pt idx="376">
                  <c:v>5.391E-2</c:v>
                </c:pt>
                <c:pt idx="377">
                  <c:v>5.5490000000000005E-2</c:v>
                </c:pt>
                <c:pt idx="378">
                  <c:v>6.6290000000000002E-2</c:v>
                </c:pt>
                <c:pt idx="379">
                  <c:v>5.4820000000000001E-2</c:v>
                </c:pt>
                <c:pt idx="380">
                  <c:v>6.744E-2</c:v>
                </c:pt>
                <c:pt idx="381">
                  <c:v>5.4420000000000003E-2</c:v>
                </c:pt>
                <c:pt idx="382">
                  <c:v>5.9189999999999993E-2</c:v>
                </c:pt>
                <c:pt idx="383">
                  <c:v>6.225E-2</c:v>
                </c:pt>
                <c:pt idx="384">
                  <c:v>5.8040000000000001E-2</c:v>
                </c:pt>
                <c:pt idx="385">
                  <c:v>5.5330000000000004E-2</c:v>
                </c:pt>
                <c:pt idx="386">
                  <c:v>5.9790000000000003E-2</c:v>
                </c:pt>
                <c:pt idx="387">
                  <c:v>6.0810000000000003E-2</c:v>
                </c:pt>
                <c:pt idx="388">
                  <c:v>6.6529999999999992E-2</c:v>
                </c:pt>
                <c:pt idx="389">
                  <c:v>6.4269999999999994E-2</c:v>
                </c:pt>
                <c:pt idx="390">
                  <c:v>6.0229999999999999E-2</c:v>
                </c:pt>
                <c:pt idx="391">
                  <c:v>5.8840000000000003E-2</c:v>
                </c:pt>
                <c:pt idx="392">
                  <c:v>5.7660000000000003E-2</c:v>
                </c:pt>
                <c:pt idx="393">
                  <c:v>5.67E-2</c:v>
                </c:pt>
                <c:pt idx="394">
                  <c:v>6.8860000000000005E-2</c:v>
                </c:pt>
                <c:pt idx="395">
                  <c:v>5.7290000000000001E-2</c:v>
                </c:pt>
                <c:pt idx="396">
                  <c:v>5.7729999999999997E-2</c:v>
                </c:pt>
                <c:pt idx="397">
                  <c:v>5.7590000000000002E-2</c:v>
                </c:pt>
                <c:pt idx="398">
                  <c:v>5.6449999999999993E-2</c:v>
                </c:pt>
                <c:pt idx="399">
                  <c:v>6.2480000000000001E-2</c:v>
                </c:pt>
                <c:pt idx="400">
                  <c:v>6.2220000000000004E-2</c:v>
                </c:pt>
                <c:pt idx="401">
                  <c:v>5.9379999999999995E-2</c:v>
                </c:pt>
                <c:pt idx="402">
                  <c:v>5.8630000000000002E-2</c:v>
                </c:pt>
                <c:pt idx="403">
                  <c:v>5.663E-2</c:v>
                </c:pt>
                <c:pt idx="404">
                  <c:v>7.6499999999999999E-2</c:v>
                </c:pt>
                <c:pt idx="405">
                  <c:v>6.0420000000000001E-2</c:v>
                </c:pt>
                <c:pt idx="406">
                  <c:v>6.1969999999999997E-2</c:v>
                </c:pt>
                <c:pt idx="407">
                  <c:v>5.7160000000000002E-2</c:v>
                </c:pt>
                <c:pt idx="408">
                  <c:v>5.9480000000000005E-2</c:v>
                </c:pt>
                <c:pt idx="409">
                  <c:v>6.3369999999999996E-2</c:v>
                </c:pt>
                <c:pt idx="410">
                  <c:v>6.1920000000000003E-2</c:v>
                </c:pt>
                <c:pt idx="411">
                  <c:v>5.7079999999999999E-2</c:v>
                </c:pt>
                <c:pt idx="412">
                  <c:v>5.6639999999999996E-2</c:v>
                </c:pt>
                <c:pt idx="413">
                  <c:v>5.8430000000000003E-2</c:v>
                </c:pt>
                <c:pt idx="414">
                  <c:v>6.0830000000000002E-2</c:v>
                </c:pt>
                <c:pt idx="415">
                  <c:v>6.046E-2</c:v>
                </c:pt>
                <c:pt idx="416">
                  <c:v>5.806E-2</c:v>
                </c:pt>
                <c:pt idx="417">
                  <c:v>5.9580000000000001E-2</c:v>
                </c:pt>
                <c:pt idx="418">
                  <c:v>5.9669999999999994E-2</c:v>
                </c:pt>
                <c:pt idx="419">
                  <c:v>5.9340000000000004E-2</c:v>
                </c:pt>
                <c:pt idx="420">
                  <c:v>6.429E-2</c:v>
                </c:pt>
                <c:pt idx="421">
                  <c:v>6.9459999999999994E-2</c:v>
                </c:pt>
                <c:pt idx="422">
                  <c:v>6.1109999999999998E-2</c:v>
                </c:pt>
                <c:pt idx="423">
                  <c:v>5.8029999999999998E-2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B9-4D1A-8299-6531C8725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777272"/>
        <c:axId val="713777632"/>
      </c:scatterChart>
      <c:valAx>
        <c:axId val="713777272"/>
        <c:scaling>
          <c:orientation val="minMax"/>
          <c:max val="1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2000" b="1"/>
                  <a:t>Maturity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solidFill>
            <a:schemeClr val="bg1"/>
          </a:solidFill>
          <a:ln w="222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3777632"/>
        <c:crosses val="autoZero"/>
        <c:crossBetween val="midCat"/>
        <c:majorUnit val="1"/>
      </c:valAx>
      <c:valAx>
        <c:axId val="713777632"/>
        <c:scaling>
          <c:orientation val="minMax"/>
          <c:max val="7.0000000000000007E-2"/>
          <c:min val="1.0000000000000002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/>
                  <a:t>Yields</a:t>
                </a:r>
                <a:endParaRPr lang="zh-CN" altLang="en-US" sz="18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377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313765</xdr:colOff>
      <xdr:row>5</xdr:row>
      <xdr:rowOff>161364</xdr:rowOff>
    </xdr:from>
    <xdr:to>
      <xdr:col>20</xdr:col>
      <xdr:colOff>17928</xdr:colOff>
      <xdr:row>33</xdr:row>
      <xdr:rowOff>107577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41ADA74-6D14-44CD-A15D-7923B5B5F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427"/>
  <sheetViews>
    <sheetView tabSelected="1" zoomScale="85" zoomScaleNormal="85" workbookViewId="0">
      <selection activeCell="G4" sqref="G4"/>
    </sheetView>
  </sheetViews>
  <sheetFormatPr defaultRowHeight="13.8" x14ac:dyDescent="0.25"/>
  <cols>
    <col min="1" max="1" width="8.88671875" style="1"/>
    <col min="2" max="2" width="40" style="1" bestFit="1" customWidth="1"/>
    <col min="3" max="3" width="8.88671875" style="1"/>
    <col min="4" max="4" width="10.6640625" style="1" customWidth="1"/>
    <col min="5" max="5" width="11.33203125" style="1" bestFit="1" customWidth="1"/>
    <col min="6" max="9" width="8.88671875" style="1"/>
    <col min="10" max="10" width="9.109375" style="2" customWidth="1"/>
    <col min="11" max="11" width="27.88671875" style="1" bestFit="1" customWidth="1"/>
  </cols>
  <sheetData>
    <row r="1" spans="1:11" ht="88.8" customHeight="1" x14ac:dyDescent="0.25">
      <c r="A1" s="7" t="s">
        <v>279</v>
      </c>
      <c r="B1" s="7"/>
      <c r="C1" s="7"/>
      <c r="D1" s="7"/>
      <c r="E1" s="7"/>
      <c r="F1" s="7"/>
      <c r="G1" s="7"/>
      <c r="H1" s="7"/>
      <c r="I1" s="7"/>
      <c r="J1" s="7"/>
    </row>
    <row r="3" spans="1:11" ht="27.6" x14ac:dyDescent="0.25">
      <c r="A3" s="3" t="s">
        <v>9</v>
      </c>
      <c r="B3" s="3" t="s">
        <v>10</v>
      </c>
      <c r="C3" s="3" t="s">
        <v>11</v>
      </c>
      <c r="D3" s="3" t="s">
        <v>0</v>
      </c>
      <c r="E3" s="3" t="s">
        <v>1</v>
      </c>
      <c r="F3" s="3" t="s">
        <v>2</v>
      </c>
      <c r="G3" s="3" t="s">
        <v>3</v>
      </c>
      <c r="H3" s="3" t="s">
        <v>4</v>
      </c>
      <c r="I3" s="3" t="s">
        <v>5</v>
      </c>
      <c r="J3" s="4" t="s">
        <v>6</v>
      </c>
    </row>
    <row r="4" spans="1:11" x14ac:dyDescent="0.25">
      <c r="A4" s="1" t="s">
        <v>12</v>
      </c>
      <c r="B4" s="1" t="s">
        <v>13</v>
      </c>
      <c r="C4" s="1">
        <v>100.29</v>
      </c>
      <c r="D4" s="1">
        <v>2.75</v>
      </c>
      <c r="E4" s="6">
        <v>39156</v>
      </c>
      <c r="F4" s="5">
        <v>2.2360000000000001E-2</v>
      </c>
      <c r="G4" s="1">
        <v>2.742</v>
      </c>
      <c r="H4" s="1" t="s">
        <v>7</v>
      </c>
      <c r="I4" s="1" t="s">
        <v>8</v>
      </c>
      <c r="J4" s="2">
        <f t="shared" ref="J4:J67" si="0">(E4-DATE(2006,8,11))/365</f>
        <v>0.59178082191780823</v>
      </c>
      <c r="K4" s="1" t="str">
        <f ca="1">[1]!getformula(J4)</f>
        <v>&lt;--  =(E4-DATE(2006,8,11))/365</v>
      </c>
    </row>
    <row r="5" spans="1:11" x14ac:dyDescent="0.25">
      <c r="A5" s="1" t="s">
        <v>12</v>
      </c>
      <c r="B5" s="1" t="s">
        <v>14</v>
      </c>
      <c r="C5" s="1">
        <v>104.75</v>
      </c>
      <c r="D5" s="1">
        <v>9.875</v>
      </c>
      <c r="E5" s="6">
        <v>39156</v>
      </c>
      <c r="F5" s="5">
        <v>1.617E-2</v>
      </c>
      <c r="G5" s="1">
        <v>9.4269999999999996</v>
      </c>
      <c r="H5" s="1" t="s">
        <v>7</v>
      </c>
      <c r="I5" s="1" t="s">
        <v>8</v>
      </c>
      <c r="J5" s="2">
        <f t="shared" si="0"/>
        <v>0.59178082191780823</v>
      </c>
    </row>
    <row r="6" spans="1:11" x14ac:dyDescent="0.25">
      <c r="A6" s="1" t="s">
        <v>12</v>
      </c>
      <c r="B6" s="1" t="s">
        <v>15</v>
      </c>
      <c r="C6" s="1">
        <v>102.35</v>
      </c>
      <c r="D6" s="1">
        <v>6.125</v>
      </c>
      <c r="E6" s="6">
        <v>39156</v>
      </c>
      <c r="F6" s="5">
        <v>2.0320000000000001E-2</v>
      </c>
      <c r="G6" s="1">
        <v>5.984</v>
      </c>
      <c r="H6" s="1" t="s">
        <v>7</v>
      </c>
      <c r="I6" s="1" t="s">
        <v>8</v>
      </c>
      <c r="J6" s="2">
        <f t="shared" si="0"/>
        <v>0.59178082191780823</v>
      </c>
    </row>
    <row r="7" spans="1:11" x14ac:dyDescent="0.25">
      <c r="A7" s="1" t="s">
        <v>12</v>
      </c>
      <c r="B7" s="1" t="s">
        <v>16</v>
      </c>
      <c r="C7" s="1">
        <v>102.35</v>
      </c>
      <c r="D7" s="1">
        <v>6.35</v>
      </c>
      <c r="E7" s="6">
        <v>39173</v>
      </c>
      <c r="F7" s="5">
        <v>2.53E-2</v>
      </c>
      <c r="G7" s="1">
        <v>6.2039999999999997</v>
      </c>
      <c r="H7" s="1" t="s">
        <v>7</v>
      </c>
      <c r="I7" s="1" t="s">
        <v>8</v>
      </c>
      <c r="J7" s="2">
        <f t="shared" si="0"/>
        <v>0.63835616438356169</v>
      </c>
    </row>
    <row r="8" spans="1:11" x14ac:dyDescent="0.25">
      <c r="A8" s="1" t="s">
        <v>12</v>
      </c>
      <c r="B8" s="1" t="s">
        <v>17</v>
      </c>
      <c r="C8" s="1">
        <v>103.1</v>
      </c>
      <c r="D8" s="1">
        <v>7.6</v>
      </c>
      <c r="E8" s="6">
        <v>39173</v>
      </c>
      <c r="F8" s="5">
        <v>2.5559999999999999E-2</v>
      </c>
      <c r="G8" s="1">
        <v>7.3710000000000004</v>
      </c>
      <c r="H8" s="1" t="s">
        <v>7</v>
      </c>
      <c r="I8" s="1" t="s">
        <v>8</v>
      </c>
      <c r="J8" s="2">
        <f t="shared" si="0"/>
        <v>0.63835616438356169</v>
      </c>
    </row>
    <row r="9" spans="1:11" x14ac:dyDescent="0.25">
      <c r="A9" s="1" t="s">
        <v>12</v>
      </c>
      <c r="B9" s="1" t="s">
        <v>18</v>
      </c>
      <c r="C9" s="1">
        <v>102.61</v>
      </c>
      <c r="D9" s="1">
        <v>6.5</v>
      </c>
      <c r="E9" s="6">
        <v>39187</v>
      </c>
      <c r="F9" s="5">
        <v>2.4990000000000002E-2</v>
      </c>
      <c r="G9" s="1">
        <v>6.3339999999999996</v>
      </c>
      <c r="H9" s="1" t="s">
        <v>7</v>
      </c>
      <c r="I9" s="1" t="s">
        <v>8</v>
      </c>
      <c r="J9" s="2">
        <f t="shared" si="0"/>
        <v>0.67671232876712328</v>
      </c>
    </row>
    <row r="10" spans="1:11" x14ac:dyDescent="0.25">
      <c r="A10" s="1" t="s">
        <v>12</v>
      </c>
      <c r="B10" s="1" t="s">
        <v>19</v>
      </c>
      <c r="C10" s="1">
        <v>102.26</v>
      </c>
      <c r="D10" s="1">
        <v>6.05</v>
      </c>
      <c r="E10" s="6">
        <v>39187</v>
      </c>
      <c r="F10" s="5">
        <v>2.5939999999999998E-2</v>
      </c>
      <c r="G10" s="1">
        <v>5.9169999999999998</v>
      </c>
      <c r="H10" s="1" t="s">
        <v>7</v>
      </c>
      <c r="I10" s="1" t="s">
        <v>8</v>
      </c>
      <c r="J10" s="2">
        <f t="shared" si="0"/>
        <v>0.67671232876712328</v>
      </c>
    </row>
    <row r="11" spans="1:11" x14ac:dyDescent="0.25">
      <c r="A11" s="1" t="s">
        <v>12</v>
      </c>
      <c r="B11" s="1" t="s">
        <v>20</v>
      </c>
      <c r="C11" s="1">
        <v>102.34</v>
      </c>
      <c r="D11" s="1">
        <v>6.15</v>
      </c>
      <c r="E11" s="6">
        <v>39203</v>
      </c>
      <c r="F11" s="5">
        <v>2.7779999999999999E-2</v>
      </c>
      <c r="G11" s="1">
        <v>6.0090000000000003</v>
      </c>
      <c r="H11" s="1" t="s">
        <v>7</v>
      </c>
      <c r="I11" s="1" t="s">
        <v>8</v>
      </c>
      <c r="J11" s="2">
        <f t="shared" si="0"/>
        <v>0.72054794520547949</v>
      </c>
    </row>
    <row r="12" spans="1:11" x14ac:dyDescent="0.25">
      <c r="A12" s="1" t="s">
        <v>12</v>
      </c>
      <c r="B12" s="1" t="s">
        <v>21</v>
      </c>
      <c r="C12" s="1">
        <v>102.77</v>
      </c>
      <c r="D12" s="1">
        <v>7</v>
      </c>
      <c r="E12" s="6">
        <v>39203</v>
      </c>
      <c r="F12" s="5">
        <v>3.0099999999999998E-2</v>
      </c>
      <c r="G12" s="1">
        <v>6.8109999999999999</v>
      </c>
      <c r="H12" s="1" t="s">
        <v>7</v>
      </c>
      <c r="I12" s="1" t="s">
        <v>8</v>
      </c>
      <c r="J12" s="2">
        <f t="shared" si="0"/>
        <v>0.72054794520547949</v>
      </c>
    </row>
    <row r="13" spans="1:11" x14ac:dyDescent="0.25">
      <c r="A13" s="1" t="s">
        <v>12</v>
      </c>
      <c r="B13" s="1" t="s">
        <v>22</v>
      </c>
      <c r="C13" s="1">
        <v>104.32</v>
      </c>
      <c r="D13" s="1">
        <v>8.875</v>
      </c>
      <c r="E13" s="6">
        <v>39203</v>
      </c>
      <c r="F13" s="5">
        <v>2.673E-2</v>
      </c>
      <c r="G13" s="1">
        <v>8.5079999999999991</v>
      </c>
      <c r="H13" s="1" t="s">
        <v>7</v>
      </c>
      <c r="I13" s="1" t="s">
        <v>8</v>
      </c>
      <c r="J13" s="2">
        <f t="shared" si="0"/>
        <v>0.72054794520547949</v>
      </c>
    </row>
    <row r="14" spans="1:11" x14ac:dyDescent="0.25">
      <c r="A14" s="1" t="s">
        <v>12</v>
      </c>
      <c r="B14" s="1" t="s">
        <v>23</v>
      </c>
      <c r="C14" s="1">
        <v>103.96</v>
      </c>
      <c r="D14" s="1">
        <v>8.375</v>
      </c>
      <c r="E14" s="6">
        <v>39203</v>
      </c>
      <c r="F14" s="5">
        <v>2.6789999999999998E-2</v>
      </c>
      <c r="G14" s="1">
        <v>8.0559999999999992</v>
      </c>
      <c r="H14" s="1" t="s">
        <v>7</v>
      </c>
      <c r="I14" s="1" t="s">
        <v>8</v>
      </c>
      <c r="J14" s="2">
        <f t="shared" si="0"/>
        <v>0.72054794520547949</v>
      </c>
    </row>
    <row r="15" spans="1:11" x14ac:dyDescent="0.25">
      <c r="A15" s="1" t="s">
        <v>12</v>
      </c>
      <c r="B15" s="1" t="s">
        <v>24</v>
      </c>
      <c r="C15" s="1">
        <v>103</v>
      </c>
      <c r="D15" s="1">
        <v>7.375</v>
      </c>
      <c r="E15" s="6">
        <v>39203</v>
      </c>
      <c r="F15" s="5">
        <v>3.0520000000000002E-2</v>
      </c>
      <c r="G15" s="1">
        <v>7.16</v>
      </c>
      <c r="H15" s="1" t="s">
        <v>7</v>
      </c>
      <c r="I15" s="1" t="s">
        <v>8</v>
      </c>
      <c r="J15" s="2">
        <f t="shared" si="0"/>
        <v>0.72054794520547949</v>
      </c>
    </row>
    <row r="16" spans="1:11" x14ac:dyDescent="0.25">
      <c r="A16" s="1" t="s">
        <v>12</v>
      </c>
      <c r="B16" s="1" t="s">
        <v>25</v>
      </c>
      <c r="C16" s="1">
        <v>101.9</v>
      </c>
      <c r="D16" s="1">
        <v>5.625</v>
      </c>
      <c r="E16" s="6">
        <v>39203</v>
      </c>
      <c r="F16" s="5">
        <v>2.886E-2</v>
      </c>
      <c r="G16" s="1">
        <v>5.52</v>
      </c>
      <c r="H16" s="1" t="s">
        <v>7</v>
      </c>
      <c r="I16" s="1" t="s">
        <v>8</v>
      </c>
      <c r="J16" s="2">
        <f t="shared" si="0"/>
        <v>0.72054794520547949</v>
      </c>
    </row>
    <row r="17" spans="1:10" x14ac:dyDescent="0.25">
      <c r="A17" s="1" t="s">
        <v>12</v>
      </c>
      <c r="B17" s="1" t="s">
        <v>26</v>
      </c>
      <c r="C17" s="1">
        <v>103.41</v>
      </c>
      <c r="D17" s="1">
        <v>7.75</v>
      </c>
      <c r="E17" s="6">
        <v>39208</v>
      </c>
      <c r="F17" s="5">
        <v>2.9350000000000001E-2</v>
      </c>
      <c r="G17" s="1">
        <v>7.4939999999999998</v>
      </c>
      <c r="H17" s="1" t="s">
        <v>7</v>
      </c>
      <c r="I17" s="1" t="s">
        <v>8</v>
      </c>
      <c r="J17" s="2">
        <f t="shared" si="0"/>
        <v>0.73424657534246573</v>
      </c>
    </row>
    <row r="18" spans="1:10" x14ac:dyDescent="0.25">
      <c r="A18" s="1" t="s">
        <v>12</v>
      </c>
      <c r="B18" s="1" t="s">
        <v>27</v>
      </c>
      <c r="C18" s="1">
        <v>103.31</v>
      </c>
      <c r="D18" s="1">
        <v>7.4</v>
      </c>
      <c r="E18" s="6">
        <v>39217</v>
      </c>
      <c r="F18" s="5">
        <v>2.8839999999999998E-2</v>
      </c>
      <c r="G18" s="1">
        <v>7.1630000000000003</v>
      </c>
      <c r="H18" s="1" t="s">
        <v>7</v>
      </c>
      <c r="I18" s="1" t="s">
        <v>8</v>
      </c>
      <c r="J18" s="2">
        <f t="shared" si="0"/>
        <v>0.75890410958904109</v>
      </c>
    </row>
    <row r="19" spans="1:10" x14ac:dyDescent="0.25">
      <c r="A19" s="1" t="s">
        <v>12</v>
      </c>
      <c r="B19" s="1" t="s">
        <v>28</v>
      </c>
      <c r="C19" s="1">
        <v>103.58</v>
      </c>
      <c r="D19" s="1">
        <v>7.5</v>
      </c>
      <c r="E19" s="6">
        <v>39234</v>
      </c>
      <c r="F19" s="5">
        <v>2.8660000000000001E-2</v>
      </c>
      <c r="G19" s="1">
        <v>7.2409999999999997</v>
      </c>
      <c r="H19" s="1" t="s">
        <v>7</v>
      </c>
      <c r="I19" s="1" t="s">
        <v>8</v>
      </c>
      <c r="J19" s="2">
        <f t="shared" si="0"/>
        <v>0.80547945205479454</v>
      </c>
    </row>
    <row r="20" spans="1:10" x14ac:dyDescent="0.25">
      <c r="A20" s="1" t="s">
        <v>12</v>
      </c>
      <c r="B20" s="1" t="s">
        <v>29</v>
      </c>
      <c r="C20" s="1">
        <v>102.98</v>
      </c>
      <c r="D20" s="1">
        <v>6.7629999999999999</v>
      </c>
      <c r="E20" s="6">
        <v>39248</v>
      </c>
      <c r="F20" s="5">
        <v>3.0769999999999999E-2</v>
      </c>
      <c r="G20" s="1">
        <v>6.5670000000000002</v>
      </c>
      <c r="H20" s="1" t="s">
        <v>7</v>
      </c>
      <c r="I20" s="1" t="s">
        <v>8</v>
      </c>
      <c r="J20" s="2">
        <f t="shared" si="0"/>
        <v>0.84383561643835614</v>
      </c>
    </row>
    <row r="21" spans="1:10" x14ac:dyDescent="0.25">
      <c r="A21" s="1" t="s">
        <v>12</v>
      </c>
      <c r="B21" s="1" t="s">
        <v>30</v>
      </c>
      <c r="C21" s="1">
        <v>103.25</v>
      </c>
      <c r="D21" s="1">
        <v>7.125</v>
      </c>
      <c r="E21" s="6">
        <v>39248</v>
      </c>
      <c r="F21" s="5">
        <v>3.1099999999999999E-2</v>
      </c>
      <c r="G21" s="1">
        <v>6.9009999999999998</v>
      </c>
      <c r="H21" s="1" t="s">
        <v>7</v>
      </c>
      <c r="I21" s="1" t="s">
        <v>8</v>
      </c>
      <c r="J21" s="2">
        <f t="shared" si="0"/>
        <v>0.84383561643835614</v>
      </c>
    </row>
    <row r="22" spans="1:10" x14ac:dyDescent="0.25">
      <c r="A22" s="1" t="s">
        <v>12</v>
      </c>
      <c r="B22" s="1" t="s">
        <v>31</v>
      </c>
      <c r="C22" s="1">
        <v>102.04</v>
      </c>
      <c r="D22" s="1">
        <v>5.625</v>
      </c>
      <c r="E22" s="6">
        <v>39248</v>
      </c>
      <c r="F22" s="5">
        <v>3.1030000000000002E-2</v>
      </c>
      <c r="G22" s="1">
        <v>5.5129999999999999</v>
      </c>
      <c r="H22" s="1" t="s">
        <v>7</v>
      </c>
      <c r="I22" s="1" t="s">
        <v>8</v>
      </c>
      <c r="J22" s="2">
        <f t="shared" si="0"/>
        <v>0.84383561643835614</v>
      </c>
    </row>
    <row r="23" spans="1:10" x14ac:dyDescent="0.25">
      <c r="A23" s="1" t="s">
        <v>12</v>
      </c>
      <c r="B23" s="1" t="s">
        <v>32</v>
      </c>
      <c r="C23" s="1">
        <v>102.06</v>
      </c>
      <c r="D23" s="1">
        <v>5.5</v>
      </c>
      <c r="E23" s="6">
        <v>39264</v>
      </c>
      <c r="F23" s="5">
        <v>3.0800000000000001E-2</v>
      </c>
      <c r="G23" s="1">
        <v>5.3890000000000002</v>
      </c>
      <c r="H23" s="1" t="s">
        <v>7</v>
      </c>
      <c r="I23" s="1" t="s">
        <v>8</v>
      </c>
      <c r="J23" s="2">
        <f t="shared" si="0"/>
        <v>0.88767123287671235</v>
      </c>
    </row>
    <row r="24" spans="1:10" x14ac:dyDescent="0.25">
      <c r="A24" s="1" t="s">
        <v>12</v>
      </c>
      <c r="B24" s="1" t="s">
        <v>33</v>
      </c>
      <c r="C24" s="1">
        <v>101.45</v>
      </c>
      <c r="D24" s="1">
        <v>5</v>
      </c>
      <c r="E24" s="6">
        <v>39295</v>
      </c>
      <c r="F24" s="5">
        <v>3.4419999999999999E-2</v>
      </c>
      <c r="G24" s="1">
        <v>4.9279999999999999</v>
      </c>
      <c r="H24" s="1" t="s">
        <v>7</v>
      </c>
      <c r="I24" s="1" t="s">
        <v>8</v>
      </c>
      <c r="J24" s="2">
        <f t="shared" si="0"/>
        <v>0.9726027397260274</v>
      </c>
    </row>
    <row r="25" spans="1:10" x14ac:dyDescent="0.25">
      <c r="A25" s="1" t="s">
        <v>12</v>
      </c>
      <c r="B25" s="1" t="s">
        <v>34</v>
      </c>
      <c r="C25" s="1">
        <v>101.62</v>
      </c>
      <c r="D25" s="1">
        <v>5</v>
      </c>
      <c r="E25" s="6">
        <v>39309</v>
      </c>
      <c r="F25" s="5">
        <v>3.3250000000000002E-2</v>
      </c>
      <c r="G25" s="1">
        <v>4.92</v>
      </c>
      <c r="H25" s="1" t="s">
        <v>7</v>
      </c>
      <c r="I25" s="1" t="s">
        <v>8</v>
      </c>
      <c r="J25" s="2">
        <f t="shared" si="0"/>
        <v>1.010958904109589</v>
      </c>
    </row>
    <row r="26" spans="1:10" x14ac:dyDescent="0.25">
      <c r="A26" s="1" t="s">
        <v>12</v>
      </c>
      <c r="B26" s="1" t="s">
        <v>35</v>
      </c>
      <c r="C26" s="1">
        <v>103.54</v>
      </c>
      <c r="D26" s="1">
        <v>7.125</v>
      </c>
      <c r="E26" s="6">
        <v>39309</v>
      </c>
      <c r="F26" s="5">
        <v>3.4750000000000003E-2</v>
      </c>
      <c r="G26" s="1">
        <v>6.8819999999999997</v>
      </c>
      <c r="H26" s="1" t="s">
        <v>7</v>
      </c>
      <c r="I26" s="1" t="s">
        <v>8</v>
      </c>
      <c r="J26" s="2">
        <f t="shared" si="0"/>
        <v>1.010958904109589</v>
      </c>
    </row>
    <row r="27" spans="1:10" x14ac:dyDescent="0.25">
      <c r="A27" s="1" t="s">
        <v>12</v>
      </c>
      <c r="B27" s="1" t="s">
        <v>36</v>
      </c>
      <c r="C27" s="1">
        <v>103.56</v>
      </c>
      <c r="D27" s="1">
        <v>7.25</v>
      </c>
      <c r="E27" s="6">
        <v>39309</v>
      </c>
      <c r="F27" s="5">
        <v>3.5740000000000001E-2</v>
      </c>
      <c r="G27" s="1">
        <v>7.0010000000000003</v>
      </c>
      <c r="H27" s="1" t="s">
        <v>7</v>
      </c>
      <c r="I27" s="1" t="s">
        <v>8</v>
      </c>
      <c r="J27" s="2">
        <f t="shared" si="0"/>
        <v>1.010958904109589</v>
      </c>
    </row>
    <row r="28" spans="1:10" x14ac:dyDescent="0.25">
      <c r="A28" s="1" t="s">
        <v>12</v>
      </c>
      <c r="B28" s="1" t="s">
        <v>37</v>
      </c>
      <c r="C28" s="1">
        <v>101.15</v>
      </c>
      <c r="D28" s="1">
        <v>4.625</v>
      </c>
      <c r="E28" s="6">
        <v>39309</v>
      </c>
      <c r="F28" s="5">
        <v>3.4390000000000004E-2</v>
      </c>
      <c r="G28" s="1">
        <v>4.5720000000000001</v>
      </c>
      <c r="H28" s="1" t="s">
        <v>7</v>
      </c>
      <c r="I28" s="1" t="s">
        <v>8</v>
      </c>
      <c r="J28" s="2">
        <f t="shared" si="0"/>
        <v>1.010958904109589</v>
      </c>
    </row>
    <row r="29" spans="1:10" x14ac:dyDescent="0.25">
      <c r="A29" s="1" t="s">
        <v>12</v>
      </c>
      <c r="B29" s="1" t="s">
        <v>38</v>
      </c>
      <c r="C29" s="1">
        <v>103.09</v>
      </c>
      <c r="D29" s="1">
        <v>6.75</v>
      </c>
      <c r="E29" s="6">
        <v>39309</v>
      </c>
      <c r="F29" s="5">
        <v>3.5549999999999998E-2</v>
      </c>
      <c r="G29" s="1">
        <v>6.5469999999999997</v>
      </c>
      <c r="H29" s="1" t="s">
        <v>7</v>
      </c>
      <c r="I29" s="1" t="s">
        <v>8</v>
      </c>
      <c r="J29" s="2">
        <f t="shared" si="0"/>
        <v>1.010958904109589</v>
      </c>
    </row>
    <row r="30" spans="1:10" x14ac:dyDescent="0.25">
      <c r="A30" s="1" t="s">
        <v>12</v>
      </c>
      <c r="B30" s="1" t="s">
        <v>39</v>
      </c>
      <c r="C30" s="1">
        <v>104.45</v>
      </c>
      <c r="D30" s="1">
        <v>8.18</v>
      </c>
      <c r="E30" s="6">
        <v>39309</v>
      </c>
      <c r="F30" s="5">
        <v>3.5880000000000002E-2</v>
      </c>
      <c r="G30" s="1">
        <v>7.8319999999999999</v>
      </c>
      <c r="H30" s="1" t="s">
        <v>7</v>
      </c>
      <c r="I30" s="1" t="s">
        <v>8</v>
      </c>
      <c r="J30" s="2">
        <f t="shared" si="0"/>
        <v>1.010958904109589</v>
      </c>
    </row>
    <row r="31" spans="1:10" x14ac:dyDescent="0.25">
      <c r="A31" s="1" t="s">
        <v>12</v>
      </c>
      <c r="B31" s="1" t="s">
        <v>40</v>
      </c>
      <c r="C31" s="1">
        <v>103.33</v>
      </c>
      <c r="D31" s="1">
        <v>6.95</v>
      </c>
      <c r="E31" s="6">
        <v>39326</v>
      </c>
      <c r="F31" s="5">
        <v>3.6560000000000002E-2</v>
      </c>
      <c r="G31" s="1">
        <v>6.726</v>
      </c>
      <c r="H31" s="1" t="s">
        <v>7</v>
      </c>
      <c r="I31" s="1" t="s">
        <v>8</v>
      </c>
      <c r="J31" s="2">
        <f t="shared" si="0"/>
        <v>1.0575342465753426</v>
      </c>
    </row>
    <row r="32" spans="1:10" x14ac:dyDescent="0.25">
      <c r="A32" s="1" t="s">
        <v>12</v>
      </c>
      <c r="B32" s="1" t="s">
        <v>41</v>
      </c>
      <c r="C32" s="1">
        <v>103.27</v>
      </c>
      <c r="D32" s="1">
        <v>7.05</v>
      </c>
      <c r="E32" s="6">
        <v>39340</v>
      </c>
      <c r="F32" s="5">
        <v>3.9220000000000005E-2</v>
      </c>
      <c r="G32" s="1">
        <v>6.827</v>
      </c>
      <c r="H32" s="1" t="s">
        <v>7</v>
      </c>
      <c r="I32" s="1" t="s">
        <v>8</v>
      </c>
      <c r="J32" s="2">
        <f t="shared" si="0"/>
        <v>1.095890410958904</v>
      </c>
    </row>
    <row r="33" spans="1:10" x14ac:dyDescent="0.25">
      <c r="A33" s="1" t="s">
        <v>12</v>
      </c>
      <c r="B33" s="1" t="s">
        <v>42</v>
      </c>
      <c r="C33" s="1">
        <v>101.9</v>
      </c>
      <c r="D33" s="1">
        <v>5.6</v>
      </c>
      <c r="E33" s="6">
        <v>39340</v>
      </c>
      <c r="F33" s="5">
        <v>3.7810000000000003E-2</v>
      </c>
      <c r="G33" s="1">
        <v>5.4960000000000004</v>
      </c>
      <c r="H33" s="1" t="s">
        <v>7</v>
      </c>
      <c r="I33" s="1" t="s">
        <v>8</v>
      </c>
      <c r="J33" s="2">
        <f t="shared" si="0"/>
        <v>1.095890410958904</v>
      </c>
    </row>
    <row r="34" spans="1:10" x14ac:dyDescent="0.25">
      <c r="A34" s="1" t="s">
        <v>12</v>
      </c>
      <c r="B34" s="1" t="s">
        <v>43</v>
      </c>
      <c r="C34" s="1">
        <v>100.82</v>
      </c>
      <c r="D34" s="1">
        <v>4.375</v>
      </c>
      <c r="E34" s="6">
        <v>39356</v>
      </c>
      <c r="F34" s="5">
        <v>3.6159999999999998E-2</v>
      </c>
      <c r="G34" s="1">
        <v>4.3390000000000004</v>
      </c>
      <c r="H34" s="1" t="s">
        <v>7</v>
      </c>
      <c r="I34" s="1" t="s">
        <v>8</v>
      </c>
      <c r="J34" s="2">
        <f t="shared" si="0"/>
        <v>1.1397260273972603</v>
      </c>
    </row>
    <row r="35" spans="1:10" x14ac:dyDescent="0.25">
      <c r="A35" s="1" t="s">
        <v>12</v>
      </c>
      <c r="B35" s="1" t="s">
        <v>44</v>
      </c>
      <c r="C35" s="1">
        <v>103.58</v>
      </c>
      <c r="D35" s="1">
        <v>7.125</v>
      </c>
      <c r="E35" s="6">
        <v>39356</v>
      </c>
      <c r="F35" s="5">
        <v>3.8280000000000002E-2</v>
      </c>
      <c r="G35" s="1">
        <v>6.8789999999999996</v>
      </c>
      <c r="H35" s="1" t="s">
        <v>7</v>
      </c>
      <c r="I35" s="1" t="s">
        <v>8</v>
      </c>
      <c r="J35" s="2">
        <f t="shared" si="0"/>
        <v>1.1397260273972603</v>
      </c>
    </row>
    <row r="36" spans="1:10" x14ac:dyDescent="0.25">
      <c r="A36" s="1" t="s">
        <v>12</v>
      </c>
      <c r="B36" s="1" t="s">
        <v>45</v>
      </c>
      <c r="C36" s="1">
        <v>104.21</v>
      </c>
      <c r="D36" s="1">
        <v>7.63</v>
      </c>
      <c r="E36" s="6">
        <v>39370</v>
      </c>
      <c r="F36" s="5">
        <v>3.8780000000000002E-2</v>
      </c>
      <c r="G36" s="1">
        <v>7.3220000000000001</v>
      </c>
      <c r="H36" s="1" t="s">
        <v>7</v>
      </c>
      <c r="I36" s="1" t="s">
        <v>8</v>
      </c>
      <c r="J36" s="2">
        <f t="shared" si="0"/>
        <v>1.178082191780822</v>
      </c>
    </row>
    <row r="37" spans="1:10" x14ac:dyDescent="0.25">
      <c r="A37" s="1" t="s">
        <v>12</v>
      </c>
      <c r="B37" s="1" t="s">
        <v>46</v>
      </c>
      <c r="C37" s="1">
        <v>100.15</v>
      </c>
      <c r="D37" s="1">
        <v>4</v>
      </c>
      <c r="E37" s="6">
        <v>39370</v>
      </c>
      <c r="F37" s="5">
        <v>3.8650000000000004E-2</v>
      </c>
      <c r="G37" s="1">
        <v>3.9940000000000002</v>
      </c>
      <c r="H37" s="1" t="s">
        <v>7</v>
      </c>
      <c r="I37" s="1" t="s">
        <v>8</v>
      </c>
      <c r="J37" s="2">
        <f t="shared" si="0"/>
        <v>1.178082191780822</v>
      </c>
    </row>
    <row r="38" spans="1:10" x14ac:dyDescent="0.25">
      <c r="A38" s="1" t="s">
        <v>12</v>
      </c>
      <c r="B38" s="1" t="s">
        <v>47</v>
      </c>
      <c r="C38" s="1">
        <v>102.73</v>
      </c>
      <c r="D38" s="1">
        <v>6.25</v>
      </c>
      <c r="E38" s="6">
        <v>39370</v>
      </c>
      <c r="F38" s="5">
        <v>3.8159999999999999E-2</v>
      </c>
      <c r="G38" s="1">
        <v>6.0839999999999996</v>
      </c>
      <c r="H38" s="1" t="s">
        <v>7</v>
      </c>
      <c r="I38" s="1" t="s">
        <v>8</v>
      </c>
      <c r="J38" s="2">
        <f t="shared" si="0"/>
        <v>1.178082191780822</v>
      </c>
    </row>
    <row r="39" spans="1:10" x14ac:dyDescent="0.25">
      <c r="A39" s="1" t="s">
        <v>12</v>
      </c>
      <c r="B39" s="1" t="s">
        <v>48</v>
      </c>
      <c r="C39" s="1">
        <v>103.13</v>
      </c>
      <c r="D39" s="1">
        <v>7</v>
      </c>
      <c r="E39" s="6">
        <v>39370</v>
      </c>
      <c r="F39" s="5">
        <v>4.2000000000000003E-2</v>
      </c>
      <c r="G39" s="1">
        <v>6.7869999999999999</v>
      </c>
      <c r="H39" s="1" t="s">
        <v>7</v>
      </c>
      <c r="I39" s="1" t="s">
        <v>8</v>
      </c>
      <c r="J39" s="2">
        <f t="shared" si="0"/>
        <v>1.178082191780822</v>
      </c>
    </row>
    <row r="40" spans="1:10" x14ac:dyDescent="0.25">
      <c r="A40" s="1" t="s">
        <v>12</v>
      </c>
      <c r="B40" s="1" t="s">
        <v>49</v>
      </c>
      <c r="C40" s="1">
        <v>103.99</v>
      </c>
      <c r="D40" s="1">
        <v>5.75</v>
      </c>
      <c r="E40" s="6">
        <v>39370</v>
      </c>
      <c r="F40" s="5">
        <v>2.2440000000000002E-2</v>
      </c>
      <c r="G40" s="1">
        <v>5.5289999999999999</v>
      </c>
      <c r="H40" s="1" t="s">
        <v>7</v>
      </c>
      <c r="I40" s="1" t="s">
        <v>8</v>
      </c>
      <c r="J40" s="2">
        <f t="shared" si="0"/>
        <v>1.178082191780822</v>
      </c>
    </row>
    <row r="41" spans="1:10" x14ac:dyDescent="0.25">
      <c r="A41" s="1" t="s">
        <v>12</v>
      </c>
      <c r="B41" s="1" t="s">
        <v>50</v>
      </c>
      <c r="C41" s="1">
        <v>100.01</v>
      </c>
      <c r="D41" s="1">
        <v>3.875</v>
      </c>
      <c r="E41" s="6">
        <v>39387</v>
      </c>
      <c r="F41" s="5">
        <v>3.866E-2</v>
      </c>
      <c r="G41" s="1">
        <v>3.875</v>
      </c>
      <c r="H41" s="1" t="s">
        <v>7</v>
      </c>
      <c r="I41" s="1" t="s">
        <v>8</v>
      </c>
      <c r="J41" s="2">
        <f t="shared" si="0"/>
        <v>1.2246575342465753</v>
      </c>
    </row>
    <row r="42" spans="1:10" x14ac:dyDescent="0.25">
      <c r="A42" s="1" t="s">
        <v>12</v>
      </c>
      <c r="B42" s="1" t="s">
        <v>51</v>
      </c>
      <c r="C42" s="1">
        <v>103.33</v>
      </c>
      <c r="D42" s="1">
        <v>6.75</v>
      </c>
      <c r="E42" s="6">
        <v>39401</v>
      </c>
      <c r="F42" s="5">
        <v>3.9699999999999999E-2</v>
      </c>
      <c r="G42" s="1">
        <v>6.532</v>
      </c>
      <c r="H42" s="1" t="s">
        <v>7</v>
      </c>
      <c r="I42" s="1" t="s">
        <v>8</v>
      </c>
      <c r="J42" s="2">
        <f t="shared" si="0"/>
        <v>1.263013698630137</v>
      </c>
    </row>
    <row r="43" spans="1:10" x14ac:dyDescent="0.25">
      <c r="A43" s="1" t="s">
        <v>12</v>
      </c>
      <c r="B43" s="1" t="s">
        <v>29</v>
      </c>
      <c r="C43" s="1">
        <v>104.56</v>
      </c>
      <c r="D43" s="1">
        <v>7.75</v>
      </c>
      <c r="E43" s="6">
        <v>39401</v>
      </c>
      <c r="F43" s="5">
        <v>3.9550000000000002E-2</v>
      </c>
      <c r="G43" s="1">
        <v>7.4119999999999999</v>
      </c>
      <c r="H43" s="1" t="s">
        <v>7</v>
      </c>
      <c r="I43" s="1" t="s">
        <v>8</v>
      </c>
      <c r="J43" s="2">
        <f t="shared" si="0"/>
        <v>1.263013698630137</v>
      </c>
    </row>
    <row r="44" spans="1:10" x14ac:dyDescent="0.25">
      <c r="A44" s="1" t="s">
        <v>12</v>
      </c>
      <c r="B44" s="1" t="s">
        <v>52</v>
      </c>
      <c r="C44" s="1">
        <v>103.1</v>
      </c>
      <c r="D44" s="1">
        <v>6.5</v>
      </c>
      <c r="E44" s="6">
        <v>39401</v>
      </c>
      <c r="F44" s="5">
        <v>3.918E-2</v>
      </c>
      <c r="G44" s="1">
        <v>6.3049999999999997</v>
      </c>
      <c r="H44" s="1" t="s">
        <v>7</v>
      </c>
      <c r="I44" s="1" t="s">
        <v>8</v>
      </c>
      <c r="J44" s="2">
        <f t="shared" si="0"/>
        <v>1.263013698630137</v>
      </c>
    </row>
    <row r="45" spans="1:10" x14ac:dyDescent="0.25">
      <c r="A45" s="1" t="s">
        <v>12</v>
      </c>
      <c r="B45" s="1" t="s">
        <v>53</v>
      </c>
      <c r="C45" s="1">
        <v>103.02</v>
      </c>
      <c r="D45" s="1">
        <v>6.83</v>
      </c>
      <c r="E45" s="6">
        <v>39401</v>
      </c>
      <c r="F45" s="5">
        <v>4.3029999999999999E-2</v>
      </c>
      <c r="G45" s="1">
        <v>6.63</v>
      </c>
      <c r="H45" s="1" t="s">
        <v>7</v>
      </c>
      <c r="I45" s="1" t="s">
        <v>8</v>
      </c>
      <c r="J45" s="2">
        <f t="shared" si="0"/>
        <v>1.263013698630137</v>
      </c>
    </row>
    <row r="46" spans="1:10" x14ac:dyDescent="0.25">
      <c r="A46" s="1" t="s">
        <v>12</v>
      </c>
      <c r="B46" s="1" t="s">
        <v>54</v>
      </c>
      <c r="C46" s="1">
        <v>103.04</v>
      </c>
      <c r="D46" s="1">
        <v>6.5</v>
      </c>
      <c r="E46" s="6">
        <v>39401</v>
      </c>
      <c r="F46" s="5">
        <v>3.9670000000000004E-2</v>
      </c>
      <c r="G46" s="1">
        <v>6.3079999999999998</v>
      </c>
      <c r="H46" s="1" t="s">
        <v>7</v>
      </c>
      <c r="I46" s="1" t="s">
        <v>8</v>
      </c>
      <c r="J46" s="2">
        <f t="shared" si="0"/>
        <v>1.263013698630137</v>
      </c>
    </row>
    <row r="47" spans="1:10" x14ac:dyDescent="0.25">
      <c r="A47" s="1" t="s">
        <v>12</v>
      </c>
      <c r="B47" s="1" t="s">
        <v>55</v>
      </c>
      <c r="C47" s="1">
        <v>101.57</v>
      </c>
      <c r="D47" s="1">
        <v>5.3810000000000002</v>
      </c>
      <c r="E47" s="6">
        <v>39402</v>
      </c>
      <c r="F47" s="5">
        <v>4.0689999999999997E-2</v>
      </c>
      <c r="G47" s="1">
        <v>5.298</v>
      </c>
      <c r="H47" s="1" t="s">
        <v>7</v>
      </c>
      <c r="I47" s="1" t="s">
        <v>8</v>
      </c>
      <c r="J47" s="2">
        <f t="shared" si="0"/>
        <v>1.2657534246575342</v>
      </c>
    </row>
    <row r="48" spans="1:10" x14ac:dyDescent="0.25">
      <c r="A48" s="1" t="s">
        <v>12</v>
      </c>
      <c r="B48" s="1" t="s">
        <v>56</v>
      </c>
      <c r="C48" s="1">
        <v>102.17</v>
      </c>
      <c r="D48" s="1">
        <v>6.3710000000000004</v>
      </c>
      <c r="E48" s="6">
        <v>39402</v>
      </c>
      <c r="F48" s="5">
        <v>4.5519999999999998E-2</v>
      </c>
      <c r="G48" s="1">
        <v>6.2359999999999998</v>
      </c>
      <c r="H48" s="1" t="s">
        <v>7</v>
      </c>
      <c r="I48" s="1" t="s">
        <v>8</v>
      </c>
      <c r="J48" s="2">
        <f t="shared" si="0"/>
        <v>1.2657534246575342</v>
      </c>
    </row>
    <row r="49" spans="1:10" x14ac:dyDescent="0.25">
      <c r="A49" s="1" t="s">
        <v>12</v>
      </c>
      <c r="B49" s="1" t="s">
        <v>57</v>
      </c>
      <c r="C49" s="1">
        <v>99.89</v>
      </c>
      <c r="D49" s="1">
        <v>3.875</v>
      </c>
      <c r="E49" s="6">
        <v>39416</v>
      </c>
      <c r="F49" s="5">
        <v>3.9620000000000002E-2</v>
      </c>
      <c r="G49" s="1">
        <v>3.879</v>
      </c>
      <c r="H49" s="1" t="s">
        <v>7</v>
      </c>
      <c r="I49" s="1" t="s">
        <v>8</v>
      </c>
      <c r="J49" s="2">
        <f t="shared" si="0"/>
        <v>1.3041095890410959</v>
      </c>
    </row>
    <row r="50" spans="1:10" x14ac:dyDescent="0.25">
      <c r="A50" s="1" t="s">
        <v>12</v>
      </c>
      <c r="B50" s="1" t="s">
        <v>58</v>
      </c>
      <c r="C50" s="1">
        <v>104.46</v>
      </c>
      <c r="D50" s="1">
        <v>7.75</v>
      </c>
      <c r="E50" s="6">
        <v>39417</v>
      </c>
      <c r="F50" s="5">
        <v>4.156E-2</v>
      </c>
      <c r="G50" s="1">
        <v>7.4189999999999996</v>
      </c>
      <c r="H50" s="1" t="s">
        <v>7</v>
      </c>
      <c r="I50" s="1" t="s">
        <v>8</v>
      </c>
      <c r="J50" s="2">
        <f t="shared" si="0"/>
        <v>1.3068493150684932</v>
      </c>
    </row>
    <row r="51" spans="1:10" x14ac:dyDescent="0.25">
      <c r="A51" s="1" t="s">
        <v>12</v>
      </c>
      <c r="B51" s="1" t="s">
        <v>59</v>
      </c>
      <c r="C51" s="1">
        <v>103.81</v>
      </c>
      <c r="D51" s="1">
        <v>7.125</v>
      </c>
      <c r="E51" s="6">
        <v>39431</v>
      </c>
      <c r="F51" s="5">
        <v>4.1390000000000003E-2</v>
      </c>
      <c r="G51" s="1">
        <v>6.8630000000000004</v>
      </c>
      <c r="H51" s="1" t="s">
        <v>7</v>
      </c>
      <c r="I51" s="1" t="s">
        <v>8</v>
      </c>
      <c r="J51" s="2">
        <f t="shared" si="0"/>
        <v>1.3452054794520547</v>
      </c>
    </row>
    <row r="52" spans="1:10" x14ac:dyDescent="0.25">
      <c r="A52" s="1" t="s">
        <v>12</v>
      </c>
      <c r="B52" s="1" t="s">
        <v>60</v>
      </c>
      <c r="C52" s="1">
        <v>102.92</v>
      </c>
      <c r="D52" s="1">
        <v>6.5</v>
      </c>
      <c r="E52" s="6">
        <v>39431</v>
      </c>
      <c r="F52" s="5">
        <v>4.2130000000000001E-2</v>
      </c>
      <c r="G52" s="1">
        <v>6.3159999999999998</v>
      </c>
      <c r="H52" s="1" t="s">
        <v>7</v>
      </c>
      <c r="I52" s="1" t="s">
        <v>8</v>
      </c>
      <c r="J52" s="2">
        <f t="shared" si="0"/>
        <v>1.3452054794520547</v>
      </c>
    </row>
    <row r="53" spans="1:10" x14ac:dyDescent="0.25">
      <c r="A53" s="1" t="s">
        <v>12</v>
      </c>
      <c r="B53" s="1" t="s">
        <v>61</v>
      </c>
      <c r="C53" s="1">
        <v>103.64</v>
      </c>
      <c r="D53" s="1">
        <v>6.75</v>
      </c>
      <c r="E53" s="6">
        <v>39431</v>
      </c>
      <c r="F53" s="5">
        <v>3.9050000000000001E-2</v>
      </c>
      <c r="G53" s="1">
        <v>6.5129999999999999</v>
      </c>
      <c r="H53" s="1" t="s">
        <v>7</v>
      </c>
      <c r="I53" s="1" t="s">
        <v>8</v>
      </c>
      <c r="J53" s="2">
        <f t="shared" si="0"/>
        <v>1.3452054794520547</v>
      </c>
    </row>
    <row r="54" spans="1:10" x14ac:dyDescent="0.25">
      <c r="A54" s="1" t="s">
        <v>12</v>
      </c>
      <c r="B54" s="1" t="s">
        <v>62</v>
      </c>
      <c r="C54" s="1">
        <v>103.56</v>
      </c>
      <c r="D54" s="1">
        <v>6.625</v>
      </c>
      <c r="E54" s="6">
        <v>39456</v>
      </c>
      <c r="F54" s="5">
        <v>3.9740000000000004E-2</v>
      </c>
      <c r="G54" s="1">
        <v>6.3970000000000002</v>
      </c>
      <c r="H54" s="1" t="s">
        <v>7</v>
      </c>
      <c r="I54" s="1" t="s">
        <v>8</v>
      </c>
      <c r="J54" s="2">
        <f t="shared" si="0"/>
        <v>1.4136986301369863</v>
      </c>
    </row>
    <row r="55" spans="1:10" x14ac:dyDescent="0.25">
      <c r="A55" s="1" t="s">
        <v>12</v>
      </c>
      <c r="B55" s="1" t="s">
        <v>63</v>
      </c>
      <c r="C55" s="1">
        <v>103.02</v>
      </c>
      <c r="D55" s="1">
        <v>6.45</v>
      </c>
      <c r="E55" s="6">
        <v>39462</v>
      </c>
      <c r="F55" s="5">
        <v>4.2180000000000002E-2</v>
      </c>
      <c r="G55" s="1">
        <v>6.2610000000000001</v>
      </c>
      <c r="H55" s="1" t="s">
        <v>7</v>
      </c>
      <c r="I55" s="1" t="s">
        <v>8</v>
      </c>
      <c r="J55" s="2">
        <f t="shared" si="0"/>
        <v>1.4301369863013698</v>
      </c>
    </row>
    <row r="56" spans="1:10" x14ac:dyDescent="0.25">
      <c r="A56" s="1" t="s">
        <v>12</v>
      </c>
      <c r="B56" s="1" t="s">
        <v>64</v>
      </c>
      <c r="C56" s="1">
        <v>102.83</v>
      </c>
      <c r="D56" s="1">
        <v>6.3</v>
      </c>
      <c r="E56" s="6">
        <v>39462</v>
      </c>
      <c r="F56" s="5">
        <v>4.2130000000000001E-2</v>
      </c>
      <c r="G56" s="1">
        <v>6.1269999999999998</v>
      </c>
      <c r="H56" s="1" t="s">
        <v>7</v>
      </c>
      <c r="I56" s="1" t="s">
        <v>8</v>
      </c>
      <c r="J56" s="2">
        <f t="shared" si="0"/>
        <v>1.4301369863013698</v>
      </c>
    </row>
    <row r="57" spans="1:10" x14ac:dyDescent="0.25">
      <c r="A57" s="1" t="s">
        <v>12</v>
      </c>
      <c r="B57" s="1" t="s">
        <v>65</v>
      </c>
      <c r="C57" s="1">
        <v>100.42</v>
      </c>
      <c r="D57" s="1">
        <v>4.625</v>
      </c>
      <c r="E57" s="6">
        <v>39462</v>
      </c>
      <c r="F57" s="5">
        <v>4.3139999999999998E-2</v>
      </c>
      <c r="G57" s="1">
        <v>4.6059999999999999</v>
      </c>
      <c r="H57" s="1" t="s">
        <v>7</v>
      </c>
      <c r="I57" s="1" t="s">
        <v>8</v>
      </c>
      <c r="J57" s="2">
        <f t="shared" si="0"/>
        <v>1.4301369863013698</v>
      </c>
    </row>
    <row r="58" spans="1:10" x14ac:dyDescent="0.25">
      <c r="A58" s="1" t="s">
        <v>12</v>
      </c>
      <c r="B58" s="1" t="s">
        <v>66</v>
      </c>
      <c r="C58" s="1">
        <v>102.38</v>
      </c>
      <c r="D58" s="1">
        <v>6</v>
      </c>
      <c r="E58" s="6">
        <v>39462</v>
      </c>
      <c r="F58" s="5">
        <v>4.2430000000000002E-2</v>
      </c>
      <c r="G58" s="1">
        <v>5.86</v>
      </c>
      <c r="H58" s="1" t="s">
        <v>7</v>
      </c>
      <c r="I58" s="1" t="s">
        <v>8</v>
      </c>
      <c r="J58" s="2">
        <f t="shared" si="0"/>
        <v>1.4301369863013698</v>
      </c>
    </row>
    <row r="59" spans="1:10" x14ac:dyDescent="0.25">
      <c r="A59" s="1" t="s">
        <v>12</v>
      </c>
      <c r="B59" s="1" t="s">
        <v>39</v>
      </c>
      <c r="C59" s="1">
        <v>104.42</v>
      </c>
      <c r="D59" s="1">
        <v>7.48</v>
      </c>
      <c r="E59" s="6">
        <v>39462</v>
      </c>
      <c r="F59" s="5">
        <v>4.2169999999999999E-2</v>
      </c>
      <c r="G59" s="1">
        <v>7.1630000000000003</v>
      </c>
      <c r="H59" s="1" t="s">
        <v>7</v>
      </c>
      <c r="I59" s="1" t="s">
        <v>8</v>
      </c>
      <c r="J59" s="2">
        <f t="shared" si="0"/>
        <v>1.4301369863013698</v>
      </c>
    </row>
    <row r="60" spans="1:10" x14ac:dyDescent="0.25">
      <c r="A60" s="1" t="s">
        <v>12</v>
      </c>
      <c r="B60" s="1" t="s">
        <v>67</v>
      </c>
      <c r="C60" s="1">
        <v>104.21</v>
      </c>
      <c r="D60" s="1">
        <v>7.375</v>
      </c>
      <c r="E60" s="6">
        <v>39479</v>
      </c>
      <c r="F60" s="5">
        <v>4.3540000000000002E-2</v>
      </c>
      <c r="G60" s="1">
        <v>7.077</v>
      </c>
      <c r="H60" s="1" t="s">
        <v>7</v>
      </c>
      <c r="I60" s="1" t="s">
        <v>8</v>
      </c>
      <c r="J60" s="2">
        <f t="shared" si="0"/>
        <v>1.4767123287671233</v>
      </c>
    </row>
    <row r="61" spans="1:10" x14ac:dyDescent="0.25">
      <c r="A61" s="1" t="s">
        <v>12</v>
      </c>
      <c r="B61" s="1" t="s">
        <v>68</v>
      </c>
      <c r="C61" s="1">
        <v>102.98</v>
      </c>
      <c r="D61" s="1">
        <v>6.375</v>
      </c>
      <c r="E61" s="6">
        <v>39479</v>
      </c>
      <c r="F61" s="5">
        <v>4.24E-2</v>
      </c>
      <c r="G61" s="1">
        <v>6.19</v>
      </c>
      <c r="H61" s="1" t="s">
        <v>7</v>
      </c>
      <c r="I61" s="1" t="s">
        <v>8</v>
      </c>
      <c r="J61" s="2">
        <f t="shared" si="0"/>
        <v>1.4767123287671233</v>
      </c>
    </row>
    <row r="62" spans="1:10" x14ac:dyDescent="0.25">
      <c r="A62" s="1" t="s">
        <v>12</v>
      </c>
      <c r="B62" s="1" t="s">
        <v>49</v>
      </c>
      <c r="C62" s="1">
        <v>103.52</v>
      </c>
      <c r="D62" s="1">
        <v>6.625</v>
      </c>
      <c r="E62" s="6">
        <v>39479</v>
      </c>
      <c r="F62" s="5">
        <v>4.1110000000000001E-2</v>
      </c>
      <c r="G62" s="1">
        <v>6.4</v>
      </c>
      <c r="H62" s="1" t="s">
        <v>7</v>
      </c>
      <c r="I62" s="1" t="s">
        <v>8</v>
      </c>
      <c r="J62" s="2">
        <f t="shared" si="0"/>
        <v>1.4767123287671233</v>
      </c>
    </row>
    <row r="63" spans="1:10" x14ac:dyDescent="0.25">
      <c r="A63" s="1" t="s">
        <v>12</v>
      </c>
      <c r="B63" s="1" t="s">
        <v>21</v>
      </c>
      <c r="C63" s="1">
        <v>102.38</v>
      </c>
      <c r="D63" s="1">
        <v>6.375</v>
      </c>
      <c r="E63" s="6">
        <v>39493</v>
      </c>
      <c r="F63" s="5">
        <v>4.7100000000000003E-2</v>
      </c>
      <c r="G63" s="1">
        <v>6.2270000000000003</v>
      </c>
      <c r="H63" s="1" t="s">
        <v>7</v>
      </c>
      <c r="I63" s="1" t="s">
        <v>8</v>
      </c>
      <c r="J63" s="2">
        <f t="shared" si="0"/>
        <v>1.515068493150685</v>
      </c>
    </row>
    <row r="64" spans="1:10" x14ac:dyDescent="0.25">
      <c r="A64" s="1" t="s">
        <v>12</v>
      </c>
      <c r="B64" s="1" t="s">
        <v>69</v>
      </c>
      <c r="C64" s="1">
        <v>107.51</v>
      </c>
      <c r="D64" s="1">
        <v>9.75</v>
      </c>
      <c r="E64" s="6">
        <v>39493</v>
      </c>
      <c r="F64" s="5">
        <v>4.4969999999999996E-2</v>
      </c>
      <c r="G64" s="1">
        <v>9.0690000000000008</v>
      </c>
      <c r="H64" s="1" t="s">
        <v>7</v>
      </c>
      <c r="I64" s="1" t="s">
        <v>8</v>
      </c>
      <c r="J64" s="2">
        <f t="shared" si="0"/>
        <v>1.515068493150685</v>
      </c>
    </row>
    <row r="65" spans="1:10" x14ac:dyDescent="0.25">
      <c r="A65" s="1" t="s">
        <v>12</v>
      </c>
      <c r="B65" s="1" t="s">
        <v>70</v>
      </c>
      <c r="C65" s="1">
        <v>100.19</v>
      </c>
      <c r="D65" s="1">
        <v>4.125</v>
      </c>
      <c r="E65" s="6">
        <v>39493</v>
      </c>
      <c r="F65" s="5">
        <v>3.9960000000000002E-2</v>
      </c>
      <c r="G65" s="1">
        <v>4.117</v>
      </c>
      <c r="H65" s="1" t="s">
        <v>7</v>
      </c>
      <c r="I65" s="1" t="s">
        <v>8</v>
      </c>
      <c r="J65" s="2">
        <f t="shared" si="0"/>
        <v>1.515068493150685</v>
      </c>
    </row>
    <row r="66" spans="1:10" x14ac:dyDescent="0.25">
      <c r="A66" s="1" t="s">
        <v>12</v>
      </c>
      <c r="B66" s="1" t="s">
        <v>29</v>
      </c>
      <c r="C66" s="1">
        <v>103.55</v>
      </c>
      <c r="D66" s="1">
        <v>6.75</v>
      </c>
      <c r="E66" s="6">
        <v>39493</v>
      </c>
      <c r="F66" s="5">
        <v>4.274E-2</v>
      </c>
      <c r="G66" s="1">
        <v>6.5190000000000001</v>
      </c>
      <c r="H66" s="1" t="s">
        <v>7</v>
      </c>
      <c r="I66" s="1" t="s">
        <v>8</v>
      </c>
      <c r="J66" s="2">
        <f t="shared" si="0"/>
        <v>1.515068493150685</v>
      </c>
    </row>
    <row r="67" spans="1:10" x14ac:dyDescent="0.25">
      <c r="A67" s="1" t="s">
        <v>12</v>
      </c>
      <c r="B67" s="1" t="s">
        <v>71</v>
      </c>
      <c r="C67" s="1">
        <v>103.42</v>
      </c>
      <c r="D67" s="1">
        <v>6.875</v>
      </c>
      <c r="E67" s="6">
        <v>39493</v>
      </c>
      <c r="F67" s="5">
        <v>4.4800000000000006E-2</v>
      </c>
      <c r="G67" s="1">
        <v>6.6470000000000002</v>
      </c>
      <c r="H67" s="1" t="s">
        <v>7</v>
      </c>
      <c r="I67" s="1" t="s">
        <v>8</v>
      </c>
      <c r="J67" s="2">
        <f t="shared" si="0"/>
        <v>1.515068493150685</v>
      </c>
    </row>
    <row r="68" spans="1:10" x14ac:dyDescent="0.25">
      <c r="A68" s="1" t="s">
        <v>12</v>
      </c>
      <c r="B68" s="1" t="s">
        <v>72</v>
      </c>
      <c r="C68" s="1">
        <v>104.77</v>
      </c>
      <c r="D68" s="1">
        <v>7.625</v>
      </c>
      <c r="E68" s="6">
        <v>39493</v>
      </c>
      <c r="F68" s="5">
        <v>4.2950000000000002E-2</v>
      </c>
      <c r="G68" s="1">
        <v>7.2779999999999996</v>
      </c>
      <c r="H68" s="1" t="s">
        <v>7</v>
      </c>
      <c r="I68" s="1" t="s">
        <v>8</v>
      </c>
      <c r="J68" s="2">
        <f t="shared" ref="J68:J131" si="1">(E68-DATE(2006,8,11))/365</f>
        <v>1.515068493150685</v>
      </c>
    </row>
    <row r="69" spans="1:10" x14ac:dyDescent="0.25">
      <c r="A69" s="1" t="s">
        <v>12</v>
      </c>
      <c r="B69" s="1" t="s">
        <v>73</v>
      </c>
      <c r="C69" s="1">
        <v>99.34</v>
      </c>
      <c r="D69" s="1">
        <v>3.625</v>
      </c>
      <c r="E69" s="6">
        <v>39493</v>
      </c>
      <c r="F69" s="5">
        <v>4.0839999999999994E-2</v>
      </c>
      <c r="G69" s="1">
        <v>3.649</v>
      </c>
      <c r="H69" s="1" t="s">
        <v>7</v>
      </c>
      <c r="I69" s="1" t="s">
        <v>8</v>
      </c>
      <c r="J69" s="2">
        <f t="shared" si="1"/>
        <v>1.515068493150685</v>
      </c>
    </row>
    <row r="70" spans="1:10" x14ac:dyDescent="0.25">
      <c r="A70" s="1" t="s">
        <v>12</v>
      </c>
      <c r="B70" s="1" t="s">
        <v>74</v>
      </c>
      <c r="C70" s="1">
        <v>106.23</v>
      </c>
      <c r="D70" s="1">
        <v>8.5</v>
      </c>
      <c r="E70" s="6">
        <v>39493</v>
      </c>
      <c r="F70" s="5">
        <v>4.1599999999999998E-2</v>
      </c>
      <c r="G70" s="1">
        <v>8.0020000000000007</v>
      </c>
      <c r="H70" s="1" t="s">
        <v>7</v>
      </c>
      <c r="I70" s="1" t="s">
        <v>8</v>
      </c>
      <c r="J70" s="2">
        <f t="shared" si="1"/>
        <v>1.515068493150685</v>
      </c>
    </row>
    <row r="71" spans="1:10" x14ac:dyDescent="0.25">
      <c r="A71" s="1" t="s">
        <v>12</v>
      </c>
      <c r="B71" s="1" t="s">
        <v>75</v>
      </c>
      <c r="C71" s="1">
        <v>106.63</v>
      </c>
      <c r="D71" s="1">
        <v>9.125</v>
      </c>
      <c r="E71" s="6">
        <v>39493</v>
      </c>
      <c r="F71" s="5">
        <v>4.487E-2</v>
      </c>
      <c r="G71" s="1">
        <v>8.5579999999999998</v>
      </c>
      <c r="H71" s="1" t="s">
        <v>7</v>
      </c>
      <c r="I71" s="1" t="s">
        <v>8</v>
      </c>
      <c r="J71" s="2">
        <f t="shared" si="1"/>
        <v>1.515068493150685</v>
      </c>
    </row>
    <row r="72" spans="1:10" x14ac:dyDescent="0.25">
      <c r="A72" s="1" t="s">
        <v>12</v>
      </c>
      <c r="B72" s="1" t="s">
        <v>76</v>
      </c>
      <c r="C72" s="1">
        <v>103.96</v>
      </c>
      <c r="D72" s="1">
        <v>7</v>
      </c>
      <c r="E72" s="6">
        <v>39508</v>
      </c>
      <c r="F72" s="5">
        <v>4.3110000000000002E-2</v>
      </c>
      <c r="G72" s="1">
        <v>6.7329999999999997</v>
      </c>
      <c r="H72" s="1" t="s">
        <v>7</v>
      </c>
      <c r="I72" s="1" t="s">
        <v>8</v>
      </c>
      <c r="J72" s="2">
        <f t="shared" si="1"/>
        <v>1.5561643835616439</v>
      </c>
    </row>
    <row r="73" spans="1:10" x14ac:dyDescent="0.25">
      <c r="A73" s="1" t="s">
        <v>12</v>
      </c>
      <c r="B73" s="1" t="s">
        <v>77</v>
      </c>
      <c r="C73" s="1">
        <v>103.13</v>
      </c>
      <c r="D73" s="1">
        <v>6.375</v>
      </c>
      <c r="E73" s="6">
        <v>39508</v>
      </c>
      <c r="F73" s="5">
        <v>4.249E-2</v>
      </c>
      <c r="G73" s="1">
        <v>6.181</v>
      </c>
      <c r="H73" s="1" t="s">
        <v>7</v>
      </c>
      <c r="I73" s="1" t="s">
        <v>8</v>
      </c>
      <c r="J73" s="2">
        <f t="shared" si="1"/>
        <v>1.5561643835616439</v>
      </c>
    </row>
    <row r="74" spans="1:10" x14ac:dyDescent="0.25">
      <c r="A74" s="1" t="s">
        <v>12</v>
      </c>
      <c r="B74" s="1" t="s">
        <v>78</v>
      </c>
      <c r="C74" s="1">
        <v>100.27</v>
      </c>
      <c r="D74" s="1">
        <v>4.5</v>
      </c>
      <c r="E74" s="6">
        <v>39510</v>
      </c>
      <c r="F74" s="5">
        <v>4.317E-2</v>
      </c>
      <c r="G74" s="1">
        <v>4.4880000000000004</v>
      </c>
      <c r="H74" s="1" t="s">
        <v>7</v>
      </c>
      <c r="I74" s="1" t="s">
        <v>8</v>
      </c>
      <c r="J74" s="2">
        <f t="shared" si="1"/>
        <v>1.5616438356164384</v>
      </c>
    </row>
    <row r="75" spans="1:10" x14ac:dyDescent="0.25">
      <c r="A75" s="1" t="s">
        <v>12</v>
      </c>
      <c r="B75" s="1" t="s">
        <v>79</v>
      </c>
      <c r="C75" s="1">
        <v>104.68</v>
      </c>
      <c r="D75" s="1">
        <v>7.45</v>
      </c>
      <c r="E75" s="6">
        <v>39511</v>
      </c>
      <c r="F75" s="5">
        <v>4.2900000000000001E-2</v>
      </c>
      <c r="G75" s="1">
        <v>7.117</v>
      </c>
      <c r="H75" s="1" t="s">
        <v>7</v>
      </c>
      <c r="I75" s="1" t="s">
        <v>8</v>
      </c>
      <c r="J75" s="2">
        <f t="shared" si="1"/>
        <v>1.5643835616438355</v>
      </c>
    </row>
    <row r="76" spans="1:10" x14ac:dyDescent="0.25">
      <c r="A76" s="1" t="s">
        <v>12</v>
      </c>
      <c r="B76" s="1" t="s">
        <v>48</v>
      </c>
      <c r="C76" s="1">
        <v>103.5</v>
      </c>
      <c r="D76" s="1">
        <v>6.75</v>
      </c>
      <c r="E76" s="6">
        <v>39522</v>
      </c>
      <c r="F76" s="5">
        <v>4.4260000000000001E-2</v>
      </c>
      <c r="G76" s="1">
        <v>6.5220000000000002</v>
      </c>
      <c r="H76" s="1" t="s">
        <v>7</v>
      </c>
      <c r="I76" s="1" t="s">
        <v>8</v>
      </c>
      <c r="J76" s="2">
        <f t="shared" si="1"/>
        <v>1.5945205479452054</v>
      </c>
    </row>
    <row r="77" spans="1:10" x14ac:dyDescent="0.25">
      <c r="A77" s="1" t="s">
        <v>12</v>
      </c>
      <c r="B77" s="1" t="s">
        <v>80</v>
      </c>
      <c r="C77" s="1">
        <v>101.06</v>
      </c>
      <c r="D77" s="1">
        <v>5.25</v>
      </c>
      <c r="E77" s="6">
        <v>39538</v>
      </c>
      <c r="F77" s="5">
        <v>4.5629999999999997E-2</v>
      </c>
      <c r="G77" s="1">
        <v>5.1950000000000003</v>
      </c>
      <c r="H77" s="1" t="s">
        <v>7</v>
      </c>
      <c r="I77" s="1" t="s">
        <v>8</v>
      </c>
      <c r="J77" s="2">
        <f t="shared" si="1"/>
        <v>1.6383561643835616</v>
      </c>
    </row>
    <row r="78" spans="1:10" x14ac:dyDescent="0.25">
      <c r="A78" s="1" t="s">
        <v>12</v>
      </c>
      <c r="B78" s="1" t="s">
        <v>81</v>
      </c>
      <c r="C78" s="1">
        <v>103.6</v>
      </c>
      <c r="D78" s="1">
        <v>6.65</v>
      </c>
      <c r="E78" s="6">
        <v>39539</v>
      </c>
      <c r="F78" s="5">
        <v>4.3230000000000005E-2</v>
      </c>
      <c r="G78" s="1">
        <v>6.4189999999999996</v>
      </c>
      <c r="H78" s="1" t="s">
        <v>7</v>
      </c>
      <c r="I78" s="1" t="s">
        <v>8</v>
      </c>
      <c r="J78" s="2">
        <f t="shared" si="1"/>
        <v>1.6410958904109589</v>
      </c>
    </row>
    <row r="79" spans="1:10" x14ac:dyDescent="0.25">
      <c r="A79" s="1" t="s">
        <v>12</v>
      </c>
      <c r="B79" s="1" t="s">
        <v>82</v>
      </c>
      <c r="C79" s="1">
        <v>103.04</v>
      </c>
      <c r="D79" s="1">
        <v>6.25</v>
      </c>
      <c r="E79" s="6">
        <v>39539</v>
      </c>
      <c r="F79" s="5">
        <v>4.2859999999999995E-2</v>
      </c>
      <c r="G79" s="1">
        <v>6.0659999999999998</v>
      </c>
      <c r="H79" s="1" t="s">
        <v>7</v>
      </c>
      <c r="I79" s="1" t="s">
        <v>8</v>
      </c>
      <c r="J79" s="2">
        <f t="shared" si="1"/>
        <v>1.6410958904109589</v>
      </c>
    </row>
    <row r="80" spans="1:10" x14ac:dyDescent="0.25">
      <c r="A80" s="1" t="s">
        <v>12</v>
      </c>
      <c r="B80" s="1" t="s">
        <v>83</v>
      </c>
      <c r="C80" s="1">
        <v>104.81</v>
      </c>
      <c r="D80" s="1">
        <v>7.5</v>
      </c>
      <c r="E80" s="6">
        <v>39553</v>
      </c>
      <c r="F80" s="5">
        <v>4.4569999999999999E-2</v>
      </c>
      <c r="G80" s="1">
        <v>7.1559999999999997</v>
      </c>
      <c r="H80" s="1" t="s">
        <v>7</v>
      </c>
      <c r="I80" s="1" t="s">
        <v>8</v>
      </c>
      <c r="J80" s="2">
        <f t="shared" si="1"/>
        <v>1.6794520547945206</v>
      </c>
    </row>
    <row r="81" spans="1:10" x14ac:dyDescent="0.25">
      <c r="A81" s="1" t="s">
        <v>12</v>
      </c>
      <c r="B81" s="1" t="s">
        <v>84</v>
      </c>
      <c r="C81" s="1">
        <v>104.35</v>
      </c>
      <c r="D81" s="1">
        <v>7.1</v>
      </c>
      <c r="E81" s="6">
        <v>39553</v>
      </c>
      <c r="F81" s="5">
        <v>4.351E-2</v>
      </c>
      <c r="G81" s="1">
        <v>6.8040000000000003</v>
      </c>
      <c r="H81" s="1" t="s">
        <v>7</v>
      </c>
      <c r="I81" s="1" t="s">
        <v>8</v>
      </c>
      <c r="J81" s="2">
        <f t="shared" si="1"/>
        <v>1.6794520547945206</v>
      </c>
    </row>
    <row r="82" spans="1:10" x14ac:dyDescent="0.25">
      <c r="A82" s="1" t="s">
        <v>12</v>
      </c>
      <c r="B82" s="1" t="s">
        <v>85</v>
      </c>
      <c r="C82" s="1">
        <v>98.75</v>
      </c>
      <c r="D82" s="1">
        <v>3.6</v>
      </c>
      <c r="E82" s="6">
        <v>39583</v>
      </c>
      <c r="F82" s="5">
        <v>4.3459999999999999E-2</v>
      </c>
      <c r="G82" s="1">
        <v>3.645</v>
      </c>
      <c r="H82" s="1" t="s">
        <v>7</v>
      </c>
      <c r="I82" s="1" t="s">
        <v>8</v>
      </c>
      <c r="J82" s="2">
        <f t="shared" si="1"/>
        <v>1.7616438356164383</v>
      </c>
    </row>
    <row r="83" spans="1:10" x14ac:dyDescent="0.25">
      <c r="A83" s="1" t="s">
        <v>12</v>
      </c>
      <c r="B83" s="1" t="s">
        <v>86</v>
      </c>
      <c r="C83" s="1">
        <v>108.8</v>
      </c>
      <c r="D83" s="1">
        <v>9.875</v>
      </c>
      <c r="E83" s="6">
        <v>39583</v>
      </c>
      <c r="F83" s="5">
        <v>4.5629999999999997E-2</v>
      </c>
      <c r="G83" s="1">
        <v>9.077</v>
      </c>
      <c r="H83" s="1" t="s">
        <v>7</v>
      </c>
      <c r="I83" s="1" t="s">
        <v>8</v>
      </c>
      <c r="J83" s="2">
        <f t="shared" si="1"/>
        <v>1.7616438356164383</v>
      </c>
    </row>
    <row r="84" spans="1:10" x14ac:dyDescent="0.25">
      <c r="A84" s="1" t="s">
        <v>12</v>
      </c>
      <c r="B84" s="1" t="s">
        <v>70</v>
      </c>
      <c r="C84" s="1">
        <v>102.21</v>
      </c>
      <c r="D84" s="1">
        <v>5.6870000000000003</v>
      </c>
      <c r="E84" s="6">
        <v>39583</v>
      </c>
      <c r="F84" s="5">
        <v>4.3659999999999997E-2</v>
      </c>
      <c r="G84" s="1">
        <v>5.5640000000000001</v>
      </c>
      <c r="H84" s="1" t="s">
        <v>7</v>
      </c>
      <c r="I84" s="1" t="s">
        <v>8</v>
      </c>
      <c r="J84" s="2">
        <f t="shared" si="1"/>
        <v>1.7616438356164383</v>
      </c>
    </row>
    <row r="85" spans="1:10" x14ac:dyDescent="0.25">
      <c r="A85" s="1" t="s">
        <v>12</v>
      </c>
      <c r="B85" s="1" t="s">
        <v>87</v>
      </c>
      <c r="C85" s="1">
        <v>98.2</v>
      </c>
      <c r="D85" s="1">
        <v>3.5</v>
      </c>
      <c r="E85" s="6">
        <v>39583</v>
      </c>
      <c r="F85" s="5">
        <v>4.5839999999999999E-2</v>
      </c>
      <c r="G85" s="1">
        <v>3.5640000000000001</v>
      </c>
      <c r="H85" s="1" t="s">
        <v>7</v>
      </c>
      <c r="I85" s="1" t="s">
        <v>8</v>
      </c>
      <c r="J85" s="2">
        <f t="shared" si="1"/>
        <v>1.7616438356164383</v>
      </c>
    </row>
    <row r="86" spans="1:10" x14ac:dyDescent="0.25">
      <c r="A86" s="1" t="s">
        <v>12</v>
      </c>
      <c r="B86" s="1" t="s">
        <v>88</v>
      </c>
      <c r="C86" s="1">
        <v>103.28</v>
      </c>
      <c r="D86" s="1">
        <v>6.3</v>
      </c>
      <c r="E86" s="6">
        <v>39583</v>
      </c>
      <c r="F86" s="5">
        <v>4.3240000000000001E-2</v>
      </c>
      <c r="G86" s="1">
        <v>6.1</v>
      </c>
      <c r="H86" s="1" t="s">
        <v>7</v>
      </c>
      <c r="I86" s="1" t="s">
        <v>8</v>
      </c>
      <c r="J86" s="2">
        <f t="shared" si="1"/>
        <v>1.7616438356164383</v>
      </c>
    </row>
    <row r="87" spans="1:10" x14ac:dyDescent="0.25">
      <c r="A87" s="1" t="s">
        <v>12</v>
      </c>
      <c r="B87" s="1" t="s">
        <v>89</v>
      </c>
      <c r="C87" s="1">
        <v>103.98</v>
      </c>
      <c r="D87" s="1">
        <v>6.75</v>
      </c>
      <c r="E87" s="6">
        <v>39598</v>
      </c>
      <c r="F87" s="5">
        <v>4.4050000000000006E-2</v>
      </c>
      <c r="G87" s="1">
        <v>6.492</v>
      </c>
      <c r="H87" s="1" t="s">
        <v>7</v>
      </c>
      <c r="I87" s="1" t="s">
        <v>8</v>
      </c>
      <c r="J87" s="2">
        <f t="shared" si="1"/>
        <v>1.8027397260273972</v>
      </c>
    </row>
    <row r="88" spans="1:10" x14ac:dyDescent="0.25">
      <c r="A88" s="1" t="s">
        <v>12</v>
      </c>
      <c r="B88" s="1" t="s">
        <v>90</v>
      </c>
      <c r="C88" s="1">
        <v>103.77</v>
      </c>
      <c r="D88" s="1">
        <v>6.875</v>
      </c>
      <c r="E88" s="6">
        <v>39600</v>
      </c>
      <c r="F88" s="5">
        <v>4.6519999999999999E-2</v>
      </c>
      <c r="G88" s="1">
        <v>6.6260000000000003</v>
      </c>
      <c r="H88" s="1" t="s">
        <v>7</v>
      </c>
      <c r="I88" s="1" t="s">
        <v>8</v>
      </c>
      <c r="J88" s="2">
        <f t="shared" si="1"/>
        <v>1.8082191780821917</v>
      </c>
    </row>
    <row r="89" spans="1:10" x14ac:dyDescent="0.25">
      <c r="A89" s="1" t="s">
        <v>12</v>
      </c>
      <c r="B89" s="1" t="s">
        <v>91</v>
      </c>
      <c r="C89" s="1">
        <v>102.14</v>
      </c>
      <c r="D89" s="1">
        <v>5.875</v>
      </c>
      <c r="E89" s="6">
        <v>39600</v>
      </c>
      <c r="F89" s="5">
        <v>4.6079999999999996E-2</v>
      </c>
      <c r="G89" s="1">
        <v>5.7519999999999998</v>
      </c>
      <c r="H89" s="1" t="s">
        <v>7</v>
      </c>
      <c r="I89" s="1" t="s">
        <v>8</v>
      </c>
      <c r="J89" s="2">
        <f t="shared" si="1"/>
        <v>1.8082191780821917</v>
      </c>
    </row>
    <row r="90" spans="1:10" x14ac:dyDescent="0.25">
      <c r="A90" s="1" t="s">
        <v>12</v>
      </c>
      <c r="B90" s="1" t="s">
        <v>92</v>
      </c>
      <c r="C90" s="1">
        <v>98.14</v>
      </c>
      <c r="D90" s="1">
        <v>3.3</v>
      </c>
      <c r="E90" s="6">
        <v>39600</v>
      </c>
      <c r="F90" s="5">
        <v>4.3890000000000005E-2</v>
      </c>
      <c r="G90" s="1">
        <v>3.3620000000000001</v>
      </c>
      <c r="H90" s="1" t="s">
        <v>7</v>
      </c>
      <c r="I90" s="1" t="s">
        <v>8</v>
      </c>
      <c r="J90" s="2">
        <f t="shared" si="1"/>
        <v>1.8082191780821917</v>
      </c>
    </row>
    <row r="91" spans="1:10" x14ac:dyDescent="0.25">
      <c r="A91" s="1" t="s">
        <v>12</v>
      </c>
      <c r="B91" s="1" t="s">
        <v>93</v>
      </c>
      <c r="C91" s="1">
        <v>97.26</v>
      </c>
      <c r="D91" s="1">
        <v>3</v>
      </c>
      <c r="E91" s="6">
        <v>39614</v>
      </c>
      <c r="F91" s="5">
        <v>4.5759999999999995E-2</v>
      </c>
      <c r="G91" s="1">
        <v>3.0840000000000001</v>
      </c>
      <c r="H91" s="1" t="s">
        <v>7</v>
      </c>
      <c r="I91" s="1" t="s">
        <v>8</v>
      </c>
      <c r="J91" s="2">
        <f t="shared" si="1"/>
        <v>1.8465753424657534</v>
      </c>
    </row>
    <row r="92" spans="1:10" x14ac:dyDescent="0.25">
      <c r="A92" s="1" t="s">
        <v>12</v>
      </c>
      <c r="B92" s="1" t="s">
        <v>66</v>
      </c>
      <c r="C92" s="1">
        <v>102.61</v>
      </c>
      <c r="D92" s="1">
        <v>6.15</v>
      </c>
      <c r="E92" s="6">
        <v>39618</v>
      </c>
      <c r="F92" s="5">
        <v>4.6519999999999999E-2</v>
      </c>
      <c r="G92" s="1">
        <v>5.9930000000000003</v>
      </c>
      <c r="H92" s="1" t="s">
        <v>7</v>
      </c>
      <c r="I92" s="1" t="s">
        <v>8</v>
      </c>
      <c r="J92" s="2">
        <f t="shared" si="1"/>
        <v>1.8575342465753424</v>
      </c>
    </row>
    <row r="93" spans="1:10" x14ac:dyDescent="0.25">
      <c r="A93" s="1" t="s">
        <v>12</v>
      </c>
      <c r="B93" s="1" t="s">
        <v>94</v>
      </c>
      <c r="C93" s="1">
        <v>105.5</v>
      </c>
      <c r="D93" s="1">
        <v>7.65</v>
      </c>
      <c r="E93" s="6">
        <v>39630</v>
      </c>
      <c r="F93" s="5">
        <v>4.5449999999999997E-2</v>
      </c>
      <c r="G93" s="1">
        <v>7.2510000000000003</v>
      </c>
      <c r="H93" s="1" t="s">
        <v>7</v>
      </c>
      <c r="I93" s="1" t="s">
        <v>8</v>
      </c>
      <c r="J93" s="2">
        <f t="shared" si="1"/>
        <v>1.8904109589041096</v>
      </c>
    </row>
    <row r="94" spans="1:10" x14ac:dyDescent="0.25">
      <c r="A94" s="1" t="s">
        <v>12</v>
      </c>
      <c r="B94" s="1" t="s">
        <v>95</v>
      </c>
      <c r="C94" s="1">
        <v>104.69</v>
      </c>
      <c r="D94" s="1">
        <v>7.125</v>
      </c>
      <c r="E94" s="6">
        <v>39661</v>
      </c>
      <c r="F94" s="5">
        <v>4.5890000000000007E-2</v>
      </c>
      <c r="G94" s="1">
        <v>6.806</v>
      </c>
      <c r="H94" s="1" t="s">
        <v>7</v>
      </c>
      <c r="I94" s="1" t="s">
        <v>8</v>
      </c>
      <c r="J94" s="2">
        <f t="shared" si="1"/>
        <v>1.9753424657534246</v>
      </c>
    </row>
    <row r="95" spans="1:10" x14ac:dyDescent="0.25">
      <c r="A95" s="1" t="s">
        <v>12</v>
      </c>
      <c r="B95" s="1" t="s">
        <v>96</v>
      </c>
      <c r="C95" s="1">
        <v>103.27</v>
      </c>
      <c r="D95" s="1">
        <v>6.4</v>
      </c>
      <c r="E95" s="6">
        <v>39661</v>
      </c>
      <c r="F95" s="5">
        <v>4.6330000000000003E-2</v>
      </c>
      <c r="G95" s="1">
        <v>6.1980000000000004</v>
      </c>
      <c r="H95" s="1" t="s">
        <v>7</v>
      </c>
      <c r="I95" s="1" t="s">
        <v>8</v>
      </c>
      <c r="J95" s="2">
        <f t="shared" si="1"/>
        <v>1.9753424657534246</v>
      </c>
    </row>
    <row r="96" spans="1:10" x14ac:dyDescent="0.25">
      <c r="A96" s="1" t="s">
        <v>12</v>
      </c>
      <c r="B96" s="1" t="s">
        <v>97</v>
      </c>
      <c r="C96" s="1">
        <v>99.53</v>
      </c>
      <c r="D96" s="1">
        <v>4.25</v>
      </c>
      <c r="E96" s="6">
        <v>39675</v>
      </c>
      <c r="F96" s="5">
        <v>4.4979999999999999E-2</v>
      </c>
      <c r="G96" s="1">
        <v>4.2699999999999996</v>
      </c>
      <c r="H96" s="1" t="s">
        <v>7</v>
      </c>
      <c r="I96" s="1" t="s">
        <v>8</v>
      </c>
      <c r="J96" s="2">
        <f t="shared" si="1"/>
        <v>2.0136986301369864</v>
      </c>
    </row>
    <row r="97" spans="1:10" x14ac:dyDescent="0.25">
      <c r="A97" s="1" t="s">
        <v>12</v>
      </c>
      <c r="B97" s="1" t="s">
        <v>17</v>
      </c>
      <c r="C97" s="1">
        <v>106</v>
      </c>
      <c r="D97" s="1">
        <v>7.375</v>
      </c>
      <c r="E97" s="6">
        <v>39675</v>
      </c>
      <c r="F97" s="5">
        <v>4.2069999999999996E-2</v>
      </c>
      <c r="G97" s="1">
        <v>6.9580000000000002</v>
      </c>
      <c r="H97" s="1" t="s">
        <v>7</v>
      </c>
      <c r="I97" s="1" t="s">
        <v>8</v>
      </c>
      <c r="J97" s="2">
        <f t="shared" si="1"/>
        <v>2.0136986301369864</v>
      </c>
    </row>
    <row r="98" spans="1:10" x14ac:dyDescent="0.25">
      <c r="A98" s="1" t="s">
        <v>12</v>
      </c>
      <c r="B98" s="1" t="s">
        <v>98</v>
      </c>
      <c r="C98" s="1">
        <v>108.37</v>
      </c>
      <c r="D98" s="1">
        <v>9</v>
      </c>
      <c r="E98" s="6">
        <v>39692</v>
      </c>
      <c r="F98" s="5">
        <v>4.6460000000000001E-2</v>
      </c>
      <c r="G98" s="1">
        <v>8.3049999999999997</v>
      </c>
      <c r="H98" s="1" t="s">
        <v>7</v>
      </c>
      <c r="I98" s="1" t="s">
        <v>8</v>
      </c>
      <c r="J98" s="2">
        <f t="shared" si="1"/>
        <v>2.0602739726027397</v>
      </c>
    </row>
    <row r="99" spans="1:10" x14ac:dyDescent="0.25">
      <c r="A99" s="1" t="s">
        <v>12</v>
      </c>
      <c r="B99" s="1" t="s">
        <v>99</v>
      </c>
      <c r="C99" s="1">
        <v>105.12</v>
      </c>
      <c r="D99" s="1">
        <v>7.25</v>
      </c>
      <c r="E99" s="6">
        <v>39692</v>
      </c>
      <c r="F99" s="5">
        <v>4.5869999999999994E-2</v>
      </c>
      <c r="G99" s="1">
        <v>6.8970000000000002</v>
      </c>
      <c r="H99" s="1" t="s">
        <v>7</v>
      </c>
      <c r="I99" s="1" t="s">
        <v>8</v>
      </c>
      <c r="J99" s="2">
        <f t="shared" si="1"/>
        <v>2.0602739726027397</v>
      </c>
    </row>
    <row r="100" spans="1:10" x14ac:dyDescent="0.25">
      <c r="A100" s="1" t="s">
        <v>12</v>
      </c>
      <c r="B100" s="1" t="s">
        <v>100</v>
      </c>
      <c r="C100" s="1">
        <v>102.24</v>
      </c>
      <c r="D100" s="1">
        <v>5.78</v>
      </c>
      <c r="E100" s="6">
        <v>39722</v>
      </c>
      <c r="F100" s="5">
        <v>4.6559999999999997E-2</v>
      </c>
      <c r="G100" s="1">
        <v>5.6529999999999996</v>
      </c>
      <c r="H100" s="1" t="s">
        <v>7</v>
      </c>
      <c r="I100" s="1" t="s">
        <v>8</v>
      </c>
      <c r="J100" s="2">
        <f t="shared" si="1"/>
        <v>2.1424657534246574</v>
      </c>
    </row>
    <row r="101" spans="1:10" x14ac:dyDescent="0.25">
      <c r="A101" s="1" t="s">
        <v>12</v>
      </c>
      <c r="B101" s="1" t="s">
        <v>101</v>
      </c>
      <c r="C101" s="1">
        <v>98.66</v>
      </c>
      <c r="D101" s="1">
        <v>3.875</v>
      </c>
      <c r="E101" s="6">
        <v>39722</v>
      </c>
      <c r="F101" s="5">
        <v>4.5449999999999997E-2</v>
      </c>
      <c r="G101" s="1">
        <v>3.9279999999999999</v>
      </c>
      <c r="H101" s="1" t="s">
        <v>7</v>
      </c>
      <c r="I101" s="1" t="s">
        <v>8</v>
      </c>
      <c r="J101" s="2">
        <f t="shared" si="1"/>
        <v>2.1424657534246574</v>
      </c>
    </row>
    <row r="102" spans="1:10" x14ac:dyDescent="0.25">
      <c r="A102" s="1" t="s">
        <v>12</v>
      </c>
      <c r="B102" s="1" t="s">
        <v>96</v>
      </c>
      <c r="C102" s="1">
        <v>98.17</v>
      </c>
      <c r="D102" s="1">
        <v>3.875</v>
      </c>
      <c r="E102" s="6">
        <v>39722</v>
      </c>
      <c r="F102" s="5">
        <v>4.7880000000000006E-2</v>
      </c>
      <c r="G102" s="1">
        <v>3.9470000000000001</v>
      </c>
      <c r="H102" s="1" t="s">
        <v>7</v>
      </c>
      <c r="I102" s="1" t="s">
        <v>8</v>
      </c>
      <c r="J102" s="2">
        <f t="shared" si="1"/>
        <v>2.1424657534246574</v>
      </c>
    </row>
    <row r="103" spans="1:10" x14ac:dyDescent="0.25">
      <c r="A103" s="1" t="s">
        <v>12</v>
      </c>
      <c r="B103" s="1" t="s">
        <v>102</v>
      </c>
      <c r="C103" s="1">
        <v>101.08</v>
      </c>
      <c r="D103" s="1">
        <v>5.5</v>
      </c>
      <c r="E103" s="6">
        <v>39727</v>
      </c>
      <c r="F103" s="5">
        <v>4.9610000000000001E-2</v>
      </c>
      <c r="G103" s="1">
        <v>5.4409999999999998</v>
      </c>
      <c r="H103" s="1" t="s">
        <v>7</v>
      </c>
      <c r="I103" s="1" t="s">
        <v>8</v>
      </c>
      <c r="J103" s="2">
        <f t="shared" si="1"/>
        <v>2.1561643835616437</v>
      </c>
    </row>
    <row r="104" spans="1:10" x14ac:dyDescent="0.25">
      <c r="A104" s="1" t="s">
        <v>12</v>
      </c>
      <c r="B104" s="1" t="s">
        <v>37</v>
      </c>
      <c r="C104" s="1">
        <v>102.07</v>
      </c>
      <c r="D104" s="1">
        <v>5.75</v>
      </c>
      <c r="E104" s="6">
        <v>39736</v>
      </c>
      <c r="F104" s="5">
        <v>4.7259999999999996E-2</v>
      </c>
      <c r="G104" s="1">
        <v>5.633</v>
      </c>
      <c r="H104" s="1" t="s">
        <v>7</v>
      </c>
      <c r="I104" s="1" t="s">
        <v>8</v>
      </c>
      <c r="J104" s="2">
        <f t="shared" si="1"/>
        <v>2.1808219178082191</v>
      </c>
    </row>
    <row r="105" spans="1:10" x14ac:dyDescent="0.25">
      <c r="A105" s="1" t="s">
        <v>12</v>
      </c>
      <c r="B105" s="1" t="s">
        <v>103</v>
      </c>
      <c r="C105" s="1">
        <v>105.11</v>
      </c>
      <c r="D105" s="1">
        <v>7.2</v>
      </c>
      <c r="E105" s="6">
        <v>39736</v>
      </c>
      <c r="F105" s="5">
        <v>4.6809999999999997E-2</v>
      </c>
      <c r="G105" s="1">
        <v>6.85</v>
      </c>
      <c r="H105" s="1" t="s">
        <v>7</v>
      </c>
      <c r="I105" s="1" t="s">
        <v>8</v>
      </c>
      <c r="J105" s="2">
        <f t="shared" si="1"/>
        <v>2.1808219178082191</v>
      </c>
    </row>
    <row r="106" spans="1:10" x14ac:dyDescent="0.25">
      <c r="A106" s="1" t="s">
        <v>12</v>
      </c>
      <c r="B106" s="1" t="s">
        <v>104</v>
      </c>
      <c r="C106" s="1">
        <v>97.91</v>
      </c>
      <c r="D106" s="1">
        <v>3.875</v>
      </c>
      <c r="E106" s="6">
        <v>39736</v>
      </c>
      <c r="F106" s="5">
        <v>4.9029999999999997E-2</v>
      </c>
      <c r="G106" s="1">
        <v>3.9580000000000002</v>
      </c>
      <c r="H106" s="1" t="s">
        <v>7</v>
      </c>
      <c r="I106" s="1" t="s">
        <v>8</v>
      </c>
      <c r="J106" s="2">
        <f t="shared" si="1"/>
        <v>2.1808219178082191</v>
      </c>
    </row>
    <row r="107" spans="1:10" x14ac:dyDescent="0.25">
      <c r="A107" s="1" t="s">
        <v>12</v>
      </c>
      <c r="B107" s="1" t="s">
        <v>105</v>
      </c>
      <c r="C107" s="1">
        <v>105.5</v>
      </c>
      <c r="D107" s="1">
        <v>7.375</v>
      </c>
      <c r="E107" s="6">
        <v>39738</v>
      </c>
      <c r="F107" s="5">
        <v>4.6719999999999998E-2</v>
      </c>
      <c r="G107" s="1">
        <v>6.9909999999999997</v>
      </c>
      <c r="H107" s="1" t="s">
        <v>7</v>
      </c>
      <c r="I107" s="1" t="s">
        <v>8</v>
      </c>
      <c r="J107" s="2">
        <f t="shared" si="1"/>
        <v>2.1863013698630138</v>
      </c>
    </row>
    <row r="108" spans="1:10" x14ac:dyDescent="0.25">
      <c r="A108" s="1" t="s">
        <v>12</v>
      </c>
      <c r="B108" s="1" t="s">
        <v>106</v>
      </c>
      <c r="C108" s="1">
        <v>106.18</v>
      </c>
      <c r="D108" s="1">
        <v>8</v>
      </c>
      <c r="E108" s="6">
        <v>39753</v>
      </c>
      <c r="F108" s="5">
        <v>5.0019999999999995E-2</v>
      </c>
      <c r="G108" s="1">
        <v>7.5350000000000001</v>
      </c>
      <c r="H108" s="1" t="s">
        <v>7</v>
      </c>
      <c r="I108" s="1" t="s">
        <v>8</v>
      </c>
      <c r="J108" s="2">
        <f t="shared" si="1"/>
        <v>2.2273972602739724</v>
      </c>
    </row>
    <row r="109" spans="1:10" x14ac:dyDescent="0.25">
      <c r="A109" s="1" t="s">
        <v>12</v>
      </c>
      <c r="B109" s="1" t="s">
        <v>107</v>
      </c>
      <c r="C109" s="1">
        <v>102.61</v>
      </c>
      <c r="D109" s="1">
        <v>5.95</v>
      </c>
      <c r="E109" s="6">
        <v>39753</v>
      </c>
      <c r="F109" s="5">
        <v>4.6849999999999996E-2</v>
      </c>
      <c r="G109" s="1">
        <v>5.798</v>
      </c>
      <c r="H109" s="1" t="s">
        <v>7</v>
      </c>
      <c r="I109" s="1" t="s">
        <v>8</v>
      </c>
      <c r="J109" s="2">
        <f t="shared" si="1"/>
        <v>2.2273972602739724</v>
      </c>
    </row>
    <row r="110" spans="1:10" x14ac:dyDescent="0.25">
      <c r="A110" s="1" t="s">
        <v>12</v>
      </c>
      <c r="B110" s="1" t="s">
        <v>49</v>
      </c>
      <c r="C110" s="1">
        <v>105.55</v>
      </c>
      <c r="D110" s="1">
        <v>7.25</v>
      </c>
      <c r="E110" s="6">
        <v>39753</v>
      </c>
      <c r="F110" s="5">
        <v>4.5730000000000007E-2</v>
      </c>
      <c r="G110" s="1">
        <v>6.8689999999999998</v>
      </c>
      <c r="H110" s="1" t="s">
        <v>7</v>
      </c>
      <c r="I110" s="1" t="s">
        <v>8</v>
      </c>
      <c r="J110" s="2">
        <f t="shared" si="1"/>
        <v>2.2273972602739724</v>
      </c>
    </row>
    <row r="111" spans="1:10" x14ac:dyDescent="0.25">
      <c r="A111" s="1" t="s">
        <v>12</v>
      </c>
      <c r="B111" s="1" t="s">
        <v>15</v>
      </c>
      <c r="C111" s="1">
        <v>103.01</v>
      </c>
      <c r="D111" s="1">
        <v>5.95</v>
      </c>
      <c r="E111" s="6">
        <v>39753</v>
      </c>
      <c r="F111" s="5">
        <v>4.4989999999999995E-2</v>
      </c>
      <c r="G111" s="1">
        <v>5.7759999999999998</v>
      </c>
      <c r="H111" s="1" t="s">
        <v>7</v>
      </c>
      <c r="I111" s="1" t="s">
        <v>8</v>
      </c>
      <c r="J111" s="2">
        <f t="shared" si="1"/>
        <v>2.2273972602739724</v>
      </c>
    </row>
    <row r="112" spans="1:10" x14ac:dyDescent="0.25">
      <c r="A112" s="1" t="s">
        <v>12</v>
      </c>
      <c r="B112" s="1" t="s">
        <v>108</v>
      </c>
      <c r="C112" s="1">
        <v>101.96</v>
      </c>
      <c r="D112" s="1">
        <v>5.625</v>
      </c>
      <c r="E112" s="6">
        <v>39756</v>
      </c>
      <c r="F112" s="5">
        <v>4.6799999999999994E-2</v>
      </c>
      <c r="G112" s="1">
        <v>5.5170000000000003</v>
      </c>
      <c r="H112" s="1" t="s">
        <v>7</v>
      </c>
      <c r="I112" s="1" t="s">
        <v>8</v>
      </c>
      <c r="J112" s="2">
        <f t="shared" si="1"/>
        <v>2.2356164383561645</v>
      </c>
    </row>
    <row r="113" spans="1:10" x14ac:dyDescent="0.25">
      <c r="A113" s="1" t="s">
        <v>12</v>
      </c>
      <c r="B113" s="1" t="s">
        <v>23</v>
      </c>
      <c r="C113" s="1">
        <v>103.31</v>
      </c>
      <c r="D113" s="1">
        <v>6.2</v>
      </c>
      <c r="E113" s="6">
        <v>39767</v>
      </c>
      <c r="F113" s="5">
        <v>4.6249999999999999E-2</v>
      </c>
      <c r="G113" s="1">
        <v>6.0010000000000003</v>
      </c>
      <c r="H113" s="1" t="s">
        <v>7</v>
      </c>
      <c r="I113" s="1" t="s">
        <v>8</v>
      </c>
      <c r="J113" s="2">
        <f t="shared" si="1"/>
        <v>2.2657534246575342</v>
      </c>
    </row>
    <row r="114" spans="1:10" x14ac:dyDescent="0.25">
      <c r="A114" s="1" t="s">
        <v>12</v>
      </c>
      <c r="B114" s="1" t="s">
        <v>109</v>
      </c>
      <c r="C114" s="1">
        <v>103.2</v>
      </c>
      <c r="D114" s="1">
        <v>6.125</v>
      </c>
      <c r="E114" s="6">
        <v>39767</v>
      </c>
      <c r="F114" s="5">
        <v>4.6050000000000008E-2</v>
      </c>
      <c r="G114" s="1">
        <v>5.9349999999999996</v>
      </c>
      <c r="H114" s="1" t="s">
        <v>7</v>
      </c>
      <c r="I114" s="1" t="s">
        <v>8</v>
      </c>
      <c r="J114" s="2">
        <f t="shared" si="1"/>
        <v>2.2657534246575342</v>
      </c>
    </row>
    <row r="115" spans="1:10" x14ac:dyDescent="0.25">
      <c r="A115" s="1" t="s">
        <v>12</v>
      </c>
      <c r="B115" s="1" t="s">
        <v>110</v>
      </c>
      <c r="C115" s="1">
        <v>98.55</v>
      </c>
      <c r="D115" s="1">
        <v>4</v>
      </c>
      <c r="E115" s="6">
        <v>39767</v>
      </c>
      <c r="F115" s="5">
        <v>4.6849999999999996E-2</v>
      </c>
      <c r="G115" s="1">
        <v>4.0590000000000002</v>
      </c>
      <c r="H115" s="1" t="s">
        <v>7</v>
      </c>
      <c r="I115" s="1" t="s">
        <v>8</v>
      </c>
      <c r="J115" s="2">
        <f t="shared" si="1"/>
        <v>2.2657534246575342</v>
      </c>
    </row>
    <row r="116" spans="1:10" x14ac:dyDescent="0.25">
      <c r="A116" s="1" t="s">
        <v>12</v>
      </c>
      <c r="B116" s="1" t="s">
        <v>111</v>
      </c>
      <c r="C116" s="1">
        <v>103.98</v>
      </c>
      <c r="D116" s="1">
        <v>6.5</v>
      </c>
      <c r="E116" s="6">
        <v>39767</v>
      </c>
      <c r="F116" s="5">
        <v>4.6089999999999999E-2</v>
      </c>
      <c r="G116" s="1">
        <v>6.2510000000000003</v>
      </c>
      <c r="H116" s="1" t="s">
        <v>7</v>
      </c>
      <c r="I116" s="1" t="s">
        <v>8</v>
      </c>
      <c r="J116" s="2">
        <f t="shared" si="1"/>
        <v>2.2657534246575342</v>
      </c>
    </row>
    <row r="117" spans="1:10" x14ac:dyDescent="0.25">
      <c r="A117" s="1" t="s">
        <v>12</v>
      </c>
      <c r="B117" s="1" t="s">
        <v>112</v>
      </c>
      <c r="C117" s="1">
        <v>102.12</v>
      </c>
      <c r="D117" s="1">
        <v>5.625</v>
      </c>
      <c r="E117" s="6">
        <v>39783</v>
      </c>
      <c r="F117" s="5">
        <v>4.6349999999999995E-2</v>
      </c>
      <c r="G117" s="1">
        <v>5.508</v>
      </c>
      <c r="H117" s="1" t="s">
        <v>7</v>
      </c>
      <c r="I117" s="1" t="s">
        <v>8</v>
      </c>
      <c r="J117" s="2">
        <f t="shared" si="1"/>
        <v>2.3095890410958906</v>
      </c>
    </row>
    <row r="118" spans="1:10" x14ac:dyDescent="0.25">
      <c r="A118" s="1" t="s">
        <v>12</v>
      </c>
      <c r="B118" s="1" t="s">
        <v>113</v>
      </c>
      <c r="C118" s="1">
        <v>102.14</v>
      </c>
      <c r="D118" s="1">
        <v>5.875</v>
      </c>
      <c r="E118" s="6">
        <v>39783</v>
      </c>
      <c r="F118" s="5">
        <v>4.8730000000000002E-2</v>
      </c>
      <c r="G118" s="1">
        <v>5.7519999999999998</v>
      </c>
      <c r="H118" s="1" t="s">
        <v>7</v>
      </c>
      <c r="I118" s="1" t="s">
        <v>8</v>
      </c>
      <c r="J118" s="2">
        <f t="shared" si="1"/>
        <v>2.3095890410958906</v>
      </c>
    </row>
    <row r="119" spans="1:10" x14ac:dyDescent="0.25">
      <c r="A119" s="1" t="s">
        <v>12</v>
      </c>
      <c r="B119" s="1" t="s">
        <v>102</v>
      </c>
      <c r="C119" s="1">
        <v>101.26</v>
      </c>
      <c r="D119" s="1">
        <v>5.67</v>
      </c>
      <c r="E119" s="6">
        <v>39790</v>
      </c>
      <c r="F119" s="5">
        <v>5.0819999999999997E-2</v>
      </c>
      <c r="G119" s="1">
        <v>5.5990000000000002</v>
      </c>
      <c r="H119" s="1" t="s">
        <v>7</v>
      </c>
      <c r="I119" s="1" t="s">
        <v>8</v>
      </c>
      <c r="J119" s="2">
        <f t="shared" si="1"/>
        <v>2.3287671232876712</v>
      </c>
    </row>
    <row r="120" spans="1:10" x14ac:dyDescent="0.25">
      <c r="A120" s="1" t="s">
        <v>12</v>
      </c>
      <c r="B120" s="1" t="s">
        <v>63</v>
      </c>
      <c r="C120" s="1">
        <v>103.79</v>
      </c>
      <c r="D120" s="1">
        <v>6.6</v>
      </c>
      <c r="E120" s="6">
        <v>39797</v>
      </c>
      <c r="F120" s="5">
        <v>4.8529999999999997E-2</v>
      </c>
      <c r="G120" s="1">
        <v>6.359</v>
      </c>
      <c r="H120" s="1" t="s">
        <v>7</v>
      </c>
      <c r="I120" s="1" t="s">
        <v>8</v>
      </c>
      <c r="J120" s="2">
        <f t="shared" si="1"/>
        <v>2.3479452054794518</v>
      </c>
    </row>
    <row r="121" spans="1:10" x14ac:dyDescent="0.25">
      <c r="A121" s="1" t="s">
        <v>12</v>
      </c>
      <c r="B121" s="1" t="s">
        <v>114</v>
      </c>
      <c r="C121" s="1">
        <v>98.2</v>
      </c>
      <c r="D121" s="1">
        <v>4</v>
      </c>
      <c r="E121" s="6">
        <v>39797</v>
      </c>
      <c r="F121" s="5">
        <v>4.8239999999999998E-2</v>
      </c>
      <c r="G121" s="1">
        <v>4.0730000000000004</v>
      </c>
      <c r="H121" s="1" t="s">
        <v>7</v>
      </c>
      <c r="I121" s="1" t="s">
        <v>8</v>
      </c>
      <c r="J121" s="2">
        <f t="shared" si="1"/>
        <v>2.3479452054794518</v>
      </c>
    </row>
    <row r="122" spans="1:10" x14ac:dyDescent="0.25">
      <c r="A122" s="1" t="s">
        <v>12</v>
      </c>
      <c r="B122" s="1" t="s">
        <v>115</v>
      </c>
      <c r="C122" s="1">
        <v>98.51</v>
      </c>
      <c r="D122" s="1">
        <v>4.5140000000000002</v>
      </c>
      <c r="E122" s="6">
        <v>39804</v>
      </c>
      <c r="F122" s="5">
        <v>5.1929999999999997E-2</v>
      </c>
      <c r="G122" s="1">
        <v>4.5819999999999999</v>
      </c>
      <c r="H122" s="1" t="s">
        <v>7</v>
      </c>
      <c r="I122" s="1" t="s">
        <v>8</v>
      </c>
      <c r="J122" s="2">
        <f t="shared" si="1"/>
        <v>2.3671232876712329</v>
      </c>
    </row>
    <row r="123" spans="1:10" x14ac:dyDescent="0.25">
      <c r="A123" s="1" t="s">
        <v>12</v>
      </c>
      <c r="B123" s="1" t="s">
        <v>116</v>
      </c>
      <c r="C123" s="1">
        <v>100</v>
      </c>
      <c r="D123" s="1">
        <v>5</v>
      </c>
      <c r="E123" s="6">
        <v>39828</v>
      </c>
      <c r="F123" s="5">
        <v>4.9980000000000004E-2</v>
      </c>
      <c r="G123" s="1">
        <v>5</v>
      </c>
      <c r="H123" s="1" t="s">
        <v>7</v>
      </c>
      <c r="I123" s="1" t="s">
        <v>8</v>
      </c>
      <c r="J123" s="2">
        <f t="shared" si="1"/>
        <v>2.4328767123287673</v>
      </c>
    </row>
    <row r="124" spans="1:10" x14ac:dyDescent="0.25">
      <c r="A124" s="1" t="s">
        <v>12</v>
      </c>
      <c r="B124" s="1" t="s">
        <v>29</v>
      </c>
      <c r="C124" s="1">
        <v>104.43</v>
      </c>
      <c r="D124" s="1">
        <v>6.8</v>
      </c>
      <c r="E124" s="6">
        <v>39828</v>
      </c>
      <c r="F124" s="5">
        <v>4.8280000000000003E-2</v>
      </c>
      <c r="G124" s="1">
        <v>6.5110000000000001</v>
      </c>
      <c r="H124" s="1" t="s">
        <v>7</v>
      </c>
      <c r="I124" s="1" t="s">
        <v>8</v>
      </c>
      <c r="J124" s="2">
        <f t="shared" si="1"/>
        <v>2.4328767123287673</v>
      </c>
    </row>
    <row r="125" spans="1:10" x14ac:dyDescent="0.25">
      <c r="A125" s="1" t="s">
        <v>12</v>
      </c>
      <c r="B125" s="1" t="s">
        <v>117</v>
      </c>
      <c r="C125" s="1">
        <v>103.38</v>
      </c>
      <c r="D125" s="1">
        <v>6.625</v>
      </c>
      <c r="E125" s="6">
        <v>39828</v>
      </c>
      <c r="F125" s="5">
        <v>5.1150000000000001E-2</v>
      </c>
      <c r="G125" s="1">
        <v>6.4089999999999998</v>
      </c>
      <c r="H125" s="1" t="s">
        <v>7</v>
      </c>
      <c r="I125" s="1" t="s">
        <v>8</v>
      </c>
      <c r="J125" s="2">
        <f t="shared" si="1"/>
        <v>2.4328767123287673</v>
      </c>
    </row>
    <row r="126" spans="1:10" x14ac:dyDescent="0.25">
      <c r="A126" s="1" t="s">
        <v>12</v>
      </c>
      <c r="B126" s="1" t="s">
        <v>116</v>
      </c>
      <c r="C126" s="1">
        <v>106.5</v>
      </c>
      <c r="D126" s="1">
        <v>8</v>
      </c>
      <c r="E126" s="6">
        <v>39845</v>
      </c>
      <c r="F126" s="5">
        <v>5.1459999999999999E-2</v>
      </c>
      <c r="G126" s="1">
        <v>7.5119999999999996</v>
      </c>
      <c r="H126" s="1" t="s">
        <v>7</v>
      </c>
      <c r="I126" s="1" t="s">
        <v>8</v>
      </c>
      <c r="J126" s="2">
        <f t="shared" si="1"/>
        <v>2.4794520547945207</v>
      </c>
    </row>
    <row r="127" spans="1:10" x14ac:dyDescent="0.25">
      <c r="A127" s="1" t="s">
        <v>12</v>
      </c>
      <c r="B127" s="1" t="s">
        <v>114</v>
      </c>
      <c r="C127" s="1">
        <v>97.69</v>
      </c>
      <c r="D127" s="1">
        <v>4.0999999999999996</v>
      </c>
      <c r="E127" s="6">
        <v>39859</v>
      </c>
      <c r="F127" s="5">
        <v>5.0890000000000005E-2</v>
      </c>
      <c r="G127" s="1">
        <v>4.1970000000000001</v>
      </c>
      <c r="H127" s="1" t="s">
        <v>7</v>
      </c>
      <c r="I127" s="1" t="s">
        <v>8</v>
      </c>
      <c r="J127" s="2">
        <f t="shared" si="1"/>
        <v>2.5178082191780824</v>
      </c>
    </row>
    <row r="128" spans="1:10" x14ac:dyDescent="0.25">
      <c r="A128" s="1" t="s">
        <v>12</v>
      </c>
      <c r="B128" s="1" t="s">
        <v>68</v>
      </c>
      <c r="C128" s="1">
        <v>100.05</v>
      </c>
      <c r="D128" s="1">
        <v>4.8</v>
      </c>
      <c r="E128" s="6">
        <v>39861</v>
      </c>
      <c r="F128" s="5">
        <v>4.777E-2</v>
      </c>
      <c r="G128" s="1">
        <v>4.7969999999999997</v>
      </c>
      <c r="H128" s="1" t="s">
        <v>7</v>
      </c>
      <c r="I128" s="1" t="s">
        <v>8</v>
      </c>
      <c r="J128" s="2">
        <f t="shared" si="1"/>
        <v>2.5232876712328767</v>
      </c>
    </row>
    <row r="129" spans="1:10" x14ac:dyDescent="0.25">
      <c r="A129" s="1" t="s">
        <v>12</v>
      </c>
      <c r="B129" s="1" t="s">
        <v>118</v>
      </c>
      <c r="C129" s="1">
        <v>104.77</v>
      </c>
      <c r="D129" s="1">
        <v>6.875</v>
      </c>
      <c r="E129" s="6">
        <v>39867</v>
      </c>
      <c r="F129" s="5">
        <v>4.8390000000000002E-2</v>
      </c>
      <c r="G129" s="1">
        <v>6.5620000000000003</v>
      </c>
      <c r="H129" s="1" t="s">
        <v>7</v>
      </c>
      <c r="I129" s="1" t="s">
        <v>8</v>
      </c>
      <c r="J129" s="2">
        <f t="shared" si="1"/>
        <v>2.5397260273972604</v>
      </c>
    </row>
    <row r="130" spans="1:10" x14ac:dyDescent="0.25">
      <c r="A130" s="1" t="s">
        <v>12</v>
      </c>
      <c r="B130" s="1" t="s">
        <v>119</v>
      </c>
      <c r="C130" s="1">
        <v>106</v>
      </c>
      <c r="D130" s="1">
        <v>7.625</v>
      </c>
      <c r="E130" s="6">
        <v>39873</v>
      </c>
      <c r="F130" s="5">
        <v>5.0750000000000003E-2</v>
      </c>
      <c r="G130" s="1">
        <v>7.1929999999999996</v>
      </c>
      <c r="H130" s="1" t="s">
        <v>7</v>
      </c>
      <c r="I130" s="1" t="s">
        <v>8</v>
      </c>
      <c r="J130" s="2">
        <f t="shared" si="1"/>
        <v>2.5561643835616437</v>
      </c>
    </row>
    <row r="131" spans="1:10" x14ac:dyDescent="0.25">
      <c r="A131" s="1" t="s">
        <v>12</v>
      </c>
      <c r="B131" s="1" t="s">
        <v>120</v>
      </c>
      <c r="C131" s="1">
        <v>98.92</v>
      </c>
      <c r="D131" s="1">
        <v>4.33</v>
      </c>
      <c r="E131" s="6">
        <v>39873</v>
      </c>
      <c r="F131" s="5">
        <v>4.7840000000000001E-2</v>
      </c>
      <c r="G131" s="1">
        <v>4.3769999999999998</v>
      </c>
      <c r="H131" s="1" t="s">
        <v>7</v>
      </c>
      <c r="I131" s="1" t="s">
        <v>8</v>
      </c>
      <c r="J131" s="2">
        <f t="shared" si="1"/>
        <v>2.5561643835616437</v>
      </c>
    </row>
    <row r="132" spans="1:10" x14ac:dyDescent="0.25">
      <c r="A132" s="1" t="s">
        <v>12</v>
      </c>
      <c r="B132" s="1" t="s">
        <v>121</v>
      </c>
      <c r="C132" s="1">
        <v>103.55</v>
      </c>
      <c r="D132" s="1">
        <v>6.2</v>
      </c>
      <c r="E132" s="6">
        <v>39873</v>
      </c>
      <c r="F132" s="5">
        <v>4.6989999999999997E-2</v>
      </c>
      <c r="G132" s="1">
        <v>5.9870000000000001</v>
      </c>
      <c r="H132" s="1" t="s">
        <v>7</v>
      </c>
      <c r="I132" s="1" t="s">
        <v>8</v>
      </c>
      <c r="J132" s="2">
        <f t="shared" ref="J132:J195" si="2">(E132-DATE(2006,8,11))/365</f>
        <v>2.5561643835616437</v>
      </c>
    </row>
    <row r="133" spans="1:10" x14ac:dyDescent="0.25">
      <c r="A133" s="1" t="s">
        <v>12</v>
      </c>
      <c r="B133" s="1" t="s">
        <v>122</v>
      </c>
      <c r="C133" s="1">
        <v>103.58</v>
      </c>
      <c r="D133" s="1">
        <v>6.125</v>
      </c>
      <c r="E133" s="6">
        <v>39887</v>
      </c>
      <c r="F133" s="5">
        <v>4.6340000000000006E-2</v>
      </c>
      <c r="G133" s="1">
        <v>5.9130000000000003</v>
      </c>
      <c r="H133" s="1" t="s">
        <v>7</v>
      </c>
      <c r="I133" s="1" t="s">
        <v>8</v>
      </c>
      <c r="J133" s="2">
        <f t="shared" si="2"/>
        <v>2.5945205479452054</v>
      </c>
    </row>
    <row r="134" spans="1:10" x14ac:dyDescent="0.25">
      <c r="A134" s="1" t="s">
        <v>12</v>
      </c>
      <c r="B134" s="1" t="s">
        <v>123</v>
      </c>
      <c r="C134" s="1">
        <v>107.31</v>
      </c>
      <c r="D134" s="1">
        <v>8</v>
      </c>
      <c r="E134" s="6">
        <v>39887</v>
      </c>
      <c r="F134" s="5">
        <v>4.9439999999999998E-2</v>
      </c>
      <c r="G134" s="1">
        <v>7.4550000000000001</v>
      </c>
      <c r="H134" s="1" t="s">
        <v>7</v>
      </c>
      <c r="I134" s="1" t="s">
        <v>8</v>
      </c>
      <c r="J134" s="2">
        <f t="shared" si="2"/>
        <v>2.5945205479452054</v>
      </c>
    </row>
    <row r="135" spans="1:10" x14ac:dyDescent="0.25">
      <c r="A135" s="1" t="s">
        <v>12</v>
      </c>
      <c r="B135" s="1" t="s">
        <v>124</v>
      </c>
      <c r="C135" s="1">
        <v>106.04</v>
      </c>
      <c r="D135" s="1">
        <v>7.25</v>
      </c>
      <c r="E135" s="6">
        <v>39887</v>
      </c>
      <c r="F135" s="5">
        <v>4.7309999999999998E-2</v>
      </c>
      <c r="G135" s="1">
        <v>6.8369999999999997</v>
      </c>
      <c r="H135" s="1" t="s">
        <v>7</v>
      </c>
      <c r="I135" s="1" t="s">
        <v>8</v>
      </c>
      <c r="J135" s="2">
        <f t="shared" si="2"/>
        <v>2.5945205479452054</v>
      </c>
    </row>
    <row r="136" spans="1:10" x14ac:dyDescent="0.25">
      <c r="A136" s="1" t="s">
        <v>12</v>
      </c>
      <c r="B136" s="1" t="s">
        <v>125</v>
      </c>
      <c r="C136" s="1">
        <v>97.58</v>
      </c>
      <c r="D136" s="1">
        <v>3.75</v>
      </c>
      <c r="E136" s="6">
        <v>39904</v>
      </c>
      <c r="F136" s="5">
        <v>4.7390000000000002E-2</v>
      </c>
      <c r="G136" s="1">
        <v>3.843</v>
      </c>
      <c r="H136" s="1" t="s">
        <v>7</v>
      </c>
      <c r="I136" s="1" t="s">
        <v>8</v>
      </c>
      <c r="J136" s="2">
        <f t="shared" si="2"/>
        <v>2.6410958904109587</v>
      </c>
    </row>
    <row r="137" spans="1:10" x14ac:dyDescent="0.25">
      <c r="A137" s="1" t="s">
        <v>12</v>
      </c>
      <c r="B137" s="1" t="s">
        <v>126</v>
      </c>
      <c r="C137" s="1">
        <v>103.09</v>
      </c>
      <c r="D137" s="1">
        <v>6.125</v>
      </c>
      <c r="E137" s="6">
        <v>39904</v>
      </c>
      <c r="F137" s="5">
        <v>4.854E-2</v>
      </c>
      <c r="G137" s="1">
        <v>5.9420000000000002</v>
      </c>
      <c r="H137" s="1" t="s">
        <v>7</v>
      </c>
      <c r="I137" s="1" t="s">
        <v>8</v>
      </c>
      <c r="J137" s="2">
        <f t="shared" si="2"/>
        <v>2.6410958904109587</v>
      </c>
    </row>
    <row r="138" spans="1:10" x14ac:dyDescent="0.25">
      <c r="A138" s="1" t="s">
        <v>12</v>
      </c>
      <c r="B138" s="1" t="s">
        <v>127</v>
      </c>
      <c r="C138" s="1">
        <v>102.99</v>
      </c>
      <c r="D138" s="1">
        <v>6.7</v>
      </c>
      <c r="E138" s="6">
        <v>39904</v>
      </c>
      <c r="F138" s="5">
        <v>5.457E-2</v>
      </c>
      <c r="G138" s="1">
        <v>6.5049999999999999</v>
      </c>
      <c r="H138" s="1" t="s">
        <v>7</v>
      </c>
      <c r="I138" s="1" t="s">
        <v>8</v>
      </c>
      <c r="J138" s="2">
        <f t="shared" si="2"/>
        <v>2.6410958904109587</v>
      </c>
    </row>
    <row r="139" spans="1:10" x14ac:dyDescent="0.25">
      <c r="A139" s="1" t="s">
        <v>12</v>
      </c>
      <c r="B139" s="1" t="s">
        <v>59</v>
      </c>
      <c r="C139" s="1">
        <v>105.64</v>
      </c>
      <c r="D139" s="1">
        <v>7.125</v>
      </c>
      <c r="E139" s="6">
        <v>39918</v>
      </c>
      <c r="F139" s="5">
        <v>4.8379999999999999E-2</v>
      </c>
      <c r="G139" s="1">
        <v>6.7450000000000001</v>
      </c>
      <c r="H139" s="1" t="s">
        <v>7</v>
      </c>
      <c r="I139" s="1" t="s">
        <v>8</v>
      </c>
      <c r="J139" s="2">
        <f t="shared" si="2"/>
        <v>2.6794520547945204</v>
      </c>
    </row>
    <row r="140" spans="1:10" x14ac:dyDescent="0.25">
      <c r="A140" s="1" t="s">
        <v>12</v>
      </c>
      <c r="B140" s="1" t="s">
        <v>128</v>
      </c>
      <c r="C140" s="1">
        <v>104.24</v>
      </c>
      <c r="D140" s="1">
        <v>6.65</v>
      </c>
      <c r="E140" s="6">
        <v>39918</v>
      </c>
      <c r="F140" s="5">
        <v>4.9279999999999997E-2</v>
      </c>
      <c r="G140" s="1">
        <v>6.38</v>
      </c>
      <c r="H140" s="1" t="s">
        <v>7</v>
      </c>
      <c r="I140" s="1" t="s">
        <v>8</v>
      </c>
      <c r="J140" s="2">
        <f t="shared" si="2"/>
        <v>2.6794520547945204</v>
      </c>
    </row>
    <row r="141" spans="1:10" x14ac:dyDescent="0.25">
      <c r="A141" s="1" t="s">
        <v>12</v>
      </c>
      <c r="B141" s="1" t="s">
        <v>129</v>
      </c>
      <c r="C141" s="1">
        <v>106.02</v>
      </c>
      <c r="D141" s="1">
        <v>7.3</v>
      </c>
      <c r="E141" s="6">
        <v>39918</v>
      </c>
      <c r="F141" s="5">
        <v>4.8579999999999998E-2</v>
      </c>
      <c r="G141" s="1">
        <v>6.8860000000000001</v>
      </c>
      <c r="H141" s="1" t="s">
        <v>7</v>
      </c>
      <c r="I141" s="1" t="s">
        <v>8</v>
      </c>
      <c r="J141" s="2">
        <f t="shared" si="2"/>
        <v>2.6794520547945204</v>
      </c>
    </row>
    <row r="142" spans="1:10" x14ac:dyDescent="0.25">
      <c r="A142" s="1" t="s">
        <v>12</v>
      </c>
      <c r="B142" s="1" t="s">
        <v>130</v>
      </c>
      <c r="C142" s="1">
        <v>106.73</v>
      </c>
      <c r="D142" s="1">
        <v>7.72</v>
      </c>
      <c r="E142" s="6">
        <v>39920</v>
      </c>
      <c r="F142" s="5">
        <v>4.9930000000000002E-2</v>
      </c>
      <c r="G142" s="1">
        <v>7.2329999999999997</v>
      </c>
      <c r="H142" s="1" t="s">
        <v>7</v>
      </c>
      <c r="I142" s="1" t="s">
        <v>8</v>
      </c>
      <c r="J142" s="2">
        <f t="shared" si="2"/>
        <v>2.6849315068493151</v>
      </c>
    </row>
    <row r="143" spans="1:10" x14ac:dyDescent="0.25">
      <c r="A143" s="1" t="s">
        <v>12</v>
      </c>
      <c r="B143" s="1" t="s">
        <v>131</v>
      </c>
      <c r="C143" s="1">
        <v>105.38</v>
      </c>
      <c r="D143" s="1">
        <v>6.86</v>
      </c>
      <c r="E143" s="6">
        <v>39934</v>
      </c>
      <c r="F143" s="5">
        <v>4.7149999999999997E-2</v>
      </c>
      <c r="G143" s="1">
        <v>6.51</v>
      </c>
      <c r="H143" s="1" t="s">
        <v>7</v>
      </c>
      <c r="I143" s="1" t="s">
        <v>8</v>
      </c>
      <c r="J143" s="2">
        <f t="shared" si="2"/>
        <v>2.7232876712328768</v>
      </c>
    </row>
    <row r="144" spans="1:10" x14ac:dyDescent="0.25">
      <c r="A144" s="1" t="s">
        <v>12</v>
      </c>
      <c r="B144" s="1" t="s">
        <v>132</v>
      </c>
      <c r="C144" s="1">
        <v>104.7</v>
      </c>
      <c r="D144" s="1">
        <v>6.75</v>
      </c>
      <c r="E144" s="6">
        <v>39934</v>
      </c>
      <c r="F144" s="5">
        <v>4.8710000000000003E-2</v>
      </c>
      <c r="G144" s="1">
        <v>6.4470000000000001</v>
      </c>
      <c r="H144" s="1" t="s">
        <v>7</v>
      </c>
      <c r="I144" s="1" t="s">
        <v>8</v>
      </c>
      <c r="J144" s="2">
        <f t="shared" si="2"/>
        <v>2.7232876712328768</v>
      </c>
    </row>
    <row r="145" spans="1:10" x14ac:dyDescent="0.25">
      <c r="A145" s="1" t="s">
        <v>12</v>
      </c>
      <c r="B145" s="1" t="s">
        <v>133</v>
      </c>
      <c r="C145" s="1">
        <v>105.94</v>
      </c>
      <c r="D145" s="1">
        <v>7.25</v>
      </c>
      <c r="E145" s="6">
        <v>39934</v>
      </c>
      <c r="F145" s="5">
        <v>4.8750000000000002E-2</v>
      </c>
      <c r="G145" s="1">
        <v>6.843</v>
      </c>
      <c r="H145" s="1" t="s">
        <v>7</v>
      </c>
      <c r="I145" s="1" t="s">
        <v>8</v>
      </c>
      <c r="J145" s="2">
        <f t="shared" si="2"/>
        <v>2.7232876712328768</v>
      </c>
    </row>
    <row r="146" spans="1:10" x14ac:dyDescent="0.25">
      <c r="A146" s="1" t="s">
        <v>12</v>
      </c>
      <c r="B146" s="1" t="s">
        <v>109</v>
      </c>
      <c r="C146" s="1">
        <v>103.97</v>
      </c>
      <c r="D146" s="1">
        <v>6.375</v>
      </c>
      <c r="E146" s="6">
        <v>39934</v>
      </c>
      <c r="F146" s="5">
        <v>4.7899999999999998E-2</v>
      </c>
      <c r="G146" s="1">
        <v>6.1319999999999997</v>
      </c>
      <c r="H146" s="1" t="s">
        <v>7</v>
      </c>
      <c r="I146" s="1" t="s">
        <v>8</v>
      </c>
      <c r="J146" s="2">
        <f t="shared" si="2"/>
        <v>2.7232876712328768</v>
      </c>
    </row>
    <row r="147" spans="1:10" x14ac:dyDescent="0.25">
      <c r="A147" s="1" t="s">
        <v>12</v>
      </c>
      <c r="B147" s="1" t="s">
        <v>65</v>
      </c>
      <c r="C147" s="1">
        <v>97.78</v>
      </c>
      <c r="D147" s="1">
        <v>4.25</v>
      </c>
      <c r="E147" s="6">
        <v>39948</v>
      </c>
      <c r="F147" s="5">
        <v>5.126E-2</v>
      </c>
      <c r="G147" s="1">
        <v>4.3470000000000004</v>
      </c>
      <c r="H147" s="1" t="s">
        <v>7</v>
      </c>
      <c r="I147" s="1" t="s">
        <v>8</v>
      </c>
      <c r="J147" s="2">
        <f t="shared" si="2"/>
        <v>2.7616438356164386</v>
      </c>
    </row>
    <row r="148" spans="1:10" x14ac:dyDescent="0.25">
      <c r="A148" s="1" t="s">
        <v>12</v>
      </c>
      <c r="B148" s="1" t="s">
        <v>134</v>
      </c>
      <c r="C148" s="1">
        <v>99.84</v>
      </c>
      <c r="D148" s="1">
        <v>4.75</v>
      </c>
      <c r="E148" s="6">
        <v>39948</v>
      </c>
      <c r="F148" s="5">
        <v>4.811E-2</v>
      </c>
      <c r="G148" s="1">
        <v>4.758</v>
      </c>
      <c r="H148" s="1" t="s">
        <v>7</v>
      </c>
      <c r="I148" s="1" t="s">
        <v>8</v>
      </c>
      <c r="J148" s="2">
        <f t="shared" si="2"/>
        <v>2.7616438356164386</v>
      </c>
    </row>
    <row r="149" spans="1:10" x14ac:dyDescent="0.25">
      <c r="A149" s="1" t="s">
        <v>12</v>
      </c>
      <c r="B149" s="1" t="s">
        <v>135</v>
      </c>
      <c r="C149" s="1">
        <v>109.44</v>
      </c>
      <c r="D149" s="1">
        <v>8.875</v>
      </c>
      <c r="E149" s="6">
        <v>39965</v>
      </c>
      <c r="F149" s="5">
        <v>5.1909999999999998E-2</v>
      </c>
      <c r="G149" s="1">
        <v>8.11</v>
      </c>
      <c r="H149" s="1" t="s">
        <v>7</v>
      </c>
      <c r="I149" s="1" t="s">
        <v>8</v>
      </c>
      <c r="J149" s="2">
        <f t="shared" si="2"/>
        <v>2.8082191780821919</v>
      </c>
    </row>
    <row r="150" spans="1:10" x14ac:dyDescent="0.25">
      <c r="A150" s="1" t="s">
        <v>12</v>
      </c>
      <c r="B150" s="1" t="s">
        <v>73</v>
      </c>
      <c r="C150" s="1">
        <v>105.77</v>
      </c>
      <c r="D150" s="1">
        <v>7.125</v>
      </c>
      <c r="E150" s="6">
        <v>39979</v>
      </c>
      <c r="F150" s="5">
        <v>4.9100000000000005E-2</v>
      </c>
      <c r="G150" s="1">
        <v>6.7359999999999998</v>
      </c>
      <c r="H150" s="1" t="s">
        <v>7</v>
      </c>
      <c r="I150" s="1" t="s">
        <v>8</v>
      </c>
      <c r="J150" s="2">
        <f t="shared" si="2"/>
        <v>2.8465753424657536</v>
      </c>
    </row>
    <row r="151" spans="1:10" x14ac:dyDescent="0.25">
      <c r="A151" s="1" t="s">
        <v>12</v>
      </c>
      <c r="B151" s="1" t="s">
        <v>136</v>
      </c>
      <c r="C151" s="1">
        <v>103.96</v>
      </c>
      <c r="D151" s="1">
        <v>6.5</v>
      </c>
      <c r="E151" s="6">
        <v>39979</v>
      </c>
      <c r="F151" s="5">
        <v>4.9779999999999998E-2</v>
      </c>
      <c r="G151" s="1">
        <v>6.2519999999999998</v>
      </c>
      <c r="H151" s="1" t="s">
        <v>7</v>
      </c>
      <c r="I151" s="1" t="s">
        <v>8</v>
      </c>
      <c r="J151" s="2">
        <f t="shared" si="2"/>
        <v>2.8465753424657536</v>
      </c>
    </row>
    <row r="152" spans="1:10" x14ac:dyDescent="0.25">
      <c r="A152" s="1" t="s">
        <v>12</v>
      </c>
      <c r="B152" s="1" t="s">
        <v>137</v>
      </c>
      <c r="C152" s="1">
        <v>104.17</v>
      </c>
      <c r="D152" s="1">
        <v>6.45</v>
      </c>
      <c r="E152" s="6">
        <v>39982</v>
      </c>
      <c r="F152" s="5">
        <v>4.8550000000000003E-2</v>
      </c>
      <c r="G152" s="1">
        <v>6.1920000000000002</v>
      </c>
      <c r="H152" s="1" t="s">
        <v>7</v>
      </c>
      <c r="I152" s="1" t="s">
        <v>8</v>
      </c>
      <c r="J152" s="2">
        <f t="shared" si="2"/>
        <v>2.8547945205479452</v>
      </c>
    </row>
    <row r="153" spans="1:10" x14ac:dyDescent="0.25">
      <c r="A153" s="1" t="s">
        <v>12</v>
      </c>
      <c r="B153" s="1" t="s">
        <v>118</v>
      </c>
      <c r="C153" s="1">
        <v>108.86</v>
      </c>
      <c r="D153" s="1">
        <v>8.1999999999999993</v>
      </c>
      <c r="E153" s="6">
        <v>40009</v>
      </c>
      <c r="F153" s="5">
        <v>4.8930000000000001E-2</v>
      </c>
      <c r="G153" s="1">
        <v>7.532</v>
      </c>
      <c r="H153" s="1" t="s">
        <v>7</v>
      </c>
      <c r="I153" s="1" t="s">
        <v>8</v>
      </c>
      <c r="J153" s="2">
        <f t="shared" si="2"/>
        <v>2.9287671232876713</v>
      </c>
    </row>
    <row r="154" spans="1:10" x14ac:dyDescent="0.25">
      <c r="A154" s="1" t="s">
        <v>12</v>
      </c>
      <c r="B154" s="1" t="s">
        <v>107</v>
      </c>
      <c r="C154" s="1">
        <v>99.77</v>
      </c>
      <c r="D154" s="1">
        <v>4.8</v>
      </c>
      <c r="E154" s="6">
        <v>40009</v>
      </c>
      <c r="F154" s="5">
        <v>4.8829999999999998E-2</v>
      </c>
      <c r="G154" s="1">
        <v>4.8109999999999999</v>
      </c>
      <c r="H154" s="1" t="s">
        <v>7</v>
      </c>
      <c r="I154" s="1" t="s">
        <v>8</v>
      </c>
      <c r="J154" s="2">
        <f t="shared" si="2"/>
        <v>2.9287671232876713</v>
      </c>
    </row>
    <row r="155" spans="1:10" x14ac:dyDescent="0.25">
      <c r="A155" s="1" t="s">
        <v>12</v>
      </c>
      <c r="B155" s="1" t="s">
        <v>138</v>
      </c>
      <c r="C155" s="1">
        <v>105.28</v>
      </c>
      <c r="D155" s="1">
        <v>6.875</v>
      </c>
      <c r="E155" s="6">
        <v>40009</v>
      </c>
      <c r="F155" s="5">
        <v>4.9050000000000003E-2</v>
      </c>
      <c r="G155" s="1">
        <v>6.53</v>
      </c>
      <c r="H155" s="1" t="s">
        <v>7</v>
      </c>
      <c r="I155" s="1" t="s">
        <v>8</v>
      </c>
      <c r="J155" s="2">
        <f t="shared" si="2"/>
        <v>2.9287671232876713</v>
      </c>
    </row>
    <row r="156" spans="1:10" x14ac:dyDescent="0.25">
      <c r="A156" s="1" t="s">
        <v>12</v>
      </c>
      <c r="B156" s="1" t="s">
        <v>139</v>
      </c>
      <c r="C156" s="1">
        <v>99.27</v>
      </c>
      <c r="D156" s="1">
        <v>4.875</v>
      </c>
      <c r="E156" s="6">
        <v>40009</v>
      </c>
      <c r="F156" s="5">
        <v>5.1459999999999999E-2</v>
      </c>
      <c r="G156" s="1">
        <v>4.9109999999999996</v>
      </c>
      <c r="H156" s="1" t="s">
        <v>7</v>
      </c>
      <c r="I156" s="1" t="s">
        <v>8</v>
      </c>
      <c r="J156" s="2">
        <f t="shared" si="2"/>
        <v>2.9287671232876713</v>
      </c>
    </row>
    <row r="157" spans="1:10" x14ac:dyDescent="0.25">
      <c r="A157" s="1" t="s">
        <v>12</v>
      </c>
      <c r="B157" s="1" t="s">
        <v>96</v>
      </c>
      <c r="C157" s="1">
        <v>107.72</v>
      </c>
      <c r="D157" s="1">
        <v>7.875</v>
      </c>
      <c r="E157" s="6">
        <v>40040</v>
      </c>
      <c r="F157" s="5">
        <v>5.0639999999999998E-2</v>
      </c>
      <c r="G157" s="1">
        <v>7.3109999999999999</v>
      </c>
      <c r="H157" s="1" t="s">
        <v>7</v>
      </c>
      <c r="I157" s="1" t="s">
        <v>8</v>
      </c>
      <c r="J157" s="2">
        <f t="shared" si="2"/>
        <v>3.0136986301369864</v>
      </c>
    </row>
    <row r="158" spans="1:10" x14ac:dyDescent="0.25">
      <c r="A158" s="1" t="s">
        <v>12</v>
      </c>
      <c r="B158" s="1" t="s">
        <v>140</v>
      </c>
      <c r="C158" s="1">
        <v>106.5</v>
      </c>
      <c r="D158" s="1">
        <v>7.4</v>
      </c>
      <c r="E158" s="6">
        <v>40071</v>
      </c>
      <c r="F158" s="5">
        <v>5.0890000000000005E-2</v>
      </c>
      <c r="G158" s="1">
        <v>6.9480000000000004</v>
      </c>
      <c r="H158" s="1" t="s">
        <v>7</v>
      </c>
      <c r="I158" s="1" t="s">
        <v>8</v>
      </c>
      <c r="J158" s="2">
        <f t="shared" si="2"/>
        <v>3.0986301369863014</v>
      </c>
    </row>
    <row r="159" spans="1:10" x14ac:dyDescent="0.25">
      <c r="A159" s="1" t="s">
        <v>12</v>
      </c>
      <c r="B159" s="1" t="s">
        <v>141</v>
      </c>
      <c r="C159" s="1">
        <v>107.23</v>
      </c>
      <c r="D159" s="1">
        <v>7.5</v>
      </c>
      <c r="E159" s="6">
        <v>40087</v>
      </c>
      <c r="F159" s="5">
        <v>4.9680000000000002E-2</v>
      </c>
      <c r="G159" s="1">
        <v>6.9939999999999998</v>
      </c>
      <c r="H159" s="1" t="s">
        <v>7</v>
      </c>
      <c r="I159" s="1" t="s">
        <v>8</v>
      </c>
      <c r="J159" s="2">
        <f t="shared" si="2"/>
        <v>3.1424657534246574</v>
      </c>
    </row>
    <row r="160" spans="1:10" x14ac:dyDescent="0.25">
      <c r="A160" s="1" t="s">
        <v>12</v>
      </c>
      <c r="B160" s="1" t="s">
        <v>142</v>
      </c>
      <c r="C160" s="1">
        <v>105.95</v>
      </c>
      <c r="D160" s="1">
        <v>7.125</v>
      </c>
      <c r="E160" s="6">
        <v>40101</v>
      </c>
      <c r="F160" s="5">
        <v>5.0610000000000002E-2</v>
      </c>
      <c r="G160" s="1">
        <v>6.7249999999999996</v>
      </c>
      <c r="H160" s="1" t="s">
        <v>7</v>
      </c>
      <c r="I160" s="1" t="s">
        <v>8</v>
      </c>
      <c r="J160" s="2">
        <f t="shared" si="2"/>
        <v>3.1808219178082191</v>
      </c>
    </row>
    <row r="161" spans="1:10" x14ac:dyDescent="0.25">
      <c r="A161" s="1" t="s">
        <v>12</v>
      </c>
      <c r="B161" s="1" t="s">
        <v>143</v>
      </c>
      <c r="C161" s="1">
        <v>107.29</v>
      </c>
      <c r="D161" s="1">
        <v>7.43</v>
      </c>
      <c r="E161" s="6">
        <v>40118</v>
      </c>
      <c r="F161" s="5">
        <v>4.938E-2</v>
      </c>
      <c r="G161" s="1">
        <v>6.9249999999999998</v>
      </c>
      <c r="H161" s="1" t="s">
        <v>7</v>
      </c>
      <c r="I161" s="1" t="s">
        <v>8</v>
      </c>
      <c r="J161" s="2">
        <f t="shared" si="2"/>
        <v>3.2273972602739724</v>
      </c>
    </row>
    <row r="162" spans="1:10" x14ac:dyDescent="0.25">
      <c r="A162" s="1" t="s">
        <v>12</v>
      </c>
      <c r="B162" s="1" t="s">
        <v>144</v>
      </c>
      <c r="C162" s="1">
        <v>110.5</v>
      </c>
      <c r="D162" s="1">
        <v>8.75</v>
      </c>
      <c r="E162" s="6">
        <v>40148</v>
      </c>
      <c r="F162" s="5">
        <v>5.2300000000000006E-2</v>
      </c>
      <c r="G162" s="1">
        <v>7.9189999999999996</v>
      </c>
      <c r="H162" s="1" t="s">
        <v>7</v>
      </c>
      <c r="I162" s="1" t="s">
        <v>8</v>
      </c>
      <c r="J162" s="2">
        <f t="shared" si="2"/>
        <v>3.3095890410958906</v>
      </c>
    </row>
    <row r="163" spans="1:10" x14ac:dyDescent="0.25">
      <c r="A163" s="1" t="s">
        <v>12</v>
      </c>
      <c r="B163" s="1" t="s">
        <v>145</v>
      </c>
      <c r="C163" s="1">
        <v>100.45</v>
      </c>
      <c r="D163" s="1">
        <v>5.125</v>
      </c>
      <c r="E163" s="6">
        <v>40162</v>
      </c>
      <c r="F163" s="5">
        <v>4.9749999999999996E-2</v>
      </c>
      <c r="G163" s="1">
        <v>5.1020000000000003</v>
      </c>
      <c r="H163" s="1" t="s">
        <v>7</v>
      </c>
      <c r="I163" s="1" t="s">
        <v>8</v>
      </c>
      <c r="J163" s="2">
        <f t="shared" si="2"/>
        <v>3.3479452054794518</v>
      </c>
    </row>
    <row r="164" spans="1:10" x14ac:dyDescent="0.25">
      <c r="A164" s="1" t="s">
        <v>12</v>
      </c>
      <c r="B164" s="1" t="s">
        <v>146</v>
      </c>
      <c r="C164" s="1">
        <v>98.07</v>
      </c>
      <c r="D164" s="1">
        <v>4.25</v>
      </c>
      <c r="E164" s="6">
        <v>40162</v>
      </c>
      <c r="F164" s="5">
        <v>4.8840000000000001E-2</v>
      </c>
      <c r="G164" s="1">
        <v>4.3339999999999996</v>
      </c>
      <c r="H164" s="1" t="s">
        <v>7</v>
      </c>
      <c r="I164" s="1" t="s">
        <v>8</v>
      </c>
      <c r="J164" s="2">
        <f t="shared" si="2"/>
        <v>3.3479452054794518</v>
      </c>
    </row>
    <row r="165" spans="1:10" x14ac:dyDescent="0.25">
      <c r="A165" s="1" t="s">
        <v>12</v>
      </c>
      <c r="B165" s="1" t="s">
        <v>65</v>
      </c>
      <c r="C165" s="1">
        <v>97.11</v>
      </c>
      <c r="D165" s="1">
        <v>4.5</v>
      </c>
      <c r="E165" s="6">
        <v>40193</v>
      </c>
      <c r="F165" s="5">
        <v>5.4379999999999998E-2</v>
      </c>
      <c r="G165" s="1">
        <v>4.6340000000000003</v>
      </c>
      <c r="H165" s="1" t="s">
        <v>7</v>
      </c>
      <c r="I165" s="1" t="s">
        <v>8</v>
      </c>
      <c r="J165" s="2">
        <f t="shared" si="2"/>
        <v>3.4328767123287673</v>
      </c>
    </row>
    <row r="166" spans="1:10" x14ac:dyDescent="0.25">
      <c r="A166" s="1" t="s">
        <v>12</v>
      </c>
      <c r="B166" s="1" t="s">
        <v>147</v>
      </c>
      <c r="C166" s="1">
        <v>102.74</v>
      </c>
      <c r="D166" s="1">
        <v>5.85</v>
      </c>
      <c r="E166" s="6">
        <v>40193</v>
      </c>
      <c r="F166" s="5">
        <v>4.9660000000000003E-2</v>
      </c>
      <c r="G166" s="1">
        <v>5.694</v>
      </c>
      <c r="H166" s="1" t="s">
        <v>7</v>
      </c>
      <c r="I166" s="1" t="s">
        <v>8</v>
      </c>
      <c r="J166" s="2">
        <f t="shared" si="2"/>
        <v>3.4328767123287673</v>
      </c>
    </row>
    <row r="167" spans="1:10" x14ac:dyDescent="0.25">
      <c r="A167" s="1" t="s">
        <v>12</v>
      </c>
      <c r="B167" s="1" t="s">
        <v>96</v>
      </c>
      <c r="C167" s="1">
        <v>98.26</v>
      </c>
      <c r="D167" s="1">
        <v>4.625</v>
      </c>
      <c r="E167" s="6">
        <v>40193</v>
      </c>
      <c r="F167" s="5">
        <v>5.1859999999999996E-2</v>
      </c>
      <c r="G167" s="1">
        <v>4.7069999999999999</v>
      </c>
      <c r="H167" s="1" t="s">
        <v>7</v>
      </c>
      <c r="I167" s="1" t="s">
        <v>8</v>
      </c>
      <c r="J167" s="2">
        <f t="shared" si="2"/>
        <v>3.4328767123287673</v>
      </c>
    </row>
    <row r="168" spans="1:10" x14ac:dyDescent="0.25">
      <c r="A168" s="1" t="s">
        <v>12</v>
      </c>
      <c r="B168" s="1" t="s">
        <v>110</v>
      </c>
      <c r="C168" s="1">
        <v>96.36</v>
      </c>
      <c r="D168" s="1">
        <v>4</v>
      </c>
      <c r="E168" s="6">
        <v>40193</v>
      </c>
      <c r="F168" s="5">
        <v>5.178E-2</v>
      </c>
      <c r="G168" s="1">
        <v>4.1509999999999998</v>
      </c>
      <c r="H168" s="1" t="s">
        <v>7</v>
      </c>
      <c r="I168" s="1" t="s">
        <v>8</v>
      </c>
      <c r="J168" s="2">
        <f t="shared" si="2"/>
        <v>3.4328767123287673</v>
      </c>
    </row>
    <row r="169" spans="1:10" x14ac:dyDescent="0.25">
      <c r="A169" s="1" t="s">
        <v>12</v>
      </c>
      <c r="B169" s="1" t="s">
        <v>96</v>
      </c>
      <c r="C169" s="1">
        <v>98.27</v>
      </c>
      <c r="D169" s="1">
        <v>4.625</v>
      </c>
      <c r="E169" s="6">
        <v>40193</v>
      </c>
      <c r="F169" s="5">
        <v>5.1830000000000001E-2</v>
      </c>
      <c r="G169" s="1">
        <v>4.7060000000000004</v>
      </c>
      <c r="H169" s="1" t="s">
        <v>7</v>
      </c>
      <c r="I169" s="1" t="s">
        <v>8</v>
      </c>
      <c r="J169" s="2">
        <f t="shared" si="2"/>
        <v>3.4328767123287673</v>
      </c>
    </row>
    <row r="170" spans="1:10" x14ac:dyDescent="0.25">
      <c r="A170" s="1" t="s">
        <v>12</v>
      </c>
      <c r="B170" s="1" t="s">
        <v>110</v>
      </c>
      <c r="C170" s="1">
        <v>96.36</v>
      </c>
      <c r="D170" s="1">
        <v>4</v>
      </c>
      <c r="E170" s="6">
        <v>40193</v>
      </c>
      <c r="F170" s="5">
        <v>5.1749999999999997E-2</v>
      </c>
      <c r="G170" s="1">
        <v>4.1509999999999998</v>
      </c>
      <c r="H170" s="1" t="s">
        <v>7</v>
      </c>
      <c r="I170" s="1" t="s">
        <v>8</v>
      </c>
      <c r="J170" s="2">
        <f t="shared" si="2"/>
        <v>3.4328767123287673</v>
      </c>
    </row>
    <row r="171" spans="1:10" x14ac:dyDescent="0.25">
      <c r="A171" s="1" t="s">
        <v>12</v>
      </c>
      <c r="B171" s="1" t="s">
        <v>148</v>
      </c>
      <c r="C171" s="1">
        <v>98.89</v>
      </c>
      <c r="D171" s="1">
        <v>4.75</v>
      </c>
      <c r="E171" s="6">
        <v>40210</v>
      </c>
      <c r="F171" s="5">
        <v>5.1040000000000002E-2</v>
      </c>
      <c r="G171" s="1">
        <v>4.8029999999999999</v>
      </c>
      <c r="H171" s="1" t="s">
        <v>7</v>
      </c>
      <c r="I171" s="1" t="s">
        <v>8</v>
      </c>
      <c r="J171" s="2">
        <f t="shared" si="2"/>
        <v>3.4794520547945207</v>
      </c>
    </row>
    <row r="172" spans="1:10" x14ac:dyDescent="0.25">
      <c r="A172" s="1" t="s">
        <v>12</v>
      </c>
      <c r="B172" s="1" t="s">
        <v>149</v>
      </c>
      <c r="C172" s="1">
        <v>108.09</v>
      </c>
      <c r="D172" s="1">
        <v>7.95</v>
      </c>
      <c r="E172" s="6">
        <v>40210</v>
      </c>
      <c r="F172" s="5">
        <v>5.3559999999999997E-2</v>
      </c>
      <c r="G172" s="1">
        <v>7.3550000000000004</v>
      </c>
      <c r="H172" s="1" t="s">
        <v>7</v>
      </c>
      <c r="I172" s="1" t="s">
        <v>8</v>
      </c>
      <c r="J172" s="2">
        <f t="shared" si="2"/>
        <v>3.4794520547945207</v>
      </c>
    </row>
    <row r="173" spans="1:10" x14ac:dyDescent="0.25">
      <c r="A173" s="1" t="s">
        <v>12</v>
      </c>
      <c r="B173" s="1" t="s">
        <v>77</v>
      </c>
      <c r="C173" s="1">
        <v>108.78</v>
      </c>
      <c r="D173" s="1">
        <v>8.0500000000000007</v>
      </c>
      <c r="E173" s="6">
        <v>40210</v>
      </c>
      <c r="F173" s="5">
        <v>5.2389999999999999E-2</v>
      </c>
      <c r="G173" s="1">
        <v>7.4</v>
      </c>
      <c r="H173" s="1" t="s">
        <v>7</v>
      </c>
      <c r="I173" s="1" t="s">
        <v>8</v>
      </c>
      <c r="J173" s="2">
        <f t="shared" si="2"/>
        <v>3.4794520547945207</v>
      </c>
    </row>
    <row r="174" spans="1:10" x14ac:dyDescent="0.25">
      <c r="A174" s="1" t="s">
        <v>12</v>
      </c>
      <c r="B174" s="1" t="s">
        <v>150</v>
      </c>
      <c r="C174" s="1">
        <v>99.65</v>
      </c>
      <c r="D174" s="1">
        <v>4.875</v>
      </c>
      <c r="E174" s="6">
        <v>40210</v>
      </c>
      <c r="F174" s="5">
        <v>4.9850000000000005E-2</v>
      </c>
      <c r="G174" s="1">
        <v>4.8920000000000003</v>
      </c>
      <c r="H174" s="1" t="s">
        <v>7</v>
      </c>
      <c r="I174" s="1" t="s">
        <v>8</v>
      </c>
      <c r="J174" s="2">
        <f t="shared" si="2"/>
        <v>3.4794520547945207</v>
      </c>
    </row>
    <row r="175" spans="1:10" x14ac:dyDescent="0.25">
      <c r="A175" s="1" t="s">
        <v>12</v>
      </c>
      <c r="B175" s="1" t="s">
        <v>67</v>
      </c>
      <c r="C175" s="1">
        <v>107.3</v>
      </c>
      <c r="D175" s="1">
        <v>7.625</v>
      </c>
      <c r="E175" s="6">
        <v>40224</v>
      </c>
      <c r="F175" s="5">
        <v>5.3089999999999998E-2</v>
      </c>
      <c r="G175" s="1">
        <v>7.1059999999999999</v>
      </c>
      <c r="H175" s="1" t="s">
        <v>7</v>
      </c>
      <c r="I175" s="1" t="s">
        <v>8</v>
      </c>
      <c r="J175" s="2">
        <f t="shared" si="2"/>
        <v>3.5178082191780824</v>
      </c>
    </row>
    <row r="176" spans="1:10" x14ac:dyDescent="0.25">
      <c r="A176" s="1" t="s">
        <v>12</v>
      </c>
      <c r="B176" s="1" t="s">
        <v>151</v>
      </c>
      <c r="C176" s="1">
        <v>96.59</v>
      </c>
      <c r="D176" s="1">
        <v>4.45</v>
      </c>
      <c r="E176" s="6">
        <v>40225</v>
      </c>
      <c r="F176" s="5">
        <v>5.5359999999999993E-2</v>
      </c>
      <c r="G176" s="1">
        <v>4.6070000000000002</v>
      </c>
      <c r="H176" s="1" t="s">
        <v>7</v>
      </c>
      <c r="I176" s="1" t="s">
        <v>8</v>
      </c>
      <c r="J176" s="2">
        <f t="shared" si="2"/>
        <v>3.5205479452054793</v>
      </c>
    </row>
    <row r="177" spans="1:10" x14ac:dyDescent="0.25">
      <c r="A177" s="1" t="s">
        <v>12</v>
      </c>
      <c r="B177" s="1" t="s">
        <v>152</v>
      </c>
      <c r="C177" s="1">
        <v>109.17</v>
      </c>
      <c r="D177" s="1">
        <v>8</v>
      </c>
      <c r="E177" s="6">
        <v>40238</v>
      </c>
      <c r="F177" s="5">
        <v>5.135E-2</v>
      </c>
      <c r="G177" s="1">
        <v>7.3280000000000003</v>
      </c>
      <c r="H177" s="1" t="s">
        <v>7</v>
      </c>
      <c r="I177" s="1" t="s">
        <v>8</v>
      </c>
      <c r="J177" s="2">
        <f t="shared" si="2"/>
        <v>3.5561643835616437</v>
      </c>
    </row>
    <row r="178" spans="1:10" x14ac:dyDescent="0.25">
      <c r="A178" s="1" t="s">
        <v>12</v>
      </c>
      <c r="B178" s="1" t="s">
        <v>134</v>
      </c>
      <c r="C178" s="1">
        <v>109.33</v>
      </c>
      <c r="D178" s="1">
        <v>7.95</v>
      </c>
      <c r="E178" s="6">
        <v>40238</v>
      </c>
      <c r="F178" s="5">
        <v>5.0389999999999997E-2</v>
      </c>
      <c r="G178" s="1">
        <v>7.2709999999999999</v>
      </c>
      <c r="H178" s="1" t="s">
        <v>7</v>
      </c>
      <c r="I178" s="1" t="s">
        <v>8</v>
      </c>
      <c r="J178" s="2">
        <f t="shared" si="2"/>
        <v>3.5561643835616437</v>
      </c>
    </row>
    <row r="179" spans="1:10" x14ac:dyDescent="0.25">
      <c r="A179" s="1" t="s">
        <v>12</v>
      </c>
      <c r="B179" s="1" t="s">
        <v>153</v>
      </c>
      <c r="C179" s="1">
        <v>98.25</v>
      </c>
      <c r="D179" s="1">
        <v>4.625</v>
      </c>
      <c r="E179" s="6">
        <v>40245</v>
      </c>
      <c r="F179" s="5">
        <v>5.1680000000000004E-2</v>
      </c>
      <c r="G179" s="1">
        <v>4.7069999999999999</v>
      </c>
      <c r="H179" s="1" t="s">
        <v>7</v>
      </c>
      <c r="I179" s="1" t="s">
        <v>8</v>
      </c>
      <c r="J179" s="2">
        <f t="shared" si="2"/>
        <v>3.5753424657534247</v>
      </c>
    </row>
    <row r="180" spans="1:10" x14ac:dyDescent="0.25">
      <c r="A180" s="1" t="s">
        <v>12</v>
      </c>
      <c r="B180" s="1" t="s">
        <v>154</v>
      </c>
      <c r="C180" s="1">
        <v>101.17</v>
      </c>
      <c r="D180" s="1">
        <v>5.375</v>
      </c>
      <c r="E180" s="6">
        <v>40252</v>
      </c>
      <c r="F180" s="5">
        <v>5.0140000000000004E-2</v>
      </c>
      <c r="G180" s="1">
        <v>5.3129999999999997</v>
      </c>
      <c r="H180" s="1" t="s">
        <v>7</v>
      </c>
      <c r="I180" s="1" t="s">
        <v>8</v>
      </c>
      <c r="J180" s="2">
        <f t="shared" si="2"/>
        <v>3.5945205479452054</v>
      </c>
    </row>
    <row r="181" spans="1:10" x14ac:dyDescent="0.25">
      <c r="A181" s="1" t="s">
        <v>12</v>
      </c>
      <c r="B181" s="1" t="s">
        <v>155</v>
      </c>
      <c r="C181" s="1">
        <v>97.95</v>
      </c>
      <c r="D181" s="1">
        <v>4.45</v>
      </c>
      <c r="E181" s="6">
        <v>40252</v>
      </c>
      <c r="F181" s="5">
        <v>5.0810000000000001E-2</v>
      </c>
      <c r="G181" s="1">
        <v>4.5430000000000001</v>
      </c>
      <c r="H181" s="1" t="s">
        <v>7</v>
      </c>
      <c r="I181" s="1" t="s">
        <v>8</v>
      </c>
      <c r="J181" s="2">
        <f t="shared" si="2"/>
        <v>3.5945205479452054</v>
      </c>
    </row>
    <row r="182" spans="1:10" x14ac:dyDescent="0.25">
      <c r="A182" s="1" t="s">
        <v>12</v>
      </c>
      <c r="B182" s="1" t="s">
        <v>62</v>
      </c>
      <c r="C182" s="1">
        <v>99.26</v>
      </c>
      <c r="D182" s="1">
        <v>4.75</v>
      </c>
      <c r="E182" s="6">
        <v>40252</v>
      </c>
      <c r="F182" s="5">
        <v>4.9770000000000002E-2</v>
      </c>
      <c r="G182" s="1">
        <v>4.7850000000000001</v>
      </c>
      <c r="H182" s="1" t="s">
        <v>7</v>
      </c>
      <c r="I182" s="1" t="s">
        <v>8</v>
      </c>
      <c r="J182" s="2">
        <f t="shared" si="2"/>
        <v>3.5945205479452054</v>
      </c>
    </row>
    <row r="183" spans="1:10" x14ac:dyDescent="0.25">
      <c r="A183" s="1" t="s">
        <v>12</v>
      </c>
      <c r="B183" s="1" t="s">
        <v>38</v>
      </c>
      <c r="C183" s="1">
        <v>105.22</v>
      </c>
      <c r="D183" s="1">
        <v>6.55</v>
      </c>
      <c r="E183" s="6">
        <v>40252</v>
      </c>
      <c r="F183" s="5">
        <v>4.9400000000000006E-2</v>
      </c>
      <c r="G183" s="1">
        <v>6.2249999999999996</v>
      </c>
      <c r="H183" s="1" t="s">
        <v>7</v>
      </c>
      <c r="I183" s="1" t="s">
        <v>8</v>
      </c>
      <c r="J183" s="2">
        <f t="shared" si="2"/>
        <v>3.5945205479452054</v>
      </c>
    </row>
    <row r="184" spans="1:10" x14ac:dyDescent="0.25">
      <c r="A184" s="1" t="s">
        <v>12</v>
      </c>
      <c r="B184" s="1" t="s">
        <v>156</v>
      </c>
      <c r="C184" s="1">
        <v>99.39</v>
      </c>
      <c r="D184" s="1">
        <v>4.91</v>
      </c>
      <c r="E184" s="6">
        <v>40252</v>
      </c>
      <c r="F184" s="5">
        <v>5.0959999999999998E-2</v>
      </c>
      <c r="G184" s="1">
        <v>4.9400000000000004</v>
      </c>
      <c r="H184" s="1" t="s">
        <v>7</v>
      </c>
      <c r="I184" s="1" t="s">
        <v>8</v>
      </c>
      <c r="J184" s="2">
        <f t="shared" si="2"/>
        <v>3.5945205479452054</v>
      </c>
    </row>
    <row r="185" spans="1:10" x14ac:dyDescent="0.25">
      <c r="A185" s="1" t="s">
        <v>12</v>
      </c>
      <c r="B185" s="1" t="s">
        <v>157</v>
      </c>
      <c r="C185" s="1">
        <v>96.67</v>
      </c>
      <c r="D185" s="1">
        <v>4</v>
      </c>
      <c r="E185" s="6">
        <v>40269</v>
      </c>
      <c r="F185" s="5">
        <v>5.0140000000000004E-2</v>
      </c>
      <c r="G185" s="1">
        <v>4.1379999999999999</v>
      </c>
      <c r="H185" s="1" t="s">
        <v>7</v>
      </c>
      <c r="I185" s="1" t="s">
        <v>8</v>
      </c>
      <c r="J185" s="2">
        <f t="shared" si="2"/>
        <v>3.6410958904109587</v>
      </c>
    </row>
    <row r="186" spans="1:10" x14ac:dyDescent="0.25">
      <c r="A186" s="1" t="s">
        <v>12</v>
      </c>
      <c r="B186" s="1" t="s">
        <v>158</v>
      </c>
      <c r="C186" s="1">
        <v>110.22</v>
      </c>
      <c r="D186" s="1">
        <v>8.25</v>
      </c>
      <c r="E186" s="6">
        <v>40269</v>
      </c>
      <c r="F186" s="5">
        <v>5.1220000000000002E-2</v>
      </c>
      <c r="G186" s="1">
        <v>7.4850000000000003</v>
      </c>
      <c r="H186" s="1" t="s">
        <v>7</v>
      </c>
      <c r="I186" s="1" t="s">
        <v>8</v>
      </c>
      <c r="J186" s="2">
        <f t="shared" si="2"/>
        <v>3.6410958904109587</v>
      </c>
    </row>
    <row r="187" spans="1:10" x14ac:dyDescent="0.25">
      <c r="A187" s="1" t="s">
        <v>12</v>
      </c>
      <c r="B187" s="1" t="s">
        <v>124</v>
      </c>
      <c r="C187" s="1">
        <v>99.31</v>
      </c>
      <c r="D187" s="1">
        <v>5.05</v>
      </c>
      <c r="E187" s="6">
        <v>40283</v>
      </c>
      <c r="F187" s="5">
        <v>5.2580000000000002E-2</v>
      </c>
      <c r="G187" s="1">
        <v>5.085</v>
      </c>
      <c r="H187" s="1" t="s">
        <v>7</v>
      </c>
      <c r="I187" s="1" t="s">
        <v>8</v>
      </c>
      <c r="J187" s="2">
        <f t="shared" si="2"/>
        <v>3.6794520547945204</v>
      </c>
    </row>
    <row r="188" spans="1:10" x14ac:dyDescent="0.25">
      <c r="A188" s="1" t="s">
        <v>12</v>
      </c>
      <c r="B188" s="1" t="s">
        <v>159</v>
      </c>
      <c r="C188" s="1">
        <v>96.37</v>
      </c>
      <c r="D188" s="1">
        <v>4</v>
      </c>
      <c r="E188" s="6">
        <v>40299</v>
      </c>
      <c r="F188" s="5">
        <v>5.0849999999999999E-2</v>
      </c>
      <c r="G188" s="1">
        <v>4.1509999999999998</v>
      </c>
      <c r="H188" s="1" t="s">
        <v>7</v>
      </c>
      <c r="I188" s="1" t="s">
        <v>8</v>
      </c>
      <c r="J188" s="2">
        <f t="shared" si="2"/>
        <v>3.7232876712328768</v>
      </c>
    </row>
    <row r="189" spans="1:10" x14ac:dyDescent="0.25">
      <c r="A189" s="1" t="s">
        <v>12</v>
      </c>
      <c r="B189" s="1" t="s">
        <v>160</v>
      </c>
      <c r="C189" s="1">
        <v>112.21</v>
      </c>
      <c r="D189" s="1">
        <v>8.625</v>
      </c>
      <c r="E189" s="6">
        <v>40313</v>
      </c>
      <c r="F189" s="5">
        <v>5.0069999999999996E-2</v>
      </c>
      <c r="G189" s="1">
        <v>7.6859999999999999</v>
      </c>
      <c r="H189" s="1" t="s">
        <v>7</v>
      </c>
      <c r="I189" s="1" t="s">
        <v>8</v>
      </c>
      <c r="J189" s="2">
        <f t="shared" si="2"/>
        <v>3.7616438356164386</v>
      </c>
    </row>
    <row r="190" spans="1:10" x14ac:dyDescent="0.25">
      <c r="A190" s="1" t="s">
        <v>12</v>
      </c>
      <c r="B190" s="1" t="s">
        <v>161</v>
      </c>
      <c r="C190" s="1">
        <v>96.03</v>
      </c>
      <c r="D190" s="1">
        <v>4</v>
      </c>
      <c r="E190" s="6">
        <v>40313</v>
      </c>
      <c r="F190" s="5">
        <v>5.1769999999999997E-2</v>
      </c>
      <c r="G190" s="1">
        <v>4.165</v>
      </c>
      <c r="H190" s="1" t="s">
        <v>7</v>
      </c>
      <c r="I190" s="1" t="s">
        <v>8</v>
      </c>
      <c r="J190" s="2">
        <f t="shared" si="2"/>
        <v>3.7616438356164386</v>
      </c>
    </row>
    <row r="191" spans="1:10" x14ac:dyDescent="0.25">
      <c r="A191" s="1" t="s">
        <v>12</v>
      </c>
      <c r="B191" s="1" t="s">
        <v>48</v>
      </c>
      <c r="C191" s="1">
        <v>107.06</v>
      </c>
      <c r="D191" s="1">
        <v>8</v>
      </c>
      <c r="E191" s="6">
        <v>40313</v>
      </c>
      <c r="F191" s="5">
        <v>5.8700000000000002E-2</v>
      </c>
      <c r="G191" s="1">
        <v>7.4729999999999999</v>
      </c>
      <c r="H191" s="1" t="s">
        <v>7</v>
      </c>
      <c r="I191" s="1" t="s">
        <v>8</v>
      </c>
      <c r="J191" s="2">
        <f t="shared" si="2"/>
        <v>3.7616438356164386</v>
      </c>
    </row>
    <row r="192" spans="1:10" x14ac:dyDescent="0.25">
      <c r="A192" s="1" t="s">
        <v>12</v>
      </c>
      <c r="B192" s="1" t="s">
        <v>46</v>
      </c>
      <c r="C192" s="1">
        <v>98.92</v>
      </c>
      <c r="D192" s="1">
        <v>4.95</v>
      </c>
      <c r="E192" s="6">
        <v>40330</v>
      </c>
      <c r="F192" s="5">
        <v>5.2639999999999999E-2</v>
      </c>
      <c r="G192" s="1">
        <v>5.0039999999999996</v>
      </c>
      <c r="H192" s="1" t="s">
        <v>7</v>
      </c>
      <c r="I192" s="1" t="s">
        <v>8</v>
      </c>
      <c r="J192" s="2">
        <f t="shared" si="2"/>
        <v>3.8082191780821919</v>
      </c>
    </row>
    <row r="193" spans="1:10" x14ac:dyDescent="0.25">
      <c r="A193" s="1" t="s">
        <v>12</v>
      </c>
      <c r="B193" s="1" t="s">
        <v>49</v>
      </c>
      <c r="C193" s="1">
        <v>95.45</v>
      </c>
      <c r="D193" s="1">
        <v>3.625</v>
      </c>
      <c r="E193" s="6">
        <v>40330</v>
      </c>
      <c r="F193" s="5">
        <v>4.9550000000000004E-2</v>
      </c>
      <c r="G193" s="1">
        <v>3.798</v>
      </c>
      <c r="H193" s="1" t="s">
        <v>7</v>
      </c>
      <c r="I193" s="1" t="s">
        <v>8</v>
      </c>
      <c r="J193" s="2">
        <f t="shared" si="2"/>
        <v>3.8082191780821919</v>
      </c>
    </row>
    <row r="194" spans="1:10" x14ac:dyDescent="0.25">
      <c r="A194" s="1" t="s">
        <v>12</v>
      </c>
      <c r="B194" s="1" t="s">
        <v>70</v>
      </c>
      <c r="C194" s="1">
        <v>110.11</v>
      </c>
      <c r="D194" s="1">
        <v>8.125</v>
      </c>
      <c r="E194" s="6">
        <v>40344</v>
      </c>
      <c r="F194" s="5">
        <v>5.1790000000000003E-2</v>
      </c>
      <c r="G194" s="1">
        <v>7.3789999999999996</v>
      </c>
      <c r="H194" s="1" t="s">
        <v>7</v>
      </c>
      <c r="I194" s="1" t="s">
        <v>8</v>
      </c>
      <c r="J194" s="2">
        <f t="shared" si="2"/>
        <v>3.8465753424657536</v>
      </c>
    </row>
    <row r="195" spans="1:10" x14ac:dyDescent="0.25">
      <c r="A195" s="1" t="s">
        <v>12</v>
      </c>
      <c r="B195" s="1" t="s">
        <v>162</v>
      </c>
      <c r="C195" s="1">
        <v>98</v>
      </c>
      <c r="D195" s="1">
        <v>4.45</v>
      </c>
      <c r="E195" s="6">
        <v>40344</v>
      </c>
      <c r="F195" s="5">
        <v>5.0290000000000001E-2</v>
      </c>
      <c r="G195" s="1">
        <v>4.5410000000000004</v>
      </c>
      <c r="H195" s="1" t="s">
        <v>7</v>
      </c>
      <c r="I195" s="1" t="s">
        <v>8</v>
      </c>
      <c r="J195" s="2">
        <f t="shared" si="2"/>
        <v>3.8465753424657536</v>
      </c>
    </row>
    <row r="196" spans="1:10" x14ac:dyDescent="0.25">
      <c r="A196" s="1" t="s">
        <v>12</v>
      </c>
      <c r="B196" s="1" t="s">
        <v>163</v>
      </c>
      <c r="C196" s="1">
        <v>112.15</v>
      </c>
      <c r="D196" s="1">
        <v>8.875</v>
      </c>
      <c r="E196" s="6">
        <v>40344</v>
      </c>
      <c r="F196" s="5">
        <v>5.3239999999999996E-2</v>
      </c>
      <c r="G196" s="1">
        <v>7.9139999999999997</v>
      </c>
      <c r="H196" s="1" t="s">
        <v>7</v>
      </c>
      <c r="I196" s="1" t="s">
        <v>8</v>
      </c>
      <c r="J196" s="2">
        <f t="shared" ref="J196:J259" si="3">(E196-DATE(2006,8,11))/365</f>
        <v>3.8465753424657536</v>
      </c>
    </row>
    <row r="197" spans="1:10" x14ac:dyDescent="0.25">
      <c r="A197" s="1" t="s">
        <v>12</v>
      </c>
      <c r="B197" s="1" t="s">
        <v>164</v>
      </c>
      <c r="C197" s="1">
        <v>100.64</v>
      </c>
      <c r="D197" s="1">
        <v>5.5</v>
      </c>
      <c r="E197" s="6">
        <v>40360</v>
      </c>
      <c r="F197" s="5">
        <v>5.3120000000000001E-2</v>
      </c>
      <c r="G197" s="1">
        <v>5.4649999999999999</v>
      </c>
      <c r="H197" s="1" t="s">
        <v>7</v>
      </c>
      <c r="I197" s="1" t="s">
        <v>8</v>
      </c>
      <c r="J197" s="2">
        <f t="shared" si="3"/>
        <v>3.8904109589041096</v>
      </c>
    </row>
    <row r="198" spans="1:10" x14ac:dyDescent="0.25">
      <c r="A198" s="1" t="s">
        <v>12</v>
      </c>
      <c r="B198" s="1" t="s">
        <v>165</v>
      </c>
      <c r="C198" s="1">
        <v>99.49</v>
      </c>
      <c r="D198" s="1">
        <v>5.125</v>
      </c>
      <c r="E198" s="6">
        <v>40374</v>
      </c>
      <c r="F198" s="5">
        <v>5.2699999999999997E-2</v>
      </c>
      <c r="G198" s="1">
        <v>5.1509999999999998</v>
      </c>
      <c r="H198" s="1" t="s">
        <v>7</v>
      </c>
      <c r="I198" s="1" t="s">
        <v>8</v>
      </c>
      <c r="J198" s="2">
        <f t="shared" si="3"/>
        <v>3.9287671232876713</v>
      </c>
    </row>
    <row r="199" spans="1:10" x14ac:dyDescent="0.25">
      <c r="A199" s="1" t="s">
        <v>12</v>
      </c>
      <c r="B199" s="1" t="s">
        <v>29</v>
      </c>
      <c r="C199" s="1">
        <v>109.97</v>
      </c>
      <c r="D199" s="1">
        <v>8.1</v>
      </c>
      <c r="E199" s="6">
        <v>40391</v>
      </c>
      <c r="F199" s="5">
        <v>5.2729999999999999E-2</v>
      </c>
      <c r="G199" s="1">
        <v>7.3659999999999997</v>
      </c>
      <c r="H199" s="1" t="s">
        <v>7</v>
      </c>
      <c r="I199" s="1" t="s">
        <v>8</v>
      </c>
      <c r="J199" s="2">
        <f t="shared" si="3"/>
        <v>3.9753424657534246</v>
      </c>
    </row>
    <row r="200" spans="1:10" x14ac:dyDescent="0.25">
      <c r="A200" s="1" t="s">
        <v>12</v>
      </c>
      <c r="B200" s="1" t="s">
        <v>111</v>
      </c>
      <c r="C200" s="1">
        <v>108.08</v>
      </c>
      <c r="D200" s="1">
        <v>7.375</v>
      </c>
      <c r="E200" s="6">
        <v>40391</v>
      </c>
      <c r="F200" s="5">
        <v>5.0930000000000003E-2</v>
      </c>
      <c r="G200" s="1">
        <v>6.8239999999999998</v>
      </c>
      <c r="H200" s="1" t="s">
        <v>7</v>
      </c>
      <c r="I200" s="1" t="s">
        <v>8</v>
      </c>
      <c r="J200" s="2">
        <f t="shared" si="3"/>
        <v>3.9753424657534246</v>
      </c>
    </row>
    <row r="201" spans="1:10" x14ac:dyDescent="0.25">
      <c r="A201" s="1" t="s">
        <v>12</v>
      </c>
      <c r="B201" s="1" t="s">
        <v>166</v>
      </c>
      <c r="C201" s="1">
        <v>108.45</v>
      </c>
      <c r="D201" s="1">
        <v>7.77</v>
      </c>
      <c r="E201" s="6">
        <v>40392</v>
      </c>
      <c r="F201" s="5">
        <v>5.3710000000000008E-2</v>
      </c>
      <c r="G201" s="1">
        <v>7.165</v>
      </c>
      <c r="H201" s="1" t="s">
        <v>7</v>
      </c>
      <c r="I201" s="1" t="s">
        <v>8</v>
      </c>
      <c r="J201" s="2">
        <f t="shared" si="3"/>
        <v>3.978082191780822</v>
      </c>
    </row>
    <row r="202" spans="1:10" x14ac:dyDescent="0.25">
      <c r="A202" s="1" t="s">
        <v>12</v>
      </c>
      <c r="B202" s="1" t="s">
        <v>167</v>
      </c>
      <c r="C202" s="1">
        <v>96.74</v>
      </c>
      <c r="D202" s="1">
        <v>4.875</v>
      </c>
      <c r="E202" s="6">
        <v>40405</v>
      </c>
      <c r="F202" s="5">
        <v>5.8009999999999999E-2</v>
      </c>
      <c r="G202" s="1">
        <v>5.0389999999999997</v>
      </c>
      <c r="H202" s="1" t="s">
        <v>7</v>
      </c>
      <c r="I202" s="1" t="s">
        <v>8</v>
      </c>
      <c r="J202" s="2">
        <f t="shared" si="3"/>
        <v>4.0136986301369859</v>
      </c>
    </row>
    <row r="203" spans="1:10" x14ac:dyDescent="0.25">
      <c r="A203" s="1" t="s">
        <v>12</v>
      </c>
      <c r="B203" s="1" t="s">
        <v>168</v>
      </c>
      <c r="C203" s="1">
        <v>109.57</v>
      </c>
      <c r="D203" s="1">
        <v>7.875</v>
      </c>
      <c r="E203" s="6">
        <v>40406</v>
      </c>
      <c r="F203" s="5">
        <v>5.1920000000000001E-2</v>
      </c>
      <c r="G203" s="1">
        <v>7.1870000000000003</v>
      </c>
      <c r="H203" s="1" t="s">
        <v>7</v>
      </c>
      <c r="I203" s="1" t="s">
        <v>8</v>
      </c>
      <c r="J203" s="2">
        <f t="shared" si="3"/>
        <v>4.0164383561643833</v>
      </c>
    </row>
    <row r="204" spans="1:10" x14ac:dyDescent="0.25">
      <c r="A204" s="1" t="s">
        <v>12</v>
      </c>
      <c r="B204" s="1" t="s">
        <v>14</v>
      </c>
      <c r="C204" s="1">
        <v>98.63</v>
      </c>
      <c r="D204" s="1">
        <v>4.95</v>
      </c>
      <c r="E204" s="6">
        <v>40406</v>
      </c>
      <c r="F204" s="5">
        <v>5.3339999999999999E-2</v>
      </c>
      <c r="G204" s="1">
        <v>5.0190000000000001</v>
      </c>
      <c r="H204" s="1" t="s">
        <v>7</v>
      </c>
      <c r="I204" s="1" t="s">
        <v>8</v>
      </c>
      <c r="J204" s="2">
        <f t="shared" si="3"/>
        <v>4.0164383561643833</v>
      </c>
    </row>
    <row r="205" spans="1:10" x14ac:dyDescent="0.25">
      <c r="A205" s="1" t="s">
        <v>12</v>
      </c>
      <c r="B205" s="1" t="s">
        <v>169</v>
      </c>
      <c r="C205" s="1">
        <v>98.83</v>
      </c>
      <c r="D205" s="1">
        <v>4.8</v>
      </c>
      <c r="E205" s="6">
        <v>40422</v>
      </c>
      <c r="F205" s="5">
        <v>5.1230000000000005E-2</v>
      </c>
      <c r="G205" s="1">
        <v>4.8570000000000002</v>
      </c>
      <c r="H205" s="1" t="s">
        <v>7</v>
      </c>
      <c r="I205" s="1" t="s">
        <v>8</v>
      </c>
      <c r="J205" s="2">
        <f t="shared" si="3"/>
        <v>4.0602739726027401</v>
      </c>
    </row>
    <row r="206" spans="1:10" x14ac:dyDescent="0.25">
      <c r="A206" s="1" t="s">
        <v>12</v>
      </c>
      <c r="B206" s="1" t="s">
        <v>65</v>
      </c>
      <c r="C206" s="1">
        <v>106.57</v>
      </c>
      <c r="D206" s="1">
        <v>7.65</v>
      </c>
      <c r="E206" s="6">
        <v>40436</v>
      </c>
      <c r="F206" s="5">
        <v>5.8150000000000007E-2</v>
      </c>
      <c r="G206" s="1">
        <v>7.1779999999999999</v>
      </c>
      <c r="H206" s="1" t="s">
        <v>7</v>
      </c>
      <c r="I206" s="1" t="s">
        <v>8</v>
      </c>
      <c r="J206" s="2">
        <f t="shared" si="3"/>
        <v>4.0986301369863014</v>
      </c>
    </row>
    <row r="207" spans="1:10" x14ac:dyDescent="0.25">
      <c r="A207" s="1" t="s">
        <v>12</v>
      </c>
      <c r="B207" s="1" t="s">
        <v>170</v>
      </c>
      <c r="C207" s="1">
        <v>109.89</v>
      </c>
      <c r="D207" s="1">
        <v>7.875</v>
      </c>
      <c r="E207" s="6">
        <v>40436</v>
      </c>
      <c r="F207" s="5">
        <v>5.1529999999999992E-2</v>
      </c>
      <c r="G207" s="1">
        <v>7.1660000000000004</v>
      </c>
      <c r="H207" s="1" t="s">
        <v>7</v>
      </c>
      <c r="I207" s="1" t="s">
        <v>8</v>
      </c>
      <c r="J207" s="2">
        <f t="shared" si="3"/>
        <v>4.0986301369863014</v>
      </c>
    </row>
    <row r="208" spans="1:10" x14ac:dyDescent="0.25">
      <c r="A208" s="1" t="s">
        <v>12</v>
      </c>
      <c r="B208" s="1" t="s">
        <v>171</v>
      </c>
      <c r="C208" s="1">
        <v>98.23</v>
      </c>
      <c r="D208" s="1">
        <v>4.875</v>
      </c>
      <c r="E208" s="6">
        <v>40436</v>
      </c>
      <c r="F208" s="5">
        <v>5.3630000000000004E-2</v>
      </c>
      <c r="G208" s="1">
        <v>4.9630000000000001</v>
      </c>
      <c r="H208" s="1" t="s">
        <v>7</v>
      </c>
      <c r="I208" s="1" t="s">
        <v>8</v>
      </c>
      <c r="J208" s="2">
        <f t="shared" si="3"/>
        <v>4.0986301369863014</v>
      </c>
    </row>
    <row r="209" spans="1:10" x14ac:dyDescent="0.25">
      <c r="A209" s="1" t="s">
        <v>12</v>
      </c>
      <c r="B209" s="1" t="s">
        <v>73</v>
      </c>
      <c r="C209" s="1">
        <v>99.76</v>
      </c>
      <c r="D209" s="1">
        <v>5.15</v>
      </c>
      <c r="E209" s="6">
        <v>40436</v>
      </c>
      <c r="F209" s="5">
        <v>5.2140000000000006E-2</v>
      </c>
      <c r="G209" s="1">
        <v>5.1619999999999999</v>
      </c>
      <c r="H209" s="1" t="s">
        <v>7</v>
      </c>
      <c r="I209" s="1" t="s">
        <v>8</v>
      </c>
      <c r="J209" s="2">
        <f t="shared" si="3"/>
        <v>4.0986301369863014</v>
      </c>
    </row>
    <row r="210" spans="1:10" x14ac:dyDescent="0.25">
      <c r="A210" s="1" t="s">
        <v>12</v>
      </c>
      <c r="B210" s="1" t="s">
        <v>172</v>
      </c>
      <c r="C210" s="1">
        <v>99.03</v>
      </c>
      <c r="D210" s="1">
        <v>5</v>
      </c>
      <c r="E210" s="6">
        <v>40436</v>
      </c>
      <c r="F210" s="5">
        <v>5.2670000000000002E-2</v>
      </c>
      <c r="G210" s="1">
        <v>5.0490000000000004</v>
      </c>
      <c r="H210" s="1" t="s">
        <v>7</v>
      </c>
      <c r="I210" s="1" t="s">
        <v>8</v>
      </c>
      <c r="J210" s="2">
        <f t="shared" si="3"/>
        <v>4.0986301369863014</v>
      </c>
    </row>
    <row r="211" spans="1:10" x14ac:dyDescent="0.25">
      <c r="A211" s="1" t="s">
        <v>12</v>
      </c>
      <c r="B211" s="1" t="s">
        <v>173</v>
      </c>
      <c r="C211" s="1">
        <v>98.89</v>
      </c>
      <c r="D211" s="1">
        <v>4.8499999999999996</v>
      </c>
      <c r="E211" s="6">
        <v>40436</v>
      </c>
      <c r="F211" s="5">
        <v>5.1550000000000006E-2</v>
      </c>
      <c r="G211" s="1">
        <v>4.9050000000000002</v>
      </c>
      <c r="H211" s="1" t="s">
        <v>7</v>
      </c>
      <c r="I211" s="1" t="s">
        <v>8</v>
      </c>
      <c r="J211" s="2">
        <f t="shared" si="3"/>
        <v>4.0986301369863014</v>
      </c>
    </row>
    <row r="212" spans="1:10" x14ac:dyDescent="0.25">
      <c r="A212" s="1" t="s">
        <v>12</v>
      </c>
      <c r="B212" s="1" t="s">
        <v>174</v>
      </c>
      <c r="C212" s="1">
        <v>99.25</v>
      </c>
      <c r="D212" s="1">
        <v>4.8499999999999996</v>
      </c>
      <c r="E212" s="6">
        <v>40443</v>
      </c>
      <c r="F212" s="5">
        <v>5.0529999999999999E-2</v>
      </c>
      <c r="G212" s="1">
        <v>4.8860000000000001</v>
      </c>
      <c r="H212" s="1" t="s">
        <v>7</v>
      </c>
      <c r="I212" s="1" t="s">
        <v>8</v>
      </c>
      <c r="J212" s="2">
        <f t="shared" si="3"/>
        <v>4.117808219178082</v>
      </c>
    </row>
    <row r="213" spans="1:10" x14ac:dyDescent="0.25">
      <c r="A213" s="1" t="s">
        <v>12</v>
      </c>
      <c r="B213" s="1" t="s">
        <v>86</v>
      </c>
      <c r="C213" s="1">
        <v>99.56</v>
      </c>
      <c r="D213" s="1">
        <v>5.125</v>
      </c>
      <c r="E213" s="6">
        <v>40451</v>
      </c>
      <c r="F213" s="5">
        <v>5.2440000000000001E-2</v>
      </c>
      <c r="G213" s="1">
        <v>5.1479999999999997</v>
      </c>
      <c r="H213" s="1" t="s">
        <v>7</v>
      </c>
      <c r="I213" s="1" t="s">
        <v>8</v>
      </c>
      <c r="J213" s="2">
        <f t="shared" si="3"/>
        <v>4.13972602739726</v>
      </c>
    </row>
    <row r="214" spans="1:10" x14ac:dyDescent="0.25">
      <c r="A214" s="1" t="s">
        <v>12</v>
      </c>
      <c r="B214" s="1" t="s">
        <v>29</v>
      </c>
      <c r="C214" s="1">
        <v>97.77</v>
      </c>
      <c r="D214" s="1">
        <v>4.6500000000000004</v>
      </c>
      <c r="E214" s="6">
        <v>40452</v>
      </c>
      <c r="F214" s="5">
        <v>5.2580000000000002E-2</v>
      </c>
      <c r="G214" s="1">
        <v>4.7560000000000002</v>
      </c>
      <c r="H214" s="1" t="s">
        <v>7</v>
      </c>
      <c r="I214" s="1" t="s">
        <v>8</v>
      </c>
      <c r="J214" s="2">
        <f t="shared" si="3"/>
        <v>4.1424657534246574</v>
      </c>
    </row>
    <row r="215" spans="1:10" x14ac:dyDescent="0.25">
      <c r="A215" s="1" t="s">
        <v>12</v>
      </c>
      <c r="B215" s="1" t="s">
        <v>175</v>
      </c>
      <c r="C215" s="1">
        <v>108.83</v>
      </c>
      <c r="D215" s="1">
        <v>8</v>
      </c>
      <c r="E215" s="6">
        <v>40452</v>
      </c>
      <c r="F215" s="5">
        <v>5.57E-2</v>
      </c>
      <c r="G215" s="1">
        <v>7.351</v>
      </c>
      <c r="H215" s="1" t="s">
        <v>7</v>
      </c>
      <c r="I215" s="1" t="s">
        <v>8</v>
      </c>
      <c r="J215" s="2">
        <f t="shared" si="3"/>
        <v>4.1424657534246574</v>
      </c>
    </row>
    <row r="216" spans="1:10" x14ac:dyDescent="0.25">
      <c r="A216" s="1" t="s">
        <v>12</v>
      </c>
      <c r="B216" s="1" t="s">
        <v>110</v>
      </c>
      <c r="C216" s="1">
        <v>98.3</v>
      </c>
      <c r="D216" s="1">
        <v>4.875</v>
      </c>
      <c r="E216" s="6">
        <v>40452</v>
      </c>
      <c r="F216" s="5">
        <v>5.3390000000000007E-2</v>
      </c>
      <c r="G216" s="1">
        <v>4.9589999999999996</v>
      </c>
      <c r="H216" s="1" t="s">
        <v>7</v>
      </c>
      <c r="I216" s="1" t="s">
        <v>8</v>
      </c>
      <c r="J216" s="2">
        <f t="shared" si="3"/>
        <v>4.1424657534246574</v>
      </c>
    </row>
    <row r="217" spans="1:10" x14ac:dyDescent="0.25">
      <c r="A217" s="1" t="s">
        <v>12</v>
      </c>
      <c r="B217" s="1" t="s">
        <v>176</v>
      </c>
      <c r="C217" s="1">
        <v>98.13</v>
      </c>
      <c r="D217" s="1">
        <v>4.75</v>
      </c>
      <c r="E217" s="6">
        <v>40466</v>
      </c>
      <c r="F217" s="5">
        <v>5.2539999999999996E-2</v>
      </c>
      <c r="G217" s="1">
        <v>4.84</v>
      </c>
      <c r="H217" s="1" t="s">
        <v>7</v>
      </c>
      <c r="I217" s="1" t="s">
        <v>8</v>
      </c>
      <c r="J217" s="2">
        <f t="shared" si="3"/>
        <v>4.1808219178082195</v>
      </c>
    </row>
    <row r="218" spans="1:10" x14ac:dyDescent="0.25">
      <c r="A218" s="1" t="s">
        <v>12</v>
      </c>
      <c r="B218" s="1" t="s">
        <v>177</v>
      </c>
      <c r="C218" s="1">
        <v>101.26</v>
      </c>
      <c r="D218" s="1">
        <v>5.5</v>
      </c>
      <c r="E218" s="6">
        <v>40466</v>
      </c>
      <c r="F218" s="5">
        <v>5.1580000000000001E-2</v>
      </c>
      <c r="G218" s="1">
        <v>5.4320000000000004</v>
      </c>
      <c r="H218" s="1" t="s">
        <v>7</v>
      </c>
      <c r="I218" s="1" t="s">
        <v>8</v>
      </c>
      <c r="J218" s="2">
        <f t="shared" si="3"/>
        <v>4.1808219178082195</v>
      </c>
    </row>
    <row r="219" spans="1:10" x14ac:dyDescent="0.25">
      <c r="A219" s="1" t="s">
        <v>12</v>
      </c>
      <c r="B219" s="1" t="s">
        <v>177</v>
      </c>
      <c r="C219" s="1">
        <v>101.78</v>
      </c>
      <c r="D219" s="1">
        <v>5.5</v>
      </c>
      <c r="E219" s="6">
        <v>40466</v>
      </c>
      <c r="F219" s="5">
        <v>5.0189999999999999E-2</v>
      </c>
      <c r="G219" s="1">
        <v>5.4039999999999999</v>
      </c>
      <c r="H219" s="1" t="s">
        <v>7</v>
      </c>
      <c r="I219" s="1" t="s">
        <v>8</v>
      </c>
      <c r="J219" s="2">
        <f t="shared" si="3"/>
        <v>4.1808219178082195</v>
      </c>
    </row>
    <row r="220" spans="1:10" x14ac:dyDescent="0.25">
      <c r="A220" s="1" t="s">
        <v>12</v>
      </c>
      <c r="B220" s="1" t="s">
        <v>178</v>
      </c>
      <c r="C220" s="1">
        <v>96.64</v>
      </c>
      <c r="D220" s="1">
        <v>4.55</v>
      </c>
      <c r="E220" s="6">
        <v>40483</v>
      </c>
      <c r="F220" s="5">
        <v>5.4519999999999999E-2</v>
      </c>
      <c r="G220" s="1">
        <v>4.7080000000000002</v>
      </c>
      <c r="H220" s="1" t="s">
        <v>7</v>
      </c>
      <c r="I220" s="1" t="s">
        <v>8</v>
      </c>
      <c r="J220" s="2">
        <f t="shared" si="3"/>
        <v>4.2273972602739729</v>
      </c>
    </row>
    <row r="221" spans="1:10" x14ac:dyDescent="0.25">
      <c r="A221" s="1" t="s">
        <v>12</v>
      </c>
      <c r="B221" s="1" t="s">
        <v>179</v>
      </c>
      <c r="C221" s="1">
        <v>107.46</v>
      </c>
      <c r="D221" s="1">
        <v>7.5</v>
      </c>
      <c r="E221" s="6">
        <v>40483</v>
      </c>
      <c r="F221" s="5">
        <v>5.4859999999999999E-2</v>
      </c>
      <c r="G221" s="1">
        <v>6.9790000000000001</v>
      </c>
      <c r="H221" s="1" t="s">
        <v>7</v>
      </c>
      <c r="I221" s="1" t="s">
        <v>8</v>
      </c>
      <c r="J221" s="2">
        <f t="shared" si="3"/>
        <v>4.2273972602739729</v>
      </c>
    </row>
    <row r="222" spans="1:10" x14ac:dyDescent="0.25">
      <c r="A222" s="1" t="s">
        <v>12</v>
      </c>
      <c r="B222" s="1" t="s">
        <v>107</v>
      </c>
      <c r="C222" s="1">
        <v>119.01</v>
      </c>
      <c r="D222" s="1">
        <v>10.625</v>
      </c>
      <c r="E222" s="6">
        <v>40483</v>
      </c>
      <c r="F222" s="5">
        <v>5.4949999999999999E-2</v>
      </c>
      <c r="G222" s="1">
        <v>8.9280000000000008</v>
      </c>
      <c r="H222" s="1" t="s">
        <v>7</v>
      </c>
      <c r="I222" s="1" t="s">
        <v>8</v>
      </c>
      <c r="J222" s="2">
        <f t="shared" si="3"/>
        <v>4.2273972602739729</v>
      </c>
    </row>
    <row r="223" spans="1:10" x14ac:dyDescent="0.25">
      <c r="A223" s="1" t="s">
        <v>12</v>
      </c>
      <c r="B223" s="1" t="s">
        <v>180</v>
      </c>
      <c r="C223" s="1">
        <v>97.98</v>
      </c>
      <c r="D223" s="1">
        <v>4.875</v>
      </c>
      <c r="E223" s="6">
        <v>40483</v>
      </c>
      <c r="F223" s="5">
        <v>5.4169999999999996E-2</v>
      </c>
      <c r="G223" s="1">
        <v>4.976</v>
      </c>
      <c r="H223" s="1" t="s">
        <v>7</v>
      </c>
      <c r="I223" s="1" t="s">
        <v>8</v>
      </c>
      <c r="J223" s="2">
        <f t="shared" si="3"/>
        <v>4.2273972602739729</v>
      </c>
    </row>
    <row r="224" spans="1:10" x14ac:dyDescent="0.25">
      <c r="A224" s="1" t="s">
        <v>12</v>
      </c>
      <c r="B224" s="1" t="s">
        <v>147</v>
      </c>
      <c r="C224" s="1">
        <v>101.14</v>
      </c>
      <c r="D224" s="1">
        <v>5.45</v>
      </c>
      <c r="E224" s="6">
        <v>40497</v>
      </c>
      <c r="F224" s="5">
        <v>5.1449999999999996E-2</v>
      </c>
      <c r="G224" s="1">
        <v>5.3890000000000002</v>
      </c>
      <c r="H224" s="1" t="s">
        <v>7</v>
      </c>
      <c r="I224" s="1" t="s">
        <v>8</v>
      </c>
      <c r="J224" s="2">
        <f t="shared" si="3"/>
        <v>4.2657534246575342</v>
      </c>
    </row>
    <row r="225" spans="1:10" x14ac:dyDescent="0.25">
      <c r="A225" s="1" t="s">
        <v>12</v>
      </c>
      <c r="B225" s="1" t="s">
        <v>181</v>
      </c>
      <c r="C225" s="1">
        <v>110.92</v>
      </c>
      <c r="D225" s="1">
        <v>7.875</v>
      </c>
      <c r="E225" s="6">
        <v>40497</v>
      </c>
      <c r="F225" s="5">
        <v>4.9859999999999995E-2</v>
      </c>
      <c r="G225" s="1">
        <v>7.1</v>
      </c>
      <c r="H225" s="1" t="s">
        <v>7</v>
      </c>
      <c r="I225" s="1" t="s">
        <v>8</v>
      </c>
      <c r="J225" s="2">
        <f t="shared" si="3"/>
        <v>4.2657534246575342</v>
      </c>
    </row>
    <row r="226" spans="1:10" x14ac:dyDescent="0.25">
      <c r="A226" s="1" t="s">
        <v>12</v>
      </c>
      <c r="B226" s="1" t="s">
        <v>182</v>
      </c>
      <c r="C226" s="1">
        <v>107.86</v>
      </c>
      <c r="D226" s="1">
        <v>7.3</v>
      </c>
      <c r="E226" s="6">
        <v>40513</v>
      </c>
      <c r="F226" s="5">
        <v>5.228E-2</v>
      </c>
      <c r="G226" s="1">
        <v>6.7679999999999998</v>
      </c>
      <c r="H226" s="1" t="s">
        <v>7</v>
      </c>
      <c r="I226" s="1" t="s">
        <v>8</v>
      </c>
      <c r="J226" s="2">
        <f t="shared" si="3"/>
        <v>4.3095890410958901</v>
      </c>
    </row>
    <row r="227" spans="1:10" x14ac:dyDescent="0.25">
      <c r="A227" s="1" t="s">
        <v>12</v>
      </c>
      <c r="B227" s="1" t="s">
        <v>183</v>
      </c>
      <c r="C227" s="1">
        <v>107.06</v>
      </c>
      <c r="D227" s="1">
        <v>7</v>
      </c>
      <c r="E227" s="6">
        <v>40513</v>
      </c>
      <c r="F227" s="5">
        <v>5.142E-2</v>
      </c>
      <c r="G227" s="1">
        <v>6.5380000000000003</v>
      </c>
      <c r="H227" s="1" t="s">
        <v>7</v>
      </c>
      <c r="I227" s="1" t="s">
        <v>8</v>
      </c>
      <c r="J227" s="2">
        <f t="shared" si="3"/>
        <v>4.3095890410958901</v>
      </c>
    </row>
    <row r="228" spans="1:10" x14ac:dyDescent="0.25">
      <c r="A228" s="1" t="s">
        <v>12</v>
      </c>
      <c r="B228" s="1" t="s">
        <v>122</v>
      </c>
      <c r="C228" s="1">
        <v>107.87</v>
      </c>
      <c r="D228" s="1">
        <v>7.125</v>
      </c>
      <c r="E228" s="6">
        <v>40527</v>
      </c>
      <c r="F228" s="5">
        <v>5.0750000000000003E-2</v>
      </c>
      <c r="G228" s="1">
        <v>6.6050000000000004</v>
      </c>
      <c r="H228" s="1" t="s">
        <v>7</v>
      </c>
      <c r="I228" s="1" t="s">
        <v>8</v>
      </c>
      <c r="J228" s="2">
        <f t="shared" si="3"/>
        <v>4.3479452054794523</v>
      </c>
    </row>
    <row r="229" spans="1:10" x14ac:dyDescent="0.25">
      <c r="A229" s="1" t="s">
        <v>12</v>
      </c>
      <c r="B229" s="1" t="s">
        <v>70</v>
      </c>
      <c r="C229" s="1">
        <v>98.23</v>
      </c>
      <c r="D229" s="1">
        <v>4.75</v>
      </c>
      <c r="E229" s="6">
        <v>40527</v>
      </c>
      <c r="F229" s="5">
        <v>5.2110000000000004E-2</v>
      </c>
      <c r="G229" s="1">
        <v>4.8360000000000003</v>
      </c>
      <c r="H229" s="1" t="s">
        <v>7</v>
      </c>
      <c r="I229" s="1" t="s">
        <v>8</v>
      </c>
      <c r="J229" s="2">
        <f t="shared" si="3"/>
        <v>4.3479452054794523</v>
      </c>
    </row>
    <row r="230" spans="1:10" x14ac:dyDescent="0.25">
      <c r="A230" s="1" t="s">
        <v>12</v>
      </c>
      <c r="B230" s="1" t="s">
        <v>184</v>
      </c>
      <c r="C230" s="1">
        <v>102.61</v>
      </c>
      <c r="D230" s="1">
        <v>6</v>
      </c>
      <c r="E230" s="6">
        <v>40527</v>
      </c>
      <c r="F230" s="5">
        <v>5.3159999999999999E-2</v>
      </c>
      <c r="G230" s="1">
        <v>5.8479999999999999</v>
      </c>
      <c r="H230" s="1" t="s">
        <v>7</v>
      </c>
      <c r="I230" s="1" t="s">
        <v>8</v>
      </c>
      <c r="J230" s="2">
        <f t="shared" si="3"/>
        <v>4.3479452054794523</v>
      </c>
    </row>
    <row r="231" spans="1:10" x14ac:dyDescent="0.25">
      <c r="A231" s="1" t="s">
        <v>12</v>
      </c>
      <c r="B231" s="1" t="s">
        <v>38</v>
      </c>
      <c r="C231" s="1">
        <v>103.82</v>
      </c>
      <c r="D231" s="1">
        <v>6</v>
      </c>
      <c r="E231" s="6">
        <v>40527</v>
      </c>
      <c r="F231" s="5">
        <v>5.0039999999999994E-2</v>
      </c>
      <c r="G231" s="1">
        <v>5.7789999999999999</v>
      </c>
      <c r="H231" s="1" t="s">
        <v>7</v>
      </c>
      <c r="I231" s="1" t="s">
        <v>8</v>
      </c>
      <c r="J231" s="2">
        <f t="shared" si="3"/>
        <v>4.3479452054794523</v>
      </c>
    </row>
    <row r="232" spans="1:10" x14ac:dyDescent="0.25">
      <c r="A232" s="1" t="s">
        <v>12</v>
      </c>
      <c r="B232" s="1" t="s">
        <v>185</v>
      </c>
      <c r="C232" s="1">
        <v>97.56</v>
      </c>
      <c r="D232" s="1">
        <v>4.5</v>
      </c>
      <c r="E232" s="6">
        <v>40527</v>
      </c>
      <c r="F232" s="5">
        <v>5.1330000000000001E-2</v>
      </c>
      <c r="G232" s="1">
        <v>4.6120000000000001</v>
      </c>
      <c r="H232" s="1" t="s">
        <v>7</v>
      </c>
      <c r="I232" s="1" t="s">
        <v>8</v>
      </c>
      <c r="J232" s="2">
        <f t="shared" si="3"/>
        <v>4.3479452054794523</v>
      </c>
    </row>
    <row r="233" spans="1:10" x14ac:dyDescent="0.25">
      <c r="A233" s="1" t="s">
        <v>12</v>
      </c>
      <c r="B233" s="1" t="s">
        <v>186</v>
      </c>
      <c r="C233" s="1">
        <v>95.83</v>
      </c>
      <c r="D233" s="1">
        <v>5.35</v>
      </c>
      <c r="E233" s="6">
        <v>40548</v>
      </c>
      <c r="F233" s="5">
        <v>6.4560000000000006E-2</v>
      </c>
      <c r="G233" s="1">
        <v>5.5830000000000002</v>
      </c>
      <c r="H233" s="1" t="s">
        <v>7</v>
      </c>
      <c r="I233" s="1" t="s">
        <v>8</v>
      </c>
      <c r="J233" s="2">
        <f t="shared" si="3"/>
        <v>4.4054794520547942</v>
      </c>
    </row>
    <row r="234" spans="1:10" x14ac:dyDescent="0.25">
      <c r="A234" s="1" t="s">
        <v>12</v>
      </c>
      <c r="B234" s="1" t="s">
        <v>187</v>
      </c>
      <c r="C234" s="1">
        <v>95.94</v>
      </c>
      <c r="D234" s="1">
        <v>4.25</v>
      </c>
      <c r="E234" s="6">
        <v>40555</v>
      </c>
      <c r="F234" s="5">
        <v>5.2939999999999994E-2</v>
      </c>
      <c r="G234" s="1">
        <v>4.43</v>
      </c>
      <c r="H234" s="1" t="s">
        <v>7</v>
      </c>
      <c r="I234" s="1" t="s">
        <v>8</v>
      </c>
      <c r="J234" s="2">
        <f t="shared" si="3"/>
        <v>4.4246575342465757</v>
      </c>
    </row>
    <row r="235" spans="1:10" x14ac:dyDescent="0.25">
      <c r="A235" s="1" t="s">
        <v>12</v>
      </c>
      <c r="B235" s="1" t="s">
        <v>188</v>
      </c>
      <c r="C235" s="1">
        <v>107.48</v>
      </c>
      <c r="D235" s="1">
        <v>7.125</v>
      </c>
      <c r="E235" s="6">
        <v>40557</v>
      </c>
      <c r="F235" s="5">
        <v>5.2019999999999997E-2</v>
      </c>
      <c r="G235" s="1">
        <v>6.6289999999999996</v>
      </c>
      <c r="H235" s="1" t="s">
        <v>7</v>
      </c>
      <c r="I235" s="1" t="s">
        <v>8</v>
      </c>
      <c r="J235" s="2">
        <f t="shared" si="3"/>
        <v>4.4301369863013695</v>
      </c>
    </row>
    <row r="236" spans="1:10" x14ac:dyDescent="0.25">
      <c r="A236" s="1" t="s">
        <v>12</v>
      </c>
      <c r="B236" s="1" t="s">
        <v>189</v>
      </c>
      <c r="C236" s="1">
        <v>108.54</v>
      </c>
      <c r="D236" s="1">
        <v>7.45</v>
      </c>
      <c r="E236" s="6">
        <v>40558</v>
      </c>
      <c r="F236" s="5">
        <v>5.2549999999999999E-2</v>
      </c>
      <c r="G236" s="1">
        <v>6.8639999999999999</v>
      </c>
      <c r="H236" s="1" t="s">
        <v>7</v>
      </c>
      <c r="I236" s="1" t="s">
        <v>8</v>
      </c>
      <c r="J236" s="2">
        <f t="shared" si="3"/>
        <v>4.4328767123287669</v>
      </c>
    </row>
    <row r="237" spans="1:10" x14ac:dyDescent="0.25">
      <c r="A237" s="1" t="s">
        <v>12</v>
      </c>
      <c r="B237" s="1" t="s">
        <v>82</v>
      </c>
      <c r="C237" s="1">
        <v>99.56</v>
      </c>
      <c r="D237" s="1">
        <v>5.125</v>
      </c>
      <c r="E237" s="6">
        <v>40558</v>
      </c>
      <c r="F237" s="5">
        <v>5.237E-2</v>
      </c>
      <c r="G237" s="1">
        <v>5.1479999999999997</v>
      </c>
      <c r="H237" s="1" t="s">
        <v>7</v>
      </c>
      <c r="I237" s="1" t="s">
        <v>8</v>
      </c>
      <c r="J237" s="2">
        <f t="shared" si="3"/>
        <v>4.4328767123287669</v>
      </c>
    </row>
    <row r="238" spans="1:10" x14ac:dyDescent="0.25">
      <c r="A238" s="1" t="s">
        <v>12</v>
      </c>
      <c r="B238" s="1" t="s">
        <v>38</v>
      </c>
      <c r="C238" s="1">
        <v>99.3</v>
      </c>
      <c r="D238" s="1">
        <v>4.8499999999999996</v>
      </c>
      <c r="E238" s="6">
        <v>40558</v>
      </c>
      <c r="F238" s="5">
        <v>5.0290000000000001E-2</v>
      </c>
      <c r="G238" s="1">
        <v>4.8840000000000003</v>
      </c>
      <c r="H238" s="1" t="s">
        <v>7</v>
      </c>
      <c r="I238" s="1" t="s">
        <v>8</v>
      </c>
      <c r="J238" s="2">
        <f t="shared" si="3"/>
        <v>4.4328767123287669</v>
      </c>
    </row>
    <row r="239" spans="1:10" x14ac:dyDescent="0.25">
      <c r="A239" s="1" t="s">
        <v>12</v>
      </c>
      <c r="B239" s="1" t="s">
        <v>190</v>
      </c>
      <c r="C239" s="1">
        <v>98.41</v>
      </c>
      <c r="D239" s="1">
        <v>5.15</v>
      </c>
      <c r="E239" s="6">
        <v>40558</v>
      </c>
      <c r="F239" s="5">
        <v>5.5599999999999997E-2</v>
      </c>
      <c r="G239" s="1">
        <v>5.2329999999999997</v>
      </c>
      <c r="H239" s="1" t="s">
        <v>7</v>
      </c>
      <c r="I239" s="1" t="s">
        <v>8</v>
      </c>
      <c r="J239" s="2">
        <f t="shared" si="3"/>
        <v>4.4328767123287669</v>
      </c>
    </row>
    <row r="240" spans="1:10" x14ac:dyDescent="0.25">
      <c r="A240" s="1" t="s">
        <v>12</v>
      </c>
      <c r="B240" s="1" t="s">
        <v>191</v>
      </c>
      <c r="C240" s="1">
        <v>100.43</v>
      </c>
      <c r="D240" s="1">
        <v>5.6</v>
      </c>
      <c r="E240" s="6">
        <v>40558</v>
      </c>
      <c r="F240" s="5">
        <v>5.4870000000000002E-2</v>
      </c>
      <c r="G240" s="1">
        <v>5.5759999999999996</v>
      </c>
      <c r="H240" s="1" t="s">
        <v>7</v>
      </c>
      <c r="I240" s="1" t="s">
        <v>8</v>
      </c>
      <c r="J240" s="2">
        <f t="shared" si="3"/>
        <v>4.4328767123287669</v>
      </c>
    </row>
    <row r="241" spans="1:10" x14ac:dyDescent="0.25">
      <c r="A241" s="1" t="s">
        <v>12</v>
      </c>
      <c r="B241" s="1" t="s">
        <v>146</v>
      </c>
      <c r="C241" s="1">
        <v>99.57</v>
      </c>
      <c r="D241" s="1">
        <v>5</v>
      </c>
      <c r="E241" s="6">
        <v>40558</v>
      </c>
      <c r="F241" s="5">
        <v>5.1079999999999993E-2</v>
      </c>
      <c r="G241" s="1">
        <v>5.0220000000000002</v>
      </c>
      <c r="H241" s="1" t="s">
        <v>7</v>
      </c>
      <c r="I241" s="1" t="s">
        <v>8</v>
      </c>
      <c r="J241" s="2">
        <f t="shared" si="3"/>
        <v>4.4328767123287669</v>
      </c>
    </row>
    <row r="242" spans="1:10" x14ac:dyDescent="0.25">
      <c r="A242" s="1" t="s">
        <v>12</v>
      </c>
      <c r="B242" s="1" t="s">
        <v>23</v>
      </c>
      <c r="C242" s="1">
        <v>106.08</v>
      </c>
      <c r="D242" s="1">
        <v>6.75</v>
      </c>
      <c r="E242" s="6">
        <v>40573</v>
      </c>
      <c r="F242" s="5">
        <v>5.2009999999999994E-2</v>
      </c>
      <c r="G242" s="1">
        <v>6.3630000000000004</v>
      </c>
      <c r="H242" s="1" t="s">
        <v>7</v>
      </c>
      <c r="I242" s="1" t="s">
        <v>8</v>
      </c>
      <c r="J242" s="2">
        <f t="shared" si="3"/>
        <v>4.4739726027397264</v>
      </c>
    </row>
    <row r="243" spans="1:10" x14ac:dyDescent="0.25">
      <c r="A243" s="1" t="s">
        <v>12</v>
      </c>
      <c r="B243" s="1" t="s">
        <v>109</v>
      </c>
      <c r="C243" s="1">
        <v>108.95</v>
      </c>
      <c r="D243" s="1">
        <v>7.625</v>
      </c>
      <c r="E243" s="6">
        <v>40573</v>
      </c>
      <c r="F243" s="5">
        <v>5.3380000000000004E-2</v>
      </c>
      <c r="G243" s="1">
        <v>6.9980000000000002</v>
      </c>
      <c r="H243" s="1" t="s">
        <v>7</v>
      </c>
      <c r="I243" s="1" t="s">
        <v>8</v>
      </c>
      <c r="J243" s="2">
        <f t="shared" si="3"/>
        <v>4.4739726027397264</v>
      </c>
    </row>
    <row r="244" spans="1:10" x14ac:dyDescent="0.25">
      <c r="A244" s="1" t="s">
        <v>12</v>
      </c>
      <c r="B244" s="1" t="s">
        <v>178</v>
      </c>
      <c r="C244" s="1">
        <v>108.8</v>
      </c>
      <c r="D244" s="1">
        <v>7.875</v>
      </c>
      <c r="E244" s="6">
        <v>40575</v>
      </c>
      <c r="F244" s="5">
        <v>5.6150000000000005E-2</v>
      </c>
      <c r="G244" s="1">
        <v>7.2380000000000004</v>
      </c>
      <c r="H244" s="1" t="s">
        <v>7</v>
      </c>
      <c r="I244" s="1" t="s">
        <v>8</v>
      </c>
      <c r="J244" s="2">
        <f t="shared" si="3"/>
        <v>4.4794520547945202</v>
      </c>
    </row>
    <row r="245" spans="1:10" x14ac:dyDescent="0.25">
      <c r="A245" s="1" t="s">
        <v>12</v>
      </c>
      <c r="B245" s="1" t="s">
        <v>48</v>
      </c>
      <c r="C245" s="1">
        <v>110.5</v>
      </c>
      <c r="D245" s="1">
        <v>8.75</v>
      </c>
      <c r="E245" s="6">
        <v>40576</v>
      </c>
      <c r="F245" s="5">
        <v>6.0279999999999993E-2</v>
      </c>
      <c r="G245" s="1">
        <v>7.9189999999999996</v>
      </c>
      <c r="H245" s="1" t="s">
        <v>7</v>
      </c>
      <c r="I245" s="1" t="s">
        <v>8</v>
      </c>
      <c r="J245" s="2">
        <f t="shared" si="3"/>
        <v>4.4821917808219176</v>
      </c>
    </row>
    <row r="246" spans="1:10" x14ac:dyDescent="0.25">
      <c r="A246" s="1" t="s">
        <v>12</v>
      </c>
      <c r="B246" s="1" t="s">
        <v>192</v>
      </c>
      <c r="C246" s="1">
        <v>106.44</v>
      </c>
      <c r="D246" s="1">
        <v>6.75</v>
      </c>
      <c r="E246" s="6">
        <v>40589</v>
      </c>
      <c r="F246" s="5">
        <v>5.1269999999999996E-2</v>
      </c>
      <c r="G246" s="1">
        <v>6.3419999999999996</v>
      </c>
      <c r="H246" s="1" t="s">
        <v>7</v>
      </c>
      <c r="I246" s="1" t="s">
        <v>8</v>
      </c>
      <c r="J246" s="2">
        <f t="shared" si="3"/>
        <v>4.5178082191780824</v>
      </c>
    </row>
    <row r="247" spans="1:10" x14ac:dyDescent="0.25">
      <c r="A247" s="1" t="s">
        <v>12</v>
      </c>
      <c r="B247" s="1" t="s">
        <v>160</v>
      </c>
      <c r="C247" s="1">
        <v>106.76</v>
      </c>
      <c r="D247" s="1">
        <v>6.75</v>
      </c>
      <c r="E247" s="6">
        <v>40589</v>
      </c>
      <c r="F247" s="5">
        <v>5.0490000000000007E-2</v>
      </c>
      <c r="G247" s="1">
        <v>6.3220000000000001</v>
      </c>
      <c r="H247" s="1" t="s">
        <v>7</v>
      </c>
      <c r="I247" s="1" t="s">
        <v>8</v>
      </c>
      <c r="J247" s="2">
        <f t="shared" si="3"/>
        <v>4.5178082191780824</v>
      </c>
    </row>
    <row r="248" spans="1:10" x14ac:dyDescent="0.25">
      <c r="A248" s="1" t="s">
        <v>12</v>
      </c>
      <c r="B248" s="1" t="s">
        <v>193</v>
      </c>
      <c r="C248" s="1">
        <v>101.11</v>
      </c>
      <c r="D248" s="1">
        <v>5.6</v>
      </c>
      <c r="E248" s="6">
        <v>40589</v>
      </c>
      <c r="F248" s="5">
        <v>5.3179999999999998E-2</v>
      </c>
      <c r="G248" s="1">
        <v>5.5380000000000003</v>
      </c>
      <c r="H248" s="1" t="s">
        <v>7</v>
      </c>
      <c r="I248" s="1" t="s">
        <v>8</v>
      </c>
      <c r="J248" s="2">
        <f t="shared" si="3"/>
        <v>4.5178082191780824</v>
      </c>
    </row>
    <row r="249" spans="1:10" x14ac:dyDescent="0.25">
      <c r="A249" s="1" t="s">
        <v>12</v>
      </c>
      <c r="B249" s="1" t="s">
        <v>194</v>
      </c>
      <c r="C249" s="1">
        <v>100.42</v>
      </c>
      <c r="D249" s="1">
        <v>6</v>
      </c>
      <c r="E249" s="6">
        <v>40596</v>
      </c>
      <c r="F249" s="5">
        <v>5.892E-2</v>
      </c>
      <c r="G249" s="1">
        <v>5.9749999999999996</v>
      </c>
      <c r="H249" s="1" t="s">
        <v>7</v>
      </c>
      <c r="I249" s="1" t="s">
        <v>8</v>
      </c>
      <c r="J249" s="2">
        <f t="shared" si="3"/>
        <v>4.536986301369863</v>
      </c>
    </row>
    <row r="250" spans="1:10" x14ac:dyDescent="0.25">
      <c r="A250" s="1" t="s">
        <v>12</v>
      </c>
      <c r="B250" s="1" t="s">
        <v>14</v>
      </c>
      <c r="C250" s="1">
        <v>104.16</v>
      </c>
      <c r="D250" s="1">
        <v>6.5</v>
      </c>
      <c r="E250" s="6">
        <v>40603</v>
      </c>
      <c r="F250" s="5">
        <v>5.4509999999999996E-2</v>
      </c>
      <c r="G250" s="1">
        <v>6.24</v>
      </c>
      <c r="H250" s="1" t="s">
        <v>7</v>
      </c>
      <c r="I250" s="1" t="s">
        <v>8</v>
      </c>
      <c r="J250" s="2">
        <f t="shared" si="3"/>
        <v>4.5561643835616437</v>
      </c>
    </row>
    <row r="251" spans="1:10" x14ac:dyDescent="0.25">
      <c r="A251" s="1" t="s">
        <v>12</v>
      </c>
      <c r="B251" s="1" t="s">
        <v>153</v>
      </c>
      <c r="C251" s="1">
        <v>101.11</v>
      </c>
      <c r="D251" s="1">
        <v>5.625</v>
      </c>
      <c r="E251" s="6">
        <v>40616</v>
      </c>
      <c r="F251" s="5">
        <v>5.3470000000000004E-2</v>
      </c>
      <c r="G251" s="1">
        <v>5.5629999999999997</v>
      </c>
      <c r="H251" s="1" t="s">
        <v>7</v>
      </c>
      <c r="I251" s="1" t="s">
        <v>8</v>
      </c>
      <c r="J251" s="2">
        <f t="shared" si="3"/>
        <v>4.5917808219178085</v>
      </c>
    </row>
    <row r="252" spans="1:10" x14ac:dyDescent="0.25">
      <c r="A252" s="1" t="s">
        <v>12</v>
      </c>
      <c r="B252" s="1" t="s">
        <v>195</v>
      </c>
      <c r="C252" s="1">
        <v>105.27</v>
      </c>
      <c r="D252" s="1">
        <v>6.45</v>
      </c>
      <c r="E252" s="6">
        <v>40617</v>
      </c>
      <c r="F252" s="5">
        <v>5.142E-2</v>
      </c>
      <c r="G252" s="1">
        <v>6.1269999999999998</v>
      </c>
      <c r="H252" s="1" t="s">
        <v>7</v>
      </c>
      <c r="I252" s="1" t="s">
        <v>8</v>
      </c>
      <c r="J252" s="2">
        <f t="shared" si="3"/>
        <v>4.5945205479452058</v>
      </c>
    </row>
    <row r="253" spans="1:10" x14ac:dyDescent="0.25">
      <c r="A253" s="1" t="s">
        <v>12</v>
      </c>
      <c r="B253" s="1" t="s">
        <v>196</v>
      </c>
      <c r="C253" s="1">
        <v>106.3</v>
      </c>
      <c r="D253" s="1">
        <v>6.75</v>
      </c>
      <c r="E253" s="6">
        <v>40617</v>
      </c>
      <c r="F253" s="5">
        <v>5.1840000000000004E-2</v>
      </c>
      <c r="G253" s="1">
        <v>6.35</v>
      </c>
      <c r="H253" s="1" t="s">
        <v>7</v>
      </c>
      <c r="I253" s="1" t="s">
        <v>8</v>
      </c>
      <c r="J253" s="2">
        <f t="shared" si="3"/>
        <v>4.5945205479452058</v>
      </c>
    </row>
    <row r="254" spans="1:10" x14ac:dyDescent="0.25">
      <c r="A254" s="1" t="s">
        <v>12</v>
      </c>
      <c r="B254" s="1" t="s">
        <v>65</v>
      </c>
      <c r="C254" s="1">
        <v>101.18</v>
      </c>
      <c r="D254" s="1">
        <v>6.25</v>
      </c>
      <c r="E254" s="6">
        <v>40617</v>
      </c>
      <c r="F254" s="5">
        <v>5.9500000000000004E-2</v>
      </c>
      <c r="G254" s="1">
        <v>6.1769999999999996</v>
      </c>
      <c r="H254" s="1" t="s">
        <v>7</v>
      </c>
      <c r="I254" s="1" t="s">
        <v>8</v>
      </c>
      <c r="J254" s="2">
        <f t="shared" si="3"/>
        <v>4.5945205479452058</v>
      </c>
    </row>
    <row r="255" spans="1:10" x14ac:dyDescent="0.25">
      <c r="A255" s="1" t="s">
        <v>12</v>
      </c>
      <c r="B255" s="1" t="s">
        <v>147</v>
      </c>
      <c r="C255" s="1">
        <v>101.05</v>
      </c>
      <c r="D255" s="1">
        <v>5.5</v>
      </c>
      <c r="E255" s="6">
        <v>40617</v>
      </c>
      <c r="F255" s="5">
        <v>5.2380000000000003E-2</v>
      </c>
      <c r="G255" s="1">
        <v>5.4429999999999996</v>
      </c>
      <c r="H255" s="1" t="s">
        <v>7</v>
      </c>
      <c r="I255" s="1" t="s">
        <v>8</v>
      </c>
      <c r="J255" s="2">
        <f t="shared" si="3"/>
        <v>4.5945205479452058</v>
      </c>
    </row>
    <row r="256" spans="1:10" x14ac:dyDescent="0.25">
      <c r="A256" s="1" t="s">
        <v>12</v>
      </c>
      <c r="B256" s="1" t="s">
        <v>96</v>
      </c>
      <c r="C256" s="1">
        <v>104.6</v>
      </c>
      <c r="D256" s="1">
        <v>6.75</v>
      </c>
      <c r="E256" s="6">
        <v>40617</v>
      </c>
      <c r="F256" s="5">
        <v>5.595E-2</v>
      </c>
      <c r="G256" s="1">
        <v>6.4530000000000003</v>
      </c>
      <c r="H256" s="1" t="s">
        <v>7</v>
      </c>
      <c r="I256" s="1" t="s">
        <v>8</v>
      </c>
      <c r="J256" s="2">
        <f t="shared" si="3"/>
        <v>4.5945205479452058</v>
      </c>
    </row>
    <row r="257" spans="1:10" x14ac:dyDescent="0.25">
      <c r="A257" s="1" t="s">
        <v>12</v>
      </c>
      <c r="B257" s="1" t="s">
        <v>179</v>
      </c>
      <c r="C257" s="1">
        <v>104.92</v>
      </c>
      <c r="D257" s="1">
        <v>6.75</v>
      </c>
      <c r="E257" s="6">
        <v>40617</v>
      </c>
      <c r="F257" s="5">
        <v>5.5160000000000001E-2</v>
      </c>
      <c r="G257" s="1">
        <v>6.4329999999999998</v>
      </c>
      <c r="H257" s="1" t="s">
        <v>7</v>
      </c>
      <c r="I257" s="1" t="s">
        <v>8</v>
      </c>
      <c r="J257" s="2">
        <f t="shared" si="3"/>
        <v>4.5945205479452058</v>
      </c>
    </row>
    <row r="258" spans="1:10" x14ac:dyDescent="0.25">
      <c r="A258" s="1" t="s">
        <v>12</v>
      </c>
      <c r="B258" s="1" t="s">
        <v>148</v>
      </c>
      <c r="C258" s="1">
        <v>97.94</v>
      </c>
      <c r="D258" s="1">
        <v>4.8</v>
      </c>
      <c r="E258" s="6">
        <v>40634</v>
      </c>
      <c r="F258" s="5">
        <v>5.3060000000000003E-2</v>
      </c>
      <c r="G258" s="1">
        <v>4.9009999999999998</v>
      </c>
      <c r="H258" s="1" t="s">
        <v>7</v>
      </c>
      <c r="I258" s="1" t="s">
        <v>8</v>
      </c>
      <c r="J258" s="2">
        <f t="shared" si="3"/>
        <v>4.6410958904109592</v>
      </c>
    </row>
    <row r="259" spans="1:10" x14ac:dyDescent="0.25">
      <c r="A259" s="1" t="s">
        <v>12</v>
      </c>
      <c r="B259" s="1" t="s">
        <v>197</v>
      </c>
      <c r="C259" s="1">
        <v>105.47</v>
      </c>
      <c r="D259" s="1">
        <v>6.625</v>
      </c>
      <c r="E259" s="6">
        <v>40634</v>
      </c>
      <c r="F259" s="5">
        <v>5.2750000000000005E-2</v>
      </c>
      <c r="G259" s="1">
        <v>6.282</v>
      </c>
      <c r="H259" s="1" t="s">
        <v>7</v>
      </c>
      <c r="I259" s="1" t="s">
        <v>8</v>
      </c>
      <c r="J259" s="2">
        <f t="shared" si="3"/>
        <v>4.6410958904109592</v>
      </c>
    </row>
    <row r="260" spans="1:10" x14ac:dyDescent="0.25">
      <c r="A260" s="1" t="s">
        <v>12</v>
      </c>
      <c r="B260" s="1" t="s">
        <v>198</v>
      </c>
      <c r="C260" s="1">
        <v>106.23</v>
      </c>
      <c r="D260" s="1">
        <v>6.6</v>
      </c>
      <c r="E260" s="6">
        <v>40634</v>
      </c>
      <c r="F260" s="5">
        <v>5.0689999999999999E-2</v>
      </c>
      <c r="G260" s="1">
        <v>6.2130000000000001</v>
      </c>
      <c r="H260" s="1" t="s">
        <v>7</v>
      </c>
      <c r="I260" s="1" t="s">
        <v>8</v>
      </c>
      <c r="J260" s="2">
        <f t="shared" ref="J260:J323" si="4">(E260-DATE(2006,8,11))/365</f>
        <v>4.6410958904109592</v>
      </c>
    </row>
    <row r="261" spans="1:10" x14ac:dyDescent="0.25">
      <c r="A261" s="1" t="s">
        <v>12</v>
      </c>
      <c r="B261" s="1" t="s">
        <v>77</v>
      </c>
      <c r="C261" s="1">
        <v>105.84</v>
      </c>
      <c r="D261" s="1">
        <v>6.8</v>
      </c>
      <c r="E261" s="6">
        <v>40634</v>
      </c>
      <c r="F261" s="5">
        <v>5.3550000000000007E-2</v>
      </c>
      <c r="G261" s="1">
        <v>6.4249999999999998</v>
      </c>
      <c r="H261" s="1" t="s">
        <v>7</v>
      </c>
      <c r="I261" s="1" t="s">
        <v>8</v>
      </c>
      <c r="J261" s="2">
        <f t="shared" si="4"/>
        <v>4.6410958904109592</v>
      </c>
    </row>
    <row r="262" spans="1:10" x14ac:dyDescent="0.25">
      <c r="A262" s="1" t="s">
        <v>12</v>
      </c>
      <c r="B262" s="1" t="s">
        <v>199</v>
      </c>
      <c r="C262" s="1">
        <v>98.64</v>
      </c>
      <c r="D262" s="1">
        <v>5</v>
      </c>
      <c r="E262" s="6">
        <v>40634</v>
      </c>
      <c r="F262" s="5">
        <v>5.3339999999999999E-2</v>
      </c>
      <c r="G262" s="1">
        <v>5.069</v>
      </c>
      <c r="H262" s="1" t="s">
        <v>7</v>
      </c>
      <c r="I262" s="1" t="s">
        <v>8</v>
      </c>
      <c r="J262" s="2">
        <f t="shared" si="4"/>
        <v>4.6410958904109592</v>
      </c>
    </row>
    <row r="263" spans="1:10" x14ac:dyDescent="0.25">
      <c r="A263" s="1" t="s">
        <v>12</v>
      </c>
      <c r="B263" s="1" t="s">
        <v>20</v>
      </c>
      <c r="C263" s="1">
        <v>105.13</v>
      </c>
      <c r="D263" s="1">
        <v>6.75</v>
      </c>
      <c r="E263" s="6">
        <v>40648</v>
      </c>
      <c r="F263" s="5">
        <v>5.4850000000000003E-2</v>
      </c>
      <c r="G263" s="1">
        <v>6.4210000000000003</v>
      </c>
      <c r="H263" s="1" t="s">
        <v>7</v>
      </c>
      <c r="I263" s="1" t="s">
        <v>8</v>
      </c>
      <c r="J263" s="2">
        <f t="shared" si="4"/>
        <v>4.6794520547945204</v>
      </c>
    </row>
    <row r="264" spans="1:10" x14ac:dyDescent="0.25">
      <c r="A264" s="1" t="s">
        <v>12</v>
      </c>
      <c r="B264" s="1" t="s">
        <v>200</v>
      </c>
      <c r="C264" s="1">
        <v>106.64</v>
      </c>
      <c r="D264" s="1">
        <v>7.125</v>
      </c>
      <c r="E264" s="6">
        <v>40648</v>
      </c>
      <c r="F264" s="5">
        <v>5.4880000000000005E-2</v>
      </c>
      <c r="G264" s="1">
        <v>6.681</v>
      </c>
      <c r="H264" s="1" t="s">
        <v>7</v>
      </c>
      <c r="I264" s="1" t="s">
        <v>8</v>
      </c>
      <c r="J264" s="2">
        <f t="shared" si="4"/>
        <v>4.6794520547945204</v>
      </c>
    </row>
    <row r="265" spans="1:10" x14ac:dyDescent="0.25">
      <c r="A265" s="1" t="s">
        <v>12</v>
      </c>
      <c r="B265" s="1" t="s">
        <v>201</v>
      </c>
      <c r="C265" s="1">
        <v>114.09</v>
      </c>
      <c r="D265" s="1">
        <v>8.875</v>
      </c>
      <c r="E265" s="6">
        <v>40648</v>
      </c>
      <c r="F265" s="5">
        <v>5.4100000000000002E-2</v>
      </c>
      <c r="G265" s="1">
        <v>7.7789999999999999</v>
      </c>
      <c r="H265" s="1" t="s">
        <v>7</v>
      </c>
      <c r="I265" s="1" t="s">
        <v>8</v>
      </c>
      <c r="J265" s="2">
        <f t="shared" si="4"/>
        <v>4.6794520547945204</v>
      </c>
    </row>
    <row r="266" spans="1:10" x14ac:dyDescent="0.25">
      <c r="A266" s="1" t="s">
        <v>12</v>
      </c>
      <c r="B266" s="1" t="s">
        <v>25</v>
      </c>
      <c r="C266" s="1">
        <v>100.74</v>
      </c>
      <c r="D266" s="1">
        <v>5.75</v>
      </c>
      <c r="E266" s="6">
        <v>40663</v>
      </c>
      <c r="F266" s="5">
        <v>5.5650000000000005E-2</v>
      </c>
      <c r="G266" s="1">
        <v>5.7080000000000002</v>
      </c>
      <c r="H266" s="1" t="s">
        <v>7</v>
      </c>
      <c r="I266" s="1" t="s">
        <v>8</v>
      </c>
      <c r="J266" s="2">
        <f t="shared" si="4"/>
        <v>4.720547945205479</v>
      </c>
    </row>
    <row r="267" spans="1:10" x14ac:dyDescent="0.25">
      <c r="A267" s="1" t="s">
        <v>12</v>
      </c>
      <c r="B267" s="1" t="s">
        <v>202</v>
      </c>
      <c r="C267" s="1">
        <v>106.03</v>
      </c>
      <c r="D267" s="1">
        <v>6.75</v>
      </c>
      <c r="E267" s="6">
        <v>40664</v>
      </c>
      <c r="F267" s="5">
        <v>5.2839999999999998E-2</v>
      </c>
      <c r="G267" s="1">
        <v>6.3659999999999997</v>
      </c>
      <c r="H267" s="1" t="s">
        <v>7</v>
      </c>
      <c r="I267" s="1" t="s">
        <v>8</v>
      </c>
      <c r="J267" s="2">
        <f t="shared" si="4"/>
        <v>4.7232876712328764</v>
      </c>
    </row>
    <row r="268" spans="1:10" x14ac:dyDescent="0.25">
      <c r="A268" s="1" t="s">
        <v>12</v>
      </c>
      <c r="B268" s="1" t="s">
        <v>162</v>
      </c>
      <c r="C268" s="1">
        <v>105.83</v>
      </c>
      <c r="D268" s="1">
        <v>6.75</v>
      </c>
      <c r="E268" s="6">
        <v>40664</v>
      </c>
      <c r="F268" s="5">
        <v>5.3289999999999997E-2</v>
      </c>
      <c r="G268" s="1">
        <v>6.3780000000000001</v>
      </c>
      <c r="H268" s="1" t="s">
        <v>7</v>
      </c>
      <c r="I268" s="1" t="s">
        <v>8</v>
      </c>
      <c r="J268" s="2">
        <f t="shared" si="4"/>
        <v>4.7232876712328764</v>
      </c>
    </row>
    <row r="269" spans="1:10" x14ac:dyDescent="0.25">
      <c r="A269" s="1" t="s">
        <v>12</v>
      </c>
      <c r="B269" s="1" t="s">
        <v>203</v>
      </c>
      <c r="C269" s="1">
        <v>110.51</v>
      </c>
      <c r="D269" s="1">
        <v>8.125</v>
      </c>
      <c r="E269" s="6">
        <v>40664</v>
      </c>
      <c r="F269" s="5">
        <v>5.5519999999999993E-2</v>
      </c>
      <c r="G269" s="1">
        <v>7.3520000000000003</v>
      </c>
      <c r="H269" s="1" t="s">
        <v>7</v>
      </c>
      <c r="I269" s="1" t="s">
        <v>8</v>
      </c>
      <c r="J269" s="2">
        <f t="shared" si="4"/>
        <v>4.7232876712328764</v>
      </c>
    </row>
    <row r="270" spans="1:10" x14ac:dyDescent="0.25">
      <c r="A270" s="1" t="s">
        <v>12</v>
      </c>
      <c r="B270" s="1" t="s">
        <v>204</v>
      </c>
      <c r="C270" s="1">
        <v>103.69</v>
      </c>
      <c r="D270" s="1">
        <v>6.125</v>
      </c>
      <c r="E270" s="6">
        <v>40664</v>
      </c>
      <c r="F270" s="5">
        <v>5.228E-2</v>
      </c>
      <c r="G270" s="1">
        <v>5.907</v>
      </c>
      <c r="H270" s="1" t="s">
        <v>7</v>
      </c>
      <c r="I270" s="1" t="s">
        <v>8</v>
      </c>
      <c r="J270" s="2">
        <f t="shared" si="4"/>
        <v>4.7232876712328764</v>
      </c>
    </row>
    <row r="271" spans="1:10" x14ac:dyDescent="0.25">
      <c r="A271" s="1" t="s">
        <v>12</v>
      </c>
      <c r="B271" s="1" t="s">
        <v>199</v>
      </c>
      <c r="C271" s="1">
        <v>102.41</v>
      </c>
      <c r="D271" s="1">
        <v>5.95</v>
      </c>
      <c r="E271" s="6">
        <v>40665</v>
      </c>
      <c r="F271" s="5">
        <v>5.3630000000000004E-2</v>
      </c>
      <c r="G271" s="1">
        <v>5.81</v>
      </c>
      <c r="H271" s="1" t="s">
        <v>7</v>
      </c>
      <c r="I271" s="1" t="s">
        <v>8</v>
      </c>
      <c r="J271" s="2">
        <f t="shared" si="4"/>
        <v>4.7260273972602738</v>
      </c>
    </row>
    <row r="272" spans="1:10" x14ac:dyDescent="0.25">
      <c r="A272" s="1" t="s">
        <v>12</v>
      </c>
      <c r="B272" s="1" t="s">
        <v>65</v>
      </c>
      <c r="C272" s="1">
        <v>93.69</v>
      </c>
      <c r="D272" s="1">
        <v>4.4000000000000004</v>
      </c>
      <c r="E272" s="6">
        <v>40678</v>
      </c>
      <c r="F272" s="5">
        <v>5.9429999999999997E-2</v>
      </c>
      <c r="G272" s="1">
        <v>4.6959999999999997</v>
      </c>
      <c r="H272" s="1" t="s">
        <v>7</v>
      </c>
      <c r="I272" s="1" t="s">
        <v>8</v>
      </c>
      <c r="J272" s="2">
        <f t="shared" si="4"/>
        <v>4.7616438356164386</v>
      </c>
    </row>
    <row r="273" spans="1:10" x14ac:dyDescent="0.25">
      <c r="A273" s="1" t="s">
        <v>12</v>
      </c>
      <c r="B273" s="1" t="s">
        <v>173</v>
      </c>
      <c r="C273" s="1">
        <v>97.67</v>
      </c>
      <c r="D273" s="1">
        <v>4.7</v>
      </c>
      <c r="E273" s="6">
        <v>40678</v>
      </c>
      <c r="F273" s="5">
        <v>5.2610000000000004E-2</v>
      </c>
      <c r="G273" s="1">
        <v>4.8120000000000003</v>
      </c>
      <c r="H273" s="1" t="s">
        <v>7</v>
      </c>
      <c r="I273" s="1" t="s">
        <v>8</v>
      </c>
      <c r="J273" s="2">
        <f t="shared" si="4"/>
        <v>4.7616438356164386</v>
      </c>
    </row>
    <row r="274" spans="1:10" x14ac:dyDescent="0.25">
      <c r="A274" s="1" t="s">
        <v>12</v>
      </c>
      <c r="B274" s="1" t="s">
        <v>25</v>
      </c>
      <c r="C274" s="1">
        <v>105.21</v>
      </c>
      <c r="D274" s="1">
        <v>6.625</v>
      </c>
      <c r="E274" s="6">
        <v>40678</v>
      </c>
      <c r="F274" s="5">
        <v>5.364E-2</v>
      </c>
      <c r="G274" s="1">
        <v>6.2969999999999997</v>
      </c>
      <c r="H274" s="1" t="s">
        <v>7</v>
      </c>
      <c r="I274" s="1" t="s">
        <v>8</v>
      </c>
      <c r="J274" s="2">
        <f t="shared" si="4"/>
        <v>4.7616438356164386</v>
      </c>
    </row>
    <row r="275" spans="1:10" x14ac:dyDescent="0.25">
      <c r="A275" s="1" t="s">
        <v>12</v>
      </c>
      <c r="B275" s="1" t="s">
        <v>205</v>
      </c>
      <c r="C275" s="1">
        <v>107.17</v>
      </c>
      <c r="D275" s="1">
        <v>7.125</v>
      </c>
      <c r="E275" s="6">
        <v>40695</v>
      </c>
      <c r="F275" s="5">
        <v>5.4029999999999995E-2</v>
      </c>
      <c r="G275" s="1">
        <v>6.6479999999999997</v>
      </c>
      <c r="H275" s="1" t="s">
        <v>7</v>
      </c>
      <c r="I275" s="1" t="s">
        <v>8</v>
      </c>
      <c r="J275" s="2">
        <f t="shared" si="4"/>
        <v>4.8082191780821919</v>
      </c>
    </row>
    <row r="276" spans="1:10" x14ac:dyDescent="0.25">
      <c r="A276" s="1" t="s">
        <v>12</v>
      </c>
      <c r="B276" s="1" t="s">
        <v>128</v>
      </c>
      <c r="C276" s="1">
        <v>106.78</v>
      </c>
      <c r="D276" s="1">
        <v>7.05</v>
      </c>
      <c r="E276" s="6">
        <v>40695</v>
      </c>
      <c r="F276" s="5">
        <v>5.4219999999999997E-2</v>
      </c>
      <c r="G276" s="1">
        <v>6.6029999999999998</v>
      </c>
      <c r="H276" s="1" t="s">
        <v>7</v>
      </c>
      <c r="I276" s="1" t="s">
        <v>8</v>
      </c>
      <c r="J276" s="2">
        <f t="shared" si="4"/>
        <v>4.8082191780821919</v>
      </c>
    </row>
    <row r="277" spans="1:10" x14ac:dyDescent="0.25">
      <c r="A277" s="1" t="s">
        <v>12</v>
      </c>
      <c r="B277" s="1" t="s">
        <v>206</v>
      </c>
      <c r="C277" s="1">
        <v>104.6</v>
      </c>
      <c r="D277" s="1">
        <v>7.3</v>
      </c>
      <c r="E277" s="6">
        <v>40707</v>
      </c>
      <c r="F277" s="5">
        <v>6.1799999999999994E-2</v>
      </c>
      <c r="G277" s="1">
        <v>6.9790000000000001</v>
      </c>
      <c r="H277" s="1" t="s">
        <v>7</v>
      </c>
      <c r="I277" s="1" t="s">
        <v>8</v>
      </c>
      <c r="J277" s="2">
        <f t="shared" si="4"/>
        <v>4.8410958904109593</v>
      </c>
    </row>
    <row r="278" spans="1:10" x14ac:dyDescent="0.25">
      <c r="A278" s="1" t="s">
        <v>12</v>
      </c>
      <c r="B278" s="1" t="s">
        <v>187</v>
      </c>
      <c r="C278" s="1">
        <v>101.75</v>
      </c>
      <c r="D278" s="1">
        <v>6</v>
      </c>
      <c r="E278" s="6">
        <v>40709</v>
      </c>
      <c r="F278" s="5">
        <v>5.5789999999999999E-2</v>
      </c>
      <c r="G278" s="1">
        <v>5.8970000000000002</v>
      </c>
      <c r="H278" s="1" t="s">
        <v>7</v>
      </c>
      <c r="I278" s="1" t="s">
        <v>8</v>
      </c>
      <c r="J278" s="2">
        <f t="shared" si="4"/>
        <v>4.8465753424657532</v>
      </c>
    </row>
    <row r="279" spans="1:10" x14ac:dyDescent="0.25">
      <c r="A279" s="1" t="s">
        <v>12</v>
      </c>
      <c r="B279" s="1" t="s">
        <v>207</v>
      </c>
      <c r="C279" s="1">
        <v>106.95</v>
      </c>
      <c r="D279" s="1">
        <v>6.95</v>
      </c>
      <c r="E279" s="6">
        <v>40709</v>
      </c>
      <c r="F279" s="5">
        <v>5.2969999999999996E-2</v>
      </c>
      <c r="G279" s="1">
        <v>6.4980000000000002</v>
      </c>
      <c r="H279" s="1" t="s">
        <v>7</v>
      </c>
      <c r="I279" s="1" t="s">
        <v>8</v>
      </c>
      <c r="J279" s="2">
        <f t="shared" si="4"/>
        <v>4.8465753424657532</v>
      </c>
    </row>
    <row r="280" spans="1:10" x14ac:dyDescent="0.25">
      <c r="A280" s="1" t="s">
        <v>12</v>
      </c>
      <c r="B280" s="1" t="s">
        <v>208</v>
      </c>
      <c r="C280" s="1">
        <v>102.89</v>
      </c>
      <c r="D280" s="1">
        <v>6.125</v>
      </c>
      <c r="E280" s="6">
        <v>40709</v>
      </c>
      <c r="F280" s="5">
        <v>5.4339999999999999E-2</v>
      </c>
      <c r="G280" s="1">
        <v>5.9530000000000003</v>
      </c>
      <c r="H280" s="1" t="s">
        <v>7</v>
      </c>
      <c r="I280" s="1" t="s">
        <v>8</v>
      </c>
      <c r="J280" s="2">
        <f t="shared" si="4"/>
        <v>4.8465753424657532</v>
      </c>
    </row>
    <row r="281" spans="1:10" x14ac:dyDescent="0.25">
      <c r="A281" s="1" t="s">
        <v>12</v>
      </c>
      <c r="B281" s="1" t="s">
        <v>209</v>
      </c>
      <c r="C281" s="1">
        <v>102.72</v>
      </c>
      <c r="D281" s="1">
        <v>5.984</v>
      </c>
      <c r="E281" s="6">
        <v>40714</v>
      </c>
      <c r="F281" s="5">
        <v>5.3360000000000005E-2</v>
      </c>
      <c r="G281" s="1">
        <v>5.8250000000000002</v>
      </c>
      <c r="H281" s="1" t="s">
        <v>7</v>
      </c>
      <c r="I281" s="1" t="s">
        <v>8</v>
      </c>
      <c r="J281" s="2">
        <f t="shared" si="4"/>
        <v>4.86027397260274</v>
      </c>
    </row>
    <row r="282" spans="1:10" x14ac:dyDescent="0.25">
      <c r="A282" s="1" t="s">
        <v>12</v>
      </c>
      <c r="B282" s="1" t="s">
        <v>210</v>
      </c>
      <c r="C282" s="1">
        <v>104.06</v>
      </c>
      <c r="D282" s="1">
        <v>6.2</v>
      </c>
      <c r="E282" s="6">
        <v>40725</v>
      </c>
      <c r="F282" s="5">
        <v>5.2430000000000004E-2</v>
      </c>
      <c r="G282" s="1">
        <v>5.9580000000000002</v>
      </c>
      <c r="H282" s="1" t="s">
        <v>7</v>
      </c>
      <c r="I282" s="1" t="s">
        <v>8</v>
      </c>
      <c r="J282" s="2">
        <f t="shared" si="4"/>
        <v>4.8904109589041092</v>
      </c>
    </row>
    <row r="283" spans="1:10" x14ac:dyDescent="0.25">
      <c r="A283" s="1" t="s">
        <v>12</v>
      </c>
      <c r="B283" s="1" t="s">
        <v>211</v>
      </c>
      <c r="C283" s="1">
        <v>109.69</v>
      </c>
      <c r="D283" s="1">
        <v>7.5</v>
      </c>
      <c r="E283" s="6">
        <v>40736</v>
      </c>
      <c r="F283" s="5">
        <v>5.2309999999999995E-2</v>
      </c>
      <c r="G283" s="1">
        <v>6.8369999999999997</v>
      </c>
      <c r="H283" s="1" t="s">
        <v>7</v>
      </c>
      <c r="I283" s="1" t="s">
        <v>8</v>
      </c>
      <c r="J283" s="2">
        <f t="shared" si="4"/>
        <v>4.9205479452054792</v>
      </c>
    </row>
    <row r="284" spans="1:10" x14ac:dyDescent="0.25">
      <c r="A284" s="1" t="s">
        <v>12</v>
      </c>
      <c r="B284" s="1" t="s">
        <v>212</v>
      </c>
      <c r="C284" s="1">
        <v>102.61</v>
      </c>
      <c r="D284" s="1">
        <v>6.625</v>
      </c>
      <c r="E284" s="6">
        <v>40739</v>
      </c>
      <c r="F284" s="5">
        <v>6.0039999999999996E-2</v>
      </c>
      <c r="G284" s="1">
        <v>6.4569999999999999</v>
      </c>
      <c r="H284" s="1" t="s">
        <v>7</v>
      </c>
      <c r="I284" s="1" t="s">
        <v>8</v>
      </c>
      <c r="J284" s="2">
        <f t="shared" si="4"/>
        <v>4.9287671232876713</v>
      </c>
    </row>
    <row r="285" spans="1:10" x14ac:dyDescent="0.25">
      <c r="A285" s="1" t="s">
        <v>12</v>
      </c>
      <c r="B285" s="1" t="s">
        <v>122</v>
      </c>
      <c r="C285" s="1">
        <v>107.1</v>
      </c>
      <c r="D285" s="1">
        <v>6.75</v>
      </c>
      <c r="E285" s="6">
        <v>40739</v>
      </c>
      <c r="F285" s="5">
        <v>5.0959999999999998E-2</v>
      </c>
      <c r="G285" s="1">
        <v>6.3029999999999999</v>
      </c>
      <c r="H285" s="1" t="s">
        <v>7</v>
      </c>
      <c r="I285" s="1" t="s">
        <v>8</v>
      </c>
      <c r="J285" s="2">
        <f t="shared" si="4"/>
        <v>4.9287671232876713</v>
      </c>
    </row>
    <row r="286" spans="1:10" x14ac:dyDescent="0.25">
      <c r="A286" s="1" t="s">
        <v>12</v>
      </c>
      <c r="B286" s="1" t="s">
        <v>29</v>
      </c>
      <c r="C286" s="1">
        <v>106.81</v>
      </c>
      <c r="D286" s="1">
        <v>7</v>
      </c>
      <c r="E286" s="6">
        <v>40739</v>
      </c>
      <c r="F286" s="5">
        <v>5.4019999999999999E-2</v>
      </c>
      <c r="G286" s="1">
        <v>6.5540000000000003</v>
      </c>
      <c r="H286" s="1" t="s">
        <v>7</v>
      </c>
      <c r="I286" s="1" t="s">
        <v>8</v>
      </c>
      <c r="J286" s="2">
        <f t="shared" si="4"/>
        <v>4.9287671232876713</v>
      </c>
    </row>
    <row r="287" spans="1:10" x14ac:dyDescent="0.25">
      <c r="A287" s="1" t="s">
        <v>12</v>
      </c>
      <c r="B287" s="1" t="s">
        <v>213</v>
      </c>
      <c r="C287" s="1">
        <v>105.66</v>
      </c>
      <c r="D287" s="1">
        <v>6.625</v>
      </c>
      <c r="E287" s="6">
        <v>40739</v>
      </c>
      <c r="F287" s="5">
        <v>5.2999999999999999E-2</v>
      </c>
      <c r="G287" s="1">
        <v>6.27</v>
      </c>
      <c r="H287" s="1" t="s">
        <v>7</v>
      </c>
      <c r="I287" s="1" t="s">
        <v>8</v>
      </c>
      <c r="J287" s="2">
        <f t="shared" si="4"/>
        <v>4.9287671232876713</v>
      </c>
    </row>
    <row r="288" spans="1:10" x14ac:dyDescent="0.25">
      <c r="A288" s="1" t="s">
        <v>12</v>
      </c>
      <c r="B288" s="1" t="s">
        <v>214</v>
      </c>
      <c r="C288" s="1">
        <v>102.97</v>
      </c>
      <c r="D288" s="1">
        <v>6.15</v>
      </c>
      <c r="E288" s="6">
        <v>40739</v>
      </c>
      <c r="F288" s="5">
        <v>5.4509999999999996E-2</v>
      </c>
      <c r="G288" s="1">
        <v>5.9729999999999999</v>
      </c>
      <c r="H288" s="1" t="s">
        <v>7</v>
      </c>
      <c r="I288" s="1" t="s">
        <v>8</v>
      </c>
      <c r="J288" s="2">
        <f t="shared" si="4"/>
        <v>4.9287671232876713</v>
      </c>
    </row>
    <row r="289" spans="1:10" x14ac:dyDescent="0.25">
      <c r="A289" s="1" t="s">
        <v>12</v>
      </c>
      <c r="B289" s="1" t="s">
        <v>139</v>
      </c>
      <c r="C289" s="1">
        <v>108.88</v>
      </c>
      <c r="D289" s="1">
        <v>7.875</v>
      </c>
      <c r="E289" s="6">
        <v>40756</v>
      </c>
      <c r="F289" s="5">
        <v>5.7869999999999998E-2</v>
      </c>
      <c r="G289" s="1">
        <v>7.2329999999999997</v>
      </c>
      <c r="H289" s="1" t="s">
        <v>7</v>
      </c>
      <c r="I289" s="1" t="s">
        <v>8</v>
      </c>
      <c r="J289" s="2">
        <f t="shared" si="4"/>
        <v>4.9753424657534246</v>
      </c>
    </row>
    <row r="290" spans="1:10" x14ac:dyDescent="0.25">
      <c r="A290" s="1" t="s">
        <v>12</v>
      </c>
      <c r="B290" s="1" t="s">
        <v>63</v>
      </c>
      <c r="C290" s="1">
        <v>102.17</v>
      </c>
      <c r="D290" s="1">
        <v>6</v>
      </c>
      <c r="E290" s="6">
        <v>40770</v>
      </c>
      <c r="F290" s="5">
        <v>5.4949999999999999E-2</v>
      </c>
      <c r="G290" s="1">
        <v>5.8719999999999999</v>
      </c>
      <c r="H290" s="1" t="s">
        <v>7</v>
      </c>
      <c r="I290" s="1" t="s">
        <v>8</v>
      </c>
      <c r="J290" s="2">
        <f t="shared" si="4"/>
        <v>5.0136986301369859</v>
      </c>
    </row>
    <row r="291" spans="1:10" x14ac:dyDescent="0.25">
      <c r="A291" s="1" t="s">
        <v>12</v>
      </c>
      <c r="B291" s="1" t="s">
        <v>215</v>
      </c>
      <c r="C291" s="1">
        <v>104.05</v>
      </c>
      <c r="D291" s="1">
        <v>7.3</v>
      </c>
      <c r="E291" s="6">
        <v>40770</v>
      </c>
      <c r="F291" s="5">
        <v>6.3399999999999998E-2</v>
      </c>
      <c r="G291" s="1">
        <v>7.016</v>
      </c>
      <c r="H291" s="1" t="s">
        <v>7</v>
      </c>
      <c r="I291" s="1" t="s">
        <v>8</v>
      </c>
      <c r="J291" s="2">
        <f t="shared" si="4"/>
        <v>5.0136986301369859</v>
      </c>
    </row>
    <row r="292" spans="1:10" x14ac:dyDescent="0.25">
      <c r="A292" s="1" t="s">
        <v>12</v>
      </c>
      <c r="B292" s="1" t="s">
        <v>216</v>
      </c>
      <c r="C292" s="1">
        <v>106.39</v>
      </c>
      <c r="D292" s="1">
        <v>6.75</v>
      </c>
      <c r="E292" s="6">
        <v>40770</v>
      </c>
      <c r="F292" s="5">
        <v>5.2789999999999997E-2</v>
      </c>
      <c r="G292" s="1">
        <v>6.3449999999999998</v>
      </c>
      <c r="H292" s="1" t="s">
        <v>7</v>
      </c>
      <c r="I292" s="1" t="s">
        <v>8</v>
      </c>
      <c r="J292" s="2">
        <f t="shared" si="4"/>
        <v>5.0136986301369859</v>
      </c>
    </row>
    <row r="293" spans="1:10" x14ac:dyDescent="0.25">
      <c r="A293" s="1" t="s">
        <v>12</v>
      </c>
      <c r="B293" s="1" t="s">
        <v>170</v>
      </c>
      <c r="C293" s="1">
        <v>106.31</v>
      </c>
      <c r="D293" s="1">
        <v>6.75</v>
      </c>
      <c r="E293" s="6">
        <v>40801</v>
      </c>
      <c r="F293" s="5">
        <v>5.3150000000000003E-2</v>
      </c>
      <c r="G293" s="1">
        <v>6.3490000000000002</v>
      </c>
      <c r="H293" s="1" t="s">
        <v>7</v>
      </c>
      <c r="I293" s="1" t="s">
        <v>8</v>
      </c>
      <c r="J293" s="2">
        <f t="shared" si="4"/>
        <v>5.0986301369863014</v>
      </c>
    </row>
    <row r="294" spans="1:10" x14ac:dyDescent="0.25">
      <c r="A294" s="1" t="s">
        <v>12</v>
      </c>
      <c r="B294" s="1" t="s">
        <v>107</v>
      </c>
      <c r="C294" s="1">
        <v>108</v>
      </c>
      <c r="D294" s="1">
        <v>7.45</v>
      </c>
      <c r="E294" s="6">
        <v>40801</v>
      </c>
      <c r="F294" s="5">
        <v>5.6159999999999995E-2</v>
      </c>
      <c r="G294" s="1">
        <v>6.8979999999999997</v>
      </c>
      <c r="H294" s="1" t="s">
        <v>7</v>
      </c>
      <c r="I294" s="1" t="s">
        <v>8</v>
      </c>
      <c r="J294" s="2">
        <f t="shared" si="4"/>
        <v>5.0986301369863014</v>
      </c>
    </row>
    <row r="295" spans="1:10" x14ac:dyDescent="0.25">
      <c r="A295" s="1" t="s">
        <v>12</v>
      </c>
      <c r="B295" s="1" t="s">
        <v>217</v>
      </c>
      <c r="C295" s="1">
        <v>103.04</v>
      </c>
      <c r="D295" s="1">
        <v>6.25</v>
      </c>
      <c r="E295" s="6">
        <v>40801</v>
      </c>
      <c r="F295" s="5">
        <v>5.5540000000000006E-2</v>
      </c>
      <c r="G295" s="1">
        <v>6.0659999999999998</v>
      </c>
      <c r="H295" s="1" t="s">
        <v>7</v>
      </c>
      <c r="I295" s="1" t="s">
        <v>8</v>
      </c>
      <c r="J295" s="2">
        <f t="shared" si="4"/>
        <v>5.0986301369863014</v>
      </c>
    </row>
    <row r="296" spans="1:10" x14ac:dyDescent="0.25">
      <c r="A296" s="1" t="s">
        <v>12</v>
      </c>
      <c r="B296" s="1" t="s">
        <v>218</v>
      </c>
      <c r="C296" s="1">
        <v>107.34</v>
      </c>
      <c r="D296" s="1">
        <v>6.875</v>
      </c>
      <c r="E296" s="6">
        <v>40816</v>
      </c>
      <c r="F296" s="5">
        <v>5.2220000000000003E-2</v>
      </c>
      <c r="G296" s="1">
        <v>6.4050000000000002</v>
      </c>
      <c r="H296" s="1" t="s">
        <v>7</v>
      </c>
      <c r="I296" s="1" t="s">
        <v>8</v>
      </c>
      <c r="J296" s="2">
        <f t="shared" si="4"/>
        <v>5.13972602739726</v>
      </c>
    </row>
    <row r="297" spans="1:10" x14ac:dyDescent="0.25">
      <c r="A297" s="1" t="s">
        <v>12</v>
      </c>
      <c r="B297" s="1" t="s">
        <v>219</v>
      </c>
      <c r="C297" s="1">
        <v>108.8</v>
      </c>
      <c r="D297" s="1">
        <v>8.25</v>
      </c>
      <c r="E297" s="6">
        <v>40817</v>
      </c>
      <c r="F297" s="5">
        <v>6.2149999999999997E-2</v>
      </c>
      <c r="G297" s="1">
        <v>7.5830000000000002</v>
      </c>
      <c r="H297" s="1" t="s">
        <v>7</v>
      </c>
      <c r="I297" s="1" t="s">
        <v>8</v>
      </c>
      <c r="J297" s="2">
        <f t="shared" si="4"/>
        <v>5.1424657534246574</v>
      </c>
    </row>
    <row r="298" spans="1:10" x14ac:dyDescent="0.25">
      <c r="A298" s="1" t="s">
        <v>12</v>
      </c>
      <c r="B298" s="1" t="s">
        <v>220</v>
      </c>
      <c r="C298" s="1">
        <v>105.61</v>
      </c>
      <c r="D298" s="1">
        <v>6.375</v>
      </c>
      <c r="E298" s="6">
        <v>40831</v>
      </c>
      <c r="F298" s="5">
        <v>5.1220000000000002E-2</v>
      </c>
      <c r="G298" s="1">
        <v>6.0359999999999996</v>
      </c>
      <c r="H298" s="1" t="s">
        <v>7</v>
      </c>
      <c r="I298" s="1" t="s">
        <v>8</v>
      </c>
      <c r="J298" s="2">
        <f t="shared" si="4"/>
        <v>5.1808219178082195</v>
      </c>
    </row>
    <row r="299" spans="1:10" x14ac:dyDescent="0.25">
      <c r="A299" s="1" t="s">
        <v>12</v>
      </c>
      <c r="B299" s="1" t="s">
        <v>221</v>
      </c>
      <c r="C299" s="1">
        <v>103.77</v>
      </c>
      <c r="D299" s="1">
        <v>6.25</v>
      </c>
      <c r="E299" s="6">
        <v>40848</v>
      </c>
      <c r="F299" s="5">
        <v>5.407E-2</v>
      </c>
      <c r="G299" s="1">
        <v>6.0229999999999997</v>
      </c>
      <c r="H299" s="1" t="s">
        <v>7</v>
      </c>
      <c r="I299" s="1" t="s">
        <v>8</v>
      </c>
      <c r="J299" s="2">
        <f t="shared" si="4"/>
        <v>5.2273972602739729</v>
      </c>
    </row>
    <row r="300" spans="1:10" x14ac:dyDescent="0.25">
      <c r="A300" s="1" t="s">
        <v>12</v>
      </c>
      <c r="B300" s="1" t="s">
        <v>222</v>
      </c>
      <c r="C300" s="1">
        <v>104.64</v>
      </c>
      <c r="D300" s="1">
        <v>6.4</v>
      </c>
      <c r="E300" s="6">
        <v>40848</v>
      </c>
      <c r="F300" s="5">
        <v>5.364E-2</v>
      </c>
      <c r="G300" s="1">
        <v>6.1159999999999997</v>
      </c>
      <c r="H300" s="1" t="s">
        <v>7</v>
      </c>
      <c r="I300" s="1" t="s">
        <v>8</v>
      </c>
      <c r="J300" s="2">
        <f t="shared" si="4"/>
        <v>5.2273972602739729</v>
      </c>
    </row>
    <row r="301" spans="1:10" x14ac:dyDescent="0.25">
      <c r="A301" s="1" t="s">
        <v>12</v>
      </c>
      <c r="B301" s="1" t="s">
        <v>223</v>
      </c>
      <c r="C301" s="1">
        <v>104.95</v>
      </c>
      <c r="D301" s="1">
        <v>6.45</v>
      </c>
      <c r="E301" s="6">
        <v>40862</v>
      </c>
      <c r="F301" s="5">
        <v>5.3529999999999994E-2</v>
      </c>
      <c r="G301" s="1">
        <v>6.1459999999999999</v>
      </c>
      <c r="H301" s="1" t="s">
        <v>7</v>
      </c>
      <c r="I301" s="1" t="s">
        <v>8</v>
      </c>
      <c r="J301" s="2">
        <f t="shared" si="4"/>
        <v>5.2657534246575342</v>
      </c>
    </row>
    <row r="302" spans="1:10" x14ac:dyDescent="0.25">
      <c r="A302" s="1" t="s">
        <v>12</v>
      </c>
      <c r="B302" s="1" t="s">
        <v>224</v>
      </c>
      <c r="C302" s="1">
        <v>99.86</v>
      </c>
      <c r="D302" s="1">
        <v>5.875</v>
      </c>
      <c r="E302" s="6">
        <v>40923</v>
      </c>
      <c r="F302" s="5">
        <v>5.9050000000000005E-2</v>
      </c>
      <c r="G302" s="1">
        <v>5.8840000000000003</v>
      </c>
      <c r="H302" s="1" t="s">
        <v>7</v>
      </c>
      <c r="I302" s="1" t="s">
        <v>8</v>
      </c>
      <c r="J302" s="2">
        <f t="shared" si="4"/>
        <v>5.4328767123287669</v>
      </c>
    </row>
    <row r="303" spans="1:10" x14ac:dyDescent="0.25">
      <c r="A303" s="1" t="s">
        <v>12</v>
      </c>
      <c r="B303" s="1" t="s">
        <v>225</v>
      </c>
      <c r="C303" s="1">
        <v>104.87</v>
      </c>
      <c r="D303" s="1">
        <v>6.375</v>
      </c>
      <c r="E303" s="6">
        <v>40923</v>
      </c>
      <c r="F303" s="5">
        <v>5.3249999999999999E-2</v>
      </c>
      <c r="G303" s="1">
        <v>6.0789999999999997</v>
      </c>
      <c r="H303" s="1" t="s">
        <v>7</v>
      </c>
      <c r="I303" s="1" t="s">
        <v>8</v>
      </c>
      <c r="J303" s="2">
        <f t="shared" si="4"/>
        <v>5.4328767123287669</v>
      </c>
    </row>
    <row r="304" spans="1:10" x14ac:dyDescent="0.25">
      <c r="A304" s="1" t="s">
        <v>12</v>
      </c>
      <c r="B304" s="1" t="s">
        <v>29</v>
      </c>
      <c r="C304" s="1">
        <v>106.38</v>
      </c>
      <c r="D304" s="1">
        <v>6.75</v>
      </c>
      <c r="E304" s="6">
        <v>40954</v>
      </c>
      <c r="F304" s="5">
        <v>5.3929999999999999E-2</v>
      </c>
      <c r="G304" s="1">
        <v>6.3449999999999998</v>
      </c>
      <c r="H304" s="1" t="s">
        <v>7</v>
      </c>
      <c r="I304" s="1" t="s">
        <v>8</v>
      </c>
      <c r="J304" s="2">
        <f t="shared" si="4"/>
        <v>5.5178082191780824</v>
      </c>
    </row>
    <row r="305" spans="1:10" x14ac:dyDescent="0.25">
      <c r="A305" s="1" t="s">
        <v>12</v>
      </c>
      <c r="B305" s="1" t="s">
        <v>226</v>
      </c>
      <c r="C305" s="1">
        <v>108.03</v>
      </c>
      <c r="D305" s="1">
        <v>7.625</v>
      </c>
      <c r="E305" s="6">
        <v>40954</v>
      </c>
      <c r="F305" s="5">
        <v>5.892E-2</v>
      </c>
      <c r="G305" s="1">
        <v>7.0579999999999998</v>
      </c>
      <c r="H305" s="1" t="s">
        <v>7</v>
      </c>
      <c r="I305" s="1" t="s">
        <v>8</v>
      </c>
      <c r="J305" s="2">
        <f t="shared" si="4"/>
        <v>5.5178082191780824</v>
      </c>
    </row>
    <row r="306" spans="1:10" x14ac:dyDescent="0.25">
      <c r="A306" s="1" t="s">
        <v>12</v>
      </c>
      <c r="B306" s="1" t="s">
        <v>227</v>
      </c>
      <c r="C306" s="1">
        <v>106.4</v>
      </c>
      <c r="D306" s="1">
        <v>6.95</v>
      </c>
      <c r="E306" s="6">
        <v>40983</v>
      </c>
      <c r="F306" s="5">
        <v>5.5970000000000006E-2</v>
      </c>
      <c r="G306" s="1">
        <v>6.532</v>
      </c>
      <c r="H306" s="1" t="s">
        <v>7</v>
      </c>
      <c r="I306" s="1" t="s">
        <v>8</v>
      </c>
      <c r="J306" s="2">
        <f t="shared" si="4"/>
        <v>5.5972602739726032</v>
      </c>
    </row>
    <row r="307" spans="1:10" x14ac:dyDescent="0.25">
      <c r="A307" s="1" t="s">
        <v>12</v>
      </c>
      <c r="B307" s="1" t="s">
        <v>65</v>
      </c>
      <c r="C307" s="1">
        <v>94.29</v>
      </c>
      <c r="D307" s="1">
        <v>5</v>
      </c>
      <c r="E307" s="6">
        <v>40983</v>
      </c>
      <c r="F307" s="5">
        <v>6.2270000000000006E-2</v>
      </c>
      <c r="G307" s="1">
        <v>5.3029999999999999</v>
      </c>
      <c r="H307" s="1" t="s">
        <v>7</v>
      </c>
      <c r="I307" s="1" t="s">
        <v>8</v>
      </c>
      <c r="J307" s="2">
        <f t="shared" si="4"/>
        <v>5.5972602739726032</v>
      </c>
    </row>
    <row r="308" spans="1:10" x14ac:dyDescent="0.25">
      <c r="A308" s="1" t="s">
        <v>12</v>
      </c>
      <c r="B308" s="1" t="s">
        <v>213</v>
      </c>
      <c r="C308" s="1">
        <v>102.43</v>
      </c>
      <c r="D308" s="1">
        <v>6</v>
      </c>
      <c r="E308" s="6">
        <v>40983</v>
      </c>
      <c r="F308" s="5">
        <v>5.4880000000000005E-2</v>
      </c>
      <c r="G308" s="1">
        <v>5.8579999999999997</v>
      </c>
      <c r="H308" s="1" t="s">
        <v>7</v>
      </c>
      <c r="I308" s="1" t="s">
        <v>8</v>
      </c>
      <c r="J308" s="2">
        <f t="shared" si="4"/>
        <v>5.5972602739726032</v>
      </c>
    </row>
    <row r="309" spans="1:10" x14ac:dyDescent="0.25">
      <c r="A309" s="1" t="s">
        <v>12</v>
      </c>
      <c r="B309" s="1" t="s">
        <v>228</v>
      </c>
      <c r="C309" s="1">
        <v>110.29</v>
      </c>
      <c r="D309" s="1">
        <v>7.75</v>
      </c>
      <c r="E309" s="6">
        <v>40983</v>
      </c>
      <c r="F309" s="5">
        <v>5.5759999999999997E-2</v>
      </c>
      <c r="G309" s="1">
        <v>7.0270000000000001</v>
      </c>
      <c r="H309" s="1" t="s">
        <v>7</v>
      </c>
      <c r="I309" s="1" t="s">
        <v>8</v>
      </c>
      <c r="J309" s="2">
        <f t="shared" si="4"/>
        <v>5.5972602739726032</v>
      </c>
    </row>
    <row r="310" spans="1:10" x14ac:dyDescent="0.25">
      <c r="A310" s="1" t="s">
        <v>12</v>
      </c>
      <c r="B310" s="1" t="s">
        <v>179</v>
      </c>
      <c r="C310" s="1">
        <v>106.26</v>
      </c>
      <c r="D310" s="1">
        <v>7.125</v>
      </c>
      <c r="E310" s="6">
        <v>40983</v>
      </c>
      <c r="F310" s="5">
        <v>5.7939999999999998E-2</v>
      </c>
      <c r="G310" s="1">
        <v>6.7050000000000001</v>
      </c>
      <c r="H310" s="1" t="s">
        <v>7</v>
      </c>
      <c r="I310" s="1" t="s">
        <v>8</v>
      </c>
      <c r="J310" s="2">
        <f t="shared" si="4"/>
        <v>5.5972602739726032</v>
      </c>
    </row>
    <row r="311" spans="1:10" x14ac:dyDescent="0.25">
      <c r="A311" s="1" t="s">
        <v>12</v>
      </c>
      <c r="B311" s="1" t="s">
        <v>73</v>
      </c>
      <c r="C311" s="1">
        <v>102.65</v>
      </c>
      <c r="D311" s="1">
        <v>6.25</v>
      </c>
      <c r="E311" s="6">
        <v>40983</v>
      </c>
      <c r="F311" s="5">
        <v>5.6870000000000004E-2</v>
      </c>
      <c r="G311" s="1">
        <v>6.0880000000000001</v>
      </c>
      <c r="H311" s="1" t="s">
        <v>7</v>
      </c>
      <c r="I311" s="1" t="s">
        <v>8</v>
      </c>
      <c r="J311" s="2">
        <f t="shared" si="4"/>
        <v>5.5972602739726032</v>
      </c>
    </row>
    <row r="312" spans="1:10" x14ac:dyDescent="0.25">
      <c r="A312" s="1" t="s">
        <v>12</v>
      </c>
      <c r="B312" s="1" t="s">
        <v>109</v>
      </c>
      <c r="C312" s="1">
        <v>113.02</v>
      </c>
      <c r="D312" s="1">
        <v>8.375</v>
      </c>
      <c r="E312" s="6">
        <v>40983</v>
      </c>
      <c r="F312" s="5">
        <v>5.6219999999999999E-2</v>
      </c>
      <c r="G312" s="1">
        <v>7.41</v>
      </c>
      <c r="H312" s="1" t="s">
        <v>7</v>
      </c>
      <c r="I312" s="1" t="s">
        <v>8</v>
      </c>
      <c r="J312" s="2">
        <f t="shared" si="4"/>
        <v>5.5972602739726032</v>
      </c>
    </row>
    <row r="313" spans="1:10" x14ac:dyDescent="0.25">
      <c r="A313" s="1" t="s">
        <v>12</v>
      </c>
      <c r="B313" s="1" t="s">
        <v>15</v>
      </c>
      <c r="C313" s="1">
        <v>105.51</v>
      </c>
      <c r="D313" s="1">
        <v>6.75</v>
      </c>
      <c r="E313" s="6">
        <v>40983</v>
      </c>
      <c r="F313" s="5">
        <v>5.5849999999999997E-2</v>
      </c>
      <c r="G313" s="1">
        <v>6.3970000000000002</v>
      </c>
      <c r="H313" s="1" t="s">
        <v>7</v>
      </c>
      <c r="I313" s="1" t="s">
        <v>8</v>
      </c>
      <c r="J313" s="2">
        <f t="shared" si="4"/>
        <v>5.5972602739726032</v>
      </c>
    </row>
    <row r="314" spans="1:10" x14ac:dyDescent="0.25">
      <c r="A314" s="1" t="s">
        <v>12</v>
      </c>
      <c r="B314" s="1" t="s">
        <v>229</v>
      </c>
      <c r="C314" s="1">
        <v>105.65</v>
      </c>
      <c r="D314" s="1">
        <v>6.85</v>
      </c>
      <c r="E314" s="6">
        <v>41000</v>
      </c>
      <c r="F314" s="5">
        <v>5.6600000000000004E-2</v>
      </c>
      <c r="G314" s="1">
        <v>6.4829999999999997</v>
      </c>
      <c r="H314" s="1" t="s">
        <v>7</v>
      </c>
      <c r="I314" s="1" t="s">
        <v>8</v>
      </c>
      <c r="J314" s="2">
        <f t="shared" si="4"/>
        <v>5.6438356164383565</v>
      </c>
    </row>
    <row r="315" spans="1:10" x14ac:dyDescent="0.25">
      <c r="A315" s="1" t="s">
        <v>12</v>
      </c>
      <c r="B315" s="1" t="s">
        <v>84</v>
      </c>
      <c r="C315" s="1">
        <v>100.34</v>
      </c>
      <c r="D315" s="1">
        <v>5.5</v>
      </c>
      <c r="E315" s="6">
        <v>41000</v>
      </c>
      <c r="F315" s="5">
        <v>5.4260000000000003E-2</v>
      </c>
      <c r="G315" s="1">
        <v>5.4809999999999999</v>
      </c>
      <c r="H315" s="1" t="s">
        <v>7</v>
      </c>
      <c r="I315" s="1" t="s">
        <v>8</v>
      </c>
      <c r="J315" s="2">
        <f t="shared" si="4"/>
        <v>5.6438356164383565</v>
      </c>
    </row>
    <row r="316" spans="1:10" x14ac:dyDescent="0.25">
      <c r="A316" s="1" t="s">
        <v>12</v>
      </c>
      <c r="B316" s="1" t="s">
        <v>77</v>
      </c>
      <c r="C316" s="1">
        <v>105.65</v>
      </c>
      <c r="D316" s="1">
        <v>6.75</v>
      </c>
      <c r="E316" s="6">
        <v>41014</v>
      </c>
      <c r="F316" s="5">
        <v>5.57E-2</v>
      </c>
      <c r="G316" s="1">
        <v>6.3890000000000002</v>
      </c>
      <c r="H316" s="1" t="s">
        <v>7</v>
      </c>
      <c r="I316" s="1" t="s">
        <v>8</v>
      </c>
      <c r="J316" s="2">
        <f t="shared" si="4"/>
        <v>5.6821917808219178</v>
      </c>
    </row>
    <row r="317" spans="1:10" x14ac:dyDescent="0.25">
      <c r="A317" s="1" t="s">
        <v>12</v>
      </c>
      <c r="B317" s="1" t="s">
        <v>49</v>
      </c>
      <c r="C317" s="1">
        <v>106.35</v>
      </c>
      <c r="D317" s="1">
        <v>6.5</v>
      </c>
      <c r="E317" s="6">
        <v>41014</v>
      </c>
      <c r="F317" s="5">
        <v>5.1889999999999999E-2</v>
      </c>
      <c r="G317" s="1">
        <v>6.1120000000000001</v>
      </c>
      <c r="H317" s="1" t="s">
        <v>7</v>
      </c>
      <c r="I317" s="1" t="s">
        <v>8</v>
      </c>
      <c r="J317" s="2">
        <f t="shared" si="4"/>
        <v>5.6821917808219178</v>
      </c>
    </row>
    <row r="318" spans="1:10" x14ac:dyDescent="0.25">
      <c r="A318" s="1" t="s">
        <v>12</v>
      </c>
      <c r="B318" s="1" t="s">
        <v>230</v>
      </c>
      <c r="C318" s="1">
        <v>107.17</v>
      </c>
      <c r="D318" s="1">
        <v>6.875</v>
      </c>
      <c r="E318" s="6">
        <v>41014</v>
      </c>
      <c r="F318" s="5">
        <v>5.3859999999999998E-2</v>
      </c>
      <c r="G318" s="1">
        <v>6.415</v>
      </c>
      <c r="H318" s="1" t="s">
        <v>7</v>
      </c>
      <c r="I318" s="1" t="s">
        <v>8</v>
      </c>
      <c r="J318" s="2">
        <f t="shared" si="4"/>
        <v>5.6821917808219178</v>
      </c>
    </row>
    <row r="319" spans="1:10" x14ac:dyDescent="0.25">
      <c r="A319" s="1" t="s">
        <v>12</v>
      </c>
      <c r="B319" s="1" t="s">
        <v>20</v>
      </c>
      <c r="C319" s="1">
        <v>105.71</v>
      </c>
      <c r="D319" s="1">
        <v>6.875</v>
      </c>
      <c r="E319" s="6">
        <v>41030</v>
      </c>
      <c r="F319" s="5">
        <v>5.6870000000000004E-2</v>
      </c>
      <c r="G319" s="1">
        <v>6.5039999999999996</v>
      </c>
      <c r="H319" s="1" t="s">
        <v>7</v>
      </c>
      <c r="I319" s="1" t="s">
        <v>8</v>
      </c>
      <c r="J319" s="2">
        <f t="shared" si="4"/>
        <v>5.7260273972602738</v>
      </c>
    </row>
    <row r="320" spans="1:10" x14ac:dyDescent="0.25">
      <c r="A320" s="1" t="s">
        <v>12</v>
      </c>
      <c r="B320" s="1" t="s">
        <v>24</v>
      </c>
      <c r="C320" s="1">
        <v>109</v>
      </c>
      <c r="D320" s="1">
        <v>7.875</v>
      </c>
      <c r="E320" s="6">
        <v>41030</v>
      </c>
      <c r="F320" s="5">
        <v>5.987E-2</v>
      </c>
      <c r="G320" s="1">
        <v>7.2249999999999996</v>
      </c>
      <c r="H320" s="1" t="s">
        <v>7</v>
      </c>
      <c r="I320" s="1" t="s">
        <v>8</v>
      </c>
      <c r="J320" s="2">
        <f t="shared" si="4"/>
        <v>5.7260273972602738</v>
      </c>
    </row>
    <row r="321" spans="1:10" x14ac:dyDescent="0.25">
      <c r="A321" s="1" t="s">
        <v>12</v>
      </c>
      <c r="B321" s="1" t="s">
        <v>231</v>
      </c>
      <c r="C321" s="1">
        <v>88.5</v>
      </c>
      <c r="D321" s="1">
        <v>5</v>
      </c>
      <c r="E321" s="6">
        <v>41061</v>
      </c>
      <c r="F321" s="5">
        <v>7.4819999999999998E-2</v>
      </c>
      <c r="G321" s="1">
        <v>5.65</v>
      </c>
      <c r="H321" s="1" t="s">
        <v>7</v>
      </c>
      <c r="I321" s="1" t="s">
        <v>8</v>
      </c>
      <c r="J321" s="2">
        <f t="shared" si="4"/>
        <v>5.8109589041095893</v>
      </c>
    </row>
    <row r="322" spans="1:10" x14ac:dyDescent="0.25">
      <c r="A322" s="1" t="s">
        <v>12</v>
      </c>
      <c r="B322" s="1" t="s">
        <v>125</v>
      </c>
      <c r="C322" s="1">
        <v>107.03</v>
      </c>
      <c r="D322" s="1">
        <v>6.95</v>
      </c>
      <c r="E322" s="6">
        <v>41061</v>
      </c>
      <c r="F322" s="5">
        <v>5.5119999999999995E-2</v>
      </c>
      <c r="G322" s="1">
        <v>6.4930000000000003</v>
      </c>
      <c r="H322" s="1" t="s">
        <v>7</v>
      </c>
      <c r="I322" s="1" t="s">
        <v>8</v>
      </c>
      <c r="J322" s="2">
        <f t="shared" si="4"/>
        <v>5.8109589041095893</v>
      </c>
    </row>
    <row r="323" spans="1:10" x14ac:dyDescent="0.25">
      <c r="A323" s="1" t="s">
        <v>12</v>
      </c>
      <c r="B323" s="1" t="s">
        <v>232</v>
      </c>
      <c r="C323" s="1">
        <v>107.32</v>
      </c>
      <c r="D323" s="1">
        <v>7.2</v>
      </c>
      <c r="E323" s="6">
        <v>41075</v>
      </c>
      <c r="F323" s="5">
        <v>5.704E-2</v>
      </c>
      <c r="G323" s="1">
        <v>6.7089999999999996</v>
      </c>
      <c r="H323" s="1" t="s">
        <v>7</v>
      </c>
      <c r="I323" s="1" t="s">
        <v>8</v>
      </c>
      <c r="J323" s="2">
        <f t="shared" si="4"/>
        <v>5.8493150684931505</v>
      </c>
    </row>
    <row r="324" spans="1:10" x14ac:dyDescent="0.25">
      <c r="A324" s="1" t="s">
        <v>12</v>
      </c>
      <c r="B324" s="1" t="s">
        <v>233</v>
      </c>
      <c r="C324" s="1">
        <v>104.07</v>
      </c>
      <c r="D324" s="1">
        <v>6.45</v>
      </c>
      <c r="E324" s="6">
        <v>41085</v>
      </c>
      <c r="F324" s="5">
        <v>5.6219999999999999E-2</v>
      </c>
      <c r="G324" s="1">
        <v>6.1980000000000004</v>
      </c>
      <c r="H324" s="1" t="s">
        <v>7</v>
      </c>
      <c r="I324" s="1" t="s">
        <v>8</v>
      </c>
      <c r="J324" s="2">
        <f t="shared" ref="J324:J387" si="5">(E324-DATE(2006,8,11))/365</f>
        <v>5.8767123287671232</v>
      </c>
    </row>
    <row r="325" spans="1:10" x14ac:dyDescent="0.25">
      <c r="A325" s="1" t="s">
        <v>12</v>
      </c>
      <c r="B325" s="1" t="s">
        <v>70</v>
      </c>
      <c r="C325" s="1">
        <v>103.86</v>
      </c>
      <c r="D325" s="1">
        <v>6.25</v>
      </c>
      <c r="E325" s="6">
        <v>41090</v>
      </c>
      <c r="F325" s="5">
        <v>5.4699999999999999E-2</v>
      </c>
      <c r="G325" s="1">
        <v>6.0179999999999998</v>
      </c>
      <c r="H325" s="1" t="s">
        <v>7</v>
      </c>
      <c r="I325" s="1" t="s">
        <v>8</v>
      </c>
      <c r="J325" s="2">
        <f t="shared" si="5"/>
        <v>5.8904109589041092</v>
      </c>
    </row>
    <row r="326" spans="1:10" x14ac:dyDescent="0.25">
      <c r="A326" s="1" t="s">
        <v>12</v>
      </c>
      <c r="B326" s="1" t="s">
        <v>234</v>
      </c>
      <c r="C326" s="1">
        <v>108.11</v>
      </c>
      <c r="D326" s="1">
        <v>7.25</v>
      </c>
      <c r="E326" s="6">
        <v>41091</v>
      </c>
      <c r="F326" s="5">
        <v>5.6070000000000002E-2</v>
      </c>
      <c r="G326" s="1">
        <v>6.7060000000000004</v>
      </c>
      <c r="H326" s="1" t="s">
        <v>7</v>
      </c>
      <c r="I326" s="1" t="s">
        <v>8</v>
      </c>
      <c r="J326" s="2">
        <f t="shared" si="5"/>
        <v>5.8931506849315065</v>
      </c>
    </row>
    <row r="327" spans="1:10" x14ac:dyDescent="0.25">
      <c r="A327" s="1" t="s">
        <v>12</v>
      </c>
      <c r="B327" s="1" t="s">
        <v>107</v>
      </c>
      <c r="C327" s="1">
        <v>111.78</v>
      </c>
      <c r="D327" s="1">
        <v>8</v>
      </c>
      <c r="E327" s="6">
        <v>41105</v>
      </c>
      <c r="F327" s="5">
        <v>5.6280000000000004E-2</v>
      </c>
      <c r="G327" s="1">
        <v>7.157</v>
      </c>
      <c r="H327" s="1" t="s">
        <v>7</v>
      </c>
      <c r="I327" s="1" t="s">
        <v>8</v>
      </c>
      <c r="J327" s="2">
        <f t="shared" si="5"/>
        <v>5.9315068493150687</v>
      </c>
    </row>
    <row r="328" spans="1:10" x14ac:dyDescent="0.25">
      <c r="A328" s="1" t="s">
        <v>12</v>
      </c>
      <c r="B328" s="1" t="s">
        <v>235</v>
      </c>
      <c r="C328" s="1">
        <v>109.71</v>
      </c>
      <c r="D328" s="1">
        <v>8.375</v>
      </c>
      <c r="E328" s="6">
        <v>41136</v>
      </c>
      <c r="F328" s="5">
        <v>6.3990000000000005E-2</v>
      </c>
      <c r="G328" s="1">
        <v>7.6340000000000003</v>
      </c>
      <c r="H328" s="1" t="s">
        <v>7</v>
      </c>
      <c r="I328" s="1" t="s">
        <v>8</v>
      </c>
      <c r="J328" s="2">
        <f t="shared" si="5"/>
        <v>6.0164383561643833</v>
      </c>
    </row>
    <row r="329" spans="1:10" x14ac:dyDescent="0.25">
      <c r="A329" s="1" t="s">
        <v>12</v>
      </c>
      <c r="B329" s="1" t="s">
        <v>161</v>
      </c>
      <c r="C329" s="1">
        <v>104.2</v>
      </c>
      <c r="D329" s="1">
        <v>6.45</v>
      </c>
      <c r="E329" s="6">
        <v>41136</v>
      </c>
      <c r="F329" s="5">
        <v>5.6159999999999995E-2</v>
      </c>
      <c r="G329" s="1">
        <v>6.19</v>
      </c>
      <c r="H329" s="1" t="s">
        <v>7</v>
      </c>
      <c r="I329" s="1" t="s">
        <v>8</v>
      </c>
      <c r="J329" s="2">
        <f t="shared" si="5"/>
        <v>6.0164383561643833</v>
      </c>
    </row>
    <row r="330" spans="1:10" x14ac:dyDescent="0.25">
      <c r="A330" s="1" t="s">
        <v>12</v>
      </c>
      <c r="B330" s="1" t="s">
        <v>25</v>
      </c>
      <c r="C330" s="1">
        <v>100.47</v>
      </c>
      <c r="D330" s="1">
        <v>5.625</v>
      </c>
      <c r="E330" s="6">
        <v>41136</v>
      </c>
      <c r="F330" s="5">
        <v>5.5330000000000004E-2</v>
      </c>
      <c r="G330" s="1">
        <v>5.5990000000000002</v>
      </c>
      <c r="H330" s="1" t="s">
        <v>7</v>
      </c>
      <c r="I330" s="1" t="s">
        <v>8</v>
      </c>
      <c r="J330" s="2">
        <f t="shared" si="5"/>
        <v>6.0164383561643833</v>
      </c>
    </row>
    <row r="331" spans="1:10" x14ac:dyDescent="0.25">
      <c r="A331" s="1" t="s">
        <v>12</v>
      </c>
      <c r="B331" s="1" t="s">
        <v>236</v>
      </c>
      <c r="C331" s="1">
        <v>98.52</v>
      </c>
      <c r="D331" s="1">
        <v>6.5</v>
      </c>
      <c r="E331" s="6">
        <v>41153</v>
      </c>
      <c r="F331" s="5">
        <v>6.8029999999999993E-2</v>
      </c>
      <c r="G331" s="1">
        <v>6.5979999999999999</v>
      </c>
      <c r="H331" s="1" t="s">
        <v>7</v>
      </c>
      <c r="I331" s="1" t="s">
        <v>8</v>
      </c>
      <c r="J331" s="2">
        <f t="shared" si="5"/>
        <v>6.0630136986301366</v>
      </c>
    </row>
    <row r="332" spans="1:10" x14ac:dyDescent="0.25">
      <c r="A332" s="1" t="s">
        <v>12</v>
      </c>
      <c r="B332" s="1" t="s">
        <v>150</v>
      </c>
      <c r="C332" s="1">
        <v>107</v>
      </c>
      <c r="D332" s="1">
        <v>7.25</v>
      </c>
      <c r="E332" s="6">
        <v>41153</v>
      </c>
      <c r="F332" s="5">
        <v>5.8560000000000001E-2</v>
      </c>
      <c r="G332" s="1">
        <v>6.7759999999999998</v>
      </c>
      <c r="H332" s="1" t="s">
        <v>7</v>
      </c>
      <c r="I332" s="1" t="s">
        <v>8</v>
      </c>
      <c r="J332" s="2">
        <f t="shared" si="5"/>
        <v>6.0630136986301366</v>
      </c>
    </row>
    <row r="333" spans="1:10" x14ac:dyDescent="0.25">
      <c r="A333" s="1" t="s">
        <v>12</v>
      </c>
      <c r="B333" s="1" t="s">
        <v>195</v>
      </c>
      <c r="C333" s="1">
        <v>97.28</v>
      </c>
      <c r="D333" s="1">
        <v>4.875</v>
      </c>
      <c r="E333" s="6">
        <v>41167</v>
      </c>
      <c r="F333" s="5">
        <v>5.4059999999999997E-2</v>
      </c>
      <c r="G333" s="1">
        <v>5.0119999999999996</v>
      </c>
      <c r="H333" s="1" t="s">
        <v>7</v>
      </c>
      <c r="I333" s="1" t="s">
        <v>8</v>
      </c>
      <c r="J333" s="2">
        <f t="shared" si="5"/>
        <v>6.1013698630136988</v>
      </c>
    </row>
    <row r="334" spans="1:10" x14ac:dyDescent="0.25">
      <c r="A334" s="1" t="s">
        <v>12</v>
      </c>
      <c r="B334" s="1" t="s">
        <v>237</v>
      </c>
      <c r="C334" s="1">
        <v>99.08</v>
      </c>
      <c r="D334" s="1">
        <v>5.625</v>
      </c>
      <c r="E334" s="6">
        <v>41167</v>
      </c>
      <c r="F334" s="5">
        <v>5.806E-2</v>
      </c>
      <c r="G334" s="1">
        <v>5.6769999999999996</v>
      </c>
      <c r="H334" s="1" t="s">
        <v>7</v>
      </c>
      <c r="I334" s="1" t="s">
        <v>8</v>
      </c>
      <c r="J334" s="2">
        <f t="shared" si="5"/>
        <v>6.1013698630136988</v>
      </c>
    </row>
    <row r="335" spans="1:10" x14ac:dyDescent="0.25">
      <c r="A335" s="1" t="s">
        <v>12</v>
      </c>
      <c r="B335" s="1" t="s">
        <v>238</v>
      </c>
      <c r="C335" s="1">
        <v>101.45</v>
      </c>
      <c r="D335" s="1">
        <v>5.7</v>
      </c>
      <c r="E335" s="6">
        <v>41167</v>
      </c>
      <c r="F335" s="5">
        <v>5.4160000000000007E-2</v>
      </c>
      <c r="G335" s="1">
        <v>5.6189999999999998</v>
      </c>
      <c r="H335" s="1" t="s">
        <v>7</v>
      </c>
      <c r="I335" s="1" t="s">
        <v>8</v>
      </c>
      <c r="J335" s="2">
        <f t="shared" si="5"/>
        <v>6.1013698630136988</v>
      </c>
    </row>
    <row r="336" spans="1:10" x14ac:dyDescent="0.25">
      <c r="A336" s="1" t="s">
        <v>12</v>
      </c>
      <c r="B336" s="1" t="s">
        <v>87</v>
      </c>
      <c r="C336" s="1">
        <v>103.01</v>
      </c>
      <c r="D336" s="1">
        <v>5.875</v>
      </c>
      <c r="E336" s="6">
        <v>41183</v>
      </c>
      <c r="F336" s="5">
        <v>5.2939999999999994E-2</v>
      </c>
      <c r="G336" s="1">
        <v>5.7030000000000003</v>
      </c>
      <c r="H336" s="1" t="s">
        <v>7</v>
      </c>
      <c r="I336" s="1" t="s">
        <v>8</v>
      </c>
      <c r="J336" s="2">
        <f t="shared" si="5"/>
        <v>6.1452054794520548</v>
      </c>
    </row>
    <row r="337" spans="1:10" x14ac:dyDescent="0.25">
      <c r="A337" s="1" t="s">
        <v>12</v>
      </c>
      <c r="B337" s="1" t="s">
        <v>239</v>
      </c>
      <c r="C337" s="1">
        <v>107.21</v>
      </c>
      <c r="D337" s="1">
        <v>6.875</v>
      </c>
      <c r="E337" s="6">
        <v>41183</v>
      </c>
      <c r="F337" s="5">
        <v>5.4720000000000005E-2</v>
      </c>
      <c r="G337" s="1">
        <v>6.4130000000000003</v>
      </c>
      <c r="H337" s="1" t="s">
        <v>7</v>
      </c>
      <c r="I337" s="1" t="s">
        <v>8</v>
      </c>
      <c r="J337" s="2">
        <f t="shared" si="5"/>
        <v>6.1452054794520548</v>
      </c>
    </row>
    <row r="338" spans="1:10" x14ac:dyDescent="0.25">
      <c r="A338" s="1" t="s">
        <v>12</v>
      </c>
      <c r="B338" s="1" t="s">
        <v>240</v>
      </c>
      <c r="C338" s="1">
        <v>101.39</v>
      </c>
      <c r="D338" s="1">
        <v>5.75</v>
      </c>
      <c r="E338" s="6">
        <v>41197</v>
      </c>
      <c r="F338" s="5">
        <v>5.4800000000000001E-2</v>
      </c>
      <c r="G338" s="1">
        <v>5.6710000000000003</v>
      </c>
      <c r="H338" s="1" t="s">
        <v>7</v>
      </c>
      <c r="I338" s="1" t="s">
        <v>8</v>
      </c>
      <c r="J338" s="2">
        <f t="shared" si="5"/>
        <v>6.183561643835616</v>
      </c>
    </row>
    <row r="339" spans="1:10" x14ac:dyDescent="0.25">
      <c r="A339" s="1" t="s">
        <v>12</v>
      </c>
      <c r="B339" s="1" t="s">
        <v>241</v>
      </c>
      <c r="C339" s="1">
        <v>99.52</v>
      </c>
      <c r="D339" s="1">
        <v>5.375</v>
      </c>
      <c r="E339" s="6">
        <v>41197</v>
      </c>
      <c r="F339" s="5">
        <v>5.466E-2</v>
      </c>
      <c r="G339" s="1">
        <v>5.4009999999999998</v>
      </c>
      <c r="H339" s="1" t="s">
        <v>7</v>
      </c>
      <c r="I339" s="1" t="s">
        <v>8</v>
      </c>
      <c r="J339" s="2">
        <f t="shared" si="5"/>
        <v>6.183561643835616</v>
      </c>
    </row>
    <row r="340" spans="1:10" x14ac:dyDescent="0.25">
      <c r="A340" s="1" t="s">
        <v>12</v>
      </c>
      <c r="B340" s="1" t="s">
        <v>242</v>
      </c>
      <c r="C340" s="1">
        <v>111.18</v>
      </c>
      <c r="D340" s="1">
        <v>7.75</v>
      </c>
      <c r="E340" s="6">
        <v>41197</v>
      </c>
      <c r="F340" s="5">
        <v>5.5780000000000003E-2</v>
      </c>
      <c r="G340" s="1">
        <v>6.97</v>
      </c>
      <c r="H340" s="1" t="s">
        <v>7</v>
      </c>
      <c r="I340" s="1" t="s">
        <v>8</v>
      </c>
      <c r="J340" s="2">
        <f t="shared" si="5"/>
        <v>6.183561643835616</v>
      </c>
    </row>
    <row r="341" spans="1:10" x14ac:dyDescent="0.25">
      <c r="A341" s="1" t="s">
        <v>12</v>
      </c>
      <c r="B341" s="1" t="s">
        <v>157</v>
      </c>
      <c r="C341" s="1">
        <v>102.39</v>
      </c>
      <c r="D341" s="1">
        <v>5.85</v>
      </c>
      <c r="E341" s="6">
        <v>41212</v>
      </c>
      <c r="F341" s="5">
        <v>5.389E-2</v>
      </c>
      <c r="G341" s="1">
        <v>5.7130000000000001</v>
      </c>
      <c r="H341" s="1" t="s">
        <v>7</v>
      </c>
      <c r="I341" s="1" t="s">
        <v>8</v>
      </c>
      <c r="J341" s="2">
        <f t="shared" si="5"/>
        <v>6.2246575342465755</v>
      </c>
    </row>
    <row r="342" spans="1:10" x14ac:dyDescent="0.25">
      <c r="A342" s="1" t="s">
        <v>12</v>
      </c>
      <c r="B342" s="1" t="s">
        <v>243</v>
      </c>
      <c r="C342" s="1">
        <v>106</v>
      </c>
      <c r="D342" s="1">
        <v>7.375</v>
      </c>
      <c r="E342" s="6">
        <v>41289</v>
      </c>
      <c r="F342" s="5">
        <v>6.2240000000000004E-2</v>
      </c>
      <c r="G342" s="1">
        <v>6.9580000000000002</v>
      </c>
      <c r="H342" s="1" t="s">
        <v>7</v>
      </c>
      <c r="I342" s="1" t="s">
        <v>8</v>
      </c>
      <c r="J342" s="2">
        <f t="shared" si="5"/>
        <v>6.4356164383561643</v>
      </c>
    </row>
    <row r="343" spans="1:10" x14ac:dyDescent="0.25">
      <c r="A343" s="1" t="s">
        <v>12</v>
      </c>
      <c r="B343" s="1" t="s">
        <v>65</v>
      </c>
      <c r="C343" s="1">
        <v>96.38</v>
      </c>
      <c r="D343" s="1">
        <v>5.75</v>
      </c>
      <c r="E343" s="6">
        <v>41289</v>
      </c>
      <c r="F343" s="5">
        <v>6.447E-2</v>
      </c>
      <c r="G343" s="1">
        <v>5.9660000000000002</v>
      </c>
      <c r="H343" s="1" t="s">
        <v>7</v>
      </c>
      <c r="I343" s="1" t="s">
        <v>8</v>
      </c>
      <c r="J343" s="2">
        <f t="shared" si="5"/>
        <v>6.4356164383561643</v>
      </c>
    </row>
    <row r="344" spans="1:10" x14ac:dyDescent="0.25">
      <c r="A344" s="1" t="s">
        <v>12</v>
      </c>
      <c r="B344" s="1" t="s">
        <v>39</v>
      </c>
      <c r="C344" s="1">
        <v>115.84</v>
      </c>
      <c r="D344" s="1">
        <v>9.125</v>
      </c>
      <c r="E344" s="6">
        <v>41289</v>
      </c>
      <c r="F344" s="5">
        <v>6.1010000000000002E-2</v>
      </c>
      <c r="G344" s="1">
        <v>7.8769999999999998</v>
      </c>
      <c r="H344" s="1" t="s">
        <v>7</v>
      </c>
      <c r="I344" s="1" t="s">
        <v>8</v>
      </c>
      <c r="J344" s="2">
        <f t="shared" si="5"/>
        <v>6.4356164383561643</v>
      </c>
    </row>
    <row r="345" spans="1:10" x14ac:dyDescent="0.25">
      <c r="A345" s="1" t="s">
        <v>12</v>
      </c>
      <c r="B345" s="1" t="s">
        <v>244</v>
      </c>
      <c r="C345" s="1">
        <v>103.3</v>
      </c>
      <c r="D345" s="1">
        <v>7</v>
      </c>
      <c r="E345" s="6">
        <v>41289</v>
      </c>
      <c r="F345" s="5">
        <v>6.3640000000000002E-2</v>
      </c>
      <c r="G345" s="1">
        <v>6.7770000000000001</v>
      </c>
      <c r="H345" s="1" t="s">
        <v>7</v>
      </c>
      <c r="I345" s="1" t="s">
        <v>8</v>
      </c>
      <c r="J345" s="2">
        <f t="shared" si="5"/>
        <v>6.4356164383561643</v>
      </c>
    </row>
    <row r="346" spans="1:10" x14ac:dyDescent="0.25">
      <c r="A346" s="1" t="s">
        <v>12</v>
      </c>
      <c r="B346" s="1" t="s">
        <v>134</v>
      </c>
      <c r="C346" s="1">
        <v>102.64</v>
      </c>
      <c r="D346" s="1">
        <v>6</v>
      </c>
      <c r="E346" s="6">
        <v>41306</v>
      </c>
      <c r="F346" s="5">
        <v>5.5069999999999994E-2</v>
      </c>
      <c r="G346" s="1">
        <v>5.8460000000000001</v>
      </c>
      <c r="H346" s="1" t="s">
        <v>7</v>
      </c>
      <c r="I346" s="1" t="s">
        <v>8</v>
      </c>
      <c r="J346" s="2">
        <f t="shared" si="5"/>
        <v>6.4821917808219176</v>
      </c>
    </row>
    <row r="347" spans="1:10" x14ac:dyDescent="0.25">
      <c r="A347" s="1" t="s">
        <v>12</v>
      </c>
      <c r="B347" s="1" t="s">
        <v>245</v>
      </c>
      <c r="C347" s="1">
        <v>99.82</v>
      </c>
      <c r="D347" s="1">
        <v>5.5</v>
      </c>
      <c r="E347" s="6">
        <v>41320</v>
      </c>
      <c r="F347" s="5">
        <v>5.5330000000000004E-2</v>
      </c>
      <c r="G347" s="1">
        <v>5.51</v>
      </c>
      <c r="H347" s="1" t="s">
        <v>7</v>
      </c>
      <c r="I347" s="1" t="s">
        <v>8</v>
      </c>
      <c r="J347" s="2">
        <f t="shared" si="5"/>
        <v>6.5205479452054798</v>
      </c>
    </row>
    <row r="348" spans="1:10" x14ac:dyDescent="0.25">
      <c r="A348" s="1" t="s">
        <v>12</v>
      </c>
      <c r="B348" s="1" t="s">
        <v>86</v>
      </c>
      <c r="C348" s="1">
        <v>101.87</v>
      </c>
      <c r="D348" s="1">
        <v>5.875</v>
      </c>
      <c r="E348" s="6">
        <v>41320</v>
      </c>
      <c r="F348" s="5">
        <v>5.5289999999999999E-2</v>
      </c>
      <c r="G348" s="1">
        <v>5.7670000000000003</v>
      </c>
      <c r="H348" s="1" t="s">
        <v>7</v>
      </c>
      <c r="I348" s="1" t="s">
        <v>8</v>
      </c>
      <c r="J348" s="2">
        <f t="shared" si="5"/>
        <v>6.5205479452054798</v>
      </c>
    </row>
    <row r="349" spans="1:10" x14ac:dyDescent="0.25">
      <c r="A349" s="1" t="s">
        <v>12</v>
      </c>
      <c r="B349" s="1" t="s">
        <v>141</v>
      </c>
      <c r="C349" s="1">
        <v>102.92</v>
      </c>
      <c r="D349" s="1">
        <v>6.25</v>
      </c>
      <c r="E349" s="6">
        <v>41320</v>
      </c>
      <c r="F349" s="5">
        <v>5.7050000000000003E-2</v>
      </c>
      <c r="G349" s="1">
        <v>6.0730000000000004</v>
      </c>
      <c r="H349" s="1" t="s">
        <v>7</v>
      </c>
      <c r="I349" s="1" t="s">
        <v>8</v>
      </c>
      <c r="J349" s="2">
        <f t="shared" si="5"/>
        <v>6.5205479452054798</v>
      </c>
    </row>
    <row r="350" spans="1:10" x14ac:dyDescent="0.25">
      <c r="A350" s="1" t="s">
        <v>12</v>
      </c>
      <c r="B350" s="1" t="s">
        <v>246</v>
      </c>
      <c r="C350" s="1">
        <v>99.86</v>
      </c>
      <c r="D350" s="1">
        <v>5.5</v>
      </c>
      <c r="E350" s="6">
        <v>41334</v>
      </c>
      <c r="F350" s="5">
        <v>5.525E-2</v>
      </c>
      <c r="G350" s="1">
        <v>5.508</v>
      </c>
      <c r="H350" s="1" t="s">
        <v>7</v>
      </c>
      <c r="I350" s="1" t="s">
        <v>8</v>
      </c>
      <c r="J350" s="2">
        <f t="shared" si="5"/>
        <v>6.558904109589041</v>
      </c>
    </row>
    <row r="351" spans="1:10" x14ac:dyDescent="0.25">
      <c r="A351" s="1" t="s">
        <v>12</v>
      </c>
      <c r="B351" s="1" t="s">
        <v>96</v>
      </c>
      <c r="C351" s="1">
        <v>107.18</v>
      </c>
      <c r="D351" s="1">
        <v>7.125</v>
      </c>
      <c r="E351" s="6">
        <v>41334</v>
      </c>
      <c r="F351" s="5">
        <v>5.7889999999999997E-2</v>
      </c>
      <c r="G351" s="1">
        <v>6.6479999999999997</v>
      </c>
      <c r="H351" s="1" t="s">
        <v>7</v>
      </c>
      <c r="I351" s="1" t="s">
        <v>8</v>
      </c>
      <c r="J351" s="2">
        <f t="shared" si="5"/>
        <v>6.558904109589041</v>
      </c>
    </row>
    <row r="352" spans="1:10" x14ac:dyDescent="0.25">
      <c r="A352" s="1" t="s">
        <v>12</v>
      </c>
      <c r="B352" s="1" t="s">
        <v>247</v>
      </c>
      <c r="C352" s="1">
        <v>97</v>
      </c>
      <c r="D352" s="1">
        <v>5.25</v>
      </c>
      <c r="E352" s="6">
        <v>41334</v>
      </c>
      <c r="F352" s="5">
        <v>5.8070000000000004E-2</v>
      </c>
      <c r="G352" s="1">
        <v>5.4119999999999999</v>
      </c>
      <c r="H352" s="1" t="s">
        <v>7</v>
      </c>
      <c r="I352" s="1" t="s">
        <v>8</v>
      </c>
      <c r="J352" s="2">
        <f t="shared" si="5"/>
        <v>6.558904109589041</v>
      </c>
    </row>
    <row r="353" spans="1:10" x14ac:dyDescent="0.25">
      <c r="A353" s="1" t="s">
        <v>12</v>
      </c>
      <c r="B353" s="1" t="s">
        <v>248</v>
      </c>
      <c r="C353" s="1">
        <v>105.19</v>
      </c>
      <c r="D353" s="1">
        <v>7</v>
      </c>
      <c r="E353" s="6">
        <v>41348</v>
      </c>
      <c r="F353" s="5">
        <v>6.0299999999999999E-2</v>
      </c>
      <c r="G353" s="1">
        <v>6.6539999999999999</v>
      </c>
      <c r="H353" s="1" t="s">
        <v>7</v>
      </c>
      <c r="I353" s="1" t="s">
        <v>8</v>
      </c>
      <c r="J353" s="2">
        <f t="shared" si="5"/>
        <v>6.5972602739726032</v>
      </c>
    </row>
    <row r="354" spans="1:10" x14ac:dyDescent="0.25">
      <c r="A354" s="1" t="s">
        <v>12</v>
      </c>
      <c r="B354" s="1" t="s">
        <v>249</v>
      </c>
      <c r="C354" s="1">
        <v>111.45</v>
      </c>
      <c r="D354" s="1">
        <v>7.875</v>
      </c>
      <c r="E354" s="6">
        <v>41365</v>
      </c>
      <c r="F354" s="5">
        <v>5.7679999999999995E-2</v>
      </c>
      <c r="G354" s="1">
        <v>7.0659999999999998</v>
      </c>
      <c r="H354" s="1" t="s">
        <v>7</v>
      </c>
      <c r="I354" s="1" t="s">
        <v>8</v>
      </c>
      <c r="J354" s="2">
        <f t="shared" si="5"/>
        <v>6.6438356164383565</v>
      </c>
    </row>
    <row r="355" spans="1:10" x14ac:dyDescent="0.25">
      <c r="A355" s="1" t="s">
        <v>12</v>
      </c>
      <c r="B355" s="1" t="s">
        <v>194</v>
      </c>
      <c r="C355" s="1">
        <v>102.29</v>
      </c>
      <c r="D355" s="1">
        <v>6.5</v>
      </c>
      <c r="E355" s="6">
        <v>41381</v>
      </c>
      <c r="F355" s="5">
        <v>6.0739999999999995E-2</v>
      </c>
      <c r="G355" s="1">
        <v>6.3540000000000001</v>
      </c>
      <c r="H355" s="1" t="s">
        <v>7</v>
      </c>
      <c r="I355" s="1" t="s">
        <v>8</v>
      </c>
      <c r="J355" s="2">
        <f t="shared" si="5"/>
        <v>6.6876712328767125</v>
      </c>
    </row>
    <row r="356" spans="1:10" x14ac:dyDescent="0.25">
      <c r="A356" s="1" t="s">
        <v>12</v>
      </c>
      <c r="B356" s="1" t="s">
        <v>116</v>
      </c>
      <c r="C356" s="1">
        <v>103</v>
      </c>
      <c r="D356" s="1">
        <v>6.875</v>
      </c>
      <c r="E356" s="6">
        <v>41395</v>
      </c>
      <c r="F356" s="5">
        <v>6.3170000000000004E-2</v>
      </c>
      <c r="G356" s="1">
        <v>6.6749999999999998</v>
      </c>
      <c r="H356" s="1" t="s">
        <v>7</v>
      </c>
      <c r="I356" s="1" t="s">
        <v>8</v>
      </c>
      <c r="J356" s="2">
        <f t="shared" si="5"/>
        <v>6.7260273972602738</v>
      </c>
    </row>
    <row r="357" spans="1:10" x14ac:dyDescent="0.25">
      <c r="A357" s="1" t="s">
        <v>12</v>
      </c>
      <c r="B357" s="1" t="s">
        <v>250</v>
      </c>
      <c r="C357" s="1">
        <v>99.08</v>
      </c>
      <c r="D357" s="1">
        <v>5.875</v>
      </c>
      <c r="E357" s="6">
        <v>41409</v>
      </c>
      <c r="F357" s="5">
        <v>6.0410000000000005E-2</v>
      </c>
      <c r="G357" s="1">
        <v>5.93</v>
      </c>
      <c r="H357" s="1" t="s">
        <v>7</v>
      </c>
      <c r="I357" s="1" t="s">
        <v>8</v>
      </c>
      <c r="J357" s="2">
        <f t="shared" si="5"/>
        <v>6.7643835616438359</v>
      </c>
    </row>
    <row r="358" spans="1:10" x14ac:dyDescent="0.25">
      <c r="A358" s="1" t="s">
        <v>12</v>
      </c>
      <c r="B358" s="1" t="s">
        <v>251</v>
      </c>
      <c r="C358" s="1">
        <v>94.15</v>
      </c>
      <c r="D358" s="1">
        <v>5.5</v>
      </c>
      <c r="E358" s="6">
        <v>41409</v>
      </c>
      <c r="F358" s="5">
        <v>6.5850000000000006E-2</v>
      </c>
      <c r="G358" s="1">
        <v>5.8410000000000002</v>
      </c>
      <c r="H358" s="1" t="s">
        <v>7</v>
      </c>
      <c r="I358" s="1" t="s">
        <v>8</v>
      </c>
      <c r="J358" s="2">
        <f t="shared" si="5"/>
        <v>6.7643835616438359</v>
      </c>
    </row>
    <row r="359" spans="1:10" x14ac:dyDescent="0.25">
      <c r="A359" s="1" t="s">
        <v>12</v>
      </c>
      <c r="B359" s="1" t="s">
        <v>252</v>
      </c>
      <c r="C359" s="1">
        <v>103.13</v>
      </c>
      <c r="D359" s="1">
        <v>6.7380000000000004</v>
      </c>
      <c r="E359" s="6">
        <v>41426</v>
      </c>
      <c r="F359" s="5">
        <v>6.1630000000000004E-2</v>
      </c>
      <c r="G359" s="1">
        <v>6.5330000000000004</v>
      </c>
      <c r="H359" s="1" t="s">
        <v>7</v>
      </c>
      <c r="I359" s="1" t="s">
        <v>8</v>
      </c>
      <c r="J359" s="2">
        <f t="shared" si="5"/>
        <v>6.8109589041095893</v>
      </c>
    </row>
    <row r="360" spans="1:10" x14ac:dyDescent="0.25">
      <c r="A360" s="1" t="s">
        <v>12</v>
      </c>
      <c r="B360" s="1" t="s">
        <v>48</v>
      </c>
      <c r="C360" s="1">
        <v>102.5</v>
      </c>
      <c r="D360" s="1">
        <v>7</v>
      </c>
      <c r="E360" s="6">
        <v>41440</v>
      </c>
      <c r="F360" s="5">
        <v>6.5380000000000008E-2</v>
      </c>
      <c r="G360" s="1">
        <v>6.8289999999999997</v>
      </c>
      <c r="H360" s="1" t="s">
        <v>7</v>
      </c>
      <c r="I360" s="1" t="s">
        <v>8</v>
      </c>
      <c r="J360" s="2">
        <f t="shared" si="5"/>
        <v>6.8493150684931505</v>
      </c>
    </row>
    <row r="361" spans="1:10" x14ac:dyDescent="0.25">
      <c r="A361" s="1" t="s">
        <v>12</v>
      </c>
      <c r="B361" s="1" t="s">
        <v>253</v>
      </c>
      <c r="C361" s="1">
        <v>92.39</v>
      </c>
      <c r="D361" s="1">
        <v>4.5999999999999996</v>
      </c>
      <c r="E361" s="6">
        <v>41456</v>
      </c>
      <c r="F361" s="5">
        <v>5.9650000000000002E-2</v>
      </c>
      <c r="G361" s="1">
        <v>4.9790000000000001</v>
      </c>
      <c r="H361" s="1" t="s">
        <v>7</v>
      </c>
      <c r="I361" s="1" t="s">
        <v>8</v>
      </c>
      <c r="J361" s="2">
        <f t="shared" si="5"/>
        <v>6.8931506849315065</v>
      </c>
    </row>
    <row r="362" spans="1:10" x14ac:dyDescent="0.25">
      <c r="A362" s="1" t="s">
        <v>12</v>
      </c>
      <c r="B362" s="1" t="s">
        <v>254</v>
      </c>
      <c r="C362" s="1">
        <v>98.25</v>
      </c>
      <c r="D362" s="1">
        <v>5.75</v>
      </c>
      <c r="E362" s="6">
        <v>41470</v>
      </c>
      <c r="F362" s="5">
        <v>6.0629999999999996E-2</v>
      </c>
      <c r="G362" s="1">
        <v>5.8520000000000003</v>
      </c>
      <c r="H362" s="1" t="s">
        <v>7</v>
      </c>
      <c r="I362" s="1" t="s">
        <v>8</v>
      </c>
      <c r="J362" s="2">
        <f t="shared" si="5"/>
        <v>6.9315068493150687</v>
      </c>
    </row>
    <row r="363" spans="1:10" x14ac:dyDescent="0.25">
      <c r="A363" s="1" t="s">
        <v>12</v>
      </c>
      <c r="B363" s="1" t="s">
        <v>255</v>
      </c>
      <c r="C363" s="1">
        <v>98.69</v>
      </c>
      <c r="D363" s="1">
        <v>5.75</v>
      </c>
      <c r="E363" s="6">
        <v>41487</v>
      </c>
      <c r="F363" s="5">
        <v>5.9829999999999994E-2</v>
      </c>
      <c r="G363" s="1">
        <v>5.827</v>
      </c>
      <c r="H363" s="1" t="s">
        <v>7</v>
      </c>
      <c r="I363" s="1" t="s">
        <v>8</v>
      </c>
      <c r="J363" s="2">
        <f t="shared" si="5"/>
        <v>6.978082191780822</v>
      </c>
    </row>
    <row r="364" spans="1:10" x14ac:dyDescent="0.25">
      <c r="A364" s="1" t="s">
        <v>12</v>
      </c>
      <c r="B364" s="1" t="s">
        <v>256</v>
      </c>
      <c r="C364" s="1">
        <v>111.33</v>
      </c>
      <c r="D364" s="1">
        <v>7.875</v>
      </c>
      <c r="E364" s="6">
        <v>41487</v>
      </c>
      <c r="F364" s="5">
        <v>5.8680000000000003E-2</v>
      </c>
      <c r="G364" s="1">
        <v>7.0739999999999998</v>
      </c>
      <c r="H364" s="1" t="s">
        <v>7</v>
      </c>
      <c r="I364" s="1" t="s">
        <v>8</v>
      </c>
      <c r="J364" s="2">
        <f t="shared" si="5"/>
        <v>6.978082191780822</v>
      </c>
    </row>
    <row r="365" spans="1:10" x14ac:dyDescent="0.25">
      <c r="A365" s="1" t="s">
        <v>12</v>
      </c>
      <c r="B365" s="1" t="s">
        <v>257</v>
      </c>
      <c r="C365" s="1">
        <v>102.5</v>
      </c>
      <c r="D365" s="1">
        <v>6.75</v>
      </c>
      <c r="E365" s="6">
        <v>41501</v>
      </c>
      <c r="F365" s="5">
        <v>6.3019999999999993E-2</v>
      </c>
      <c r="G365" s="1">
        <v>6.585</v>
      </c>
      <c r="H365" s="1" t="s">
        <v>7</v>
      </c>
      <c r="I365" s="1" t="s">
        <v>8</v>
      </c>
      <c r="J365" s="2">
        <f t="shared" si="5"/>
        <v>7.0164383561643833</v>
      </c>
    </row>
    <row r="366" spans="1:10" x14ac:dyDescent="0.25">
      <c r="A366" s="1" t="s">
        <v>12</v>
      </c>
      <c r="B366" s="1" t="s">
        <v>258</v>
      </c>
      <c r="C366" s="1">
        <v>96.97</v>
      </c>
      <c r="D366" s="1">
        <v>5</v>
      </c>
      <c r="E366" s="6">
        <v>41532</v>
      </c>
      <c r="F366" s="5">
        <v>5.5220000000000005E-2</v>
      </c>
      <c r="G366" s="1">
        <v>5.1559999999999997</v>
      </c>
      <c r="H366" s="1" t="s">
        <v>7</v>
      </c>
      <c r="I366" s="1" t="s">
        <v>8</v>
      </c>
      <c r="J366" s="2">
        <f t="shared" si="5"/>
        <v>7.1013698630136988</v>
      </c>
    </row>
    <row r="367" spans="1:10" x14ac:dyDescent="0.25">
      <c r="A367" s="1" t="s">
        <v>12</v>
      </c>
      <c r="B367" s="1" t="s">
        <v>47</v>
      </c>
      <c r="C367" s="1">
        <v>97.72</v>
      </c>
      <c r="D367" s="1">
        <v>4.95</v>
      </c>
      <c r="E367" s="6">
        <v>41593</v>
      </c>
      <c r="F367" s="5">
        <v>5.3330000000000002E-2</v>
      </c>
      <c r="G367" s="1">
        <v>5.0659999999999998</v>
      </c>
      <c r="H367" s="1" t="s">
        <v>7</v>
      </c>
      <c r="I367" s="1" t="s">
        <v>8</v>
      </c>
      <c r="J367" s="2">
        <f t="shared" si="5"/>
        <v>7.2684931506849315</v>
      </c>
    </row>
    <row r="368" spans="1:10" x14ac:dyDescent="0.25">
      <c r="A368" s="1" t="s">
        <v>12</v>
      </c>
      <c r="B368" s="1" t="s">
        <v>110</v>
      </c>
      <c r="C368" s="1">
        <v>96.36</v>
      </c>
      <c r="D368" s="1">
        <v>5.25</v>
      </c>
      <c r="E368" s="6">
        <v>41593</v>
      </c>
      <c r="F368" s="5">
        <v>5.8730000000000004E-2</v>
      </c>
      <c r="G368" s="1">
        <v>5.4489999999999998</v>
      </c>
      <c r="H368" s="1" t="s">
        <v>7</v>
      </c>
      <c r="I368" s="1" t="s">
        <v>8</v>
      </c>
      <c r="J368" s="2">
        <f t="shared" si="5"/>
        <v>7.2684931506849315</v>
      </c>
    </row>
    <row r="369" spans="1:10" x14ac:dyDescent="0.25">
      <c r="A369" s="1" t="s">
        <v>12</v>
      </c>
      <c r="B369" s="1" t="s">
        <v>221</v>
      </c>
      <c r="C369" s="1">
        <v>105.59</v>
      </c>
      <c r="D369" s="1">
        <v>6.625</v>
      </c>
      <c r="E369" s="6">
        <v>41609</v>
      </c>
      <c r="F369" s="5">
        <v>5.6760000000000005E-2</v>
      </c>
      <c r="G369" s="1">
        <v>6.274</v>
      </c>
      <c r="H369" s="1" t="s">
        <v>7</v>
      </c>
      <c r="I369" s="1" t="s">
        <v>8</v>
      </c>
      <c r="J369" s="2">
        <f t="shared" si="5"/>
        <v>7.3123287671232875</v>
      </c>
    </row>
    <row r="370" spans="1:10" x14ac:dyDescent="0.25">
      <c r="A370" s="1" t="s">
        <v>12</v>
      </c>
      <c r="B370" s="1" t="s">
        <v>48</v>
      </c>
      <c r="C370" s="1">
        <v>101.5</v>
      </c>
      <c r="D370" s="1">
        <v>6.875</v>
      </c>
      <c r="E370" s="6">
        <v>41609</v>
      </c>
      <c r="F370" s="5">
        <v>6.6100000000000006E-2</v>
      </c>
      <c r="G370" s="1">
        <v>6.7729999999999997</v>
      </c>
      <c r="H370" s="1" t="s">
        <v>7</v>
      </c>
      <c r="I370" s="1" t="s">
        <v>8</v>
      </c>
      <c r="J370" s="2">
        <f t="shared" si="5"/>
        <v>7.3123287671232875</v>
      </c>
    </row>
    <row r="371" spans="1:10" x14ac:dyDescent="0.25">
      <c r="A371" s="1" t="s">
        <v>12</v>
      </c>
      <c r="B371" s="1" t="s">
        <v>259</v>
      </c>
      <c r="C371" s="1">
        <v>100.29</v>
      </c>
      <c r="D371" s="1">
        <v>5.95</v>
      </c>
      <c r="E371" s="6">
        <v>41617</v>
      </c>
      <c r="F371" s="5">
        <v>5.8990000000000001E-2</v>
      </c>
      <c r="G371" s="1">
        <v>5.9329999999999998</v>
      </c>
      <c r="H371" s="1" t="s">
        <v>7</v>
      </c>
      <c r="I371" s="1" t="s">
        <v>8</v>
      </c>
      <c r="J371" s="2">
        <f t="shared" si="5"/>
        <v>7.3342465753424655</v>
      </c>
    </row>
    <row r="372" spans="1:10" x14ac:dyDescent="0.25">
      <c r="A372" s="1" t="s">
        <v>12</v>
      </c>
      <c r="B372" s="1" t="s">
        <v>143</v>
      </c>
      <c r="C372" s="1">
        <v>99.67</v>
      </c>
      <c r="D372" s="1">
        <v>5.65</v>
      </c>
      <c r="E372" s="6">
        <v>41623</v>
      </c>
      <c r="F372" s="5">
        <v>5.7030000000000004E-2</v>
      </c>
      <c r="G372" s="1">
        <v>5.6680000000000001</v>
      </c>
      <c r="H372" s="1" t="s">
        <v>7</v>
      </c>
      <c r="I372" s="1" t="s">
        <v>8</v>
      </c>
      <c r="J372" s="2">
        <f t="shared" si="5"/>
        <v>7.3506849315068497</v>
      </c>
    </row>
    <row r="373" spans="1:10" x14ac:dyDescent="0.25">
      <c r="A373" s="1" t="s">
        <v>12</v>
      </c>
      <c r="B373" s="1" t="s">
        <v>260</v>
      </c>
      <c r="C373" s="1">
        <v>106.39</v>
      </c>
      <c r="D373" s="1">
        <v>7</v>
      </c>
      <c r="E373" s="6">
        <v>41623</v>
      </c>
      <c r="F373" s="5">
        <v>5.9119999999999999E-2</v>
      </c>
      <c r="G373" s="1">
        <v>6.58</v>
      </c>
      <c r="H373" s="1" t="s">
        <v>7</v>
      </c>
      <c r="I373" s="1" t="s">
        <v>8</v>
      </c>
      <c r="J373" s="2">
        <f t="shared" si="5"/>
        <v>7.3506849315068497</v>
      </c>
    </row>
    <row r="374" spans="1:10" x14ac:dyDescent="0.25">
      <c r="A374" s="1" t="s">
        <v>12</v>
      </c>
      <c r="B374" s="1" t="s">
        <v>242</v>
      </c>
      <c r="C374" s="1">
        <v>99.53</v>
      </c>
      <c r="D374" s="1">
        <v>5.625</v>
      </c>
      <c r="E374" s="6">
        <v>41623</v>
      </c>
      <c r="F374" s="5">
        <v>5.7030000000000004E-2</v>
      </c>
      <c r="G374" s="1">
        <v>5.6520000000000001</v>
      </c>
      <c r="H374" s="1" t="s">
        <v>7</v>
      </c>
      <c r="I374" s="1" t="s">
        <v>8</v>
      </c>
      <c r="J374" s="2">
        <f t="shared" si="5"/>
        <v>7.3506849315068497</v>
      </c>
    </row>
    <row r="375" spans="1:10" x14ac:dyDescent="0.25">
      <c r="A375" s="1" t="s">
        <v>12</v>
      </c>
      <c r="B375" s="1" t="s">
        <v>261</v>
      </c>
      <c r="C375" s="1">
        <v>101.08</v>
      </c>
      <c r="D375" s="1">
        <v>5.95</v>
      </c>
      <c r="E375" s="6">
        <v>41654</v>
      </c>
      <c r="F375" s="5">
        <v>5.7689999999999998E-2</v>
      </c>
      <c r="G375" s="1">
        <v>5.8869999999999996</v>
      </c>
      <c r="H375" s="1" t="s">
        <v>7</v>
      </c>
      <c r="I375" s="1" t="s">
        <v>8</v>
      </c>
      <c r="J375" s="2">
        <f t="shared" si="5"/>
        <v>7.4356164383561643</v>
      </c>
    </row>
    <row r="376" spans="1:10" x14ac:dyDescent="0.25">
      <c r="A376" s="1" t="s">
        <v>12</v>
      </c>
      <c r="B376" s="1" t="s">
        <v>147</v>
      </c>
      <c r="C376" s="1">
        <v>97.26</v>
      </c>
      <c r="D376" s="1">
        <v>5.3</v>
      </c>
      <c r="E376" s="6">
        <v>41654</v>
      </c>
      <c r="F376" s="5">
        <v>5.7579999999999999E-2</v>
      </c>
      <c r="G376" s="1">
        <v>5.4489999999999998</v>
      </c>
      <c r="H376" s="1" t="s">
        <v>7</v>
      </c>
      <c r="I376" s="1" t="s">
        <v>8</v>
      </c>
      <c r="J376" s="2">
        <f t="shared" si="5"/>
        <v>7.4356164383561643</v>
      </c>
    </row>
    <row r="377" spans="1:10" x14ac:dyDescent="0.25">
      <c r="A377" s="1" t="s">
        <v>12</v>
      </c>
      <c r="B377" s="1" t="s">
        <v>207</v>
      </c>
      <c r="C377" s="1">
        <v>98.57</v>
      </c>
      <c r="D377" s="1">
        <v>5.35</v>
      </c>
      <c r="E377" s="6">
        <v>41654</v>
      </c>
      <c r="F377" s="5">
        <v>5.5879999999999999E-2</v>
      </c>
      <c r="G377" s="1">
        <v>5.4279999999999999</v>
      </c>
      <c r="H377" s="1" t="s">
        <v>7</v>
      </c>
      <c r="I377" s="1" t="s">
        <v>8</v>
      </c>
      <c r="J377" s="2">
        <f t="shared" si="5"/>
        <v>7.4356164383561643</v>
      </c>
    </row>
    <row r="378" spans="1:10" x14ac:dyDescent="0.25">
      <c r="A378" s="1" t="s">
        <v>12</v>
      </c>
      <c r="B378" s="1" t="s">
        <v>124</v>
      </c>
      <c r="C378" s="1">
        <v>96.25</v>
      </c>
      <c r="D378" s="1">
        <v>5.125</v>
      </c>
      <c r="E378" s="6">
        <v>41685</v>
      </c>
      <c r="F378" s="5">
        <v>5.747E-2</v>
      </c>
      <c r="G378" s="1">
        <v>5.3239999999999998</v>
      </c>
      <c r="H378" s="1" t="s">
        <v>7</v>
      </c>
      <c r="I378" s="1" t="s">
        <v>8</v>
      </c>
      <c r="J378" s="2">
        <f t="shared" si="5"/>
        <v>7.5205479452054798</v>
      </c>
    </row>
    <row r="379" spans="1:10" x14ac:dyDescent="0.25">
      <c r="A379" s="1" t="s">
        <v>12</v>
      </c>
      <c r="B379" s="1" t="s">
        <v>141</v>
      </c>
      <c r="C379" s="1">
        <v>98.73</v>
      </c>
      <c r="D379" s="1">
        <v>5.5</v>
      </c>
      <c r="E379" s="6">
        <v>41699</v>
      </c>
      <c r="F379" s="5">
        <v>5.7089999999999995E-2</v>
      </c>
      <c r="G379" s="1">
        <v>5.5709999999999997</v>
      </c>
      <c r="H379" s="1" t="s">
        <v>7</v>
      </c>
      <c r="I379" s="1" t="s">
        <v>8</v>
      </c>
      <c r="J379" s="2">
        <f t="shared" si="5"/>
        <v>7.558904109589041</v>
      </c>
    </row>
    <row r="380" spans="1:10" x14ac:dyDescent="0.25">
      <c r="A380" s="1" t="s">
        <v>12</v>
      </c>
      <c r="B380" s="1" t="s">
        <v>262</v>
      </c>
      <c r="C380" s="1">
        <v>96.38</v>
      </c>
      <c r="D380" s="1">
        <v>4.8</v>
      </c>
      <c r="E380" s="6">
        <v>41699</v>
      </c>
      <c r="F380" s="5">
        <v>5.391E-2</v>
      </c>
      <c r="G380" s="1">
        <v>4.9800000000000004</v>
      </c>
      <c r="H380" s="1" t="s">
        <v>7</v>
      </c>
      <c r="I380" s="1" t="s">
        <v>8</v>
      </c>
      <c r="J380" s="2">
        <f t="shared" si="5"/>
        <v>7.558904109589041</v>
      </c>
    </row>
    <row r="381" spans="1:10" x14ac:dyDescent="0.25">
      <c r="A381" s="1" t="s">
        <v>12</v>
      </c>
      <c r="B381" s="1" t="s">
        <v>263</v>
      </c>
      <c r="C381" s="1">
        <v>102.14</v>
      </c>
      <c r="D381" s="1">
        <v>5.9</v>
      </c>
      <c r="E381" s="6">
        <v>41713</v>
      </c>
      <c r="F381" s="5">
        <v>5.5490000000000005E-2</v>
      </c>
      <c r="G381" s="1">
        <v>5.7759999999999998</v>
      </c>
      <c r="H381" s="1" t="s">
        <v>7</v>
      </c>
      <c r="I381" s="1" t="s">
        <v>8</v>
      </c>
      <c r="J381" s="2">
        <f t="shared" si="5"/>
        <v>7.5972602739726032</v>
      </c>
    </row>
    <row r="382" spans="1:10" x14ac:dyDescent="0.25">
      <c r="A382" s="1" t="s">
        <v>12</v>
      </c>
      <c r="B382" s="1" t="s">
        <v>264</v>
      </c>
      <c r="C382" s="1">
        <v>90.12</v>
      </c>
      <c r="D382" s="1">
        <v>4.95</v>
      </c>
      <c r="E382" s="6">
        <v>41713</v>
      </c>
      <c r="F382" s="5">
        <v>6.6290000000000002E-2</v>
      </c>
      <c r="G382" s="1">
        <v>5.4930000000000003</v>
      </c>
      <c r="H382" s="1" t="s">
        <v>7</v>
      </c>
      <c r="I382" s="1" t="s">
        <v>8</v>
      </c>
      <c r="J382" s="2">
        <f t="shared" si="5"/>
        <v>7.5972602739726032</v>
      </c>
    </row>
    <row r="383" spans="1:10" x14ac:dyDescent="0.25">
      <c r="A383" s="1" t="s">
        <v>12</v>
      </c>
      <c r="B383" s="1" t="s">
        <v>155</v>
      </c>
      <c r="C383" s="1">
        <v>96.25</v>
      </c>
      <c r="D383" s="1">
        <v>4.875</v>
      </c>
      <c r="E383" s="6">
        <v>41730</v>
      </c>
      <c r="F383" s="5">
        <v>5.4820000000000001E-2</v>
      </c>
      <c r="G383" s="1">
        <v>5.0650000000000004</v>
      </c>
      <c r="H383" s="1" t="s">
        <v>7</v>
      </c>
      <c r="I383" s="1" t="s">
        <v>8</v>
      </c>
      <c r="J383" s="2">
        <f t="shared" si="5"/>
        <v>7.6438356164383565</v>
      </c>
    </row>
    <row r="384" spans="1:10" x14ac:dyDescent="0.25">
      <c r="A384" s="1" t="s">
        <v>12</v>
      </c>
      <c r="B384" s="1" t="s">
        <v>265</v>
      </c>
      <c r="C384" s="1">
        <v>95.6</v>
      </c>
      <c r="D384" s="1">
        <v>6</v>
      </c>
      <c r="E384" s="6">
        <v>41744</v>
      </c>
      <c r="F384" s="5">
        <v>6.744E-2</v>
      </c>
      <c r="G384" s="1">
        <v>6.2759999999999998</v>
      </c>
      <c r="H384" s="1" t="s">
        <v>7</v>
      </c>
      <c r="I384" s="1" t="s">
        <v>8</v>
      </c>
      <c r="J384" s="2">
        <f t="shared" si="5"/>
        <v>7.6821917808219178</v>
      </c>
    </row>
    <row r="385" spans="1:10" x14ac:dyDescent="0.25">
      <c r="A385" s="1" t="s">
        <v>12</v>
      </c>
      <c r="B385" s="1" t="s">
        <v>47</v>
      </c>
      <c r="C385" s="1">
        <v>95.09</v>
      </c>
      <c r="D385" s="1">
        <v>4.6500000000000004</v>
      </c>
      <c r="E385" s="6">
        <v>41744</v>
      </c>
      <c r="F385" s="5">
        <v>5.4420000000000003E-2</v>
      </c>
      <c r="G385" s="1">
        <v>4.8899999999999997</v>
      </c>
      <c r="H385" s="1" t="s">
        <v>7</v>
      </c>
      <c r="I385" s="1" t="s">
        <v>8</v>
      </c>
      <c r="J385" s="2">
        <f t="shared" si="5"/>
        <v>7.6821917808219178</v>
      </c>
    </row>
    <row r="386" spans="1:10" x14ac:dyDescent="0.25">
      <c r="A386" s="1" t="s">
        <v>12</v>
      </c>
      <c r="B386" s="1" t="s">
        <v>266</v>
      </c>
      <c r="C386" s="1">
        <v>103.26</v>
      </c>
      <c r="D386" s="1">
        <v>6.45</v>
      </c>
      <c r="E386" s="6">
        <v>41791</v>
      </c>
      <c r="F386" s="5">
        <v>5.9189999999999993E-2</v>
      </c>
      <c r="G386" s="1">
        <v>6.2460000000000004</v>
      </c>
      <c r="H386" s="1" t="s">
        <v>7</v>
      </c>
      <c r="I386" s="1" t="s">
        <v>8</v>
      </c>
      <c r="J386" s="2">
        <f t="shared" si="5"/>
        <v>7.8109589041095893</v>
      </c>
    </row>
    <row r="387" spans="1:10" x14ac:dyDescent="0.25">
      <c r="A387" s="1" t="s">
        <v>12</v>
      </c>
      <c r="B387" s="1" t="s">
        <v>267</v>
      </c>
      <c r="C387" s="1">
        <v>106.57</v>
      </c>
      <c r="D387" s="1">
        <v>7.3</v>
      </c>
      <c r="E387" s="6">
        <v>41805</v>
      </c>
      <c r="F387" s="5">
        <v>6.225E-2</v>
      </c>
      <c r="G387" s="1">
        <v>6.85</v>
      </c>
      <c r="H387" s="1" t="s">
        <v>7</v>
      </c>
      <c r="I387" s="1" t="s">
        <v>8</v>
      </c>
      <c r="J387" s="2">
        <f t="shared" si="5"/>
        <v>7.8493150684931505</v>
      </c>
    </row>
    <row r="388" spans="1:10" x14ac:dyDescent="0.25">
      <c r="A388" s="1" t="s">
        <v>12</v>
      </c>
      <c r="B388" s="1" t="s">
        <v>268</v>
      </c>
      <c r="C388" s="1">
        <v>99.97</v>
      </c>
      <c r="D388" s="1">
        <v>5.8</v>
      </c>
      <c r="E388" s="6">
        <v>41820</v>
      </c>
      <c r="F388" s="5">
        <v>5.8040000000000001E-2</v>
      </c>
      <c r="G388" s="1">
        <v>5.8019999999999996</v>
      </c>
      <c r="H388" s="1" t="s">
        <v>7</v>
      </c>
      <c r="I388" s="1" t="s">
        <v>8</v>
      </c>
      <c r="J388" s="2">
        <f t="shared" ref="J388:J427" si="6">(E388-DATE(2006,8,11))/365</f>
        <v>7.8904109589041092</v>
      </c>
    </row>
    <row r="389" spans="1:10" x14ac:dyDescent="0.25">
      <c r="A389" s="1" t="s">
        <v>12</v>
      </c>
      <c r="B389" s="1" t="s">
        <v>269</v>
      </c>
      <c r="C389" s="1">
        <v>102.94</v>
      </c>
      <c r="D389" s="1">
        <v>6</v>
      </c>
      <c r="E389" s="6">
        <v>41821</v>
      </c>
      <c r="F389" s="5">
        <v>5.5330000000000004E-2</v>
      </c>
      <c r="G389" s="1">
        <v>5.8289999999999997</v>
      </c>
      <c r="H389" s="1" t="s">
        <v>7</v>
      </c>
      <c r="I389" s="1" t="s">
        <v>8</v>
      </c>
      <c r="J389" s="2">
        <f t="shared" si="6"/>
        <v>7.8931506849315065</v>
      </c>
    </row>
    <row r="390" spans="1:10" x14ac:dyDescent="0.25">
      <c r="A390" s="1" t="s">
        <v>12</v>
      </c>
      <c r="B390" s="1" t="s">
        <v>73</v>
      </c>
      <c r="C390" s="1">
        <v>96.23</v>
      </c>
      <c r="D390" s="1">
        <v>5.375</v>
      </c>
      <c r="E390" s="6">
        <v>41835</v>
      </c>
      <c r="F390" s="5">
        <v>5.9790000000000003E-2</v>
      </c>
      <c r="G390" s="1">
        <v>5.585</v>
      </c>
      <c r="H390" s="1" t="s">
        <v>7</v>
      </c>
      <c r="I390" s="1" t="s">
        <v>8</v>
      </c>
      <c r="J390" s="2">
        <f t="shared" si="6"/>
        <v>7.9315068493150687</v>
      </c>
    </row>
    <row r="391" spans="1:10" x14ac:dyDescent="0.25">
      <c r="A391" s="1" t="s">
        <v>12</v>
      </c>
      <c r="B391" s="1" t="s">
        <v>270</v>
      </c>
      <c r="C391" s="1">
        <v>102.31</v>
      </c>
      <c r="D391" s="1">
        <v>6.45</v>
      </c>
      <c r="E391" s="6">
        <v>41866</v>
      </c>
      <c r="F391" s="5">
        <v>6.0810000000000003E-2</v>
      </c>
      <c r="G391" s="1">
        <v>6.3040000000000003</v>
      </c>
      <c r="H391" s="1" t="s">
        <v>7</v>
      </c>
      <c r="I391" s="1" t="s">
        <v>8</v>
      </c>
      <c r="J391" s="2">
        <f t="shared" si="6"/>
        <v>8.0164383561643842</v>
      </c>
    </row>
    <row r="392" spans="1:10" x14ac:dyDescent="0.25">
      <c r="A392" s="1" t="s">
        <v>12</v>
      </c>
      <c r="B392" s="1" t="s">
        <v>65</v>
      </c>
      <c r="C392" s="1">
        <v>92.88</v>
      </c>
      <c r="D392" s="1">
        <v>5.5</v>
      </c>
      <c r="E392" s="6">
        <v>41897</v>
      </c>
      <c r="F392" s="5">
        <v>6.6529999999999992E-2</v>
      </c>
      <c r="G392" s="1">
        <v>5.9219999999999997</v>
      </c>
      <c r="H392" s="1" t="s">
        <v>7</v>
      </c>
      <c r="I392" s="1" t="s">
        <v>8</v>
      </c>
      <c r="J392" s="2">
        <f t="shared" si="6"/>
        <v>8.1013698630136979</v>
      </c>
    </row>
    <row r="393" spans="1:10" x14ac:dyDescent="0.25">
      <c r="A393" s="1" t="s">
        <v>12</v>
      </c>
      <c r="B393" s="1" t="s">
        <v>116</v>
      </c>
      <c r="C393" s="1">
        <v>95</v>
      </c>
      <c r="D393" s="1">
        <v>5.625</v>
      </c>
      <c r="E393" s="6">
        <v>41897</v>
      </c>
      <c r="F393" s="5">
        <v>6.4269999999999994E-2</v>
      </c>
      <c r="G393" s="1">
        <v>5.9210000000000003</v>
      </c>
      <c r="H393" s="1" t="s">
        <v>7</v>
      </c>
      <c r="I393" s="1" t="s">
        <v>8</v>
      </c>
      <c r="J393" s="2">
        <f t="shared" si="6"/>
        <v>8.1013698630136979</v>
      </c>
    </row>
    <row r="394" spans="1:10" x14ac:dyDescent="0.25">
      <c r="A394" s="1" t="s">
        <v>12</v>
      </c>
      <c r="B394" s="1" t="s">
        <v>110</v>
      </c>
      <c r="C394" s="1">
        <v>93.18</v>
      </c>
      <c r="D394" s="1">
        <v>4.95</v>
      </c>
      <c r="E394" s="6">
        <v>41912</v>
      </c>
      <c r="F394" s="5">
        <v>6.0229999999999999E-2</v>
      </c>
      <c r="G394" s="1">
        <v>5.3120000000000003</v>
      </c>
      <c r="H394" s="1" t="s">
        <v>7</v>
      </c>
      <c r="I394" s="1" t="s">
        <v>8</v>
      </c>
      <c r="J394" s="2">
        <f t="shared" si="6"/>
        <v>8.1424657534246574</v>
      </c>
    </row>
    <row r="395" spans="1:10" x14ac:dyDescent="0.25">
      <c r="A395" s="1" t="s">
        <v>12</v>
      </c>
      <c r="B395" s="1" t="s">
        <v>113</v>
      </c>
      <c r="C395" s="1">
        <v>97.54</v>
      </c>
      <c r="D395" s="1">
        <v>5.5</v>
      </c>
      <c r="E395" s="6">
        <v>41913</v>
      </c>
      <c r="F395" s="5">
        <v>5.8840000000000003E-2</v>
      </c>
      <c r="G395" s="1">
        <v>5.6390000000000002</v>
      </c>
      <c r="H395" s="1" t="s">
        <v>7</v>
      </c>
      <c r="I395" s="1" t="s">
        <v>8</v>
      </c>
      <c r="J395" s="2">
        <f t="shared" si="6"/>
        <v>8.1452054794520556</v>
      </c>
    </row>
    <row r="396" spans="1:10" x14ac:dyDescent="0.25">
      <c r="A396" s="1" t="s">
        <v>12</v>
      </c>
      <c r="B396" s="1" t="s">
        <v>271</v>
      </c>
      <c r="C396" s="1">
        <v>94.74</v>
      </c>
      <c r="D396" s="1">
        <v>4.95</v>
      </c>
      <c r="E396" s="6">
        <v>41927</v>
      </c>
      <c r="F396" s="5">
        <v>5.7660000000000003E-2</v>
      </c>
      <c r="G396" s="1">
        <v>5.2249999999999996</v>
      </c>
      <c r="H396" s="1" t="s">
        <v>7</v>
      </c>
      <c r="I396" s="1" t="s">
        <v>8</v>
      </c>
      <c r="J396" s="2">
        <f t="shared" si="6"/>
        <v>8.1835616438356169</v>
      </c>
    </row>
    <row r="397" spans="1:10" x14ac:dyDescent="0.25">
      <c r="A397" s="1" t="s">
        <v>12</v>
      </c>
      <c r="B397" s="1" t="s">
        <v>272</v>
      </c>
      <c r="C397" s="1">
        <v>95.95</v>
      </c>
      <c r="D397" s="1">
        <v>5.05</v>
      </c>
      <c r="E397" s="6">
        <v>41958</v>
      </c>
      <c r="F397" s="5">
        <v>5.67E-2</v>
      </c>
      <c r="G397" s="1">
        <v>5.2629999999999999</v>
      </c>
      <c r="H397" s="1" t="s">
        <v>7</v>
      </c>
      <c r="I397" s="1" t="s">
        <v>8</v>
      </c>
      <c r="J397" s="2">
        <f t="shared" si="6"/>
        <v>8.2684931506849306</v>
      </c>
    </row>
    <row r="398" spans="1:10" x14ac:dyDescent="0.25">
      <c r="A398" s="1" t="s">
        <v>12</v>
      </c>
      <c r="B398" s="1" t="s">
        <v>273</v>
      </c>
      <c r="C398" s="1">
        <v>89.05</v>
      </c>
      <c r="D398" s="1">
        <v>5.125</v>
      </c>
      <c r="E398" s="6">
        <v>41958</v>
      </c>
      <c r="F398" s="5">
        <v>6.8860000000000005E-2</v>
      </c>
      <c r="G398" s="1">
        <v>5.7549999999999999</v>
      </c>
      <c r="H398" s="1" t="s">
        <v>7</v>
      </c>
      <c r="I398" s="1" t="s">
        <v>8</v>
      </c>
      <c r="J398" s="2">
        <f t="shared" si="6"/>
        <v>8.2684931506849306</v>
      </c>
    </row>
    <row r="399" spans="1:10" x14ac:dyDescent="0.25">
      <c r="A399" s="1" t="s">
        <v>12</v>
      </c>
      <c r="B399" s="1" t="s">
        <v>221</v>
      </c>
      <c r="C399" s="1">
        <v>95.24</v>
      </c>
      <c r="D399" s="1">
        <v>5</v>
      </c>
      <c r="E399" s="6">
        <v>41974</v>
      </c>
      <c r="F399" s="5">
        <v>5.7290000000000001E-2</v>
      </c>
      <c r="G399" s="1">
        <v>5.25</v>
      </c>
      <c r="H399" s="1" t="s">
        <v>7</v>
      </c>
      <c r="I399" s="1" t="s">
        <v>8</v>
      </c>
      <c r="J399" s="2">
        <f t="shared" si="6"/>
        <v>8.3123287671232884</v>
      </c>
    </row>
    <row r="400" spans="1:10" x14ac:dyDescent="0.25">
      <c r="A400" s="1" t="s">
        <v>12</v>
      </c>
      <c r="B400" s="1" t="s">
        <v>147</v>
      </c>
      <c r="C400" s="1">
        <v>104.78</v>
      </c>
      <c r="D400" s="1">
        <v>6.5</v>
      </c>
      <c r="E400" s="6">
        <v>42019</v>
      </c>
      <c r="F400" s="5">
        <v>5.7729999999999997E-2</v>
      </c>
      <c r="G400" s="1">
        <v>6.2030000000000003</v>
      </c>
      <c r="H400" s="1" t="s">
        <v>7</v>
      </c>
      <c r="I400" s="1" t="s">
        <v>8</v>
      </c>
      <c r="J400" s="2">
        <f t="shared" si="6"/>
        <v>8.4356164383561651</v>
      </c>
    </row>
    <row r="401" spans="1:10" x14ac:dyDescent="0.25">
      <c r="A401" s="1" t="s">
        <v>12</v>
      </c>
      <c r="B401" s="1" t="s">
        <v>274</v>
      </c>
      <c r="C401" s="1">
        <v>104.06</v>
      </c>
      <c r="D401" s="1">
        <v>6.375</v>
      </c>
      <c r="E401" s="6">
        <v>42019</v>
      </c>
      <c r="F401" s="5">
        <v>5.7590000000000002E-2</v>
      </c>
      <c r="G401" s="1">
        <v>6.1260000000000003</v>
      </c>
      <c r="H401" s="1" t="s">
        <v>7</v>
      </c>
      <c r="I401" s="1" t="s">
        <v>8</v>
      </c>
      <c r="J401" s="2">
        <f t="shared" si="6"/>
        <v>8.4356164383561651</v>
      </c>
    </row>
    <row r="402" spans="1:10" x14ac:dyDescent="0.25">
      <c r="A402" s="1" t="s">
        <v>12</v>
      </c>
      <c r="B402" s="1" t="s">
        <v>85</v>
      </c>
      <c r="C402" s="1">
        <v>95.38</v>
      </c>
      <c r="D402" s="1">
        <v>4.95</v>
      </c>
      <c r="E402" s="6">
        <v>42036</v>
      </c>
      <c r="F402" s="5">
        <v>5.6449999999999993E-2</v>
      </c>
      <c r="G402" s="1">
        <v>5.19</v>
      </c>
      <c r="H402" s="1" t="s">
        <v>7</v>
      </c>
      <c r="I402" s="1" t="s">
        <v>8</v>
      </c>
      <c r="J402" s="2">
        <f t="shared" si="6"/>
        <v>8.4821917808219176</v>
      </c>
    </row>
    <row r="403" spans="1:10" x14ac:dyDescent="0.25">
      <c r="A403" s="1" t="s">
        <v>12</v>
      </c>
      <c r="B403" s="1" t="s">
        <v>275</v>
      </c>
      <c r="C403" s="1">
        <v>91.87</v>
      </c>
      <c r="D403" s="1">
        <v>5</v>
      </c>
      <c r="E403" s="6">
        <v>42050</v>
      </c>
      <c r="F403" s="5">
        <v>6.2480000000000001E-2</v>
      </c>
      <c r="G403" s="1">
        <v>5.4429999999999996</v>
      </c>
      <c r="H403" s="1" t="s">
        <v>7</v>
      </c>
      <c r="I403" s="1" t="s">
        <v>8</v>
      </c>
      <c r="J403" s="2">
        <f t="shared" si="6"/>
        <v>8.5205479452054789</v>
      </c>
    </row>
    <row r="404" spans="1:10" x14ac:dyDescent="0.25">
      <c r="A404" s="1" t="s">
        <v>12</v>
      </c>
      <c r="B404" s="1" t="s">
        <v>139</v>
      </c>
      <c r="C404" s="1">
        <v>93.33</v>
      </c>
      <c r="D404" s="1">
        <v>5.2</v>
      </c>
      <c r="E404" s="6">
        <v>42050</v>
      </c>
      <c r="F404" s="5">
        <v>6.2220000000000004E-2</v>
      </c>
      <c r="G404" s="1">
        <v>5.5709999999999997</v>
      </c>
      <c r="H404" s="1" t="s">
        <v>7</v>
      </c>
      <c r="I404" s="1" t="s">
        <v>8</v>
      </c>
      <c r="J404" s="2">
        <f t="shared" si="6"/>
        <v>8.5205479452054789</v>
      </c>
    </row>
    <row r="405" spans="1:10" x14ac:dyDescent="0.25">
      <c r="A405" s="1" t="s">
        <v>12</v>
      </c>
      <c r="B405" s="1" t="s">
        <v>46</v>
      </c>
      <c r="C405" s="1">
        <v>93.79</v>
      </c>
      <c r="D405" s="1">
        <v>5</v>
      </c>
      <c r="E405" s="6">
        <v>42064</v>
      </c>
      <c r="F405" s="5">
        <v>5.9379999999999995E-2</v>
      </c>
      <c r="G405" s="1">
        <v>5.3310000000000004</v>
      </c>
      <c r="H405" s="1" t="s">
        <v>7</v>
      </c>
      <c r="I405" s="1" t="s">
        <v>8</v>
      </c>
      <c r="J405" s="2">
        <f t="shared" si="6"/>
        <v>8.5589041095890419</v>
      </c>
    </row>
    <row r="406" spans="1:10" x14ac:dyDescent="0.25">
      <c r="A406" s="1" t="s">
        <v>12</v>
      </c>
      <c r="B406" s="1" t="s">
        <v>157</v>
      </c>
      <c r="C406" s="1">
        <v>96.22</v>
      </c>
      <c r="D406" s="1">
        <v>5.3</v>
      </c>
      <c r="E406" s="6">
        <v>42095</v>
      </c>
      <c r="F406" s="5">
        <v>5.8630000000000002E-2</v>
      </c>
      <c r="G406" s="1">
        <v>5.508</v>
      </c>
      <c r="H406" s="1" t="s">
        <v>7</v>
      </c>
      <c r="I406" s="1" t="s">
        <v>8</v>
      </c>
      <c r="J406" s="2">
        <f t="shared" si="6"/>
        <v>8.6438356164383556</v>
      </c>
    </row>
    <row r="407" spans="1:10" x14ac:dyDescent="0.25">
      <c r="A407" s="1" t="s">
        <v>12</v>
      </c>
      <c r="B407" s="1" t="s">
        <v>93</v>
      </c>
      <c r="C407" s="1">
        <v>97.18</v>
      </c>
      <c r="D407" s="1">
        <v>5.25</v>
      </c>
      <c r="E407" s="6">
        <v>42125</v>
      </c>
      <c r="F407" s="5">
        <v>5.663E-2</v>
      </c>
      <c r="G407" s="1">
        <v>5.4020000000000001</v>
      </c>
      <c r="H407" s="1" t="s">
        <v>7</v>
      </c>
      <c r="I407" s="1" t="s">
        <v>8</v>
      </c>
      <c r="J407" s="2">
        <f t="shared" si="6"/>
        <v>8.7260273972602747</v>
      </c>
    </row>
    <row r="408" spans="1:10" x14ac:dyDescent="0.25">
      <c r="A408" s="1" t="s">
        <v>12</v>
      </c>
      <c r="B408" s="1" t="s">
        <v>276</v>
      </c>
      <c r="C408" s="1">
        <v>95.13</v>
      </c>
      <c r="D408" s="1">
        <v>6.875</v>
      </c>
      <c r="E408" s="6">
        <v>42125</v>
      </c>
      <c r="F408" s="5">
        <v>7.6499999999999999E-2</v>
      </c>
      <c r="G408" s="1">
        <v>7.2270000000000003</v>
      </c>
      <c r="H408" s="1" t="s">
        <v>7</v>
      </c>
      <c r="I408" s="1" t="s">
        <v>8</v>
      </c>
      <c r="J408" s="2">
        <f t="shared" si="6"/>
        <v>8.7260273972602747</v>
      </c>
    </row>
    <row r="409" spans="1:10" x14ac:dyDescent="0.25">
      <c r="A409" s="1" t="s">
        <v>12</v>
      </c>
      <c r="B409" s="1" t="s">
        <v>277</v>
      </c>
      <c r="C409" s="1">
        <v>98.86</v>
      </c>
      <c r="D409" s="1">
        <v>5.875</v>
      </c>
      <c r="E409" s="6">
        <v>42139</v>
      </c>
      <c r="F409" s="5">
        <v>6.0420000000000001E-2</v>
      </c>
      <c r="G409" s="1">
        <v>5.9420000000000002</v>
      </c>
      <c r="H409" s="1" t="s">
        <v>7</v>
      </c>
      <c r="I409" s="1" t="s">
        <v>8</v>
      </c>
      <c r="J409" s="2">
        <f t="shared" si="6"/>
        <v>8.7643835616438359</v>
      </c>
    </row>
    <row r="410" spans="1:10" x14ac:dyDescent="0.25">
      <c r="A410" s="1" t="s">
        <v>12</v>
      </c>
      <c r="B410" s="1" t="s">
        <v>270</v>
      </c>
      <c r="C410" s="1">
        <v>92</v>
      </c>
      <c r="D410" s="1">
        <v>5</v>
      </c>
      <c r="E410" s="6">
        <v>42139</v>
      </c>
      <c r="F410" s="5">
        <v>6.1969999999999997E-2</v>
      </c>
      <c r="G410" s="1">
        <v>5.4349999999999996</v>
      </c>
      <c r="H410" s="1" t="s">
        <v>7</v>
      </c>
      <c r="I410" s="1" t="s">
        <v>8</v>
      </c>
      <c r="J410" s="2">
        <f t="shared" si="6"/>
        <v>8.7643835616438359</v>
      </c>
    </row>
    <row r="411" spans="1:10" x14ac:dyDescent="0.25">
      <c r="A411" s="1" t="s">
        <v>12</v>
      </c>
      <c r="B411" s="1" t="s">
        <v>154</v>
      </c>
      <c r="C411" s="1">
        <v>96.81</v>
      </c>
      <c r="D411" s="1">
        <v>5.25</v>
      </c>
      <c r="E411" s="6">
        <v>42156</v>
      </c>
      <c r="F411" s="5">
        <v>5.7160000000000002E-2</v>
      </c>
      <c r="G411" s="1">
        <v>5.423</v>
      </c>
      <c r="H411" s="1" t="s">
        <v>7</v>
      </c>
      <c r="I411" s="1" t="s">
        <v>8</v>
      </c>
      <c r="J411" s="2">
        <f t="shared" si="6"/>
        <v>8.8109589041095884</v>
      </c>
    </row>
    <row r="412" spans="1:10" x14ac:dyDescent="0.25">
      <c r="A412" s="1" t="s">
        <v>12</v>
      </c>
      <c r="B412" s="1" t="s">
        <v>91</v>
      </c>
      <c r="C412" s="1">
        <v>106.09</v>
      </c>
      <c r="D412" s="1">
        <v>6.85</v>
      </c>
      <c r="E412" s="6">
        <v>42156</v>
      </c>
      <c r="F412" s="5">
        <v>5.9480000000000005E-2</v>
      </c>
      <c r="G412" s="1">
        <v>6.4569999999999999</v>
      </c>
      <c r="H412" s="1" t="s">
        <v>7</v>
      </c>
      <c r="I412" s="1" t="s">
        <v>8</v>
      </c>
      <c r="J412" s="2">
        <f t="shared" si="6"/>
        <v>8.8109589041095884</v>
      </c>
    </row>
    <row r="413" spans="1:10" x14ac:dyDescent="0.25">
      <c r="A413" s="1" t="s">
        <v>12</v>
      </c>
      <c r="B413" s="1" t="s">
        <v>164</v>
      </c>
      <c r="C413" s="1">
        <v>95.25</v>
      </c>
      <c r="D413" s="1">
        <v>5.625</v>
      </c>
      <c r="E413" s="6">
        <v>42156</v>
      </c>
      <c r="F413" s="5">
        <v>6.3369999999999996E-2</v>
      </c>
      <c r="G413" s="1">
        <v>5.9059999999999997</v>
      </c>
      <c r="H413" s="1" t="s">
        <v>7</v>
      </c>
      <c r="I413" s="1" t="s">
        <v>8</v>
      </c>
      <c r="J413" s="2">
        <f t="shared" si="6"/>
        <v>8.8109589041095884</v>
      </c>
    </row>
    <row r="414" spans="1:10" x14ac:dyDescent="0.25">
      <c r="A414" s="1" t="s">
        <v>12</v>
      </c>
      <c r="B414" s="1" t="s">
        <v>178</v>
      </c>
      <c r="C414" s="1">
        <v>93.66</v>
      </c>
      <c r="D414" s="1">
        <v>5.25</v>
      </c>
      <c r="E414" s="6">
        <v>42170</v>
      </c>
      <c r="F414" s="5">
        <v>6.1920000000000003E-2</v>
      </c>
      <c r="G414" s="1">
        <v>5.6059999999999999</v>
      </c>
      <c r="H414" s="1" t="s">
        <v>7</v>
      </c>
      <c r="I414" s="1" t="s">
        <v>8</v>
      </c>
      <c r="J414" s="2">
        <f t="shared" si="6"/>
        <v>8.8493150684931514</v>
      </c>
    </row>
    <row r="415" spans="1:10" x14ac:dyDescent="0.25">
      <c r="A415" s="1" t="s">
        <v>12</v>
      </c>
      <c r="B415" s="1" t="s">
        <v>16</v>
      </c>
      <c r="C415" s="1">
        <v>92.05</v>
      </c>
      <c r="D415" s="1">
        <v>4.55</v>
      </c>
      <c r="E415" s="6">
        <v>42170</v>
      </c>
      <c r="F415" s="5">
        <v>5.7079999999999999E-2</v>
      </c>
      <c r="G415" s="1">
        <v>4.9429999999999996</v>
      </c>
      <c r="H415" s="1" t="s">
        <v>7</v>
      </c>
      <c r="I415" s="1" t="s">
        <v>8</v>
      </c>
      <c r="J415" s="2">
        <f t="shared" si="6"/>
        <v>8.8493150684931514</v>
      </c>
    </row>
    <row r="416" spans="1:10" x14ac:dyDescent="0.25">
      <c r="A416" s="1" t="s">
        <v>12</v>
      </c>
      <c r="B416" s="1" t="s">
        <v>162</v>
      </c>
      <c r="C416" s="1">
        <v>94.74</v>
      </c>
      <c r="D416" s="1">
        <v>4.9000000000000004</v>
      </c>
      <c r="E416" s="6">
        <v>42170</v>
      </c>
      <c r="F416" s="5">
        <v>5.6639999999999996E-2</v>
      </c>
      <c r="G416" s="1">
        <v>5.1719999999999997</v>
      </c>
      <c r="H416" s="1" t="s">
        <v>7</v>
      </c>
      <c r="I416" s="1" t="s">
        <v>8</v>
      </c>
      <c r="J416" s="2">
        <f t="shared" si="6"/>
        <v>8.8493150684931514</v>
      </c>
    </row>
    <row r="417" spans="1:10" x14ac:dyDescent="0.25">
      <c r="A417" s="1" t="s">
        <v>12</v>
      </c>
      <c r="B417" s="1" t="s">
        <v>200</v>
      </c>
      <c r="C417" s="1">
        <v>95.6</v>
      </c>
      <c r="D417" s="1">
        <v>5.2</v>
      </c>
      <c r="E417" s="6">
        <v>42170</v>
      </c>
      <c r="F417" s="5">
        <v>5.8430000000000003E-2</v>
      </c>
      <c r="G417" s="1">
        <v>5.4390000000000001</v>
      </c>
      <c r="H417" s="1" t="s">
        <v>7</v>
      </c>
      <c r="I417" s="1" t="s">
        <v>8</v>
      </c>
      <c r="J417" s="2">
        <f t="shared" si="6"/>
        <v>8.8493150684931514</v>
      </c>
    </row>
    <row r="418" spans="1:10" x14ac:dyDescent="0.25">
      <c r="A418" s="1" t="s">
        <v>12</v>
      </c>
      <c r="B418" s="1" t="s">
        <v>96</v>
      </c>
      <c r="C418" s="1">
        <v>95.96</v>
      </c>
      <c r="D418" s="1">
        <v>5.5</v>
      </c>
      <c r="E418" s="6">
        <v>42278</v>
      </c>
      <c r="F418" s="5">
        <v>6.0830000000000002E-2</v>
      </c>
      <c r="G418" s="1">
        <v>5.7320000000000002</v>
      </c>
      <c r="H418" s="1" t="s">
        <v>7</v>
      </c>
      <c r="I418" s="1" t="s">
        <v>8</v>
      </c>
      <c r="J418" s="2">
        <f t="shared" si="6"/>
        <v>9.1452054794520556</v>
      </c>
    </row>
    <row r="419" spans="1:10" x14ac:dyDescent="0.25">
      <c r="A419" s="1" t="s">
        <v>12</v>
      </c>
      <c r="B419" s="1" t="s">
        <v>110</v>
      </c>
      <c r="C419" s="1">
        <v>94.47</v>
      </c>
      <c r="D419" s="1">
        <v>5.25</v>
      </c>
      <c r="E419" s="6">
        <v>42278</v>
      </c>
      <c r="F419" s="5">
        <v>6.046E-2</v>
      </c>
      <c r="G419" s="1">
        <v>5.5570000000000004</v>
      </c>
      <c r="H419" s="1" t="s">
        <v>7</v>
      </c>
      <c r="I419" s="1" t="s">
        <v>8</v>
      </c>
      <c r="J419" s="2">
        <f t="shared" si="6"/>
        <v>9.1452054794520556</v>
      </c>
    </row>
    <row r="420" spans="1:10" x14ac:dyDescent="0.25">
      <c r="A420" s="1" t="s">
        <v>12</v>
      </c>
      <c r="B420" s="1" t="s">
        <v>105</v>
      </c>
      <c r="C420" s="1">
        <v>112.59</v>
      </c>
      <c r="D420" s="1">
        <v>7.6</v>
      </c>
      <c r="E420" s="6">
        <v>42288</v>
      </c>
      <c r="F420" s="5">
        <v>5.806E-2</v>
      </c>
      <c r="G420" s="1">
        <v>6.75</v>
      </c>
      <c r="H420" s="1" t="s">
        <v>7</v>
      </c>
      <c r="I420" s="1" t="s">
        <v>8</v>
      </c>
      <c r="J420" s="2">
        <f t="shared" si="6"/>
        <v>9.1726027397260275</v>
      </c>
    </row>
    <row r="421" spans="1:10" x14ac:dyDescent="0.25">
      <c r="A421" s="1" t="s">
        <v>12</v>
      </c>
      <c r="B421" s="1" t="s">
        <v>278</v>
      </c>
      <c r="C421" s="1">
        <v>95.92</v>
      </c>
      <c r="D421" s="1">
        <v>5.375</v>
      </c>
      <c r="E421" s="6">
        <v>42292</v>
      </c>
      <c r="F421" s="5">
        <v>5.9580000000000001E-2</v>
      </c>
      <c r="G421" s="1">
        <v>5.6040000000000001</v>
      </c>
      <c r="H421" s="1" t="s">
        <v>7</v>
      </c>
      <c r="I421" s="1" t="s">
        <v>8</v>
      </c>
      <c r="J421" s="2">
        <f t="shared" si="6"/>
        <v>9.1835616438356169</v>
      </c>
    </row>
    <row r="422" spans="1:10" x14ac:dyDescent="0.25">
      <c r="A422" s="1" t="s">
        <v>12</v>
      </c>
      <c r="B422" s="1" t="s">
        <v>60</v>
      </c>
      <c r="C422" s="1">
        <v>106.33</v>
      </c>
      <c r="D422" s="1">
        <v>6.875</v>
      </c>
      <c r="E422" s="6">
        <v>42292</v>
      </c>
      <c r="F422" s="5">
        <v>5.9669999999999994E-2</v>
      </c>
      <c r="G422" s="1">
        <v>6.4660000000000002</v>
      </c>
      <c r="H422" s="1" t="s">
        <v>7</v>
      </c>
      <c r="I422" s="1" t="s">
        <v>8</v>
      </c>
      <c r="J422" s="2">
        <f t="shared" si="6"/>
        <v>9.1835616438356169</v>
      </c>
    </row>
    <row r="423" spans="1:10" x14ac:dyDescent="0.25">
      <c r="A423" s="1" t="s">
        <v>12</v>
      </c>
      <c r="B423" s="1" t="s">
        <v>147</v>
      </c>
      <c r="C423" s="1">
        <v>99.4</v>
      </c>
      <c r="D423" s="1">
        <v>5.85</v>
      </c>
      <c r="E423" s="6">
        <v>42323</v>
      </c>
      <c r="F423" s="5">
        <v>5.9340000000000004E-2</v>
      </c>
      <c r="G423" s="1">
        <v>5.8860000000000001</v>
      </c>
      <c r="H423" s="1" t="s">
        <v>7</v>
      </c>
      <c r="I423" s="1" t="s">
        <v>8</v>
      </c>
      <c r="J423" s="2">
        <f t="shared" si="6"/>
        <v>9.2684931506849306</v>
      </c>
    </row>
    <row r="424" spans="1:10" x14ac:dyDescent="0.25">
      <c r="A424" s="1" t="s">
        <v>12</v>
      </c>
      <c r="B424" s="1" t="s">
        <v>164</v>
      </c>
      <c r="C424" s="1">
        <v>100.5</v>
      </c>
      <c r="D424" s="1">
        <v>6.5</v>
      </c>
      <c r="E424" s="6">
        <v>42522</v>
      </c>
      <c r="F424" s="5">
        <v>6.429E-2</v>
      </c>
      <c r="G424" s="1">
        <v>6.468</v>
      </c>
      <c r="H424" s="1" t="s">
        <v>7</v>
      </c>
      <c r="I424" s="1" t="s">
        <v>8</v>
      </c>
      <c r="J424" s="2">
        <f t="shared" si="6"/>
        <v>9.8136986301369866</v>
      </c>
    </row>
    <row r="425" spans="1:10" x14ac:dyDescent="0.25">
      <c r="A425" s="1" t="s">
        <v>12</v>
      </c>
      <c r="B425" s="1" t="s">
        <v>48</v>
      </c>
      <c r="C425" s="1">
        <v>102.12</v>
      </c>
      <c r="D425" s="1">
        <v>7.25</v>
      </c>
      <c r="E425" s="6">
        <v>42536</v>
      </c>
      <c r="F425" s="5">
        <v>6.9459999999999994E-2</v>
      </c>
      <c r="G425" s="1">
        <v>7.0990000000000002</v>
      </c>
      <c r="H425" s="1" t="s">
        <v>7</v>
      </c>
      <c r="I425" s="1" t="s">
        <v>8</v>
      </c>
      <c r="J425" s="2">
        <f t="shared" si="6"/>
        <v>9.8520547945205479</v>
      </c>
    </row>
    <row r="426" spans="1:10" x14ac:dyDescent="0.25">
      <c r="A426" s="1" t="s">
        <v>12</v>
      </c>
      <c r="B426" s="1" t="s">
        <v>208</v>
      </c>
      <c r="C426" s="1">
        <v>102.83</v>
      </c>
      <c r="D426" s="1">
        <v>6.5</v>
      </c>
      <c r="E426" s="6">
        <v>42536</v>
      </c>
      <c r="F426" s="5">
        <v>6.1109999999999998E-2</v>
      </c>
      <c r="G426" s="1">
        <v>6.3209999999999997</v>
      </c>
      <c r="H426" s="1" t="s">
        <v>7</v>
      </c>
      <c r="I426" s="1" t="s">
        <v>8</v>
      </c>
      <c r="J426" s="2">
        <f t="shared" si="6"/>
        <v>9.8520547945205479</v>
      </c>
    </row>
    <row r="427" spans="1:10" x14ac:dyDescent="0.25">
      <c r="A427" s="1" t="s">
        <v>12</v>
      </c>
      <c r="B427" s="1" t="s">
        <v>17</v>
      </c>
      <c r="C427" s="1">
        <v>113.86</v>
      </c>
      <c r="D427" s="1">
        <v>7.65</v>
      </c>
      <c r="E427" s="6">
        <v>42597</v>
      </c>
      <c r="F427" s="5">
        <v>5.8029999999999998E-2</v>
      </c>
      <c r="G427" s="1">
        <v>6.7190000000000003</v>
      </c>
      <c r="H427" s="1" t="s">
        <v>7</v>
      </c>
      <c r="I427" s="1" t="s">
        <v>8</v>
      </c>
      <c r="J427" s="2">
        <f t="shared" si="6"/>
        <v>10.019178082191781</v>
      </c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2024-10-09T04:50:25Z</dcterms:modified>
</cp:coreProperties>
</file>