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215A9605-805F-4E98-B7B0-778D093C1DE2}" xr6:coauthVersionLast="47" xr6:coauthVersionMax="47" xr10:uidLastSave="{00000000-0000-0000-0000-000000000000}"/>
  <bookViews>
    <workbookView xWindow="-108" yWindow="-108" windowWidth="23256" windowHeight="12456" activeTab="1" xr2:uid="{EA6F33A8-FE0E-48B1-8C74-8B2321C6BA8B}"/>
  </bookViews>
  <sheets>
    <sheet name="Intel tax rate" sheetId="2" r:id="rId1"/>
    <sheet name="sheet1" sheetId="3" r:id="rId2"/>
  </sheets>
  <externalReferences>
    <externalReference r:id="rId3"/>
    <externalReference r:id="rId4"/>
  </externalReferences>
  <calcPr calcId="191029" iterate="1" iterateDelta="1.0000000000000001E-5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B5" i="3"/>
  <c r="B2" i="3"/>
  <c r="H26" i="2"/>
  <c r="G26" i="2"/>
  <c r="F26" i="2"/>
  <c r="D26" i="2"/>
  <c r="C26" i="2"/>
  <c r="B26" i="2"/>
  <c r="H21" i="2"/>
  <c r="G21" i="2"/>
  <c r="F21" i="2"/>
  <c r="H20" i="2"/>
  <c r="G20" i="2"/>
  <c r="F20" i="2"/>
  <c r="F19" i="2"/>
  <c r="F17" i="2"/>
  <c r="F13" i="2"/>
  <c r="H6" i="2"/>
  <c r="G6" i="2"/>
  <c r="F6" i="2"/>
  <c r="C6" i="3"/>
</calcChain>
</file>

<file path=xl/sharedStrings.xml><?xml version="1.0" encoding="utf-8"?>
<sst xmlns="http://schemas.openxmlformats.org/spreadsheetml/2006/main" count="33" uniqueCount="33">
  <si>
    <t>COMPUTING INTEL'S TAX RATE</t>
  </si>
  <si>
    <t>INTEL CORP 10-K 2005-12-31: Income Statement</t>
  </si>
  <si>
    <t>Cost of sales</t>
  </si>
  <si>
    <t>Research and development</t>
  </si>
  <si>
    <t>Marketing, general and administrative</t>
  </si>
  <si>
    <t>Purchased in-process research and development</t>
  </si>
  <si>
    <t>Operating expenses</t>
  </si>
  <si>
    <t>Operating income</t>
  </si>
  <si>
    <t>Interest and other, net</t>
  </si>
  <si>
    <t>Income before taxes</t>
  </si>
  <si>
    <t>Net income</t>
  </si>
  <si>
    <t>Weighted average common shares outstanding, assuming</t>
  </si>
  <si>
    <t>Tax rate</t>
  </si>
  <si>
    <t>This data was extracted by EdgarScan from the PricewaterhouseCoopers Global Technology Centre.</t>
  </si>
  <si>
    <t>Please read the on-line disclaimer at http://edgarscan.pwcglobal.com/EdgarScan/edgarscan_disclaimer.html</t>
  </si>
  <si>
    <t>Intel beta</t>
  </si>
  <si>
    <r>
      <t>Intel tax rate, T</t>
    </r>
    <r>
      <rPr>
        <vertAlign val="subscript"/>
        <sz val="10"/>
        <rFont val="Arial"/>
        <family val="2"/>
      </rPr>
      <t>C</t>
    </r>
  </si>
  <si>
    <t>&lt;-- Computed from Intel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</si>
  <si>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</si>
  <si>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</si>
  <si>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Intel cost of equity, r</t>
    </r>
    <r>
      <rPr>
        <vertAlign val="subscript"/>
        <sz val="10"/>
        <rFont val="Arial"/>
        <family val="2"/>
      </rPr>
      <t>E,Intel</t>
    </r>
  </si>
  <si>
    <r>
      <t xml:space="preserve">COMPUTING THE COST OF EQUITY FOR INTEL
</t>
    </r>
    <r>
      <rPr>
        <b/>
        <sz val="12"/>
        <rFont val="Arial"/>
        <family val="2"/>
      </rPr>
      <t>Tax-adjusted CAPM:  r</t>
    </r>
    <r>
      <rPr>
        <b/>
        <vertAlign val="subscript"/>
        <sz val="12"/>
        <rFont val="Arial"/>
        <family val="2"/>
      </rPr>
      <t xml:space="preserve">E </t>
    </r>
    <r>
      <rPr>
        <b/>
        <sz val="12"/>
        <rFont val="Arial"/>
        <family val="2"/>
      </rPr>
      <t>= r</t>
    </r>
    <r>
      <rPr>
        <b/>
        <vertAlign val="subscript"/>
        <sz val="12"/>
        <rFont val="Arial"/>
        <family val="2"/>
      </rPr>
      <t xml:space="preserve">f </t>
    </r>
    <r>
      <rPr>
        <b/>
        <sz val="12"/>
        <rFont val="Arial"/>
        <family val="2"/>
      </rPr>
      <t>(1-T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>)</t>
    </r>
    <r>
      <rPr>
        <b/>
        <vertAlign val="sub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+ </t>
    </r>
    <r>
      <rPr>
        <b/>
        <sz val="12"/>
        <rFont val="Symbol"/>
        <family val="1"/>
        <charset val="2"/>
      </rPr>
      <t>b</t>
    </r>
    <r>
      <rPr>
        <b/>
        <sz val="12"/>
        <rFont val="Arial"/>
        <family val="2"/>
      </rPr>
      <t>*[</t>
    </r>
    <r>
      <rPr>
        <b/>
        <vertAlign val="subscript"/>
        <sz val="12"/>
        <rFont val="Arial"/>
        <family val="2"/>
      </rPr>
      <t xml:space="preserve"> </t>
    </r>
    <r>
      <rPr>
        <b/>
        <sz val="12"/>
        <rFont val="Arial"/>
        <family val="2"/>
      </rPr>
      <t>E(r</t>
    </r>
    <r>
      <rPr>
        <b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)-r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(1-T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>)</t>
    </r>
    <r>
      <rPr>
        <b/>
        <vertAlign val="subscript"/>
        <sz val="12"/>
        <rFont val="Arial"/>
        <family val="2"/>
      </rPr>
      <t xml:space="preserve"> </t>
    </r>
    <r>
      <rPr>
        <b/>
        <sz val="12"/>
        <rFont val="Arial"/>
        <family val="2"/>
      </rPr>
      <t>]</t>
    </r>
    <phoneticPr fontId="1" type="noConversion"/>
  </si>
  <si>
    <t>Impairment of goodwill</t>
    <phoneticPr fontId="1" type="noConversion"/>
  </si>
  <si>
    <t>Gross margin</t>
    <phoneticPr fontId="1" type="noConversion"/>
  </si>
  <si>
    <t>Net revenue</t>
    <phoneticPr fontId="1" type="noConversion"/>
  </si>
  <si>
    <t>Amortization and impairment of acquisition-related</t>
    <phoneticPr fontId="1" type="noConversion"/>
  </si>
  <si>
    <t>intangibles and costs</t>
    <phoneticPr fontId="1" type="noConversion"/>
  </si>
  <si>
    <t>Losses on equity securities, net</t>
    <phoneticPr fontId="1" type="noConversion"/>
  </si>
  <si>
    <t>Provision for taxes</t>
    <phoneticPr fontId="1" type="noConversion"/>
  </si>
  <si>
    <t>Diluted earnings per common share</t>
    <phoneticPr fontId="1" type="noConversion"/>
  </si>
  <si>
    <t>Basic earnings per common share</t>
    <phoneticPr fontId="1" type="noConversion"/>
  </si>
  <si>
    <t>Weighted average common shares outstanding</t>
    <phoneticPr fontId="1" type="noConversion"/>
  </si>
  <si>
    <t>dilution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</si>
</sst>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&quot;$&quot;#,##0_);[Red]\(&quot;$&quot;#,##0\)"/>
    <numFmt numFmtId="178" formatCode="0.0000"/>
    <numFmt numFmtId="179" formatCode="&quot;$&quot;#,##0.00_);[Red]\(&quot;$&quot;#,##0.0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b/>
      <sz val="12"/>
      <name val="Symbol"/>
      <family val="1"/>
      <charset val="2"/>
    </font>
    <font>
      <vertAlign val="subscript"/>
      <sz val="10"/>
      <name val="Arial"/>
      <family val="2"/>
    </font>
    <font>
      <sz val="11"/>
      <color rgb="FFFF0000"/>
      <name val="等线"/>
      <family val="2"/>
      <charset val="134"/>
      <scheme val="minor"/>
    </font>
    <font>
      <sz val="10"/>
      <color rgb="FFFF0000"/>
      <name val="Arial"/>
      <family val="2"/>
    </font>
    <font>
      <b/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center"/>
    </xf>
    <xf numFmtId="177" fontId="2" fillId="0" borderId="0" xfId="1" applyNumberFormat="1"/>
    <xf numFmtId="10" fontId="0" fillId="0" borderId="0" xfId="2" applyNumberFormat="1" applyFont="1"/>
    <xf numFmtId="178" fontId="2" fillId="0" borderId="0" xfId="1" applyNumberFormat="1"/>
    <xf numFmtId="10" fontId="2" fillId="0" borderId="0" xfId="1" applyNumberFormat="1"/>
    <xf numFmtId="0" fontId="2" fillId="2" borderId="0" xfId="1" applyFill="1"/>
    <xf numFmtId="10" fontId="2" fillId="2" borderId="0" xfId="2" applyNumberFormat="1" applyFill="1"/>
    <xf numFmtId="0" fontId="2" fillId="3" borderId="0" xfId="1" applyFill="1"/>
    <xf numFmtId="177" fontId="2" fillId="3" borderId="0" xfId="1" applyNumberFormat="1" applyFill="1"/>
    <xf numFmtId="10" fontId="8" fillId="0" borderId="0" xfId="2" applyNumberFormat="1" applyFont="1"/>
    <xf numFmtId="179" fontId="9" fillId="0" borderId="0" xfId="1" applyNumberFormat="1" applyFont="1"/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 vertical="center" wrapText="1"/>
    </xf>
  </cellXfs>
  <cellStyles count="3">
    <cellStyle name="百分比 2" xfId="2" xr:uid="{DFDF6C71-D08B-4F23-BD6D-B533410CD367}"/>
    <cellStyle name="常规" xfId="0" builtinId="0"/>
    <cellStyle name="常规 2" xfId="1" xr:uid="{C21BFB1B-3F94-401D-BE5E-37F66DA436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B2">
            <v>2.2516049448723261</v>
          </cell>
        </row>
      </sheetData>
      <sheetData sheetId="23"/>
      <sheetData sheetId="24"/>
      <sheetData sheetId="25"/>
      <sheetData sheetId="26"/>
      <sheetData sheetId="27">
        <row r="5">
          <cell r="B5">
            <v>9.9846517757206321E-2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73E2D-F91A-48F2-BC28-5D9E180DF663}">
  <sheetPr codeName="Sheet10">
    <pageSetUpPr fitToPage="1"/>
  </sheetPr>
  <dimension ref="A1:H31"/>
  <sheetViews>
    <sheetView view="pageBreakPreview" zoomScale="60" zoomScaleNormal="100" workbookViewId="0">
      <selection activeCell="M25" sqref="M25"/>
    </sheetView>
  </sheetViews>
  <sheetFormatPr defaultRowHeight="13.2" x14ac:dyDescent="0.25"/>
  <cols>
    <col min="1" max="1" width="45.109375" style="1" customWidth="1"/>
    <col min="2" max="4" width="18.6640625" style="1" bestFit="1" customWidth="1"/>
    <col min="5" max="5" width="8.88671875" style="1"/>
    <col min="6" max="8" width="17.33203125" style="1" customWidth="1"/>
    <col min="9" max="256" width="8.88671875" style="1"/>
    <col min="257" max="257" width="45.109375" style="1" customWidth="1"/>
    <col min="258" max="260" width="15.44140625" style="1" bestFit="1" customWidth="1"/>
    <col min="261" max="512" width="8.88671875" style="1"/>
    <col min="513" max="513" width="45.109375" style="1" customWidth="1"/>
    <col min="514" max="516" width="15.44140625" style="1" bestFit="1" customWidth="1"/>
    <col min="517" max="768" width="8.88671875" style="1"/>
    <col min="769" max="769" width="45.109375" style="1" customWidth="1"/>
    <col min="770" max="772" width="15.44140625" style="1" bestFit="1" customWidth="1"/>
    <col min="773" max="1024" width="8.88671875" style="1"/>
    <col min="1025" max="1025" width="45.109375" style="1" customWidth="1"/>
    <col min="1026" max="1028" width="15.44140625" style="1" bestFit="1" customWidth="1"/>
    <col min="1029" max="1280" width="8.88671875" style="1"/>
    <col min="1281" max="1281" width="45.109375" style="1" customWidth="1"/>
    <col min="1282" max="1284" width="15.44140625" style="1" bestFit="1" customWidth="1"/>
    <col min="1285" max="1536" width="8.88671875" style="1"/>
    <col min="1537" max="1537" width="45.109375" style="1" customWidth="1"/>
    <col min="1538" max="1540" width="15.44140625" style="1" bestFit="1" customWidth="1"/>
    <col min="1541" max="1792" width="8.88671875" style="1"/>
    <col min="1793" max="1793" width="45.109375" style="1" customWidth="1"/>
    <col min="1794" max="1796" width="15.44140625" style="1" bestFit="1" customWidth="1"/>
    <col min="1797" max="2048" width="8.88671875" style="1"/>
    <col min="2049" max="2049" width="45.109375" style="1" customWidth="1"/>
    <col min="2050" max="2052" width="15.44140625" style="1" bestFit="1" customWidth="1"/>
    <col min="2053" max="2304" width="8.88671875" style="1"/>
    <col min="2305" max="2305" width="45.109375" style="1" customWidth="1"/>
    <col min="2306" max="2308" width="15.44140625" style="1" bestFit="1" customWidth="1"/>
    <col min="2309" max="2560" width="8.88671875" style="1"/>
    <col min="2561" max="2561" width="45.109375" style="1" customWidth="1"/>
    <col min="2562" max="2564" width="15.44140625" style="1" bestFit="1" customWidth="1"/>
    <col min="2565" max="2816" width="8.88671875" style="1"/>
    <col min="2817" max="2817" width="45.109375" style="1" customWidth="1"/>
    <col min="2818" max="2820" width="15.44140625" style="1" bestFit="1" customWidth="1"/>
    <col min="2821" max="3072" width="8.88671875" style="1"/>
    <col min="3073" max="3073" width="45.109375" style="1" customWidth="1"/>
    <col min="3074" max="3076" width="15.44140625" style="1" bestFit="1" customWidth="1"/>
    <col min="3077" max="3328" width="8.88671875" style="1"/>
    <col min="3329" max="3329" width="45.109375" style="1" customWidth="1"/>
    <col min="3330" max="3332" width="15.44140625" style="1" bestFit="1" customWidth="1"/>
    <col min="3333" max="3584" width="8.88671875" style="1"/>
    <col min="3585" max="3585" width="45.109375" style="1" customWidth="1"/>
    <col min="3586" max="3588" width="15.44140625" style="1" bestFit="1" customWidth="1"/>
    <col min="3589" max="3840" width="8.88671875" style="1"/>
    <col min="3841" max="3841" width="45.109375" style="1" customWidth="1"/>
    <col min="3842" max="3844" width="15.44140625" style="1" bestFit="1" customWidth="1"/>
    <col min="3845" max="4096" width="8.88671875" style="1"/>
    <col min="4097" max="4097" width="45.109375" style="1" customWidth="1"/>
    <col min="4098" max="4100" width="15.44140625" style="1" bestFit="1" customWidth="1"/>
    <col min="4101" max="4352" width="8.88671875" style="1"/>
    <col min="4353" max="4353" width="45.109375" style="1" customWidth="1"/>
    <col min="4354" max="4356" width="15.44140625" style="1" bestFit="1" customWidth="1"/>
    <col min="4357" max="4608" width="8.88671875" style="1"/>
    <col min="4609" max="4609" width="45.109375" style="1" customWidth="1"/>
    <col min="4610" max="4612" width="15.44140625" style="1" bestFit="1" customWidth="1"/>
    <col min="4613" max="4864" width="8.88671875" style="1"/>
    <col min="4865" max="4865" width="45.109375" style="1" customWidth="1"/>
    <col min="4866" max="4868" width="15.44140625" style="1" bestFit="1" customWidth="1"/>
    <col min="4869" max="5120" width="8.88671875" style="1"/>
    <col min="5121" max="5121" width="45.109375" style="1" customWidth="1"/>
    <col min="5122" max="5124" width="15.44140625" style="1" bestFit="1" customWidth="1"/>
    <col min="5125" max="5376" width="8.88671875" style="1"/>
    <col min="5377" max="5377" width="45.109375" style="1" customWidth="1"/>
    <col min="5378" max="5380" width="15.44140625" style="1" bestFit="1" customWidth="1"/>
    <col min="5381" max="5632" width="8.88671875" style="1"/>
    <col min="5633" max="5633" width="45.109375" style="1" customWidth="1"/>
    <col min="5634" max="5636" width="15.44140625" style="1" bestFit="1" customWidth="1"/>
    <col min="5637" max="5888" width="8.88671875" style="1"/>
    <col min="5889" max="5889" width="45.109375" style="1" customWidth="1"/>
    <col min="5890" max="5892" width="15.44140625" style="1" bestFit="1" customWidth="1"/>
    <col min="5893" max="6144" width="8.88671875" style="1"/>
    <col min="6145" max="6145" width="45.109375" style="1" customWidth="1"/>
    <col min="6146" max="6148" width="15.44140625" style="1" bestFit="1" customWidth="1"/>
    <col min="6149" max="6400" width="8.88671875" style="1"/>
    <col min="6401" max="6401" width="45.109375" style="1" customWidth="1"/>
    <col min="6402" max="6404" width="15.44140625" style="1" bestFit="1" customWidth="1"/>
    <col min="6405" max="6656" width="8.88671875" style="1"/>
    <col min="6657" max="6657" width="45.109375" style="1" customWidth="1"/>
    <col min="6658" max="6660" width="15.44140625" style="1" bestFit="1" customWidth="1"/>
    <col min="6661" max="6912" width="8.88671875" style="1"/>
    <col min="6913" max="6913" width="45.109375" style="1" customWidth="1"/>
    <col min="6914" max="6916" width="15.44140625" style="1" bestFit="1" customWidth="1"/>
    <col min="6917" max="7168" width="8.88671875" style="1"/>
    <col min="7169" max="7169" width="45.109375" style="1" customWidth="1"/>
    <col min="7170" max="7172" width="15.44140625" style="1" bestFit="1" customWidth="1"/>
    <col min="7173" max="7424" width="8.88671875" style="1"/>
    <col min="7425" max="7425" width="45.109375" style="1" customWidth="1"/>
    <col min="7426" max="7428" width="15.44140625" style="1" bestFit="1" customWidth="1"/>
    <col min="7429" max="7680" width="8.88671875" style="1"/>
    <col min="7681" max="7681" width="45.109375" style="1" customWidth="1"/>
    <col min="7682" max="7684" width="15.44140625" style="1" bestFit="1" customWidth="1"/>
    <col min="7685" max="7936" width="8.88671875" style="1"/>
    <col min="7937" max="7937" width="45.109375" style="1" customWidth="1"/>
    <col min="7938" max="7940" width="15.44140625" style="1" bestFit="1" customWidth="1"/>
    <col min="7941" max="8192" width="8.88671875" style="1"/>
    <col min="8193" max="8193" width="45.109375" style="1" customWidth="1"/>
    <col min="8194" max="8196" width="15.44140625" style="1" bestFit="1" customWidth="1"/>
    <col min="8197" max="8448" width="8.88671875" style="1"/>
    <col min="8449" max="8449" width="45.109375" style="1" customWidth="1"/>
    <col min="8450" max="8452" width="15.44140625" style="1" bestFit="1" customWidth="1"/>
    <col min="8453" max="8704" width="8.88671875" style="1"/>
    <col min="8705" max="8705" width="45.109375" style="1" customWidth="1"/>
    <col min="8706" max="8708" width="15.44140625" style="1" bestFit="1" customWidth="1"/>
    <col min="8709" max="8960" width="8.88671875" style="1"/>
    <col min="8961" max="8961" width="45.109375" style="1" customWidth="1"/>
    <col min="8962" max="8964" width="15.44140625" style="1" bestFit="1" customWidth="1"/>
    <col min="8965" max="9216" width="8.88671875" style="1"/>
    <col min="9217" max="9217" width="45.109375" style="1" customWidth="1"/>
    <col min="9218" max="9220" width="15.44140625" style="1" bestFit="1" customWidth="1"/>
    <col min="9221" max="9472" width="8.88671875" style="1"/>
    <col min="9473" max="9473" width="45.109375" style="1" customWidth="1"/>
    <col min="9474" max="9476" width="15.44140625" style="1" bestFit="1" customWidth="1"/>
    <col min="9477" max="9728" width="8.88671875" style="1"/>
    <col min="9729" max="9729" width="45.109375" style="1" customWidth="1"/>
    <col min="9730" max="9732" width="15.44140625" style="1" bestFit="1" customWidth="1"/>
    <col min="9733" max="9984" width="8.88671875" style="1"/>
    <col min="9985" max="9985" width="45.109375" style="1" customWidth="1"/>
    <col min="9986" max="9988" width="15.44140625" style="1" bestFit="1" customWidth="1"/>
    <col min="9989" max="10240" width="8.88671875" style="1"/>
    <col min="10241" max="10241" width="45.109375" style="1" customWidth="1"/>
    <col min="10242" max="10244" width="15.44140625" style="1" bestFit="1" customWidth="1"/>
    <col min="10245" max="10496" width="8.88671875" style="1"/>
    <col min="10497" max="10497" width="45.109375" style="1" customWidth="1"/>
    <col min="10498" max="10500" width="15.44140625" style="1" bestFit="1" customWidth="1"/>
    <col min="10501" max="10752" width="8.88671875" style="1"/>
    <col min="10753" max="10753" width="45.109375" style="1" customWidth="1"/>
    <col min="10754" max="10756" width="15.44140625" style="1" bestFit="1" customWidth="1"/>
    <col min="10757" max="11008" width="8.88671875" style="1"/>
    <col min="11009" max="11009" width="45.109375" style="1" customWidth="1"/>
    <col min="11010" max="11012" width="15.44140625" style="1" bestFit="1" customWidth="1"/>
    <col min="11013" max="11264" width="8.88671875" style="1"/>
    <col min="11265" max="11265" width="45.109375" style="1" customWidth="1"/>
    <col min="11266" max="11268" width="15.44140625" style="1" bestFit="1" customWidth="1"/>
    <col min="11269" max="11520" width="8.88671875" style="1"/>
    <col min="11521" max="11521" width="45.109375" style="1" customWidth="1"/>
    <col min="11522" max="11524" width="15.44140625" style="1" bestFit="1" customWidth="1"/>
    <col min="11525" max="11776" width="8.88671875" style="1"/>
    <col min="11777" max="11777" width="45.109375" style="1" customWidth="1"/>
    <col min="11778" max="11780" width="15.44140625" style="1" bestFit="1" customWidth="1"/>
    <col min="11781" max="12032" width="8.88671875" style="1"/>
    <col min="12033" max="12033" width="45.109375" style="1" customWidth="1"/>
    <col min="12034" max="12036" width="15.44140625" style="1" bestFit="1" customWidth="1"/>
    <col min="12037" max="12288" width="8.88671875" style="1"/>
    <col min="12289" max="12289" width="45.109375" style="1" customWidth="1"/>
    <col min="12290" max="12292" width="15.44140625" style="1" bestFit="1" customWidth="1"/>
    <col min="12293" max="12544" width="8.88671875" style="1"/>
    <col min="12545" max="12545" width="45.109375" style="1" customWidth="1"/>
    <col min="12546" max="12548" width="15.44140625" style="1" bestFit="1" customWidth="1"/>
    <col min="12549" max="12800" width="8.88671875" style="1"/>
    <col min="12801" max="12801" width="45.109375" style="1" customWidth="1"/>
    <col min="12802" max="12804" width="15.44140625" style="1" bestFit="1" customWidth="1"/>
    <col min="12805" max="13056" width="8.88671875" style="1"/>
    <col min="13057" max="13057" width="45.109375" style="1" customWidth="1"/>
    <col min="13058" max="13060" width="15.44140625" style="1" bestFit="1" customWidth="1"/>
    <col min="13061" max="13312" width="8.88671875" style="1"/>
    <col min="13313" max="13313" width="45.109375" style="1" customWidth="1"/>
    <col min="13314" max="13316" width="15.44140625" style="1" bestFit="1" customWidth="1"/>
    <col min="13317" max="13568" width="8.88671875" style="1"/>
    <col min="13569" max="13569" width="45.109375" style="1" customWidth="1"/>
    <col min="13570" max="13572" width="15.44140625" style="1" bestFit="1" customWidth="1"/>
    <col min="13573" max="13824" width="8.88671875" style="1"/>
    <col min="13825" max="13825" width="45.109375" style="1" customWidth="1"/>
    <col min="13826" max="13828" width="15.44140625" style="1" bestFit="1" customWidth="1"/>
    <col min="13829" max="14080" width="8.88671875" style="1"/>
    <col min="14081" max="14081" width="45.109375" style="1" customWidth="1"/>
    <col min="14082" max="14084" width="15.44140625" style="1" bestFit="1" customWidth="1"/>
    <col min="14085" max="14336" width="8.88671875" style="1"/>
    <col min="14337" max="14337" width="45.109375" style="1" customWidth="1"/>
    <col min="14338" max="14340" width="15.44140625" style="1" bestFit="1" customWidth="1"/>
    <col min="14341" max="14592" width="8.88671875" style="1"/>
    <col min="14593" max="14593" width="45.109375" style="1" customWidth="1"/>
    <col min="14594" max="14596" width="15.44140625" style="1" bestFit="1" customWidth="1"/>
    <col min="14597" max="14848" width="8.88671875" style="1"/>
    <col min="14849" max="14849" width="45.109375" style="1" customWidth="1"/>
    <col min="14850" max="14852" width="15.44140625" style="1" bestFit="1" customWidth="1"/>
    <col min="14853" max="15104" width="8.88671875" style="1"/>
    <col min="15105" max="15105" width="45.109375" style="1" customWidth="1"/>
    <col min="15106" max="15108" width="15.44140625" style="1" bestFit="1" customWidth="1"/>
    <col min="15109" max="15360" width="8.88671875" style="1"/>
    <col min="15361" max="15361" width="45.109375" style="1" customWidth="1"/>
    <col min="15362" max="15364" width="15.44140625" style="1" bestFit="1" customWidth="1"/>
    <col min="15365" max="15616" width="8.88671875" style="1"/>
    <col min="15617" max="15617" width="45.109375" style="1" customWidth="1"/>
    <col min="15618" max="15620" width="15.44140625" style="1" bestFit="1" customWidth="1"/>
    <col min="15621" max="15872" width="8.88671875" style="1"/>
    <col min="15873" max="15873" width="45.109375" style="1" customWidth="1"/>
    <col min="15874" max="15876" width="15.44140625" style="1" bestFit="1" customWidth="1"/>
    <col min="15877" max="16128" width="8.88671875" style="1"/>
    <col min="16129" max="16129" width="45.109375" style="1" customWidth="1"/>
    <col min="16130" max="16132" width="15.44140625" style="1" bestFit="1" customWidth="1"/>
    <col min="16133" max="16384" width="8.88671875" style="1"/>
  </cols>
  <sheetData>
    <row r="1" spans="1:8" ht="24.6" x14ac:dyDescent="0.4">
      <c r="A1" s="13" t="s">
        <v>0</v>
      </c>
      <c r="B1" s="13"/>
      <c r="C1" s="13"/>
      <c r="D1" s="13"/>
      <c r="E1" s="13"/>
      <c r="F1" s="13"/>
      <c r="G1" s="13"/>
      <c r="H1" s="13"/>
    </row>
    <row r="2" spans="1:8" x14ac:dyDescent="0.25">
      <c r="A2" s="1" t="s">
        <v>1</v>
      </c>
    </row>
    <row r="3" spans="1:8" x14ac:dyDescent="0.25">
      <c r="B3" s="2">
        <v>38717</v>
      </c>
      <c r="C3" s="2">
        <v>38352</v>
      </c>
      <c r="D3" s="2">
        <v>37986</v>
      </c>
      <c r="F3" s="2">
        <v>38717</v>
      </c>
      <c r="G3" s="2">
        <v>38352</v>
      </c>
      <c r="H3" s="2">
        <v>37986</v>
      </c>
    </row>
    <row r="4" spans="1:8" x14ac:dyDescent="0.25">
      <c r="A4" s="1" t="s">
        <v>24</v>
      </c>
      <c r="B4" s="3">
        <v>38826000000</v>
      </c>
      <c r="C4" s="3">
        <v>34209000000</v>
      </c>
      <c r="D4" s="3">
        <v>30141000000</v>
      </c>
      <c r="F4" s="3">
        <v>38826000000</v>
      </c>
      <c r="G4" s="3">
        <v>34209000000</v>
      </c>
      <c r="H4" s="3">
        <v>30141000000</v>
      </c>
    </row>
    <row r="5" spans="1:8" x14ac:dyDescent="0.25">
      <c r="A5" s="1" t="s">
        <v>2</v>
      </c>
      <c r="B5" s="3">
        <v>15777000000</v>
      </c>
      <c r="C5" s="3">
        <v>14463000000</v>
      </c>
      <c r="D5" s="3">
        <v>13047000000</v>
      </c>
      <c r="F5" s="3">
        <v>15777000000</v>
      </c>
      <c r="G5" s="3">
        <v>14463000000</v>
      </c>
      <c r="H5" s="3">
        <v>13047000000</v>
      </c>
    </row>
    <row r="6" spans="1:8" x14ac:dyDescent="0.25">
      <c r="A6" s="9" t="s">
        <v>23</v>
      </c>
      <c r="B6" s="10">
        <v>23049000000</v>
      </c>
      <c r="C6" s="10">
        <v>19746000000</v>
      </c>
      <c r="D6" s="10">
        <v>17094000000</v>
      </c>
      <c r="E6" s="9"/>
      <c r="F6" s="10">
        <f>F4-F5</f>
        <v>23049000000</v>
      </c>
      <c r="G6" s="10">
        <f>G4-G5</f>
        <v>19746000000</v>
      </c>
      <c r="H6" s="10">
        <f>H4-H5</f>
        <v>17094000000</v>
      </c>
    </row>
    <row r="7" spans="1:8" x14ac:dyDescent="0.25">
      <c r="A7" s="1" t="s">
        <v>3</v>
      </c>
      <c r="B7" s="3">
        <v>5145000000</v>
      </c>
      <c r="C7" s="3">
        <v>4778000000</v>
      </c>
      <c r="D7" s="3">
        <v>4360000000</v>
      </c>
      <c r="F7" s="3">
        <v>5145000000</v>
      </c>
      <c r="G7" s="3">
        <v>4778000000</v>
      </c>
      <c r="H7" s="3">
        <v>4360000000</v>
      </c>
    </row>
    <row r="8" spans="1:8" x14ac:dyDescent="0.25">
      <c r="A8" s="1" t="s">
        <v>4</v>
      </c>
      <c r="B8" s="3">
        <v>5688000000</v>
      </c>
      <c r="C8" s="3">
        <v>4659000000</v>
      </c>
      <c r="D8" s="3">
        <v>4278000000</v>
      </c>
      <c r="F8" s="3">
        <v>5688000000</v>
      </c>
      <c r="G8" s="3">
        <v>4659000000</v>
      </c>
      <c r="H8" s="3">
        <v>4278000000</v>
      </c>
    </row>
    <row r="9" spans="1:8" x14ac:dyDescent="0.25">
      <c r="A9" s="1" t="s">
        <v>22</v>
      </c>
      <c r="B9" s="3">
        <v>0</v>
      </c>
      <c r="C9" s="3">
        <v>0</v>
      </c>
      <c r="D9" s="3">
        <v>617000000</v>
      </c>
      <c r="F9" s="3">
        <v>0</v>
      </c>
      <c r="G9" s="3">
        <v>0</v>
      </c>
      <c r="H9" s="3">
        <v>617000000</v>
      </c>
    </row>
    <row r="10" spans="1:8" x14ac:dyDescent="0.25">
      <c r="A10" s="1" t="s">
        <v>25</v>
      </c>
      <c r="B10" s="3">
        <v>126000000</v>
      </c>
      <c r="C10" s="3">
        <v>179000000</v>
      </c>
      <c r="D10" s="3">
        <v>301000000</v>
      </c>
      <c r="F10" s="3">
        <v>126000000</v>
      </c>
      <c r="G10" s="3">
        <v>179000000</v>
      </c>
      <c r="H10" s="3">
        <v>301000000</v>
      </c>
    </row>
    <row r="11" spans="1:8" x14ac:dyDescent="0.25">
      <c r="A11" s="1" t="s">
        <v>26</v>
      </c>
    </row>
    <row r="12" spans="1:8" x14ac:dyDescent="0.25">
      <c r="A12" s="1" t="s">
        <v>5</v>
      </c>
      <c r="B12" s="3">
        <v>0</v>
      </c>
      <c r="C12" s="3">
        <v>0</v>
      </c>
      <c r="D12" s="3">
        <v>5000000</v>
      </c>
      <c r="F12" s="3">
        <v>0</v>
      </c>
      <c r="G12" s="3">
        <v>0</v>
      </c>
      <c r="H12" s="3">
        <v>5000000</v>
      </c>
    </row>
    <row r="13" spans="1:8" x14ac:dyDescent="0.25">
      <c r="A13" s="9" t="s">
        <v>6</v>
      </c>
      <c r="B13" s="10">
        <v>10959000000</v>
      </c>
      <c r="C13" s="10">
        <v>9616000000</v>
      </c>
      <c r="D13" s="10">
        <v>9561000000</v>
      </c>
      <c r="E13" s="9"/>
      <c r="F13" s="10">
        <f>SUM(F7:F12)</f>
        <v>10959000000</v>
      </c>
      <c r="G13" s="10">
        <v>9616000000</v>
      </c>
      <c r="H13" s="10">
        <v>9561000000</v>
      </c>
    </row>
    <row r="14" spans="1:8" x14ac:dyDescent="0.25">
      <c r="A14" s="9" t="s">
        <v>7</v>
      </c>
      <c r="B14" s="10">
        <v>12090000000</v>
      </c>
      <c r="C14" s="10">
        <v>10130000000</v>
      </c>
      <c r="D14" s="10">
        <v>7533000000</v>
      </c>
      <c r="E14" s="9"/>
      <c r="F14" s="10">
        <v>12090000000</v>
      </c>
      <c r="G14" s="10">
        <v>10130000000</v>
      </c>
      <c r="H14" s="10">
        <v>7533000000</v>
      </c>
    </row>
    <row r="15" spans="1:8" x14ac:dyDescent="0.25">
      <c r="A15" s="1" t="s">
        <v>27</v>
      </c>
      <c r="B15" s="3">
        <v>-45000000</v>
      </c>
      <c r="C15" s="3">
        <v>-2000000</v>
      </c>
      <c r="D15" s="3">
        <v>-283000000</v>
      </c>
      <c r="F15" s="3">
        <v>-45000000</v>
      </c>
      <c r="G15" s="3">
        <v>-2000000</v>
      </c>
      <c r="H15" s="3">
        <v>-283000000</v>
      </c>
    </row>
    <row r="16" spans="1:8" x14ac:dyDescent="0.25">
      <c r="A16" s="9" t="s">
        <v>8</v>
      </c>
      <c r="B16" s="10">
        <v>565000000</v>
      </c>
      <c r="C16" s="10">
        <v>289000000</v>
      </c>
      <c r="D16" s="10">
        <v>192000000</v>
      </c>
      <c r="E16" s="9"/>
      <c r="F16" s="10">
        <v>565000000</v>
      </c>
      <c r="G16" s="10">
        <v>289000000</v>
      </c>
      <c r="H16" s="10">
        <v>192000000</v>
      </c>
    </row>
    <row r="17" spans="1:8" x14ac:dyDescent="0.25">
      <c r="A17" s="9" t="s">
        <v>9</v>
      </c>
      <c r="B17" s="10">
        <v>12610000000</v>
      </c>
      <c r="C17" s="10">
        <v>10417000000</v>
      </c>
      <c r="D17" s="10">
        <v>7442000000</v>
      </c>
      <c r="E17" s="9"/>
      <c r="F17" s="10">
        <f>SUM(F14:F16)</f>
        <v>12610000000</v>
      </c>
      <c r="G17" s="10">
        <v>10417000000</v>
      </c>
      <c r="H17" s="10">
        <v>7442000000</v>
      </c>
    </row>
    <row r="18" spans="1:8" x14ac:dyDescent="0.25">
      <c r="A18" s="1" t="s">
        <v>28</v>
      </c>
      <c r="B18" s="3">
        <v>3946000000</v>
      </c>
      <c r="C18" s="3">
        <v>2901000000</v>
      </c>
      <c r="D18" s="3">
        <v>1801000000</v>
      </c>
      <c r="F18" s="3">
        <v>3946000000</v>
      </c>
      <c r="G18" s="3">
        <v>2901000000</v>
      </c>
      <c r="H18" s="3">
        <v>1801000000</v>
      </c>
    </row>
    <row r="19" spans="1:8" x14ac:dyDescent="0.25">
      <c r="A19" s="9" t="s">
        <v>10</v>
      </c>
      <c r="B19" s="10">
        <v>8664000000</v>
      </c>
      <c r="C19" s="10">
        <v>7516000000</v>
      </c>
      <c r="D19" s="10">
        <v>5641000000</v>
      </c>
      <c r="E19" s="9"/>
      <c r="F19" s="10">
        <f>F17-F18</f>
        <v>8664000000</v>
      </c>
      <c r="G19" s="10">
        <v>7516000000</v>
      </c>
      <c r="H19" s="10">
        <v>5641000000</v>
      </c>
    </row>
    <row r="20" spans="1:8" x14ac:dyDescent="0.25">
      <c r="A20" s="1" t="s">
        <v>30</v>
      </c>
      <c r="B20" s="3">
        <v>1420000</v>
      </c>
      <c r="C20" s="3">
        <v>1170000</v>
      </c>
      <c r="D20" s="3">
        <v>860000</v>
      </c>
      <c r="F20" s="12">
        <f>F19/F22</f>
        <v>1.4189321978381919</v>
      </c>
      <c r="G20" s="12">
        <f>G19/G22</f>
        <v>1.1743749999999999</v>
      </c>
      <c r="H20" s="12">
        <f>H19/H22</f>
        <v>0.86425616669220162</v>
      </c>
    </row>
    <row r="21" spans="1:8" x14ac:dyDescent="0.25">
      <c r="A21" s="1" t="s">
        <v>29</v>
      </c>
      <c r="B21" s="3">
        <v>1400000</v>
      </c>
      <c r="C21" s="3">
        <v>1160000</v>
      </c>
      <c r="D21" s="3">
        <v>850000</v>
      </c>
      <c r="F21" s="12">
        <f>F19/F23</f>
        <v>1.4023955972806734</v>
      </c>
      <c r="G21" s="12">
        <f>G19/G23</f>
        <v>1.157376039421004</v>
      </c>
      <c r="H21" s="12">
        <f>H19/H23</f>
        <v>0.8519861048180033</v>
      </c>
    </row>
    <row r="22" spans="1:8" x14ac:dyDescent="0.25">
      <c r="A22" s="1" t="s">
        <v>31</v>
      </c>
      <c r="B22" s="3">
        <v>6106000000</v>
      </c>
      <c r="C22" s="3">
        <v>6400000000</v>
      </c>
      <c r="D22" s="3">
        <v>6527000000</v>
      </c>
      <c r="F22" s="3">
        <v>6106000000</v>
      </c>
      <c r="G22" s="3">
        <v>6400000000</v>
      </c>
      <c r="H22" s="3">
        <v>6527000000</v>
      </c>
    </row>
    <row r="23" spans="1:8" x14ac:dyDescent="0.25">
      <c r="A23" s="1" t="s">
        <v>11</v>
      </c>
      <c r="B23" s="3">
        <v>6178000000</v>
      </c>
      <c r="C23" s="3">
        <v>6494000000</v>
      </c>
      <c r="D23" s="3">
        <v>6621000000</v>
      </c>
      <c r="F23" s="3">
        <v>6178000000</v>
      </c>
      <c r="G23" s="3">
        <v>6494000000</v>
      </c>
      <c r="H23" s="3">
        <v>6621000000</v>
      </c>
    </row>
    <row r="24" spans="1:8" x14ac:dyDescent="0.25">
      <c r="A24" s="1" t="s">
        <v>32</v>
      </c>
    </row>
    <row r="26" spans="1:8" ht="13.8" x14ac:dyDescent="0.25">
      <c r="A26" s="1" t="s">
        <v>12</v>
      </c>
      <c r="B26" s="4">
        <f>B18/B17</f>
        <v>0.31292624900872323</v>
      </c>
      <c r="C26" s="4">
        <f>C18/C17</f>
        <v>0.27848708841317077</v>
      </c>
      <c r="D26" s="4">
        <f>D18/D17</f>
        <v>0.24200483740929857</v>
      </c>
      <c r="F26" s="4">
        <f>F18/F17</f>
        <v>0.31292624900872323</v>
      </c>
      <c r="G26" s="4">
        <f>G18/G17</f>
        <v>0.27848708841317077</v>
      </c>
      <c r="H26" s="4">
        <f>H18/H17</f>
        <v>0.24200483740929857</v>
      </c>
    </row>
    <row r="30" spans="1:8" x14ac:dyDescent="0.25">
      <c r="A30" s="1" t="s">
        <v>13</v>
      </c>
    </row>
    <row r="31" spans="1:8" x14ac:dyDescent="0.25">
      <c r="A31" s="1" t="s">
        <v>14</v>
      </c>
    </row>
  </sheetData>
  <mergeCells count="1">
    <mergeCell ref="A1:H1"/>
  </mergeCells>
  <phoneticPr fontId="1" type="noConversion"/>
  <printOptions horizontalCentered="1"/>
  <pageMargins left="0.74803149606299213" right="0.74803149606299213" top="0.98425196850393704" bottom="0.98425196850393704" header="0.51181102362204722" footer="0.51181102362204722"/>
  <pageSetup paperSize="9" scale="78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E0E4F-742E-40B9-8293-8C1D98CAD563}">
  <sheetPr codeName="Sheet16"/>
  <dimension ref="A1:C6"/>
  <sheetViews>
    <sheetView tabSelected="1" workbookViewId="0">
      <selection activeCell="C15" sqref="C15"/>
    </sheetView>
  </sheetViews>
  <sheetFormatPr defaultRowHeight="13.2" x14ac:dyDescent="0.25"/>
  <cols>
    <col min="1" max="1" width="38.44140625" style="1" customWidth="1"/>
    <col min="2" max="2" width="8.88671875" style="1"/>
    <col min="3" max="3" width="29.33203125" style="1" bestFit="1" customWidth="1"/>
    <col min="4" max="4" width="9.44140625" style="1" customWidth="1"/>
    <col min="5" max="5" width="9.5546875" style="1" bestFit="1" customWidth="1"/>
    <col min="6" max="256" width="8.88671875" style="1"/>
    <col min="257" max="257" width="38.44140625" style="1" customWidth="1"/>
    <col min="258" max="258" width="8.88671875" style="1"/>
    <col min="259" max="259" width="29.33203125" style="1" bestFit="1" customWidth="1"/>
    <col min="260" max="260" width="9.44140625" style="1" customWidth="1"/>
    <col min="261" max="261" width="9.5546875" style="1" bestFit="1" customWidth="1"/>
    <col min="262" max="512" width="8.88671875" style="1"/>
    <col min="513" max="513" width="38.44140625" style="1" customWidth="1"/>
    <col min="514" max="514" width="8.88671875" style="1"/>
    <col min="515" max="515" width="29.33203125" style="1" bestFit="1" customWidth="1"/>
    <col min="516" max="516" width="9.44140625" style="1" customWidth="1"/>
    <col min="517" max="517" width="9.5546875" style="1" bestFit="1" customWidth="1"/>
    <col min="518" max="768" width="8.88671875" style="1"/>
    <col min="769" max="769" width="38.44140625" style="1" customWidth="1"/>
    <col min="770" max="770" width="8.88671875" style="1"/>
    <col min="771" max="771" width="29.33203125" style="1" bestFit="1" customWidth="1"/>
    <col min="772" max="772" width="9.44140625" style="1" customWidth="1"/>
    <col min="773" max="773" width="9.5546875" style="1" bestFit="1" customWidth="1"/>
    <col min="774" max="1024" width="8.88671875" style="1"/>
    <col min="1025" max="1025" width="38.44140625" style="1" customWidth="1"/>
    <col min="1026" max="1026" width="8.88671875" style="1"/>
    <col min="1027" max="1027" width="29.33203125" style="1" bestFit="1" customWidth="1"/>
    <col min="1028" max="1028" width="9.44140625" style="1" customWidth="1"/>
    <col min="1029" max="1029" width="9.5546875" style="1" bestFit="1" customWidth="1"/>
    <col min="1030" max="1280" width="8.88671875" style="1"/>
    <col min="1281" max="1281" width="38.44140625" style="1" customWidth="1"/>
    <col min="1282" max="1282" width="8.88671875" style="1"/>
    <col min="1283" max="1283" width="29.33203125" style="1" bestFit="1" customWidth="1"/>
    <col min="1284" max="1284" width="9.44140625" style="1" customWidth="1"/>
    <col min="1285" max="1285" width="9.5546875" style="1" bestFit="1" customWidth="1"/>
    <col min="1286" max="1536" width="8.88671875" style="1"/>
    <col min="1537" max="1537" width="38.44140625" style="1" customWidth="1"/>
    <col min="1538" max="1538" width="8.88671875" style="1"/>
    <col min="1539" max="1539" width="29.33203125" style="1" bestFit="1" customWidth="1"/>
    <col min="1540" max="1540" width="9.44140625" style="1" customWidth="1"/>
    <col min="1541" max="1541" width="9.5546875" style="1" bestFit="1" customWidth="1"/>
    <col min="1542" max="1792" width="8.88671875" style="1"/>
    <col min="1793" max="1793" width="38.44140625" style="1" customWidth="1"/>
    <col min="1794" max="1794" width="8.88671875" style="1"/>
    <col min="1795" max="1795" width="29.33203125" style="1" bestFit="1" customWidth="1"/>
    <col min="1796" max="1796" width="9.44140625" style="1" customWidth="1"/>
    <col min="1797" max="1797" width="9.5546875" style="1" bestFit="1" customWidth="1"/>
    <col min="1798" max="2048" width="8.88671875" style="1"/>
    <col min="2049" max="2049" width="38.44140625" style="1" customWidth="1"/>
    <col min="2050" max="2050" width="8.88671875" style="1"/>
    <col min="2051" max="2051" width="29.33203125" style="1" bestFit="1" customWidth="1"/>
    <col min="2052" max="2052" width="9.44140625" style="1" customWidth="1"/>
    <col min="2053" max="2053" width="9.5546875" style="1" bestFit="1" customWidth="1"/>
    <col min="2054" max="2304" width="8.88671875" style="1"/>
    <col min="2305" max="2305" width="38.44140625" style="1" customWidth="1"/>
    <col min="2306" max="2306" width="8.88671875" style="1"/>
    <col min="2307" max="2307" width="29.33203125" style="1" bestFit="1" customWidth="1"/>
    <col min="2308" max="2308" width="9.44140625" style="1" customWidth="1"/>
    <col min="2309" max="2309" width="9.5546875" style="1" bestFit="1" customWidth="1"/>
    <col min="2310" max="2560" width="8.88671875" style="1"/>
    <col min="2561" max="2561" width="38.44140625" style="1" customWidth="1"/>
    <col min="2562" max="2562" width="8.88671875" style="1"/>
    <col min="2563" max="2563" width="29.33203125" style="1" bestFit="1" customWidth="1"/>
    <col min="2564" max="2564" width="9.44140625" style="1" customWidth="1"/>
    <col min="2565" max="2565" width="9.5546875" style="1" bestFit="1" customWidth="1"/>
    <col min="2566" max="2816" width="8.88671875" style="1"/>
    <col min="2817" max="2817" width="38.44140625" style="1" customWidth="1"/>
    <col min="2818" max="2818" width="8.88671875" style="1"/>
    <col min="2819" max="2819" width="29.33203125" style="1" bestFit="1" customWidth="1"/>
    <col min="2820" max="2820" width="9.44140625" style="1" customWidth="1"/>
    <col min="2821" max="2821" width="9.5546875" style="1" bestFit="1" customWidth="1"/>
    <col min="2822" max="3072" width="8.88671875" style="1"/>
    <col min="3073" max="3073" width="38.44140625" style="1" customWidth="1"/>
    <col min="3074" max="3074" width="8.88671875" style="1"/>
    <col min="3075" max="3075" width="29.33203125" style="1" bestFit="1" customWidth="1"/>
    <col min="3076" max="3076" width="9.44140625" style="1" customWidth="1"/>
    <col min="3077" max="3077" width="9.5546875" style="1" bestFit="1" customWidth="1"/>
    <col min="3078" max="3328" width="8.88671875" style="1"/>
    <col min="3329" max="3329" width="38.44140625" style="1" customWidth="1"/>
    <col min="3330" max="3330" width="8.88671875" style="1"/>
    <col min="3331" max="3331" width="29.33203125" style="1" bestFit="1" customWidth="1"/>
    <col min="3332" max="3332" width="9.44140625" style="1" customWidth="1"/>
    <col min="3333" max="3333" width="9.5546875" style="1" bestFit="1" customWidth="1"/>
    <col min="3334" max="3584" width="8.88671875" style="1"/>
    <col min="3585" max="3585" width="38.44140625" style="1" customWidth="1"/>
    <col min="3586" max="3586" width="8.88671875" style="1"/>
    <col min="3587" max="3587" width="29.33203125" style="1" bestFit="1" customWidth="1"/>
    <col min="3588" max="3588" width="9.44140625" style="1" customWidth="1"/>
    <col min="3589" max="3589" width="9.5546875" style="1" bestFit="1" customWidth="1"/>
    <col min="3590" max="3840" width="8.88671875" style="1"/>
    <col min="3841" max="3841" width="38.44140625" style="1" customWidth="1"/>
    <col min="3842" max="3842" width="8.88671875" style="1"/>
    <col min="3843" max="3843" width="29.33203125" style="1" bestFit="1" customWidth="1"/>
    <col min="3844" max="3844" width="9.44140625" style="1" customWidth="1"/>
    <col min="3845" max="3845" width="9.5546875" style="1" bestFit="1" customWidth="1"/>
    <col min="3846" max="4096" width="8.88671875" style="1"/>
    <col min="4097" max="4097" width="38.44140625" style="1" customWidth="1"/>
    <col min="4098" max="4098" width="8.88671875" style="1"/>
    <col min="4099" max="4099" width="29.33203125" style="1" bestFit="1" customWidth="1"/>
    <col min="4100" max="4100" width="9.44140625" style="1" customWidth="1"/>
    <col min="4101" max="4101" width="9.5546875" style="1" bestFit="1" customWidth="1"/>
    <col min="4102" max="4352" width="8.88671875" style="1"/>
    <col min="4353" max="4353" width="38.44140625" style="1" customWidth="1"/>
    <col min="4354" max="4354" width="8.88671875" style="1"/>
    <col min="4355" max="4355" width="29.33203125" style="1" bestFit="1" customWidth="1"/>
    <col min="4356" max="4356" width="9.44140625" style="1" customWidth="1"/>
    <col min="4357" max="4357" width="9.5546875" style="1" bestFit="1" customWidth="1"/>
    <col min="4358" max="4608" width="8.88671875" style="1"/>
    <col min="4609" max="4609" width="38.44140625" style="1" customWidth="1"/>
    <col min="4610" max="4610" width="8.88671875" style="1"/>
    <col min="4611" max="4611" width="29.33203125" style="1" bestFit="1" customWidth="1"/>
    <col min="4612" max="4612" width="9.44140625" style="1" customWidth="1"/>
    <col min="4613" max="4613" width="9.5546875" style="1" bestFit="1" customWidth="1"/>
    <col min="4614" max="4864" width="8.88671875" style="1"/>
    <col min="4865" max="4865" width="38.44140625" style="1" customWidth="1"/>
    <col min="4866" max="4866" width="8.88671875" style="1"/>
    <col min="4867" max="4867" width="29.33203125" style="1" bestFit="1" customWidth="1"/>
    <col min="4868" max="4868" width="9.44140625" style="1" customWidth="1"/>
    <col min="4869" max="4869" width="9.5546875" style="1" bestFit="1" customWidth="1"/>
    <col min="4870" max="5120" width="8.88671875" style="1"/>
    <col min="5121" max="5121" width="38.44140625" style="1" customWidth="1"/>
    <col min="5122" max="5122" width="8.88671875" style="1"/>
    <col min="5123" max="5123" width="29.33203125" style="1" bestFit="1" customWidth="1"/>
    <col min="5124" max="5124" width="9.44140625" style="1" customWidth="1"/>
    <col min="5125" max="5125" width="9.5546875" style="1" bestFit="1" customWidth="1"/>
    <col min="5126" max="5376" width="8.88671875" style="1"/>
    <col min="5377" max="5377" width="38.44140625" style="1" customWidth="1"/>
    <col min="5378" max="5378" width="8.88671875" style="1"/>
    <col min="5379" max="5379" width="29.33203125" style="1" bestFit="1" customWidth="1"/>
    <col min="5380" max="5380" width="9.44140625" style="1" customWidth="1"/>
    <col min="5381" max="5381" width="9.5546875" style="1" bestFit="1" customWidth="1"/>
    <col min="5382" max="5632" width="8.88671875" style="1"/>
    <col min="5633" max="5633" width="38.44140625" style="1" customWidth="1"/>
    <col min="5634" max="5634" width="8.88671875" style="1"/>
    <col min="5635" max="5635" width="29.33203125" style="1" bestFit="1" customWidth="1"/>
    <col min="5636" max="5636" width="9.44140625" style="1" customWidth="1"/>
    <col min="5637" max="5637" width="9.5546875" style="1" bestFit="1" customWidth="1"/>
    <col min="5638" max="5888" width="8.88671875" style="1"/>
    <col min="5889" max="5889" width="38.44140625" style="1" customWidth="1"/>
    <col min="5890" max="5890" width="8.88671875" style="1"/>
    <col min="5891" max="5891" width="29.33203125" style="1" bestFit="1" customWidth="1"/>
    <col min="5892" max="5892" width="9.44140625" style="1" customWidth="1"/>
    <col min="5893" max="5893" width="9.5546875" style="1" bestFit="1" customWidth="1"/>
    <col min="5894" max="6144" width="8.88671875" style="1"/>
    <col min="6145" max="6145" width="38.44140625" style="1" customWidth="1"/>
    <col min="6146" max="6146" width="8.88671875" style="1"/>
    <col min="6147" max="6147" width="29.33203125" style="1" bestFit="1" customWidth="1"/>
    <col min="6148" max="6148" width="9.44140625" style="1" customWidth="1"/>
    <col min="6149" max="6149" width="9.5546875" style="1" bestFit="1" customWidth="1"/>
    <col min="6150" max="6400" width="8.88671875" style="1"/>
    <col min="6401" max="6401" width="38.44140625" style="1" customWidth="1"/>
    <col min="6402" max="6402" width="8.88671875" style="1"/>
    <col min="6403" max="6403" width="29.33203125" style="1" bestFit="1" customWidth="1"/>
    <col min="6404" max="6404" width="9.44140625" style="1" customWidth="1"/>
    <col min="6405" max="6405" width="9.5546875" style="1" bestFit="1" customWidth="1"/>
    <col min="6406" max="6656" width="8.88671875" style="1"/>
    <col min="6657" max="6657" width="38.44140625" style="1" customWidth="1"/>
    <col min="6658" max="6658" width="8.88671875" style="1"/>
    <col min="6659" max="6659" width="29.33203125" style="1" bestFit="1" customWidth="1"/>
    <col min="6660" max="6660" width="9.44140625" style="1" customWidth="1"/>
    <col min="6661" max="6661" width="9.5546875" style="1" bestFit="1" customWidth="1"/>
    <col min="6662" max="6912" width="8.88671875" style="1"/>
    <col min="6913" max="6913" width="38.44140625" style="1" customWidth="1"/>
    <col min="6914" max="6914" width="8.88671875" style="1"/>
    <col min="6915" max="6915" width="29.33203125" style="1" bestFit="1" customWidth="1"/>
    <col min="6916" max="6916" width="9.44140625" style="1" customWidth="1"/>
    <col min="6917" max="6917" width="9.5546875" style="1" bestFit="1" customWidth="1"/>
    <col min="6918" max="7168" width="8.88671875" style="1"/>
    <col min="7169" max="7169" width="38.44140625" style="1" customWidth="1"/>
    <col min="7170" max="7170" width="8.88671875" style="1"/>
    <col min="7171" max="7171" width="29.33203125" style="1" bestFit="1" customWidth="1"/>
    <col min="7172" max="7172" width="9.44140625" style="1" customWidth="1"/>
    <col min="7173" max="7173" width="9.5546875" style="1" bestFit="1" customWidth="1"/>
    <col min="7174" max="7424" width="8.88671875" style="1"/>
    <col min="7425" max="7425" width="38.44140625" style="1" customWidth="1"/>
    <col min="7426" max="7426" width="8.88671875" style="1"/>
    <col min="7427" max="7427" width="29.33203125" style="1" bestFit="1" customWidth="1"/>
    <col min="7428" max="7428" width="9.44140625" style="1" customWidth="1"/>
    <col min="7429" max="7429" width="9.5546875" style="1" bestFit="1" customWidth="1"/>
    <col min="7430" max="7680" width="8.88671875" style="1"/>
    <col min="7681" max="7681" width="38.44140625" style="1" customWidth="1"/>
    <col min="7682" max="7682" width="8.88671875" style="1"/>
    <col min="7683" max="7683" width="29.33203125" style="1" bestFit="1" customWidth="1"/>
    <col min="7684" max="7684" width="9.44140625" style="1" customWidth="1"/>
    <col min="7685" max="7685" width="9.5546875" style="1" bestFit="1" customWidth="1"/>
    <col min="7686" max="7936" width="8.88671875" style="1"/>
    <col min="7937" max="7937" width="38.44140625" style="1" customWidth="1"/>
    <col min="7938" max="7938" width="8.88671875" style="1"/>
    <col min="7939" max="7939" width="29.33203125" style="1" bestFit="1" customWidth="1"/>
    <col min="7940" max="7940" width="9.44140625" style="1" customWidth="1"/>
    <col min="7941" max="7941" width="9.5546875" style="1" bestFit="1" customWidth="1"/>
    <col min="7942" max="8192" width="8.88671875" style="1"/>
    <col min="8193" max="8193" width="38.44140625" style="1" customWidth="1"/>
    <col min="8194" max="8194" width="8.88671875" style="1"/>
    <col min="8195" max="8195" width="29.33203125" style="1" bestFit="1" customWidth="1"/>
    <col min="8196" max="8196" width="9.44140625" style="1" customWidth="1"/>
    <col min="8197" max="8197" width="9.5546875" style="1" bestFit="1" customWidth="1"/>
    <col min="8198" max="8448" width="8.88671875" style="1"/>
    <col min="8449" max="8449" width="38.44140625" style="1" customWidth="1"/>
    <col min="8450" max="8450" width="8.88671875" style="1"/>
    <col min="8451" max="8451" width="29.33203125" style="1" bestFit="1" customWidth="1"/>
    <col min="8452" max="8452" width="9.44140625" style="1" customWidth="1"/>
    <col min="8453" max="8453" width="9.5546875" style="1" bestFit="1" customWidth="1"/>
    <col min="8454" max="8704" width="8.88671875" style="1"/>
    <col min="8705" max="8705" width="38.44140625" style="1" customWidth="1"/>
    <col min="8706" max="8706" width="8.88671875" style="1"/>
    <col min="8707" max="8707" width="29.33203125" style="1" bestFit="1" customWidth="1"/>
    <col min="8708" max="8708" width="9.44140625" style="1" customWidth="1"/>
    <col min="8709" max="8709" width="9.5546875" style="1" bestFit="1" customWidth="1"/>
    <col min="8710" max="8960" width="8.88671875" style="1"/>
    <col min="8961" max="8961" width="38.44140625" style="1" customWidth="1"/>
    <col min="8962" max="8962" width="8.88671875" style="1"/>
    <col min="8963" max="8963" width="29.33203125" style="1" bestFit="1" customWidth="1"/>
    <col min="8964" max="8964" width="9.44140625" style="1" customWidth="1"/>
    <col min="8965" max="8965" width="9.5546875" style="1" bestFit="1" customWidth="1"/>
    <col min="8966" max="9216" width="8.88671875" style="1"/>
    <col min="9217" max="9217" width="38.44140625" style="1" customWidth="1"/>
    <col min="9218" max="9218" width="8.88671875" style="1"/>
    <col min="9219" max="9219" width="29.33203125" style="1" bestFit="1" customWidth="1"/>
    <col min="9220" max="9220" width="9.44140625" style="1" customWidth="1"/>
    <col min="9221" max="9221" width="9.5546875" style="1" bestFit="1" customWidth="1"/>
    <col min="9222" max="9472" width="8.88671875" style="1"/>
    <col min="9473" max="9473" width="38.44140625" style="1" customWidth="1"/>
    <col min="9474" max="9474" width="8.88671875" style="1"/>
    <col min="9475" max="9475" width="29.33203125" style="1" bestFit="1" customWidth="1"/>
    <col min="9476" max="9476" width="9.44140625" style="1" customWidth="1"/>
    <col min="9477" max="9477" width="9.5546875" style="1" bestFit="1" customWidth="1"/>
    <col min="9478" max="9728" width="8.88671875" style="1"/>
    <col min="9729" max="9729" width="38.44140625" style="1" customWidth="1"/>
    <col min="9730" max="9730" width="8.88671875" style="1"/>
    <col min="9731" max="9731" width="29.33203125" style="1" bestFit="1" customWidth="1"/>
    <col min="9732" max="9732" width="9.44140625" style="1" customWidth="1"/>
    <col min="9733" max="9733" width="9.5546875" style="1" bestFit="1" customWidth="1"/>
    <col min="9734" max="9984" width="8.88671875" style="1"/>
    <col min="9985" max="9985" width="38.44140625" style="1" customWidth="1"/>
    <col min="9986" max="9986" width="8.88671875" style="1"/>
    <col min="9987" max="9987" width="29.33203125" style="1" bestFit="1" customWidth="1"/>
    <col min="9988" max="9988" width="9.44140625" style="1" customWidth="1"/>
    <col min="9989" max="9989" width="9.5546875" style="1" bestFit="1" customWidth="1"/>
    <col min="9990" max="10240" width="8.88671875" style="1"/>
    <col min="10241" max="10241" width="38.44140625" style="1" customWidth="1"/>
    <col min="10242" max="10242" width="8.88671875" style="1"/>
    <col min="10243" max="10243" width="29.33203125" style="1" bestFit="1" customWidth="1"/>
    <col min="10244" max="10244" width="9.44140625" style="1" customWidth="1"/>
    <col min="10245" max="10245" width="9.5546875" style="1" bestFit="1" customWidth="1"/>
    <col min="10246" max="10496" width="8.88671875" style="1"/>
    <col min="10497" max="10497" width="38.44140625" style="1" customWidth="1"/>
    <col min="10498" max="10498" width="8.88671875" style="1"/>
    <col min="10499" max="10499" width="29.33203125" style="1" bestFit="1" customWidth="1"/>
    <col min="10500" max="10500" width="9.44140625" style="1" customWidth="1"/>
    <col min="10501" max="10501" width="9.5546875" style="1" bestFit="1" customWidth="1"/>
    <col min="10502" max="10752" width="8.88671875" style="1"/>
    <col min="10753" max="10753" width="38.44140625" style="1" customWidth="1"/>
    <col min="10754" max="10754" width="8.88671875" style="1"/>
    <col min="10755" max="10755" width="29.33203125" style="1" bestFit="1" customWidth="1"/>
    <col min="10756" max="10756" width="9.44140625" style="1" customWidth="1"/>
    <col min="10757" max="10757" width="9.5546875" style="1" bestFit="1" customWidth="1"/>
    <col min="10758" max="11008" width="8.88671875" style="1"/>
    <col min="11009" max="11009" width="38.44140625" style="1" customWidth="1"/>
    <col min="11010" max="11010" width="8.88671875" style="1"/>
    <col min="11011" max="11011" width="29.33203125" style="1" bestFit="1" customWidth="1"/>
    <col min="11012" max="11012" width="9.44140625" style="1" customWidth="1"/>
    <col min="11013" max="11013" width="9.5546875" style="1" bestFit="1" customWidth="1"/>
    <col min="11014" max="11264" width="8.88671875" style="1"/>
    <col min="11265" max="11265" width="38.44140625" style="1" customWidth="1"/>
    <col min="11266" max="11266" width="8.88671875" style="1"/>
    <col min="11267" max="11267" width="29.33203125" style="1" bestFit="1" customWidth="1"/>
    <col min="11268" max="11268" width="9.44140625" style="1" customWidth="1"/>
    <col min="11269" max="11269" width="9.5546875" style="1" bestFit="1" customWidth="1"/>
    <col min="11270" max="11520" width="8.88671875" style="1"/>
    <col min="11521" max="11521" width="38.44140625" style="1" customWidth="1"/>
    <col min="11522" max="11522" width="8.88671875" style="1"/>
    <col min="11523" max="11523" width="29.33203125" style="1" bestFit="1" customWidth="1"/>
    <col min="11524" max="11524" width="9.44140625" style="1" customWidth="1"/>
    <col min="11525" max="11525" width="9.5546875" style="1" bestFit="1" customWidth="1"/>
    <col min="11526" max="11776" width="8.88671875" style="1"/>
    <col min="11777" max="11777" width="38.44140625" style="1" customWidth="1"/>
    <col min="11778" max="11778" width="8.88671875" style="1"/>
    <col min="11779" max="11779" width="29.33203125" style="1" bestFit="1" customWidth="1"/>
    <col min="11780" max="11780" width="9.44140625" style="1" customWidth="1"/>
    <col min="11781" max="11781" width="9.5546875" style="1" bestFit="1" customWidth="1"/>
    <col min="11782" max="12032" width="8.88671875" style="1"/>
    <col min="12033" max="12033" width="38.44140625" style="1" customWidth="1"/>
    <col min="12034" max="12034" width="8.88671875" style="1"/>
    <col min="12035" max="12035" width="29.33203125" style="1" bestFit="1" customWidth="1"/>
    <col min="12036" max="12036" width="9.44140625" style="1" customWidth="1"/>
    <col min="12037" max="12037" width="9.5546875" style="1" bestFit="1" customWidth="1"/>
    <col min="12038" max="12288" width="8.88671875" style="1"/>
    <col min="12289" max="12289" width="38.44140625" style="1" customWidth="1"/>
    <col min="12290" max="12290" width="8.88671875" style="1"/>
    <col min="12291" max="12291" width="29.33203125" style="1" bestFit="1" customWidth="1"/>
    <col min="12292" max="12292" width="9.44140625" style="1" customWidth="1"/>
    <col min="12293" max="12293" width="9.5546875" style="1" bestFit="1" customWidth="1"/>
    <col min="12294" max="12544" width="8.88671875" style="1"/>
    <col min="12545" max="12545" width="38.44140625" style="1" customWidth="1"/>
    <col min="12546" max="12546" width="8.88671875" style="1"/>
    <col min="12547" max="12547" width="29.33203125" style="1" bestFit="1" customWidth="1"/>
    <col min="12548" max="12548" width="9.44140625" style="1" customWidth="1"/>
    <col min="12549" max="12549" width="9.5546875" style="1" bestFit="1" customWidth="1"/>
    <col min="12550" max="12800" width="8.88671875" style="1"/>
    <col min="12801" max="12801" width="38.44140625" style="1" customWidth="1"/>
    <col min="12802" max="12802" width="8.88671875" style="1"/>
    <col min="12803" max="12803" width="29.33203125" style="1" bestFit="1" customWidth="1"/>
    <col min="12804" max="12804" width="9.44140625" style="1" customWidth="1"/>
    <col min="12805" max="12805" width="9.5546875" style="1" bestFit="1" customWidth="1"/>
    <col min="12806" max="13056" width="8.88671875" style="1"/>
    <col min="13057" max="13057" width="38.44140625" style="1" customWidth="1"/>
    <col min="13058" max="13058" width="8.88671875" style="1"/>
    <col min="13059" max="13059" width="29.33203125" style="1" bestFit="1" customWidth="1"/>
    <col min="13060" max="13060" width="9.44140625" style="1" customWidth="1"/>
    <col min="13061" max="13061" width="9.5546875" style="1" bestFit="1" customWidth="1"/>
    <col min="13062" max="13312" width="8.88671875" style="1"/>
    <col min="13313" max="13313" width="38.44140625" style="1" customWidth="1"/>
    <col min="13314" max="13314" width="8.88671875" style="1"/>
    <col min="13315" max="13315" width="29.33203125" style="1" bestFit="1" customWidth="1"/>
    <col min="13316" max="13316" width="9.44140625" style="1" customWidth="1"/>
    <col min="13317" max="13317" width="9.5546875" style="1" bestFit="1" customWidth="1"/>
    <col min="13318" max="13568" width="8.88671875" style="1"/>
    <col min="13569" max="13569" width="38.44140625" style="1" customWidth="1"/>
    <col min="13570" max="13570" width="8.88671875" style="1"/>
    <col min="13571" max="13571" width="29.33203125" style="1" bestFit="1" customWidth="1"/>
    <col min="13572" max="13572" width="9.44140625" style="1" customWidth="1"/>
    <col min="13573" max="13573" width="9.5546875" style="1" bestFit="1" customWidth="1"/>
    <col min="13574" max="13824" width="8.88671875" style="1"/>
    <col min="13825" max="13825" width="38.44140625" style="1" customWidth="1"/>
    <col min="13826" max="13826" width="8.88671875" style="1"/>
    <col min="13827" max="13827" width="29.33203125" style="1" bestFit="1" customWidth="1"/>
    <col min="13828" max="13828" width="9.44140625" style="1" customWidth="1"/>
    <col min="13829" max="13829" width="9.5546875" style="1" bestFit="1" customWidth="1"/>
    <col min="13830" max="14080" width="8.88671875" style="1"/>
    <col min="14081" max="14081" width="38.44140625" style="1" customWidth="1"/>
    <col min="14082" max="14082" width="8.88671875" style="1"/>
    <col min="14083" max="14083" width="29.33203125" style="1" bestFit="1" customWidth="1"/>
    <col min="14084" max="14084" width="9.44140625" style="1" customWidth="1"/>
    <col min="14085" max="14085" width="9.5546875" style="1" bestFit="1" customWidth="1"/>
    <col min="14086" max="14336" width="8.88671875" style="1"/>
    <col min="14337" max="14337" width="38.44140625" style="1" customWidth="1"/>
    <col min="14338" max="14338" width="8.88671875" style="1"/>
    <col min="14339" max="14339" width="29.33203125" style="1" bestFit="1" customWidth="1"/>
    <col min="14340" max="14340" width="9.44140625" style="1" customWidth="1"/>
    <col min="14341" max="14341" width="9.5546875" style="1" bestFit="1" customWidth="1"/>
    <col min="14342" max="14592" width="8.88671875" style="1"/>
    <col min="14593" max="14593" width="38.44140625" style="1" customWidth="1"/>
    <col min="14594" max="14594" width="8.88671875" style="1"/>
    <col min="14595" max="14595" width="29.33203125" style="1" bestFit="1" customWidth="1"/>
    <col min="14596" max="14596" width="9.44140625" style="1" customWidth="1"/>
    <col min="14597" max="14597" width="9.5546875" style="1" bestFit="1" customWidth="1"/>
    <col min="14598" max="14848" width="8.88671875" style="1"/>
    <col min="14849" max="14849" width="38.44140625" style="1" customWidth="1"/>
    <col min="14850" max="14850" width="8.88671875" style="1"/>
    <col min="14851" max="14851" width="29.33203125" style="1" bestFit="1" customWidth="1"/>
    <col min="14852" max="14852" width="9.44140625" style="1" customWidth="1"/>
    <col min="14853" max="14853" width="9.5546875" style="1" bestFit="1" customWidth="1"/>
    <col min="14854" max="15104" width="8.88671875" style="1"/>
    <col min="15105" max="15105" width="38.44140625" style="1" customWidth="1"/>
    <col min="15106" max="15106" width="8.88671875" style="1"/>
    <col min="15107" max="15107" width="29.33203125" style="1" bestFit="1" customWidth="1"/>
    <col min="15108" max="15108" width="9.44140625" style="1" customWidth="1"/>
    <col min="15109" max="15109" width="9.5546875" style="1" bestFit="1" customWidth="1"/>
    <col min="15110" max="15360" width="8.88671875" style="1"/>
    <col min="15361" max="15361" width="38.44140625" style="1" customWidth="1"/>
    <col min="15362" max="15362" width="8.88671875" style="1"/>
    <col min="15363" max="15363" width="29.33203125" style="1" bestFit="1" customWidth="1"/>
    <col min="15364" max="15364" width="9.44140625" style="1" customWidth="1"/>
    <col min="15365" max="15365" width="9.5546875" style="1" bestFit="1" customWidth="1"/>
    <col min="15366" max="15616" width="8.88671875" style="1"/>
    <col min="15617" max="15617" width="38.44140625" style="1" customWidth="1"/>
    <col min="15618" max="15618" width="8.88671875" style="1"/>
    <col min="15619" max="15619" width="29.33203125" style="1" bestFit="1" customWidth="1"/>
    <col min="15620" max="15620" width="9.44140625" style="1" customWidth="1"/>
    <col min="15621" max="15621" width="9.5546875" style="1" bestFit="1" customWidth="1"/>
    <col min="15622" max="15872" width="8.88671875" style="1"/>
    <col min="15873" max="15873" width="38.44140625" style="1" customWidth="1"/>
    <col min="15874" max="15874" width="8.88671875" style="1"/>
    <col min="15875" max="15875" width="29.33203125" style="1" bestFit="1" customWidth="1"/>
    <col min="15876" max="15876" width="9.44140625" style="1" customWidth="1"/>
    <col min="15877" max="15877" width="9.5546875" style="1" bestFit="1" customWidth="1"/>
    <col min="15878" max="16128" width="8.88671875" style="1"/>
    <col min="16129" max="16129" width="38.44140625" style="1" customWidth="1"/>
    <col min="16130" max="16130" width="8.88671875" style="1"/>
    <col min="16131" max="16131" width="29.33203125" style="1" bestFit="1" customWidth="1"/>
    <col min="16132" max="16132" width="9.44140625" style="1" customWidth="1"/>
    <col min="16133" max="16133" width="9.5546875" style="1" bestFit="1" customWidth="1"/>
    <col min="16134" max="16384" width="8.88671875" style="1"/>
  </cols>
  <sheetData>
    <row r="1" spans="1:3" ht="45.75" customHeight="1" x14ac:dyDescent="0.25">
      <c r="A1" s="14" t="s">
        <v>21</v>
      </c>
      <c r="B1" s="14"/>
      <c r="C1" s="14"/>
    </row>
    <row r="2" spans="1:3" x14ac:dyDescent="0.25">
      <c r="A2" s="1" t="s">
        <v>15</v>
      </c>
      <c r="B2" s="5">
        <f>'[1]Page 59'!B2</f>
        <v>2.2516049448723261</v>
      </c>
    </row>
    <row r="3" spans="1:3" ht="15.6" x14ac:dyDescent="0.35">
      <c r="A3" s="1" t="s">
        <v>16</v>
      </c>
      <c r="B3" s="11">
        <v>0.31290000000000001</v>
      </c>
      <c r="C3" s="1" t="s">
        <v>17</v>
      </c>
    </row>
    <row r="4" spans="1:3" ht="15.6" x14ac:dyDescent="0.35">
      <c r="A4" s="1" t="s">
        <v>18</v>
      </c>
      <c r="B4" s="6">
        <v>4.9299999999999997E-2</v>
      </c>
    </row>
    <row r="5" spans="1:3" ht="15.6" x14ac:dyDescent="0.35">
      <c r="A5" s="1" t="s">
        <v>19</v>
      </c>
      <c r="B5" s="6">
        <f>'[1]Page 63'!B5</f>
        <v>9.9846517757206321E-2</v>
      </c>
    </row>
    <row r="6" spans="1:3" ht="15.6" x14ac:dyDescent="0.35">
      <c r="A6" s="7" t="s">
        <v>20</v>
      </c>
      <c r="B6" s="8">
        <f>B4*(1-B3)+B2*(B5-B4*(1-B3))</f>
        <v>0.18241800965965474</v>
      </c>
      <c r="C6" s="1" t="str">
        <f ca="1">[2]!getformula(B6)</f>
        <v>&lt;--  =B4*(1-B3)+B2*(B5-B4*(1-B3))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Intel tax rate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2024-10-08T03:55:53Z</cp:lastPrinted>
  <dcterms:created xsi:type="dcterms:W3CDTF">2024-10-05T13:27:14Z</dcterms:created>
  <dcterms:modified xsi:type="dcterms:W3CDTF">2024-10-08T03:55:57Z</dcterms:modified>
</cp:coreProperties>
</file>