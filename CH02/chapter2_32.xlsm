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A1DF8DAB-6B90-49EA-8ACC-FB5E91DAABEE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B20" i="1"/>
  <c r="B14" i="1"/>
  <c r="B27" i="1"/>
  <c r="B21" i="1"/>
  <c r="B15" i="1"/>
  <c r="B9" i="1"/>
  <c r="B8" i="1"/>
  <c r="B28" i="1"/>
  <c r="B22" i="1"/>
  <c r="B16" i="1"/>
  <c r="B10" i="1"/>
  <c r="B5" i="1"/>
  <c r="B3" i="1"/>
  <c r="B2" i="1"/>
  <c r="B4" i="1" s="1"/>
  <c r="C28" i="1"/>
  <c r="C27" i="1"/>
  <c r="C26" i="1"/>
  <c r="C22" i="1"/>
  <c r="C21" i="1"/>
  <c r="C20" i="1"/>
  <c r="C31" i="1"/>
  <c r="C29" i="1"/>
  <c r="C23" i="1"/>
  <c r="C17" i="1"/>
  <c r="C16" i="1"/>
  <c r="C15" i="1"/>
  <c r="C14" i="1"/>
  <c r="C11" i="1"/>
  <c r="C10" i="1"/>
  <c r="C9" i="1"/>
  <c r="C8" i="1"/>
  <c r="C2" i="1"/>
  <c r="C3" i="1"/>
  <c r="C4" i="1"/>
  <c r="C5" i="1"/>
  <c r="B23" i="1" l="1"/>
  <c r="B29" i="1"/>
  <c r="B11" i="1"/>
  <c r="B17" i="1"/>
  <c r="B31" i="1" l="1"/>
</calcChain>
</file>

<file path=xl/sharedStrings.xml><?xml version="1.0" encoding="utf-8"?>
<sst xmlns="http://schemas.openxmlformats.org/spreadsheetml/2006/main" count="26" uniqueCount="14">
  <si>
    <r>
      <t>COMPUTING THE WACC FOR CASCADE
T</t>
    </r>
    <r>
      <rPr>
        <b/>
        <sz val="12"/>
        <rFont val="Arial"/>
        <family val="2"/>
      </rPr>
      <t>he company has negative leverage</t>
    </r>
  </si>
  <si>
    <t>Shares outstanding</t>
  </si>
  <si>
    <t>Share price, end 2005</t>
  </si>
  <si>
    <t>Equity value, E</t>
  </si>
  <si>
    <t>Net debt, D</t>
  </si>
  <si>
    <t>WACC based on Gordon per-share dividends and interest from financial statements</t>
  </si>
  <si>
    <r>
      <t>Cost of equity, r</t>
    </r>
    <r>
      <rPr>
        <vertAlign val="subscript"/>
        <sz val="10"/>
        <rFont val="Arial"/>
        <family val="2"/>
      </rPr>
      <t>E</t>
    </r>
  </si>
  <si>
    <r>
      <t>Cost of debt, r</t>
    </r>
    <r>
      <rPr>
        <vertAlign val="subscript"/>
        <sz val="10"/>
        <rFont val="Arial"/>
        <family val="2"/>
      </rPr>
      <t>D</t>
    </r>
  </si>
  <si>
    <r>
      <t>Tax rate, T</t>
    </r>
    <r>
      <rPr>
        <vertAlign val="subscript"/>
        <sz val="10"/>
        <rFont val="Arial"/>
        <family val="2"/>
      </rPr>
      <t>C</t>
    </r>
  </si>
  <si>
    <t>WACC</t>
  </si>
  <si>
    <t>WACC based on Gordon equity payouts and interest from financial statements</t>
  </si>
  <si>
    <t>WACC based on classic CAPM and interest from financial statements</t>
  </si>
  <si>
    <t>WACC based on tax-adjusted CAPM and interest from financial statements</t>
  </si>
  <si>
    <t>Estimated WACC?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</si>
</sst>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2">
    <xf numFmtId="0" fontId="0" fillId="0" borderId="0" xfId="0">
      <alignment vertical="center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3" fillId="0" borderId="0" xfId="2"/>
    <xf numFmtId="3" fontId="3" fillId="0" borderId="0" xfId="2" applyNumberFormat="1"/>
    <xf numFmtId="0" fontId="6" fillId="0" borderId="0" xfId="2" applyFont="1"/>
    <xf numFmtId="10" fontId="3" fillId="0" borderId="0" xfId="2" applyNumberFormat="1"/>
    <xf numFmtId="176" fontId="3" fillId="0" borderId="0" xfId="1" applyNumberFormat="1" applyFont="1" applyFill="1" applyAlignment="1"/>
    <xf numFmtId="0" fontId="6" fillId="2" borderId="0" xfId="2" applyFont="1" applyFill="1"/>
    <xf numFmtId="0" fontId="3" fillId="3" borderId="0" xfId="2" applyFill="1"/>
    <xf numFmtId="10" fontId="3" fillId="3" borderId="0" xfId="1" applyNumberFormat="1" applyFont="1" applyFill="1" applyAlignment="1"/>
    <xf numFmtId="10" fontId="3" fillId="3" borderId="0" xfId="2" applyNumberFormat="1" applyFill="1"/>
  </cellXfs>
  <cellStyles count="3">
    <cellStyle name="Normal_Cascade Corp" xfId="2" xr:uid="{F525AC76-35A7-4E73-865B-9F3A2F185503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4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3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data.xlsm" TargetMode="External"/><Relationship Id="rId1" Type="http://schemas.openxmlformats.org/officeDocument/2006/relationships/externalLinkPath" Target="dat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28.xlsm" TargetMode="External"/><Relationship Id="rId1" Type="http://schemas.openxmlformats.org/officeDocument/2006/relationships/externalLinkPath" Target="chapter2_28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31.xlsm" TargetMode="External"/><Relationship Id="rId1" Type="http://schemas.openxmlformats.org/officeDocument/2006/relationships/externalLinkPath" Target="chapter2_31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29.xlsm" TargetMode="External"/><Relationship Id="rId1" Type="http://schemas.openxmlformats.org/officeDocument/2006/relationships/externalLinkPath" Target="chapter2_29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30.xlsm" TargetMode="External"/><Relationship Id="rId1" Type="http://schemas.openxmlformats.org/officeDocument/2006/relationships/externalLinkPath" Target="chapter2_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0"/>
      <sheetName val="Page 79, top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>
        <row r="19">
          <cell r="B19">
            <v>-28575000</v>
          </cell>
        </row>
      </sheetData>
      <sheetData sheetId="1">
        <row r="2">
          <cell r="B2">
            <v>12536000</v>
          </cell>
        </row>
        <row r="3">
          <cell r="B3">
            <v>50.69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69">
          <cell r="B69">
            <v>0.32423224645250454</v>
          </cell>
        </row>
      </sheetData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6">
          <cell r="B6">
            <v>0.18107011443162987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5">
          <cell r="B15">
            <v>7.7774309792015439E-2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7">
          <cell r="B7">
            <v>0.10458637605400405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2">
          <cell r="B12">
            <v>0.11553833333333333</v>
          </cell>
        </row>
        <row r="13">
          <cell r="B13">
            <v>0.12592835567090382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31"/>
  <sheetViews>
    <sheetView tabSelected="1" topLeftCell="A16" workbookViewId="0">
      <selection activeCell="C31" sqref="C31"/>
    </sheetView>
  </sheetViews>
  <sheetFormatPr defaultRowHeight="13.8" x14ac:dyDescent="0.25"/>
  <cols>
    <col min="1" max="1" width="23" style="3" customWidth="1"/>
    <col min="2" max="2" width="17.5546875" style="3" bestFit="1" customWidth="1"/>
    <col min="3" max="3" width="54.33203125" style="3" bestFit="1" customWidth="1"/>
  </cols>
  <sheetData>
    <row r="1" spans="1:3" ht="17.399999999999999" x14ac:dyDescent="0.25">
      <c r="A1" s="1" t="s">
        <v>0</v>
      </c>
      <c r="B1" s="2"/>
      <c r="C1" s="2"/>
    </row>
    <row r="2" spans="1:3" x14ac:dyDescent="0.25">
      <c r="A2" s="3" t="s">
        <v>1</v>
      </c>
      <c r="B2" s="4">
        <f>'[2]Page 79, top'!$B$2</f>
        <v>12536000</v>
      </c>
      <c r="C2" s="3" t="str">
        <f ca="1">[1]!getformula(B2)</f>
        <v>&lt;--  ='[data.xlsm]Page 79, top'!$B$2</v>
      </c>
    </row>
    <row r="3" spans="1:3" x14ac:dyDescent="0.25">
      <c r="A3" s="3" t="s">
        <v>2</v>
      </c>
      <c r="B3" s="3">
        <f>'[2]Page 79, top'!$B$3</f>
        <v>50.69</v>
      </c>
      <c r="C3" s="3" t="str">
        <f ca="1">[1]!getformula(B3)</f>
        <v>&lt;--  ='[data.xlsm]Page 79, top'!$B$3</v>
      </c>
    </row>
    <row r="4" spans="1:3" x14ac:dyDescent="0.25">
      <c r="A4" s="3" t="s">
        <v>3</v>
      </c>
      <c r="B4" s="4">
        <f>B2*B3</f>
        <v>635449840</v>
      </c>
      <c r="C4" s="3" t="str">
        <f ca="1">[1]!getformula(B4)</f>
        <v>&lt;--  =B2*B3</v>
      </c>
    </row>
    <row r="5" spans="1:3" x14ac:dyDescent="0.25">
      <c r="A5" s="3" t="s">
        <v>4</v>
      </c>
      <c r="B5" s="4">
        <f>'[2]Page 80'!$B$19</f>
        <v>-28575000</v>
      </c>
      <c r="C5" s="3" t="str">
        <f ca="1">[1]!getformula(B5)</f>
        <v>&lt;--  ='[data.xlsm]Page 80'!$B$19</v>
      </c>
    </row>
    <row r="7" spans="1:3" x14ac:dyDescent="0.25">
      <c r="A7" s="5" t="s">
        <v>5</v>
      </c>
    </row>
    <row r="8" spans="1:3" ht="15.6" x14ac:dyDescent="0.35">
      <c r="A8" s="3" t="s">
        <v>6</v>
      </c>
      <c r="B8" s="6">
        <f>[3]Sheet1!$B$6</f>
        <v>0.18107011443162987</v>
      </c>
      <c r="C8" s="3" t="str">
        <f ca="1">[1]!getformula(B8)</f>
        <v>&lt;--  =[chapter2_28.xlsm]Sheet1!$B$6</v>
      </c>
    </row>
    <row r="9" spans="1:3" ht="15.6" x14ac:dyDescent="0.35">
      <c r="A9" s="3" t="s">
        <v>7</v>
      </c>
      <c r="B9" s="6">
        <f>[4]Sheet1!$B$15</f>
        <v>7.7774309792015439E-2</v>
      </c>
      <c r="C9" s="3" t="str">
        <f ca="1">[1]!getformula(B9)</f>
        <v>&lt;--  ='D:\lizhengdong\交易框架\5_工具箱\_书库\编程\Excel\CH02\[chapter2_31.xlsm]Sheet1'!$B$15</v>
      </c>
    </row>
    <row r="10" spans="1:3" ht="15.6" x14ac:dyDescent="0.35">
      <c r="A10" s="3" t="s">
        <v>8</v>
      </c>
      <c r="B10" s="6">
        <f>'[2]Cascade 10K'!$B$69</f>
        <v>0.32423224645250454</v>
      </c>
      <c r="C10" s="3" t="str">
        <f ca="1">[1]!getformula(B10)</f>
        <v>&lt;--  ='[data.xlsm]Cascade 10K'!$B$69</v>
      </c>
    </row>
    <row r="11" spans="1:3" x14ac:dyDescent="0.25">
      <c r="A11" s="9" t="s">
        <v>9</v>
      </c>
      <c r="B11" s="10">
        <f>$B$4/($B$4+$B$5)*B8+$B$5/($B$4+$B$5)*B9*(1-B10)</f>
        <v>0.18712120011290478</v>
      </c>
      <c r="C11" s="3" t="str">
        <f ca="1">[1]!getformula(B11)</f>
        <v>&lt;--  =$B$4/($B$4+$B$5)*B8+$B$5/($B$4+$B$5)*B9*(1-B10)</v>
      </c>
    </row>
    <row r="12" spans="1:3" x14ac:dyDescent="0.25">
      <c r="B12" s="7"/>
    </row>
    <row r="13" spans="1:3" x14ac:dyDescent="0.25">
      <c r="A13" s="5" t="s">
        <v>10</v>
      </c>
    </row>
    <row r="14" spans="1:3" ht="15.6" x14ac:dyDescent="0.35">
      <c r="A14" s="3" t="s">
        <v>6</v>
      </c>
      <c r="B14" s="6">
        <f>[5]Sheet1!$B$7</f>
        <v>0.10458637605400405</v>
      </c>
      <c r="C14" s="3" t="str">
        <f ca="1">[1]!getformula(B14)</f>
        <v>&lt;--  ='D:\lizhengdong\交易框架\5_工具箱\_书库\编程\Excel\CH02\[chapter2_29.xlsm]Sheet1'!$B$7</v>
      </c>
    </row>
    <row r="15" spans="1:3" ht="15.6" x14ac:dyDescent="0.35">
      <c r="A15" s="3" t="s">
        <v>7</v>
      </c>
      <c r="B15" s="6">
        <f>[4]Sheet1!$B$15</f>
        <v>7.7774309792015439E-2</v>
      </c>
      <c r="C15" s="3" t="str">
        <f ca="1">[1]!getformula(B15)</f>
        <v>&lt;--  ='D:\lizhengdong\交易框架\5_工具箱\_书库\编程\Excel\CH02\[chapter2_31.xlsm]Sheet1'!$B$15</v>
      </c>
    </row>
    <row r="16" spans="1:3" ht="15.6" x14ac:dyDescent="0.35">
      <c r="A16" s="3" t="s">
        <v>8</v>
      </c>
      <c r="B16" s="6">
        <f>'[2]Cascade 10K'!$B$69</f>
        <v>0.32423224645250454</v>
      </c>
      <c r="C16" s="3" t="str">
        <f ca="1">[1]!getformula(B16)</f>
        <v>&lt;--  ='[data.xlsm]Cascade 10K'!$B$69</v>
      </c>
    </row>
    <row r="17" spans="1:3" x14ac:dyDescent="0.25">
      <c r="A17" s="9" t="s">
        <v>9</v>
      </c>
      <c r="B17" s="10">
        <f>$B$4/($B$4+$B$5)*B14+$B$5/($B$4+$B$5)*B15*(1-B16)</f>
        <v>0.10703618733718288</v>
      </c>
      <c r="C17" s="3" t="str">
        <f ca="1">[1]!getformula(B17)</f>
        <v>&lt;--  =$B$4/($B$4+$B$5)*B14+$B$5/($B$4+$B$5)*B15*(1-B16)</v>
      </c>
    </row>
    <row r="18" spans="1:3" x14ac:dyDescent="0.25">
      <c r="B18" s="7"/>
    </row>
    <row r="19" spans="1:3" x14ac:dyDescent="0.25">
      <c r="A19" s="5" t="s">
        <v>11</v>
      </c>
    </row>
    <row r="20" spans="1:3" ht="15.6" x14ac:dyDescent="0.35">
      <c r="A20" s="3" t="s">
        <v>6</v>
      </c>
      <c r="B20" s="6">
        <f>[6]Sheet1!$B$12</f>
        <v>0.11553833333333333</v>
      </c>
      <c r="C20" s="3" t="str">
        <f ca="1">[1]!getformula(B20)</f>
        <v>&lt;--  =[chapter2_30.xlsm]Sheet1!$B$12</v>
      </c>
    </row>
    <row r="21" spans="1:3" ht="15.6" x14ac:dyDescent="0.35">
      <c r="A21" s="3" t="s">
        <v>7</v>
      </c>
      <c r="B21" s="6">
        <f>[4]Sheet1!$B$15</f>
        <v>7.7774309792015439E-2</v>
      </c>
      <c r="C21" s="3" t="str">
        <f ca="1">[1]!getformula(B21)</f>
        <v>&lt;--  ='D:\lizhengdong\交易框架\5_工具箱\_书库\编程\Excel\CH02\[chapter2_31.xlsm]Sheet1'!$B$15</v>
      </c>
    </row>
    <row r="22" spans="1:3" ht="15.6" x14ac:dyDescent="0.35">
      <c r="A22" s="3" t="s">
        <v>8</v>
      </c>
      <c r="B22" s="6">
        <f>'[2]Cascade 10K'!$B$69</f>
        <v>0.32423224645250454</v>
      </c>
      <c r="C22" s="3" t="str">
        <f ca="1">[1]!getformula(B22)</f>
        <v>&lt;--  ='[data.xlsm]Cascade 10K'!$B$69</v>
      </c>
    </row>
    <row r="23" spans="1:3" x14ac:dyDescent="0.25">
      <c r="A23" s="9" t="s">
        <v>9</v>
      </c>
      <c r="B23" s="10">
        <f>$B$4/($B$4+$B$5)*B20+$B$5/($B$4+$B$5)*B21*(1-B22)</f>
        <v>0.11850382290572388</v>
      </c>
      <c r="C23" s="3" t="str">
        <f ca="1">[1]!getformula(B23)</f>
        <v>&lt;--  =$B$4/($B$4+$B$5)*B20+$B$5/($B$4+$B$5)*B21*(1-B22)</v>
      </c>
    </row>
    <row r="25" spans="1:3" x14ac:dyDescent="0.25">
      <c r="A25" s="5" t="s">
        <v>12</v>
      </c>
    </row>
    <row r="26" spans="1:3" ht="15.6" x14ac:dyDescent="0.35">
      <c r="A26" s="3" t="s">
        <v>6</v>
      </c>
      <c r="B26" s="6">
        <f>[6]Sheet1!$B$13</f>
        <v>0.12592835567090382</v>
      </c>
      <c r="C26" s="3" t="str">
        <f ca="1">[1]!getformula(B26)</f>
        <v>&lt;--  =[chapter2_30.xlsm]Sheet1!$B$13</v>
      </c>
    </row>
    <row r="27" spans="1:3" ht="15.6" x14ac:dyDescent="0.35">
      <c r="A27" s="3" t="s">
        <v>7</v>
      </c>
      <c r="B27" s="6">
        <f>[4]Sheet1!$B$15</f>
        <v>7.7774309792015439E-2</v>
      </c>
      <c r="C27" s="3" t="str">
        <f ca="1">[1]!getformula(B27)</f>
        <v>&lt;--  ='D:\lizhengdong\交易框架\5_工具箱\_书库\编程\Excel\CH02\[chapter2_31.xlsm]Sheet1'!$B$15</v>
      </c>
    </row>
    <row r="28" spans="1:3" ht="15.6" x14ac:dyDescent="0.35">
      <c r="A28" s="3" t="s">
        <v>8</v>
      </c>
      <c r="B28" s="6">
        <f>'[2]Cascade 10K'!$B$69</f>
        <v>0.32423224645250454</v>
      </c>
      <c r="C28" s="3" t="str">
        <f ca="1">[1]!getformula(B28)</f>
        <v>&lt;--  ='[data.xlsm]Cascade 10K'!$B$69</v>
      </c>
    </row>
    <row r="29" spans="1:3" x14ac:dyDescent="0.25">
      <c r="A29" s="9" t="s">
        <v>9</v>
      </c>
      <c r="B29" s="10">
        <f>$B$4/($B$4+$B$5)*B26+$B$5/($B$4+$B$5)*B27*(1-B28)</f>
        <v>0.12938306454969381</v>
      </c>
      <c r="C29" s="3" t="str">
        <f ca="1">[1]!getformula(B29)</f>
        <v>&lt;--  =$B$4/($B$4+$B$5)*B26+$B$5/($B$4+$B$5)*B27*(1-B28)</v>
      </c>
    </row>
    <row r="31" spans="1:3" x14ac:dyDescent="0.25">
      <c r="A31" s="8" t="s">
        <v>13</v>
      </c>
      <c r="B31" s="11">
        <f>AVERAGE(B29,B23,B17)</f>
        <v>0.11830769159753353</v>
      </c>
      <c r="C31" s="3" t="str">
        <f ca="1">[1]!getformula(B31)</f>
        <v>&lt;--  =AVERAGE(B29,B23,B17)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2024-10-09T08:02:22Z</dcterms:modified>
</cp:coreProperties>
</file>