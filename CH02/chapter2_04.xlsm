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EB0C93BE-E666-407B-989F-0FABDE33E19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B27" i="1" s="1"/>
  <c r="B26" i="1"/>
  <c r="B22" i="1"/>
  <c r="B20" i="1"/>
  <c r="B18" i="1"/>
  <c r="F6" i="1"/>
  <c r="F7" i="1"/>
  <c r="F8" i="1"/>
  <c r="F9" i="1"/>
  <c r="F10" i="1"/>
  <c r="F11" i="1"/>
  <c r="F12" i="1"/>
  <c r="F13" i="1"/>
  <c r="F5" i="1"/>
  <c r="F4" i="1"/>
  <c r="E4" i="1"/>
  <c r="E5" i="1"/>
  <c r="E6" i="1"/>
  <c r="E7" i="1"/>
  <c r="E8" i="1"/>
  <c r="E9" i="1"/>
  <c r="E10" i="1"/>
  <c r="E11" i="1"/>
  <c r="E12" i="1"/>
  <c r="E13" i="1"/>
  <c r="E3" i="1"/>
  <c r="C27" i="1"/>
  <c r="C26" i="1"/>
  <c r="C23" i="1"/>
  <c r="C22" i="1"/>
  <c r="C18" i="1"/>
  <c r="G5" i="1"/>
  <c r="G6" i="1"/>
  <c r="G4" i="1"/>
  <c r="F3" i="1"/>
</calcChain>
</file>

<file path=xl/sharedStrings.xml><?xml version="1.0" encoding="utf-8"?>
<sst xmlns="http://schemas.openxmlformats.org/spreadsheetml/2006/main" count="19" uniqueCount="17">
  <si>
    <t>JOHNSON &amp; JOHNSON, CASH FLOW TO EQUITY, 1995-2005</t>
  </si>
  <si>
    <t>Year ending</t>
  </si>
  <si>
    <t>Dividends</t>
  </si>
  <si>
    <t>Repurchase of common stock</t>
  </si>
  <si>
    <t>Stock issues</t>
  </si>
  <si>
    <t>Cash flow to equity</t>
  </si>
  <si>
    <t>Year on year growth</t>
  </si>
  <si>
    <t>End 2005 equity data</t>
  </si>
  <si>
    <t>Stock price</t>
  </si>
  <si>
    <t>Number of shares</t>
  </si>
  <si>
    <t>Equity value</t>
  </si>
  <si>
    <t>Equity cash flow, end 2005</t>
  </si>
  <si>
    <t>Future growth rate</t>
  </si>
  <si>
    <t xml:space="preserve">     Based on 10-year growth rate</t>
  </si>
  <si>
    <t xml:space="preserve">     Based on 5-year growth rate</t>
  </si>
  <si>
    <r>
      <t>Gordon cost of equity, r</t>
    </r>
    <r>
      <rPr>
        <vertAlign val="subscript"/>
        <sz val="10"/>
        <rFont val="Arial"/>
        <family val="2"/>
      </rPr>
      <t>E</t>
    </r>
  </si>
  <si>
    <r>
      <t>Note</t>
    </r>
    <r>
      <rPr>
        <sz val="10"/>
        <rFont val="Arial"/>
        <family val="2"/>
      </rPr>
      <t>:  Stock issues are proceeds from issuance of stock options (most to employees)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</si>
</sst>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/>
    <xf numFmtId="3" fontId="0" fillId="0" borderId="0" xfId="0" applyNumberFormat="1">
      <alignment vertical="center"/>
    </xf>
    <xf numFmtId="10" fontId="0" fillId="0" borderId="0" xfId="1" applyNumberFormat="1" applyFont="1" applyAlignment="1">
      <alignment horizontal="center" vertical="center"/>
    </xf>
    <xf numFmtId="0" fontId="4" fillId="0" borderId="0" xfId="0" applyFont="1" applyAlignment="1"/>
    <xf numFmtId="0" fontId="5" fillId="0" borderId="0" xfId="0" applyFont="1" applyAlignment="1"/>
    <xf numFmtId="0" fontId="0" fillId="0" borderId="0" xfId="0" applyAlignment="1"/>
    <xf numFmtId="0" fontId="0" fillId="2" borderId="0" xfId="0" applyFill="1" applyAlignment="1"/>
    <xf numFmtId="4" fontId="0" fillId="0" borderId="0" xfId="0" applyNumberFormat="1" applyAlignment="1"/>
    <xf numFmtId="3" fontId="7" fillId="0" borderId="0" xfId="0" applyNumberFormat="1" applyFont="1" applyAlignment="1"/>
    <xf numFmtId="14" fontId="0" fillId="0" borderId="0" xfId="0" applyNumberFormat="1" applyAlignment="1">
      <alignment horizontal="center"/>
    </xf>
    <xf numFmtId="10" fontId="0" fillId="0" borderId="0" xfId="1" applyNumberFormat="1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JNJ, CASH FLOW TO EQUITY, 1995-2005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3866027203813797"/>
          <c:y val="0.14237818783923192"/>
          <c:w val="0.81115967999590366"/>
          <c:h val="0.81539587346485132"/>
        </c:manualLayout>
      </c:layout>
      <c:lineChart>
        <c:grouping val="standard"/>
        <c:varyColors val="0"/>
        <c:ser>
          <c:idx val="0"/>
          <c:order val="0"/>
          <c:tx>
            <c:v>Total dividends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Sheet1!$A$3:$A$13</c:f>
              <c:numCache>
                <c:formatCode>m/d/yyyy</c:formatCode>
                <c:ptCount val="11"/>
                <c:pt idx="0">
                  <c:v>35064</c:v>
                </c:pt>
                <c:pt idx="1">
                  <c:v>35430</c:v>
                </c:pt>
                <c:pt idx="2">
                  <c:v>35795</c:v>
                </c:pt>
                <c:pt idx="3">
                  <c:v>36160</c:v>
                </c:pt>
                <c:pt idx="4">
                  <c:v>36525</c:v>
                </c:pt>
                <c:pt idx="5">
                  <c:v>36891</c:v>
                </c:pt>
                <c:pt idx="6">
                  <c:v>37256</c:v>
                </c:pt>
                <c:pt idx="7">
                  <c:v>37621</c:v>
                </c:pt>
                <c:pt idx="8">
                  <c:v>37986</c:v>
                </c:pt>
                <c:pt idx="9">
                  <c:v>38352</c:v>
                </c:pt>
                <c:pt idx="10">
                  <c:v>38717</c:v>
                </c:pt>
              </c:numCache>
            </c:numRef>
          </c:cat>
          <c:val>
            <c:numRef>
              <c:f>Sheet1!$B$3:$B$13</c:f>
              <c:numCache>
                <c:formatCode>#,##0</c:formatCode>
                <c:ptCount val="11"/>
                <c:pt idx="0">
                  <c:v>827000000</c:v>
                </c:pt>
                <c:pt idx="1">
                  <c:v>974000000</c:v>
                </c:pt>
                <c:pt idx="2">
                  <c:v>1137000000</c:v>
                </c:pt>
                <c:pt idx="3">
                  <c:v>1305000000</c:v>
                </c:pt>
                <c:pt idx="4">
                  <c:v>1479000000</c:v>
                </c:pt>
                <c:pt idx="5">
                  <c:v>1724000000</c:v>
                </c:pt>
                <c:pt idx="6">
                  <c:v>2047000000</c:v>
                </c:pt>
                <c:pt idx="7">
                  <c:v>2381000000</c:v>
                </c:pt>
                <c:pt idx="8">
                  <c:v>2746000000</c:v>
                </c:pt>
                <c:pt idx="9">
                  <c:v>3251000000</c:v>
                </c:pt>
                <c:pt idx="10">
                  <c:v>3793000000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0-4DB9-B654-357F819F160F}"/>
            </c:ext>
          </c:extLst>
        </c:ser>
        <c:ser>
          <c:idx val="1"/>
          <c:order val="1"/>
          <c:tx>
            <c:v>Stock repurchases</c:v>
          </c:tx>
          <c:spPr>
            <a:ln w="9525" cap="rnd">
              <a:solidFill>
                <a:srgbClr val="FF00FF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Sheet1!$A$3:$A$13</c:f>
              <c:numCache>
                <c:formatCode>m/d/yyyy</c:formatCode>
                <c:ptCount val="11"/>
                <c:pt idx="0">
                  <c:v>35064</c:v>
                </c:pt>
                <c:pt idx="1">
                  <c:v>35430</c:v>
                </c:pt>
                <c:pt idx="2">
                  <c:v>35795</c:v>
                </c:pt>
                <c:pt idx="3">
                  <c:v>36160</c:v>
                </c:pt>
                <c:pt idx="4">
                  <c:v>36525</c:v>
                </c:pt>
                <c:pt idx="5">
                  <c:v>36891</c:v>
                </c:pt>
                <c:pt idx="6">
                  <c:v>37256</c:v>
                </c:pt>
                <c:pt idx="7">
                  <c:v>37621</c:v>
                </c:pt>
                <c:pt idx="8">
                  <c:v>37986</c:v>
                </c:pt>
                <c:pt idx="9">
                  <c:v>38352</c:v>
                </c:pt>
                <c:pt idx="10">
                  <c:v>38717</c:v>
                </c:pt>
              </c:numCache>
            </c:numRef>
          </c:cat>
          <c:val>
            <c:numRef>
              <c:f>Sheet1!$C$3:$C$13</c:f>
              <c:numCache>
                <c:formatCode>#,##0</c:formatCode>
                <c:ptCount val="11"/>
                <c:pt idx="0">
                  <c:v>322000000</c:v>
                </c:pt>
                <c:pt idx="1">
                  <c:v>412000000</c:v>
                </c:pt>
                <c:pt idx="2">
                  <c:v>628000000</c:v>
                </c:pt>
                <c:pt idx="3">
                  <c:v>930000000</c:v>
                </c:pt>
                <c:pt idx="4">
                  <c:v>840000000</c:v>
                </c:pt>
                <c:pt idx="5">
                  <c:v>973000000</c:v>
                </c:pt>
                <c:pt idx="6">
                  <c:v>2570000000</c:v>
                </c:pt>
                <c:pt idx="7">
                  <c:v>6538000000</c:v>
                </c:pt>
                <c:pt idx="8">
                  <c:v>1183000000</c:v>
                </c:pt>
                <c:pt idx="9">
                  <c:v>1384000000</c:v>
                </c:pt>
                <c:pt idx="10">
                  <c:v>1717000000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0-4DB9-B654-357F819F160F}"/>
            </c:ext>
          </c:extLst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Stock issues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Sheet1!$A$3:$A$13</c:f>
              <c:numCache>
                <c:formatCode>m/d/yyyy</c:formatCode>
                <c:ptCount val="11"/>
                <c:pt idx="0">
                  <c:v>35064</c:v>
                </c:pt>
                <c:pt idx="1">
                  <c:v>35430</c:v>
                </c:pt>
                <c:pt idx="2">
                  <c:v>35795</c:v>
                </c:pt>
                <c:pt idx="3">
                  <c:v>36160</c:v>
                </c:pt>
                <c:pt idx="4">
                  <c:v>36525</c:v>
                </c:pt>
                <c:pt idx="5">
                  <c:v>36891</c:v>
                </c:pt>
                <c:pt idx="6">
                  <c:v>37256</c:v>
                </c:pt>
                <c:pt idx="7">
                  <c:v>37621</c:v>
                </c:pt>
                <c:pt idx="8">
                  <c:v>37986</c:v>
                </c:pt>
                <c:pt idx="9">
                  <c:v>38352</c:v>
                </c:pt>
                <c:pt idx="10">
                  <c:v>38717</c:v>
                </c:pt>
              </c:numCache>
            </c:numRef>
          </c:cat>
          <c:val>
            <c:numRef>
              <c:f>Sheet1!$D$3:$D$13</c:f>
              <c:numCache>
                <c:formatCode>#,##0</c:formatCode>
                <c:ptCount val="11"/>
                <c:pt idx="0">
                  <c:v>-112000000</c:v>
                </c:pt>
                <c:pt idx="1">
                  <c:v>-149000000</c:v>
                </c:pt>
                <c:pt idx="2">
                  <c:v>-225000000</c:v>
                </c:pt>
                <c:pt idx="3">
                  <c:v>-269000000</c:v>
                </c:pt>
                <c:pt idx="4">
                  <c:v>-221000000</c:v>
                </c:pt>
                <c:pt idx="5">
                  <c:v>-387000000</c:v>
                </c:pt>
                <c:pt idx="6">
                  <c:v>-514000000</c:v>
                </c:pt>
                <c:pt idx="7">
                  <c:v>-390000000</c:v>
                </c:pt>
                <c:pt idx="8">
                  <c:v>-311000000</c:v>
                </c:pt>
                <c:pt idx="9">
                  <c:v>-642000000</c:v>
                </c:pt>
                <c:pt idx="10">
                  <c:v>-696000000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D0-4DB9-B654-357F819F160F}"/>
            </c:ext>
          </c:extLst>
        </c:ser>
        <c:ser>
          <c:idx val="3"/>
          <c:order val="3"/>
          <c:tx>
            <c:strRef>
              <c:f>Sheet1!$E$2</c:f>
              <c:strCache>
                <c:ptCount val="1"/>
                <c:pt idx="0">
                  <c:v>Cash flow to equity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x"/>
            <c:size val="5"/>
            <c:spPr>
              <a:solidFill>
                <a:srgbClr val="FFFFFF"/>
              </a:solidFill>
              <a:ln w="9525">
                <a:solidFill>
                  <a:schemeClr val="tx1"/>
                </a:solidFill>
                <a:bevel/>
              </a:ln>
              <a:effectLst/>
            </c:spPr>
          </c:marker>
          <c:cat>
            <c:numRef>
              <c:f>Sheet1!$A$3:$A$13</c:f>
              <c:numCache>
                <c:formatCode>m/d/yyyy</c:formatCode>
                <c:ptCount val="11"/>
                <c:pt idx="0">
                  <c:v>35064</c:v>
                </c:pt>
                <c:pt idx="1">
                  <c:v>35430</c:v>
                </c:pt>
                <c:pt idx="2">
                  <c:v>35795</c:v>
                </c:pt>
                <c:pt idx="3">
                  <c:v>36160</c:v>
                </c:pt>
                <c:pt idx="4">
                  <c:v>36525</c:v>
                </c:pt>
                <c:pt idx="5">
                  <c:v>36891</c:v>
                </c:pt>
                <c:pt idx="6">
                  <c:v>37256</c:v>
                </c:pt>
                <c:pt idx="7">
                  <c:v>37621</c:v>
                </c:pt>
                <c:pt idx="8">
                  <c:v>37986</c:v>
                </c:pt>
                <c:pt idx="9">
                  <c:v>38352</c:v>
                </c:pt>
                <c:pt idx="10">
                  <c:v>38717</c:v>
                </c:pt>
              </c:numCache>
            </c:numRef>
          </c:cat>
          <c:val>
            <c:numRef>
              <c:f>Sheet1!$E$3:$E$13</c:f>
              <c:numCache>
                <c:formatCode>#,##0</c:formatCode>
                <c:ptCount val="11"/>
                <c:pt idx="0">
                  <c:v>1037000000</c:v>
                </c:pt>
                <c:pt idx="1">
                  <c:v>1237000000</c:v>
                </c:pt>
                <c:pt idx="2">
                  <c:v>1540000000</c:v>
                </c:pt>
                <c:pt idx="3">
                  <c:v>1966000000</c:v>
                </c:pt>
                <c:pt idx="4">
                  <c:v>2098000000</c:v>
                </c:pt>
                <c:pt idx="5">
                  <c:v>2310000000</c:v>
                </c:pt>
                <c:pt idx="6">
                  <c:v>4103000000</c:v>
                </c:pt>
                <c:pt idx="7">
                  <c:v>8529000000</c:v>
                </c:pt>
                <c:pt idx="8">
                  <c:v>3618000000</c:v>
                </c:pt>
                <c:pt idx="9">
                  <c:v>3993000000</c:v>
                </c:pt>
                <c:pt idx="10">
                  <c:v>4814000000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D0-4DB9-B654-357F819F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1233856"/>
        <c:axId val="931239256"/>
      </c:lineChart>
      <c:dateAx>
        <c:axId val="9312338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1239256"/>
        <c:crosses val="autoZero"/>
        <c:auto val="1"/>
        <c:lblOffset val="100"/>
        <c:baseTimeUnit val="years"/>
      </c:dateAx>
      <c:valAx>
        <c:axId val="931239256"/>
        <c:scaling>
          <c:orientation val="minMax"/>
          <c:max val="9000000000"/>
          <c:min val="-10000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 w="3175"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12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166945606890513"/>
          <c:y val="0.3319877656614556"/>
          <c:w val="0.19665855577912056"/>
          <c:h val="0.23608319809647763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670033</xdr:colOff>
      <xdr:row>14</xdr:row>
      <xdr:rowOff>97090</xdr:rowOff>
    </xdr:from>
    <xdr:to>
      <xdr:col>9</xdr:col>
      <xdr:colOff>433550</xdr:colOff>
      <xdr:row>33</xdr:row>
      <xdr:rowOff>134139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6F14A5C-3171-B00B-44CF-14AD4682D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29"/>
  <sheetViews>
    <sheetView showGridLines="0" tabSelected="1" zoomScale="145" zoomScaleNormal="145" workbookViewId="0">
      <selection activeCell="L11" sqref="L11"/>
    </sheetView>
  </sheetViews>
  <sheetFormatPr defaultRowHeight="13.8" x14ac:dyDescent="0.25"/>
  <cols>
    <col min="1" max="1" width="45.6640625" customWidth="1"/>
    <col min="2" max="7" width="19.6640625" customWidth="1"/>
  </cols>
  <sheetData>
    <row r="1" spans="1:7" ht="17.399999999999999" x14ac:dyDescent="0.25">
      <c r="A1" s="1" t="s">
        <v>0</v>
      </c>
      <c r="B1" s="1"/>
      <c r="C1" s="1"/>
      <c r="D1" s="1"/>
      <c r="E1" s="1"/>
      <c r="F1" s="1"/>
      <c r="G1" s="1"/>
    </row>
    <row r="2" spans="1:7" ht="52.8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/>
    </row>
    <row r="3" spans="1:7" x14ac:dyDescent="0.25">
      <c r="A3" s="12">
        <v>35064</v>
      </c>
      <c r="B3" s="3">
        <v>827000000</v>
      </c>
      <c r="C3" s="3">
        <v>322000000</v>
      </c>
      <c r="D3" s="3">
        <v>-112000000</v>
      </c>
      <c r="E3" s="4">
        <f>SUM(B3:D3)</f>
        <v>1037000000</v>
      </c>
      <c r="F3" t="str">
        <f ca="1">_xlfn.FORMULATEXT(E3)</f>
        <v>=SUM(B3:D3)</v>
      </c>
    </row>
    <row r="4" spans="1:7" x14ac:dyDescent="0.25">
      <c r="A4" s="12">
        <v>35430</v>
      </c>
      <c r="B4" s="3">
        <v>974000000</v>
      </c>
      <c r="C4" s="3">
        <v>412000000</v>
      </c>
      <c r="D4" s="3">
        <v>-149000000</v>
      </c>
      <c r="E4" s="4">
        <f t="shared" ref="E4:E13" si="0">SUM(B4:D4)</f>
        <v>1237000000</v>
      </c>
      <c r="F4" s="5">
        <f>E4/E3-1</f>
        <v>0.19286403085824499</v>
      </c>
      <c r="G4" t="str">
        <f ca="1">_xlfn.FORMULATEXT(F4)</f>
        <v>=E4/E3-1</v>
      </c>
    </row>
    <row r="5" spans="1:7" x14ac:dyDescent="0.25">
      <c r="A5" s="12">
        <v>35795</v>
      </c>
      <c r="B5" s="3">
        <v>1137000000</v>
      </c>
      <c r="C5" s="3">
        <v>628000000</v>
      </c>
      <c r="D5" s="3">
        <v>-225000000</v>
      </c>
      <c r="E5" s="4">
        <f t="shared" si="0"/>
        <v>1540000000</v>
      </c>
      <c r="F5" s="5">
        <f>E5/E4-1</f>
        <v>0.24494745351657232</v>
      </c>
      <c r="G5" t="str">
        <f t="shared" ref="G5:G6" ca="1" si="1">_xlfn.FORMULATEXT(F5)</f>
        <v>=E5/E4-1</v>
      </c>
    </row>
    <row r="6" spans="1:7" x14ac:dyDescent="0.25">
      <c r="A6" s="12">
        <v>36160</v>
      </c>
      <c r="B6" s="3">
        <v>1305000000</v>
      </c>
      <c r="C6" s="3">
        <v>930000000</v>
      </c>
      <c r="D6" s="3">
        <v>-269000000</v>
      </c>
      <c r="E6" s="4">
        <f t="shared" si="0"/>
        <v>1966000000</v>
      </c>
      <c r="F6" s="5">
        <f t="shared" ref="F6:F13" si="2">E6/E5-1</f>
        <v>0.27662337662337655</v>
      </c>
      <c r="G6" t="str">
        <f t="shared" ca="1" si="1"/>
        <v>=E6/E5-1</v>
      </c>
    </row>
    <row r="7" spans="1:7" x14ac:dyDescent="0.25">
      <c r="A7" s="12">
        <v>36525</v>
      </c>
      <c r="B7" s="3">
        <v>1479000000</v>
      </c>
      <c r="C7" s="3">
        <v>840000000</v>
      </c>
      <c r="D7" s="3">
        <v>-221000000</v>
      </c>
      <c r="E7" s="4">
        <f t="shared" si="0"/>
        <v>2098000000</v>
      </c>
      <c r="F7" s="5">
        <f t="shared" si="2"/>
        <v>6.7141403865717209E-2</v>
      </c>
    </row>
    <row r="8" spans="1:7" x14ac:dyDescent="0.25">
      <c r="A8" s="12">
        <v>36891</v>
      </c>
      <c r="B8" s="3">
        <v>1724000000</v>
      </c>
      <c r="C8" s="3">
        <v>973000000</v>
      </c>
      <c r="D8" s="3">
        <v>-387000000</v>
      </c>
      <c r="E8" s="4">
        <f t="shared" si="0"/>
        <v>2310000000</v>
      </c>
      <c r="F8" s="5">
        <f t="shared" si="2"/>
        <v>0.10104861773117246</v>
      </c>
    </row>
    <row r="9" spans="1:7" x14ac:dyDescent="0.25">
      <c r="A9" s="12">
        <v>37256</v>
      </c>
      <c r="B9" s="3">
        <v>2047000000</v>
      </c>
      <c r="C9" s="3">
        <v>2570000000</v>
      </c>
      <c r="D9" s="3">
        <v>-514000000</v>
      </c>
      <c r="E9" s="4">
        <f t="shared" si="0"/>
        <v>4103000000</v>
      </c>
      <c r="F9" s="5">
        <f t="shared" si="2"/>
        <v>0.7761904761904761</v>
      </c>
    </row>
    <row r="10" spans="1:7" x14ac:dyDescent="0.25">
      <c r="A10" s="12">
        <v>37621</v>
      </c>
      <c r="B10" s="3">
        <v>2381000000</v>
      </c>
      <c r="C10" s="3">
        <v>6538000000</v>
      </c>
      <c r="D10" s="3">
        <v>-390000000</v>
      </c>
      <c r="E10" s="4">
        <f t="shared" si="0"/>
        <v>8529000000</v>
      </c>
      <c r="F10" s="5">
        <f t="shared" si="2"/>
        <v>1.078722885693395</v>
      </c>
    </row>
    <row r="11" spans="1:7" x14ac:dyDescent="0.25">
      <c r="A11" s="12">
        <v>37986</v>
      </c>
      <c r="B11" s="3">
        <v>2746000000</v>
      </c>
      <c r="C11" s="3">
        <v>1183000000</v>
      </c>
      <c r="D11" s="3">
        <v>-311000000</v>
      </c>
      <c r="E11" s="4">
        <f t="shared" si="0"/>
        <v>3618000000</v>
      </c>
      <c r="F11" s="5">
        <f t="shared" si="2"/>
        <v>-0.57580021104467116</v>
      </c>
    </row>
    <row r="12" spans="1:7" x14ac:dyDescent="0.25">
      <c r="A12" s="12">
        <v>38352</v>
      </c>
      <c r="B12" s="3">
        <v>3251000000</v>
      </c>
      <c r="C12" s="3">
        <v>1384000000</v>
      </c>
      <c r="D12" s="3">
        <v>-642000000</v>
      </c>
      <c r="E12" s="4">
        <f t="shared" si="0"/>
        <v>3993000000</v>
      </c>
      <c r="F12" s="5">
        <f t="shared" si="2"/>
        <v>0.10364842454394685</v>
      </c>
    </row>
    <row r="13" spans="1:7" x14ac:dyDescent="0.25">
      <c r="A13" s="12">
        <v>38717</v>
      </c>
      <c r="B13" s="3">
        <v>3793000000</v>
      </c>
      <c r="C13" s="3">
        <v>1717000000</v>
      </c>
      <c r="D13" s="3">
        <v>-696000000</v>
      </c>
      <c r="E13" s="4">
        <f t="shared" si="0"/>
        <v>4814000000</v>
      </c>
      <c r="F13" s="5">
        <f t="shared" si="2"/>
        <v>0.2056098171800651</v>
      </c>
    </row>
    <row r="15" spans="1:7" x14ac:dyDescent="0.25">
      <c r="A15" s="6" t="s">
        <v>7</v>
      </c>
    </row>
    <row r="16" spans="1:7" x14ac:dyDescent="0.25">
      <c r="A16" s="7" t="s">
        <v>8</v>
      </c>
      <c r="B16" s="10">
        <v>61.07</v>
      </c>
    </row>
    <row r="17" spans="1:3" x14ac:dyDescent="0.25">
      <c r="A17" s="7" t="s">
        <v>9</v>
      </c>
      <c r="B17" s="11">
        <v>3119842000</v>
      </c>
    </row>
    <row r="18" spans="1:3" x14ac:dyDescent="0.25">
      <c r="A18" s="7" t="s">
        <v>10</v>
      </c>
      <c r="B18">
        <f>B16*B17</f>
        <v>190528750940</v>
      </c>
      <c r="C18" t="str">
        <f ca="1">_xlfn.FORMULATEXT(B18)</f>
        <v>=B16*B17</v>
      </c>
    </row>
    <row r="19" spans="1:3" x14ac:dyDescent="0.25">
      <c r="A19" s="8"/>
    </row>
    <row r="20" spans="1:3" x14ac:dyDescent="0.25">
      <c r="A20" s="8" t="s">
        <v>11</v>
      </c>
      <c r="B20" s="4">
        <f>E13</f>
        <v>4814000000</v>
      </c>
    </row>
    <row r="21" spans="1:3" x14ac:dyDescent="0.25">
      <c r="A21" s="8" t="s">
        <v>12</v>
      </c>
    </row>
    <row r="22" spans="1:3" x14ac:dyDescent="0.25">
      <c r="A22" s="8" t="s">
        <v>13</v>
      </c>
      <c r="B22" s="13">
        <f>(E13/E3)^(1/10)-1</f>
        <v>0.16593068695507829</v>
      </c>
      <c r="C22" t="str">
        <f ca="1">_xlfn.FORMULATEXT(B22)</f>
        <v>=(E13/E3)^(1/10)-1</v>
      </c>
    </row>
    <row r="23" spans="1:3" x14ac:dyDescent="0.25">
      <c r="A23" s="8" t="s">
        <v>14</v>
      </c>
      <c r="B23" s="13">
        <f>(E13/E8)^(1/5)-1</f>
        <v>0.15818736081290896</v>
      </c>
      <c r="C23" t="str">
        <f ca="1">_xlfn.FORMULATEXT(B23)</f>
        <v>=(E13/E8)^(1/5)-1</v>
      </c>
    </row>
    <row r="24" spans="1:3" x14ac:dyDescent="0.25">
      <c r="A24" s="8"/>
    </row>
    <row r="25" spans="1:3" ht="15.6" x14ac:dyDescent="0.35">
      <c r="A25" s="8" t="s">
        <v>15</v>
      </c>
    </row>
    <row r="26" spans="1:3" x14ac:dyDescent="0.25">
      <c r="A26" s="9" t="s">
        <v>13</v>
      </c>
      <c r="B26" s="13">
        <f>B20*(1+B22)/B18+B22</f>
        <v>0.19538970717806442</v>
      </c>
      <c r="C26" t="str">
        <f ca="1">_xlfn.FORMULATEXT(B26)</f>
        <v>=B20*(1+B22)/B18+B22</v>
      </c>
    </row>
    <row r="27" spans="1:3" x14ac:dyDescent="0.25">
      <c r="A27" s="9" t="s">
        <v>14</v>
      </c>
      <c r="B27" s="13">
        <f>B20*(1+B23)/B18+B23</f>
        <v>0.18745073406994114</v>
      </c>
      <c r="C27" t="str">
        <f ca="1">_xlfn.FORMULATEXT(B27)</f>
        <v>=B20*(1+B23)/B18+B23</v>
      </c>
    </row>
    <row r="28" spans="1:3" x14ac:dyDescent="0.25">
      <c r="A28" s="8"/>
    </row>
    <row r="29" spans="1:3" x14ac:dyDescent="0.25">
      <c r="A29" s="6" t="s">
        <v>16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2024-10-07T06:17:17Z</dcterms:modified>
</cp:coreProperties>
</file>