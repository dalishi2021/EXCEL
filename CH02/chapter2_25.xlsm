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84942807-6597-4A19-B362-8C8F28DCC83E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12" i="1"/>
  <c r="B13" i="1"/>
  <c r="B5" i="1"/>
  <c r="C13" i="1"/>
  <c r="C12" i="1"/>
  <c r="C5" i="1"/>
</calcChain>
</file>

<file path=xl/sharedStrings.xml><?xml version="1.0" encoding="utf-8"?>
<sst xmlns="http://schemas.openxmlformats.org/spreadsheetml/2006/main" count="15" uniqueCount="15">
  <si>
    <r>
      <t>COMPUTING THE COST OF EQUITY r</t>
    </r>
    <r>
      <rPr>
        <b/>
        <vertAlign val="subscript"/>
        <sz val="14"/>
        <rFont val="Arial"/>
        <family val="2"/>
      </rPr>
      <t>E</t>
    </r>
    <r>
      <rPr>
        <b/>
        <sz val="14"/>
        <rFont val="Arial"/>
        <family val="2"/>
      </rPr>
      <t xml:space="preserve"> FOR TYSON USING THE MARKET PRICE/EARNINGS MULTIPLE TO COMPUTE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 xml:space="preserve">) </t>
    </r>
    <r>
      <rPr>
        <b/>
        <sz val="12"/>
        <rFont val="Arial"/>
        <family val="2"/>
      </rPr>
      <t/>
    </r>
    <phoneticPr fontId="7" type="noConversion"/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</si>
  <si>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</si>
  <si>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t>Tyson cost of equity calculations</t>
  </si>
  <si>
    <t>Tyson beta</t>
  </si>
  <si>
    <t>&lt;-- From Yahoo</t>
  </si>
  <si>
    <r>
      <t>Tyson tax rate, T</t>
    </r>
    <r>
      <rPr>
        <vertAlign val="subscript"/>
        <sz val="10"/>
        <rFont val="Arial"/>
        <family val="2"/>
      </rPr>
      <t>C</t>
    </r>
  </si>
  <si>
    <t>&lt;-- Computed from Tyson financials</t>
  </si>
  <si>
    <r>
      <t>Risk free rate, r</t>
    </r>
    <r>
      <rPr>
        <vertAlign val="subscript"/>
        <sz val="10"/>
        <rFont val="Arial"/>
        <family val="2"/>
      </rPr>
      <t>f</t>
    </r>
  </si>
  <si>
    <r>
      <t>Tyson cost of equity, r</t>
    </r>
    <r>
      <rPr>
        <vertAlign val="subscript"/>
        <sz val="10"/>
        <rFont val="Arial"/>
        <family val="2"/>
      </rPr>
      <t>E,Kraft</t>
    </r>
  </si>
  <si>
    <t xml:space="preserve">     Classic CAPM</t>
  </si>
  <si>
    <t xml:space="preserve">     Tax-adjusted CAPM</t>
  </si>
  <si>
    <t>Market price/earnings multiple, August 2006:PE</t>
    <phoneticPr fontId="1" type="noConversion"/>
  </si>
  <si>
    <t>Equity cash flow payout ratio: a</t>
    <phoneticPr fontId="1" type="noConversion"/>
  </si>
  <si>
    <t>Anticipated growth of equity cash flow g</t>
    <phoneticPr fontId="1" type="noConversion"/>
  </si>
  <si>
    <r>
      <t>Note</t>
    </r>
    <r>
      <rPr>
        <sz val="10"/>
        <rFont val="Arial"/>
        <family val="2"/>
      </rPr>
      <t>:  Price/Earnings ratio for S&amp;P 500 from http://www.bullandbearwise.com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</si>
</sst>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vertAlign val="subscript"/>
      <sz val="14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4" fillId="0" borderId="0" xfId="2" applyFont="1" applyAlignment="1">
      <alignment horizontal="center" vertical="center" wrapText="1"/>
    </xf>
    <xf numFmtId="0" fontId="3" fillId="0" borderId="0" xfId="2"/>
    <xf numFmtId="10" fontId="2" fillId="0" borderId="0" xfId="1" applyNumberFormat="1" applyAlignment="1"/>
    <xf numFmtId="0" fontId="9" fillId="0" borderId="0" xfId="2" applyFont="1"/>
    <xf numFmtId="2" fontId="3" fillId="0" borderId="0" xfId="2" applyNumberFormat="1"/>
    <xf numFmtId="10" fontId="3" fillId="0" borderId="0" xfId="2" applyNumberFormat="1"/>
    <xf numFmtId="0" fontId="2" fillId="0" borderId="0" xfId="1" applyNumberFormat="1" applyAlignment="1"/>
    <xf numFmtId="0" fontId="3" fillId="2" borderId="0" xfId="2" applyFill="1"/>
    <xf numFmtId="10" fontId="2" fillId="2" borderId="0" xfId="1" applyNumberFormat="1" applyFill="1" applyAlignment="1"/>
    <xf numFmtId="0" fontId="9" fillId="0" borderId="0" xfId="2" applyFont="1" applyAlignment="1">
      <alignment horizontal="left" vertical="center" wrapText="1"/>
    </xf>
  </cellXfs>
  <cellStyles count="3">
    <cellStyle name="Normal_fm3_chapter02" xfId="2" xr:uid="{B17C5378-03C8-44D4-A84E-14ADBA9ED6BE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data.xlsm" TargetMode="External"/><Relationship Id="rId1" Type="http://schemas.openxmlformats.org/officeDocument/2006/relationships/externalLinkPath" Target="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1">
          <cell r="B31">
            <v>0.29545454545454547</v>
          </cell>
        </row>
      </sheetData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24"/>
  <sheetViews>
    <sheetView tabSelected="1" workbookViewId="0">
      <selection activeCell="C19" sqref="C19"/>
    </sheetView>
  </sheetViews>
  <sheetFormatPr defaultRowHeight="13.8" x14ac:dyDescent="0.25"/>
  <cols>
    <col min="1" max="1" width="41.88671875" style="2" customWidth="1"/>
    <col min="2" max="2" width="11.33203125" style="2" customWidth="1"/>
    <col min="3" max="3" width="34.88671875" style="2" customWidth="1"/>
  </cols>
  <sheetData>
    <row r="1" spans="1:3" ht="17.399999999999999" x14ac:dyDescent="0.25">
      <c r="A1" s="1" t="s">
        <v>0</v>
      </c>
      <c r="B1" s="1"/>
      <c r="C1" s="1"/>
    </row>
    <row r="2" spans="1:3" x14ac:dyDescent="0.25">
      <c r="A2" s="2" t="s">
        <v>11</v>
      </c>
      <c r="B2" s="2">
        <v>17</v>
      </c>
    </row>
    <row r="3" spans="1:3" x14ac:dyDescent="0.25">
      <c r="A3" s="2" t="s">
        <v>12</v>
      </c>
      <c r="B3" s="3">
        <v>0.5</v>
      </c>
    </row>
    <row r="4" spans="1:3" x14ac:dyDescent="0.25">
      <c r="A4" s="2" t="s">
        <v>13</v>
      </c>
      <c r="B4" s="3">
        <v>0.06</v>
      </c>
    </row>
    <row r="5" spans="1:3" ht="15.6" x14ac:dyDescent="0.35">
      <c r="A5" s="2" t="s">
        <v>1</v>
      </c>
      <c r="B5" s="3">
        <f>B3*(1+B4)/B2+B4</f>
        <v>9.1176470588235289E-2</v>
      </c>
      <c r="C5" s="2" t="str">
        <f ca="1">[1]!getformula(B5)</f>
        <v>&lt;--  =B3*(1+B4)/B2+B4</v>
      </c>
    </row>
    <row r="6" spans="1:3" x14ac:dyDescent="0.25">
      <c r="B6" s="3"/>
    </row>
    <row r="7" spans="1:3" x14ac:dyDescent="0.25">
      <c r="A7" s="4" t="s">
        <v>2</v>
      </c>
      <c r="B7" s="3"/>
    </row>
    <row r="8" spans="1:3" x14ac:dyDescent="0.25">
      <c r="A8" s="2" t="s">
        <v>3</v>
      </c>
      <c r="B8" s="5">
        <v>0.2</v>
      </c>
      <c r="C8" s="2" t="s">
        <v>4</v>
      </c>
    </row>
    <row r="9" spans="1:3" ht="15.6" x14ac:dyDescent="0.35">
      <c r="A9" s="2" t="s">
        <v>5</v>
      </c>
      <c r="B9" s="3">
        <f>'[2]Tyson income statement'!$B$31</f>
        <v>0.29545454545454547</v>
      </c>
      <c r="C9" s="2" t="s">
        <v>6</v>
      </c>
    </row>
    <row r="10" spans="1:3" ht="15.6" x14ac:dyDescent="0.35">
      <c r="A10" s="2" t="s">
        <v>7</v>
      </c>
      <c r="B10" s="6">
        <v>4.9299999999999997E-2</v>
      </c>
    </row>
    <row r="11" spans="1:3" ht="15.6" x14ac:dyDescent="0.35">
      <c r="A11" s="2" t="s">
        <v>8</v>
      </c>
      <c r="B11" s="7"/>
    </row>
    <row r="12" spans="1:3" x14ac:dyDescent="0.25">
      <c r="A12" s="8" t="s">
        <v>9</v>
      </c>
      <c r="B12" s="9">
        <f>B10+B8*(B5-B10)</f>
        <v>5.7675294117647054E-2</v>
      </c>
      <c r="C12" s="2" t="str">
        <f ca="1">[1]!getformula(B12)</f>
        <v>&lt;--  =B10+B8*(B5-B10)</v>
      </c>
    </row>
    <row r="13" spans="1:3" x14ac:dyDescent="0.25">
      <c r="A13" s="8" t="s">
        <v>10</v>
      </c>
      <c r="B13" s="9">
        <f>B10*(1-B9)+B8*(B5-B10*(1-B9))</f>
        <v>4.6022566844919788E-2</v>
      </c>
      <c r="C13" s="2" t="str">
        <f ca="1">[1]!getformula(B13)</f>
        <v>&lt;--  =B10*(1-B9)+B8*(B5-B10*(1-B9))</v>
      </c>
    </row>
    <row r="14" spans="1:3" x14ac:dyDescent="0.25">
      <c r="B14" s="5"/>
    </row>
    <row r="15" spans="1:3" x14ac:dyDescent="0.25">
      <c r="A15" s="10" t="s">
        <v>14</v>
      </c>
      <c r="B15" s="10"/>
      <c r="C15" s="10"/>
    </row>
    <row r="16" spans="1:3" x14ac:dyDescent="0.25">
      <c r="B16" s="5"/>
    </row>
    <row r="17" spans="2:2" x14ac:dyDescent="0.25">
      <c r="B17" s="5"/>
    </row>
    <row r="18" spans="2:2" x14ac:dyDescent="0.25">
      <c r="B18" s="5"/>
    </row>
    <row r="19" spans="2:2" x14ac:dyDescent="0.25">
      <c r="B19" s="5"/>
    </row>
    <row r="20" spans="2:2" x14ac:dyDescent="0.25">
      <c r="B20" s="5"/>
    </row>
    <row r="21" spans="2:2" x14ac:dyDescent="0.25">
      <c r="B21" s="5"/>
    </row>
    <row r="22" spans="2:2" x14ac:dyDescent="0.25">
      <c r="B22" s="5"/>
    </row>
    <row r="23" spans="2:2" x14ac:dyDescent="0.25">
      <c r="B23" s="5"/>
    </row>
    <row r="24" spans="2:2" x14ac:dyDescent="0.25">
      <c r="B24" s="5"/>
    </row>
  </sheetData>
  <mergeCells count="2">
    <mergeCell ref="A1:C1"/>
    <mergeCell ref="A15:C1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2024-10-09T07:30:06Z</dcterms:modified>
</cp:coreProperties>
</file>