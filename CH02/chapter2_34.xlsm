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11A4699E-1DCE-44A0-B352-6ADF89CA6BF6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1" l="1"/>
  <c r="G39" i="1"/>
  <c r="G40" i="1" s="1"/>
  <c r="C39" i="1"/>
  <c r="C40" i="1" s="1"/>
  <c r="G38" i="1"/>
  <c r="C38" i="1"/>
  <c r="G37" i="1"/>
  <c r="C37" i="1"/>
  <c r="G36" i="1"/>
  <c r="C36" i="1"/>
  <c r="G35" i="1"/>
  <c r="C35" i="1"/>
  <c r="G34" i="1"/>
  <c r="C34" i="1"/>
  <c r="G33" i="1"/>
  <c r="C33" i="1"/>
  <c r="G32" i="1"/>
  <c r="C32" i="1"/>
  <c r="G31" i="1"/>
  <c r="C31" i="1"/>
  <c r="G30" i="1"/>
  <c r="C30" i="1"/>
  <c r="G29" i="1"/>
  <c r="C29" i="1"/>
  <c r="G28" i="1"/>
  <c r="C28" i="1"/>
  <c r="G27" i="1"/>
  <c r="C27" i="1"/>
  <c r="G26" i="1"/>
  <c r="C26" i="1"/>
  <c r="G25" i="1"/>
  <c r="C25" i="1"/>
  <c r="G24" i="1"/>
  <c r="C24" i="1"/>
  <c r="G23" i="1"/>
  <c r="C23" i="1"/>
  <c r="G22" i="1"/>
  <c r="C22" i="1"/>
  <c r="G21" i="1"/>
  <c r="C21" i="1"/>
  <c r="G20" i="1"/>
  <c r="C20" i="1"/>
  <c r="G19" i="1"/>
  <c r="C19" i="1"/>
  <c r="G18" i="1"/>
  <c r="C18" i="1"/>
  <c r="G17" i="1"/>
  <c r="C17" i="1"/>
  <c r="G16" i="1"/>
  <c r="C16" i="1"/>
  <c r="G15" i="1"/>
  <c r="C15" i="1"/>
  <c r="G14" i="1"/>
  <c r="C14" i="1"/>
  <c r="G13" i="1"/>
  <c r="C13" i="1"/>
  <c r="G12" i="1"/>
  <c r="C12" i="1"/>
  <c r="G11" i="1"/>
  <c r="C11" i="1"/>
  <c r="G10" i="1"/>
  <c r="C10" i="1"/>
  <c r="G9" i="1"/>
  <c r="C9" i="1"/>
  <c r="G8" i="1"/>
  <c r="C8" i="1"/>
  <c r="G7" i="1"/>
  <c r="C7" i="1"/>
  <c r="G6" i="1"/>
  <c r="C6" i="1"/>
  <c r="G5" i="1"/>
  <c r="B44" i="1" s="1"/>
  <c r="C5" i="1"/>
  <c r="H40" i="1"/>
  <c r="H39" i="1"/>
  <c r="C47" i="1"/>
  <c r="C46" i="1"/>
  <c r="B47" i="1"/>
  <c r="B46" i="1"/>
  <c r="C44" i="1"/>
  <c r="C43" i="1"/>
  <c r="C42" i="1"/>
  <c r="H7" i="1"/>
  <c r="H6" i="1"/>
  <c r="H5" i="1"/>
  <c r="B42" i="1" l="1"/>
  <c r="B43" i="1"/>
</calcChain>
</file>

<file path=xl/sharedStrings.xml><?xml version="1.0" encoding="utf-8"?>
<sst xmlns="http://schemas.openxmlformats.org/spreadsheetml/2006/main" count="10" uniqueCount="8">
  <si>
    <t>COMPUTING THE BETA FOR BIG CITY BAGELS</t>
  </si>
  <si>
    <t>S&amp;P 500 Index</t>
  </si>
  <si>
    <t>Big City Bagels (BIGC)</t>
  </si>
  <si>
    <t>Date</t>
  </si>
  <si>
    <t>price</t>
  </si>
  <si>
    <t>Return sigma (monthly)</t>
  </si>
  <si>
    <t>Return sigma (annual)</t>
  </si>
  <si>
    <t>Big City's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</si>
</sst>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0" fontId="2" fillId="0" borderId="0" xfId="1" applyNumberFormat="1" applyAlignment="1"/>
    <xf numFmtId="17" fontId="0" fillId="0" borderId="0" xfId="0" applyNumberFormat="1" applyAlignment="1"/>
    <xf numFmtId="2" fontId="0" fillId="0" borderId="0" xfId="0" applyNumberFormat="1" applyAlignment="1"/>
    <xf numFmtId="10" fontId="5" fillId="2" borderId="0" xfId="1" applyNumberFormat="1" applyFont="1" applyFill="1" applyAlignment="1"/>
    <xf numFmtId="176" fontId="0" fillId="0" borderId="0" xfId="0" applyNumberFormat="1" applyAlignment="1"/>
    <xf numFmtId="14" fontId="0" fillId="0" borderId="0" xfId="0" applyNumberFormat="1" applyAlignment="1">
      <alignment horizontal="center"/>
    </xf>
    <xf numFmtId="14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Regressing Big City Bagel on the S&amp;P 500</a:t>
            </a:r>
            <a:endPara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Monthly data, May 1996 - March 1999</a:t>
            </a:r>
          </a:p>
        </c:rich>
      </c:tx>
      <c:layout>
        <c:manualLayout>
          <c:xMode val="edge"/>
          <c:yMode val="edge"/>
          <c:x val="0.21530268622082618"/>
          <c:y val="3.1174904568056008E-2"/>
        </c:manualLayout>
      </c:layout>
      <c:overlay val="0"/>
      <c:spPr>
        <a:solidFill>
          <a:srgbClr val="FFFFFF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3478283200873567E-2"/>
          <c:y val="0.15370377319506529"/>
          <c:w val="0.89761616930835753"/>
          <c:h val="0.8129633305136585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24186654480359729"/>
                  <c:y val="8.3899028132433315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Sheet1!$C$5:$C$38</c:f>
              <c:numCache>
                <c:formatCode>0.00%</c:formatCode>
                <c:ptCount val="34"/>
                <c:pt idx="0">
                  <c:v>2.2541528484939432E-3</c:v>
                </c:pt>
                <c:pt idx="1">
                  <c:v>-4.6827520786961854E-2</c:v>
                </c:pt>
                <c:pt idx="2">
                  <c:v>1.8639176083919788E-2</c:v>
                </c:pt>
                <c:pt idx="3">
                  <c:v>5.27853018507915E-2</c:v>
                </c:pt>
                <c:pt idx="4">
                  <c:v>2.5766181981528097E-2</c:v>
                </c:pt>
                <c:pt idx="5">
                  <c:v>7.0808964949664502E-2</c:v>
                </c:pt>
                <c:pt idx="6">
                  <c:v>-2.1739986636405875E-2</c:v>
                </c:pt>
                <c:pt idx="7">
                  <c:v>5.9510647522872405E-2</c:v>
                </c:pt>
                <c:pt idx="8">
                  <c:v>5.910047767196773E-3</c:v>
                </c:pt>
                <c:pt idx="9">
                  <c:v>-4.3548620471400873E-2</c:v>
                </c:pt>
                <c:pt idx="10">
                  <c:v>5.6763565069968873E-2</c:v>
                </c:pt>
                <c:pt idx="11">
                  <c:v>5.6925443550926928E-2</c:v>
                </c:pt>
                <c:pt idx="12">
                  <c:v>4.2535054616412785E-2</c:v>
                </c:pt>
                <c:pt idx="13">
                  <c:v>7.5242741666075974E-2</c:v>
                </c:pt>
                <c:pt idx="14">
                  <c:v>-5.9182865281095121E-2</c:v>
                </c:pt>
                <c:pt idx="15">
                  <c:v>5.1789019050444966E-2</c:v>
                </c:pt>
                <c:pt idx="16">
                  <c:v>-3.508604155478369E-2</c:v>
                </c:pt>
                <c:pt idx="17">
                  <c:v>4.3621422487943796E-2</c:v>
                </c:pt>
                <c:pt idx="18">
                  <c:v>1.5609171282679583E-2</c:v>
                </c:pt>
                <c:pt idx="19">
                  <c:v>1.0098972903237103E-2</c:v>
                </c:pt>
                <c:pt idx="20">
                  <c:v>6.8078428947376632E-2</c:v>
                </c:pt>
                <c:pt idx="21">
                  <c:v>4.8738429632941518E-2</c:v>
                </c:pt>
                <c:pt idx="22">
                  <c:v>9.0355256687094428E-3</c:v>
                </c:pt>
                <c:pt idx="23">
                  <c:v>-1.9005643420609574E-2</c:v>
                </c:pt>
                <c:pt idx="24">
                  <c:v>3.8680394888453609E-2</c:v>
                </c:pt>
                <c:pt idx="25">
                  <c:v>-1.1683381142634086E-2</c:v>
                </c:pt>
                <c:pt idx="26">
                  <c:v>-0.15758607007429418</c:v>
                </c:pt>
                <c:pt idx="27">
                  <c:v>6.052629920018749E-2</c:v>
                </c:pt>
                <c:pt idx="28">
                  <c:v>7.7233407495323633E-2</c:v>
                </c:pt>
                <c:pt idx="29">
                  <c:v>5.7444072007151667E-2</c:v>
                </c:pt>
                <c:pt idx="30">
                  <c:v>5.4843527731920916E-2</c:v>
                </c:pt>
                <c:pt idx="31">
                  <c:v>4.0190831279158935E-2</c:v>
                </c:pt>
                <c:pt idx="32">
                  <c:v>-3.2815090665377786E-2</c:v>
                </c:pt>
                <c:pt idx="33">
                  <c:v>3.8060600567156579E-2</c:v>
                </c:pt>
              </c:numCache>
            </c:numRef>
          </c:xVal>
          <c:yVal>
            <c:numRef>
              <c:f>Sheet1!$G$5:$G$38</c:f>
              <c:numCache>
                <c:formatCode>0.00%</c:formatCode>
                <c:ptCount val="34"/>
                <c:pt idx="0">
                  <c:v>-0.17693070815907821</c:v>
                </c:pt>
                <c:pt idx="1">
                  <c:v>0.25489224962879004</c:v>
                </c:pt>
                <c:pt idx="2">
                  <c:v>-9.1567193525490503E-2</c:v>
                </c:pt>
                <c:pt idx="3">
                  <c:v>-0.26510775041324197</c:v>
                </c:pt>
                <c:pt idx="4">
                  <c:v>-3.6367644170874833E-2</c:v>
                </c:pt>
                <c:pt idx="5">
                  <c:v>-0.73088750854279239</c:v>
                </c:pt>
                <c:pt idx="6">
                  <c:v>-0.21357410029805904</c:v>
                </c:pt>
                <c:pt idx="7">
                  <c:v>0.28768207245178085</c:v>
                </c:pt>
                <c:pt idx="8">
                  <c:v>0.25131442828090617</c:v>
                </c:pt>
                <c:pt idx="9">
                  <c:v>0.13005312824819776</c:v>
                </c:pt>
                <c:pt idx="10">
                  <c:v>0.15762894420358306</c:v>
                </c:pt>
                <c:pt idx="11">
                  <c:v>-0.18232155679395459</c:v>
                </c:pt>
                <c:pt idx="12">
                  <c:v>-2.5317807984289897E-2</c:v>
                </c:pt>
                <c:pt idx="13">
                  <c:v>7.4107972153721835E-2</c:v>
                </c:pt>
                <c:pt idx="14">
                  <c:v>-0.2261241794523475</c:v>
                </c:pt>
                <c:pt idx="15">
                  <c:v>7.1973499625089241E-2</c:v>
                </c:pt>
                <c:pt idx="16">
                  <c:v>-0.79543095276940501</c:v>
                </c:pt>
                <c:pt idx="17">
                  <c:v>0.20764428786728598</c:v>
                </c:pt>
                <c:pt idx="18">
                  <c:v>-0.66846237287808064</c:v>
                </c:pt>
                <c:pt idx="19">
                  <c:v>-7.5978102069415021E-2</c:v>
                </c:pt>
                <c:pt idx="20">
                  <c:v>-0.30538164955118191</c:v>
                </c:pt>
                <c:pt idx="21">
                  <c:v>0</c:v>
                </c:pt>
                <c:pt idx="22">
                  <c:v>-0.69314718055994529</c:v>
                </c:pt>
                <c:pt idx="23">
                  <c:v>-7.4132587841300737E-2</c:v>
                </c:pt>
                <c:pt idx="24">
                  <c:v>-0.70862675140833165</c:v>
                </c:pt>
                <c:pt idx="25">
                  <c:v>0</c:v>
                </c:pt>
                <c:pt idx="26">
                  <c:v>-0.47000362924573558</c:v>
                </c:pt>
                <c:pt idx="27">
                  <c:v>-0.51082562376599072</c:v>
                </c:pt>
                <c:pt idx="28">
                  <c:v>-0.40546510810816444</c:v>
                </c:pt>
                <c:pt idx="29">
                  <c:v>0.40546510810816438</c:v>
                </c:pt>
                <c:pt idx="30">
                  <c:v>-0.40546510810816444</c:v>
                </c:pt>
                <c:pt idx="31">
                  <c:v>0.40546510810816438</c:v>
                </c:pt>
                <c:pt idx="32">
                  <c:v>1.0414538748281612</c:v>
                </c:pt>
                <c:pt idx="33">
                  <c:v>-9.2321708559689436E-2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B0-442B-837D-3A9CDCF4C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701304"/>
        <c:axId val="1"/>
      </c:scatterChart>
      <c:valAx>
        <c:axId val="844701304"/>
        <c:scaling>
          <c:orientation val="minMax"/>
          <c:max val="0.08"/>
          <c:min val="-0.05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S&amp;P</a:t>
                </a:r>
              </a:p>
            </c:rich>
          </c:tx>
          <c:layout>
            <c:manualLayout>
              <c:xMode val="edge"/>
              <c:yMode val="edge"/>
              <c:x val="0.89857730047894968"/>
              <c:y val="0.6954450908305513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01"/>
      </c:valAx>
      <c:valAx>
        <c:axId val="1"/>
        <c:scaling>
          <c:orientation val="minMax"/>
          <c:max val="1.1000000000000001"/>
          <c:min val="-0.8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Big City</a:t>
                </a:r>
              </a:p>
            </c:rich>
          </c:tx>
          <c:layout>
            <c:manualLayout>
              <c:xMode val="edge"/>
              <c:yMode val="edge"/>
              <c:x val="0.27935971446965358"/>
              <c:y val="0.3117511585649289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44701304"/>
        <c:crosses val="autoZero"/>
        <c:crossBetween val="midCat"/>
        <c:majorUnit val="0.1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1028700</xdr:colOff>
      <xdr:row>7</xdr:row>
      <xdr:rowOff>137160</xdr:rowOff>
    </xdr:from>
    <xdr:to>
      <xdr:col>17</xdr:col>
      <xdr:colOff>45720</xdr:colOff>
      <xdr:row>32</xdr:row>
      <xdr:rowOff>129540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03C181C-B04C-46F6-8BCB-B4773FBD0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>
        <row r="5">
          <cell r="C5">
            <v>2.2541528484939432E-3</v>
          </cell>
          <cell r="G5">
            <v>-0.17693070815907821</v>
          </cell>
        </row>
        <row r="6">
          <cell r="C6">
            <v>-4.6827520786961854E-2</v>
          </cell>
          <cell r="G6">
            <v>0.25489224962879004</v>
          </cell>
        </row>
        <row r="7">
          <cell r="C7">
            <v>1.8639176083919788E-2</v>
          </cell>
          <cell r="G7">
            <v>-9.1567193525490503E-2</v>
          </cell>
        </row>
        <row r="8">
          <cell r="C8">
            <v>5.27853018507915E-2</v>
          </cell>
          <cell r="G8">
            <v>-0.26510775041324197</v>
          </cell>
        </row>
        <row r="9">
          <cell r="C9">
            <v>2.5766181981528097E-2</v>
          </cell>
          <cell r="G9">
            <v>-3.6367644170874833E-2</v>
          </cell>
        </row>
        <row r="10">
          <cell r="C10">
            <v>7.0808964949664502E-2</v>
          </cell>
          <cell r="G10">
            <v>-0.73088750854279239</v>
          </cell>
        </row>
        <row r="11">
          <cell r="C11">
            <v>-2.1739986636405875E-2</v>
          </cell>
          <cell r="G11">
            <v>-0.21357410029805904</v>
          </cell>
        </row>
        <row r="12">
          <cell r="C12">
            <v>5.9510647522872405E-2</v>
          </cell>
          <cell r="G12">
            <v>0.28768207245178085</v>
          </cell>
        </row>
        <row r="13">
          <cell r="C13">
            <v>5.910047767196773E-3</v>
          </cell>
          <cell r="G13">
            <v>0.25131442828090617</v>
          </cell>
        </row>
        <row r="14">
          <cell r="C14">
            <v>-4.3548620471400873E-2</v>
          </cell>
          <cell r="G14">
            <v>0.13005312824819776</v>
          </cell>
        </row>
        <row r="15">
          <cell r="C15">
            <v>5.6763565069968873E-2</v>
          </cell>
          <cell r="G15">
            <v>0.15762894420358306</v>
          </cell>
        </row>
        <row r="16">
          <cell r="C16">
            <v>5.6925443550926928E-2</v>
          </cell>
          <cell r="G16">
            <v>-0.18232155679395459</v>
          </cell>
        </row>
        <row r="17">
          <cell r="C17">
            <v>4.2535054616412785E-2</v>
          </cell>
          <cell r="G17">
            <v>-2.5317807984289897E-2</v>
          </cell>
        </row>
        <row r="18">
          <cell r="C18">
            <v>7.5242741666075974E-2</v>
          </cell>
          <cell r="G18">
            <v>7.4107972153721835E-2</v>
          </cell>
        </row>
        <row r="19">
          <cell r="C19">
            <v>-5.9182865281095121E-2</v>
          </cell>
          <cell r="G19">
            <v>-0.2261241794523475</v>
          </cell>
        </row>
        <row r="20">
          <cell r="C20">
            <v>5.1789019050444966E-2</v>
          </cell>
          <cell r="G20">
            <v>7.1973499625089241E-2</v>
          </cell>
        </row>
        <row r="21">
          <cell r="C21">
            <v>-3.508604155478369E-2</v>
          </cell>
          <cell r="G21">
            <v>-0.79543095276940501</v>
          </cell>
        </row>
        <row r="22">
          <cell r="C22">
            <v>4.3621422487943796E-2</v>
          </cell>
          <cell r="G22">
            <v>0.20764428786728598</v>
          </cell>
        </row>
        <row r="23">
          <cell r="C23">
            <v>1.5609171282679583E-2</v>
          </cell>
          <cell r="G23">
            <v>-0.66846237287808064</v>
          </cell>
        </row>
        <row r="24">
          <cell r="C24">
            <v>1.0098972903237103E-2</v>
          </cell>
          <cell r="G24">
            <v>-7.5978102069415021E-2</v>
          </cell>
        </row>
        <row r="25">
          <cell r="C25">
            <v>6.8078428947376632E-2</v>
          </cell>
          <cell r="G25">
            <v>-0.30538164955118191</v>
          </cell>
        </row>
        <row r="26">
          <cell r="C26">
            <v>4.8738429632941518E-2</v>
          </cell>
          <cell r="G26">
            <v>0</v>
          </cell>
        </row>
        <row r="27">
          <cell r="C27">
            <v>9.0355256687094428E-3</v>
          </cell>
          <cell r="G27">
            <v>-0.69314718055994529</v>
          </cell>
        </row>
        <row r="28">
          <cell r="C28">
            <v>-1.9005643420609574E-2</v>
          </cell>
          <cell r="G28">
            <v>-7.4132587841300737E-2</v>
          </cell>
        </row>
        <row r="29">
          <cell r="C29">
            <v>3.8680394888453609E-2</v>
          </cell>
          <cell r="G29">
            <v>-0.70862675140833165</v>
          </cell>
        </row>
        <row r="30">
          <cell r="C30">
            <v>-1.1683381142634086E-2</v>
          </cell>
          <cell r="G30">
            <v>0</v>
          </cell>
        </row>
        <row r="31">
          <cell r="C31">
            <v>-0.15758607007429418</v>
          </cell>
          <cell r="G31">
            <v>-0.47000362924573558</v>
          </cell>
        </row>
        <row r="32">
          <cell r="C32">
            <v>6.052629920018749E-2</v>
          </cell>
          <cell r="G32">
            <v>-0.51082562376599072</v>
          </cell>
        </row>
        <row r="33">
          <cell r="C33">
            <v>7.7233407495323633E-2</v>
          </cell>
          <cell r="G33">
            <v>-0.40546510810816444</v>
          </cell>
        </row>
        <row r="34">
          <cell r="C34">
            <v>5.7444072007151667E-2</v>
          </cell>
          <cell r="G34">
            <v>0.40546510810816438</v>
          </cell>
        </row>
        <row r="35">
          <cell r="C35">
            <v>5.4843527731920916E-2</v>
          </cell>
          <cell r="G35">
            <v>-0.40546510810816444</v>
          </cell>
        </row>
        <row r="36">
          <cell r="C36">
            <v>4.0190831279158935E-2</v>
          </cell>
          <cell r="G36">
            <v>0.40546510810816438</v>
          </cell>
        </row>
        <row r="37">
          <cell r="C37">
            <v>-3.2815090665377786E-2</v>
          </cell>
          <cell r="G37">
            <v>1.0414538748281612</v>
          </cell>
        </row>
        <row r="38">
          <cell r="C38">
            <v>3.8060600567156579E-2</v>
          </cell>
          <cell r="G38">
            <v>-9.2321708559689436E-2</v>
          </cell>
        </row>
      </sheetData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47"/>
  <sheetViews>
    <sheetView tabSelected="1" topLeftCell="A20" workbookViewId="0">
      <selection activeCell="P38" sqref="P38"/>
    </sheetView>
  </sheetViews>
  <sheetFormatPr defaultRowHeight="13.8" x14ac:dyDescent="0.25"/>
  <cols>
    <col min="1" max="1" width="16.6640625" style="3" customWidth="1"/>
    <col min="2" max="2" width="12.109375" style="3" customWidth="1"/>
    <col min="3" max="4" width="8.88671875" style="3"/>
    <col min="5" max="5" width="10.109375" style="3" bestFit="1" customWidth="1"/>
    <col min="6" max="6" width="9.109375" style="9" customWidth="1"/>
    <col min="7" max="7" width="8.88671875" style="3"/>
    <col min="8" max="8" width="19" style="3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  <c r="B2" s="2"/>
      <c r="C2" s="2"/>
      <c r="E2" s="2" t="s">
        <v>2</v>
      </c>
      <c r="F2" s="2"/>
      <c r="G2" s="2"/>
      <c r="H2" s="4"/>
    </row>
    <row r="3" spans="1:8" x14ac:dyDescent="0.25">
      <c r="A3" s="5" t="s">
        <v>3</v>
      </c>
      <c r="B3" s="6" t="s">
        <v>4</v>
      </c>
      <c r="C3" s="5"/>
      <c r="D3" s="5"/>
      <c r="E3" s="5" t="s">
        <v>3</v>
      </c>
      <c r="F3" s="6" t="s">
        <v>4</v>
      </c>
      <c r="G3" s="5"/>
    </row>
    <row r="4" spans="1:8" x14ac:dyDescent="0.25">
      <c r="A4" s="12">
        <v>35186</v>
      </c>
      <c r="B4" s="3">
        <v>669.12</v>
      </c>
      <c r="C4" s="7"/>
      <c r="D4" s="7"/>
      <c r="E4" s="8">
        <v>35186</v>
      </c>
      <c r="F4" s="9">
        <v>46.25</v>
      </c>
      <c r="G4" s="7"/>
    </row>
    <row r="5" spans="1:8" x14ac:dyDescent="0.25">
      <c r="A5" s="12">
        <v>35217</v>
      </c>
      <c r="B5" s="3">
        <v>670.63</v>
      </c>
      <c r="C5" s="7">
        <f>LN(B5/B4)</f>
        <v>2.2541528484939432E-3</v>
      </c>
      <c r="D5" s="7"/>
      <c r="E5" s="13">
        <v>35217</v>
      </c>
      <c r="F5" s="9">
        <v>38.75</v>
      </c>
      <c r="G5" s="7">
        <f>LN(F5/F4)</f>
        <v>-0.17693070815907821</v>
      </c>
      <c r="H5" s="3" t="str">
        <f ca="1">[2]!getformula(G5)</f>
        <v>&lt;--  =LN(F5/F4)</v>
      </c>
    </row>
    <row r="6" spans="1:8" x14ac:dyDescent="0.25">
      <c r="A6" s="12">
        <v>35247</v>
      </c>
      <c r="B6" s="3">
        <v>639.95000000000005</v>
      </c>
      <c r="C6" s="7">
        <f t="shared" ref="C6:C38" si="0">LN(B6/B5)</f>
        <v>-4.6827520786961854E-2</v>
      </c>
      <c r="D6" s="7"/>
      <c r="E6" s="13">
        <v>35247</v>
      </c>
      <c r="F6" s="9">
        <v>50</v>
      </c>
      <c r="G6" s="7">
        <f t="shared" ref="G6:G38" si="1">LN(F6/F5)</f>
        <v>0.25489224962879004</v>
      </c>
      <c r="H6" s="3" t="str">
        <f ca="1">[2]!getformula(G6)</f>
        <v>&lt;--  =LN(F6/F5)</v>
      </c>
    </row>
    <row r="7" spans="1:8" x14ac:dyDescent="0.25">
      <c r="A7" s="12">
        <v>35278</v>
      </c>
      <c r="B7" s="3">
        <v>651.99</v>
      </c>
      <c r="C7" s="7">
        <f t="shared" si="0"/>
        <v>1.8639176083919788E-2</v>
      </c>
      <c r="D7" s="7"/>
      <c r="E7" s="13">
        <v>35278</v>
      </c>
      <c r="F7" s="9">
        <v>45.625</v>
      </c>
      <c r="G7" s="7">
        <f t="shared" si="1"/>
        <v>-9.1567193525490503E-2</v>
      </c>
      <c r="H7" s="3" t="str">
        <f ca="1">[2]!getformula(G7)</f>
        <v>&lt;--  =LN(F7/F6)</v>
      </c>
    </row>
    <row r="8" spans="1:8" x14ac:dyDescent="0.25">
      <c r="A8" s="12">
        <v>35309</v>
      </c>
      <c r="B8" s="3">
        <v>687.33</v>
      </c>
      <c r="C8" s="7">
        <f t="shared" si="0"/>
        <v>5.27853018507915E-2</v>
      </c>
      <c r="D8" s="7"/>
      <c r="E8" s="13">
        <v>35309</v>
      </c>
      <c r="F8" s="9">
        <v>35</v>
      </c>
      <c r="G8" s="7">
        <f t="shared" si="1"/>
        <v>-0.26510775041324197</v>
      </c>
    </row>
    <row r="9" spans="1:8" x14ac:dyDescent="0.25">
      <c r="A9" s="12">
        <v>35339</v>
      </c>
      <c r="B9" s="3">
        <v>705.27</v>
      </c>
      <c r="C9" s="7">
        <f t="shared" si="0"/>
        <v>2.5766181981528097E-2</v>
      </c>
      <c r="D9" s="7"/>
      <c r="E9" s="13">
        <v>35339</v>
      </c>
      <c r="F9" s="9">
        <v>33.75</v>
      </c>
      <c r="G9" s="7">
        <f t="shared" si="1"/>
        <v>-3.6367644170874833E-2</v>
      </c>
    </row>
    <row r="10" spans="1:8" x14ac:dyDescent="0.25">
      <c r="A10" s="12">
        <v>35370</v>
      </c>
      <c r="B10" s="3">
        <v>757.02</v>
      </c>
      <c r="C10" s="7">
        <f t="shared" si="0"/>
        <v>7.0808964949664502E-2</v>
      </c>
      <c r="D10" s="7"/>
      <c r="E10" s="13">
        <v>35370</v>
      </c>
      <c r="F10" s="9">
        <v>16.25</v>
      </c>
      <c r="G10" s="7">
        <f t="shared" si="1"/>
        <v>-0.73088750854279239</v>
      </c>
    </row>
    <row r="11" spans="1:8" x14ac:dyDescent="0.25">
      <c r="A11" s="12">
        <v>35400</v>
      </c>
      <c r="B11" s="3">
        <v>740.74</v>
      </c>
      <c r="C11" s="7">
        <f>LN(B11/B10)</f>
        <v>-2.1739986636405875E-2</v>
      </c>
      <c r="D11" s="7"/>
      <c r="E11" s="13">
        <v>35400</v>
      </c>
      <c r="F11" s="9">
        <v>13.125</v>
      </c>
      <c r="G11" s="7">
        <f>LN(F11/F10)</f>
        <v>-0.21357410029805904</v>
      </c>
    </row>
    <row r="12" spans="1:8" x14ac:dyDescent="0.25">
      <c r="A12" s="12">
        <v>35431</v>
      </c>
      <c r="B12" s="3">
        <v>786.16</v>
      </c>
      <c r="C12" s="7">
        <f t="shared" si="0"/>
        <v>5.9510647522872405E-2</v>
      </c>
      <c r="D12" s="7"/>
      <c r="E12" s="13">
        <v>35431</v>
      </c>
      <c r="F12" s="9">
        <v>17.5</v>
      </c>
      <c r="G12" s="7">
        <f t="shared" si="1"/>
        <v>0.28768207245178085</v>
      </c>
    </row>
    <row r="13" spans="1:8" x14ac:dyDescent="0.25">
      <c r="A13" s="12">
        <v>35462</v>
      </c>
      <c r="B13" s="3">
        <v>790.82</v>
      </c>
      <c r="C13" s="7">
        <f t="shared" si="0"/>
        <v>5.910047767196773E-3</v>
      </c>
      <c r="D13" s="7"/>
      <c r="E13" s="13">
        <v>35462</v>
      </c>
      <c r="F13" s="9">
        <v>22.5</v>
      </c>
      <c r="G13" s="7">
        <f t="shared" si="1"/>
        <v>0.25131442828090617</v>
      </c>
    </row>
    <row r="14" spans="1:8" x14ac:dyDescent="0.25">
      <c r="A14" s="12">
        <v>35490</v>
      </c>
      <c r="B14" s="3">
        <v>757.12</v>
      </c>
      <c r="C14" s="7">
        <f t="shared" si="0"/>
        <v>-4.3548620471400873E-2</v>
      </c>
      <c r="D14" s="7"/>
      <c r="E14" s="13">
        <v>35490</v>
      </c>
      <c r="F14" s="9">
        <v>25.625</v>
      </c>
      <c r="G14" s="7">
        <f t="shared" si="1"/>
        <v>0.13005312824819776</v>
      </c>
    </row>
    <row r="15" spans="1:8" x14ac:dyDescent="0.25">
      <c r="A15" s="12">
        <v>35521</v>
      </c>
      <c r="B15" s="3">
        <v>801.34</v>
      </c>
      <c r="C15" s="7">
        <f t="shared" si="0"/>
        <v>5.6763565069968873E-2</v>
      </c>
      <c r="D15" s="7"/>
      <c r="E15" s="13">
        <v>35521</v>
      </c>
      <c r="F15" s="9">
        <v>30</v>
      </c>
      <c r="G15" s="7">
        <f t="shared" si="1"/>
        <v>0.15762894420358306</v>
      </c>
    </row>
    <row r="16" spans="1:8" x14ac:dyDescent="0.25">
      <c r="A16" s="12">
        <v>35551</v>
      </c>
      <c r="B16" s="3">
        <v>848.28</v>
      </c>
      <c r="C16" s="7">
        <f t="shared" si="0"/>
        <v>5.6925443550926928E-2</v>
      </c>
      <c r="D16" s="7"/>
      <c r="E16" s="13">
        <v>35551</v>
      </c>
      <c r="F16" s="9">
        <v>25</v>
      </c>
      <c r="G16" s="7">
        <f t="shared" si="1"/>
        <v>-0.18232155679395459</v>
      </c>
    </row>
    <row r="17" spans="1:7" x14ac:dyDescent="0.25">
      <c r="A17" s="12">
        <v>35582</v>
      </c>
      <c r="B17" s="3">
        <v>885.14</v>
      </c>
      <c r="C17" s="7">
        <f t="shared" si="0"/>
        <v>4.2535054616412785E-2</v>
      </c>
      <c r="D17" s="7"/>
      <c r="E17" s="13">
        <v>35582</v>
      </c>
      <c r="F17" s="9">
        <v>24.375</v>
      </c>
      <c r="G17" s="7">
        <f t="shared" si="1"/>
        <v>-2.5317807984289897E-2</v>
      </c>
    </row>
    <row r="18" spans="1:7" x14ac:dyDescent="0.25">
      <c r="A18" s="12">
        <v>35612</v>
      </c>
      <c r="B18" s="3">
        <v>954.31</v>
      </c>
      <c r="C18" s="7">
        <f t="shared" si="0"/>
        <v>7.5242741666075974E-2</v>
      </c>
      <c r="D18" s="7"/>
      <c r="E18" s="13">
        <v>35612</v>
      </c>
      <c r="F18" s="9">
        <v>26.25</v>
      </c>
      <c r="G18" s="7">
        <f t="shared" si="1"/>
        <v>7.4107972153721835E-2</v>
      </c>
    </row>
    <row r="19" spans="1:7" x14ac:dyDescent="0.25">
      <c r="A19" s="12">
        <v>35643</v>
      </c>
      <c r="B19" s="3">
        <v>899.47</v>
      </c>
      <c r="C19" s="7">
        <f t="shared" si="0"/>
        <v>-5.9182865281095121E-2</v>
      </c>
      <c r="D19" s="7"/>
      <c r="E19" s="13">
        <v>35643</v>
      </c>
      <c r="F19" s="9">
        <v>20.9375</v>
      </c>
      <c r="G19" s="7">
        <f t="shared" si="1"/>
        <v>-0.2261241794523475</v>
      </c>
    </row>
    <row r="20" spans="1:7" x14ac:dyDescent="0.25">
      <c r="A20" s="12">
        <v>35674</v>
      </c>
      <c r="B20" s="3">
        <v>947.28</v>
      </c>
      <c r="C20" s="7">
        <f t="shared" si="0"/>
        <v>5.1789019050444966E-2</v>
      </c>
      <c r="D20" s="7"/>
      <c r="E20" s="13">
        <v>35674</v>
      </c>
      <c r="F20" s="9">
        <v>22.5</v>
      </c>
      <c r="G20" s="7">
        <f t="shared" si="1"/>
        <v>7.1973499625089241E-2</v>
      </c>
    </row>
    <row r="21" spans="1:7" x14ac:dyDescent="0.25">
      <c r="A21" s="12">
        <v>35704</v>
      </c>
      <c r="B21" s="3">
        <v>914.62</v>
      </c>
      <c r="C21" s="7">
        <f t="shared" si="0"/>
        <v>-3.508604155478369E-2</v>
      </c>
      <c r="D21" s="7"/>
      <c r="E21" s="13">
        <v>35704</v>
      </c>
      <c r="F21" s="9">
        <v>10.1562</v>
      </c>
      <c r="G21" s="7">
        <f t="shared" si="1"/>
        <v>-0.79543095276940501</v>
      </c>
    </row>
    <row r="22" spans="1:7" x14ac:dyDescent="0.25">
      <c r="A22" s="12">
        <v>35735</v>
      </c>
      <c r="B22" s="3">
        <v>955.4</v>
      </c>
      <c r="C22" s="7">
        <f t="shared" si="0"/>
        <v>4.3621422487943796E-2</v>
      </c>
      <c r="D22" s="7"/>
      <c r="E22" s="13">
        <v>35735</v>
      </c>
      <c r="F22" s="9">
        <v>12.5</v>
      </c>
      <c r="G22" s="7">
        <f t="shared" si="1"/>
        <v>0.20764428786728598</v>
      </c>
    </row>
    <row r="23" spans="1:7" x14ac:dyDescent="0.25">
      <c r="A23" s="12">
        <v>35765</v>
      </c>
      <c r="B23" s="3">
        <v>970.43</v>
      </c>
      <c r="C23" s="7">
        <f t="shared" si="0"/>
        <v>1.5609171282679583E-2</v>
      </c>
      <c r="D23" s="7"/>
      <c r="E23" s="13">
        <v>35765</v>
      </c>
      <c r="F23" s="9">
        <v>6.4062000000000001</v>
      </c>
      <c r="G23" s="7">
        <f t="shared" si="1"/>
        <v>-0.66846237287808064</v>
      </c>
    </row>
    <row r="24" spans="1:7" x14ac:dyDescent="0.25">
      <c r="A24" s="12">
        <v>35796</v>
      </c>
      <c r="B24" s="3">
        <v>980.28</v>
      </c>
      <c r="C24" s="7">
        <f t="shared" si="0"/>
        <v>1.0098972903237103E-2</v>
      </c>
      <c r="D24" s="7"/>
      <c r="E24" s="13">
        <v>35796</v>
      </c>
      <c r="F24" s="9">
        <v>5.9375</v>
      </c>
      <c r="G24" s="7">
        <f t="shared" si="1"/>
        <v>-7.5978102069415021E-2</v>
      </c>
    </row>
    <row r="25" spans="1:7" x14ac:dyDescent="0.25">
      <c r="A25" s="12">
        <v>35827</v>
      </c>
      <c r="B25" s="3">
        <v>1049.3399999999999</v>
      </c>
      <c r="C25" s="7">
        <f t="shared" si="0"/>
        <v>6.8078428947376632E-2</v>
      </c>
      <c r="D25" s="7"/>
      <c r="E25" s="13">
        <v>35827</v>
      </c>
      <c r="F25" s="9">
        <v>4.375</v>
      </c>
      <c r="G25" s="7">
        <f t="shared" si="1"/>
        <v>-0.30538164955118191</v>
      </c>
    </row>
    <row r="26" spans="1:7" x14ac:dyDescent="0.25">
      <c r="A26" s="12">
        <v>35855</v>
      </c>
      <c r="B26" s="3">
        <v>1101.75</v>
      </c>
      <c r="C26" s="7">
        <f t="shared" si="0"/>
        <v>4.8738429632941518E-2</v>
      </c>
      <c r="D26" s="7"/>
      <c r="E26" s="13">
        <v>35855</v>
      </c>
      <c r="F26" s="9">
        <v>4.375</v>
      </c>
      <c r="G26" s="7">
        <f t="shared" si="1"/>
        <v>0</v>
      </c>
    </row>
    <row r="27" spans="1:7" x14ac:dyDescent="0.25">
      <c r="A27" s="12">
        <v>35886</v>
      </c>
      <c r="B27" s="3">
        <v>1111.75</v>
      </c>
      <c r="C27" s="7">
        <f t="shared" si="0"/>
        <v>9.0355256687094428E-3</v>
      </c>
      <c r="D27" s="7"/>
      <c r="E27" s="13">
        <v>35886</v>
      </c>
      <c r="F27" s="9">
        <v>2.1875</v>
      </c>
      <c r="G27" s="7">
        <f t="shared" si="1"/>
        <v>-0.69314718055994529</v>
      </c>
    </row>
    <row r="28" spans="1:7" x14ac:dyDescent="0.25">
      <c r="A28" s="12">
        <v>35916</v>
      </c>
      <c r="B28" s="3">
        <v>1090.82</v>
      </c>
      <c r="C28" s="7">
        <f t="shared" si="0"/>
        <v>-1.9005643420609574E-2</v>
      </c>
      <c r="D28" s="7"/>
      <c r="E28" s="13">
        <v>35916</v>
      </c>
      <c r="F28" s="9">
        <v>2.0312000000000001</v>
      </c>
      <c r="G28" s="7">
        <f t="shared" si="1"/>
        <v>-7.4132587841300737E-2</v>
      </c>
    </row>
    <row r="29" spans="1:7" x14ac:dyDescent="0.25">
      <c r="A29" s="12">
        <v>35947</v>
      </c>
      <c r="B29" s="3">
        <v>1133.8399999999999</v>
      </c>
      <c r="C29" s="7">
        <f t="shared" si="0"/>
        <v>3.8680394888453609E-2</v>
      </c>
      <c r="D29" s="7"/>
      <c r="E29" s="13">
        <v>35947</v>
      </c>
      <c r="F29" s="9">
        <v>1</v>
      </c>
      <c r="G29" s="7">
        <f t="shared" si="1"/>
        <v>-0.70862675140833165</v>
      </c>
    </row>
    <row r="30" spans="1:7" x14ac:dyDescent="0.25">
      <c r="A30" s="12">
        <v>35977</v>
      </c>
      <c r="B30" s="3">
        <v>1120.67</v>
      </c>
      <c r="C30" s="7">
        <f t="shared" si="0"/>
        <v>-1.1683381142634086E-2</v>
      </c>
      <c r="D30" s="7"/>
      <c r="E30" s="13">
        <v>35977</v>
      </c>
      <c r="F30" s="9">
        <v>1</v>
      </c>
      <c r="G30" s="7">
        <f t="shared" si="1"/>
        <v>0</v>
      </c>
    </row>
    <row r="31" spans="1:7" x14ac:dyDescent="0.25">
      <c r="A31" s="12">
        <v>36008</v>
      </c>
      <c r="B31" s="3">
        <v>957.28</v>
      </c>
      <c r="C31" s="7">
        <f t="shared" si="0"/>
        <v>-0.15758607007429418</v>
      </c>
      <c r="D31" s="7"/>
      <c r="E31" s="13">
        <v>36008</v>
      </c>
      <c r="F31" s="9">
        <v>0.625</v>
      </c>
      <c r="G31" s="7">
        <f t="shared" si="1"/>
        <v>-0.47000362924573558</v>
      </c>
    </row>
    <row r="32" spans="1:7" x14ac:dyDescent="0.25">
      <c r="A32" s="12">
        <v>36039</v>
      </c>
      <c r="B32" s="3">
        <v>1017.01</v>
      </c>
      <c r="C32" s="7">
        <f t="shared" si="0"/>
        <v>6.052629920018749E-2</v>
      </c>
      <c r="D32" s="7"/>
      <c r="E32" s="13">
        <v>36039</v>
      </c>
      <c r="F32" s="9">
        <v>0.375</v>
      </c>
      <c r="G32" s="7">
        <f t="shared" si="1"/>
        <v>-0.51082562376599072</v>
      </c>
    </row>
    <row r="33" spans="1:8" x14ac:dyDescent="0.25">
      <c r="A33" s="12">
        <v>36069</v>
      </c>
      <c r="B33" s="3">
        <v>1098.67</v>
      </c>
      <c r="C33" s="7">
        <f t="shared" si="0"/>
        <v>7.7233407495323633E-2</v>
      </c>
      <c r="D33" s="7"/>
      <c r="E33" s="13">
        <v>36069</v>
      </c>
      <c r="F33" s="9">
        <v>0.25</v>
      </c>
      <c r="G33" s="7">
        <f t="shared" si="1"/>
        <v>-0.40546510810816444</v>
      </c>
    </row>
    <row r="34" spans="1:8" x14ac:dyDescent="0.25">
      <c r="A34" s="12">
        <v>36100</v>
      </c>
      <c r="B34" s="3">
        <v>1163.6300000000001</v>
      </c>
      <c r="C34" s="7">
        <f t="shared" si="0"/>
        <v>5.7444072007151667E-2</v>
      </c>
      <c r="D34" s="7"/>
      <c r="E34" s="13">
        <v>36100</v>
      </c>
      <c r="F34" s="9">
        <v>0.375</v>
      </c>
      <c r="G34" s="7">
        <f t="shared" si="1"/>
        <v>0.40546510810816438</v>
      </c>
    </row>
    <row r="35" spans="1:8" x14ac:dyDescent="0.25">
      <c r="A35" s="12">
        <v>36130</v>
      </c>
      <c r="B35" s="3">
        <v>1229.23</v>
      </c>
      <c r="C35" s="7">
        <f t="shared" si="0"/>
        <v>5.4843527731920916E-2</v>
      </c>
      <c r="D35" s="7"/>
      <c r="E35" s="13">
        <v>36130</v>
      </c>
      <c r="F35" s="9">
        <v>0.25</v>
      </c>
      <c r="G35" s="7">
        <f t="shared" si="1"/>
        <v>-0.40546510810816444</v>
      </c>
    </row>
    <row r="36" spans="1:8" x14ac:dyDescent="0.25">
      <c r="A36" s="12">
        <v>36161</v>
      </c>
      <c r="B36" s="3">
        <v>1279.6400000000001</v>
      </c>
      <c r="C36" s="7">
        <f t="shared" si="0"/>
        <v>4.0190831279158935E-2</v>
      </c>
      <c r="D36" s="7"/>
      <c r="E36" s="13">
        <v>36161</v>
      </c>
      <c r="F36" s="9">
        <v>0.375</v>
      </c>
      <c r="G36" s="7">
        <f t="shared" si="1"/>
        <v>0.40546510810816438</v>
      </c>
    </row>
    <row r="37" spans="1:8" x14ac:dyDescent="0.25">
      <c r="A37" s="12">
        <v>36192</v>
      </c>
      <c r="B37" s="3">
        <v>1238.33</v>
      </c>
      <c r="C37" s="7">
        <f t="shared" si="0"/>
        <v>-3.2815090665377786E-2</v>
      </c>
      <c r="D37" s="7"/>
      <c r="E37" s="13">
        <v>36192</v>
      </c>
      <c r="F37" s="9">
        <v>1.0625</v>
      </c>
      <c r="G37" s="7">
        <f t="shared" si="1"/>
        <v>1.0414538748281612</v>
      </c>
    </row>
    <row r="38" spans="1:8" x14ac:dyDescent="0.25">
      <c r="A38" s="12">
        <v>36220</v>
      </c>
      <c r="B38" s="3">
        <v>1286.3699999999999</v>
      </c>
      <c r="C38" s="7">
        <f t="shared" si="0"/>
        <v>3.8060600567156579E-2</v>
      </c>
      <c r="E38" s="13">
        <v>36220</v>
      </c>
      <c r="F38" s="9">
        <v>0.96879999999999999</v>
      </c>
      <c r="G38" s="7">
        <f t="shared" si="1"/>
        <v>-9.2321708559689436E-2</v>
      </c>
    </row>
    <row r="39" spans="1:8" x14ac:dyDescent="0.25">
      <c r="A39" s="3" t="s">
        <v>5</v>
      </c>
      <c r="C39" s="7">
        <f>STDEV(C5:C38)</f>
        <v>4.9843141195417107E-2</v>
      </c>
      <c r="D39" s="7">
        <f>_xlfn.STDEV.S(C5:C38)</f>
        <v>4.9843141195417107E-2</v>
      </c>
      <c r="G39" s="7">
        <f>STDEV(G5:G38)</f>
        <v>0.39089301270381249</v>
      </c>
      <c r="H39" s="3" t="str">
        <f ca="1">[2]!getformula(G39)</f>
        <v>&lt;--  =STDEV(G5:G38)</v>
      </c>
    </row>
    <row r="40" spans="1:8" x14ac:dyDescent="0.25">
      <c r="A40" s="3" t="s">
        <v>6</v>
      </c>
      <c r="C40" s="7">
        <f>SQRT(12)*C39</f>
        <v>0.17266170591858354</v>
      </c>
      <c r="D40" s="7"/>
      <c r="G40" s="7">
        <f>SQRT(12)*G39</f>
        <v>1.3540931166533396</v>
      </c>
      <c r="H40" s="3" t="str">
        <f ca="1">[2]!getformula(G40)</f>
        <v>&lt;--  =SQRT(12)*G39</v>
      </c>
    </row>
    <row r="42" spans="1:8" x14ac:dyDescent="0.25">
      <c r="A42" s="10" t="s">
        <v>7</v>
      </c>
      <c r="B42" s="11">
        <f>SLOPE(G5:G38,C5:C38)</f>
        <v>-5.4194713502320066E-2</v>
      </c>
      <c r="C42" s="3" t="str">
        <f ca="1">[2]!getformula(B42)</f>
        <v>&lt;--  =SLOPE(G5:G38,C5:C38)</v>
      </c>
    </row>
    <row r="43" spans="1:8" x14ac:dyDescent="0.25">
      <c r="B43" s="11">
        <f>INTERCEPT(G5:G38,C5:C38)</f>
        <v>-0.11265694147396725</v>
      </c>
      <c r="C43" s="3" t="str">
        <f ca="1">[2]!getformula(B43)</f>
        <v>&lt;--  =INTERCEPT(G5:G38,C5:C38)</v>
      </c>
    </row>
    <row r="44" spans="1:8" x14ac:dyDescent="0.25">
      <c r="B44" s="11">
        <f>RSQ(G5:G38,C5:C38)</f>
        <v>4.7753899778182458E-5</v>
      </c>
      <c r="C44" s="3" t="str">
        <f ca="1">[2]!getformula(B44)</f>
        <v>&lt;--  =RSQ(G5:G38,C5:C38)</v>
      </c>
    </row>
    <row r="46" spans="1:8" x14ac:dyDescent="0.25">
      <c r="B46" s="11">
        <f>[2]!tintercept(G5:G38,C5:C38)</f>
        <v>-1.5410027479341424</v>
      </c>
      <c r="C46" s="3" t="str">
        <f ca="1">[2]!getformula(B46)</f>
        <v>&lt;--  =tintercept(G5:G38,C5:C38)</v>
      </c>
    </row>
    <row r="47" spans="1:8" x14ac:dyDescent="0.25">
      <c r="B47" s="11">
        <f>[2]!tintercept(G6:G39,C6:C39)</f>
        <v>-1.3143672554013011</v>
      </c>
      <c r="C47" s="3" t="str">
        <f ca="1">[2]!getformula(B47)</f>
        <v>&lt;--  =tintercept(G6:G39,C6:C39)</v>
      </c>
    </row>
  </sheetData>
  <mergeCells count="3">
    <mergeCell ref="A1:H1"/>
    <mergeCell ref="A2:C2"/>
    <mergeCell ref="E2:G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2024-10-09T09:28:46Z</dcterms:modified>
</cp:coreProperties>
</file>