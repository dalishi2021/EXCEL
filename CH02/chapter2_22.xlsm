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9E3AC16D-743E-44A8-BC74-2C0374F453AE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B20" i="1"/>
  <c r="B27" i="1"/>
  <c r="B21" i="1"/>
  <c r="B15" i="1"/>
  <c r="B14" i="1"/>
  <c r="B28" i="1"/>
  <c r="B22" i="1"/>
  <c r="B16" i="1"/>
  <c r="B10" i="1"/>
  <c r="B9" i="1"/>
  <c r="B11" i="1" s="1"/>
  <c r="B8" i="1"/>
  <c r="B5" i="1"/>
  <c r="B3" i="1"/>
  <c r="B2" i="1"/>
  <c r="B4" i="1" s="1"/>
  <c r="C29" i="1"/>
  <c r="C28" i="1"/>
  <c r="C27" i="1"/>
  <c r="C26" i="1"/>
  <c r="C21" i="1"/>
  <c r="C22" i="1"/>
  <c r="C23" i="1"/>
  <c r="C20" i="1"/>
  <c r="C17" i="1"/>
  <c r="C16" i="1"/>
  <c r="C15" i="1"/>
  <c r="C14" i="1"/>
  <c r="C11" i="1"/>
  <c r="C10" i="1"/>
  <c r="C9" i="1"/>
  <c r="C8" i="1"/>
  <c r="B29" i="1" l="1"/>
  <c r="B17" i="1"/>
  <c r="B23" i="1"/>
</calcChain>
</file>

<file path=xl/sharedStrings.xml><?xml version="1.0" encoding="utf-8"?>
<sst xmlns="http://schemas.openxmlformats.org/spreadsheetml/2006/main" count="25" uniqueCount="13">
  <si>
    <t>COMPUTING THE WACC FOR KRAFT</t>
  </si>
  <si>
    <t>Shares outstanding</t>
  </si>
  <si>
    <t>Share price, end 2005</t>
  </si>
  <si>
    <t>Equity value, E</t>
  </si>
  <si>
    <t>Net debt, D</t>
  </si>
  <si>
    <r>
      <t>Cost of equity, r</t>
    </r>
    <r>
      <rPr>
        <vertAlign val="subscript"/>
        <sz val="10"/>
        <rFont val="Arial"/>
        <family val="2"/>
      </rPr>
      <t>E</t>
    </r>
  </si>
  <si>
    <r>
      <t>Cost of debt, r</t>
    </r>
    <r>
      <rPr>
        <vertAlign val="subscript"/>
        <sz val="10"/>
        <rFont val="Arial"/>
        <family val="2"/>
      </rPr>
      <t>D</t>
    </r>
  </si>
  <si>
    <r>
      <t>Tax rate, T</t>
    </r>
    <r>
      <rPr>
        <vertAlign val="subscript"/>
        <sz val="10"/>
        <rFont val="Arial"/>
        <family val="2"/>
      </rPr>
      <t>C</t>
    </r>
  </si>
  <si>
    <t>WACC</t>
  </si>
  <si>
    <t>WACC based on Gordon equity payouts and interest from financial statements</t>
  </si>
  <si>
    <t>WACC based on classic CAPM and interest from financial statements</t>
  </si>
  <si>
    <t>WACC based on tax-adjusted CAPM and interest from financial statements</t>
  </si>
  <si>
    <t>WACC based on Gordon per-share dividends and interest from financial statements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</si>
</sst>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3" fontId="3" fillId="0" borderId="0" xfId="2" applyNumberFormat="1"/>
    <xf numFmtId="0" fontId="5" fillId="0" borderId="0" xfId="2" applyFont="1"/>
    <xf numFmtId="10" fontId="3" fillId="0" borderId="0" xfId="2" applyNumberFormat="1"/>
    <xf numFmtId="10" fontId="3" fillId="0" borderId="0" xfId="1" applyNumberFormat="1" applyFont="1" applyFill="1" applyAlignment="1"/>
    <xf numFmtId="0" fontId="3" fillId="2" borderId="0" xfId="2" applyFill="1"/>
    <xf numFmtId="10" fontId="3" fillId="2" borderId="0" xfId="1" applyNumberFormat="1" applyFont="1" applyFill="1" applyAlignment="1"/>
  </cellXfs>
  <cellStyles count="3">
    <cellStyle name="Normal_Kraft" xfId="2" xr:uid="{8803682A-648C-425D-8EAF-BDA44D7893C7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19.xlsm" TargetMode="External"/><Relationship Id="rId1" Type="http://schemas.openxmlformats.org/officeDocument/2006/relationships/externalLinkPath" Target="chapter2_19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17.xlsm" TargetMode="External"/><Relationship Id="rId1" Type="http://schemas.openxmlformats.org/officeDocument/2006/relationships/externalLinkPath" Target="chapter2_17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data.xlsm" TargetMode="External"/><Relationship Id="rId1" Type="http://schemas.openxmlformats.org/officeDocument/2006/relationships/externalLinkPath" Target="data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0.xlsm" TargetMode="External"/><Relationship Id="rId1" Type="http://schemas.openxmlformats.org/officeDocument/2006/relationships/externalLinkPath" Target="chapter2_2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1.xlsm" TargetMode="External"/><Relationship Id="rId1" Type="http://schemas.openxmlformats.org/officeDocument/2006/relationships/externalLinkPath" Target="chapter2_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2">
          <cell r="B12">
            <v>10884000000</v>
          </cell>
        </row>
      </sheetData>
      <sheetData sheetId="36"/>
      <sheetData sheetId="37"/>
      <sheetData sheetId="38"/>
      <sheetData sheetId="39"/>
      <sheetData sheetId="40">
        <row r="2">
          <cell r="B2">
            <v>27.75</v>
          </cell>
        </row>
      </sheetData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>
        <row r="169">
          <cell r="B169">
            <v>1669880755</v>
          </cell>
        </row>
      </sheetData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6">
          <cell r="B6">
            <v>0.16786426796517326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3">
          <cell r="B13">
            <v>5.5017301038062287E-2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 refreshError="1"/>
      <sheetData sheetId="1" refreshError="1"/>
      <sheetData sheetId="2">
        <row r="160">
          <cell r="B160">
            <v>0.29373177842565595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1">
          <cell r="B11">
            <v>0.14458773983642459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2">
          <cell r="B12">
            <v>6.8167888888888889E-2</v>
          </cell>
        </row>
        <row r="13">
          <cell r="B13">
            <v>6.0492971250404919E-2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29"/>
  <sheetViews>
    <sheetView tabSelected="1" topLeftCell="A4" workbookViewId="0">
      <selection activeCell="J15" sqref="J15"/>
    </sheetView>
  </sheetViews>
  <sheetFormatPr defaultRowHeight="13.8" x14ac:dyDescent="0.25"/>
  <cols>
    <col min="1" max="1" width="23" style="2" customWidth="1"/>
    <col min="2" max="2" width="17.5546875" style="2" bestFit="1" customWidth="1"/>
    <col min="3" max="3" width="56.44140625" style="2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f>'[1]Kraft 10K, 2005'!B169</f>
        <v>1669880755</v>
      </c>
    </row>
    <row r="3" spans="1:3" x14ac:dyDescent="0.25">
      <c r="A3" s="2" t="s">
        <v>2</v>
      </c>
      <c r="B3" s="2">
        <f>'[1]Page 71'!B2</f>
        <v>27.75</v>
      </c>
    </row>
    <row r="4" spans="1:3" x14ac:dyDescent="0.25">
      <c r="A4" s="2" t="s">
        <v>3</v>
      </c>
      <c r="B4" s="3">
        <f>B2*B3</f>
        <v>46339190951.25</v>
      </c>
    </row>
    <row r="5" spans="1:3" x14ac:dyDescent="0.25">
      <c r="A5" s="2" t="s">
        <v>4</v>
      </c>
      <c r="B5" s="3">
        <f>'[1]Page 67'!B12</f>
        <v>10884000000</v>
      </c>
    </row>
    <row r="7" spans="1:3" x14ac:dyDescent="0.25">
      <c r="A7" s="4" t="s">
        <v>12</v>
      </c>
    </row>
    <row r="8" spans="1:3" ht="15.6" x14ac:dyDescent="0.35">
      <c r="A8" s="2" t="s">
        <v>5</v>
      </c>
      <c r="B8" s="5">
        <f>[2]Sheet1!$B$6</f>
        <v>0.16786426796517326</v>
      </c>
      <c r="C8" s="2" t="str">
        <f ca="1">[3]!getformula(B8)</f>
        <v>&lt;--  =[chapter2_19.xlsm]Sheet1!$B$6</v>
      </c>
    </row>
    <row r="9" spans="1:3" ht="15.6" x14ac:dyDescent="0.35">
      <c r="A9" s="2" t="s">
        <v>6</v>
      </c>
      <c r="B9" s="5">
        <f>[4]Sheet1!$B$13</f>
        <v>5.5017301038062287E-2</v>
      </c>
      <c r="C9" s="2" t="str">
        <f ca="1">[3]!getformula(B9)</f>
        <v>&lt;--  =[chapter2_17.xlsm]Sheet1!$B$13</v>
      </c>
    </row>
    <row r="10" spans="1:3" ht="15.6" x14ac:dyDescent="0.35">
      <c r="A10" s="2" t="s">
        <v>7</v>
      </c>
      <c r="B10" s="5">
        <f>'[5]Kraft 10K, 2005'!$B$160</f>
        <v>0.29373177842565595</v>
      </c>
      <c r="C10" s="2" t="str">
        <f ca="1">[3]!getformula(B10)</f>
        <v>&lt;--  ='D:\lizhengdong\交易框架\5_工具箱\_书库\编程\Excel\CH02\[data.xlsm]Kraft 10K, 2005'!$B$160</v>
      </c>
    </row>
    <row r="11" spans="1:3" x14ac:dyDescent="0.25">
      <c r="A11" s="7" t="s">
        <v>8</v>
      </c>
      <c r="B11" s="8">
        <f>$B$4/($B$4+$B$5)*B8+$B$5/($B$4+$B$5)*B9*(1-$B$10)</f>
        <v>0.14332674405380649</v>
      </c>
      <c r="C11" s="2" t="str">
        <f ca="1">[3]!getformula(B11)</f>
        <v>&lt;--  =$B$4/($B$4+$B$5)*B8+$B$5/($B$4+$B$5)*B9*(1-$B$10)</v>
      </c>
    </row>
    <row r="12" spans="1:3" x14ac:dyDescent="0.25">
      <c r="B12" s="6"/>
    </row>
    <row r="13" spans="1:3" x14ac:dyDescent="0.25">
      <c r="A13" s="4" t="s">
        <v>9</v>
      </c>
    </row>
    <row r="14" spans="1:3" ht="15.6" x14ac:dyDescent="0.35">
      <c r="A14" s="2" t="s">
        <v>5</v>
      </c>
      <c r="B14" s="5">
        <f>[6]Sheet1!$B$11</f>
        <v>0.14458773983642459</v>
      </c>
      <c r="C14" s="2" t="str">
        <f ca="1">[3]!getformula(B14)</f>
        <v>&lt;--  =[chapter2_20.xlsm]Sheet1!$B$11</v>
      </c>
    </row>
    <row r="15" spans="1:3" ht="15.6" x14ac:dyDescent="0.35">
      <c r="A15" s="2" t="s">
        <v>6</v>
      </c>
      <c r="B15" s="5">
        <f>[4]Sheet1!$B$13</f>
        <v>5.5017301038062287E-2</v>
      </c>
      <c r="C15" s="2" t="str">
        <f ca="1">[3]!getformula(B15)</f>
        <v>&lt;--  =[chapter2_17.xlsm]Sheet1!$B$13</v>
      </c>
    </row>
    <row r="16" spans="1:3" ht="15.6" x14ac:dyDescent="0.35">
      <c r="A16" s="2" t="s">
        <v>7</v>
      </c>
      <c r="B16" s="5">
        <f>'[5]Kraft 10K, 2005'!$B$160</f>
        <v>0.29373177842565595</v>
      </c>
      <c r="C16" s="2" t="str">
        <f ca="1">[3]!getformula(B16)</f>
        <v>&lt;--  ='D:\lizhengdong\交易框架\5_工具箱\_书库\编程\Excel\CH02\[data.xlsm]Kraft 10K, 2005'!$B$160</v>
      </c>
    </row>
    <row r="17" spans="1:3" x14ac:dyDescent="0.25">
      <c r="A17" s="7" t="s">
        <v>8</v>
      </c>
      <c r="B17" s="8">
        <f>$B$4/($B$4+$B$5)*B14+$B$5/($B$4+$B$5)*B15*(1-$B$10)</f>
        <v>0.12447747221646471</v>
      </c>
      <c r="C17" s="2" t="str">
        <f ca="1">[3]!getformula(B17)</f>
        <v>&lt;--  =$B$4/($B$4+$B$5)*B14+$B$5/($B$4+$B$5)*B15*(1-$B$10)</v>
      </c>
    </row>
    <row r="18" spans="1:3" x14ac:dyDescent="0.25">
      <c r="B18" s="6"/>
    </row>
    <row r="19" spans="1:3" x14ac:dyDescent="0.25">
      <c r="A19" s="4" t="s">
        <v>10</v>
      </c>
    </row>
    <row r="20" spans="1:3" ht="15.6" x14ac:dyDescent="0.35">
      <c r="A20" s="2" t="s">
        <v>5</v>
      </c>
      <c r="B20" s="5">
        <f>[7]Sheet1!$B$12</f>
        <v>6.8167888888888889E-2</v>
      </c>
      <c r="C20" s="2" t="str">
        <f ca="1">[3]!getformula(B20)</f>
        <v>&lt;--  =[chapter2_21.xlsm]Sheet1!$B$12</v>
      </c>
    </row>
    <row r="21" spans="1:3" ht="15.6" x14ac:dyDescent="0.35">
      <c r="A21" s="2" t="s">
        <v>6</v>
      </c>
      <c r="B21" s="5">
        <f>[4]Sheet1!$B$13</f>
        <v>5.5017301038062287E-2</v>
      </c>
      <c r="C21" s="2" t="str">
        <f ca="1">[3]!getformula(B21)</f>
        <v>&lt;--  =[chapter2_17.xlsm]Sheet1!$B$13</v>
      </c>
    </row>
    <row r="22" spans="1:3" ht="15.6" x14ac:dyDescent="0.35">
      <c r="A22" s="2" t="s">
        <v>7</v>
      </c>
      <c r="B22" s="5">
        <f>'[5]Kraft 10K, 2005'!$B$160</f>
        <v>0.29373177842565595</v>
      </c>
      <c r="C22" s="2" t="str">
        <f ca="1">[3]!getformula(B22)</f>
        <v>&lt;--  ='D:\lizhengdong\交易框架\5_工具箱\_书库\编程\Excel\CH02\[data.xlsm]Kraft 10K, 2005'!$B$160</v>
      </c>
    </row>
    <row r="23" spans="1:3" x14ac:dyDescent="0.25">
      <c r="A23" s="7" t="s">
        <v>8</v>
      </c>
      <c r="B23" s="8">
        <f>$B$4/($B$4+$B$5)*B20+$B$5/($B$4+$B$5)*B21*(1-$B$10)</f>
        <v>6.2592876012439777E-2</v>
      </c>
      <c r="C23" s="2" t="str">
        <f ca="1">[3]!getformula(B23)</f>
        <v>&lt;--  =$B$4/($B$4+$B$5)*B20+$B$5/($B$4+$B$5)*B21*(1-$B$10)</v>
      </c>
    </row>
    <row r="25" spans="1:3" x14ac:dyDescent="0.25">
      <c r="A25" s="4" t="s">
        <v>11</v>
      </c>
    </row>
    <row r="26" spans="1:3" ht="15.6" x14ac:dyDescent="0.35">
      <c r="A26" s="2" t="s">
        <v>5</v>
      </c>
      <c r="B26" s="5">
        <f>[7]Sheet1!$B$13</f>
        <v>6.0492971250404919E-2</v>
      </c>
      <c r="C26" s="2" t="str">
        <f ca="1">[3]!getformula(B26)</f>
        <v>&lt;--  =[chapter2_21.xlsm]Sheet1!$B$13</v>
      </c>
    </row>
    <row r="27" spans="1:3" ht="15.6" x14ac:dyDescent="0.35">
      <c r="A27" s="2" t="s">
        <v>6</v>
      </c>
      <c r="B27" s="5">
        <f>[4]Sheet1!$B$13</f>
        <v>5.5017301038062287E-2</v>
      </c>
      <c r="C27" s="2" t="str">
        <f ca="1">[3]!getformula(B27)</f>
        <v>&lt;--  =[chapter2_17.xlsm]Sheet1!$B$13</v>
      </c>
    </row>
    <row r="28" spans="1:3" ht="15.6" x14ac:dyDescent="0.35">
      <c r="A28" s="2" t="s">
        <v>7</v>
      </c>
      <c r="B28" s="5">
        <f>'[5]Kraft 10K, 2005'!$B$160</f>
        <v>0.29373177842565595</v>
      </c>
      <c r="C28" s="2" t="str">
        <f ca="1">[3]!getformula(B28)</f>
        <v>&lt;--  ='D:\lizhengdong\交易框架\5_工具箱\_书库\编程\Excel\CH02\[data.xlsm]Kraft 10K, 2005'!$B$160</v>
      </c>
    </row>
    <row r="29" spans="1:3" x14ac:dyDescent="0.25">
      <c r="A29" s="7" t="s">
        <v>8</v>
      </c>
      <c r="B29" s="8">
        <f>$B$4/($B$4+$B$5)*B26+$B$5/($B$4+$B$5)*B27*(1-$B$10)</f>
        <v>5.6377747703922121E-2</v>
      </c>
      <c r="C29" s="2" t="str">
        <f ca="1">[3]!getformula(B29)</f>
        <v>&lt;--  =$B$4/($B$4+$B$5)*B26+$B$5/($B$4+$B$5)*B27*(1-$B$10)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2024-10-09T07:01:38Z</dcterms:modified>
</cp:coreProperties>
</file>