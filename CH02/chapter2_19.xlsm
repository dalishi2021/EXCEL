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107E6582-C249-4918-BEBD-3D11C362ED8E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32" i="1" s="1"/>
  <c r="B6" i="1" s="1"/>
  <c r="B28" i="1"/>
  <c r="B29" i="1" s="1"/>
  <c r="B5" i="1" s="1"/>
  <c r="B3" i="1"/>
  <c r="C32" i="1"/>
  <c r="C31" i="1"/>
  <c r="C29" i="1"/>
  <c r="C28" i="1"/>
  <c r="C6" i="1"/>
  <c r="C5" i="1"/>
  <c r="C3" i="1"/>
</calcChain>
</file>

<file path=xl/sharedStrings.xml><?xml version="1.0" encoding="utf-8"?>
<sst xmlns="http://schemas.openxmlformats.org/spreadsheetml/2006/main" count="13" uniqueCount="12">
  <si>
    <r>
      <t>KRAFT: 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BASED ON DIVIDENDS</t>
    </r>
  </si>
  <si>
    <t>Stock price, end 2005</t>
  </si>
  <si>
    <r>
      <t>Current dividend, D</t>
    </r>
    <r>
      <rPr>
        <vertAlign val="subscript"/>
        <sz val="10"/>
        <rFont val="Arial"/>
        <family val="2"/>
      </rPr>
      <t>0</t>
    </r>
  </si>
  <si>
    <r>
      <t>Gordon cost of equity, r</t>
    </r>
    <r>
      <rPr>
        <vertAlign val="subscript"/>
        <sz val="10"/>
        <rFont val="Arial"/>
        <family val="2"/>
      </rPr>
      <t>E</t>
    </r>
  </si>
  <si>
    <t xml:space="preserve">     Using growth rate Dec03-Dec05</t>
  </si>
  <si>
    <t>Date</t>
  </si>
  <si>
    <t>Dividends
per share</t>
  </si>
  <si>
    <t>Computing the growth rate of dividends</t>
  </si>
  <si>
    <t>Quarterly growth, Dec01-Dec05</t>
  </si>
  <si>
    <t>Annualized</t>
  </si>
  <si>
    <t>Quarterly growth, Dec03-Dec05</t>
  </si>
  <si>
    <t xml:space="preserve">     Using growth rate Dec01-Dec05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</si>
</sst>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vertAlign val="subscript"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3">
    <xf numFmtId="0" fontId="0" fillId="0" borderId="0" xfId="0">
      <alignment vertical="center"/>
    </xf>
    <xf numFmtId="0" fontId="3" fillId="0" borderId="0" xfId="2"/>
    <xf numFmtId="10" fontId="3" fillId="0" borderId="0" xfId="2" applyNumberFormat="1"/>
    <xf numFmtId="0" fontId="3" fillId="2" borderId="0" xfId="2" applyFill="1"/>
    <xf numFmtId="10" fontId="3" fillId="2" borderId="0" xfId="2" applyNumberFormat="1" applyFill="1"/>
    <xf numFmtId="0" fontId="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176" fontId="3" fillId="0" borderId="0" xfId="2" applyNumberFormat="1" applyAlignment="1">
      <alignment horizontal="right"/>
    </xf>
    <xf numFmtId="10" fontId="3" fillId="0" borderId="0" xfId="1" applyNumberFormat="1" applyFont="1" applyAlignment="1"/>
    <xf numFmtId="10" fontId="3" fillId="2" borderId="0" xfId="1" applyNumberFormat="1" applyFont="1" applyFill="1" applyAlignment="1"/>
    <xf numFmtId="14" fontId="3" fillId="0" borderId="0" xfId="2" applyNumberFormat="1" applyAlignment="1">
      <alignment horizontal="center"/>
    </xf>
    <xf numFmtId="0" fontId="4" fillId="0" borderId="0" xfId="2" applyFont="1" applyAlignment="1">
      <alignment horizontal="center" vertical="center"/>
    </xf>
    <xf numFmtId="0" fontId="8" fillId="0" borderId="0" xfId="2" applyFont="1" applyAlignment="1">
      <alignment horizontal="center"/>
    </xf>
  </cellXfs>
  <cellStyles count="3">
    <cellStyle name="Normal_Kraft" xfId="2" xr:uid="{A5D3BEDB-6154-4CA1-B317-8428EE80E35D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32"/>
  <sheetViews>
    <sheetView tabSelected="1" workbookViewId="0">
      <selection activeCell="C53" sqref="C53"/>
    </sheetView>
  </sheetViews>
  <sheetFormatPr defaultRowHeight="13.8" x14ac:dyDescent="0.25"/>
  <cols>
    <col min="1" max="1" width="30.109375" style="1" customWidth="1"/>
    <col min="2" max="2" width="13" style="1" customWidth="1"/>
    <col min="3" max="3" width="30.5546875" style="1" customWidth="1"/>
  </cols>
  <sheetData>
    <row r="1" spans="1:3" ht="45" customHeight="1" x14ac:dyDescent="0.25">
      <c r="A1" s="11" t="s">
        <v>0</v>
      </c>
      <c r="B1" s="11"/>
      <c r="C1" s="11"/>
    </row>
    <row r="2" spans="1:3" x14ac:dyDescent="0.25">
      <c r="A2" s="1" t="s">
        <v>1</v>
      </c>
      <c r="B2" s="1">
        <v>27.75</v>
      </c>
    </row>
    <row r="3" spans="1:3" ht="15.6" x14ac:dyDescent="0.35">
      <c r="A3" s="1" t="s">
        <v>2</v>
      </c>
      <c r="B3" s="1">
        <f>B25*4</f>
        <v>0.92</v>
      </c>
      <c r="C3" s="1" t="str">
        <f ca="1">[1]!getformula(B3)</f>
        <v>&lt;--  =B25*4</v>
      </c>
    </row>
    <row r="4" spans="1:3" ht="15.6" x14ac:dyDescent="0.35">
      <c r="A4" s="1" t="s">
        <v>3</v>
      </c>
      <c r="B4" s="2"/>
    </row>
    <row r="5" spans="1:3" x14ac:dyDescent="0.25">
      <c r="A5" s="3" t="s">
        <v>11</v>
      </c>
      <c r="B5" s="4">
        <f>B3*(1+B29)/B2+B29</f>
        <v>0.1915460365925547</v>
      </c>
      <c r="C5" s="1" t="str">
        <f ca="1">[1]!getformula(B5)</f>
        <v>&lt;--  =B3*(1+B29)/B2+B29</v>
      </c>
    </row>
    <row r="6" spans="1:3" x14ac:dyDescent="0.25">
      <c r="A6" s="3" t="s">
        <v>4</v>
      </c>
      <c r="B6" s="4">
        <f>B3*(1+B32)/B2+B32</f>
        <v>0.16786426796517326</v>
      </c>
      <c r="C6" s="1" t="str">
        <f ca="1">[1]!getformula(B6)</f>
        <v>&lt;--  =B3*(1+B32)/B2+B32</v>
      </c>
    </row>
    <row r="8" spans="1:3" ht="26.4" x14ac:dyDescent="0.25">
      <c r="A8" s="5" t="s">
        <v>5</v>
      </c>
      <c r="B8" s="6" t="s">
        <v>6</v>
      </c>
    </row>
    <row r="9" spans="1:3" x14ac:dyDescent="0.25">
      <c r="A9" s="10">
        <v>37245</v>
      </c>
      <c r="B9" s="7">
        <v>0.13</v>
      </c>
    </row>
    <row r="10" spans="1:3" x14ac:dyDescent="0.25">
      <c r="A10" s="10">
        <v>37328</v>
      </c>
      <c r="B10" s="7">
        <v>0.13</v>
      </c>
    </row>
    <row r="11" spans="1:3" x14ac:dyDescent="0.25">
      <c r="A11" s="10">
        <v>37433</v>
      </c>
      <c r="B11" s="7">
        <v>0.13</v>
      </c>
    </row>
    <row r="12" spans="1:3" x14ac:dyDescent="0.25">
      <c r="A12" s="10">
        <v>37511</v>
      </c>
      <c r="B12" s="7">
        <v>0.15</v>
      </c>
    </row>
    <row r="13" spans="1:3" x14ac:dyDescent="0.25">
      <c r="A13" s="10">
        <v>37609</v>
      </c>
      <c r="B13" s="7">
        <v>0.15</v>
      </c>
    </row>
    <row r="14" spans="1:3" x14ac:dyDescent="0.25">
      <c r="A14" s="10">
        <v>37692</v>
      </c>
      <c r="B14" s="7">
        <v>0.15</v>
      </c>
    </row>
    <row r="15" spans="1:3" x14ac:dyDescent="0.25">
      <c r="A15" s="10">
        <v>37797</v>
      </c>
      <c r="B15" s="7">
        <v>0.15</v>
      </c>
    </row>
    <row r="16" spans="1:3" x14ac:dyDescent="0.25">
      <c r="A16" s="10">
        <v>37875</v>
      </c>
      <c r="B16" s="7">
        <v>0.18</v>
      </c>
    </row>
    <row r="17" spans="1:3" x14ac:dyDescent="0.25">
      <c r="A17" s="10">
        <v>37973</v>
      </c>
      <c r="B17" s="7">
        <v>0.18</v>
      </c>
    </row>
    <row r="18" spans="1:3" x14ac:dyDescent="0.25">
      <c r="A18" s="10">
        <v>38057</v>
      </c>
      <c r="B18" s="7">
        <v>0.18</v>
      </c>
    </row>
    <row r="19" spans="1:3" x14ac:dyDescent="0.25">
      <c r="A19" s="10">
        <v>38161</v>
      </c>
      <c r="B19" s="7">
        <v>0.18</v>
      </c>
    </row>
    <row r="20" spans="1:3" x14ac:dyDescent="0.25">
      <c r="A20" s="10">
        <v>38240</v>
      </c>
      <c r="B20" s="7">
        <v>0.20499999999999999</v>
      </c>
    </row>
    <row r="21" spans="1:3" x14ac:dyDescent="0.25">
      <c r="A21" s="10">
        <v>38341</v>
      </c>
      <c r="B21" s="7">
        <v>0.20499999999999999</v>
      </c>
    </row>
    <row r="22" spans="1:3" x14ac:dyDescent="0.25">
      <c r="A22" s="10">
        <v>38422</v>
      </c>
      <c r="B22" s="7">
        <v>0.20499999999999999</v>
      </c>
    </row>
    <row r="23" spans="1:3" x14ac:dyDescent="0.25">
      <c r="A23" s="10">
        <v>38527</v>
      </c>
      <c r="B23" s="7">
        <v>0.20499999999999999</v>
      </c>
    </row>
    <row r="24" spans="1:3" x14ac:dyDescent="0.25">
      <c r="A24" s="10">
        <v>38597</v>
      </c>
      <c r="B24" s="7">
        <v>0.23</v>
      </c>
    </row>
    <row r="25" spans="1:3" x14ac:dyDescent="0.25">
      <c r="A25" s="10">
        <v>38708</v>
      </c>
      <c r="B25" s="7">
        <v>0.23</v>
      </c>
    </row>
    <row r="27" spans="1:3" ht="15.6" x14ac:dyDescent="0.3">
      <c r="A27" s="12" t="s">
        <v>7</v>
      </c>
      <c r="B27" s="12"/>
      <c r="C27" s="12"/>
    </row>
    <row r="28" spans="1:3" x14ac:dyDescent="0.25">
      <c r="A28" s="1" t="s">
        <v>8</v>
      </c>
      <c r="B28" s="8">
        <f>(B25/B9)^(1/16)-1</f>
        <v>3.6302462714114192E-2</v>
      </c>
      <c r="C28" s="1" t="str">
        <f ca="1">[1]!getformula(B28)</f>
        <v>&lt;--  =(B25/B9)^(1/16)-1</v>
      </c>
    </row>
    <row r="29" spans="1:3" x14ac:dyDescent="0.25">
      <c r="A29" s="3" t="s">
        <v>9</v>
      </c>
      <c r="B29" s="9">
        <f>(1+B28)^4-1</f>
        <v>0.15331016796105312</v>
      </c>
      <c r="C29" s="1" t="str">
        <f ca="1">[1]!getformula(B29)</f>
        <v>&lt;--  =(1+B28)^4-1</v>
      </c>
    </row>
    <row r="31" spans="1:3" x14ac:dyDescent="0.25">
      <c r="A31" s="1" t="s">
        <v>10</v>
      </c>
      <c r="B31" s="8">
        <f>(B25/B17)^(1/8)-1</f>
        <v>3.1114552751513092E-2</v>
      </c>
      <c r="C31" s="1" t="str">
        <f ca="1">[1]!getformula(B31)</f>
        <v>&lt;--  =(B25/B17)^(1/8)-1</v>
      </c>
    </row>
    <row r="32" spans="1:3" x14ac:dyDescent="0.25">
      <c r="A32" s="3" t="s">
        <v>9</v>
      </c>
      <c r="B32" s="9">
        <f>(1+B31)^4-1</f>
        <v>0.1303883305208775</v>
      </c>
      <c r="C32" s="1" t="str">
        <f ca="1">[1]!getformula(B32)</f>
        <v>&lt;--  =(1+B31)^4-1</v>
      </c>
    </row>
  </sheetData>
  <mergeCells count="2">
    <mergeCell ref="A1:C1"/>
    <mergeCell ref="A27:C2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2024-10-09T07:02:56Z</dcterms:modified>
</cp:coreProperties>
</file>