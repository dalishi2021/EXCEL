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5A106083-C6C3-4D6C-9F3D-8699A4E9D854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1" l="1"/>
  <c r="B10" i="1"/>
  <c r="B9" i="1"/>
  <c r="B6" i="1"/>
  <c r="B5" i="1"/>
  <c r="C18" i="1"/>
  <c r="C10" i="1"/>
  <c r="C9" i="1"/>
</calcChain>
</file>

<file path=xl/sharedStrings.xml><?xml version="1.0" encoding="utf-8"?>
<sst xmlns="http://schemas.openxmlformats.org/spreadsheetml/2006/main" count="15" uniqueCount="15">
  <si>
    <t>RISKY BOND PROBLEM</t>
  </si>
  <si>
    <t>Face value of bond</t>
  </si>
  <si>
    <t>Coupon rate</t>
  </si>
  <si>
    <t>Default probability</t>
  </si>
  <si>
    <t>Payoff in default (% of face value)</t>
  </si>
  <si>
    <t>Market price today</t>
  </si>
  <si>
    <t>Expected payoff in one year</t>
  </si>
  <si>
    <r>
      <t>Expected return, r</t>
    </r>
    <r>
      <rPr>
        <vertAlign val="subscript"/>
        <sz val="10"/>
        <rFont val="Arial"/>
        <family val="2"/>
      </rPr>
      <t>D</t>
    </r>
  </si>
  <si>
    <t>Part b</t>
  </si>
  <si>
    <t>Percentage equity</t>
  </si>
  <si>
    <t>Percentage debt</t>
  </si>
  <si>
    <r>
      <t>Corporate tax rate, T</t>
    </r>
    <r>
      <rPr>
        <vertAlign val="subscript"/>
        <sz val="10"/>
        <rFont val="Arial"/>
        <family val="2"/>
      </rPr>
      <t>C</t>
    </r>
  </si>
  <si>
    <r>
      <t>Cost of equity, r</t>
    </r>
    <r>
      <rPr>
        <vertAlign val="subscript"/>
        <sz val="10"/>
        <rFont val="Arial"/>
        <family val="2"/>
      </rPr>
      <t>E</t>
    </r>
  </si>
  <si>
    <t>WACC</t>
  </si>
  <si>
    <t>Non-default probability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</si>
</sst>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0" fontId="0" fillId="2" borderId="0" xfId="0" applyFill="1" applyAlignment="1"/>
    <xf numFmtId="10" fontId="0" fillId="2" borderId="0" xfId="1" applyNumberFormat="1" applyFont="1" applyFill="1" applyAlignment="1"/>
    <xf numFmtId="0" fontId="5" fillId="3" borderId="0" xfId="0" applyFont="1" applyFill="1" applyAlignment="1"/>
    <xf numFmtId="0" fontId="0" fillId="3" borderId="0" xfId="0" applyFill="1" applyAlignment="1"/>
    <xf numFmtId="9" fontId="0" fillId="3" borderId="0" xfId="0" applyNumberFormat="1" applyFill="1" applyAlignment="1"/>
    <xf numFmtId="10" fontId="0" fillId="3" borderId="0" xfId="0" applyNumberFormat="1" applyFill="1" applyAlignment="1"/>
    <xf numFmtId="0" fontId="3" fillId="0" borderId="0" xfId="0" applyFont="1" applyAlignment="1">
      <alignment horizont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18"/>
  <sheetViews>
    <sheetView tabSelected="1" workbookViewId="0">
      <selection activeCell="C24" sqref="C24"/>
    </sheetView>
  </sheetViews>
  <sheetFormatPr defaultRowHeight="13.8" x14ac:dyDescent="0.25"/>
  <cols>
    <col min="1" max="1" width="30.109375" style="1" customWidth="1"/>
    <col min="2" max="2" width="12.33203125" style="1" customWidth="1"/>
    <col min="3" max="3" width="28.5546875" style="1" bestFit="1" customWidth="1"/>
  </cols>
  <sheetData>
    <row r="1" spans="1:3" ht="17.399999999999999" x14ac:dyDescent="0.3">
      <c r="A1" s="9" t="s">
        <v>0</v>
      </c>
      <c r="B1" s="9"/>
      <c r="C1" s="9"/>
    </row>
    <row r="2" spans="1:3" x14ac:dyDescent="0.25">
      <c r="A2" s="1" t="s">
        <v>1</v>
      </c>
      <c r="B2" s="1">
        <v>100</v>
      </c>
    </row>
    <row r="3" spans="1:3" x14ac:dyDescent="0.25">
      <c r="A3" s="1" t="s">
        <v>2</v>
      </c>
      <c r="B3" s="2">
        <v>0.22</v>
      </c>
    </row>
    <row r="4" spans="1:3" x14ac:dyDescent="0.25">
      <c r="A4" s="1" t="s">
        <v>14</v>
      </c>
      <c r="B4" s="2">
        <v>0.8</v>
      </c>
    </row>
    <row r="5" spans="1:3" x14ac:dyDescent="0.25">
      <c r="A5" s="1" t="s">
        <v>3</v>
      </c>
      <c r="B5" s="2">
        <f>1-B4</f>
        <v>0.19999999999999996</v>
      </c>
    </row>
    <row r="6" spans="1:3" x14ac:dyDescent="0.25">
      <c r="A6" s="1" t="s">
        <v>4</v>
      </c>
      <c r="B6" s="2">
        <f>40%</f>
        <v>0.4</v>
      </c>
    </row>
    <row r="8" spans="1:3" x14ac:dyDescent="0.25">
      <c r="A8" s="1" t="s">
        <v>5</v>
      </c>
      <c r="B8" s="1">
        <v>95</v>
      </c>
    </row>
    <row r="9" spans="1:3" x14ac:dyDescent="0.25">
      <c r="A9" s="1" t="s">
        <v>6</v>
      </c>
      <c r="B9" s="1">
        <f>B2*(1+B3)*B4+B2*B6*B5</f>
        <v>105.60000000000001</v>
      </c>
      <c r="C9" s="1" t="str">
        <f ca="1">[1]!getformula(B9)</f>
        <v>&lt;--  =B2*(1+B3)*B4+B2*B6*B5</v>
      </c>
    </row>
    <row r="10" spans="1:3" ht="15.6" x14ac:dyDescent="0.35">
      <c r="A10" s="3" t="s">
        <v>7</v>
      </c>
      <c r="B10" s="4">
        <f>B9/B8-1</f>
        <v>0.11157894736842122</v>
      </c>
      <c r="C10" s="1" t="str">
        <f ca="1">[1]!getformula(B10)</f>
        <v>&lt;--  =B9/B8-1</v>
      </c>
    </row>
    <row r="13" spans="1:3" x14ac:dyDescent="0.25">
      <c r="A13" s="5" t="s">
        <v>8</v>
      </c>
      <c r="B13" s="6"/>
    </row>
    <row r="14" spans="1:3" x14ac:dyDescent="0.25">
      <c r="A14" s="6" t="s">
        <v>9</v>
      </c>
      <c r="B14" s="7">
        <v>0.4</v>
      </c>
    </row>
    <row r="15" spans="1:3" x14ac:dyDescent="0.25">
      <c r="A15" s="6" t="s">
        <v>10</v>
      </c>
      <c r="B15" s="7">
        <v>0.6</v>
      </c>
    </row>
    <row r="16" spans="1:3" ht="15.6" x14ac:dyDescent="0.35">
      <c r="A16" s="6" t="s">
        <v>11</v>
      </c>
      <c r="B16" s="7">
        <v>0.35</v>
      </c>
    </row>
    <row r="17" spans="1:3" ht="15.6" x14ac:dyDescent="0.35">
      <c r="A17" s="6" t="s">
        <v>12</v>
      </c>
      <c r="B17" s="7">
        <v>0.25</v>
      </c>
    </row>
    <row r="18" spans="1:3" x14ac:dyDescent="0.25">
      <c r="A18" s="6" t="s">
        <v>13</v>
      </c>
      <c r="B18" s="8">
        <f>B14*B17+B15*(1-B16)*B10</f>
        <v>0.14351578947368429</v>
      </c>
      <c r="C18" s="1" t="str">
        <f ca="1">[1]!getformula(B18)</f>
        <v>&lt;--  =B14*B17+B15*(1-B16)*B10</v>
      </c>
    </row>
  </sheetData>
  <mergeCells count="1">
    <mergeCell ref="A1:C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2024-10-11T11:13:02Z</dcterms:modified>
</cp:coreProperties>
</file>