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externalLinks/externalLink1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025"/>
  <workbookPr defaultThemeVersion="166925"/>
  <mc:AlternateContent xmlns:mc="http://schemas.openxmlformats.org/markup-compatibility/2006">
    <mc:Choice Requires="x15">
      <x15ac:absPath xmlns:x15ac="http://schemas.microsoft.com/office/spreadsheetml/2010/11/ac" url="D:\lizhengdong\交易框架\5_工具箱\_书库\编程\Excel\CH02\practice\"/>
    </mc:Choice>
  </mc:AlternateContent>
  <xr:revisionPtr revIDLastSave="0" documentId="13_ncr:1_{19DB7973-D11E-4E12-90FA-FA2FD602E198}" xr6:coauthVersionLast="47" xr6:coauthVersionMax="47" xr10:uidLastSave="{00000000-0000-0000-0000-000000000000}"/>
  <bookViews>
    <workbookView xWindow="-108" yWindow="-108" windowWidth="23256" windowHeight="12456" xr2:uid="{EA6F33A8-FE0E-48B1-8C74-8B2321C6BA8B}"/>
  </bookViews>
  <sheets>
    <sheet name="Sheet1" sheetId="1" r:id="rId1"/>
  </sheets>
  <externalReferences>
    <externalReference r:id="rId2"/>
  </externalReferences>
  <calcPr calcId="191029" iterate="1" iterateDelta="1.0000000000000001E-5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C24" i="1" l="1"/>
  <c r="C23" i="1"/>
  <c r="C21" i="1"/>
  <c r="C20" i="1"/>
  <c r="C17" i="1"/>
  <c r="C16" i="1"/>
  <c r="D13" i="1"/>
  <c r="D12" i="1"/>
  <c r="D11" i="1"/>
  <c r="D10" i="1"/>
  <c r="D9" i="1"/>
  <c r="D8" i="1"/>
  <c r="D7" i="1"/>
  <c r="D6" i="1"/>
  <c r="D5" i="1"/>
  <c r="D4" i="1"/>
  <c r="D24" i="1"/>
  <c r="D23" i="1"/>
  <c r="D17" i="1"/>
  <c r="D16" i="1"/>
  <c r="E4" i="1"/>
  <c r="E5" i="1"/>
  <c r="E6" i="1"/>
  <c r="E7" i="1"/>
  <c r="E8" i="1"/>
</calcChain>
</file>

<file path=xl/sharedStrings.xml><?xml version="1.0" encoding="utf-8"?>
<sst xmlns="http://schemas.openxmlformats.org/spreadsheetml/2006/main" count="13" uniqueCount="13">
  <si>
    <t>CHRYSLER CORPORATION (C)</t>
  </si>
  <si>
    <t>Year</t>
  </si>
  <si>
    <t>Year-end stock price</t>
  </si>
  <si>
    <t>Dividend per share</t>
  </si>
  <si>
    <t>Growth rate</t>
  </si>
  <si>
    <t>Compound growth, 10 yr.</t>
  </si>
  <si>
    <t>Compound growth, 5 yr.</t>
  </si>
  <si>
    <t>Gordon model</t>
  </si>
  <si>
    <r>
      <t>P</t>
    </r>
    <r>
      <rPr>
        <vertAlign val="subscript"/>
        <sz val="10"/>
        <rFont val="Arial"/>
        <family val="2"/>
      </rPr>
      <t>0</t>
    </r>
  </si>
  <si>
    <r>
      <t>D</t>
    </r>
    <r>
      <rPr>
        <vertAlign val="subscript"/>
        <sz val="10"/>
        <rFont val="Arial"/>
        <family val="2"/>
      </rPr>
      <t>0</t>
    </r>
  </si>
  <si>
    <r>
      <t>r</t>
    </r>
    <r>
      <rPr>
        <vertAlign val="subscript"/>
        <sz val="10"/>
        <rFont val="Arial"/>
        <family val="2"/>
      </rPr>
      <t>E</t>
    </r>
  </si>
  <si>
    <t xml:space="preserve">     10-yr. growth</t>
  </si>
  <si>
    <t xml:space="preserve">      5-yr. growth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</si>
</sst>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"/>
  </numFmts>
  <fonts count="6" x14ac:knownFonts="1">
    <font>
      <sz val="11"/>
      <color theme="1"/>
      <name val="等线"/>
      <family val="2"/>
      <charset val="134"/>
      <scheme val="minor"/>
    </font>
    <font>
      <sz val="9"/>
      <name val="等线"/>
      <family val="2"/>
      <charset val="134"/>
      <scheme val="minor"/>
    </font>
    <font>
      <sz val="11"/>
      <color theme="1"/>
      <name val="等线"/>
      <family val="2"/>
      <charset val="134"/>
      <scheme val="minor"/>
    </font>
    <font>
      <b/>
      <sz val="14"/>
      <name val="Arial"/>
      <family val="2"/>
    </font>
    <font>
      <b/>
      <sz val="10"/>
      <name val="Arial"/>
      <family val="2"/>
    </font>
    <font>
      <vertAlign val="subscript"/>
      <sz val="10"/>
      <name val="Arial"/>
      <family val="2"/>
    </font>
  </fonts>
  <fills count="3">
    <fill>
      <patternFill patternType="none"/>
    </fill>
    <fill>
      <patternFill patternType="gray125"/>
    </fill>
    <fill>
      <patternFill patternType="solid">
        <fgColor theme="7" tint="0.79998168889431442"/>
        <bgColor indexed="64"/>
      </patternFill>
    </fill>
  </fills>
  <borders count="1">
    <border>
      <left/>
      <right/>
      <top/>
      <bottom/>
      <diagonal/>
    </border>
  </borders>
  <cellStyleXfs count="2">
    <xf numFmtId="0" fontId="0" fillId="0" borderId="0">
      <alignment vertical="center"/>
    </xf>
    <xf numFmtId="9" fontId="2" fillId="0" borderId="0" applyFont="0" applyFill="0" applyBorder="0" applyAlignment="0" applyProtection="0">
      <alignment vertical="center"/>
    </xf>
  </cellStyleXfs>
  <cellXfs count="13">
    <xf numFmtId="0" fontId="0" fillId="0" borderId="0" xfId="0">
      <alignment vertical="center"/>
    </xf>
    <xf numFmtId="0" fontId="3" fillId="0" borderId="0" xfId="0" applyFont="1" applyAlignment="1">
      <alignment horizontal="center"/>
    </xf>
    <xf numFmtId="0" fontId="4" fillId="0" borderId="0" xfId="0" applyFont="1" applyAlignment="1">
      <alignment horizontal="center" vertical="center" wrapText="1"/>
    </xf>
    <xf numFmtId="2" fontId="4" fillId="0" borderId="0" xfId="0" applyNumberFormat="1" applyFont="1" applyAlignment="1">
      <alignment horizontal="center" vertical="center" wrapText="1"/>
    </xf>
    <xf numFmtId="0" fontId="0" fillId="0" borderId="0" xfId="0" applyAlignment="1">
      <alignment horizontal="center"/>
    </xf>
    <xf numFmtId="2" fontId="0" fillId="0" borderId="0" xfId="0" applyNumberFormat="1" applyAlignment="1"/>
    <xf numFmtId="176" fontId="0" fillId="0" borderId="0" xfId="0" applyNumberFormat="1" applyAlignment="1"/>
    <xf numFmtId="10" fontId="0" fillId="0" borderId="0" xfId="1" applyNumberFormat="1" applyFont="1" applyAlignment="1"/>
    <xf numFmtId="0" fontId="0" fillId="0" borderId="0" xfId="0" applyAlignment="1"/>
    <xf numFmtId="0" fontId="4" fillId="0" borderId="0" xfId="0" applyFont="1" applyAlignment="1"/>
    <xf numFmtId="10" fontId="0" fillId="0" borderId="0" xfId="1" applyNumberFormat="1" applyFont="1">
      <alignment vertical="center"/>
    </xf>
    <xf numFmtId="2" fontId="0" fillId="0" borderId="0" xfId="0" applyNumberFormat="1">
      <alignment vertical="center"/>
    </xf>
    <xf numFmtId="10" fontId="0" fillId="2" borderId="0" xfId="0" applyNumberFormat="1" applyFill="1">
      <alignment vertical="center"/>
    </xf>
  </cellXfs>
  <cellStyles count="2">
    <cellStyle name="百分比" xfId="1" builtinId="5"/>
    <cellStyle name="常规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externalLink" Target="externalLinks/externalLink1.xml"/><Relationship Id="rId1" Type="http://schemas.openxmlformats.org/officeDocument/2006/relationships/worksheet" Target="worksheets/sheet1.xml"/><Relationship Id="rId6" Type="http://schemas.openxmlformats.org/officeDocument/2006/relationships/calcChain" Target="calcChain.xml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externalLinks/_rels/externalLink1.xml.rels><?xml version="1.0" encoding="UTF-8" standalone="yes"?>
<Relationships xmlns="http://schemas.openxmlformats.org/package/2006/relationships"><Relationship Id="rId2" Type="http://schemas.openxmlformats.org/officeDocument/2006/relationships/externalLinkPath" Target="file:///C:\Users\li'zheng'dong\AppData\Roaming\Microsoft\AddIns\&#33258;&#23450;&#20041;&#20989;&#25968;.xla" TargetMode="External"/><Relationship Id="rId1" Type="http://schemas.openxmlformats.org/officeDocument/2006/relationships/externalLinkPath" Target="file:///C:\Users\li'zheng'dong\AppData\Roaming\Microsoft\AddIns\&#33258;&#23450;&#20041;&#20989;&#25968;.xla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xmlns:xxl21="http://schemas.microsoft.com/office/spreadsheetml/2021/extlinks2021" mc:Ignorable="x14 xxl21">
  <externalBook xmlns:r="http://schemas.openxmlformats.org/officeDocument/2006/relationships" r:id="rId1">
    <xxl21:alternateUrls>
      <xxl21:absoluteUrl r:id="rId2"/>
    </xxl21:alternateUrls>
    <sheetNames>
      <sheetName val="Sheet1"/>
    </sheetNames>
    <definedNames>
      <definedName name="getformula"/>
    </definedNames>
    <sheetDataSet>
      <sheetData sheetId="0"/>
    </sheetDataSet>
  </externalBook>
</externalLink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4BB0C1-0DD8-4FB5-B5BC-87C496726FA1}">
  <dimension ref="A1:E24"/>
  <sheetViews>
    <sheetView tabSelected="1" workbookViewId="0">
      <selection activeCell="J17" sqref="J17"/>
    </sheetView>
  </sheetViews>
  <sheetFormatPr defaultRowHeight="13.8" x14ac:dyDescent="0.25"/>
  <cols>
    <col min="1" max="1" width="24.6640625" bestFit="1" customWidth="1"/>
    <col min="2" max="2" width="13" customWidth="1"/>
    <col min="3" max="3" width="21" bestFit="1" customWidth="1"/>
    <col min="4" max="4" width="13" customWidth="1"/>
  </cols>
  <sheetData>
    <row r="1" spans="1:5" ht="17.399999999999999" x14ac:dyDescent="0.3">
      <c r="A1" s="1" t="s">
        <v>0</v>
      </c>
      <c r="B1" s="1"/>
      <c r="C1" s="1"/>
      <c r="D1" s="1"/>
      <c r="E1" s="1"/>
    </row>
    <row r="2" spans="1:5" ht="39.6" x14ac:dyDescent="0.25">
      <c r="A2" s="2" t="s">
        <v>1</v>
      </c>
      <c r="B2" s="3" t="s">
        <v>2</v>
      </c>
      <c r="C2" s="2" t="s">
        <v>3</v>
      </c>
      <c r="D2" s="2" t="s">
        <v>4</v>
      </c>
      <c r="E2" s="2"/>
    </row>
    <row r="3" spans="1:5" x14ac:dyDescent="0.25">
      <c r="A3" s="4">
        <v>1986</v>
      </c>
      <c r="B3" s="5"/>
      <c r="C3" s="5">
        <v>0.4</v>
      </c>
      <c r="D3" s="6"/>
      <c r="E3" s="5"/>
    </row>
    <row r="4" spans="1:5" x14ac:dyDescent="0.25">
      <c r="A4" s="4">
        <v>1987</v>
      </c>
      <c r="B4" s="5"/>
      <c r="C4" s="5">
        <v>0.5</v>
      </c>
      <c r="D4" s="7">
        <f>C4/C3-1</f>
        <v>0.25</v>
      </c>
      <c r="E4" s="5" t="str">
        <f ca="1">[1]!getformula(D4)</f>
        <v>&lt;--  =C4/C3-1</v>
      </c>
    </row>
    <row r="5" spans="1:5" x14ac:dyDescent="0.25">
      <c r="A5" s="4">
        <v>1988</v>
      </c>
      <c r="B5" s="5"/>
      <c r="C5" s="5">
        <v>0.5</v>
      </c>
      <c r="D5" s="7">
        <f t="shared" ref="D5:D13" si="0">C5/C4-1</f>
        <v>0</v>
      </c>
      <c r="E5" s="5" t="str">
        <f ca="1">[1]!getformula(D5)</f>
        <v>&lt;--  =C5/C4-1</v>
      </c>
    </row>
    <row r="6" spans="1:5" x14ac:dyDescent="0.25">
      <c r="A6" s="4">
        <v>1989</v>
      </c>
      <c r="B6" s="5"/>
      <c r="C6" s="5">
        <v>0.6</v>
      </c>
      <c r="D6" s="7">
        <f t="shared" si="0"/>
        <v>0.19999999999999996</v>
      </c>
      <c r="E6" s="5" t="str">
        <f ca="1">[1]!getformula(D6)</f>
        <v>&lt;--  =C6/C5-1</v>
      </c>
    </row>
    <row r="7" spans="1:5" x14ac:dyDescent="0.25">
      <c r="A7" s="4">
        <v>1990</v>
      </c>
      <c r="B7" s="5"/>
      <c r="C7" s="5">
        <v>0.6</v>
      </c>
      <c r="D7" s="7">
        <f t="shared" si="0"/>
        <v>0</v>
      </c>
      <c r="E7" s="5" t="str">
        <f ca="1">[1]!getformula(D7)</f>
        <v>&lt;--  =C7/C6-1</v>
      </c>
    </row>
    <row r="8" spans="1:5" x14ac:dyDescent="0.25">
      <c r="A8" s="4">
        <v>1991</v>
      </c>
      <c r="B8" s="5"/>
      <c r="C8" s="5">
        <v>0.3</v>
      </c>
      <c r="D8" s="7">
        <f t="shared" si="0"/>
        <v>-0.5</v>
      </c>
      <c r="E8" s="5" t="str">
        <f ca="1">[1]!getformula(D8)</f>
        <v>&lt;--  =C8/C7-1</v>
      </c>
    </row>
    <row r="9" spans="1:5" x14ac:dyDescent="0.25">
      <c r="A9" s="4">
        <v>1992</v>
      </c>
      <c r="B9" s="5"/>
      <c r="C9" s="5">
        <v>0.3</v>
      </c>
      <c r="D9" s="7">
        <f t="shared" si="0"/>
        <v>0</v>
      </c>
      <c r="E9" s="5"/>
    </row>
    <row r="10" spans="1:5" x14ac:dyDescent="0.25">
      <c r="A10" s="4">
        <v>1993</v>
      </c>
      <c r="B10" s="5"/>
      <c r="C10" s="5">
        <v>0.33</v>
      </c>
      <c r="D10" s="7">
        <f t="shared" si="0"/>
        <v>0.10000000000000009</v>
      </c>
      <c r="E10" s="5"/>
    </row>
    <row r="11" spans="1:5" x14ac:dyDescent="0.25">
      <c r="A11" s="4">
        <v>1994</v>
      </c>
      <c r="B11" s="5"/>
      <c r="C11" s="5">
        <v>0.45</v>
      </c>
      <c r="D11" s="7">
        <f t="shared" si="0"/>
        <v>0.36363636363636354</v>
      </c>
      <c r="E11" s="5"/>
    </row>
    <row r="12" spans="1:5" x14ac:dyDescent="0.25">
      <c r="A12" s="4">
        <v>1995</v>
      </c>
      <c r="B12" s="5"/>
      <c r="C12" s="5">
        <v>1</v>
      </c>
      <c r="D12" s="7">
        <f t="shared" si="0"/>
        <v>1.2222222222222223</v>
      </c>
      <c r="E12" s="5"/>
    </row>
    <row r="13" spans="1:5" x14ac:dyDescent="0.25">
      <c r="A13" s="4">
        <v>1996</v>
      </c>
      <c r="B13" s="5">
        <v>35</v>
      </c>
      <c r="C13" s="5">
        <v>1.4</v>
      </c>
      <c r="D13" s="7">
        <f t="shared" si="0"/>
        <v>0.39999999999999991</v>
      </c>
      <c r="E13" s="5"/>
    </row>
    <row r="16" spans="1:5" x14ac:dyDescent="0.25">
      <c r="A16" s="8" t="s">
        <v>5</v>
      </c>
      <c r="C16" s="10">
        <f>(C13/C3)^(1/10)-1</f>
        <v>0.13346158167069744</v>
      </c>
      <c r="D16" s="5" t="str">
        <f ca="1">[1]!getformula(C16)</f>
        <v>&lt;--  =(C13/C3)^(1/10)-1</v>
      </c>
    </row>
    <row r="17" spans="1:4" x14ac:dyDescent="0.25">
      <c r="A17" s="8" t="s">
        <v>6</v>
      </c>
      <c r="C17" s="10">
        <f>(C13/C8)^(1/5)-1</f>
        <v>0.36082210785873881</v>
      </c>
      <c r="D17" s="5" t="str">
        <f ca="1">[1]!getformula(C17)</f>
        <v>&lt;--  =(C13/C8)^(1/5)-1</v>
      </c>
    </row>
    <row r="18" spans="1:4" x14ac:dyDescent="0.25">
      <c r="A18" s="8"/>
    </row>
    <row r="19" spans="1:4" x14ac:dyDescent="0.25">
      <c r="A19" s="9" t="s">
        <v>7</v>
      </c>
    </row>
    <row r="20" spans="1:4" ht="15.6" x14ac:dyDescent="0.35">
      <c r="A20" s="8" t="s">
        <v>8</v>
      </c>
      <c r="C20" s="11">
        <f>B13</f>
        <v>35</v>
      </c>
    </row>
    <row r="21" spans="1:4" ht="15.6" x14ac:dyDescent="0.35">
      <c r="A21" s="8" t="s">
        <v>9</v>
      </c>
      <c r="C21" s="11">
        <f>C13</f>
        <v>1.4</v>
      </c>
    </row>
    <row r="22" spans="1:4" ht="15.6" x14ac:dyDescent="0.35">
      <c r="A22" s="8" t="s">
        <v>10</v>
      </c>
    </row>
    <row r="23" spans="1:4" x14ac:dyDescent="0.25">
      <c r="A23" s="8" t="s">
        <v>11</v>
      </c>
      <c r="C23" s="12">
        <f>C21*(1+C16)/C20+C16</f>
        <v>0.17880004493752533</v>
      </c>
      <c r="D23" s="5" t="str">
        <f ca="1">[1]!getformula(C23)</f>
        <v>&lt;--  =C21*(1+C16)/C20+C16</v>
      </c>
    </row>
    <row r="24" spans="1:4" x14ac:dyDescent="0.25">
      <c r="A24" s="8" t="s">
        <v>12</v>
      </c>
      <c r="C24" s="12">
        <f>C21*(1+C17)/C20+C17</f>
        <v>0.41525499217308837</v>
      </c>
      <c r="D24" s="5" t="str">
        <f ca="1">[1]!getformula(C24)</f>
        <v>&lt;--  =C21*(1+C17)/C20+C17</v>
      </c>
    </row>
  </sheetData>
  <mergeCells count="1">
    <mergeCell ref="A1:E1"/>
  </mergeCells>
  <phoneticPr fontId="1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1</vt:i4>
      </vt:variant>
    </vt:vector>
  </HeadingPairs>
  <TitlesOfParts>
    <vt:vector size="1" baseType="lpstr">
      <vt:lpstr>Sheet1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正东 李</dc:creator>
  <cp:lastModifiedBy>正东 李</cp:lastModifiedBy>
  <dcterms:created xsi:type="dcterms:W3CDTF">2024-10-05T13:27:14Z</dcterms:created>
  <dcterms:modified xsi:type="dcterms:W3CDTF">2024-10-11T04:34:55Z</dcterms:modified>
</cp:coreProperties>
</file>