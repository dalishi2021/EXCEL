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29BF6357-F83A-4C81-8929-0BB93B079AE9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B5" i="1"/>
  <c r="C5" i="1"/>
</calcChain>
</file>

<file path=xl/sharedStrings.xml><?xml version="1.0" encoding="utf-8"?>
<sst xmlns="http://schemas.openxmlformats.org/spreadsheetml/2006/main" count="7" uniqueCount="7">
  <si>
    <r>
      <t>COMPUTING E(r</t>
    </r>
    <r>
      <rPr>
        <b/>
        <vertAlign val="subscript"/>
        <sz val="14"/>
        <rFont val="Arial"/>
        <family val="2"/>
      </rPr>
      <t>M</t>
    </r>
    <r>
      <rPr>
        <b/>
        <sz val="14"/>
        <rFont val="Arial"/>
        <family val="2"/>
      </rPr>
      <t>) FROM MARKET P/E</t>
    </r>
  </si>
  <si>
    <t>Current S&amp;P 500 P/E</t>
  </si>
  <si>
    <t>Dividend payout ratio</t>
  </si>
  <si>
    <t>Growth rate of dividends</t>
  </si>
  <si>
    <r>
      <t>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</si>
  <si>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t>股息率%</t>
    <phoneticPr fontId="1" type="noConversion"/>
  </si>
  <si>
    <t>上证50 分红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</si>
</sst>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9"/>
  <sheetViews>
    <sheetView tabSelected="1" workbookViewId="0">
      <selection activeCell="D12" sqref="D12"/>
    </sheetView>
  </sheetViews>
  <sheetFormatPr defaultRowHeight="13.8" x14ac:dyDescent="0.25"/>
  <cols>
    <col min="1" max="1" width="23.77734375" style="2" bestFit="1" customWidth="1"/>
    <col min="2" max="2" width="20.5546875" style="2" bestFit="1" customWidth="1"/>
    <col min="3" max="3" width="20.6640625" style="2" bestFit="1" customWidth="1"/>
    <col min="6" max="6" width="12.33203125" bestFit="1" customWidth="1"/>
    <col min="7" max="7" width="9.109375" bestFit="1" customWidth="1"/>
  </cols>
  <sheetData>
    <row r="1" spans="1:8" ht="21" x14ac:dyDescent="0.45">
      <c r="A1" s="1" t="s">
        <v>0</v>
      </c>
      <c r="B1" s="1"/>
      <c r="C1" s="1"/>
    </row>
    <row r="2" spans="1:8" x14ac:dyDescent="0.25">
      <c r="A2" s="2" t="s">
        <v>1</v>
      </c>
      <c r="B2" s="2">
        <v>17.5</v>
      </c>
    </row>
    <row r="3" spans="1:8" x14ac:dyDescent="0.25">
      <c r="A3" s="2" t="s">
        <v>2</v>
      </c>
      <c r="B3" s="3">
        <v>0.5</v>
      </c>
    </row>
    <row r="4" spans="1:8" x14ac:dyDescent="0.25">
      <c r="A4" s="2" t="s">
        <v>3</v>
      </c>
      <c r="B4" s="3">
        <v>7.0000000000000007E-2</v>
      </c>
    </row>
    <row r="5" spans="1:8" ht="15.6" x14ac:dyDescent="0.35">
      <c r="A5" s="2" t="s">
        <v>4</v>
      </c>
      <c r="B5" s="4">
        <f>B3*(1+B4)/B2+B4</f>
        <v>0.10057142857142858</v>
      </c>
      <c r="C5" s="2" t="str">
        <f ca="1">[1]!getformula(B5)</f>
        <v>&lt;--  =B3*(1+B4)/B2+B4</v>
      </c>
    </row>
    <row r="6" spans="1:8" x14ac:dyDescent="0.25">
      <c r="F6" s="5" t="s">
        <v>6</v>
      </c>
      <c r="G6" t="s">
        <v>5</v>
      </c>
    </row>
    <row r="7" spans="1:8" x14ac:dyDescent="0.25">
      <c r="E7">
        <v>2021</v>
      </c>
      <c r="F7">
        <v>4639.84</v>
      </c>
      <c r="G7">
        <v>2.57</v>
      </c>
    </row>
    <row r="8" spans="1:8" x14ac:dyDescent="0.25">
      <c r="E8">
        <v>2022</v>
      </c>
      <c r="F8">
        <v>6121.65</v>
      </c>
    </row>
    <row r="9" spans="1:8" x14ac:dyDescent="0.25">
      <c r="E9">
        <v>2023</v>
      </c>
      <c r="F9">
        <v>6892.55</v>
      </c>
      <c r="G9">
        <v>4.26</v>
      </c>
      <c r="H9">
        <f>(G9/G7)^(1/2)-1</f>
        <v>0.28747331958302436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2024-10-11T11:24:16Z</dcterms:modified>
</cp:coreProperties>
</file>