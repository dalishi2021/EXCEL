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4C47D227-AECA-459D-93EB-3A5EA3832158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F5" i="1"/>
  <c r="F4" i="1"/>
  <c r="F3" i="1"/>
  <c r="C18" i="1"/>
  <c r="C17" i="1"/>
  <c r="C16" i="1"/>
  <c r="C8" i="1"/>
  <c r="C9" i="1"/>
  <c r="C10" i="1"/>
  <c r="C11" i="1"/>
  <c r="B9" i="1" l="1"/>
  <c r="B10" i="1" s="1"/>
  <c r="B11" i="1" s="1"/>
  <c r="B12" i="1" s="1"/>
  <c r="B13" i="1" s="1"/>
  <c r="B14" i="1" s="1"/>
  <c r="B15" i="1" s="1"/>
  <c r="B16" i="1" s="1"/>
  <c r="B17" i="1" s="1"/>
  <c r="E3" i="1" l="1"/>
  <c r="E5" i="1" s="1"/>
  <c r="B18" i="1"/>
  <c r="B19" i="1" s="1"/>
  <c r="B20" i="1" s="1"/>
  <c r="B21" i="1" s="1"/>
  <c r="B22" i="1" s="1"/>
  <c r="B23" i="1" s="1"/>
  <c r="E4" i="1"/>
</calcChain>
</file>

<file path=xl/sharedStrings.xml><?xml version="1.0" encoding="utf-8"?>
<sst xmlns="http://schemas.openxmlformats.org/spreadsheetml/2006/main" count="10" uniqueCount="10">
  <si>
    <t>ABC Corp ("supernormal" growth)</t>
  </si>
  <si>
    <t>Current dividend</t>
  </si>
  <si>
    <t>Dividend valuation</t>
  </si>
  <si>
    <r>
      <t>Growth rate g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, years 1-10 ("supernormal")</t>
    </r>
  </si>
  <si>
    <t>PV of years 1-10</t>
  </si>
  <si>
    <r>
      <t>Growth rate g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 xml:space="preserve">, years 11 - </t>
    </r>
    <r>
      <rPr>
        <sz val="10"/>
        <rFont val="Symbol"/>
        <family val="1"/>
        <charset val="2"/>
      </rPr>
      <t>¥</t>
    </r>
  </si>
  <si>
    <r>
      <t xml:space="preserve">PV of years 11 - </t>
    </r>
    <r>
      <rPr>
        <sz val="10"/>
        <rFont val="Symbol"/>
        <family val="1"/>
        <charset val="2"/>
      </rPr>
      <t>¥</t>
    </r>
  </si>
  <si>
    <t>Cost of equity</t>
  </si>
  <si>
    <t>Share value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</si>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</sst>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40" fontId="0" fillId="0" borderId="0" xfId="0" applyNumberFormat="1" applyAlignment="1"/>
    <xf numFmtId="0" fontId="3" fillId="0" borderId="0" xfId="0" applyFont="1" applyAlignment="1"/>
    <xf numFmtId="9" fontId="0" fillId="0" borderId="0" xfId="0" applyNumberFormat="1" applyAlignment="1"/>
    <xf numFmtId="0" fontId="0" fillId="0" borderId="0" xfId="0" applyAlignment="1">
      <alignment horizontal="right"/>
    </xf>
    <xf numFmtId="2" fontId="0" fillId="0" borderId="0" xfId="0" applyNumberFormat="1" applyAlignment="1"/>
    <xf numFmtId="8" fontId="0" fillId="0" borderId="0" xfId="0" applyNumberFormat="1">
      <alignment vertical="center"/>
    </xf>
    <xf numFmtId="8" fontId="0" fillId="2" borderId="0" xfId="0" applyNumberFormat="1" applyFill="1">
      <alignment vertical="center"/>
    </xf>
    <xf numFmtId="9" fontId="0" fillId="2" borderId="0" xfId="0" applyNumberFormat="1" applyFill="1" applyAlignment="1"/>
    <xf numFmtId="0" fontId="2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59"/>
  <sheetViews>
    <sheetView tabSelected="1" workbookViewId="0">
      <selection activeCell="D28" sqref="D28"/>
    </sheetView>
  </sheetViews>
  <sheetFormatPr defaultRowHeight="13.8" x14ac:dyDescent="0.25"/>
  <cols>
    <col min="1" max="1" width="40.5546875" style="1" bestFit="1" customWidth="1"/>
    <col min="2" max="2" width="8.88671875" style="1"/>
    <col min="3" max="3" width="16.6640625" style="1" bestFit="1" customWidth="1"/>
    <col min="4" max="4" width="18" style="1" customWidth="1"/>
    <col min="5" max="5" width="9.109375" bestFit="1" customWidth="1"/>
  </cols>
  <sheetData>
    <row r="1" spans="1:6" ht="17.399999999999999" x14ac:dyDescent="0.3">
      <c r="A1" s="10" t="s">
        <v>0</v>
      </c>
      <c r="B1" s="10"/>
      <c r="C1" s="10"/>
    </row>
    <row r="2" spans="1:6" x14ac:dyDescent="0.25">
      <c r="A2" s="1" t="s">
        <v>1</v>
      </c>
      <c r="B2" s="2">
        <v>3</v>
      </c>
      <c r="D2" s="3" t="s">
        <v>2</v>
      </c>
    </row>
    <row r="3" spans="1:6" ht="15.6" x14ac:dyDescent="0.35">
      <c r="A3" s="1" t="s">
        <v>3</v>
      </c>
      <c r="B3" s="4">
        <v>0.15</v>
      </c>
      <c r="D3" s="1" t="s">
        <v>4</v>
      </c>
      <c r="E3" s="7">
        <f>NPV(B5,B8:B17)</f>
        <v>34.794551567746446</v>
      </c>
      <c r="F3" t="str">
        <f ca="1">[1]!getformula(E3)</f>
        <v>&lt;--  =NPV(B5,B8:B17)</v>
      </c>
    </row>
    <row r="4" spans="1:6" ht="15.6" x14ac:dyDescent="0.35">
      <c r="A4" s="1" t="s">
        <v>5</v>
      </c>
      <c r="B4" s="9">
        <v>0.05</v>
      </c>
      <c r="D4" s="1" t="s">
        <v>6</v>
      </c>
      <c r="E4" s="6">
        <f>B17*(1+B4)/(B5-B4)/(1+B5)^10</f>
        <v>58.615259309118109</v>
      </c>
      <c r="F4" t="str">
        <f ca="1">[1]!getformula(E4)</f>
        <v>&lt;--  =B17*(1+B4)/(B5-B4)/(1+B5)^10</v>
      </c>
    </row>
    <row r="5" spans="1:6" x14ac:dyDescent="0.25">
      <c r="A5" s="1" t="s">
        <v>7</v>
      </c>
      <c r="B5" s="4">
        <v>0.12</v>
      </c>
      <c r="D5" s="1" t="s">
        <v>8</v>
      </c>
      <c r="E5" s="8">
        <f>SUM(E3:E4)</f>
        <v>93.409810876864555</v>
      </c>
      <c r="F5" t="str">
        <f ca="1">[1]!getformula(E5)</f>
        <v>&lt;--  =SUM(E3:E4)</v>
      </c>
    </row>
    <row r="7" spans="1:6" x14ac:dyDescent="0.25">
      <c r="A7" s="5" t="s">
        <v>9</v>
      </c>
    </row>
    <row r="8" spans="1:6" x14ac:dyDescent="0.25">
      <c r="A8" s="1">
        <v>1</v>
      </c>
      <c r="B8" s="6">
        <f>B2*(1+$B$3)</f>
        <v>3.4499999999999997</v>
      </c>
      <c r="C8" s="1" t="str">
        <f ca="1">[1]!getformula(B8)</f>
        <v>&lt;--  =B2*(1+$B$3)</v>
      </c>
    </row>
    <row r="9" spans="1:6" x14ac:dyDescent="0.25">
      <c r="A9" s="1">
        <v>2</v>
      </c>
      <c r="B9" s="6">
        <f t="shared" ref="B9:B17" si="0">B8*(1+$B$3)</f>
        <v>3.9674999999999994</v>
      </c>
      <c r="C9" s="1" t="str">
        <f ca="1">[1]!getformula(B9)</f>
        <v>&lt;--  =B8*(1+$B$3)</v>
      </c>
    </row>
    <row r="10" spans="1:6" x14ac:dyDescent="0.25">
      <c r="A10" s="1">
        <v>3</v>
      </c>
      <c r="B10" s="6">
        <f t="shared" si="0"/>
        <v>4.5626249999999988</v>
      </c>
      <c r="C10" s="1" t="str">
        <f ca="1">[1]!getformula(B10)</f>
        <v>&lt;--  =B9*(1+$B$3)</v>
      </c>
    </row>
    <row r="11" spans="1:6" x14ac:dyDescent="0.25">
      <c r="A11" s="1">
        <v>4</v>
      </c>
      <c r="B11" s="6">
        <f t="shared" si="0"/>
        <v>5.2470187499999978</v>
      </c>
      <c r="C11" s="1" t="str">
        <f ca="1">[1]!getformula(B11)</f>
        <v>&lt;--  =B10*(1+$B$3)</v>
      </c>
    </row>
    <row r="12" spans="1:6" x14ac:dyDescent="0.25">
      <c r="A12" s="1">
        <v>5</v>
      </c>
      <c r="B12" s="6">
        <f t="shared" si="0"/>
        <v>6.0340715624999968</v>
      </c>
    </row>
    <row r="13" spans="1:6" x14ac:dyDescent="0.25">
      <c r="A13" s="1">
        <v>6</v>
      </c>
      <c r="B13" s="6">
        <f t="shared" si="0"/>
        <v>6.9391822968749954</v>
      </c>
    </row>
    <row r="14" spans="1:6" x14ac:dyDescent="0.25">
      <c r="A14" s="1">
        <v>7</v>
      </c>
      <c r="B14" s="6">
        <f t="shared" si="0"/>
        <v>7.9800596414062444</v>
      </c>
    </row>
    <row r="15" spans="1:6" x14ac:dyDescent="0.25">
      <c r="A15" s="1">
        <v>8</v>
      </c>
      <c r="B15" s="6">
        <f t="shared" si="0"/>
        <v>9.17706858761718</v>
      </c>
    </row>
    <row r="16" spans="1:6" x14ac:dyDescent="0.25">
      <c r="A16" s="1">
        <v>9</v>
      </c>
      <c r="B16" s="6">
        <f t="shared" si="0"/>
        <v>10.553628875759756</v>
      </c>
      <c r="C16" s="1" t="str">
        <f ca="1">[1]!getformula(B16)</f>
        <v>&lt;--  =B15*(1+$B$3)</v>
      </c>
    </row>
    <row r="17" spans="1:3" x14ac:dyDescent="0.25">
      <c r="A17" s="1">
        <v>10</v>
      </c>
      <c r="B17" s="6">
        <f t="shared" si="0"/>
        <v>12.136673207123719</v>
      </c>
      <c r="C17" s="1" t="str">
        <f ca="1">[1]!getformula(B17)</f>
        <v>&lt;--  =B16*(1+$B$3)</v>
      </c>
    </row>
    <row r="18" spans="1:3" x14ac:dyDescent="0.25">
      <c r="A18" s="1">
        <v>11</v>
      </c>
      <c r="B18" s="6">
        <f t="shared" ref="B18:B23" si="1">B17*(1+$B$4)</f>
        <v>12.743506867479905</v>
      </c>
      <c r="C18" s="1" t="str">
        <f ca="1">[1]!getformula(B18)</f>
        <v>&lt;--  =B17*(1+$B$4)</v>
      </c>
    </row>
    <row r="19" spans="1:3" x14ac:dyDescent="0.25">
      <c r="A19" s="1">
        <v>12</v>
      </c>
      <c r="B19" s="6">
        <f t="shared" si="1"/>
        <v>13.3806822108539</v>
      </c>
    </row>
    <row r="20" spans="1:3" x14ac:dyDescent="0.25">
      <c r="A20" s="1">
        <v>13</v>
      </c>
      <c r="B20" s="6">
        <f t="shared" si="1"/>
        <v>14.049716321396595</v>
      </c>
    </row>
    <row r="21" spans="1:3" x14ac:dyDescent="0.25">
      <c r="A21" s="1">
        <v>14</v>
      </c>
      <c r="B21" s="6">
        <f t="shared" si="1"/>
        <v>14.752202137466425</v>
      </c>
    </row>
    <row r="22" spans="1:3" x14ac:dyDescent="0.25">
      <c r="A22" s="1">
        <v>15</v>
      </c>
      <c r="B22" s="6">
        <f t="shared" si="1"/>
        <v>15.489812244339747</v>
      </c>
    </row>
    <row r="23" spans="1:3" x14ac:dyDescent="0.25">
      <c r="A23" s="1">
        <v>16</v>
      </c>
      <c r="B23" s="6">
        <f t="shared" si="1"/>
        <v>16.264302856556736</v>
      </c>
    </row>
    <row r="24" spans="1:3" x14ac:dyDescent="0.25">
      <c r="B24" s="6"/>
    </row>
    <row r="25" spans="1:3" x14ac:dyDescent="0.25">
      <c r="B25" s="6"/>
    </row>
    <row r="26" spans="1:3" x14ac:dyDescent="0.25">
      <c r="B26" s="6"/>
    </row>
    <row r="27" spans="1:3" x14ac:dyDescent="0.25">
      <c r="B27" s="6"/>
    </row>
    <row r="28" spans="1:3" x14ac:dyDescent="0.25">
      <c r="B28" s="6"/>
    </row>
    <row r="29" spans="1:3" x14ac:dyDescent="0.25">
      <c r="B29" s="6"/>
    </row>
    <row r="30" spans="1:3" x14ac:dyDescent="0.25">
      <c r="B30" s="6"/>
    </row>
    <row r="31" spans="1:3" x14ac:dyDescent="0.25">
      <c r="B31" s="6"/>
    </row>
    <row r="32" spans="1:3" x14ac:dyDescent="0.25">
      <c r="B32" s="6"/>
    </row>
    <row r="33" spans="2:2" x14ac:dyDescent="0.25">
      <c r="B33" s="6"/>
    </row>
    <row r="34" spans="2:2" x14ac:dyDescent="0.25">
      <c r="B34" s="6"/>
    </row>
    <row r="35" spans="2:2" x14ac:dyDescent="0.25">
      <c r="B35" s="6"/>
    </row>
    <row r="36" spans="2:2" x14ac:dyDescent="0.25">
      <c r="B36" s="6"/>
    </row>
    <row r="37" spans="2:2" x14ac:dyDescent="0.25">
      <c r="B37" s="6"/>
    </row>
    <row r="38" spans="2:2" x14ac:dyDescent="0.25">
      <c r="B38" s="6"/>
    </row>
    <row r="39" spans="2:2" x14ac:dyDescent="0.25">
      <c r="B39" s="6"/>
    </row>
    <row r="40" spans="2:2" x14ac:dyDescent="0.25">
      <c r="B40" s="6"/>
    </row>
    <row r="41" spans="2:2" x14ac:dyDescent="0.25">
      <c r="B41" s="6"/>
    </row>
    <row r="42" spans="2:2" x14ac:dyDescent="0.25">
      <c r="B42" s="6"/>
    </row>
    <row r="43" spans="2:2" x14ac:dyDescent="0.25">
      <c r="B43" s="6"/>
    </row>
    <row r="44" spans="2:2" x14ac:dyDescent="0.25">
      <c r="B44" s="6"/>
    </row>
    <row r="45" spans="2:2" x14ac:dyDescent="0.25">
      <c r="B45" s="6"/>
    </row>
    <row r="46" spans="2:2" x14ac:dyDescent="0.25">
      <c r="B46" s="6"/>
    </row>
    <row r="47" spans="2:2" x14ac:dyDescent="0.25">
      <c r="B47" s="6"/>
    </row>
    <row r="48" spans="2:2" x14ac:dyDescent="0.25">
      <c r="B48" s="6"/>
    </row>
    <row r="49" spans="2:2" x14ac:dyDescent="0.25">
      <c r="B49" s="6"/>
    </row>
    <row r="50" spans="2:2" x14ac:dyDescent="0.25">
      <c r="B50" s="6"/>
    </row>
    <row r="51" spans="2:2" x14ac:dyDescent="0.25">
      <c r="B51" s="6"/>
    </row>
    <row r="52" spans="2:2" x14ac:dyDescent="0.25">
      <c r="B52" s="6"/>
    </row>
    <row r="53" spans="2:2" x14ac:dyDescent="0.25">
      <c r="B53" s="6"/>
    </row>
    <row r="54" spans="2:2" x14ac:dyDescent="0.25">
      <c r="B54" s="6"/>
    </row>
    <row r="55" spans="2:2" x14ac:dyDescent="0.25">
      <c r="B55" s="6"/>
    </row>
    <row r="56" spans="2:2" x14ac:dyDescent="0.25">
      <c r="B56" s="6"/>
    </row>
    <row r="57" spans="2:2" x14ac:dyDescent="0.25">
      <c r="B57" s="6"/>
    </row>
    <row r="58" spans="2:2" x14ac:dyDescent="0.25">
      <c r="B58" s="6"/>
    </row>
    <row r="59" spans="2:2" x14ac:dyDescent="0.25">
      <c r="B59" s="6"/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2024-10-11T05:24:22Z</dcterms:modified>
</cp:coreProperties>
</file>