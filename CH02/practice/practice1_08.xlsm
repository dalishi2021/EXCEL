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practice\"/>
    </mc:Choice>
  </mc:AlternateContent>
  <xr:revisionPtr revIDLastSave="0" documentId="13_ncr:1_{832D7095-47CC-41F2-AD83-E70CC74B0F63}" xr6:coauthVersionLast="47" xr6:coauthVersionMax="47" xr10:uidLastSave="{00000000-0000-0000-0000-000000000000}"/>
  <bookViews>
    <workbookView xWindow="-108" yWindow="-108" windowWidth="23256" windowHeight="12456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" i="1" l="1"/>
  <c r="B20" i="1"/>
  <c r="B17" i="1"/>
  <c r="B16" i="1"/>
  <c r="B13" i="1"/>
  <c r="B12" i="1"/>
  <c r="C21" i="1"/>
  <c r="C20" i="1"/>
  <c r="C17" i="1"/>
  <c r="C16" i="1"/>
  <c r="C13" i="1"/>
  <c r="C12" i="1"/>
</calcChain>
</file>

<file path=xl/sharedStrings.xml><?xml version="1.0" encoding="utf-8"?>
<sst xmlns="http://schemas.openxmlformats.org/spreadsheetml/2006/main" count="17" uniqueCount="13">
  <si>
    <r>
      <t>b</t>
    </r>
    <r>
      <rPr>
        <vertAlign val="subscript"/>
        <sz val="10"/>
        <rFont val="Arial"/>
        <family val="2"/>
      </rPr>
      <t>equity</t>
    </r>
  </si>
  <si>
    <r>
      <t>b</t>
    </r>
    <r>
      <rPr>
        <vertAlign val="subscript"/>
        <sz val="10"/>
        <rFont val="Arial"/>
        <family val="2"/>
      </rPr>
      <t>debt</t>
    </r>
  </si>
  <si>
    <r>
      <t>Risk-free, r</t>
    </r>
    <r>
      <rPr>
        <vertAlign val="subscript"/>
        <sz val="10"/>
        <rFont val="Arial"/>
        <family val="2"/>
      </rPr>
      <t>f</t>
    </r>
  </si>
  <si>
    <r>
      <t>E(r</t>
    </r>
    <r>
      <rPr>
        <vertAlign val="subscript"/>
        <sz val="10"/>
        <rFont val="Arial"/>
        <family val="2"/>
      </rPr>
      <t>m</t>
    </r>
    <r>
      <rPr>
        <sz val="11"/>
        <color theme="1"/>
        <rFont val="等线"/>
        <family val="2"/>
        <charset val="134"/>
        <scheme val="minor"/>
      </rPr>
      <t>)</t>
    </r>
  </si>
  <si>
    <r>
      <t>Corporate tax rate T</t>
    </r>
    <r>
      <rPr>
        <vertAlign val="subscript"/>
        <sz val="10"/>
        <rFont val="Arial"/>
        <family val="2"/>
      </rPr>
      <t>C</t>
    </r>
  </si>
  <si>
    <t>Capital structure</t>
  </si>
  <si>
    <t>Percentage of equity</t>
  </si>
  <si>
    <t>Percentage of debt</t>
  </si>
  <si>
    <t>Cost of equity</t>
  </si>
  <si>
    <t>Classic CAPM</t>
  </si>
  <si>
    <t>Benninga-Sarig</t>
  </si>
  <si>
    <t>Cost of debt</t>
  </si>
  <si>
    <t>Weighted average cost of capital (WACC)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</si>
</sst>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sz val="10"/>
      <name val="Symbol"/>
      <family val="1"/>
      <charset val="2"/>
    </font>
    <font>
      <vertAlign val="subscript"/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4" fillId="0" borderId="0" xfId="0" applyFont="1" applyAlignment="1"/>
    <xf numFmtId="0" fontId="0" fillId="0" borderId="0" xfId="0" applyAlignment="1"/>
    <xf numFmtId="9" fontId="0" fillId="0" borderId="0" xfId="0" applyNumberFormat="1" applyAlignment="1"/>
    <xf numFmtId="0" fontId="6" fillId="0" borderId="0" xfId="0" applyFont="1" applyAlignment="1"/>
    <xf numFmtId="10" fontId="0" fillId="0" borderId="0" xfId="1" applyNumberFormat="1" applyFont="1" applyAlignment="1"/>
    <xf numFmtId="10" fontId="0" fillId="0" borderId="0" xfId="0" applyNumberFormat="1" applyAlignment="1"/>
    <xf numFmtId="0" fontId="0" fillId="2" borderId="0" xfId="0" applyFill="1" applyAlignment="1"/>
    <xf numFmtId="9" fontId="0" fillId="2" borderId="0" xfId="0" applyNumberFormat="1" applyFill="1" applyAlignment="1"/>
    <xf numFmtId="10" fontId="3" fillId="0" borderId="0" xfId="1" applyNumberFormat="1" applyFont="1" applyAlignment="1"/>
    <xf numFmtId="0" fontId="3" fillId="0" borderId="0" xfId="0" applyFont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C21"/>
  <sheetViews>
    <sheetView tabSelected="1" workbookViewId="0">
      <selection activeCell="H9" sqref="H9"/>
    </sheetView>
  </sheetViews>
  <sheetFormatPr defaultRowHeight="13.8" x14ac:dyDescent="0.25"/>
  <cols>
    <col min="1" max="1" width="40.44140625" style="2" bestFit="1" customWidth="1"/>
    <col min="2" max="2" width="10.33203125" style="2" bestFit="1" customWidth="1"/>
    <col min="3" max="3" width="30.44140625" style="2" bestFit="1" customWidth="1"/>
  </cols>
  <sheetData>
    <row r="1" spans="1:3" ht="15.6" x14ac:dyDescent="0.35">
      <c r="A1" s="1" t="s">
        <v>0</v>
      </c>
      <c r="B1" s="7">
        <v>1.5</v>
      </c>
    </row>
    <row r="2" spans="1:3" ht="15.6" x14ac:dyDescent="0.35">
      <c r="A2" s="1" t="s">
        <v>1</v>
      </c>
      <c r="B2" s="7">
        <v>0.4</v>
      </c>
    </row>
    <row r="3" spans="1:3" ht="15.6" x14ac:dyDescent="0.35">
      <c r="A3" s="2" t="s">
        <v>2</v>
      </c>
      <c r="B3" s="8">
        <v>0.06</v>
      </c>
    </row>
    <row r="4" spans="1:3" ht="15.6" x14ac:dyDescent="0.35">
      <c r="A4" s="2" t="s">
        <v>3</v>
      </c>
      <c r="B4" s="8">
        <v>0.15</v>
      </c>
    </row>
    <row r="5" spans="1:3" ht="15.6" x14ac:dyDescent="0.35">
      <c r="A5" s="2" t="s">
        <v>4</v>
      </c>
      <c r="B5" s="8">
        <v>0.4</v>
      </c>
    </row>
    <row r="6" spans="1:3" x14ac:dyDescent="0.25">
      <c r="B6" s="3"/>
    </row>
    <row r="7" spans="1:3" x14ac:dyDescent="0.25">
      <c r="A7" s="4" t="s">
        <v>5</v>
      </c>
    </row>
    <row r="8" spans="1:3" x14ac:dyDescent="0.25">
      <c r="A8" s="2" t="s">
        <v>6</v>
      </c>
      <c r="B8" s="3">
        <v>0.4</v>
      </c>
    </row>
    <row r="9" spans="1:3" x14ac:dyDescent="0.25">
      <c r="A9" s="2" t="s">
        <v>7</v>
      </c>
      <c r="B9" s="3">
        <v>0.6</v>
      </c>
    </row>
    <row r="11" spans="1:3" x14ac:dyDescent="0.25">
      <c r="A11" s="4" t="s">
        <v>8</v>
      </c>
    </row>
    <row r="12" spans="1:3" x14ac:dyDescent="0.25">
      <c r="A12" s="2" t="s">
        <v>9</v>
      </c>
      <c r="B12" s="5">
        <f>B3+B1*(B4-B3)</f>
        <v>0.19500000000000001</v>
      </c>
      <c r="C12" s="2" t="str">
        <f ca="1">[1]!getformula(B12)</f>
        <v>&lt;--  =B3+B1*(B4-B3)</v>
      </c>
    </row>
    <row r="13" spans="1:3" x14ac:dyDescent="0.25">
      <c r="A13" s="2" t="s">
        <v>10</v>
      </c>
      <c r="B13" s="6">
        <f>B3*(1-B5)+B1*(B4-B3*(1-B5))</f>
        <v>0.20699999999999999</v>
      </c>
      <c r="C13" s="2" t="str">
        <f ca="1">[1]!getformula(B13)</f>
        <v>&lt;--  =B3*(1-B5)+B1*(B4-B3*(1-B5))</v>
      </c>
    </row>
    <row r="15" spans="1:3" x14ac:dyDescent="0.25">
      <c r="A15" s="4" t="s">
        <v>11</v>
      </c>
    </row>
    <row r="16" spans="1:3" x14ac:dyDescent="0.25">
      <c r="A16" s="2" t="s">
        <v>9</v>
      </c>
      <c r="B16" s="5">
        <f>B3+B2*(B4-B3)</f>
        <v>9.6000000000000002E-2</v>
      </c>
      <c r="C16" s="2" t="str">
        <f ca="1">[1]!getformula(B16)</f>
        <v>&lt;--  =B3+B2*(B4-B3)</v>
      </c>
    </row>
    <row r="17" spans="1:3" x14ac:dyDescent="0.25">
      <c r="A17" s="2" t="s">
        <v>10</v>
      </c>
      <c r="B17" s="9">
        <f>B3*(1-B5)+B2*(B4-B3*(1-B5))</f>
        <v>8.1600000000000006E-2</v>
      </c>
      <c r="C17" s="10" t="str">
        <f ca="1">[1]!getformula(B17)</f>
        <v>&lt;--  =B3*(1-B5)+B2*(B4-B3*(1-B5))</v>
      </c>
    </row>
    <row r="19" spans="1:3" x14ac:dyDescent="0.25">
      <c r="A19" s="4" t="s">
        <v>12</v>
      </c>
    </row>
    <row r="20" spans="1:3" x14ac:dyDescent="0.25">
      <c r="A20" s="2" t="s">
        <v>9</v>
      </c>
      <c r="B20" s="6">
        <f>B8*B12+B9*B16*(1-B5)</f>
        <v>0.11256000000000002</v>
      </c>
      <c r="C20" s="2" t="str">
        <f ca="1">[1]!getformula(B20)</f>
        <v>&lt;--  =B8*B12+B9*B16*(1-B5)</v>
      </c>
    </row>
    <row r="21" spans="1:3" x14ac:dyDescent="0.25">
      <c r="A21" s="2" t="s">
        <v>10</v>
      </c>
      <c r="B21" s="6">
        <f>B8*B13+B9*B17*(1-B5)</f>
        <v>0.112176</v>
      </c>
      <c r="C21" s="2" t="str">
        <f ca="1">[1]!getformula(B21)</f>
        <v>&lt;--  =B8*B13+B9*B17*(1-B5)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2024-10-11T05:59:59Z</dcterms:modified>
</cp:coreProperties>
</file>