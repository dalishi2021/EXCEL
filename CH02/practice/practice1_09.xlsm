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2\practice\"/>
    </mc:Choice>
  </mc:AlternateContent>
  <xr:revisionPtr revIDLastSave="0" documentId="13_ncr:1_{8BE73229-499B-485B-AD87-649BFA56E3A8}" xr6:coauthVersionLast="47" xr6:coauthVersionMax="47" xr10:uidLastSave="{00000000-0000-0000-0000-000000000000}"/>
  <bookViews>
    <workbookView xWindow="-108" yWindow="-108" windowWidth="23256" windowHeight="12456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B4" i="1"/>
  <c r="B6" i="1"/>
  <c r="B2" i="1"/>
  <c r="E16" i="1"/>
  <c r="F16" i="1"/>
  <c r="E17" i="1"/>
  <c r="F17" i="1"/>
  <c r="E18" i="1"/>
  <c r="F18" i="1"/>
  <c r="E19" i="1"/>
  <c r="F19" i="1"/>
  <c r="E20" i="1"/>
  <c r="F20" i="1"/>
  <c r="E21" i="1"/>
  <c r="F21" i="1"/>
  <c r="E22" i="1"/>
  <c r="F22" i="1"/>
  <c r="E23" i="1"/>
  <c r="F23" i="1"/>
  <c r="E24" i="1"/>
  <c r="F24" i="1"/>
  <c r="E25" i="1"/>
  <c r="F25" i="1"/>
  <c r="E26" i="1"/>
  <c r="F26" i="1"/>
  <c r="E27" i="1"/>
  <c r="F27" i="1"/>
  <c r="E28" i="1"/>
  <c r="F28" i="1"/>
  <c r="E29" i="1"/>
  <c r="F29" i="1"/>
  <c r="E30" i="1"/>
  <c r="F30" i="1"/>
  <c r="E31" i="1"/>
  <c r="F31" i="1"/>
  <c r="E32" i="1"/>
  <c r="F32" i="1"/>
  <c r="E33" i="1"/>
  <c r="F33" i="1"/>
  <c r="E34" i="1"/>
  <c r="F34" i="1"/>
  <c r="E35" i="1"/>
  <c r="F35" i="1"/>
  <c r="E36" i="1"/>
  <c r="F36" i="1"/>
  <c r="E37" i="1"/>
  <c r="F37" i="1"/>
  <c r="E38" i="1"/>
  <c r="F38" i="1"/>
  <c r="E39" i="1"/>
  <c r="F39" i="1"/>
  <c r="E40" i="1"/>
  <c r="F40" i="1"/>
  <c r="E41" i="1"/>
  <c r="F41" i="1"/>
  <c r="E42" i="1"/>
  <c r="F42" i="1"/>
  <c r="E43" i="1"/>
  <c r="F43" i="1"/>
  <c r="E44" i="1"/>
  <c r="F44" i="1"/>
  <c r="E45" i="1"/>
  <c r="F45" i="1"/>
  <c r="E46" i="1"/>
  <c r="F46" i="1"/>
  <c r="E47" i="1"/>
  <c r="F47" i="1"/>
  <c r="E48" i="1"/>
  <c r="F48" i="1"/>
  <c r="E49" i="1"/>
  <c r="F49" i="1"/>
  <c r="E50" i="1"/>
  <c r="F50" i="1"/>
  <c r="E51" i="1"/>
  <c r="F51" i="1"/>
  <c r="E52" i="1"/>
  <c r="F52" i="1"/>
  <c r="E53" i="1"/>
  <c r="F53" i="1"/>
  <c r="E54" i="1"/>
  <c r="F54" i="1"/>
  <c r="E55" i="1"/>
  <c r="F55" i="1"/>
  <c r="E56" i="1"/>
  <c r="F56" i="1"/>
  <c r="E57" i="1"/>
  <c r="F57" i="1"/>
  <c r="E58" i="1"/>
  <c r="F58" i="1"/>
  <c r="E59" i="1"/>
  <c r="F59" i="1"/>
  <c r="E60" i="1"/>
  <c r="F60" i="1"/>
  <c r="E61" i="1"/>
  <c r="F61" i="1"/>
  <c r="E62" i="1"/>
  <c r="F62" i="1"/>
  <c r="E63" i="1"/>
  <c r="F63" i="1"/>
  <c r="E64" i="1"/>
  <c r="F64" i="1"/>
  <c r="E65" i="1"/>
  <c r="F65" i="1"/>
  <c r="E66" i="1"/>
  <c r="F66" i="1"/>
  <c r="E67" i="1"/>
  <c r="F67" i="1"/>
  <c r="E68" i="1"/>
  <c r="F68" i="1"/>
  <c r="E69" i="1"/>
  <c r="F69" i="1"/>
  <c r="E70" i="1"/>
  <c r="F70" i="1"/>
  <c r="E71" i="1"/>
  <c r="F71" i="1"/>
  <c r="E72" i="1"/>
  <c r="F72" i="1"/>
  <c r="E73" i="1"/>
  <c r="F73" i="1"/>
  <c r="E74" i="1"/>
  <c r="F74" i="1"/>
  <c r="F15" i="1"/>
  <c r="E15" i="1"/>
  <c r="C5" i="1"/>
  <c r="G15" i="1"/>
  <c r="C8" i="1"/>
  <c r="C7" i="1"/>
  <c r="C4" i="1"/>
  <c r="B8" i="1"/>
  <c r="B7" i="1"/>
  <c r="C6" i="1"/>
  <c r="C2" i="1"/>
</calcChain>
</file>

<file path=xl/sharedStrings.xml><?xml version="1.0" encoding="utf-8"?>
<sst xmlns="http://schemas.openxmlformats.org/spreadsheetml/2006/main" count="16" uniqueCount="14">
  <si>
    <t>CISCO (CSCO) AND S&amp;P 500 PRICES
July 2002 - June 2007</t>
  </si>
  <si>
    <t>Date</t>
  </si>
  <si>
    <t>S&amp;P 500</t>
  </si>
  <si>
    <t>CSCO</t>
  </si>
  <si>
    <t>Alpha</t>
  </si>
  <si>
    <t>Beta</t>
  </si>
  <si>
    <r>
      <t xml:space="preserve">Using Excel's </t>
    </r>
    <r>
      <rPr>
        <b/>
        <sz val="10"/>
        <rFont val="Arial"/>
        <family val="2"/>
      </rPr>
      <t>slope</t>
    </r>
    <r>
      <rPr>
        <sz val="10"/>
        <rFont val="Arial"/>
        <family val="2"/>
      </rPr>
      <t xml:space="preserve"> function</t>
    </r>
  </si>
  <si>
    <t>Using Cov/Var</t>
  </si>
  <si>
    <t>R-squared</t>
  </si>
  <si>
    <t>t-statistic for alpha</t>
  </si>
  <si>
    <t>t-statistic for beta</t>
  </si>
  <si>
    <t>Returns</t>
  </si>
  <si>
    <r>
      <t xml:space="preserve">CISCO (CSCO) </t>
    </r>
    <r>
      <rPr>
        <b/>
        <sz val="24"/>
        <rFont val="Symbol"/>
        <family val="1"/>
        <charset val="2"/>
      </rPr>
      <t>a</t>
    </r>
    <r>
      <rPr>
        <b/>
        <sz val="24"/>
        <rFont val="Arial"/>
        <family val="2"/>
      </rPr>
      <t xml:space="preserve"> and </t>
    </r>
    <r>
      <rPr>
        <b/>
        <sz val="24"/>
        <rFont val="Symbol"/>
        <family val="1"/>
        <charset val="2"/>
      </rPr>
      <t>b</t>
    </r>
    <r>
      <rPr>
        <b/>
        <sz val="24"/>
        <rFont val="Arial"/>
        <family val="2"/>
      </rPr>
      <t xml:space="preserve">
July 2002 - June 2007</t>
    </r>
  </si>
  <si>
    <r>
      <rPr>
        <sz val="26"/>
        <rFont val="Arial"/>
        <family val="2"/>
      </rPr>
      <t>r</t>
    </r>
    <r>
      <rPr>
        <sz val="10"/>
        <rFont val="Arial"/>
        <family val="2"/>
      </rPr>
      <t>E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</si>
</sst>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9" formatCode="0.0000_ "/>
  </numFmts>
  <fonts count="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24"/>
      <name val="Arial"/>
      <family val="2"/>
    </font>
    <font>
      <b/>
      <sz val="24"/>
      <name val="Symbol"/>
      <family val="1"/>
      <charset val="2"/>
    </font>
    <font>
      <sz val="26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/>
    </xf>
    <xf numFmtId="2" fontId="0" fillId="0" borderId="0" xfId="0" applyNumberFormat="1" applyAlignment="1"/>
    <xf numFmtId="0" fontId="0" fillId="0" borderId="0" xfId="0" applyAlignment="1"/>
    <xf numFmtId="14" fontId="0" fillId="0" borderId="0" xfId="0" applyNumberFormat="1" applyAlignment="1">
      <alignment horizontal="center"/>
    </xf>
    <xf numFmtId="10" fontId="0" fillId="0" borderId="0" xfId="1" applyNumberFormat="1" applyFont="1">
      <alignment vertical="center"/>
    </xf>
    <xf numFmtId="0" fontId="5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 indent="1"/>
    </xf>
    <xf numFmtId="0" fontId="3" fillId="0" borderId="0" xfId="0" applyFont="1" applyAlignment="1">
      <alignment horizontal="center" vertical="center" wrapText="1"/>
    </xf>
    <xf numFmtId="0" fontId="5" fillId="2" borderId="0" xfId="0" applyFont="1" applyFill="1" applyAlignment="1">
      <alignment horizontal="center"/>
    </xf>
    <xf numFmtId="0" fontId="6" fillId="0" borderId="0" xfId="0" applyFont="1" applyAlignment="1">
      <alignment horizontal="center" vertical="center" wrapText="1"/>
    </xf>
    <xf numFmtId="179" fontId="0" fillId="0" borderId="0" xfId="0" applyNumberFormat="1" applyAlignment="1"/>
    <xf numFmtId="10" fontId="0" fillId="0" borderId="0" xfId="1" applyNumberFormat="1" applyFont="1" applyAlignment="1"/>
    <xf numFmtId="0" fontId="5" fillId="3" borderId="0" xfId="0" applyFont="1" applyFill="1" applyAlignment="1">
      <alignment horizontal="left" vertical="center" wrapText="1" indent="1"/>
    </xf>
    <xf numFmtId="179" fontId="0" fillId="3" borderId="0" xfId="0" applyNumberFormat="1" applyFill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400" b="1"/>
              <a:t>Regressing Cisco on S&amp;P 500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31750" cap="rnd">
                <a:solidFill>
                  <a:srgbClr val="000000"/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45947887894903189"/>
                  <c:y val="-0.11384584991392205"/>
                </c:manualLayout>
              </c:layout>
              <c:numFmt formatCode="General" sourceLinked="0"/>
              <c:spPr>
                <a:solidFill>
                  <a:schemeClr val="lt1"/>
                </a:solidFill>
                <a:ln w="12700" cap="flat" cmpd="sng" algn="ctr">
                  <a:noFill/>
                  <a:prstDash val="solid"/>
                  <a:miter lim="800000"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2000" b="0" i="0" u="none" strike="noStrike" kern="1200" baseline="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xVal>
            <c:numRef>
              <c:f>Sheet1!$E$15:$E$74</c:f>
              <c:numCache>
                <c:formatCode>0.00%</c:formatCode>
                <c:ptCount val="60"/>
                <c:pt idx="0">
                  <c:v>4.8695443903156652E-3</c:v>
                </c:pt>
                <c:pt idx="1">
                  <c:v>-0.11656116844786664</c:v>
                </c:pt>
                <c:pt idx="2">
                  <c:v>8.2914421028757151E-2</c:v>
                </c:pt>
                <c:pt idx="3">
                  <c:v>5.550058467611222E-2</c:v>
                </c:pt>
                <c:pt idx="4">
                  <c:v>-6.2229277129875436E-2</c:v>
                </c:pt>
                <c:pt idx="5">
                  <c:v>-2.7797493671422965E-2</c:v>
                </c:pt>
                <c:pt idx="6">
                  <c:v>-1.7149844258839787E-2</c:v>
                </c:pt>
                <c:pt idx="7">
                  <c:v>8.3228742528296627E-3</c:v>
                </c:pt>
                <c:pt idx="8">
                  <c:v>7.7927350029476733E-2</c:v>
                </c:pt>
                <c:pt idx="9">
                  <c:v>4.9645665489287727E-2</c:v>
                </c:pt>
                <c:pt idx="10">
                  <c:v>1.125862601085219E-2</c:v>
                </c:pt>
                <c:pt idx="11">
                  <c:v>1.6093506478773681E-2</c:v>
                </c:pt>
                <c:pt idx="12">
                  <c:v>1.7715343790636197E-2</c:v>
                </c:pt>
                <c:pt idx="13">
                  <c:v>-1.2016232567985653E-2</c:v>
                </c:pt>
                <c:pt idx="14">
                  <c:v>5.3504268464946513E-2</c:v>
                </c:pt>
                <c:pt idx="15">
                  <c:v>7.1032253560451564E-3</c:v>
                </c:pt>
                <c:pt idx="16">
                  <c:v>4.9518899306471208E-2</c:v>
                </c:pt>
                <c:pt idx="17">
                  <c:v>1.7128882262967212E-2</c:v>
                </c:pt>
                <c:pt idx="18">
                  <c:v>1.2135100829125884E-2</c:v>
                </c:pt>
                <c:pt idx="19">
                  <c:v>-1.6494220669989047E-2</c:v>
                </c:pt>
                <c:pt idx="20">
                  <c:v>-1.6933393494544095E-2</c:v>
                </c:pt>
                <c:pt idx="21">
                  <c:v>1.2011024205564368E-2</c:v>
                </c:pt>
                <c:pt idx="22">
                  <c:v>1.7829189249312503E-2</c:v>
                </c:pt>
                <c:pt idx="23">
                  <c:v>-3.4892238215330364E-2</c:v>
                </c:pt>
                <c:pt idx="24">
                  <c:v>2.284720571713859E-3</c:v>
                </c:pt>
                <c:pt idx="25">
                  <c:v>9.3203368022064838E-3</c:v>
                </c:pt>
                <c:pt idx="26">
                  <c:v>1.391695587821374E-2</c:v>
                </c:pt>
                <c:pt idx="27">
                  <c:v>3.7868779461133012E-2</c:v>
                </c:pt>
                <c:pt idx="28">
                  <c:v>3.1942491193192112E-2</c:v>
                </c:pt>
                <c:pt idx="29">
                  <c:v>-2.5615747968515911E-2</c:v>
                </c:pt>
                <c:pt idx="30">
                  <c:v>1.8726934874337724E-2</c:v>
                </c:pt>
                <c:pt idx="31">
                  <c:v>-1.930275225452871E-2</c:v>
                </c:pt>
                <c:pt idx="32">
                  <c:v>-2.031351934767037E-2</c:v>
                </c:pt>
                <c:pt idx="33">
                  <c:v>2.9512223385105795E-2</c:v>
                </c:pt>
                <c:pt idx="34">
                  <c:v>-1.4268747689802155E-4</c:v>
                </c:pt>
                <c:pt idx="35">
                  <c:v>3.5336451864729147E-2</c:v>
                </c:pt>
                <c:pt idx="36">
                  <c:v>-1.1285467972359155E-2</c:v>
                </c:pt>
                <c:pt idx="37">
                  <c:v>6.9249074268589216E-3</c:v>
                </c:pt>
                <c:pt idx="38">
                  <c:v>-1.7899994313773929E-2</c:v>
                </c:pt>
                <c:pt idx="39">
                  <c:v>3.4581237676988605E-2</c:v>
                </c:pt>
                <c:pt idx="40">
                  <c:v>-9.528500142413687E-4</c:v>
                </c:pt>
                <c:pt idx="41">
                  <c:v>2.5147961230518261E-2</c:v>
                </c:pt>
                <c:pt idx="42">
                  <c:v>4.529940641520396E-4</c:v>
                </c:pt>
                <c:pt idx="43">
                  <c:v>1.1034733969458945E-2</c:v>
                </c:pt>
                <c:pt idx="44">
                  <c:v>1.2082373675144375E-2</c:v>
                </c:pt>
                <c:pt idx="45">
                  <c:v>-3.1404913585891703E-2</c:v>
                </c:pt>
                <c:pt idx="46">
                  <c:v>8.6604285391806066E-5</c:v>
                </c:pt>
                <c:pt idx="47">
                  <c:v>5.072924191958309E-3</c:v>
                </c:pt>
                <c:pt idx="48">
                  <c:v>2.105112458799209E-2</c:v>
                </c:pt>
                <c:pt idx="49">
                  <c:v>2.4269376195304011E-2</c:v>
                </c:pt>
                <c:pt idx="50">
                  <c:v>3.1021836917226073E-2</c:v>
                </c:pt>
                <c:pt idx="51">
                  <c:v>1.6332505122359679E-2</c:v>
                </c:pt>
                <c:pt idx="52">
                  <c:v>1.2536835916847028E-2</c:v>
                </c:pt>
                <c:pt idx="53">
                  <c:v>1.3961172524527271E-2</c:v>
                </c:pt>
                <c:pt idx="54">
                  <c:v>-2.2088305664389823E-2</c:v>
                </c:pt>
                <c:pt idx="55">
                  <c:v>9.9304839152859412E-3</c:v>
                </c:pt>
                <c:pt idx="56">
                  <c:v>4.2379836237605301E-2</c:v>
                </c:pt>
                <c:pt idx="57">
                  <c:v>3.2030723748061214E-2</c:v>
                </c:pt>
                <c:pt idx="58">
                  <c:v>-1.8229731587722845E-2</c:v>
                </c:pt>
                <c:pt idx="59">
                  <c:v>1.0892114036310005E-2</c:v>
                </c:pt>
              </c:numCache>
            </c:numRef>
          </c:xVal>
          <c:yVal>
            <c:numRef>
              <c:f>Sheet1!$F$15:$F$74</c:f>
              <c:numCache>
                <c:formatCode>0.00%</c:formatCode>
                <c:ptCount val="60"/>
                <c:pt idx="0">
                  <c:v>4.6657851610300713E-2</c:v>
                </c:pt>
                <c:pt idx="1">
                  <c:v>-0.27664813944662769</c:v>
                </c:pt>
                <c:pt idx="2">
                  <c:v>6.4657788834056915E-2</c:v>
                </c:pt>
                <c:pt idx="3">
                  <c:v>0.28857612704866176</c:v>
                </c:pt>
                <c:pt idx="4">
                  <c:v>-0.13009036456850889</c:v>
                </c:pt>
                <c:pt idx="5">
                  <c:v>2.0401160906745996E-2</c:v>
                </c:pt>
                <c:pt idx="6">
                  <c:v>4.4614345691812426E-2</c:v>
                </c:pt>
                <c:pt idx="7">
                  <c:v>-7.4218025529720219E-2</c:v>
                </c:pt>
                <c:pt idx="8">
                  <c:v>0.14464048982626604</c:v>
                </c:pt>
                <c:pt idx="9">
                  <c:v>8.9840703999789537E-2</c:v>
                </c:pt>
                <c:pt idx="10">
                  <c:v>2.2892565987449841E-2</c:v>
                </c:pt>
                <c:pt idx="11">
                  <c:v>0.14911804243001994</c:v>
                </c:pt>
                <c:pt idx="12">
                  <c:v>-1.8121127494661146E-2</c:v>
                </c:pt>
                <c:pt idx="13">
                  <c:v>2.3238845931641137E-2</c:v>
                </c:pt>
                <c:pt idx="14">
                  <c:v>6.616430450145902E-2</c:v>
                </c:pt>
                <c:pt idx="15">
                  <c:v>8.1181388029448548E-2</c:v>
                </c:pt>
                <c:pt idx="16">
                  <c:v>6.5226610341077462E-2</c:v>
                </c:pt>
                <c:pt idx="17">
                  <c:v>5.928848644936386E-2</c:v>
                </c:pt>
                <c:pt idx="18">
                  <c:v>-0.10445336857300365</c:v>
                </c:pt>
                <c:pt idx="19">
                  <c:v>1.7548064243245242E-2</c:v>
                </c:pt>
                <c:pt idx="20">
                  <c:v>-0.11974720350749753</c:v>
                </c:pt>
                <c:pt idx="21">
                  <c:v>6.7493262061496029E-2</c:v>
                </c:pt>
                <c:pt idx="22">
                  <c:v>5.7754272639047269E-2</c:v>
                </c:pt>
                <c:pt idx="23">
                  <c:v>-0.12476940894436327</c:v>
                </c:pt>
                <c:pt idx="24">
                  <c:v>-0.1089786956186435</c:v>
                </c:pt>
                <c:pt idx="25">
                  <c:v>-3.5815005306298608E-2</c:v>
                </c:pt>
                <c:pt idx="26">
                  <c:v>5.9519038508685083E-2</c:v>
                </c:pt>
                <c:pt idx="27">
                  <c:v>-2.4237224364045545E-2</c:v>
                </c:pt>
                <c:pt idx="28">
                  <c:v>2.9947076367952099E-2</c:v>
                </c:pt>
                <c:pt idx="29">
                  <c:v>-6.854931414989443E-2</c:v>
                </c:pt>
                <c:pt idx="30">
                  <c:v>-3.4972543210120687E-2</c:v>
                </c:pt>
                <c:pt idx="31">
                  <c:v>2.6622926096270923E-2</c:v>
                </c:pt>
                <c:pt idx="32">
                  <c:v>-3.5271005362040593E-2</c:v>
                </c:pt>
                <c:pt idx="33">
                  <c:v>0.11630217391069511</c:v>
                </c:pt>
                <c:pt idx="34">
                  <c:v>-1.6632400049142033E-2</c:v>
                </c:pt>
                <c:pt idx="35">
                  <c:v>3.6620496065146203E-3</c:v>
                </c:pt>
                <c:pt idx="36">
                  <c:v>-8.3268095118621446E-2</c:v>
                </c:pt>
                <c:pt idx="37">
                  <c:v>1.6882787038750936E-2</c:v>
                </c:pt>
                <c:pt idx="38">
                  <c:v>-2.6577758898348389E-2</c:v>
                </c:pt>
                <c:pt idx="39">
                  <c:v>5.1443382956007132E-3</c:v>
                </c:pt>
                <c:pt idx="40">
                  <c:v>-2.4236616230440881E-2</c:v>
                </c:pt>
                <c:pt idx="41">
                  <c:v>8.1300004651018276E-2</c:v>
                </c:pt>
                <c:pt idx="42">
                  <c:v>8.6113469054650296E-2</c:v>
                </c:pt>
                <c:pt idx="43">
                  <c:v>6.8267971129003083E-2</c:v>
                </c:pt>
                <c:pt idx="44">
                  <c:v>-3.3790169180121059E-2</c:v>
                </c:pt>
                <c:pt idx="45">
                  <c:v>-6.2535754744039371E-2</c:v>
                </c:pt>
                <c:pt idx="46">
                  <c:v>-7.6511467355197503E-3</c:v>
                </c:pt>
                <c:pt idx="47">
                  <c:v>-8.8268975143219602E-2</c:v>
                </c:pt>
                <c:pt idx="48">
                  <c:v>0.20690503482130165</c:v>
                </c:pt>
                <c:pt idx="49">
                  <c:v>4.4036467853939901E-2</c:v>
                </c:pt>
                <c:pt idx="50">
                  <c:v>4.8831607216330751E-2</c:v>
                </c:pt>
                <c:pt idx="51">
                  <c:v>0.10904208510187403</c:v>
                </c:pt>
                <c:pt idx="52">
                  <c:v>1.548703520116212E-2</c:v>
                </c:pt>
                <c:pt idx="53">
                  <c:v>-2.6322186973010985E-2</c:v>
                </c:pt>
                <c:pt idx="54">
                  <c:v>-2.5876634078667714E-2</c:v>
                </c:pt>
                <c:pt idx="55">
                  <c:v>-1.5931947634905349E-2</c:v>
                </c:pt>
                <c:pt idx="56">
                  <c:v>4.630634042040456E-2</c:v>
                </c:pt>
                <c:pt idx="57">
                  <c:v>6.7089331027300608E-3</c:v>
                </c:pt>
                <c:pt idx="58">
                  <c:v>3.3963461596765852E-2</c:v>
                </c:pt>
                <c:pt idx="59">
                  <c:v>1.4352352661045887E-3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DB-4EF7-AEBC-1D25B2F52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3865736"/>
        <c:axId val="1073871856"/>
      </c:scatterChart>
      <c:valAx>
        <c:axId val="10738657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 b="1"/>
                  <a:t>S&amp;P 500</a:t>
                </a:r>
                <a:endParaRPr lang="zh-CN" altLang="en-US" b="1"/>
              </a:p>
            </c:rich>
          </c:tx>
          <c:layout>
            <c:manualLayout>
              <c:xMode val="edge"/>
              <c:yMode val="edge"/>
              <c:x val="0.79096034134476645"/>
              <c:y val="0.671863799283153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73871856"/>
        <c:crosses val="autoZero"/>
        <c:crossBetween val="midCat"/>
      </c:valAx>
      <c:valAx>
        <c:axId val="10738718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600" b="1"/>
                  <a:t>Cisco</a:t>
                </a:r>
                <a:endParaRPr lang="zh-CN" altLang="en-US" sz="1600" b="1"/>
              </a:p>
            </c:rich>
          </c:tx>
          <c:layout>
            <c:manualLayout>
              <c:xMode val="edge"/>
              <c:yMode val="edge"/>
              <c:x val="0.43630017452006981"/>
              <c:y val="0.2665681709141196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73865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571500</xdr:colOff>
      <xdr:row>0</xdr:row>
      <xdr:rowOff>327660</xdr:rowOff>
    </xdr:from>
    <xdr:to>
      <xdr:col>17</xdr:col>
      <xdr:colOff>297180</xdr:colOff>
      <xdr:row>18</xdr:row>
      <xdr:rowOff>144780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EC1D20F3-560F-4715-95E7-995DF724A5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02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0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tintercept"/>
      <definedName name="tslope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"/>
      <sheetName val="Exercise 1 (中文)"/>
      <sheetName val="Exercise 2"/>
      <sheetName val="Exercise 2 (中文)"/>
      <sheetName val="Exercise 3"/>
      <sheetName val="Exercise 3 (中文)"/>
      <sheetName val="Exercise 4"/>
      <sheetName val="Exercise 4 (中文)"/>
      <sheetName val="Exercise 5"/>
      <sheetName val="Exercise 5 (中文)"/>
      <sheetName val="Exercise 6"/>
      <sheetName val="Exercise 6 (中文)"/>
      <sheetName val="Exercise 7"/>
      <sheetName val="Exercise 7 (中文)"/>
      <sheetName val="Exercise 8"/>
      <sheetName val="Exercise 8 (中文)"/>
      <sheetName val="Exercise 9 template"/>
      <sheetName val="Exercise 9"/>
      <sheetName val="Exercise 9 (中文)"/>
      <sheetName val="Excercise 10"/>
      <sheetName val="Excercise 10 (中文)"/>
      <sheetName val="Exercise 11 template"/>
      <sheetName val="Exercise 11"/>
      <sheetName val="Exercise 11 (中文)"/>
      <sheetName val="Exercise 12 template"/>
      <sheetName val="Exercise 12"/>
      <sheetName val="Exercise 12 (中文)"/>
      <sheetName val="Exercise 13"/>
      <sheetName val="Exercise 13 (中文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13">
          <cell r="E13">
            <v>4.8695443903156652E-3</v>
          </cell>
          <cell r="F13">
            <v>4.6657851610300713E-2</v>
          </cell>
        </row>
        <row r="14">
          <cell r="E14">
            <v>-0.11656116844786664</v>
          </cell>
          <cell r="F14">
            <v>-0.27664813944662769</v>
          </cell>
        </row>
        <row r="15">
          <cell r="E15">
            <v>8.2914421028757151E-2</v>
          </cell>
          <cell r="F15">
            <v>6.4657788834056915E-2</v>
          </cell>
        </row>
        <row r="16">
          <cell r="E16">
            <v>5.550058467611222E-2</v>
          </cell>
          <cell r="F16">
            <v>0.28857612704866176</v>
          </cell>
        </row>
        <row r="17">
          <cell r="E17">
            <v>-6.2229277129875436E-2</v>
          </cell>
          <cell r="F17">
            <v>-0.13009036456850889</v>
          </cell>
        </row>
        <row r="18">
          <cell r="E18">
            <v>-2.7797493671422965E-2</v>
          </cell>
          <cell r="F18">
            <v>2.0401160906745996E-2</v>
          </cell>
        </row>
        <row r="19">
          <cell r="E19">
            <v>-1.7149844258839787E-2</v>
          </cell>
          <cell r="F19">
            <v>4.4614345691812426E-2</v>
          </cell>
        </row>
        <row r="20">
          <cell r="E20">
            <v>8.3228742528296627E-3</v>
          </cell>
          <cell r="F20">
            <v>-7.4218025529720219E-2</v>
          </cell>
        </row>
        <row r="21">
          <cell r="E21">
            <v>7.7927350029476733E-2</v>
          </cell>
          <cell r="F21">
            <v>0.14464048982626604</v>
          </cell>
        </row>
        <row r="22">
          <cell r="E22">
            <v>4.9645665489287727E-2</v>
          </cell>
          <cell r="F22">
            <v>8.9840703999789537E-2</v>
          </cell>
        </row>
        <row r="23">
          <cell r="E23">
            <v>1.125862601085219E-2</v>
          </cell>
          <cell r="F23">
            <v>2.2892565987449841E-2</v>
          </cell>
        </row>
        <row r="24">
          <cell r="E24">
            <v>1.6093506478773681E-2</v>
          </cell>
          <cell r="F24">
            <v>0.14911804243001994</v>
          </cell>
        </row>
        <row r="25">
          <cell r="E25">
            <v>1.7715343790636197E-2</v>
          </cell>
          <cell r="F25">
            <v>-1.8121127494661146E-2</v>
          </cell>
        </row>
        <row r="26">
          <cell r="E26">
            <v>-1.2016232567985653E-2</v>
          </cell>
          <cell r="F26">
            <v>2.3238845931641137E-2</v>
          </cell>
        </row>
        <row r="27">
          <cell r="E27">
            <v>5.3504268464946513E-2</v>
          </cell>
          <cell r="F27">
            <v>6.616430450145902E-2</v>
          </cell>
        </row>
        <row r="28">
          <cell r="E28">
            <v>7.1032253560451564E-3</v>
          </cell>
          <cell r="F28">
            <v>8.1181388029448548E-2</v>
          </cell>
        </row>
        <row r="29">
          <cell r="E29">
            <v>4.9518899306471208E-2</v>
          </cell>
          <cell r="F29">
            <v>6.5226610341077462E-2</v>
          </cell>
        </row>
        <row r="30">
          <cell r="E30">
            <v>1.7128882262967212E-2</v>
          </cell>
          <cell r="F30">
            <v>5.928848644936386E-2</v>
          </cell>
        </row>
        <row r="31">
          <cell r="E31">
            <v>1.2135100829125884E-2</v>
          </cell>
          <cell r="F31">
            <v>-0.10445336857300365</v>
          </cell>
        </row>
        <row r="32">
          <cell r="E32">
            <v>-1.6494220669989047E-2</v>
          </cell>
          <cell r="F32">
            <v>1.7548064243245242E-2</v>
          </cell>
        </row>
        <row r="33">
          <cell r="E33">
            <v>-1.6933393494544095E-2</v>
          </cell>
          <cell r="F33">
            <v>-0.11974720350749753</v>
          </cell>
        </row>
        <row r="34">
          <cell r="E34">
            <v>1.2011024205564368E-2</v>
          </cell>
          <cell r="F34">
            <v>6.7493262061496029E-2</v>
          </cell>
        </row>
        <row r="35">
          <cell r="E35">
            <v>1.7829189249312503E-2</v>
          </cell>
          <cell r="F35">
            <v>5.7754272639047269E-2</v>
          </cell>
        </row>
        <row r="36">
          <cell r="E36">
            <v>-3.4892238215330364E-2</v>
          </cell>
          <cell r="F36">
            <v>-0.12476940894436327</v>
          </cell>
        </row>
        <row r="37">
          <cell r="E37">
            <v>2.284720571713859E-3</v>
          </cell>
          <cell r="F37">
            <v>-0.1089786956186435</v>
          </cell>
        </row>
        <row r="38">
          <cell r="E38">
            <v>9.3203368022064838E-3</v>
          </cell>
          <cell r="F38">
            <v>-3.5815005306298608E-2</v>
          </cell>
        </row>
        <row r="39">
          <cell r="E39">
            <v>1.391695587821374E-2</v>
          </cell>
          <cell r="F39">
            <v>5.9519038508685083E-2</v>
          </cell>
        </row>
        <row r="40">
          <cell r="E40">
            <v>3.7868779461133012E-2</v>
          </cell>
          <cell r="F40">
            <v>-2.4237224364045545E-2</v>
          </cell>
        </row>
        <row r="41">
          <cell r="E41">
            <v>3.1942491193192112E-2</v>
          </cell>
          <cell r="F41">
            <v>2.9947076367952099E-2</v>
          </cell>
        </row>
        <row r="42">
          <cell r="E42">
            <v>-2.5615747968515911E-2</v>
          </cell>
          <cell r="F42">
            <v>-6.854931414989443E-2</v>
          </cell>
        </row>
        <row r="43">
          <cell r="E43">
            <v>1.8726934874337724E-2</v>
          </cell>
          <cell r="F43">
            <v>-3.4972543210120687E-2</v>
          </cell>
        </row>
        <row r="44">
          <cell r="E44">
            <v>-1.930275225452871E-2</v>
          </cell>
          <cell r="F44">
            <v>2.6622926096270923E-2</v>
          </cell>
        </row>
        <row r="45">
          <cell r="E45">
            <v>-2.031351934767037E-2</v>
          </cell>
          <cell r="F45">
            <v>-3.5271005362040593E-2</v>
          </cell>
        </row>
        <row r="46">
          <cell r="E46">
            <v>2.9512223385105795E-2</v>
          </cell>
          <cell r="F46">
            <v>0.11630217391069511</v>
          </cell>
        </row>
        <row r="47">
          <cell r="E47">
            <v>-1.4268747689802155E-4</v>
          </cell>
          <cell r="F47">
            <v>-1.6632400049142033E-2</v>
          </cell>
        </row>
        <row r="48">
          <cell r="E48">
            <v>3.5336451864729147E-2</v>
          </cell>
          <cell r="F48">
            <v>3.6620496065146203E-3</v>
          </cell>
        </row>
        <row r="49">
          <cell r="E49">
            <v>-1.1285467972359155E-2</v>
          </cell>
          <cell r="F49">
            <v>-8.3268095118621446E-2</v>
          </cell>
        </row>
        <row r="50">
          <cell r="E50">
            <v>6.9249074268589216E-3</v>
          </cell>
          <cell r="F50">
            <v>1.6882787038750936E-2</v>
          </cell>
        </row>
        <row r="51">
          <cell r="E51">
            <v>-1.7899994313773929E-2</v>
          </cell>
          <cell r="F51">
            <v>-2.6577758898348389E-2</v>
          </cell>
        </row>
        <row r="52">
          <cell r="E52">
            <v>3.4581237676988605E-2</v>
          </cell>
          <cell r="F52">
            <v>5.1443382956007132E-3</v>
          </cell>
        </row>
        <row r="53">
          <cell r="E53">
            <v>-9.528500142413687E-4</v>
          </cell>
          <cell r="F53">
            <v>-2.4236616230440881E-2</v>
          </cell>
        </row>
        <row r="54">
          <cell r="E54">
            <v>2.5147961230518261E-2</v>
          </cell>
          <cell r="F54">
            <v>8.1300004651018276E-2</v>
          </cell>
        </row>
        <row r="55">
          <cell r="E55">
            <v>4.529940641520396E-4</v>
          </cell>
          <cell r="F55">
            <v>8.6113469054650296E-2</v>
          </cell>
        </row>
        <row r="56">
          <cell r="E56">
            <v>1.1034733969458945E-2</v>
          </cell>
          <cell r="F56">
            <v>6.8267971129003083E-2</v>
          </cell>
        </row>
        <row r="57">
          <cell r="E57">
            <v>1.2082373675144375E-2</v>
          </cell>
          <cell r="F57">
            <v>-3.3790169180121059E-2</v>
          </cell>
        </row>
        <row r="58">
          <cell r="E58">
            <v>-3.1404913585891703E-2</v>
          </cell>
          <cell r="F58">
            <v>-6.2535754744039371E-2</v>
          </cell>
        </row>
        <row r="59">
          <cell r="E59">
            <v>8.6604285391806066E-5</v>
          </cell>
          <cell r="F59">
            <v>-7.6511467355197503E-3</v>
          </cell>
        </row>
        <row r="60">
          <cell r="E60">
            <v>5.072924191958309E-3</v>
          </cell>
          <cell r="F60">
            <v>-8.8268975143219602E-2</v>
          </cell>
        </row>
        <row r="61">
          <cell r="E61">
            <v>2.105112458799209E-2</v>
          </cell>
          <cell r="F61">
            <v>0.20690503482130165</v>
          </cell>
        </row>
        <row r="62">
          <cell r="E62">
            <v>2.4269376195304011E-2</v>
          </cell>
          <cell r="F62">
            <v>4.4036467853939901E-2</v>
          </cell>
        </row>
        <row r="63">
          <cell r="E63">
            <v>3.1021836917226073E-2</v>
          </cell>
          <cell r="F63">
            <v>4.8831607216330751E-2</v>
          </cell>
        </row>
        <row r="64">
          <cell r="E64">
            <v>1.6332505122359679E-2</v>
          </cell>
          <cell r="F64">
            <v>0.10904208510187403</v>
          </cell>
        </row>
        <row r="65">
          <cell r="E65">
            <v>1.2536835916847028E-2</v>
          </cell>
          <cell r="F65">
            <v>1.548703520116212E-2</v>
          </cell>
        </row>
        <row r="66">
          <cell r="E66">
            <v>1.3961172524527271E-2</v>
          </cell>
          <cell r="F66">
            <v>-2.6322186973010985E-2</v>
          </cell>
        </row>
        <row r="67">
          <cell r="E67">
            <v>-2.2088305664389823E-2</v>
          </cell>
          <cell r="F67">
            <v>-2.5876634078667714E-2</v>
          </cell>
        </row>
        <row r="68">
          <cell r="E68">
            <v>9.9304839152859412E-3</v>
          </cell>
          <cell r="F68">
            <v>-1.5931947634905349E-2</v>
          </cell>
        </row>
        <row r="69">
          <cell r="E69">
            <v>4.2379836237605301E-2</v>
          </cell>
          <cell r="F69">
            <v>4.630634042040456E-2</v>
          </cell>
        </row>
        <row r="70">
          <cell r="E70">
            <v>3.2030723748061214E-2</v>
          </cell>
          <cell r="F70">
            <v>6.7089331027300608E-3</v>
          </cell>
        </row>
        <row r="71">
          <cell r="E71">
            <v>-1.8229731587722845E-2</v>
          </cell>
          <cell r="F71">
            <v>3.3963461596765852E-2</v>
          </cell>
        </row>
        <row r="72">
          <cell r="E72">
            <v>1.0892114036310005E-2</v>
          </cell>
          <cell r="F72">
            <v>1.4352352661045887E-3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G74"/>
  <sheetViews>
    <sheetView tabSelected="1" workbookViewId="0">
      <selection activeCell="F10" sqref="F10"/>
    </sheetView>
  </sheetViews>
  <sheetFormatPr defaultRowHeight="13.8" x14ac:dyDescent="0.25"/>
  <cols>
    <col min="1" max="1" width="25.33203125" style="4" customWidth="1"/>
    <col min="2" max="2" width="19.88671875" style="4" bestFit="1" customWidth="1"/>
    <col min="3" max="4" width="8.88671875" style="4"/>
  </cols>
  <sheetData>
    <row r="1" spans="1:7" ht="30" x14ac:dyDescent="0.25">
      <c r="A1" s="11" t="s">
        <v>12</v>
      </c>
      <c r="B1" s="11"/>
      <c r="C1" s="11"/>
      <c r="D1" s="11"/>
      <c r="E1" s="11"/>
      <c r="F1" s="11"/>
      <c r="G1" s="11"/>
    </row>
    <row r="2" spans="1:7" x14ac:dyDescent="0.25">
      <c r="A2" s="7" t="s">
        <v>4</v>
      </c>
      <c r="B2" s="12">
        <f>INTERCEPT(F15:F74,E15:E74)</f>
        <v>-3.2420973877597247E-3</v>
      </c>
      <c r="C2" s="4" t="str">
        <f ca="1">[1]!getformula(B2)</f>
        <v>&lt;--  =INTERCEPT(F15:F74,E15:E74)</v>
      </c>
    </row>
    <row r="3" spans="1:7" x14ac:dyDescent="0.25">
      <c r="A3" s="7" t="s">
        <v>5</v>
      </c>
    </row>
    <row r="4" spans="1:7" x14ac:dyDescent="0.25">
      <c r="A4" s="8" t="s">
        <v>6</v>
      </c>
      <c r="B4" s="12">
        <f>SLOPE(F15:F74,E15:E74)</f>
        <v>1.8465364006956511</v>
      </c>
      <c r="C4" s="4" t="str">
        <f ca="1">[1]!getformula(B4)</f>
        <v>&lt;--  =SLOPE(F15:F74,E15:E74)</v>
      </c>
    </row>
    <row r="5" spans="1:7" x14ac:dyDescent="0.25">
      <c r="A5" s="14" t="s">
        <v>7</v>
      </c>
      <c r="B5" s="15">
        <f>_xlfn.COVARIANCE.S(E15:E74,F15:F74)/_xlfn.VAR.S(E15:E74)</f>
        <v>1.8465364006956502</v>
      </c>
      <c r="C5" s="4" t="str">
        <f ca="1">[1]!getformula(B5)</f>
        <v>&lt;--  =COVARIANCE.S(E15:E74,F15:F74)/VAR.S(E15:E74)</v>
      </c>
    </row>
    <row r="6" spans="1:7" x14ac:dyDescent="0.25">
      <c r="A6" s="7" t="s">
        <v>8</v>
      </c>
      <c r="B6" s="13">
        <f>RSQ(F15:F74,E15:E74)</f>
        <v>0.44604975960715848</v>
      </c>
      <c r="C6" s="4" t="str">
        <f ca="1">[1]!getformula(B6)</f>
        <v>&lt;--  =RSQ(F15:F74,E15:E74)</v>
      </c>
    </row>
    <row r="7" spans="1:7" ht="26.4" x14ac:dyDescent="0.25">
      <c r="A7" s="7" t="s">
        <v>9</v>
      </c>
      <c r="B7" s="12">
        <f>[1]!tintercept(F15:F74,E15:E74)</f>
        <v>-0.37108992903232468</v>
      </c>
      <c r="C7" s="4" t="str">
        <f ca="1">[1]!getformula(B7)</f>
        <v>&lt;--  =tintercept(F15:F74,E15:E74)</v>
      </c>
    </row>
    <row r="8" spans="1:7" ht="26.4" x14ac:dyDescent="0.25">
      <c r="A8" s="7" t="s">
        <v>10</v>
      </c>
      <c r="B8" s="12">
        <f>[1]!tslope(F15:F74,E15:E74)</f>
        <v>6.8339260348395143</v>
      </c>
      <c r="C8" s="4" t="str">
        <f ca="1">[1]!getformula(B8)</f>
        <v>&lt;--  =tslope(F15:F74,E15:E74)</v>
      </c>
    </row>
    <row r="10" spans="1:7" ht="32.4" x14ac:dyDescent="0.25">
      <c r="A10" s="7" t="s">
        <v>13</v>
      </c>
    </row>
    <row r="12" spans="1:7" ht="17.399999999999999" x14ac:dyDescent="0.25">
      <c r="A12" s="1" t="s">
        <v>0</v>
      </c>
      <c r="B12" s="1"/>
      <c r="C12" s="1"/>
      <c r="D12" s="9"/>
      <c r="E12" s="10" t="s">
        <v>11</v>
      </c>
      <c r="F12" s="10"/>
    </row>
    <row r="13" spans="1:7" x14ac:dyDescent="0.25">
      <c r="A13" s="2" t="s">
        <v>1</v>
      </c>
      <c r="B13" s="2" t="s">
        <v>2</v>
      </c>
      <c r="C13" s="2" t="s">
        <v>3</v>
      </c>
      <c r="D13" s="2"/>
      <c r="E13" s="2" t="s">
        <v>2</v>
      </c>
      <c r="F13" s="2" t="s">
        <v>3</v>
      </c>
    </row>
    <row r="14" spans="1:7" x14ac:dyDescent="0.25">
      <c r="A14" s="5">
        <v>37440</v>
      </c>
      <c r="B14" s="3">
        <v>911.62</v>
      </c>
      <c r="C14" s="3">
        <v>13.19</v>
      </c>
      <c r="D14" s="3"/>
    </row>
    <row r="15" spans="1:7" x14ac:dyDescent="0.25">
      <c r="A15" s="5">
        <v>37469</v>
      </c>
      <c r="B15" s="3">
        <v>916.07</v>
      </c>
      <c r="C15" s="3">
        <v>13.82</v>
      </c>
      <c r="D15" s="3"/>
      <c r="E15" s="6">
        <f>LN(B15/B14)</f>
        <v>4.8695443903156652E-3</v>
      </c>
      <c r="F15" s="6">
        <f>LN(C15/C14)</f>
        <v>4.6657851610300713E-2</v>
      </c>
      <c r="G15" t="str">
        <f ca="1">[1]!getformula(F15)</f>
        <v>&lt;--  =LN(C15/C14)</v>
      </c>
    </row>
    <row r="16" spans="1:7" x14ac:dyDescent="0.25">
      <c r="A16" s="5">
        <v>37502</v>
      </c>
      <c r="B16" s="3">
        <v>815.28</v>
      </c>
      <c r="C16" s="3">
        <v>10.48</v>
      </c>
      <c r="D16" s="3"/>
      <c r="E16" s="6">
        <f t="shared" ref="E16:E74" si="0">LN(B16/B15)</f>
        <v>-0.11656116844786664</v>
      </c>
      <c r="F16" s="6">
        <f t="shared" ref="F16:F74" si="1">LN(C16/C15)</f>
        <v>-0.27664813944662769</v>
      </c>
    </row>
    <row r="17" spans="1:6" x14ac:dyDescent="0.25">
      <c r="A17" s="5">
        <v>37530</v>
      </c>
      <c r="B17" s="3">
        <v>885.76</v>
      </c>
      <c r="C17" s="3">
        <v>11.18</v>
      </c>
      <c r="D17" s="3"/>
      <c r="E17" s="6">
        <f t="shared" si="0"/>
        <v>8.2914421028757151E-2</v>
      </c>
      <c r="F17" s="6">
        <f t="shared" si="1"/>
        <v>6.4657788834056915E-2</v>
      </c>
    </row>
    <row r="18" spans="1:6" x14ac:dyDescent="0.25">
      <c r="A18" s="5">
        <v>37561</v>
      </c>
      <c r="B18" s="3">
        <v>936.31</v>
      </c>
      <c r="C18" s="3">
        <v>14.92</v>
      </c>
      <c r="D18" s="3"/>
      <c r="E18" s="6">
        <f t="shared" si="0"/>
        <v>5.550058467611222E-2</v>
      </c>
      <c r="F18" s="6">
        <f t="shared" si="1"/>
        <v>0.28857612704866176</v>
      </c>
    </row>
    <row r="19" spans="1:6" x14ac:dyDescent="0.25">
      <c r="A19" s="5">
        <v>37592</v>
      </c>
      <c r="B19" s="3">
        <v>879.82</v>
      </c>
      <c r="C19" s="3">
        <v>13.1</v>
      </c>
      <c r="D19" s="3"/>
      <c r="E19" s="6">
        <f t="shared" si="0"/>
        <v>-6.2229277129875436E-2</v>
      </c>
      <c r="F19" s="6">
        <f t="shared" si="1"/>
        <v>-0.13009036456850889</v>
      </c>
    </row>
    <row r="20" spans="1:6" x14ac:dyDescent="0.25">
      <c r="A20" s="5">
        <v>37623</v>
      </c>
      <c r="B20" s="3">
        <v>855.7</v>
      </c>
      <c r="C20" s="3">
        <v>13.37</v>
      </c>
      <c r="D20" s="3"/>
      <c r="E20" s="6">
        <f t="shared" si="0"/>
        <v>-2.7797493671422965E-2</v>
      </c>
      <c r="F20" s="6">
        <f t="shared" si="1"/>
        <v>2.0401160906745996E-2</v>
      </c>
    </row>
    <row r="21" spans="1:6" x14ac:dyDescent="0.25">
      <c r="A21" s="5">
        <v>37655</v>
      </c>
      <c r="B21" s="3">
        <v>841.15</v>
      </c>
      <c r="C21" s="3">
        <v>13.98</v>
      </c>
      <c r="D21" s="3"/>
      <c r="E21" s="6">
        <f t="shared" si="0"/>
        <v>-1.7149844258839787E-2</v>
      </c>
      <c r="F21" s="6">
        <f t="shared" si="1"/>
        <v>4.4614345691812426E-2</v>
      </c>
    </row>
    <row r="22" spans="1:6" x14ac:dyDescent="0.25">
      <c r="A22" s="5">
        <v>37683</v>
      </c>
      <c r="B22" s="3">
        <v>848.18</v>
      </c>
      <c r="C22" s="3">
        <v>12.98</v>
      </c>
      <c r="D22" s="3"/>
      <c r="E22" s="6">
        <f t="shared" si="0"/>
        <v>8.3228742528296627E-3</v>
      </c>
      <c r="F22" s="6">
        <f t="shared" si="1"/>
        <v>-7.4218025529720219E-2</v>
      </c>
    </row>
    <row r="23" spans="1:6" x14ac:dyDescent="0.25">
      <c r="A23" s="5">
        <v>37712</v>
      </c>
      <c r="B23" s="3">
        <v>916.92</v>
      </c>
      <c r="C23" s="3">
        <v>15</v>
      </c>
      <c r="D23" s="3"/>
      <c r="E23" s="6">
        <f t="shared" si="0"/>
        <v>7.7927350029476733E-2</v>
      </c>
      <c r="F23" s="6">
        <f t="shared" si="1"/>
        <v>0.14464048982626604</v>
      </c>
    </row>
    <row r="24" spans="1:6" x14ac:dyDescent="0.25">
      <c r="A24" s="5">
        <v>37742</v>
      </c>
      <c r="B24" s="3">
        <v>963.59</v>
      </c>
      <c r="C24" s="3">
        <v>16.41</v>
      </c>
      <c r="D24" s="3"/>
      <c r="E24" s="6">
        <f t="shared" si="0"/>
        <v>4.9645665489287727E-2</v>
      </c>
      <c r="F24" s="6">
        <f t="shared" si="1"/>
        <v>8.9840703999789537E-2</v>
      </c>
    </row>
    <row r="25" spans="1:6" x14ac:dyDescent="0.25">
      <c r="A25" s="5">
        <v>37774</v>
      </c>
      <c r="B25" s="3">
        <v>974.5</v>
      </c>
      <c r="C25" s="3">
        <v>16.79</v>
      </c>
      <c r="D25" s="3"/>
      <c r="E25" s="6">
        <f t="shared" si="0"/>
        <v>1.125862601085219E-2</v>
      </c>
      <c r="F25" s="6">
        <f t="shared" si="1"/>
        <v>2.2892565987449841E-2</v>
      </c>
    </row>
    <row r="26" spans="1:6" x14ac:dyDescent="0.25">
      <c r="A26" s="5">
        <v>37803</v>
      </c>
      <c r="B26" s="3">
        <v>990.31</v>
      </c>
      <c r="C26" s="3">
        <v>19.489999999999998</v>
      </c>
      <c r="D26" s="3"/>
      <c r="E26" s="6">
        <f t="shared" si="0"/>
        <v>1.6093506478773681E-2</v>
      </c>
      <c r="F26" s="6">
        <f t="shared" si="1"/>
        <v>0.14911804243001994</v>
      </c>
    </row>
    <row r="27" spans="1:6" x14ac:dyDescent="0.25">
      <c r="A27" s="5">
        <v>37834</v>
      </c>
      <c r="B27" s="3">
        <v>1008.01</v>
      </c>
      <c r="C27" s="3">
        <v>19.14</v>
      </c>
      <c r="D27" s="3"/>
      <c r="E27" s="6">
        <f t="shared" si="0"/>
        <v>1.7715343790636197E-2</v>
      </c>
      <c r="F27" s="6">
        <f t="shared" si="1"/>
        <v>-1.8121127494661146E-2</v>
      </c>
    </row>
    <row r="28" spans="1:6" x14ac:dyDescent="0.25">
      <c r="A28" s="5">
        <v>37866</v>
      </c>
      <c r="B28" s="3">
        <v>995.97</v>
      </c>
      <c r="C28" s="3">
        <v>19.59</v>
      </c>
      <c r="D28" s="3"/>
      <c r="E28" s="6">
        <f t="shared" si="0"/>
        <v>-1.2016232567985653E-2</v>
      </c>
      <c r="F28" s="6">
        <f t="shared" si="1"/>
        <v>2.3238845931641137E-2</v>
      </c>
    </row>
    <row r="29" spans="1:6" x14ac:dyDescent="0.25">
      <c r="A29" s="5">
        <v>37895</v>
      </c>
      <c r="B29" s="3">
        <v>1050.71</v>
      </c>
      <c r="C29" s="3">
        <v>20.93</v>
      </c>
      <c r="D29" s="3"/>
      <c r="E29" s="6">
        <f t="shared" si="0"/>
        <v>5.3504268464946513E-2</v>
      </c>
      <c r="F29" s="6">
        <f t="shared" si="1"/>
        <v>6.616430450145902E-2</v>
      </c>
    </row>
    <row r="30" spans="1:6" x14ac:dyDescent="0.25">
      <c r="A30" s="5">
        <v>37928</v>
      </c>
      <c r="B30" s="3">
        <v>1058.2</v>
      </c>
      <c r="C30" s="3">
        <v>22.7</v>
      </c>
      <c r="D30" s="3"/>
      <c r="E30" s="6">
        <f t="shared" si="0"/>
        <v>7.1032253560451564E-3</v>
      </c>
      <c r="F30" s="6">
        <f t="shared" si="1"/>
        <v>8.1181388029448548E-2</v>
      </c>
    </row>
    <row r="31" spans="1:6" x14ac:dyDescent="0.25">
      <c r="A31" s="5">
        <v>37956</v>
      </c>
      <c r="B31" s="3">
        <v>1111.92</v>
      </c>
      <c r="C31" s="3">
        <v>24.23</v>
      </c>
      <c r="D31" s="3"/>
      <c r="E31" s="6">
        <f t="shared" si="0"/>
        <v>4.9518899306471208E-2</v>
      </c>
      <c r="F31" s="6">
        <f t="shared" si="1"/>
        <v>6.5226610341077462E-2</v>
      </c>
    </row>
    <row r="32" spans="1:6" x14ac:dyDescent="0.25">
      <c r="A32" s="5">
        <v>37988</v>
      </c>
      <c r="B32" s="3">
        <v>1131.1300000000001</v>
      </c>
      <c r="C32" s="3">
        <v>25.71</v>
      </c>
      <c r="D32" s="3"/>
      <c r="E32" s="6">
        <f t="shared" si="0"/>
        <v>1.7128882262967212E-2</v>
      </c>
      <c r="F32" s="6">
        <f t="shared" si="1"/>
        <v>5.928848644936386E-2</v>
      </c>
    </row>
    <row r="33" spans="1:6" x14ac:dyDescent="0.25">
      <c r="A33" s="5">
        <v>38019</v>
      </c>
      <c r="B33" s="3">
        <v>1144.94</v>
      </c>
      <c r="C33" s="3">
        <v>23.16</v>
      </c>
      <c r="D33" s="3"/>
      <c r="E33" s="6">
        <f t="shared" si="0"/>
        <v>1.2135100829125884E-2</v>
      </c>
      <c r="F33" s="6">
        <f t="shared" si="1"/>
        <v>-0.10445336857300365</v>
      </c>
    </row>
    <row r="34" spans="1:6" x14ac:dyDescent="0.25">
      <c r="A34" s="5">
        <v>38047</v>
      </c>
      <c r="B34" s="3">
        <v>1126.21</v>
      </c>
      <c r="C34" s="3">
        <v>23.57</v>
      </c>
      <c r="D34" s="3"/>
      <c r="E34" s="6">
        <f t="shared" si="0"/>
        <v>-1.6494220669989047E-2</v>
      </c>
      <c r="F34" s="6">
        <f t="shared" si="1"/>
        <v>1.7548064243245242E-2</v>
      </c>
    </row>
    <row r="35" spans="1:6" x14ac:dyDescent="0.25">
      <c r="A35" s="5">
        <v>38078</v>
      </c>
      <c r="B35" s="3">
        <v>1107.3</v>
      </c>
      <c r="C35" s="3">
        <v>20.91</v>
      </c>
      <c r="D35" s="3"/>
      <c r="E35" s="6">
        <f t="shared" si="0"/>
        <v>-1.6933393494544095E-2</v>
      </c>
      <c r="F35" s="6">
        <f t="shared" si="1"/>
        <v>-0.11974720350749753</v>
      </c>
    </row>
    <row r="36" spans="1:6" x14ac:dyDescent="0.25">
      <c r="A36" s="5">
        <v>38110</v>
      </c>
      <c r="B36" s="3">
        <v>1120.68</v>
      </c>
      <c r="C36" s="3">
        <v>22.37</v>
      </c>
      <c r="D36" s="3"/>
      <c r="E36" s="6">
        <f t="shared" si="0"/>
        <v>1.2011024205564368E-2</v>
      </c>
      <c r="F36" s="6">
        <f t="shared" si="1"/>
        <v>6.7493262061496029E-2</v>
      </c>
    </row>
    <row r="37" spans="1:6" x14ac:dyDescent="0.25">
      <c r="A37" s="5">
        <v>38139</v>
      </c>
      <c r="B37" s="3">
        <v>1140.8399999999999</v>
      </c>
      <c r="C37" s="3">
        <v>23.7</v>
      </c>
      <c r="D37" s="3"/>
      <c r="E37" s="6">
        <f t="shared" si="0"/>
        <v>1.7829189249312503E-2</v>
      </c>
      <c r="F37" s="6">
        <f t="shared" si="1"/>
        <v>5.7754272639047269E-2</v>
      </c>
    </row>
    <row r="38" spans="1:6" x14ac:dyDescent="0.25">
      <c r="A38" s="5">
        <v>38169</v>
      </c>
      <c r="B38" s="3">
        <v>1101.72</v>
      </c>
      <c r="C38" s="3">
        <v>20.92</v>
      </c>
      <c r="D38" s="3"/>
      <c r="E38" s="6">
        <f t="shared" si="0"/>
        <v>-3.4892238215330364E-2</v>
      </c>
      <c r="F38" s="6">
        <f t="shared" si="1"/>
        <v>-0.12476940894436327</v>
      </c>
    </row>
    <row r="39" spans="1:6" x14ac:dyDescent="0.25">
      <c r="A39" s="5">
        <v>38201</v>
      </c>
      <c r="B39" s="3">
        <v>1104.24</v>
      </c>
      <c r="C39" s="3">
        <v>18.760000000000002</v>
      </c>
      <c r="D39" s="3"/>
      <c r="E39" s="6">
        <f t="shared" si="0"/>
        <v>2.284720571713859E-3</v>
      </c>
      <c r="F39" s="6">
        <f t="shared" si="1"/>
        <v>-0.1089786956186435</v>
      </c>
    </row>
    <row r="40" spans="1:6" x14ac:dyDescent="0.25">
      <c r="A40" s="5">
        <v>38231</v>
      </c>
      <c r="B40" s="3">
        <v>1114.58</v>
      </c>
      <c r="C40" s="3">
        <v>18.100000000000001</v>
      </c>
      <c r="D40" s="3"/>
      <c r="E40" s="6">
        <f t="shared" si="0"/>
        <v>9.3203368022064838E-3</v>
      </c>
      <c r="F40" s="6">
        <f t="shared" si="1"/>
        <v>-3.5815005306298608E-2</v>
      </c>
    </row>
    <row r="41" spans="1:6" x14ac:dyDescent="0.25">
      <c r="A41" s="5">
        <v>38261</v>
      </c>
      <c r="B41" s="3">
        <v>1130.2</v>
      </c>
      <c r="C41" s="3">
        <v>19.21</v>
      </c>
      <c r="D41" s="3"/>
      <c r="E41" s="6">
        <f t="shared" si="0"/>
        <v>1.391695587821374E-2</v>
      </c>
      <c r="F41" s="6">
        <f t="shared" si="1"/>
        <v>5.9519038508685083E-2</v>
      </c>
    </row>
    <row r="42" spans="1:6" x14ac:dyDescent="0.25">
      <c r="A42" s="5">
        <v>38292</v>
      </c>
      <c r="B42" s="3">
        <v>1173.82</v>
      </c>
      <c r="C42" s="3">
        <v>18.75</v>
      </c>
      <c r="D42" s="3"/>
      <c r="E42" s="6">
        <f t="shared" si="0"/>
        <v>3.7868779461133012E-2</v>
      </c>
      <c r="F42" s="6">
        <f t="shared" si="1"/>
        <v>-2.4237224364045545E-2</v>
      </c>
    </row>
    <row r="43" spans="1:6" x14ac:dyDescent="0.25">
      <c r="A43" s="5">
        <v>38322</v>
      </c>
      <c r="B43" s="3">
        <v>1211.92</v>
      </c>
      <c r="C43" s="3">
        <v>19.32</v>
      </c>
      <c r="D43" s="3"/>
      <c r="E43" s="6">
        <f t="shared" si="0"/>
        <v>3.1942491193192112E-2</v>
      </c>
      <c r="F43" s="6">
        <f t="shared" si="1"/>
        <v>2.9947076367952099E-2</v>
      </c>
    </row>
    <row r="44" spans="1:6" x14ac:dyDescent="0.25">
      <c r="A44" s="5">
        <v>38355</v>
      </c>
      <c r="B44" s="3">
        <v>1181.27</v>
      </c>
      <c r="C44" s="3">
        <v>18.04</v>
      </c>
      <c r="D44" s="3"/>
      <c r="E44" s="6">
        <f t="shared" si="0"/>
        <v>-2.5615747968515911E-2</v>
      </c>
      <c r="F44" s="6">
        <f t="shared" si="1"/>
        <v>-6.854931414989443E-2</v>
      </c>
    </row>
    <row r="45" spans="1:6" x14ac:dyDescent="0.25">
      <c r="A45" s="5">
        <v>38384</v>
      </c>
      <c r="B45" s="3">
        <v>1203.5999999999999</v>
      </c>
      <c r="C45" s="3">
        <v>17.420000000000002</v>
      </c>
      <c r="D45" s="3"/>
      <c r="E45" s="6">
        <f t="shared" si="0"/>
        <v>1.8726934874337724E-2</v>
      </c>
      <c r="F45" s="6">
        <f t="shared" si="1"/>
        <v>-3.4972543210120687E-2</v>
      </c>
    </row>
    <row r="46" spans="1:6" x14ac:dyDescent="0.25">
      <c r="A46" s="5">
        <v>38412</v>
      </c>
      <c r="B46" s="3">
        <v>1180.5899999999999</v>
      </c>
      <c r="C46" s="3">
        <v>17.89</v>
      </c>
      <c r="D46" s="3"/>
      <c r="E46" s="6">
        <f t="shared" si="0"/>
        <v>-1.930275225452871E-2</v>
      </c>
      <c r="F46" s="6">
        <f t="shared" si="1"/>
        <v>2.6622926096270923E-2</v>
      </c>
    </row>
    <row r="47" spans="1:6" x14ac:dyDescent="0.25">
      <c r="A47" s="5">
        <v>38443</v>
      </c>
      <c r="B47" s="3">
        <v>1156.8499999999999</v>
      </c>
      <c r="C47" s="3">
        <v>17.27</v>
      </c>
      <c r="D47" s="3"/>
      <c r="E47" s="6">
        <f t="shared" si="0"/>
        <v>-2.031351934767037E-2</v>
      </c>
      <c r="F47" s="6">
        <f t="shared" si="1"/>
        <v>-3.5271005362040593E-2</v>
      </c>
    </row>
    <row r="48" spans="1:6" x14ac:dyDescent="0.25">
      <c r="A48" s="5">
        <v>38474</v>
      </c>
      <c r="B48" s="3">
        <v>1191.5</v>
      </c>
      <c r="C48" s="3">
        <v>19.399999999999999</v>
      </c>
      <c r="D48" s="3"/>
      <c r="E48" s="6">
        <f t="shared" si="0"/>
        <v>2.9512223385105795E-2</v>
      </c>
      <c r="F48" s="6">
        <f t="shared" si="1"/>
        <v>0.11630217391069511</v>
      </c>
    </row>
    <row r="49" spans="1:6" x14ac:dyDescent="0.25">
      <c r="A49" s="5">
        <v>38504</v>
      </c>
      <c r="B49" s="3">
        <v>1191.33</v>
      </c>
      <c r="C49" s="3">
        <v>19.079999999999998</v>
      </c>
      <c r="D49" s="3"/>
      <c r="E49" s="6">
        <f t="shared" si="0"/>
        <v>-1.4268747689802155E-4</v>
      </c>
      <c r="F49" s="6">
        <f t="shared" si="1"/>
        <v>-1.6632400049142033E-2</v>
      </c>
    </row>
    <row r="50" spans="1:6" x14ac:dyDescent="0.25">
      <c r="A50" s="5">
        <v>38534</v>
      </c>
      <c r="B50" s="3">
        <v>1234.18</v>
      </c>
      <c r="C50" s="3">
        <v>19.149999999999999</v>
      </c>
      <c r="D50" s="3"/>
      <c r="E50" s="6">
        <f t="shared" si="0"/>
        <v>3.5336451864729147E-2</v>
      </c>
      <c r="F50" s="6">
        <f t="shared" si="1"/>
        <v>3.6620496065146203E-3</v>
      </c>
    </row>
    <row r="51" spans="1:6" x14ac:dyDescent="0.25">
      <c r="A51" s="5">
        <v>38565</v>
      </c>
      <c r="B51" s="3">
        <v>1220.33</v>
      </c>
      <c r="C51" s="3">
        <v>17.62</v>
      </c>
      <c r="D51" s="3"/>
      <c r="E51" s="6">
        <f t="shared" si="0"/>
        <v>-1.1285467972359155E-2</v>
      </c>
      <c r="F51" s="6">
        <f t="shared" si="1"/>
        <v>-8.3268095118621446E-2</v>
      </c>
    </row>
    <row r="52" spans="1:6" x14ac:dyDescent="0.25">
      <c r="A52" s="5">
        <v>38596</v>
      </c>
      <c r="B52" s="3">
        <v>1228.81</v>
      </c>
      <c r="C52" s="3">
        <v>17.920000000000002</v>
      </c>
      <c r="D52" s="3"/>
      <c r="E52" s="6">
        <f t="shared" si="0"/>
        <v>6.9249074268589216E-3</v>
      </c>
      <c r="F52" s="6">
        <f t="shared" si="1"/>
        <v>1.6882787038750936E-2</v>
      </c>
    </row>
    <row r="53" spans="1:6" x14ac:dyDescent="0.25">
      <c r="A53" s="5">
        <v>38628</v>
      </c>
      <c r="B53" s="3">
        <v>1207.01</v>
      </c>
      <c r="C53" s="3">
        <v>17.45</v>
      </c>
      <c r="D53" s="3"/>
      <c r="E53" s="6">
        <f t="shared" si="0"/>
        <v>-1.7899994313773929E-2</v>
      </c>
      <c r="F53" s="6">
        <f t="shared" si="1"/>
        <v>-2.6577758898348389E-2</v>
      </c>
    </row>
    <row r="54" spans="1:6" x14ac:dyDescent="0.25">
      <c r="A54" s="5">
        <v>38657</v>
      </c>
      <c r="B54" s="3">
        <v>1249.48</v>
      </c>
      <c r="C54" s="3">
        <v>17.54</v>
      </c>
      <c r="D54" s="3"/>
      <c r="E54" s="6">
        <f t="shared" si="0"/>
        <v>3.4581237676988605E-2</v>
      </c>
      <c r="F54" s="6">
        <f t="shared" si="1"/>
        <v>5.1443382956007132E-3</v>
      </c>
    </row>
    <row r="55" spans="1:6" x14ac:dyDescent="0.25">
      <c r="A55" s="5">
        <v>38687</v>
      </c>
      <c r="B55" s="3">
        <v>1248.29</v>
      </c>
      <c r="C55" s="3">
        <v>17.12</v>
      </c>
      <c r="D55" s="3"/>
      <c r="E55" s="6">
        <f t="shared" si="0"/>
        <v>-9.528500142413687E-4</v>
      </c>
      <c r="F55" s="6">
        <f t="shared" si="1"/>
        <v>-2.4236616230440881E-2</v>
      </c>
    </row>
    <row r="56" spans="1:6" x14ac:dyDescent="0.25">
      <c r="A56" s="5">
        <v>38720</v>
      </c>
      <c r="B56" s="3">
        <v>1280.08</v>
      </c>
      <c r="C56" s="3">
        <v>18.57</v>
      </c>
      <c r="D56" s="3"/>
      <c r="E56" s="6">
        <f t="shared" si="0"/>
        <v>2.5147961230518261E-2</v>
      </c>
      <c r="F56" s="6">
        <f t="shared" si="1"/>
        <v>8.1300004651018276E-2</v>
      </c>
    </row>
    <row r="57" spans="1:6" x14ac:dyDescent="0.25">
      <c r="A57" s="5">
        <v>38749</v>
      </c>
      <c r="B57" s="3">
        <v>1280.6600000000001</v>
      </c>
      <c r="C57" s="3">
        <v>20.239999999999998</v>
      </c>
      <c r="D57" s="3"/>
      <c r="E57" s="6">
        <f t="shared" si="0"/>
        <v>4.529940641520396E-4</v>
      </c>
      <c r="F57" s="6">
        <f t="shared" si="1"/>
        <v>8.6113469054650296E-2</v>
      </c>
    </row>
    <row r="58" spans="1:6" x14ac:dyDescent="0.25">
      <c r="A58" s="5">
        <v>38777</v>
      </c>
      <c r="B58" s="3">
        <v>1294.8699999999999</v>
      </c>
      <c r="C58" s="3">
        <v>21.67</v>
      </c>
      <c r="D58" s="3"/>
      <c r="E58" s="6">
        <f t="shared" si="0"/>
        <v>1.1034733969458945E-2</v>
      </c>
      <c r="F58" s="6">
        <f t="shared" si="1"/>
        <v>6.8267971129003083E-2</v>
      </c>
    </row>
    <row r="59" spans="1:6" x14ac:dyDescent="0.25">
      <c r="A59" s="5">
        <v>38810</v>
      </c>
      <c r="B59" s="3">
        <v>1310.6099999999999</v>
      </c>
      <c r="C59" s="3">
        <v>20.95</v>
      </c>
      <c r="D59" s="3"/>
      <c r="E59" s="6">
        <f t="shared" si="0"/>
        <v>1.2082373675144375E-2</v>
      </c>
      <c r="F59" s="6">
        <f t="shared" si="1"/>
        <v>-3.3790169180121059E-2</v>
      </c>
    </row>
    <row r="60" spans="1:6" x14ac:dyDescent="0.25">
      <c r="A60" s="5">
        <v>38838</v>
      </c>
      <c r="B60" s="3">
        <v>1270.0899999999999</v>
      </c>
      <c r="C60" s="3">
        <v>19.68</v>
      </c>
      <c r="D60" s="3"/>
      <c r="E60" s="6">
        <f t="shared" si="0"/>
        <v>-3.1404913585891703E-2</v>
      </c>
      <c r="F60" s="6">
        <f t="shared" si="1"/>
        <v>-6.2535754744039371E-2</v>
      </c>
    </row>
    <row r="61" spans="1:6" x14ac:dyDescent="0.25">
      <c r="A61" s="5">
        <v>38869</v>
      </c>
      <c r="B61" s="3">
        <v>1270.2</v>
      </c>
      <c r="C61" s="3">
        <v>19.53</v>
      </c>
      <c r="D61" s="3"/>
      <c r="E61" s="6">
        <f t="shared" si="0"/>
        <v>8.6604285391806066E-5</v>
      </c>
      <c r="F61" s="6">
        <f t="shared" si="1"/>
        <v>-7.6511467355197503E-3</v>
      </c>
    </row>
    <row r="62" spans="1:6" x14ac:dyDescent="0.25">
      <c r="A62" s="5">
        <v>38901</v>
      </c>
      <c r="B62" s="3">
        <v>1276.6600000000001</v>
      </c>
      <c r="C62" s="3">
        <v>17.88</v>
      </c>
      <c r="D62" s="3"/>
      <c r="E62" s="6">
        <f t="shared" si="0"/>
        <v>5.072924191958309E-3</v>
      </c>
      <c r="F62" s="6">
        <f t="shared" si="1"/>
        <v>-8.8268975143219602E-2</v>
      </c>
    </row>
    <row r="63" spans="1:6" x14ac:dyDescent="0.25">
      <c r="A63" s="5">
        <v>38930</v>
      </c>
      <c r="B63" s="3">
        <v>1303.82</v>
      </c>
      <c r="C63" s="3">
        <v>21.99</v>
      </c>
      <c r="D63" s="3"/>
      <c r="E63" s="6">
        <f t="shared" si="0"/>
        <v>2.105112458799209E-2</v>
      </c>
      <c r="F63" s="6">
        <f t="shared" si="1"/>
        <v>0.20690503482130165</v>
      </c>
    </row>
    <row r="64" spans="1:6" x14ac:dyDescent="0.25">
      <c r="A64" s="5">
        <v>38961</v>
      </c>
      <c r="B64" s="3">
        <v>1335.85</v>
      </c>
      <c r="C64" s="3">
        <v>22.98</v>
      </c>
      <c r="D64" s="3"/>
      <c r="E64" s="6">
        <f t="shared" si="0"/>
        <v>2.4269376195304011E-2</v>
      </c>
      <c r="F64" s="6">
        <f t="shared" si="1"/>
        <v>4.4036467853939901E-2</v>
      </c>
    </row>
    <row r="65" spans="1:6" x14ac:dyDescent="0.25">
      <c r="A65" s="5">
        <v>38992</v>
      </c>
      <c r="B65" s="3">
        <v>1377.94</v>
      </c>
      <c r="C65" s="3">
        <v>24.13</v>
      </c>
      <c r="D65" s="3"/>
      <c r="E65" s="6">
        <f t="shared" si="0"/>
        <v>3.1021836917226073E-2</v>
      </c>
      <c r="F65" s="6">
        <f t="shared" si="1"/>
        <v>4.8831607216330751E-2</v>
      </c>
    </row>
    <row r="66" spans="1:6" x14ac:dyDescent="0.25">
      <c r="A66" s="5">
        <v>39022</v>
      </c>
      <c r="B66" s="3">
        <v>1400.63</v>
      </c>
      <c r="C66" s="3">
        <v>26.91</v>
      </c>
      <c r="D66" s="3"/>
      <c r="E66" s="6">
        <f t="shared" si="0"/>
        <v>1.6332505122359679E-2</v>
      </c>
      <c r="F66" s="6">
        <f t="shared" si="1"/>
        <v>0.10904208510187403</v>
      </c>
    </row>
    <row r="67" spans="1:6" x14ac:dyDescent="0.25">
      <c r="A67" s="5">
        <v>39052</v>
      </c>
      <c r="B67" s="3">
        <v>1418.3</v>
      </c>
      <c r="C67" s="3">
        <v>27.33</v>
      </c>
      <c r="D67" s="3"/>
      <c r="E67" s="6">
        <f t="shared" si="0"/>
        <v>1.2536835916847028E-2</v>
      </c>
      <c r="F67" s="6">
        <f t="shared" si="1"/>
        <v>1.548703520116212E-2</v>
      </c>
    </row>
    <row r="68" spans="1:6" x14ac:dyDescent="0.25">
      <c r="A68" s="5">
        <v>39085</v>
      </c>
      <c r="B68" s="3">
        <v>1438.24</v>
      </c>
      <c r="C68" s="3">
        <v>26.62</v>
      </c>
      <c r="D68" s="3"/>
      <c r="E68" s="6">
        <f t="shared" si="0"/>
        <v>1.3961172524527271E-2</v>
      </c>
      <c r="F68" s="6">
        <f t="shared" si="1"/>
        <v>-2.6322186973010985E-2</v>
      </c>
    </row>
    <row r="69" spans="1:6" x14ac:dyDescent="0.25">
      <c r="A69" s="5">
        <v>39114</v>
      </c>
      <c r="B69" s="3">
        <v>1406.82</v>
      </c>
      <c r="C69" s="3">
        <v>25.94</v>
      </c>
      <c r="D69" s="3"/>
      <c r="E69" s="6">
        <f t="shared" si="0"/>
        <v>-2.2088305664389823E-2</v>
      </c>
      <c r="F69" s="6">
        <f t="shared" si="1"/>
        <v>-2.5876634078667714E-2</v>
      </c>
    </row>
    <row r="70" spans="1:6" x14ac:dyDescent="0.25">
      <c r="A70" s="5">
        <v>39142</v>
      </c>
      <c r="B70" s="3">
        <v>1420.86</v>
      </c>
      <c r="C70" s="3">
        <v>25.53</v>
      </c>
      <c r="D70" s="3"/>
      <c r="E70" s="6">
        <f t="shared" si="0"/>
        <v>9.9304839152859412E-3</v>
      </c>
      <c r="F70" s="6">
        <f t="shared" si="1"/>
        <v>-1.5931947634905349E-2</v>
      </c>
    </row>
    <row r="71" spans="1:6" x14ac:dyDescent="0.25">
      <c r="A71" s="5">
        <v>39174</v>
      </c>
      <c r="B71" s="3">
        <v>1482.37</v>
      </c>
      <c r="C71" s="3">
        <v>26.74</v>
      </c>
      <c r="D71" s="3"/>
      <c r="E71" s="6">
        <f t="shared" si="0"/>
        <v>4.2379836237605301E-2</v>
      </c>
      <c r="F71" s="6">
        <f t="shared" si="1"/>
        <v>4.630634042040456E-2</v>
      </c>
    </row>
    <row r="72" spans="1:6" x14ac:dyDescent="0.25">
      <c r="A72" s="5">
        <v>39203</v>
      </c>
      <c r="B72" s="3">
        <v>1530.62</v>
      </c>
      <c r="C72" s="3">
        <v>26.92</v>
      </c>
      <c r="D72" s="3"/>
      <c r="E72" s="6">
        <f t="shared" si="0"/>
        <v>3.2030723748061214E-2</v>
      </c>
      <c r="F72" s="6">
        <f t="shared" si="1"/>
        <v>6.7089331027300608E-3</v>
      </c>
    </row>
    <row r="73" spans="1:6" x14ac:dyDescent="0.25">
      <c r="A73" s="5">
        <v>39234</v>
      </c>
      <c r="B73" s="3">
        <v>1502.97</v>
      </c>
      <c r="C73" s="3">
        <v>27.85</v>
      </c>
      <c r="D73" s="3"/>
      <c r="E73" s="6">
        <f t="shared" si="0"/>
        <v>-1.8229731587722845E-2</v>
      </c>
      <c r="F73" s="6">
        <f t="shared" si="1"/>
        <v>3.3963461596765852E-2</v>
      </c>
    </row>
    <row r="74" spans="1:6" x14ac:dyDescent="0.25">
      <c r="A74" s="5">
        <v>39265</v>
      </c>
      <c r="B74" s="3">
        <v>1519.43</v>
      </c>
      <c r="C74" s="3">
        <v>27.89</v>
      </c>
      <c r="D74" s="3"/>
      <c r="E74" s="6">
        <f t="shared" si="0"/>
        <v>1.0892114036310005E-2</v>
      </c>
      <c r="F74" s="6">
        <f t="shared" si="1"/>
        <v>1.4352352661045887E-3</v>
      </c>
    </row>
  </sheetData>
  <mergeCells count="3">
    <mergeCell ref="A12:C12"/>
    <mergeCell ref="E12:F12"/>
    <mergeCell ref="A1:G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2024-10-11T11:25:29Z</dcterms:modified>
</cp:coreProperties>
</file>