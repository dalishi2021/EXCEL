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DC75F910-7042-4E04-AFBB-B9E3C03F2CB3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" l="1"/>
  <c r="C32" i="1"/>
  <c r="C30" i="1"/>
  <c r="C29" i="1"/>
  <c r="C24" i="1"/>
  <c r="C23" i="1"/>
  <c r="D15" i="1"/>
  <c r="D5" i="1"/>
  <c r="D6" i="1"/>
  <c r="D7" i="1"/>
  <c r="D8" i="1"/>
  <c r="D9" i="1"/>
  <c r="D10" i="1"/>
  <c r="D11" i="1"/>
  <c r="D12" i="1"/>
  <c r="D13" i="1"/>
  <c r="D4" i="1"/>
  <c r="B4" i="1"/>
  <c r="D33" i="1"/>
  <c r="D32" i="1"/>
  <c r="D30" i="1"/>
  <c r="D29" i="1"/>
  <c r="D24" i="1"/>
  <c r="D23" i="1"/>
  <c r="E16" i="1"/>
  <c r="E15" i="1"/>
  <c r="D16" i="1"/>
</calcChain>
</file>

<file path=xl/sharedStrings.xml><?xml version="1.0" encoding="utf-8"?>
<sst xmlns="http://schemas.openxmlformats.org/spreadsheetml/2006/main" count="21" uniqueCount="21">
  <si>
    <t>NORMAL AMERICA, INC.</t>
  </si>
  <si>
    <t>Year</t>
  </si>
  <si>
    <t>Dec. 31 stock price</t>
  </si>
  <si>
    <t>Dec. 15 dividend per share</t>
  </si>
  <si>
    <t>S&amp;P 500 return</t>
  </si>
  <si>
    <t>NA return</t>
    <phoneticPr fontId="1" type="noConversion"/>
  </si>
  <si>
    <t>Beta</t>
  </si>
  <si>
    <t>Significant?</t>
  </si>
  <si>
    <t>Cost of equity</t>
  </si>
  <si>
    <r>
      <t>Risk-free rate, r</t>
    </r>
    <r>
      <rPr>
        <vertAlign val="subscript"/>
        <sz val="10"/>
        <rFont val="Arial"/>
        <family val="2"/>
      </rPr>
      <t>f</t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</si>
  <si>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1"/>
        <color theme="1"/>
        <rFont val="等线"/>
        <family val="2"/>
        <charset val="134"/>
        <scheme val="minor"/>
      </rPr>
      <t>)</t>
    </r>
  </si>
  <si>
    <r>
      <t>Corporate tax rate, T</t>
    </r>
    <r>
      <rPr>
        <vertAlign val="subscript"/>
        <sz val="10"/>
        <rFont val="Arial"/>
        <family val="2"/>
      </rPr>
      <t>C</t>
    </r>
  </si>
  <si>
    <r>
      <t>r</t>
    </r>
    <r>
      <rPr>
        <vertAlign val="subscript"/>
        <sz val="10"/>
        <rFont val="Arial"/>
        <family val="2"/>
      </rPr>
      <t>E</t>
    </r>
    <r>
      <rPr>
        <sz val="11"/>
        <color theme="1"/>
        <rFont val="等线"/>
        <family val="2"/>
        <charset val="134"/>
        <scheme val="minor"/>
      </rPr>
      <t>, classic CAPM</t>
    </r>
  </si>
  <si>
    <r>
      <t>r</t>
    </r>
    <r>
      <rPr>
        <vertAlign val="subscript"/>
        <sz val="10"/>
        <rFont val="Arial"/>
        <family val="2"/>
      </rPr>
      <t>E</t>
    </r>
    <r>
      <rPr>
        <sz val="11"/>
        <color theme="1"/>
        <rFont val="等线"/>
        <family val="2"/>
        <charset val="134"/>
        <scheme val="minor"/>
      </rPr>
      <t>, tax-adjusted CAPM</t>
    </r>
  </si>
  <si>
    <t>Part c</t>
  </si>
  <si>
    <r>
      <t>Cost of debt, r</t>
    </r>
    <r>
      <rPr>
        <vertAlign val="subscript"/>
        <sz val="10"/>
        <rFont val="Arial"/>
        <family val="2"/>
      </rPr>
      <t>D</t>
    </r>
  </si>
  <si>
    <t>Equity weight, E/(E+D)</t>
  </si>
  <si>
    <t>Debt weight, D/(E+D)</t>
  </si>
  <si>
    <t>WACC</t>
  </si>
  <si>
    <t>Classic CAPM</t>
  </si>
  <si>
    <t>Tax-adjusted CAPM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</si>
</sst>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2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/>
    <xf numFmtId="0" fontId="0" fillId="0" borderId="0" xfId="0" applyAlignment="1"/>
    <xf numFmtId="10" fontId="2" fillId="0" borderId="0" xfId="1" applyNumberFormat="1" applyAlignment="1"/>
    <xf numFmtId="176" fontId="2" fillId="0" borderId="0" xfId="1" applyNumberFormat="1" applyAlignment="1">
      <alignment horizontal="center"/>
    </xf>
    <xf numFmtId="177" fontId="0" fillId="0" borderId="0" xfId="0" applyNumberFormat="1" applyAlignment="1"/>
    <xf numFmtId="176" fontId="2" fillId="0" borderId="0" xfId="1" applyNumberFormat="1" applyAlignment="1"/>
    <xf numFmtId="0" fontId="0" fillId="0" borderId="0" xfId="0" quotePrefix="1" applyAlignment="1"/>
    <xf numFmtId="0" fontId="4" fillId="0" borderId="0" xfId="0" applyFont="1" applyAlignment="1"/>
    <xf numFmtId="0" fontId="0" fillId="2" borderId="0" xfId="0" applyFill="1" applyAlignment="1"/>
    <xf numFmtId="177" fontId="0" fillId="2" borderId="0" xfId="0" applyNumberFormat="1" applyFill="1" applyAlignment="1"/>
    <xf numFmtId="0" fontId="0" fillId="0" borderId="0" xfId="0" applyAlignment="1">
      <alignment horizontal="left" indent="1"/>
    </xf>
    <xf numFmtId="10" fontId="0" fillId="0" borderId="0" xfId="0" applyNumberFormat="1" applyAlignment="1"/>
    <xf numFmtId="9" fontId="0" fillId="0" borderId="0" xfId="0" applyNumberFormat="1" applyAlignment="1"/>
    <xf numFmtId="10" fontId="0" fillId="0" borderId="0" xfId="1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Normal America Returns vs S&amp;P 500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31750" cap="rnd">
                <a:solidFill>
                  <a:srgbClr val="000000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9.9681289838770157E-2"/>
                  <c:y val="0.583189834915495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Sheet1!$G$4:$G$13</c:f>
              <c:numCache>
                <c:formatCode>0.0%</c:formatCode>
                <c:ptCount val="10"/>
                <c:pt idx="0">
                  <c:v>4.7E-2</c:v>
                </c:pt>
                <c:pt idx="1">
                  <c:v>0.16200000000000001</c:v>
                </c:pt>
                <c:pt idx="2">
                  <c:v>0.314</c:v>
                </c:pt>
                <c:pt idx="3">
                  <c:v>-3.3000000000000002E-2</c:v>
                </c:pt>
                <c:pt idx="4">
                  <c:v>0.30199999999999999</c:v>
                </c:pt>
                <c:pt idx="5">
                  <c:v>7.3999999999999996E-2</c:v>
                </c:pt>
                <c:pt idx="6">
                  <c:v>9.9000000000000005E-2</c:v>
                </c:pt>
                <c:pt idx="7">
                  <c:v>1.2E-2</c:v>
                </c:pt>
                <c:pt idx="8">
                  <c:v>0.374</c:v>
                </c:pt>
                <c:pt idx="9">
                  <c:v>0.22900000000000001</c:v>
                </c:pt>
              </c:numCache>
            </c:numRef>
          </c:xVal>
          <c:yVal>
            <c:numRef>
              <c:f>Sheet1!$D$4:$D$13</c:f>
              <c:numCache>
                <c:formatCode>0.00%</c:formatCode>
                <c:ptCount val="10"/>
                <c:pt idx="0">
                  <c:v>5.6657375356772999E-3</c:v>
                </c:pt>
                <c:pt idx="1">
                  <c:v>0.2105678627631383</c:v>
                </c:pt>
                <c:pt idx="2">
                  <c:v>0.24605598141429583</c:v>
                </c:pt>
                <c:pt idx="3">
                  <c:v>-0.12260232209233239</c:v>
                </c:pt>
                <c:pt idx="4">
                  <c:v>9.6301423896722443E-2</c:v>
                </c:pt>
                <c:pt idx="5">
                  <c:v>-7.4426325209946978E-2</c:v>
                </c:pt>
                <c:pt idx="6">
                  <c:v>0.30611577414061891</c:v>
                </c:pt>
                <c:pt idx="7">
                  <c:v>-1.7457089100232873E-3</c:v>
                </c:pt>
                <c:pt idx="8">
                  <c:v>0.24787958772834529</c:v>
                </c:pt>
                <c:pt idx="9">
                  <c:v>8.124220620893767E-2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CF-4190-B9F4-665816030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469992"/>
        <c:axId val="1083474312"/>
      </c:scatterChart>
      <c:valAx>
        <c:axId val="1083469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600" b="1"/>
                  <a:t>SP500</a:t>
                </a:r>
                <a:endParaRPr lang="zh-CN" altLang="en-US" b="1"/>
              </a:p>
            </c:rich>
          </c:tx>
          <c:layout>
            <c:manualLayout>
              <c:xMode val="edge"/>
              <c:yMode val="edge"/>
              <c:x val="0.81434941805743666"/>
              <c:y val="0.542250778816199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222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3474312"/>
        <c:crosses val="autoZero"/>
        <c:crossBetween val="midCat"/>
      </c:valAx>
      <c:valAx>
        <c:axId val="1083474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600" b="1"/>
                  <a:t>Normal AMerica</a:t>
                </a:r>
                <a:endParaRPr lang="zh-CN" altLang="en-US" sz="1600" b="1"/>
              </a:p>
            </c:rich>
          </c:tx>
          <c:layout>
            <c:manualLayout>
              <c:xMode val="edge"/>
              <c:yMode val="edge"/>
              <c:x val="2.6724975704567541E-2"/>
              <c:y val="0.150340655432089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222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3469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236220</xdr:colOff>
      <xdr:row>4</xdr:row>
      <xdr:rowOff>76200</xdr:rowOff>
    </xdr:from>
    <xdr:to>
      <xdr:col>16</xdr:col>
      <xdr:colOff>586740</xdr:colOff>
      <xdr:row>22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6C215D1-EDCF-496E-93C4-57D1B6EF9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slop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33"/>
  <sheetViews>
    <sheetView tabSelected="1" topLeftCell="A14" workbookViewId="0">
      <selection activeCell="M31" sqref="M31"/>
    </sheetView>
  </sheetViews>
  <sheetFormatPr defaultRowHeight="13.8" x14ac:dyDescent="0.25"/>
  <cols>
    <col min="1" max="1" width="12.6640625" style="7" customWidth="1"/>
    <col min="2" max="2" width="10.5546875" style="6" customWidth="1"/>
    <col min="3" max="3" width="12" style="7" customWidth="1"/>
    <col min="4" max="7" width="8.88671875" style="7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7" ht="39.6" x14ac:dyDescent="0.25">
      <c r="A2" s="2" t="s">
        <v>1</v>
      </c>
      <c r="B2" s="3" t="s">
        <v>2</v>
      </c>
      <c r="C2" s="2" t="s">
        <v>3</v>
      </c>
      <c r="D2" s="2" t="s">
        <v>5</v>
      </c>
      <c r="E2" s="2"/>
      <c r="F2" s="4"/>
      <c r="G2" s="2" t="s">
        <v>4</v>
      </c>
    </row>
    <row r="3" spans="1:7" x14ac:dyDescent="0.25">
      <c r="A3" s="5">
        <v>1986</v>
      </c>
      <c r="B3" s="6">
        <v>33</v>
      </c>
      <c r="C3" s="6"/>
      <c r="D3" s="6"/>
      <c r="E3" s="6"/>
      <c r="G3" s="5"/>
    </row>
    <row r="4" spans="1:7" x14ac:dyDescent="0.25">
      <c r="A4" s="5">
        <v>1987</v>
      </c>
      <c r="B4" s="6">
        <f>30+11/16</f>
        <v>30.6875</v>
      </c>
      <c r="C4" s="6">
        <v>2.5</v>
      </c>
      <c r="D4" s="8">
        <f>LN((C4+B4)/B3)</f>
        <v>5.6657375356772999E-3</v>
      </c>
      <c r="E4" s="8"/>
      <c r="F4" s="5">
        <v>1987</v>
      </c>
      <c r="G4" s="9">
        <v>4.7E-2</v>
      </c>
    </row>
    <row r="5" spans="1:7" x14ac:dyDescent="0.25">
      <c r="A5" s="5">
        <v>1988</v>
      </c>
      <c r="B5" s="6">
        <v>35.380000000000003</v>
      </c>
      <c r="C5" s="6">
        <v>2.5</v>
      </c>
      <c r="D5" s="8">
        <f t="shared" ref="D5:D13" si="0">LN((C5+B5)/B4)</f>
        <v>0.2105678627631383</v>
      </c>
      <c r="E5" s="8"/>
      <c r="F5" s="5">
        <v>1988</v>
      </c>
      <c r="G5" s="9">
        <v>0.16200000000000001</v>
      </c>
    </row>
    <row r="6" spans="1:7" x14ac:dyDescent="0.25">
      <c r="A6" s="5">
        <v>1989</v>
      </c>
      <c r="B6" s="6">
        <v>42.25</v>
      </c>
      <c r="C6" s="6">
        <v>3</v>
      </c>
      <c r="D6" s="8">
        <f t="shared" si="0"/>
        <v>0.24605598141429583</v>
      </c>
      <c r="E6" s="8"/>
      <c r="F6" s="5">
        <v>1989</v>
      </c>
      <c r="G6" s="9">
        <v>0.314</v>
      </c>
    </row>
    <row r="7" spans="1:7" x14ac:dyDescent="0.25">
      <c r="A7" s="5">
        <v>1990</v>
      </c>
      <c r="B7" s="6">
        <v>34.375</v>
      </c>
      <c r="C7" s="6">
        <v>3</v>
      </c>
      <c r="D7" s="8">
        <f t="shared" si="0"/>
        <v>-0.12260232209233239</v>
      </c>
      <c r="E7" s="8"/>
      <c r="F7" s="5">
        <v>1990</v>
      </c>
      <c r="G7" s="9">
        <v>-3.3000000000000002E-2</v>
      </c>
    </row>
    <row r="8" spans="1:7" x14ac:dyDescent="0.25">
      <c r="A8" s="5">
        <v>1991</v>
      </c>
      <c r="B8" s="6">
        <v>36.25</v>
      </c>
      <c r="C8" s="6">
        <v>1.6</v>
      </c>
      <c r="D8" s="8">
        <f t="shared" si="0"/>
        <v>9.6301423896722443E-2</v>
      </c>
      <c r="E8" s="8"/>
      <c r="F8" s="5">
        <v>1991</v>
      </c>
      <c r="G8" s="9">
        <v>0.30199999999999999</v>
      </c>
    </row>
    <row r="9" spans="1:7" x14ac:dyDescent="0.25">
      <c r="A9" s="5">
        <v>1992</v>
      </c>
      <c r="B9" s="6">
        <v>32.25</v>
      </c>
      <c r="C9" s="6">
        <v>1.4</v>
      </c>
      <c r="D9" s="8">
        <f t="shared" si="0"/>
        <v>-7.4426325209946978E-2</v>
      </c>
      <c r="E9" s="8"/>
      <c r="F9" s="5">
        <v>1992</v>
      </c>
      <c r="G9" s="9">
        <v>7.3999999999999996E-2</v>
      </c>
    </row>
    <row r="10" spans="1:7" x14ac:dyDescent="0.25">
      <c r="A10" s="5">
        <v>1993</v>
      </c>
      <c r="B10" s="6">
        <v>43</v>
      </c>
      <c r="C10" s="6">
        <v>0.8</v>
      </c>
      <c r="D10" s="8">
        <f t="shared" si="0"/>
        <v>0.30611577414061891</v>
      </c>
      <c r="E10" s="8"/>
      <c r="F10" s="5">
        <v>1993</v>
      </c>
      <c r="G10" s="9">
        <v>9.9000000000000005E-2</v>
      </c>
    </row>
    <row r="11" spans="1:7" x14ac:dyDescent="0.25">
      <c r="A11" s="5">
        <v>1994</v>
      </c>
      <c r="B11" s="6">
        <v>42.125</v>
      </c>
      <c r="C11" s="6">
        <v>0.8</v>
      </c>
      <c r="D11" s="8">
        <f t="shared" si="0"/>
        <v>-1.7457089100232873E-3</v>
      </c>
      <c r="E11" s="8"/>
      <c r="F11" s="5">
        <v>1994</v>
      </c>
      <c r="G11" s="9">
        <v>1.2E-2</v>
      </c>
    </row>
    <row r="12" spans="1:7" x14ac:dyDescent="0.25">
      <c r="A12" s="5">
        <v>1995</v>
      </c>
      <c r="B12" s="6">
        <v>52.875</v>
      </c>
      <c r="C12" s="6">
        <v>1.1000000000000001</v>
      </c>
      <c r="D12" s="8">
        <f t="shared" si="0"/>
        <v>0.24787958772834529</v>
      </c>
      <c r="E12" s="8"/>
      <c r="F12" s="5">
        <v>1995</v>
      </c>
      <c r="G12" s="9">
        <v>0.374</v>
      </c>
    </row>
    <row r="13" spans="1:7" x14ac:dyDescent="0.25">
      <c r="A13" s="5">
        <v>1996</v>
      </c>
      <c r="B13" s="6">
        <v>55.75</v>
      </c>
      <c r="C13" s="6">
        <v>1.6</v>
      </c>
      <c r="D13" s="8">
        <f t="shared" si="0"/>
        <v>8.124220620893767E-2</v>
      </c>
      <c r="E13" s="8"/>
      <c r="F13" s="5">
        <v>1996</v>
      </c>
      <c r="G13" s="9">
        <v>0.22900000000000001</v>
      </c>
    </row>
    <row r="15" spans="1:7" x14ac:dyDescent="0.25">
      <c r="C15" s="14" t="s">
        <v>6</v>
      </c>
      <c r="D15" s="15">
        <f>SLOPE(D4:D13,G4:G13)</f>
        <v>0.69679101657092901</v>
      </c>
      <c r="E15" s="10" t="str">
        <f ca="1">[1]!getformula(D15)</f>
        <v>&lt;--  =SLOPE(D4:D13,G4:G13)</v>
      </c>
    </row>
    <row r="16" spans="1:7" x14ac:dyDescent="0.25">
      <c r="C16" s="7" t="s">
        <v>7</v>
      </c>
      <c r="D16" s="7">
        <f>[1]!tslope(D4:D13,G4:G13)</f>
        <v>2.4878730184979174</v>
      </c>
      <c r="E16" s="10" t="str">
        <f ca="1">[1]!getformula(D16)</f>
        <v>&lt;--  =tslope(D4:D13,G4:G13)</v>
      </c>
    </row>
    <row r="18" spans="1:4" x14ac:dyDescent="0.25">
      <c r="A18" s="13" t="s">
        <v>8</v>
      </c>
      <c r="B18" s="11"/>
    </row>
    <row r="19" spans="1:4" ht="15.6" x14ac:dyDescent="0.35">
      <c r="A19" s="7" t="s">
        <v>9</v>
      </c>
      <c r="B19" s="11"/>
      <c r="C19" s="17">
        <v>5.5E-2</v>
      </c>
    </row>
    <row r="20" spans="1:4" ht="15.6" x14ac:dyDescent="0.35">
      <c r="A20" s="7" t="s">
        <v>10</v>
      </c>
      <c r="B20" s="11"/>
      <c r="C20" s="18">
        <v>0.13</v>
      </c>
    </row>
    <row r="21" spans="1:4" ht="15.6" x14ac:dyDescent="0.35">
      <c r="A21" s="7" t="s">
        <v>11</v>
      </c>
      <c r="B21" s="11"/>
      <c r="C21" s="18">
        <v>0.35</v>
      </c>
    </row>
    <row r="22" spans="1:4" x14ac:dyDescent="0.25">
      <c r="A22" s="12"/>
      <c r="B22" s="11"/>
    </row>
    <row r="23" spans="1:4" ht="15.6" x14ac:dyDescent="0.35">
      <c r="A23" s="7" t="s">
        <v>12</v>
      </c>
      <c r="B23" s="11"/>
      <c r="C23" s="19">
        <f>C19+D15*(C20-C19)</f>
        <v>0.10725932624281968</v>
      </c>
      <c r="D23" s="7" t="str">
        <f ca="1">[1]!getformula(C23)</f>
        <v>&lt;--  =C19+D15*(C20-C19)</v>
      </c>
    </row>
    <row r="24" spans="1:4" ht="15.6" x14ac:dyDescent="0.35">
      <c r="A24" s="7" t="s">
        <v>13</v>
      </c>
      <c r="C24" s="19">
        <f>C19*(1-C21)+D15*(C20-C19*(1-C21))</f>
        <v>0.10142255331181006</v>
      </c>
      <c r="D24" s="7" t="str">
        <f ca="1">[1]!getformula(C24)</f>
        <v>&lt;--  =C19*(1-C21)+D15*(C20-C19*(1-C21))</v>
      </c>
    </row>
    <row r="26" spans="1:4" x14ac:dyDescent="0.25">
      <c r="A26" s="13"/>
      <c r="B26" s="8"/>
    </row>
    <row r="27" spans="1:4" x14ac:dyDescent="0.25">
      <c r="A27" s="13" t="s">
        <v>14</v>
      </c>
      <c r="B27" s="8"/>
    </row>
    <row r="28" spans="1:4" ht="15.6" x14ac:dyDescent="0.35">
      <c r="A28" s="7" t="s">
        <v>15</v>
      </c>
      <c r="B28" s="8"/>
      <c r="C28" s="18">
        <v>0.08</v>
      </c>
    </row>
    <row r="29" spans="1:4" x14ac:dyDescent="0.25">
      <c r="A29" s="7" t="s">
        <v>16</v>
      </c>
      <c r="C29" s="19">
        <f>1/3</f>
        <v>0.33333333333333331</v>
      </c>
      <c r="D29" s="7" t="str">
        <f ca="1">[1]!getformula(C29)</f>
        <v>&lt;--  =1/3</v>
      </c>
    </row>
    <row r="30" spans="1:4" x14ac:dyDescent="0.25">
      <c r="A30" s="7" t="s">
        <v>17</v>
      </c>
      <c r="C30" s="19">
        <f>2/3</f>
        <v>0.66666666666666663</v>
      </c>
      <c r="D30" s="7" t="str">
        <f ca="1">[1]!getformula(C30)</f>
        <v>&lt;--  =2/3</v>
      </c>
    </row>
    <row r="31" spans="1:4" x14ac:dyDescent="0.25">
      <c r="A31" s="13" t="s">
        <v>18</v>
      </c>
      <c r="B31" s="8"/>
      <c r="C31" s="19"/>
    </row>
    <row r="32" spans="1:4" x14ac:dyDescent="0.25">
      <c r="A32" s="16" t="s">
        <v>19</v>
      </c>
      <c r="B32" s="8"/>
      <c r="C32" s="19">
        <f>C29*C23+C28*C30*(1-C21)</f>
        <v>7.0419775414273217E-2</v>
      </c>
      <c r="D32" s="7" t="str">
        <f ca="1">[1]!getformula(C32)</f>
        <v>&lt;--  =C29*C23+C28*C30*(1-C21)</v>
      </c>
    </row>
    <row r="33" spans="1:4" x14ac:dyDescent="0.25">
      <c r="A33" s="16" t="s">
        <v>20</v>
      </c>
      <c r="B33" s="8"/>
      <c r="C33" s="19">
        <f>C29*C24+C28*C30*(1-C21)</f>
        <v>6.8474184437270019E-2</v>
      </c>
      <c r="D33" s="7" t="str">
        <f ca="1">[1]!getformula(C33)</f>
        <v>&lt;--  =C29*C24+C28*C30*(1-C21)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2024-10-11T09:50:08Z</dcterms:modified>
</cp:coreProperties>
</file>