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CC65BCF8-68A3-44B2-9062-F1492B3FDE80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G8" i="1"/>
  <c r="G5" i="1"/>
  <c r="G4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H9" i="1"/>
  <c r="H8" i="1"/>
  <c r="H5" i="1"/>
  <c r="H4" i="1"/>
  <c r="D5" i="1"/>
  <c r="D6" i="1"/>
  <c r="D7" i="1"/>
  <c r="D4" i="1"/>
</calcChain>
</file>

<file path=xl/sharedStrings.xml><?xml version="1.0" encoding="utf-8"?>
<sst xmlns="http://schemas.openxmlformats.org/spreadsheetml/2006/main" count="10" uniqueCount="10">
  <si>
    <t>RETURN DATA FOR VANGUARD INDEX 500 FUND
December 2000 - June 2007</t>
  </si>
  <si>
    <t>Date</t>
  </si>
  <si>
    <t>Vanguard
Index 500</t>
  </si>
  <si>
    <t>Return</t>
  </si>
  <si>
    <r>
      <t>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)?</t>
    </r>
  </si>
  <si>
    <t>Using all the data</t>
  </si>
  <si>
    <t>Using last two years</t>
  </si>
  <si>
    <t>Just for kicks:  The standard deviation of the returns</t>
    <phoneticPr fontId="1" type="noConversion"/>
  </si>
  <si>
    <t>Using all the data</t>
    <phoneticPr fontId="1" type="noConversion"/>
  </si>
  <si>
    <t>Using last two years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</si>
</sst>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10" fontId="2" fillId="0" borderId="0" xfId="1" applyNumberFormat="1" applyAlignment="1"/>
    <xf numFmtId="14" fontId="0" fillId="0" borderId="0" xfId="0" applyNumberFormat="1" applyAlignment="1"/>
    <xf numFmtId="0" fontId="0" fillId="2" borderId="0" xfId="0" applyFill="1" applyAlignment="1"/>
    <xf numFmtId="0" fontId="0" fillId="0" borderId="0" xfId="0" applyAlignment="1">
      <alignment horizontal="left" indent="1"/>
    </xf>
    <xf numFmtId="10" fontId="0" fillId="0" borderId="0" xfId="1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82"/>
  <sheetViews>
    <sheetView tabSelected="1" topLeftCell="A2" workbookViewId="0">
      <selection activeCell="N4" sqref="N4"/>
    </sheetView>
  </sheetViews>
  <sheetFormatPr defaultRowHeight="13.8" x14ac:dyDescent="0.25"/>
  <cols>
    <col min="1" max="1" width="10.109375" style="3" bestFit="1" customWidth="1"/>
    <col min="2" max="2" width="11" style="3" customWidth="1"/>
    <col min="3" max="3" width="8.88671875" style="3"/>
    <col min="4" max="4" width="14.33203125" style="3" bestFit="1" customWidth="1"/>
    <col min="6" max="6" width="48.6640625" bestFit="1" customWidth="1"/>
    <col min="8" max="8" width="9.109375" bestFit="1" customWidth="1"/>
  </cols>
  <sheetData>
    <row r="1" spans="1:8" ht="17.399999999999999" x14ac:dyDescent="0.25">
      <c r="A1" s="1" t="s">
        <v>0</v>
      </c>
      <c r="B1" s="1"/>
      <c r="C1" s="1"/>
      <c r="D1" s="1"/>
    </row>
    <row r="2" spans="1:8" ht="26.4" x14ac:dyDescent="0.25">
      <c r="A2" s="2" t="s">
        <v>1</v>
      </c>
      <c r="B2" s="2" t="s">
        <v>2</v>
      </c>
      <c r="C2" s="2" t="s">
        <v>3</v>
      </c>
    </row>
    <row r="3" spans="1:8" ht="15.6" x14ac:dyDescent="0.35">
      <c r="A3" s="5">
        <v>36861</v>
      </c>
      <c r="B3" s="3">
        <v>110.75</v>
      </c>
      <c r="C3" s="4"/>
      <c r="F3" s="6" t="s">
        <v>4</v>
      </c>
    </row>
    <row r="4" spans="1:8" x14ac:dyDescent="0.25">
      <c r="A4" s="5">
        <v>36893</v>
      </c>
      <c r="B4" s="3">
        <v>114.68</v>
      </c>
      <c r="C4" s="4">
        <f t="shared" ref="C4:C67" si="0">LN(B4/B3)</f>
        <v>3.4870232089924166E-2</v>
      </c>
      <c r="D4" s="3" t="str">
        <f ca="1">[1]!getformula(C4)</f>
        <v>&lt;--  =LN(B4/B3)</v>
      </c>
      <c r="F4" s="7" t="s">
        <v>8</v>
      </c>
      <c r="G4" s="8">
        <f>12*AVERAGE(C4:C82)</f>
        <v>3.6076700107592882E-2</v>
      </c>
      <c r="H4" t="str">
        <f ca="1">[1]!getformula(G4)</f>
        <v>&lt;--  =12*AVERAGE(C4:C82)</v>
      </c>
    </row>
    <row r="5" spans="1:8" x14ac:dyDescent="0.25">
      <c r="A5" s="5">
        <v>36923</v>
      </c>
      <c r="B5" s="3">
        <v>104.2</v>
      </c>
      <c r="C5" s="4">
        <f t="shared" si="0"/>
        <v>-9.5833511695902623E-2</v>
      </c>
      <c r="D5" s="3" t="str">
        <f ca="1">[1]!getformula(C5)</f>
        <v>&lt;--  =LN(B5/B4)</v>
      </c>
      <c r="F5" s="7" t="s">
        <v>9</v>
      </c>
      <c r="G5" s="8">
        <f>12*AVERAGE(C59:C82)</f>
        <v>0.12128710140027296</v>
      </c>
      <c r="H5" t="str">
        <f ca="1">[1]!getformula(G5)</f>
        <v>&lt;--  =12*AVERAGE(C59:C82)</v>
      </c>
    </row>
    <row r="6" spans="1:8" x14ac:dyDescent="0.25">
      <c r="A6" s="5">
        <v>36951</v>
      </c>
      <c r="B6" s="3">
        <v>97.32</v>
      </c>
      <c r="C6" s="4">
        <f t="shared" si="0"/>
        <v>-6.8307611403944771E-2</v>
      </c>
      <c r="D6" s="3" t="str">
        <f ca="1">[1]!getformula(C6)</f>
        <v>&lt;--  =LN(B6/B5)</v>
      </c>
      <c r="F6" s="3"/>
    </row>
    <row r="7" spans="1:8" x14ac:dyDescent="0.25">
      <c r="A7" s="5">
        <v>36983</v>
      </c>
      <c r="B7" s="3">
        <v>104.88</v>
      </c>
      <c r="C7" s="4">
        <f t="shared" si="0"/>
        <v>7.4812321540122628E-2</v>
      </c>
      <c r="D7" s="3" t="str">
        <f ca="1">[1]!getformula(C7)</f>
        <v>&lt;--  =LN(B7/B6)</v>
      </c>
      <c r="F7" s="6" t="s">
        <v>7</v>
      </c>
    </row>
    <row r="8" spans="1:8" x14ac:dyDescent="0.25">
      <c r="A8" s="5">
        <v>37012</v>
      </c>
      <c r="B8" s="3">
        <v>105.57</v>
      </c>
      <c r="C8" s="4">
        <f t="shared" si="0"/>
        <v>6.5574005461590396E-3</v>
      </c>
      <c r="F8" s="7" t="s">
        <v>5</v>
      </c>
      <c r="G8" s="8">
        <f>_xlfn.STDEV.S(C4:C82)*SQRT(12)</f>
        <v>0.13673062224130283</v>
      </c>
      <c r="H8" t="str">
        <f ca="1">[1]!getformula(G8)</f>
        <v>&lt;--  =STDEV.S(C4:C82)*SQRT(12)</v>
      </c>
    </row>
    <row r="9" spans="1:8" x14ac:dyDescent="0.25">
      <c r="A9" s="5">
        <v>37043</v>
      </c>
      <c r="B9" s="3">
        <v>102.98</v>
      </c>
      <c r="C9" s="4">
        <f t="shared" si="0"/>
        <v>-2.4839445383608074E-2</v>
      </c>
      <c r="F9" s="7" t="s">
        <v>6</v>
      </c>
      <c r="G9" s="8">
        <f>_xlfn.STDEV.S(C59:C82)*SQRT(12)</f>
        <v>6.6441948683360064E-2</v>
      </c>
      <c r="H9" t="str">
        <f ca="1">[1]!getformula(G9)</f>
        <v>&lt;--  =STDEV.S(C59:C82)*SQRT(12)</v>
      </c>
    </row>
    <row r="10" spans="1:8" x14ac:dyDescent="0.25">
      <c r="A10" s="5">
        <v>37074</v>
      </c>
      <c r="B10" s="3">
        <v>101.96</v>
      </c>
      <c r="C10" s="4">
        <f t="shared" si="0"/>
        <v>-9.9542151100807559E-3</v>
      </c>
    </row>
    <row r="11" spans="1:8" x14ac:dyDescent="0.25">
      <c r="A11" s="5">
        <v>37104</v>
      </c>
      <c r="B11" s="3">
        <v>95.57</v>
      </c>
      <c r="C11" s="4">
        <f t="shared" si="0"/>
        <v>-6.4721616229826404E-2</v>
      </c>
    </row>
    <row r="12" spans="1:8" x14ac:dyDescent="0.25">
      <c r="A12" s="5">
        <v>37138</v>
      </c>
      <c r="B12" s="3">
        <v>87.83</v>
      </c>
      <c r="C12" s="4">
        <f t="shared" si="0"/>
        <v>-8.4455835349062217E-2</v>
      </c>
    </row>
    <row r="13" spans="1:8" x14ac:dyDescent="0.25">
      <c r="A13" s="5">
        <v>37165</v>
      </c>
      <c r="B13" s="3">
        <v>89.51</v>
      </c>
      <c r="C13" s="4">
        <f t="shared" si="0"/>
        <v>1.8947222953821671E-2</v>
      </c>
    </row>
    <row r="14" spans="1:8" x14ac:dyDescent="0.25">
      <c r="A14" s="5">
        <v>37196</v>
      </c>
      <c r="B14" s="3">
        <v>96.36</v>
      </c>
      <c r="C14" s="4">
        <f t="shared" si="0"/>
        <v>7.3740826863822898E-2</v>
      </c>
    </row>
    <row r="15" spans="1:8" x14ac:dyDescent="0.25">
      <c r="A15" s="5">
        <v>37228</v>
      </c>
      <c r="B15" s="3">
        <v>96.84</v>
      </c>
      <c r="C15" s="4">
        <f t="shared" si="0"/>
        <v>4.968954323187144E-3</v>
      </c>
    </row>
    <row r="16" spans="1:8" x14ac:dyDescent="0.25">
      <c r="A16" s="5">
        <v>37258</v>
      </c>
      <c r="B16" s="3">
        <v>95.42</v>
      </c>
      <c r="C16" s="4">
        <f t="shared" si="0"/>
        <v>-1.4771931981896795E-2</v>
      </c>
    </row>
    <row r="17" spans="1:3" x14ac:dyDescent="0.25">
      <c r="A17" s="5">
        <v>37288</v>
      </c>
      <c r="B17" s="3">
        <v>93.58</v>
      </c>
      <c r="C17" s="4">
        <f t="shared" si="0"/>
        <v>-1.9471514649890758E-2</v>
      </c>
    </row>
    <row r="18" spans="1:3" x14ac:dyDescent="0.25">
      <c r="A18" s="5">
        <v>37316</v>
      </c>
      <c r="B18" s="3">
        <v>97.09</v>
      </c>
      <c r="C18" s="4">
        <f t="shared" si="0"/>
        <v>3.6821697943983413E-2</v>
      </c>
    </row>
    <row r="19" spans="1:3" x14ac:dyDescent="0.25">
      <c r="A19" s="5">
        <v>37347</v>
      </c>
      <c r="B19" s="3">
        <v>91.19</v>
      </c>
      <c r="C19" s="4">
        <f t="shared" si="0"/>
        <v>-6.2693141436479485E-2</v>
      </c>
    </row>
    <row r="20" spans="1:3" x14ac:dyDescent="0.25">
      <c r="A20" s="5">
        <v>37377</v>
      </c>
      <c r="B20" s="3">
        <v>90.51</v>
      </c>
      <c r="C20" s="4">
        <f t="shared" si="0"/>
        <v>-7.4849001064946899E-3</v>
      </c>
    </row>
    <row r="21" spans="1:3" x14ac:dyDescent="0.25">
      <c r="A21" s="5">
        <v>37410</v>
      </c>
      <c r="B21" s="3">
        <v>83.77</v>
      </c>
      <c r="C21" s="4">
        <f t="shared" si="0"/>
        <v>-7.7385393673361363E-2</v>
      </c>
    </row>
    <row r="22" spans="1:3" x14ac:dyDescent="0.25">
      <c r="A22" s="5">
        <v>37438</v>
      </c>
      <c r="B22" s="3">
        <v>77.3</v>
      </c>
      <c r="C22" s="4">
        <f t="shared" si="0"/>
        <v>-8.0380992572341894E-2</v>
      </c>
    </row>
    <row r="23" spans="1:3" x14ac:dyDescent="0.25">
      <c r="A23" s="5">
        <v>37469</v>
      </c>
      <c r="B23" s="3">
        <v>77.819999999999993</v>
      </c>
      <c r="C23" s="4">
        <f t="shared" si="0"/>
        <v>6.7045119630312379E-3</v>
      </c>
    </row>
    <row r="24" spans="1:3" x14ac:dyDescent="0.25">
      <c r="A24" s="5">
        <v>37502</v>
      </c>
      <c r="B24" s="3">
        <v>69.349999999999994</v>
      </c>
      <c r="C24" s="4">
        <f t="shared" si="0"/>
        <v>-0.11523232079556688</v>
      </c>
    </row>
    <row r="25" spans="1:3" x14ac:dyDescent="0.25">
      <c r="A25" s="5">
        <v>37530</v>
      </c>
      <c r="B25" s="3">
        <v>75.44</v>
      </c>
      <c r="C25" s="4">
        <f t="shared" si="0"/>
        <v>8.4171491564361448E-2</v>
      </c>
    </row>
    <row r="26" spans="1:3" x14ac:dyDescent="0.25">
      <c r="A26" s="5">
        <v>37561</v>
      </c>
      <c r="B26" s="3">
        <v>80.09</v>
      </c>
      <c r="C26" s="4">
        <f t="shared" si="0"/>
        <v>5.9813364010388982E-2</v>
      </c>
    </row>
    <row r="27" spans="1:3" x14ac:dyDescent="0.25">
      <c r="A27" s="5">
        <v>37592</v>
      </c>
      <c r="B27" s="3">
        <v>75.17</v>
      </c>
      <c r="C27" s="4">
        <f t="shared" si="0"/>
        <v>-6.3398787146213387E-2</v>
      </c>
    </row>
    <row r="28" spans="1:3" x14ac:dyDescent="0.25">
      <c r="A28" s="5">
        <v>37623</v>
      </c>
      <c r="B28" s="3">
        <v>73.19</v>
      </c>
      <c r="C28" s="4">
        <f t="shared" si="0"/>
        <v>-2.6693415576241775E-2</v>
      </c>
    </row>
    <row r="29" spans="1:3" x14ac:dyDescent="0.25">
      <c r="A29" s="5">
        <v>37655</v>
      </c>
      <c r="B29" s="3">
        <v>72.09</v>
      </c>
      <c r="C29" s="4">
        <f t="shared" si="0"/>
        <v>-1.5143461196648443E-2</v>
      </c>
    </row>
    <row r="30" spans="1:3" x14ac:dyDescent="0.25">
      <c r="A30" s="5">
        <v>37683</v>
      </c>
      <c r="B30" s="3">
        <v>72.78</v>
      </c>
      <c r="C30" s="4">
        <f t="shared" si="0"/>
        <v>9.5258537675264043E-3</v>
      </c>
    </row>
    <row r="31" spans="1:3" x14ac:dyDescent="0.25">
      <c r="A31" s="5">
        <v>37712</v>
      </c>
      <c r="B31" s="3">
        <v>78.8</v>
      </c>
      <c r="C31" s="4">
        <f t="shared" si="0"/>
        <v>7.9471804679819569E-2</v>
      </c>
    </row>
    <row r="32" spans="1:3" x14ac:dyDescent="0.25">
      <c r="A32" s="5">
        <v>37742</v>
      </c>
      <c r="B32" s="3">
        <v>82.94</v>
      </c>
      <c r="C32" s="4">
        <f t="shared" si="0"/>
        <v>5.1204457954401907E-2</v>
      </c>
    </row>
    <row r="33" spans="1:3" x14ac:dyDescent="0.25">
      <c r="A33" s="5">
        <v>37774</v>
      </c>
      <c r="B33" s="3">
        <v>83.99</v>
      </c>
      <c r="C33" s="4">
        <f t="shared" si="0"/>
        <v>1.2580289319300395E-2</v>
      </c>
    </row>
    <row r="34" spans="1:3" x14ac:dyDescent="0.25">
      <c r="A34" s="5">
        <v>37803</v>
      </c>
      <c r="B34" s="3">
        <v>85.47</v>
      </c>
      <c r="C34" s="4">
        <f t="shared" si="0"/>
        <v>1.7467693040390999E-2</v>
      </c>
    </row>
    <row r="35" spans="1:3" x14ac:dyDescent="0.25">
      <c r="A35" s="5">
        <v>37834</v>
      </c>
      <c r="B35" s="3">
        <v>87.12</v>
      </c>
      <c r="C35" s="4">
        <f t="shared" si="0"/>
        <v>1.9121041446778377E-2</v>
      </c>
    </row>
    <row r="36" spans="1:3" x14ac:dyDescent="0.25">
      <c r="A36" s="5">
        <v>37866</v>
      </c>
      <c r="B36" s="3">
        <v>86.19</v>
      </c>
      <c r="C36" s="4">
        <f t="shared" si="0"/>
        <v>-1.0732316965397278E-2</v>
      </c>
    </row>
    <row r="37" spans="1:3" x14ac:dyDescent="0.25">
      <c r="A37" s="5">
        <v>37895</v>
      </c>
      <c r="B37" s="3">
        <v>91.05</v>
      </c>
      <c r="C37" s="4">
        <f t="shared" si="0"/>
        <v>5.4854644514309076E-2</v>
      </c>
    </row>
    <row r="38" spans="1:3" x14ac:dyDescent="0.25">
      <c r="A38" s="5">
        <v>37928</v>
      </c>
      <c r="B38" s="3">
        <v>91.85</v>
      </c>
      <c r="C38" s="4">
        <f t="shared" si="0"/>
        <v>8.7480054875176214E-3</v>
      </c>
    </row>
    <row r="39" spans="1:3" x14ac:dyDescent="0.25">
      <c r="A39" s="5">
        <v>37956</v>
      </c>
      <c r="B39" s="3">
        <v>96.66</v>
      </c>
      <c r="C39" s="4">
        <f t="shared" si="0"/>
        <v>5.1042854755803287E-2</v>
      </c>
    </row>
    <row r="40" spans="1:3" x14ac:dyDescent="0.25">
      <c r="A40" s="5">
        <v>37988</v>
      </c>
      <c r="B40" s="3">
        <v>98.42</v>
      </c>
      <c r="C40" s="4">
        <f t="shared" si="0"/>
        <v>1.8044369020894194E-2</v>
      </c>
    </row>
    <row r="41" spans="1:3" x14ac:dyDescent="0.25">
      <c r="A41" s="5">
        <v>38019</v>
      </c>
      <c r="B41" s="3">
        <v>99.78</v>
      </c>
      <c r="C41" s="4">
        <f t="shared" si="0"/>
        <v>1.3723726995059245E-2</v>
      </c>
    </row>
    <row r="42" spans="1:3" x14ac:dyDescent="0.25">
      <c r="A42" s="5">
        <v>38047</v>
      </c>
      <c r="B42" s="3">
        <v>98.27</v>
      </c>
      <c r="C42" s="4">
        <f t="shared" si="0"/>
        <v>-1.5248970058555855E-2</v>
      </c>
    </row>
    <row r="43" spans="1:3" x14ac:dyDescent="0.25">
      <c r="A43" s="5">
        <v>38078</v>
      </c>
      <c r="B43" s="3">
        <v>96.73</v>
      </c>
      <c r="C43" s="4">
        <f t="shared" si="0"/>
        <v>-1.5795200179879766E-2</v>
      </c>
    </row>
    <row r="44" spans="1:3" x14ac:dyDescent="0.25">
      <c r="A44" s="5">
        <v>38110</v>
      </c>
      <c r="B44" s="3">
        <v>98.05</v>
      </c>
      <c r="C44" s="4">
        <f t="shared" si="0"/>
        <v>1.3553960447899503E-2</v>
      </c>
    </row>
    <row r="45" spans="1:3" x14ac:dyDescent="0.25">
      <c r="A45" s="5">
        <v>38139</v>
      </c>
      <c r="B45" s="3">
        <v>99.95</v>
      </c>
      <c r="C45" s="4">
        <f t="shared" si="0"/>
        <v>1.9192508304053887E-2</v>
      </c>
    </row>
    <row r="46" spans="1:3" x14ac:dyDescent="0.25">
      <c r="A46" s="5">
        <v>38169</v>
      </c>
      <c r="B46" s="3">
        <v>96.64</v>
      </c>
      <c r="C46" s="4">
        <f t="shared" si="0"/>
        <v>-3.3677326759904307E-2</v>
      </c>
    </row>
    <row r="47" spans="1:3" x14ac:dyDescent="0.25">
      <c r="A47" s="5">
        <v>38201</v>
      </c>
      <c r="B47" s="3">
        <v>97.03</v>
      </c>
      <c r="C47" s="4">
        <f t="shared" si="0"/>
        <v>4.0274748507033841E-3</v>
      </c>
    </row>
    <row r="48" spans="1:3" x14ac:dyDescent="0.25">
      <c r="A48" s="5">
        <v>38231</v>
      </c>
      <c r="B48" s="3">
        <v>98.07</v>
      </c>
      <c r="C48" s="4">
        <f t="shared" si="0"/>
        <v>1.0661300367020714E-2</v>
      </c>
    </row>
    <row r="49" spans="1:3" x14ac:dyDescent="0.25">
      <c r="A49" s="5">
        <v>38261</v>
      </c>
      <c r="B49" s="3">
        <v>99.57</v>
      </c>
      <c r="C49" s="4">
        <f t="shared" si="0"/>
        <v>1.5179404995764015E-2</v>
      </c>
    </row>
    <row r="50" spans="1:3" x14ac:dyDescent="0.25">
      <c r="A50" s="5">
        <v>38292</v>
      </c>
      <c r="B50" s="3">
        <v>103.59</v>
      </c>
      <c r="C50" s="4">
        <f t="shared" si="0"/>
        <v>3.9579885670017877E-2</v>
      </c>
    </row>
    <row r="51" spans="1:3" x14ac:dyDescent="0.25">
      <c r="A51" s="5">
        <v>38322</v>
      </c>
      <c r="B51" s="3">
        <v>107.12</v>
      </c>
      <c r="C51" s="4">
        <f t="shared" si="0"/>
        <v>3.3508901312906521E-2</v>
      </c>
    </row>
    <row r="52" spans="1:3" x14ac:dyDescent="0.25">
      <c r="A52" s="5">
        <v>38355</v>
      </c>
      <c r="B52" s="3">
        <v>104.51</v>
      </c>
      <c r="C52" s="4">
        <f t="shared" si="0"/>
        <v>-2.4666940776504765E-2</v>
      </c>
    </row>
    <row r="53" spans="1:3" x14ac:dyDescent="0.25">
      <c r="A53" s="5">
        <v>38384</v>
      </c>
      <c r="B53" s="3">
        <v>106.69</v>
      </c>
      <c r="C53" s="4">
        <f t="shared" si="0"/>
        <v>2.0644672596957535E-2</v>
      </c>
    </row>
    <row r="54" spans="1:3" x14ac:dyDescent="0.25">
      <c r="A54" s="5">
        <v>38412</v>
      </c>
      <c r="B54" s="3">
        <v>104.82</v>
      </c>
      <c r="C54" s="4">
        <f t="shared" si="0"/>
        <v>-1.7682839829349692E-2</v>
      </c>
    </row>
    <row r="55" spans="1:3" x14ac:dyDescent="0.25">
      <c r="A55" s="5">
        <v>38443</v>
      </c>
      <c r="B55" s="3">
        <v>102.83</v>
      </c>
      <c r="C55" s="4">
        <f t="shared" si="0"/>
        <v>-1.9167454132920925E-2</v>
      </c>
    </row>
    <row r="56" spans="1:3" x14ac:dyDescent="0.25">
      <c r="A56" s="5">
        <v>38474</v>
      </c>
      <c r="B56" s="3">
        <v>106.09</v>
      </c>
      <c r="C56" s="4">
        <f t="shared" si="0"/>
        <v>3.1210651230080877E-2</v>
      </c>
    </row>
    <row r="57" spans="1:3" x14ac:dyDescent="0.25">
      <c r="A57" s="5">
        <v>38504</v>
      </c>
      <c r="B57" s="3">
        <v>106.24</v>
      </c>
      <c r="C57" s="4">
        <f t="shared" si="0"/>
        <v>1.4128952569434159E-3</v>
      </c>
    </row>
    <row r="58" spans="1:3" x14ac:dyDescent="0.25">
      <c r="A58" s="5">
        <v>38534</v>
      </c>
      <c r="B58" s="3">
        <v>110.19</v>
      </c>
      <c r="C58" s="4">
        <f t="shared" si="0"/>
        <v>3.6505462771561942E-2</v>
      </c>
    </row>
    <row r="59" spans="1:3" x14ac:dyDescent="0.25">
      <c r="A59" s="5">
        <v>38565</v>
      </c>
      <c r="B59" s="3">
        <v>109.18</v>
      </c>
      <c r="C59" s="4">
        <f t="shared" si="0"/>
        <v>-9.2082521460740592E-3</v>
      </c>
    </row>
    <row r="60" spans="1:3" x14ac:dyDescent="0.25">
      <c r="A60" s="5">
        <v>38596</v>
      </c>
      <c r="B60" s="3">
        <v>110.05</v>
      </c>
      <c r="C60" s="4">
        <f t="shared" si="0"/>
        <v>7.9369116188589533E-3</v>
      </c>
    </row>
    <row r="61" spans="1:3" x14ac:dyDescent="0.25">
      <c r="A61" s="5">
        <v>38628</v>
      </c>
      <c r="B61" s="3">
        <v>108.22</v>
      </c>
      <c r="C61" s="4">
        <f t="shared" si="0"/>
        <v>-1.6768615757881473E-2</v>
      </c>
    </row>
    <row r="62" spans="1:3" x14ac:dyDescent="0.25">
      <c r="A62" s="5">
        <v>38657</v>
      </c>
      <c r="B62" s="3">
        <v>112.3</v>
      </c>
      <c r="C62" s="4">
        <f t="shared" si="0"/>
        <v>3.7007669529808281E-2</v>
      </c>
    </row>
    <row r="63" spans="1:3" x14ac:dyDescent="0.25">
      <c r="A63" s="5">
        <v>38687</v>
      </c>
      <c r="B63" s="3">
        <v>112.33</v>
      </c>
      <c r="C63" s="4">
        <f t="shared" si="0"/>
        <v>2.6710590908047172E-4</v>
      </c>
    </row>
    <row r="64" spans="1:3" x14ac:dyDescent="0.25">
      <c r="A64" s="5">
        <v>38720</v>
      </c>
      <c r="B64" s="3">
        <v>115.31</v>
      </c>
      <c r="C64" s="4">
        <f t="shared" si="0"/>
        <v>2.6183186129547051E-2</v>
      </c>
    </row>
    <row r="65" spans="1:3" x14ac:dyDescent="0.25">
      <c r="A65" s="5">
        <v>38749</v>
      </c>
      <c r="B65" s="3">
        <v>115.63</v>
      </c>
      <c r="C65" s="4">
        <f t="shared" si="0"/>
        <v>2.7712843578455693E-3</v>
      </c>
    </row>
    <row r="66" spans="1:3" x14ac:dyDescent="0.25">
      <c r="A66" s="5">
        <v>38777</v>
      </c>
      <c r="B66" s="3">
        <v>117.06</v>
      </c>
      <c r="C66" s="4">
        <f t="shared" si="0"/>
        <v>1.2291185722204589E-2</v>
      </c>
    </row>
    <row r="67" spans="1:3" x14ac:dyDescent="0.25">
      <c r="A67" s="5">
        <v>38810</v>
      </c>
      <c r="B67" s="3">
        <v>118.63</v>
      </c>
      <c r="C67" s="4">
        <f t="shared" si="0"/>
        <v>1.3322781809937021E-2</v>
      </c>
    </row>
    <row r="68" spans="1:3" x14ac:dyDescent="0.25">
      <c r="A68" s="5">
        <v>38838</v>
      </c>
      <c r="B68" s="3">
        <v>115.21</v>
      </c>
      <c r="C68" s="4">
        <f t="shared" ref="C68:C83" si="1">LN(B68/B67)</f>
        <v>-2.9252855623049721E-2</v>
      </c>
    </row>
    <row r="69" spans="1:3" x14ac:dyDescent="0.25">
      <c r="A69" s="5">
        <v>38869</v>
      </c>
      <c r="B69" s="3">
        <v>115.37</v>
      </c>
      <c r="C69" s="4">
        <f t="shared" si="1"/>
        <v>1.3878048892362099E-3</v>
      </c>
    </row>
    <row r="70" spans="1:3" x14ac:dyDescent="0.25">
      <c r="A70" s="5">
        <v>38901</v>
      </c>
      <c r="B70" s="3">
        <v>116.07</v>
      </c>
      <c r="C70" s="4">
        <f t="shared" si="1"/>
        <v>6.0491024413327739E-3</v>
      </c>
    </row>
    <row r="71" spans="1:3" x14ac:dyDescent="0.25">
      <c r="A71" s="5">
        <v>38930</v>
      </c>
      <c r="B71" s="3">
        <v>118.82</v>
      </c>
      <c r="C71" s="4">
        <f t="shared" si="1"/>
        <v>2.3416285547064063E-2</v>
      </c>
    </row>
    <row r="72" spans="1:3" x14ac:dyDescent="0.25">
      <c r="A72" s="5">
        <v>38961</v>
      </c>
      <c r="B72" s="3">
        <v>121.88</v>
      </c>
      <c r="C72" s="4">
        <f t="shared" si="1"/>
        <v>2.5427211189912972E-2</v>
      </c>
    </row>
    <row r="73" spans="1:3" x14ac:dyDescent="0.25">
      <c r="A73" s="5">
        <v>38992</v>
      </c>
      <c r="B73" s="3">
        <v>125.84</v>
      </c>
      <c r="C73" s="4">
        <f t="shared" si="1"/>
        <v>3.1974304632514106E-2</v>
      </c>
    </row>
    <row r="74" spans="1:3" x14ac:dyDescent="0.25">
      <c r="A74" s="5">
        <v>39022</v>
      </c>
      <c r="B74" s="3">
        <v>128.22999999999999</v>
      </c>
      <c r="C74" s="4">
        <f t="shared" si="1"/>
        <v>1.8814267721001861E-2</v>
      </c>
    </row>
    <row r="75" spans="1:3" x14ac:dyDescent="0.25">
      <c r="A75" s="5">
        <v>39052</v>
      </c>
      <c r="B75" s="3">
        <v>130.02000000000001</v>
      </c>
      <c r="C75" s="4">
        <f t="shared" si="1"/>
        <v>1.3862758305298437E-2</v>
      </c>
    </row>
    <row r="76" spans="1:3" x14ac:dyDescent="0.25">
      <c r="A76" s="5">
        <v>39085</v>
      </c>
      <c r="B76" s="3">
        <v>131.97999999999999</v>
      </c>
      <c r="C76" s="4">
        <f t="shared" si="1"/>
        <v>1.49621111789527E-2</v>
      </c>
    </row>
    <row r="77" spans="1:3" x14ac:dyDescent="0.25">
      <c r="A77" s="5">
        <v>39114</v>
      </c>
      <c r="B77" s="3">
        <v>129.38999999999999</v>
      </c>
      <c r="C77" s="4">
        <f t="shared" si="1"/>
        <v>-1.9819296627414103E-2</v>
      </c>
    </row>
    <row r="78" spans="1:3" x14ac:dyDescent="0.25">
      <c r="A78" s="5">
        <v>39142</v>
      </c>
      <c r="B78" s="3">
        <v>130.84</v>
      </c>
      <c r="C78" s="4">
        <f t="shared" si="1"/>
        <v>1.1144103342321882E-2</v>
      </c>
    </row>
    <row r="79" spans="1:3" x14ac:dyDescent="0.25">
      <c r="A79" s="5">
        <v>39174</v>
      </c>
      <c r="B79" s="3">
        <v>136.62</v>
      </c>
      <c r="C79" s="4">
        <f t="shared" si="1"/>
        <v>4.3228146633520176E-2</v>
      </c>
    </row>
    <row r="80" spans="1:3" x14ac:dyDescent="0.25">
      <c r="A80" s="5">
        <v>39203</v>
      </c>
      <c r="B80" s="3">
        <v>141.38</v>
      </c>
      <c r="C80" s="4">
        <f t="shared" si="1"/>
        <v>3.4247951439104578E-2</v>
      </c>
    </row>
    <row r="81" spans="1:3" x14ac:dyDescent="0.25">
      <c r="A81" s="5">
        <v>39234</v>
      </c>
      <c r="B81" s="3">
        <v>138.43</v>
      </c>
      <c r="C81" s="4">
        <f t="shared" si="1"/>
        <v>-2.1086518043164283E-2</v>
      </c>
    </row>
    <row r="82" spans="1:3" x14ac:dyDescent="0.25">
      <c r="A82" s="5">
        <v>39265</v>
      </c>
      <c r="B82" s="3">
        <v>140.44</v>
      </c>
      <c r="C82" s="4">
        <f t="shared" si="1"/>
        <v>1.4415568600587911E-2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2024-10-11T09:59:03Z</dcterms:modified>
</cp:coreProperties>
</file>