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90E0D409-3505-4885-94DF-E4141077F8B0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1" l="1"/>
  <c r="K12" i="1"/>
  <c r="K10" i="1"/>
  <c r="K7" i="1"/>
  <c r="K9" i="1" s="1"/>
  <c r="C14" i="1"/>
  <c r="B14" i="1"/>
  <c r="F12" i="1"/>
  <c r="F14" i="1" s="1"/>
  <c r="F11" i="1"/>
  <c r="F10" i="1"/>
  <c r="F9" i="1"/>
  <c r="F8" i="1"/>
  <c r="F7" i="1"/>
  <c r="F6" i="1"/>
  <c r="F5" i="1"/>
  <c r="F4" i="1"/>
  <c r="F3" i="1"/>
  <c r="L24" i="1"/>
  <c r="L16" i="1"/>
  <c r="K16" i="1"/>
  <c r="L12" i="1"/>
  <c r="L10" i="1"/>
  <c r="L9" i="1"/>
  <c r="G14" i="1"/>
  <c r="G3" i="1"/>
</calcChain>
</file>

<file path=xl/sharedStrings.xml><?xml version="1.0" encoding="utf-8"?>
<sst xmlns="http://schemas.openxmlformats.org/spreadsheetml/2006/main" count="27" uniqueCount="26">
  <si>
    <t>MERCK &amp; CO.  2000-1991</t>
  </si>
  <si>
    <t>Purchase of treasury stock</t>
  </si>
  <si>
    <t>Cash dividends</t>
  </si>
  <si>
    <t>Proceeds from exercise of stock options</t>
  </si>
  <si>
    <t>Tax Benefits from exercise of stock options - computed</t>
  </si>
  <si>
    <t>Total equity cash flow</t>
  </si>
  <si>
    <t>Growth</t>
  </si>
  <si>
    <t>Gordon cost of equity--TwoStageGordon Model</t>
  </si>
  <si>
    <r>
      <t>End-2000 share price, P</t>
    </r>
    <r>
      <rPr>
        <vertAlign val="subscript"/>
        <sz val="10"/>
        <rFont val="Arial"/>
        <family val="2"/>
      </rPr>
      <t>0</t>
    </r>
  </si>
  <si>
    <t>Number of shares outstanding, end 2000</t>
  </si>
  <si>
    <t xml:space="preserve">     Shares issued</t>
  </si>
  <si>
    <t xml:space="preserve">Number of shares </t>
  </si>
  <si>
    <t>Market value of equity ($million)</t>
  </si>
  <si>
    <t>End 2000 total equity payout</t>
  </si>
  <si>
    <r>
      <t>High growth rate, g</t>
    </r>
    <r>
      <rPr>
        <vertAlign val="subscript"/>
        <sz val="10"/>
        <rFont val="Arial"/>
        <family val="2"/>
      </rPr>
      <t>high</t>
    </r>
  </si>
  <si>
    <t>Number of high-growth years, m</t>
  </si>
  <si>
    <r>
      <t>Normal growth rate, g</t>
    </r>
    <r>
      <rPr>
        <vertAlign val="subscript"/>
        <sz val="10"/>
        <rFont val="Arial"/>
        <family val="2"/>
      </rPr>
      <t>normal</t>
    </r>
  </si>
  <si>
    <r>
      <t>Cost of equity,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
using the function </t>
    </r>
    <r>
      <rPr>
        <b/>
        <sz val="10"/>
        <rFont val="Arial"/>
        <family val="2"/>
      </rPr>
      <t>twostagegordon</t>
    </r>
  </si>
  <si>
    <t>Just for comparison</t>
  </si>
  <si>
    <t>CAPM</t>
  </si>
  <si>
    <t>Beta</t>
  </si>
  <si>
    <t>risk-free rate</t>
  </si>
  <si>
    <t>Market risk-premium</t>
  </si>
  <si>
    <t>CAPM cost of equity</t>
  </si>
  <si>
    <t xml:space="preserve">     Minus treasury shares</t>
    <phoneticPr fontId="1" type="noConversion"/>
  </si>
  <si>
    <t>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</si>
</sst>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#,##0.0_);\(#,##0.0\)"/>
    <numFmt numFmtId="177" formatCode="0.0_);\(0.0\)"/>
    <numFmt numFmtId="178" formatCode="_(* #,##0.00_);_(* \(#,##0.00\);_(* &quot;-&quot;??_);_(@_)"/>
    <numFmt numFmtId="179" formatCode="_(* #,##0_);_(* \(#,##0\);_(* &quot;-&quot;??_);_(@_)"/>
    <numFmt numFmtId="180" formatCode="0.000%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wrapText="1"/>
    </xf>
    <xf numFmtId="0" fontId="3" fillId="0" borderId="0">
      <alignment wrapText="1"/>
    </xf>
  </cellStyleXfs>
  <cellXfs count="38">
    <xf numFmtId="0" fontId="0" fillId="0" borderId="0" xfId="0">
      <alignment vertical="center"/>
    </xf>
    <xf numFmtId="0" fontId="4" fillId="0" borderId="0" xfId="3" applyFont="1" applyAlignment="1">
      <alignment horizontal="center"/>
    </xf>
    <xf numFmtId="0" fontId="3" fillId="0" borderId="0" xfId="3" applyAlignment="1">
      <alignment horizontal="center" wrapText="1"/>
    </xf>
    <xf numFmtId="0" fontId="5" fillId="0" borderId="0" xfId="3" applyFont="1" applyAlignment="1">
      <alignment horizontal="center" wrapText="1"/>
    </xf>
    <xf numFmtId="0" fontId="3" fillId="0" borderId="0" xfId="3">
      <alignment wrapText="1"/>
    </xf>
    <xf numFmtId="3" fontId="3" fillId="0" borderId="0" xfId="3" applyNumberFormat="1">
      <alignment wrapText="1"/>
    </xf>
    <xf numFmtId="0" fontId="3" fillId="0" borderId="0" xfId="3" applyAlignment="1"/>
    <xf numFmtId="176" fontId="3" fillId="0" borderId="0" xfId="3" applyNumberFormat="1" applyAlignment="1">
      <alignment horizontal="right" wrapText="1"/>
    </xf>
    <xf numFmtId="177" fontId="3" fillId="0" borderId="0" xfId="3" applyNumberFormat="1" applyAlignment="1">
      <alignment horizontal="right" wrapText="1"/>
    </xf>
    <xf numFmtId="176" fontId="3" fillId="0" borderId="0" xfId="3" applyNumberFormat="1">
      <alignment wrapText="1"/>
    </xf>
    <xf numFmtId="10" fontId="2" fillId="0" borderId="0" xfId="2" applyNumberFormat="1" applyAlignment="1">
      <alignment wrapText="1"/>
    </xf>
    <xf numFmtId="0" fontId="5" fillId="0" borderId="0" xfId="3" applyFont="1">
      <alignment wrapText="1"/>
    </xf>
    <xf numFmtId="0" fontId="3" fillId="0" borderId="0" xfId="3" applyAlignment="1">
      <alignment horizontal="left"/>
    </xf>
    <xf numFmtId="0" fontId="6" fillId="2" borderId="0" xfId="4" applyFont="1" applyFill="1" applyAlignment="1">
      <alignment horizontal="center" vertical="center" wrapText="1"/>
    </xf>
    <xf numFmtId="0" fontId="3" fillId="0" borderId="0" xfId="4" applyAlignment="1"/>
    <xf numFmtId="0" fontId="3" fillId="0" borderId="0" xfId="4" applyAlignment="1">
      <alignment horizontal="left"/>
    </xf>
    <xf numFmtId="0" fontId="5" fillId="0" borderId="0" xfId="4" applyFont="1" applyAlignment="1"/>
    <xf numFmtId="177" fontId="3" fillId="0" borderId="0" xfId="4" applyNumberFormat="1" applyAlignment="1">
      <alignment horizontal="left"/>
    </xf>
    <xf numFmtId="177" fontId="3" fillId="0" borderId="0" xfId="4" applyNumberFormat="1" applyAlignment="1">
      <alignment horizontal="right"/>
    </xf>
    <xf numFmtId="176" fontId="3" fillId="0" borderId="0" xfId="4" applyNumberFormat="1" applyAlignment="1">
      <alignment horizontal="left"/>
    </xf>
    <xf numFmtId="3" fontId="3" fillId="0" borderId="0" xfId="4" applyNumberFormat="1" applyAlignment="1">
      <alignment horizontal="right"/>
    </xf>
    <xf numFmtId="3" fontId="3" fillId="0" borderId="0" xfId="4" applyNumberFormat="1" applyAlignment="1"/>
    <xf numFmtId="0" fontId="0" fillId="0" borderId="0" xfId="0" applyAlignment="1"/>
    <xf numFmtId="178" fontId="2" fillId="0" borderId="0" xfId="1" applyNumberFormat="1" applyAlignment="1"/>
    <xf numFmtId="10" fontId="0" fillId="0" borderId="0" xfId="0" applyNumberFormat="1" applyAlignment="1"/>
    <xf numFmtId="0" fontId="2" fillId="0" borderId="0" xfId="1" applyNumberFormat="1" applyAlignment="1"/>
    <xf numFmtId="9" fontId="0" fillId="0" borderId="0" xfId="0" applyNumberFormat="1" applyAlignment="1"/>
    <xf numFmtId="0" fontId="0" fillId="3" borderId="0" xfId="0" applyFill="1" applyAlignment="1">
      <alignment wrapText="1"/>
    </xf>
    <xf numFmtId="180" fontId="2" fillId="3" borderId="0" xfId="2" applyNumberFormat="1" applyFill="1" applyAlignment="1"/>
    <xf numFmtId="3" fontId="8" fillId="0" borderId="0" xfId="4" applyNumberFormat="1" applyFont="1" applyAlignment="1">
      <alignment horizontal="right"/>
    </xf>
    <xf numFmtId="3" fontId="3" fillId="4" borderId="0" xfId="3" applyNumberFormat="1" applyFill="1">
      <alignment wrapText="1"/>
    </xf>
    <xf numFmtId="179" fontId="2" fillId="4" borderId="0" xfId="1" applyNumberFormat="1" applyFill="1" applyAlignment="1"/>
    <xf numFmtId="0" fontId="5" fillId="4" borderId="0" xfId="4" applyFont="1" applyFill="1" applyAlignment="1">
      <alignment horizontal="left"/>
    </xf>
    <xf numFmtId="0" fontId="3" fillId="4" borderId="0" xfId="4" applyFill="1" applyAlignment="1"/>
    <xf numFmtId="0" fontId="5" fillId="4" borderId="0" xfId="4" applyFont="1" applyFill="1" applyAlignment="1"/>
    <xf numFmtId="10" fontId="3" fillId="4" borderId="0" xfId="4" applyNumberFormat="1" applyFill="1" applyAlignment="1"/>
    <xf numFmtId="9" fontId="3" fillId="4" borderId="0" xfId="4" applyNumberFormat="1" applyFill="1" applyAlignment="1"/>
    <xf numFmtId="180" fontId="3" fillId="4" borderId="0" xfId="4" applyNumberFormat="1" applyFill="1" applyAlignment="1"/>
  </cellXfs>
  <cellStyles count="5">
    <cellStyle name="Normal_Book1" xfId="4" xr:uid="{7E4AD387-C39D-4A04-90BF-28932496C0D4}"/>
    <cellStyle name="Normal_MerckCFs, 2000-1991" xfId="3" xr:uid="{3D2E5E9C-CD17-435A-8BC5-42A33DCE26F6}"/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MERCK--Cash Dividends versus Total Equity Cash Flow, 1991-2000</a:t>
            </a:r>
          </a:p>
        </c:rich>
      </c:tx>
      <c:layout>
        <c:manualLayout>
          <c:xMode val="edge"/>
          <c:yMode val="edge"/>
          <c:x val="0.11888111888111888"/>
          <c:y val="3.3742331288343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86713286713286"/>
          <c:y val="0.16257668711656442"/>
          <c:w val="0.71853146853146854"/>
          <c:h val="0.63190184049079756"/>
        </c:manualLayout>
      </c:layout>
      <c:lineChart>
        <c:grouping val="standard"/>
        <c:varyColors val="0"/>
        <c:ser>
          <c:idx val="1"/>
          <c:order val="0"/>
          <c:tx>
            <c:strRef>
              <c:f>Sheet1!$A$3:$A$12</c:f>
              <c:strCache>
                <c:ptCount val="1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'[1]Exercise 7'!$A$3:$A$12</c:f>
              <c:numCache>
                <c:formatCode>General</c:formatCode>
                <c:ptCount val="1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</c:numCache>
            </c:numRef>
          </c:cat>
          <c:val>
            <c:numRef>
              <c:f>Sheet1!$C$3:$C$12</c:f>
              <c:numCache>
                <c:formatCode>#,##0</c:formatCode>
                <c:ptCount val="10"/>
                <c:pt idx="0">
                  <c:v>893.2</c:v>
                </c:pt>
                <c:pt idx="1">
                  <c:v>1064.3</c:v>
                </c:pt>
                <c:pt idx="2">
                  <c:v>1174.4000000000001</c:v>
                </c:pt>
                <c:pt idx="3">
                  <c:v>1434.1</c:v>
                </c:pt>
                <c:pt idx="4">
                  <c:v>1539.8</c:v>
                </c:pt>
                <c:pt idx="5">
                  <c:v>1728.9</c:v>
                </c:pt>
                <c:pt idx="6">
                  <c:v>2039.9</c:v>
                </c:pt>
                <c:pt idx="7">
                  <c:v>2253.1</c:v>
                </c:pt>
                <c:pt idx="8">
                  <c:v>2589.6999999999998</c:v>
                </c:pt>
                <c:pt idx="9">
                  <c:v>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F2-49BC-8BFD-C9024B9F9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080296"/>
        <c:axId val="1"/>
      </c:lineChart>
      <c:lineChart>
        <c:grouping val="standard"/>
        <c:varyColors val="0"/>
        <c:ser>
          <c:idx val="0"/>
          <c:order val="1"/>
          <c:tx>
            <c:strRef>
              <c:f>Sheet1!$F$2</c:f>
              <c:strCache>
                <c:ptCount val="1"/>
                <c:pt idx="0">
                  <c:v>Total equity cash flow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'[1]Exercise 7'!$A$3:$A$12</c:f>
              <c:numCache>
                <c:formatCode>General</c:formatCode>
                <c:ptCount val="1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</c:numCache>
            </c:numRef>
          </c:cat>
          <c:val>
            <c:numRef>
              <c:f>Sheet1!$F$3:$F$12</c:f>
              <c:numCache>
                <c:formatCode>#,##0</c:formatCode>
                <c:ptCount val="10"/>
                <c:pt idx="0">
                  <c:v>996.74146880000001</c:v>
                </c:pt>
                <c:pt idx="1">
                  <c:v>1838.3935783999998</c:v>
                </c:pt>
                <c:pt idx="2">
                  <c:v>1431.4301404</c:v>
                </c:pt>
                <c:pt idx="3">
                  <c:v>1939.4250380000001</c:v>
                </c:pt>
                <c:pt idx="4">
                  <c:v>2727.4206320999997</c:v>
                </c:pt>
                <c:pt idx="5">
                  <c:v>3572.932386800001</c:v>
                </c:pt>
                <c:pt idx="6">
                  <c:v>3866.5068345000004</c:v>
                </c:pt>
                <c:pt idx="7">
                  <c:v>4900.0756873999999</c:v>
                </c:pt>
                <c:pt idx="8">
                  <c:v>5447.4279972499999</c:v>
                </c:pt>
                <c:pt idx="9">
                  <c:v>5201.7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F2-49BC-8BFD-C9024B9F9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837080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Cash dividends</a:t>
                </a:r>
              </a:p>
            </c:rich>
          </c:tx>
          <c:layout>
            <c:manualLayout>
              <c:xMode val="edge"/>
              <c:yMode val="edge"/>
              <c:x val="1.5734265734265736E-2"/>
              <c:y val="0.3251533742331288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7080296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Total equity cf</a:t>
                </a:r>
              </a:p>
            </c:rich>
          </c:tx>
          <c:layout>
            <c:manualLayout>
              <c:xMode val="edge"/>
              <c:yMode val="edge"/>
              <c:x val="0.92832167832167833"/>
              <c:y val="0.3343558282208589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986403189573765"/>
          <c:y val="0.91924097113570169"/>
          <c:w val="0.49251717039925141"/>
          <c:h val="6.888369034350219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15</xdr:row>
      <xdr:rowOff>0</xdr:rowOff>
    </xdr:from>
    <xdr:to>
      <xdr:col>6</xdr:col>
      <xdr:colOff>1165860</xdr:colOff>
      <xdr:row>32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A7F9BF-C6C0-4F76-930F-A56939617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  <sheetName val="Exercise 8"/>
      <sheetName val="Exercise 8 (中文)"/>
      <sheetName val="Exercise 9 template"/>
      <sheetName val="Exercise 9"/>
      <sheetName val="Exercise 9 (中文)"/>
      <sheetName val="Excercise 10"/>
      <sheetName val="Excercise 10 (中文)"/>
      <sheetName val="Exercise 11 template"/>
      <sheetName val="Exercise 11"/>
      <sheetName val="Exercise 11 (中文)"/>
      <sheetName val="Exercise 12 template"/>
      <sheetName val="Exercise 12"/>
      <sheetName val="Exercise 12 (中文)"/>
      <sheetName val="Exercise 13"/>
      <sheetName val="Exercise 13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C2" t="str">
            <v>Cash dividends</v>
          </cell>
          <cell r="F2" t="str">
            <v>Total equity cash flow</v>
          </cell>
        </row>
        <row r="3">
          <cell r="A3">
            <v>1991</v>
          </cell>
          <cell r="C3">
            <v>893.2</v>
          </cell>
          <cell r="F3">
            <v>996.74146880000001</v>
          </cell>
        </row>
        <row r="4">
          <cell r="A4">
            <v>1992</v>
          </cell>
          <cell r="C4">
            <v>1064.3</v>
          </cell>
          <cell r="F4">
            <v>1838.3935783999998</v>
          </cell>
        </row>
        <row r="5">
          <cell r="A5">
            <v>1993</v>
          </cell>
          <cell r="C5">
            <v>1174.4000000000001</v>
          </cell>
          <cell r="F5">
            <v>1431.4301404</v>
          </cell>
        </row>
        <row r="6">
          <cell r="A6">
            <v>1994</v>
          </cell>
          <cell r="C6">
            <v>1434.1</v>
          </cell>
          <cell r="F6">
            <v>1939.4250380000001</v>
          </cell>
        </row>
        <row r="7">
          <cell r="A7">
            <v>1995</v>
          </cell>
          <cell r="C7">
            <v>1539.8</v>
          </cell>
          <cell r="F7">
            <v>2727.4206320999997</v>
          </cell>
        </row>
        <row r="8">
          <cell r="A8">
            <v>1996</v>
          </cell>
          <cell r="C8">
            <v>1728.9</v>
          </cell>
          <cell r="F8">
            <v>3572.932386800001</v>
          </cell>
        </row>
        <row r="9">
          <cell r="A9">
            <v>1997</v>
          </cell>
          <cell r="C9">
            <v>2039.9</v>
          </cell>
          <cell r="F9">
            <v>3866.5068345000004</v>
          </cell>
        </row>
        <row r="10">
          <cell r="A10">
            <v>1998</v>
          </cell>
          <cell r="C10">
            <v>2253.1</v>
          </cell>
          <cell r="F10">
            <v>4900.0756873999999</v>
          </cell>
        </row>
        <row r="11">
          <cell r="A11">
            <v>1999</v>
          </cell>
          <cell r="C11">
            <v>2589.6999999999998</v>
          </cell>
          <cell r="F11">
            <v>5447.4279972499999</v>
          </cell>
        </row>
        <row r="12">
          <cell r="A12">
            <v>2000</v>
          </cell>
          <cell r="C12">
            <v>2798</v>
          </cell>
          <cell r="F12">
            <v>5201.7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wostagegord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45"/>
  <sheetViews>
    <sheetView tabSelected="1" topLeftCell="A3" workbookViewId="0">
      <selection activeCell="H9" sqref="H9"/>
    </sheetView>
  </sheetViews>
  <sheetFormatPr defaultRowHeight="13.8" x14ac:dyDescent="0.25"/>
  <cols>
    <col min="1" max="1" width="9.44140625" style="4" customWidth="1"/>
    <col min="2" max="2" width="10.88671875" style="4" customWidth="1"/>
    <col min="3" max="3" width="10.5546875" style="4" customWidth="1"/>
    <col min="4" max="4" width="11.44140625" style="4" customWidth="1"/>
    <col min="5" max="5" width="13.6640625" style="4" customWidth="1"/>
    <col min="6" max="6" width="9.109375" style="4"/>
    <col min="7" max="7" width="18.6640625" style="4" bestFit="1" customWidth="1"/>
    <col min="10" max="10" width="34.5546875" style="12" customWidth="1"/>
    <col min="11" max="11" width="14.5546875" style="6" customWidth="1"/>
    <col min="12" max="12" width="38.44140625" style="6" bestFit="1" customWidth="1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12" ht="66" x14ac:dyDescent="0.25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J2" s="13" t="s">
        <v>7</v>
      </c>
      <c r="K2" s="13"/>
      <c r="L2" s="14"/>
    </row>
    <row r="3" spans="1:12" ht="15.6" x14ac:dyDescent="0.35">
      <c r="A3" s="2">
        <v>1991</v>
      </c>
      <c r="B3" s="5">
        <v>184.1</v>
      </c>
      <c r="C3" s="5">
        <v>893.2</v>
      </c>
      <c r="D3" s="5">
        <v>-48.3</v>
      </c>
      <c r="E3" s="5">
        <v>-32.258531199999993</v>
      </c>
      <c r="F3" s="5">
        <f t="shared" ref="F3:F12" si="0">SUM(B3:E3)</f>
        <v>996.74146880000001</v>
      </c>
      <c r="G3" s="6" t="str">
        <f ca="1">[2]!getformula(F3)</f>
        <v>&lt;--  =SUM(B3:E3)</v>
      </c>
      <c r="J3" s="15" t="s">
        <v>8</v>
      </c>
      <c r="K3" s="14">
        <v>93.625</v>
      </c>
      <c r="L3" s="16"/>
    </row>
    <row r="4" spans="1:12" x14ac:dyDescent="0.25">
      <c r="A4" s="2">
        <v>1992</v>
      </c>
      <c r="B4" s="5">
        <v>862.9</v>
      </c>
      <c r="C4" s="5">
        <v>1064.3</v>
      </c>
      <c r="D4" s="5">
        <v>-52.2</v>
      </c>
      <c r="E4" s="5">
        <v>-36.606421599999997</v>
      </c>
      <c r="F4" s="5">
        <f t="shared" si="0"/>
        <v>1838.3935783999998</v>
      </c>
      <c r="G4" s="7"/>
      <c r="J4" s="17" t="s">
        <v>9</v>
      </c>
      <c r="K4" s="18"/>
      <c r="L4" s="14"/>
    </row>
    <row r="5" spans="1:12" x14ac:dyDescent="0.25">
      <c r="A5" s="2">
        <v>1993</v>
      </c>
      <c r="B5" s="5">
        <v>371</v>
      </c>
      <c r="C5" s="5">
        <v>1174.4000000000001</v>
      </c>
      <c r="D5" s="5">
        <v>-83.4</v>
      </c>
      <c r="E5" s="5">
        <v>-30.569859600000001</v>
      </c>
      <c r="F5" s="5">
        <f t="shared" si="0"/>
        <v>1431.4301404</v>
      </c>
      <c r="G5" s="7"/>
      <c r="J5" s="19" t="s">
        <v>10</v>
      </c>
      <c r="K5" s="29">
        <v>2968355365</v>
      </c>
      <c r="L5" s="14" t="s">
        <v>25</v>
      </c>
    </row>
    <row r="6" spans="1:12" x14ac:dyDescent="0.25">
      <c r="A6" s="2">
        <v>1994</v>
      </c>
      <c r="B6" s="5">
        <v>704.5</v>
      </c>
      <c r="C6" s="5">
        <v>1434.1</v>
      </c>
      <c r="D6" s="5">
        <v>-138.6</v>
      </c>
      <c r="E6" s="5">
        <v>-60.574962000000006</v>
      </c>
      <c r="F6" s="5">
        <f t="shared" si="0"/>
        <v>1939.4250380000001</v>
      </c>
      <c r="G6" s="8"/>
      <c r="J6" s="17" t="s">
        <v>24</v>
      </c>
      <c r="K6" s="29">
        <v>660756186</v>
      </c>
      <c r="L6" s="14" t="s">
        <v>25</v>
      </c>
    </row>
    <row r="7" spans="1:12" x14ac:dyDescent="0.25">
      <c r="A7" s="2">
        <v>1995</v>
      </c>
      <c r="B7" s="5">
        <v>1570.9</v>
      </c>
      <c r="C7" s="5">
        <v>1539.8</v>
      </c>
      <c r="D7" s="5">
        <v>-264</v>
      </c>
      <c r="E7" s="5">
        <v>-119.2793679</v>
      </c>
      <c r="F7" s="5">
        <f t="shared" si="0"/>
        <v>2727.4206320999997</v>
      </c>
      <c r="G7" s="8"/>
      <c r="J7" s="15" t="s">
        <v>11</v>
      </c>
      <c r="K7" s="20">
        <f>K5-K6</f>
        <v>2307599179</v>
      </c>
      <c r="L7" s="14"/>
    </row>
    <row r="8" spans="1:12" x14ac:dyDescent="0.25">
      <c r="A8" s="2">
        <v>1996</v>
      </c>
      <c r="B8" s="5">
        <v>2493.3000000000002</v>
      </c>
      <c r="C8" s="5">
        <v>1728.9</v>
      </c>
      <c r="D8" s="5">
        <v>-442.2</v>
      </c>
      <c r="E8" s="5">
        <v>-207.06761319999998</v>
      </c>
      <c r="F8" s="5">
        <f t="shared" si="0"/>
        <v>3572.932386800001</v>
      </c>
      <c r="G8" s="9"/>
      <c r="J8" s="19"/>
      <c r="K8" s="21"/>
      <c r="L8" s="14"/>
    </row>
    <row r="9" spans="1:12" x14ac:dyDescent="0.25">
      <c r="A9" s="2">
        <v>1997</v>
      </c>
      <c r="B9" s="5">
        <v>2572.8000000000002</v>
      </c>
      <c r="C9" s="5">
        <v>2039.9</v>
      </c>
      <c r="D9" s="5">
        <v>-413.3</v>
      </c>
      <c r="E9" s="5">
        <v>-332.89316549999995</v>
      </c>
      <c r="F9" s="5">
        <f t="shared" si="0"/>
        <v>3866.5068345000004</v>
      </c>
      <c r="J9" s="17" t="s">
        <v>12</v>
      </c>
      <c r="K9" s="21">
        <f>K7*K3/1000000</f>
        <v>216048.973133875</v>
      </c>
      <c r="L9" s="14" t="str">
        <f ca="1">[2]!getformula(K9)</f>
        <v>&lt;--  =K7*K3/1000000</v>
      </c>
    </row>
    <row r="10" spans="1:12" x14ac:dyDescent="0.25">
      <c r="A10" s="2">
        <v>1998</v>
      </c>
      <c r="B10" s="5">
        <v>3625.5</v>
      </c>
      <c r="C10" s="5">
        <v>2253.1</v>
      </c>
      <c r="D10" s="5">
        <v>-490.1</v>
      </c>
      <c r="E10" s="5">
        <v>-488.42431260000001</v>
      </c>
      <c r="F10" s="5">
        <f t="shared" si="0"/>
        <v>4900.0756873999999</v>
      </c>
      <c r="J10" s="22" t="s">
        <v>13</v>
      </c>
      <c r="K10" s="31">
        <f>F12</f>
        <v>5201.7</v>
      </c>
      <c r="L10" s="14" t="str">
        <f ca="1">[2]!getformula(K10)</f>
        <v>&lt;--  =F12</v>
      </c>
    </row>
    <row r="11" spans="1:12" x14ac:dyDescent="0.25">
      <c r="A11" s="2">
        <v>1999</v>
      </c>
      <c r="B11" s="5">
        <v>3582.1</v>
      </c>
      <c r="C11" s="5">
        <v>2589.6999999999998</v>
      </c>
      <c r="D11" s="5">
        <v>-322.89999999999998</v>
      </c>
      <c r="E11" s="5">
        <v>-401.47200275</v>
      </c>
      <c r="F11" s="5">
        <f t="shared" si="0"/>
        <v>5447.4279972499999</v>
      </c>
      <c r="J11" s="22"/>
      <c r="K11" s="23"/>
      <c r="L11" s="22"/>
    </row>
    <row r="12" spans="1:12" ht="15.6" x14ac:dyDescent="0.35">
      <c r="A12" s="2">
        <v>2000</v>
      </c>
      <c r="B12" s="5">
        <v>3545.4</v>
      </c>
      <c r="C12" s="5">
        <v>2798</v>
      </c>
      <c r="D12" s="5">
        <v>-640.70000000000005</v>
      </c>
      <c r="E12" s="5">
        <v>-501</v>
      </c>
      <c r="F12" s="30">
        <f t="shared" si="0"/>
        <v>5201.7</v>
      </c>
      <c r="G12" s="5"/>
      <c r="J12" s="22" t="s">
        <v>14</v>
      </c>
      <c r="K12" s="24">
        <f>F14</f>
        <v>0.20151500032200986</v>
      </c>
      <c r="L12" s="14" t="str">
        <f ca="1">[2]!getformula(K12)</f>
        <v>&lt;--  =F14</v>
      </c>
    </row>
    <row r="13" spans="1:12" x14ac:dyDescent="0.25">
      <c r="J13" s="22" t="s">
        <v>15</v>
      </c>
      <c r="K13" s="25">
        <v>4</v>
      </c>
      <c r="L13" s="22"/>
    </row>
    <row r="14" spans="1:12" ht="15.6" x14ac:dyDescent="0.35">
      <c r="A14" s="4" t="s">
        <v>6</v>
      </c>
      <c r="B14" s="10">
        <f>(B12/B3)^(1/9)-1</f>
        <v>0.38910350062126842</v>
      </c>
      <c r="C14" s="10">
        <f>(C12/C3)^(1/9)-1</f>
        <v>0.135271899977917</v>
      </c>
      <c r="F14" s="10">
        <f>(F12/F3)^(1/9)-1</f>
        <v>0.20151500032200986</v>
      </c>
      <c r="G14" s="6" t="str">
        <f ca="1">[2]!getformula(F14)</f>
        <v>&lt;--  =(F12/F3)^(1/9)-1</v>
      </c>
      <c r="J14" s="22" t="s">
        <v>16</v>
      </c>
      <c r="K14" s="26">
        <v>0.06</v>
      </c>
      <c r="L14" s="22"/>
    </row>
    <row r="15" spans="1:12" x14ac:dyDescent="0.25">
      <c r="J15" s="22"/>
      <c r="K15" s="22"/>
      <c r="L15" s="22"/>
    </row>
    <row r="16" spans="1:12" ht="28.8" x14ac:dyDescent="0.25">
      <c r="J16" s="27" t="s">
        <v>17</v>
      </c>
      <c r="K16" s="28">
        <f>[2]!twostagegordon(K9,K10,K12,K13,K14)</f>
        <v>0.10112938052043319</v>
      </c>
      <c r="L16" s="22" t="str">
        <f ca="1">[2]!getformula(K16)</f>
        <v>&lt;--  =twostagegordon(K9,K10,K12,K13,K14)</v>
      </c>
    </row>
    <row r="17" spans="1:12" x14ac:dyDescent="0.25">
      <c r="J17" s="15"/>
      <c r="K17" s="14"/>
      <c r="L17" s="14"/>
    </row>
    <row r="18" spans="1:12" x14ac:dyDescent="0.25">
      <c r="J18" s="15"/>
      <c r="K18" s="14"/>
      <c r="L18" s="14"/>
    </row>
    <row r="19" spans="1:12" x14ac:dyDescent="0.25">
      <c r="J19" s="32" t="s">
        <v>18</v>
      </c>
      <c r="K19" s="33"/>
      <c r="L19" s="14"/>
    </row>
    <row r="20" spans="1:12" x14ac:dyDescent="0.25">
      <c r="J20" s="34" t="s">
        <v>19</v>
      </c>
      <c r="K20" s="33"/>
      <c r="L20" s="14"/>
    </row>
    <row r="21" spans="1:12" x14ac:dyDescent="0.25">
      <c r="J21" s="33" t="s">
        <v>20</v>
      </c>
      <c r="K21" s="33">
        <v>0.55000000000000004</v>
      </c>
      <c r="L21" s="14"/>
    </row>
    <row r="22" spans="1:12" x14ac:dyDescent="0.25">
      <c r="J22" s="33" t="s">
        <v>21</v>
      </c>
      <c r="K22" s="35">
        <v>5.2999999999999999E-2</v>
      </c>
      <c r="L22" s="14"/>
    </row>
    <row r="23" spans="1:12" x14ac:dyDescent="0.25">
      <c r="J23" s="33" t="s">
        <v>22</v>
      </c>
      <c r="K23" s="36">
        <v>0.05</v>
      </c>
      <c r="L23" s="14"/>
    </row>
    <row r="24" spans="1:12" x14ac:dyDescent="0.25">
      <c r="J24" s="33" t="s">
        <v>23</v>
      </c>
      <c r="K24" s="37">
        <f>K22+K21*K23</f>
        <v>8.0500000000000002E-2</v>
      </c>
      <c r="L24" s="14" t="str">
        <f ca="1">[2]!getformula(K24)</f>
        <v>&lt;--  =K22+K21*K23</v>
      </c>
    </row>
    <row r="30" spans="1:12" x14ac:dyDescent="0.25">
      <c r="A30" s="11"/>
    </row>
    <row r="44" spans="2:2" x14ac:dyDescent="0.25">
      <c r="B44" s="10"/>
    </row>
    <row r="45" spans="2:2" x14ac:dyDescent="0.25">
      <c r="B45" s="10"/>
    </row>
  </sheetData>
  <mergeCells count="2">
    <mergeCell ref="A1:G1"/>
    <mergeCell ref="J2:K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2024-10-11T05:37:25Z</dcterms:modified>
</cp:coreProperties>
</file>