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59B7F07F-E84C-4849-ADFA-224A56692F40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8" i="1" l="1"/>
  <c r="B39" i="1" s="1"/>
  <c r="A38" i="1"/>
  <c r="B35" i="1"/>
  <c r="B36" i="1" s="1"/>
  <c r="A35" i="1"/>
  <c r="B32" i="1"/>
  <c r="B33" i="1" s="1"/>
  <c r="A32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A7" i="1"/>
  <c r="A6" i="1"/>
  <c r="A5" i="1"/>
  <c r="B3" i="1"/>
  <c r="C39" i="1"/>
  <c r="C38" i="1"/>
  <c r="C36" i="1"/>
  <c r="C35" i="1"/>
  <c r="C33" i="1"/>
  <c r="C32" i="1"/>
  <c r="D12" i="1"/>
  <c r="D11" i="1"/>
  <c r="C7" i="1"/>
  <c r="C6" i="1"/>
  <c r="C5" i="1"/>
  <c r="C3" i="1"/>
  <c r="B7" i="1" l="1"/>
  <c r="B5" i="1"/>
  <c r="B6" i="1"/>
</calcChain>
</file>

<file path=xl/sharedStrings.xml><?xml version="1.0" encoding="utf-8"?>
<sst xmlns="http://schemas.openxmlformats.org/spreadsheetml/2006/main" count="11" uniqueCount="9">
  <si>
    <r>
      <t>CASCADE: 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BASED ON DIVIDENDS
</t>
    </r>
    <r>
      <rPr>
        <b/>
        <sz val="12"/>
        <rFont val="Arial"/>
        <family val="2"/>
      </rPr>
      <t>Dividend growth rate computed on daily basis</t>
    </r>
  </si>
  <si>
    <t>Share price, 31jan06</t>
  </si>
  <si>
    <r>
      <t>Current dividend, D</t>
    </r>
    <r>
      <rPr>
        <vertAlign val="subscript"/>
        <sz val="10"/>
        <rFont val="Arial"/>
        <family val="2"/>
      </rPr>
      <t>0</t>
    </r>
  </si>
  <si>
    <r>
      <t>Gordon cost of equity, r</t>
    </r>
    <r>
      <rPr>
        <vertAlign val="subscript"/>
        <sz val="10"/>
        <rFont val="Arial"/>
        <family val="2"/>
      </rPr>
      <t>E</t>
    </r>
  </si>
  <si>
    <t>Date</t>
  </si>
  <si>
    <t>Dividends
per share</t>
  </si>
  <si>
    <t>Days between dividend payments</t>
  </si>
  <si>
    <t>Computing the growth rate of dividends</t>
  </si>
  <si>
    <t>Annualized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</si>
</sst>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%"/>
    <numFmt numFmtId="177" formatCode="0.000%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6">
    <xf numFmtId="0" fontId="0" fillId="0" borderId="0" xfId="0">
      <alignment vertical="center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3" fillId="0" borderId="0" xfId="2"/>
    <xf numFmtId="2" fontId="3" fillId="0" borderId="0" xfId="2" applyNumberFormat="1"/>
    <xf numFmtId="0" fontId="3" fillId="2" borderId="0" xfId="2" applyFill="1"/>
    <xf numFmtId="10" fontId="3" fillId="2" borderId="0" xfId="2" applyNumberFormat="1" applyFill="1"/>
    <xf numFmtId="10" fontId="3" fillId="2" borderId="0" xfId="1" applyNumberFormat="1" applyFont="1" applyFill="1" applyAlignment="1"/>
    <xf numFmtId="0" fontId="8" fillId="0" borderId="0" xfId="2" applyFont="1" applyAlignment="1">
      <alignment horizontal="center"/>
    </xf>
    <xf numFmtId="0" fontId="8" fillId="0" borderId="0" xfId="2" applyFont="1" applyAlignment="1">
      <alignment horizontal="center" wrapText="1"/>
    </xf>
    <xf numFmtId="0" fontId="3" fillId="0" borderId="0" xfId="2" applyAlignment="1">
      <alignment horizontal="center"/>
    </xf>
    <xf numFmtId="0" fontId="8" fillId="0" borderId="0" xfId="2" applyFont="1"/>
    <xf numFmtId="176" fontId="3" fillId="0" borderId="0" xfId="1" applyNumberFormat="1" applyFont="1" applyAlignment="1"/>
    <xf numFmtId="177" fontId="3" fillId="0" borderId="0" xfId="1" applyNumberFormat="1" applyFont="1" applyAlignment="1"/>
    <xf numFmtId="14" fontId="3" fillId="0" borderId="0" xfId="2" applyNumberFormat="1" applyAlignment="1">
      <alignment horizontal="center"/>
    </xf>
    <xf numFmtId="0" fontId="3" fillId="3" borderId="0" xfId="2" applyFill="1"/>
  </cellXfs>
  <cellStyles count="3">
    <cellStyle name="Normal_Cascade Corp" xfId="2" xr:uid="{88A964AF-40E3-4F79-9FC8-E48ECA0D63BA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39"/>
  <sheetViews>
    <sheetView tabSelected="1" workbookViewId="0">
      <selection activeCell="A21" sqref="A21"/>
    </sheetView>
  </sheetViews>
  <sheetFormatPr defaultRowHeight="13.8" x14ac:dyDescent="0.25"/>
  <cols>
    <col min="1" max="1" width="35.5546875" style="3" customWidth="1"/>
    <col min="2" max="2" width="13" style="3" customWidth="1"/>
    <col min="3" max="3" width="19.33203125" style="3" customWidth="1"/>
    <col min="4" max="4" width="12.6640625" style="3" bestFit="1" customWidth="1"/>
  </cols>
  <sheetData>
    <row r="1" spans="1:4" ht="17.399999999999999" x14ac:dyDescent="0.25">
      <c r="A1" s="1" t="s">
        <v>0</v>
      </c>
      <c r="B1" s="2"/>
      <c r="C1" s="2"/>
      <c r="D1" s="2"/>
    </row>
    <row r="2" spans="1:4" x14ac:dyDescent="0.25">
      <c r="A2" s="3" t="s">
        <v>1</v>
      </c>
      <c r="B2" s="3">
        <v>50.69</v>
      </c>
    </row>
    <row r="3" spans="1:4" ht="15.6" x14ac:dyDescent="0.35">
      <c r="A3" s="3" t="s">
        <v>2</v>
      </c>
      <c r="B3" s="4">
        <f>B29*4</f>
        <v>0.6</v>
      </c>
      <c r="C3" s="3" t="str">
        <f ca="1">[1]!getformula(B3)</f>
        <v>&lt;--  =B29*4</v>
      </c>
    </row>
    <row r="4" spans="1:4" ht="15.6" x14ac:dyDescent="0.35">
      <c r="A4" s="15" t="s">
        <v>3</v>
      </c>
    </row>
    <row r="5" spans="1:4" x14ac:dyDescent="0.25">
      <c r="A5" s="5" t="str">
        <f>"      Using growth since "&amp;TEXT(A10,"dd-mmm-yy")</f>
        <v xml:space="preserve">      Using growth since 16-Feb-99</v>
      </c>
      <c r="B5" s="6">
        <f>B3*(1+B33)/B2+B33</f>
        <v>7.32150017796106E-2</v>
      </c>
      <c r="C5" s="3" t="str">
        <f ca="1">[1]!getformula(B5)</f>
        <v>&lt;--  =B3*(1+B33)/B2+B33</v>
      </c>
    </row>
    <row r="6" spans="1:4" x14ac:dyDescent="0.25">
      <c r="A6" s="5" t="str">
        <f>"      Using growth since "&amp;TEXT(A21,"dd-mmm-yy")</f>
        <v xml:space="preserve">      Using growth since 02-Jan-04</v>
      </c>
      <c r="B6" s="7">
        <f>B3*(1+B36)/B2+B36</f>
        <v>0.18107011443162987</v>
      </c>
      <c r="C6" s="3" t="str">
        <f ca="1">[1]!getformula(B6)</f>
        <v>&lt;--  =B3*(1+B36)/B2+B36</v>
      </c>
    </row>
    <row r="7" spans="1:4" x14ac:dyDescent="0.25">
      <c r="A7" s="5" t="str">
        <f>"      Using growth since "&amp;TEXT(A25,"dd-mmm-yy")</f>
        <v xml:space="preserve">      Using growth since 29-Dec-04</v>
      </c>
      <c r="B7" s="7">
        <f>B3*(1+B39)/B2+B39</f>
        <v>0.26098762946432907</v>
      </c>
      <c r="C7" s="3" t="str">
        <f ca="1">[1]!getformula(B7)</f>
        <v>&lt;--  =B3*(1+B39)/B2+B39</v>
      </c>
    </row>
    <row r="9" spans="1:4" ht="26.4" x14ac:dyDescent="0.25">
      <c r="A9" s="8" t="s">
        <v>4</v>
      </c>
      <c r="B9" s="9" t="s">
        <v>5</v>
      </c>
      <c r="C9" s="9" t="s">
        <v>6</v>
      </c>
    </row>
    <row r="10" spans="1:4" x14ac:dyDescent="0.25">
      <c r="A10" s="14">
        <v>36207</v>
      </c>
      <c r="B10" s="4">
        <v>0.1</v>
      </c>
    </row>
    <row r="11" spans="1:4" x14ac:dyDescent="0.25">
      <c r="A11" s="14">
        <v>36298</v>
      </c>
      <c r="B11" s="4">
        <v>0.1</v>
      </c>
      <c r="C11" s="10">
        <f t="shared" ref="C11:C29" si="0">A11-A10</f>
        <v>91</v>
      </c>
      <c r="D11" s="3" t="str">
        <f ca="1">[1]!getformula(C11)</f>
        <v>&lt;--  =A11-A10</v>
      </c>
    </row>
    <row r="12" spans="1:4" x14ac:dyDescent="0.25">
      <c r="A12" s="14">
        <v>36389</v>
      </c>
      <c r="B12" s="4">
        <v>0.1</v>
      </c>
      <c r="C12" s="10">
        <f t="shared" si="0"/>
        <v>91</v>
      </c>
      <c r="D12" s="3" t="str">
        <f ca="1">[1]!getformula(C12)</f>
        <v>&lt;--  =A12-A11</v>
      </c>
    </row>
    <row r="13" spans="1:4" x14ac:dyDescent="0.25">
      <c r="A13" s="14">
        <v>36495</v>
      </c>
      <c r="B13" s="4">
        <v>0.1</v>
      </c>
      <c r="C13" s="10">
        <f t="shared" si="0"/>
        <v>106</v>
      </c>
    </row>
    <row r="14" spans="1:4" x14ac:dyDescent="0.25">
      <c r="A14" s="14">
        <v>36578</v>
      </c>
      <c r="B14" s="4">
        <v>0.1</v>
      </c>
      <c r="C14" s="10">
        <f t="shared" si="0"/>
        <v>83</v>
      </c>
    </row>
    <row r="15" spans="1:4" x14ac:dyDescent="0.25">
      <c r="A15" s="14">
        <v>36662</v>
      </c>
      <c r="B15" s="4">
        <v>0.1</v>
      </c>
      <c r="C15" s="10">
        <f t="shared" si="0"/>
        <v>84</v>
      </c>
    </row>
    <row r="16" spans="1:4" x14ac:dyDescent="0.25">
      <c r="A16" s="14">
        <v>36762</v>
      </c>
      <c r="B16" s="4">
        <v>0.1</v>
      </c>
      <c r="C16" s="10">
        <f t="shared" si="0"/>
        <v>100</v>
      </c>
    </row>
    <row r="17" spans="1:3" x14ac:dyDescent="0.25">
      <c r="A17" s="14">
        <v>37589</v>
      </c>
      <c r="B17" s="4">
        <v>0.1</v>
      </c>
      <c r="C17" s="10">
        <f t="shared" si="0"/>
        <v>827</v>
      </c>
    </row>
    <row r="18" spans="1:3" x14ac:dyDescent="0.25">
      <c r="A18" s="14">
        <v>37706</v>
      </c>
      <c r="B18" s="4">
        <v>0.1</v>
      </c>
      <c r="C18" s="10">
        <f t="shared" si="0"/>
        <v>117</v>
      </c>
    </row>
    <row r="19" spans="1:3" x14ac:dyDescent="0.25">
      <c r="A19" s="14">
        <v>37797</v>
      </c>
      <c r="B19" s="4">
        <v>0.1</v>
      </c>
      <c r="C19" s="10">
        <f t="shared" si="0"/>
        <v>91</v>
      </c>
    </row>
    <row r="20" spans="1:3" x14ac:dyDescent="0.25">
      <c r="A20" s="14">
        <v>37882</v>
      </c>
      <c r="B20" s="4">
        <v>0.1</v>
      </c>
      <c r="C20" s="10">
        <f t="shared" si="0"/>
        <v>85</v>
      </c>
    </row>
    <row r="21" spans="1:3" x14ac:dyDescent="0.25">
      <c r="A21" s="14">
        <v>37988</v>
      </c>
      <c r="B21" s="4">
        <v>0.11</v>
      </c>
      <c r="C21" s="10">
        <f t="shared" si="0"/>
        <v>106</v>
      </c>
    </row>
    <row r="22" spans="1:3" x14ac:dyDescent="0.25">
      <c r="A22" s="14">
        <v>38075</v>
      </c>
      <c r="B22" s="4">
        <v>0.11</v>
      </c>
      <c r="C22" s="10">
        <f t="shared" si="0"/>
        <v>87</v>
      </c>
    </row>
    <row r="23" spans="1:3" x14ac:dyDescent="0.25">
      <c r="A23" s="14">
        <v>38161</v>
      </c>
      <c r="B23" s="4">
        <v>0.11</v>
      </c>
      <c r="C23" s="10">
        <f t="shared" si="0"/>
        <v>86</v>
      </c>
    </row>
    <row r="24" spans="1:3" x14ac:dyDescent="0.25">
      <c r="A24" s="14">
        <v>38250</v>
      </c>
      <c r="B24" s="4">
        <v>0.11</v>
      </c>
      <c r="C24" s="10">
        <f t="shared" si="0"/>
        <v>89</v>
      </c>
    </row>
    <row r="25" spans="1:3" x14ac:dyDescent="0.25">
      <c r="A25" s="14">
        <v>38350</v>
      </c>
      <c r="B25" s="4">
        <v>0.12</v>
      </c>
      <c r="C25" s="10">
        <f t="shared" si="0"/>
        <v>100</v>
      </c>
    </row>
    <row r="26" spans="1:3" x14ac:dyDescent="0.25">
      <c r="A26" s="14">
        <v>38439</v>
      </c>
      <c r="B26" s="4">
        <v>0.12</v>
      </c>
      <c r="C26" s="10">
        <f t="shared" si="0"/>
        <v>89</v>
      </c>
    </row>
    <row r="27" spans="1:3" x14ac:dyDescent="0.25">
      <c r="A27" s="14">
        <v>38534</v>
      </c>
      <c r="B27" s="4">
        <v>0.12</v>
      </c>
      <c r="C27" s="10">
        <f t="shared" si="0"/>
        <v>95</v>
      </c>
    </row>
    <row r="28" spans="1:3" x14ac:dyDescent="0.25">
      <c r="A28" s="14">
        <v>38629</v>
      </c>
      <c r="B28" s="4">
        <v>0.15</v>
      </c>
      <c r="C28" s="10">
        <f t="shared" si="0"/>
        <v>95</v>
      </c>
    </row>
    <row r="29" spans="1:3" x14ac:dyDescent="0.25">
      <c r="A29" s="14">
        <v>38720</v>
      </c>
      <c r="B29" s="3">
        <v>0.15</v>
      </c>
      <c r="C29" s="10">
        <f t="shared" si="0"/>
        <v>91</v>
      </c>
    </row>
    <row r="31" spans="1:3" x14ac:dyDescent="0.25">
      <c r="A31" s="11" t="s">
        <v>7</v>
      </c>
    </row>
    <row r="32" spans="1:3" x14ac:dyDescent="0.25">
      <c r="A32" s="3" t="str">
        <f>"Daily growth, "&amp;TEXT(A10,"dd-mmm-yy")&amp;" - "&amp;TEXT(A29,"dd-mmm-yy")</f>
        <v>Daily growth, 16-Feb-99 - 03-Jan-06</v>
      </c>
      <c r="B32" s="12">
        <f>(B29/B10)^(1/(A29-A10))-1</f>
        <v>1.613600557759387E-4</v>
      </c>
      <c r="C32" s="3" t="str">
        <f ca="1">[1]!getformula(B32)</f>
        <v>&lt;--  =(B29/B10)^(1/(A29-A10))-1</v>
      </c>
    </row>
    <row r="33" spans="1:3" x14ac:dyDescent="0.25">
      <c r="A33" s="5" t="s">
        <v>8</v>
      </c>
      <c r="B33" s="7">
        <f>(1+B32)^365-1</f>
        <v>6.0660332232568948E-2</v>
      </c>
      <c r="C33" s="3" t="str">
        <f ca="1">[1]!getformula(B33)</f>
        <v>&lt;--  =(1+B32)^365-1</v>
      </c>
    </row>
    <row r="35" spans="1:3" x14ac:dyDescent="0.25">
      <c r="A35" s="3" t="str">
        <f>"Daily growth, "&amp;TEXT(A21,"dd-mmm-yy")&amp;" - "&amp;TEXT(A29,"dd-mmm-yy")</f>
        <v>Daily growth, 02-Jan-04 - 03-Jan-06</v>
      </c>
      <c r="B35" s="12">
        <f>(B29/B21)^(1/(A29-A21))-1</f>
        <v>4.237986957509321E-4</v>
      </c>
      <c r="C35" s="3" t="str">
        <f ca="1">[1]!getformula(B35)</f>
        <v>&lt;--  =(B29/B21)^(1/(A29-A21))-1</v>
      </c>
    </row>
    <row r="36" spans="1:3" x14ac:dyDescent="0.25">
      <c r="A36" s="5" t="s">
        <v>8</v>
      </c>
      <c r="B36" s="7">
        <f>(1+B35)^365-1</f>
        <v>0.16725373563149382</v>
      </c>
      <c r="C36" s="3" t="str">
        <f ca="1">[1]!getformula(B36)</f>
        <v>&lt;--  =(1+B35)^365-1</v>
      </c>
    </row>
    <row r="38" spans="1:3" x14ac:dyDescent="0.25">
      <c r="A38" s="3" t="str">
        <f>"Daily growth, "&amp;TEXT(A25,"dd-mmm-yy")&amp;" - "&amp;TEXT(A29,"dd-mmm-yy")</f>
        <v>Daily growth, 29-Dec-04 - 03-Jan-06</v>
      </c>
      <c r="B38" s="13">
        <f>(B29/B25)^(1/(A29-A25))-1</f>
        <v>6.032725749760548E-4</v>
      </c>
      <c r="C38" s="3" t="str">
        <f ca="1">[1]!getformula(B38)</f>
        <v>&lt;--  =(B29/B25)^(1/(A29-A25))-1</v>
      </c>
    </row>
    <row r="39" spans="1:3" x14ac:dyDescent="0.25">
      <c r="A39" s="5" t="s">
        <v>8</v>
      </c>
      <c r="B39" s="7">
        <f>(1+B38)^365-1</f>
        <v>0.2462363606462632</v>
      </c>
      <c r="C39" s="3" t="str">
        <f ca="1">[1]!getformula(B39)</f>
        <v>&lt;--  =(1+B38)^365-1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2024-10-09T08:02:31Z</dcterms:modified>
</cp:coreProperties>
</file>