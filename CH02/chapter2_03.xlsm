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AA94048B-6EF4-4418-90AD-F19A093A14ED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1" l="1"/>
  <c r="B11" i="1"/>
  <c r="B8" i="1"/>
  <c r="B7" i="1"/>
  <c r="B5" i="1"/>
  <c r="B4" i="1"/>
  <c r="C12" i="1"/>
  <c r="C11" i="1"/>
  <c r="C5" i="1"/>
</calcChain>
</file>

<file path=xl/sharedStrings.xml><?xml version="1.0" encoding="utf-8"?>
<sst xmlns="http://schemas.openxmlformats.org/spreadsheetml/2006/main" count="11" uniqueCount="11">
  <si>
    <r>
      <t xml:space="preserve">Kellogg </t>
    </r>
    <r>
      <rPr>
        <sz val="10"/>
        <rFont val="宋体"/>
        <family val="3"/>
        <charset val="134"/>
      </rPr>
      <t>股票价格</t>
    </r>
    <r>
      <rPr>
        <sz val="11"/>
        <color theme="1"/>
        <rFont val="等线"/>
        <family val="2"/>
        <charset val="134"/>
        <scheme val="minor"/>
      </rPr>
      <t>, P</t>
    </r>
    <r>
      <rPr>
        <vertAlign val="subscript"/>
        <sz val="10"/>
        <rFont val="Arial"/>
        <family val="2"/>
      </rPr>
      <t>0,</t>
    </r>
    <r>
      <rPr>
        <sz val="10"/>
        <rFont val="Arial"/>
        <family val="2"/>
      </rPr>
      <t xml:space="preserve"> </t>
    </r>
    <r>
      <rPr>
        <sz val="11"/>
        <color theme="1"/>
        <rFont val="等线"/>
        <family val="2"/>
        <charset val="134"/>
        <scheme val="minor"/>
      </rPr>
      <t>5</t>
    </r>
    <r>
      <rPr>
        <sz val="10"/>
        <rFont val="宋体"/>
        <family val="3"/>
        <charset val="134"/>
      </rPr>
      <t>月</t>
    </r>
    <r>
      <rPr>
        <sz val="11"/>
        <color theme="1"/>
        <rFont val="等线"/>
        <family val="2"/>
        <charset val="134"/>
        <scheme val="minor"/>
      </rPr>
      <t>30</t>
    </r>
    <r>
      <rPr>
        <sz val="10"/>
        <rFont val="宋体"/>
        <family val="3"/>
        <charset val="134"/>
      </rPr>
      <t>日</t>
    </r>
    <r>
      <rPr>
        <sz val="11"/>
        <color theme="1"/>
        <rFont val="等线"/>
        <family val="2"/>
        <charset val="134"/>
        <scheme val="minor"/>
      </rPr>
      <t>,</t>
    </r>
    <r>
      <rPr>
        <sz val="10"/>
        <rFont val="Arial"/>
        <family val="2"/>
      </rPr>
      <t xml:space="preserve"> 2006</t>
    </r>
    <phoneticPr fontId="2" type="noConversion"/>
  </si>
  <si>
    <t>目前股利</t>
    <phoneticPr fontId="2" type="noConversion"/>
  </si>
  <si>
    <t>按季计算</t>
    <phoneticPr fontId="2" type="noConversion"/>
  </si>
  <si>
    <t>按年计算，Div0</t>
    <phoneticPr fontId="2" type="noConversion"/>
  </si>
  <si>
    <r>
      <t>股利增长率</t>
    </r>
    <r>
      <rPr>
        <sz val="11"/>
        <color theme="1"/>
        <rFont val="等线"/>
        <family val="2"/>
        <charset val="134"/>
        <scheme val="minor"/>
      </rPr>
      <t xml:space="preserve">, </t>
    </r>
    <r>
      <rPr>
        <sz val="10"/>
        <rFont val="Arial"/>
        <family val="2"/>
      </rPr>
      <t>g</t>
    </r>
    <phoneticPr fontId="2" type="noConversion"/>
  </si>
  <si>
    <t>过去5年</t>
    <phoneticPr fontId="2" type="noConversion"/>
  </si>
  <si>
    <t>过去10年</t>
    <phoneticPr fontId="2" type="noConversion"/>
  </si>
  <si>
    <t>戈登模型下的权益成本</t>
    <phoneticPr fontId="2" type="noConversion"/>
  </si>
  <si>
    <r>
      <t xml:space="preserve">  </t>
    </r>
    <r>
      <rPr>
        <sz val="10"/>
        <rFont val="宋体"/>
        <family val="3"/>
        <charset val="134"/>
      </rPr>
      <t>运用过去</t>
    </r>
    <r>
      <rPr>
        <sz val="11"/>
        <color theme="1"/>
        <rFont val="等线"/>
        <family val="2"/>
        <charset val="134"/>
        <scheme val="minor"/>
      </rPr>
      <t>5</t>
    </r>
    <r>
      <rPr>
        <sz val="10"/>
        <rFont val="宋体"/>
        <family val="3"/>
        <charset val="134"/>
      </rPr>
      <t>年的增长率</t>
    </r>
    <phoneticPr fontId="2" type="noConversion"/>
  </si>
  <si>
    <r>
      <t xml:space="preserve">   </t>
    </r>
    <r>
      <rPr>
        <sz val="10"/>
        <rFont val="宋体"/>
        <family val="3"/>
        <charset val="134"/>
      </rPr>
      <t>运用过去</t>
    </r>
    <r>
      <rPr>
        <sz val="11"/>
        <color theme="1"/>
        <rFont val="等线"/>
        <family val="2"/>
        <charset val="134"/>
        <scheme val="minor"/>
      </rPr>
      <t>10</t>
    </r>
    <r>
      <rPr>
        <sz val="10"/>
        <rFont val="宋体"/>
        <family val="3"/>
        <charset val="134"/>
      </rPr>
      <t>年的增长率</t>
    </r>
    <phoneticPr fontId="2" type="noConversion"/>
  </si>
  <si>
    <r>
      <t>运用戈登模型计算</t>
    </r>
    <r>
      <rPr>
        <b/>
        <sz val="22"/>
        <rFont val="Arial"/>
        <family val="2"/>
      </rPr>
      <t>Kellog</t>
    </r>
    <r>
      <rPr>
        <b/>
        <sz val="22"/>
        <rFont val="宋体"/>
        <family val="3"/>
        <charset val="134"/>
      </rPr>
      <t>的权益成本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</si>
</sst>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8"/>
      <name val="Arial"/>
      <family val="2"/>
    </font>
    <font>
      <sz val="10"/>
      <name val="宋体"/>
      <family val="3"/>
      <charset val="134"/>
    </font>
    <font>
      <vertAlign val="subscript"/>
      <sz val="10"/>
      <name val="Arial"/>
      <family val="2"/>
    </font>
    <font>
      <sz val="10"/>
      <name val="Arial"/>
      <family val="2"/>
    </font>
    <font>
      <b/>
      <sz val="22"/>
      <name val="宋体"/>
      <family val="3"/>
      <charset val="134"/>
    </font>
    <font>
      <b/>
      <sz val="22"/>
      <name val="Arial"/>
      <family val="2"/>
    </font>
    <font>
      <sz val="22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10" fontId="0" fillId="0" borderId="0" xfId="0" applyNumberFormat="1" applyAlignment="1"/>
    <xf numFmtId="0" fontId="6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0" fontId="3" fillId="0" borderId="0" xfId="0" applyNumberFormat="1" applyFont="1" applyAlignment="1">
      <alignment horizontal="center"/>
    </xf>
    <xf numFmtId="0" fontId="0" fillId="0" borderId="0" xfId="0" applyFill="1" applyAlignment="1">
      <alignment horizontal="center"/>
    </xf>
    <xf numFmtId="10" fontId="0" fillId="0" borderId="0" xfId="0" applyNumberFormat="1" applyFill="1" applyAlignment="1"/>
    <xf numFmtId="0" fontId="0" fillId="0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02\chapter2_02.xlsm" TargetMode="External"/><Relationship Id="rId1" Type="http://schemas.openxmlformats.org/officeDocument/2006/relationships/externalLinkPath" Target="chapter2_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7">
          <cell r="B7">
            <v>1.9025037903923181E-2</v>
          </cell>
        </row>
        <row r="8">
          <cell r="B8">
            <v>3.609843677195923E-2</v>
          </cell>
        </row>
        <row r="51">
          <cell r="B51">
            <v>0.27800000000000002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3"/>
  <sheetViews>
    <sheetView tabSelected="1" workbookViewId="0">
      <selection activeCell="B16" sqref="B16"/>
    </sheetView>
  </sheetViews>
  <sheetFormatPr defaultRowHeight="13.8" x14ac:dyDescent="0.25"/>
  <cols>
    <col min="1" max="1" width="33.5546875" bestFit="1" customWidth="1"/>
    <col min="2" max="2" width="16" customWidth="1"/>
    <col min="3" max="3" width="25.5546875" customWidth="1"/>
  </cols>
  <sheetData>
    <row r="1" spans="1:3" ht="28.2" x14ac:dyDescent="0.25">
      <c r="A1" s="5" t="s">
        <v>10</v>
      </c>
      <c r="B1" s="6"/>
      <c r="C1" s="6"/>
    </row>
    <row r="2" spans="1:3" ht="15.6" x14ac:dyDescent="0.35">
      <c r="A2" s="1" t="s">
        <v>0</v>
      </c>
      <c r="B2" s="1">
        <v>48.28</v>
      </c>
      <c r="C2" s="1"/>
    </row>
    <row r="3" spans="1:3" x14ac:dyDescent="0.25">
      <c r="A3" s="2" t="s">
        <v>1</v>
      </c>
      <c r="B3" s="1"/>
      <c r="C3" s="1"/>
    </row>
    <row r="4" spans="1:3" x14ac:dyDescent="0.25">
      <c r="A4" s="3" t="s">
        <v>2</v>
      </c>
      <c r="B4" s="1">
        <f>[1]Sheet1!$B$51</f>
        <v>0.27800000000000002</v>
      </c>
      <c r="C4" s="1"/>
    </row>
    <row r="5" spans="1:3" x14ac:dyDescent="0.25">
      <c r="A5" s="3" t="s">
        <v>3</v>
      </c>
      <c r="B5" s="1">
        <f>B4*4</f>
        <v>1.1120000000000001</v>
      </c>
      <c r="C5" s="1" t="str">
        <f ca="1">_xlfn.FORMULATEXT(B5)</f>
        <v>=B4*4</v>
      </c>
    </row>
    <row r="6" spans="1:3" x14ac:dyDescent="0.25">
      <c r="A6" s="2" t="s">
        <v>4</v>
      </c>
      <c r="B6" s="1"/>
      <c r="C6" s="1"/>
    </row>
    <row r="7" spans="1:3" x14ac:dyDescent="0.25">
      <c r="A7" s="7" t="s">
        <v>5</v>
      </c>
      <c r="B7" s="4">
        <f>[1]Sheet1!$B$7</f>
        <v>1.9025037903923181E-2</v>
      </c>
      <c r="C7" s="1"/>
    </row>
    <row r="8" spans="1:3" x14ac:dyDescent="0.25">
      <c r="A8" s="7" t="s">
        <v>6</v>
      </c>
      <c r="B8" s="4">
        <f>[1]Sheet1!$B$8</f>
        <v>3.609843677195923E-2</v>
      </c>
      <c r="C8" s="1"/>
    </row>
    <row r="9" spans="1:3" x14ac:dyDescent="0.25">
      <c r="A9" s="1"/>
      <c r="B9" s="1"/>
      <c r="C9" s="1"/>
    </row>
    <row r="10" spans="1:3" x14ac:dyDescent="0.25">
      <c r="A10" s="2" t="s">
        <v>7</v>
      </c>
      <c r="B10" s="1"/>
      <c r="C10" s="1"/>
    </row>
    <row r="11" spans="1:3" x14ac:dyDescent="0.25">
      <c r="A11" s="8" t="s">
        <v>8</v>
      </c>
      <c r="B11" s="9">
        <f>B5*(1+B7)/B2+B7</f>
        <v>4.2495540019688777E-2</v>
      </c>
      <c r="C11" s="1" t="str">
        <f ca="1">_xlfn.FORMULATEXT(B11)</f>
        <v>=B5*(1+B7)/B2+B7</v>
      </c>
    </row>
    <row r="12" spans="1:3" x14ac:dyDescent="0.25">
      <c r="A12" s="8" t="s">
        <v>9</v>
      </c>
      <c r="B12" s="9">
        <f>B5*(1+B8)/B2+B8</f>
        <v>5.9962178729093013E-2</v>
      </c>
      <c r="C12" s="1" t="str">
        <f ca="1">_xlfn.FORMULATEXT(B12)</f>
        <v>=B5*(1+B8)/B2+B8</v>
      </c>
    </row>
    <row r="13" spans="1:3" x14ac:dyDescent="0.25">
      <c r="A13" s="10"/>
      <c r="B13" s="10"/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2024-10-07T05:10:28Z</dcterms:modified>
</cp:coreProperties>
</file>