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E6580E2B-3CB4-4E81-98B3-D70472F50D95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  <c r="B26" i="1"/>
  <c r="B20" i="1"/>
  <c r="B28" i="1"/>
  <c r="B22" i="1"/>
  <c r="B16" i="1"/>
  <c r="B10" i="1"/>
  <c r="B27" i="1"/>
  <c r="B21" i="1"/>
  <c r="B15" i="1"/>
  <c r="B9" i="1"/>
  <c r="B8" i="1"/>
  <c r="B5" i="1"/>
  <c r="B3" i="1"/>
  <c r="B4" i="1" s="1"/>
  <c r="B2" i="1"/>
  <c r="C31" i="1"/>
  <c r="C27" i="1"/>
  <c r="C28" i="1"/>
  <c r="C29" i="1"/>
  <c r="C26" i="1"/>
  <c r="C21" i="1"/>
  <c r="C22" i="1"/>
  <c r="C23" i="1"/>
  <c r="C20" i="1"/>
  <c r="C15" i="1"/>
  <c r="C16" i="1"/>
  <c r="C17" i="1"/>
  <c r="C14" i="1"/>
  <c r="C9" i="1"/>
  <c r="C10" i="1"/>
  <c r="C11" i="1"/>
  <c r="C8" i="1"/>
  <c r="B29" i="1" l="1"/>
  <c r="B17" i="1"/>
  <c r="B11" i="1"/>
  <c r="B23" i="1"/>
  <c r="B31" i="1" l="1"/>
</calcChain>
</file>

<file path=xl/sharedStrings.xml><?xml version="1.0" encoding="utf-8"?>
<sst xmlns="http://schemas.openxmlformats.org/spreadsheetml/2006/main" count="26" uniqueCount="14">
  <si>
    <t>COMPUTING THE WACC FOR TYSON</t>
  </si>
  <si>
    <t>Shares outstanding</t>
  </si>
  <si>
    <t>Share price, end 2005</t>
  </si>
  <si>
    <t>Equity value, E</t>
  </si>
  <si>
    <t>Net debt, D</t>
  </si>
  <si>
    <t>WACC based on Gordon per-share dividends and interest from financial statements</t>
  </si>
  <si>
    <r>
      <t>Cost of equity, r</t>
    </r>
    <r>
      <rPr>
        <vertAlign val="subscript"/>
        <sz val="10"/>
        <rFont val="Arial"/>
        <family val="2"/>
      </rPr>
      <t>E</t>
    </r>
  </si>
  <si>
    <r>
      <t>Cost of debt, r</t>
    </r>
    <r>
      <rPr>
        <vertAlign val="subscript"/>
        <sz val="10"/>
        <rFont val="Arial"/>
        <family val="2"/>
      </rPr>
      <t>D</t>
    </r>
  </si>
  <si>
    <r>
      <t>Tax rate, T</t>
    </r>
    <r>
      <rPr>
        <vertAlign val="subscript"/>
        <sz val="10"/>
        <rFont val="Arial"/>
        <family val="2"/>
      </rPr>
      <t>C</t>
    </r>
  </si>
  <si>
    <t>WACC</t>
  </si>
  <si>
    <t>WACC based on Gordon equity payouts and interest from financial statements</t>
  </si>
  <si>
    <t>WACC based on classic CAPM and interest from financial statements</t>
  </si>
  <si>
    <t>WACC based on tax-adjusted CAPM and interest from financial statements</t>
  </si>
  <si>
    <t>Estimated WACC?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</si>
</sst>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  <charset val="177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4" fillId="0" borderId="0" xfId="2" applyFont="1" applyAlignment="1">
      <alignment horizontal="center"/>
    </xf>
    <xf numFmtId="0" fontId="3" fillId="0" borderId="0" xfId="2"/>
    <xf numFmtId="3" fontId="3" fillId="0" borderId="0" xfId="2" applyNumberFormat="1"/>
    <xf numFmtId="0" fontId="5" fillId="0" borderId="0" xfId="2" applyFont="1"/>
    <xf numFmtId="10" fontId="3" fillId="0" borderId="0" xfId="2" applyNumberFormat="1"/>
    <xf numFmtId="0" fontId="3" fillId="2" borderId="0" xfId="2" applyFill="1"/>
    <xf numFmtId="10" fontId="3" fillId="0" borderId="0" xfId="1" applyNumberFormat="1" applyFont="1" applyFill="1" applyAlignment="1"/>
    <xf numFmtId="0" fontId="5" fillId="2" borderId="0" xfId="2" applyFont="1" applyFill="1"/>
    <xf numFmtId="10" fontId="3" fillId="2" borderId="0" xfId="2" applyNumberFormat="1" applyFill="1"/>
    <xf numFmtId="10" fontId="5" fillId="3" borderId="0" xfId="1" applyNumberFormat="1" applyFont="1" applyFill="1" applyAlignment="1"/>
  </cellXfs>
  <cellStyles count="3">
    <cellStyle name="Normal_Tyson" xfId="2" xr:uid="{BBCCF73C-ED5F-4DC0-8BEB-EDD4D8B676D1}"/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3" Type="http://schemas.openxmlformats.org/officeDocument/2006/relationships/externalLink" Target="externalLinks/externalLink2.xml"/><Relationship Id="rId7" Type="http://schemas.openxmlformats.org/officeDocument/2006/relationships/externalLink" Target="externalLinks/externalLink6.xml"/><Relationship Id="rId12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4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3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2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2\chapter2_23.xlsm" TargetMode="External"/><Relationship Id="rId1" Type="http://schemas.openxmlformats.org/officeDocument/2006/relationships/externalLinkPath" Target="chapter2_2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2\chapter2_26.xlsm" TargetMode="External"/><Relationship Id="rId1" Type="http://schemas.openxmlformats.org/officeDocument/2006/relationships/externalLinkPath" Target="chapter2_26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2\data.xlsm" TargetMode="External"/><Relationship Id="rId1" Type="http://schemas.openxmlformats.org/officeDocument/2006/relationships/externalLinkPath" Target="data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2\chapter2_25.xlsm" TargetMode="External"/><Relationship Id="rId1" Type="http://schemas.openxmlformats.org/officeDocument/2006/relationships/externalLinkPath" Target="chapter2_25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2\chapter2_24.xlsm" TargetMode="External"/><Relationship Id="rId1" Type="http://schemas.openxmlformats.org/officeDocument/2006/relationships/externalLinkPath" Target="chapter2_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42"/>
      <sheetName val="Page 42 (中文)"/>
      <sheetName val="Page 43"/>
      <sheetName val="Page 43 (中文)"/>
      <sheetName val="Page 44"/>
      <sheetName val="Page 44 (中文)"/>
      <sheetName val="Pages 45-46"/>
      <sheetName val="Pages 45-46 (中文)"/>
      <sheetName val="Page 47"/>
      <sheetName val="Page 47 (中文)"/>
      <sheetName val="Page 49"/>
      <sheetName val="Page 49 (中文)"/>
      <sheetName val="Page 50"/>
      <sheetName val="Page 54"/>
      <sheetName val="Page 50 (中文)"/>
      <sheetName val="Page 51"/>
      <sheetName val="Page 51 (中文)"/>
      <sheetName val="Page 54 (中文)"/>
      <sheetName val="Page 56"/>
      <sheetName val="Page 56 (中文)"/>
      <sheetName val="Page 58"/>
      <sheetName val="Page 58 (中文)"/>
      <sheetName val="Page 59"/>
      <sheetName val="Page 59 (中文)"/>
      <sheetName val="Intel tax rate"/>
      <sheetName val="Page 62"/>
      <sheetName val="Page 62 (中文)"/>
      <sheetName val="Page 63"/>
      <sheetName val="Page 63 (中文)"/>
      <sheetName val="Page 64, top"/>
      <sheetName val="Page 64, top (中文)"/>
      <sheetName val="Page 64, bottom"/>
      <sheetName val="Page 64, bottom (中文)"/>
      <sheetName val="Page 65"/>
      <sheetName val="Page 65 (中文)"/>
      <sheetName val="Page 67"/>
      <sheetName val="Page 67 (中文)"/>
      <sheetName val="Page 69, top"/>
      <sheetName val="Page 69, bottom"/>
      <sheetName val="Page 69, bottom (中文)"/>
      <sheetName val="Page 71"/>
      <sheetName val="Page 71 (中文)"/>
      <sheetName val="Page 72, top"/>
      <sheetName val="Page 72, top (中文)"/>
      <sheetName val="Page 72, bottom"/>
      <sheetName val="Page 72, bottom (中文)"/>
      <sheetName val="Page 73"/>
      <sheetName val="Page 73 (中文)"/>
      <sheetName val="Page 74"/>
      <sheetName val="Page 74 (中文)"/>
      <sheetName val="Page 75"/>
      <sheetName val="Page 75 (中文)"/>
      <sheetName val="Page 76, top"/>
      <sheetName val="Page 76, top (中文)"/>
      <sheetName val="Page 76, bottom"/>
      <sheetName val="Page 76, bottom (中文)"/>
      <sheetName val="Page 77"/>
      <sheetName val="Page 77 (中文)"/>
      <sheetName val="Page 78"/>
      <sheetName val="Page 78 (中文)"/>
      <sheetName val="Page 79, top"/>
      <sheetName val="Page 79, top (中文)"/>
      <sheetName val="Page 79, bottom"/>
      <sheetName val="Page 79, bottom (中文)"/>
      <sheetName val="Page 80"/>
      <sheetName val="Page 80 (中文)"/>
      <sheetName val="Page 81"/>
      <sheetName val="Page 81 (中文)"/>
      <sheetName val="Pages 82-83"/>
      <sheetName val="Pages 82-83 (中文)"/>
      <sheetName val="Page 84"/>
      <sheetName val="Page 84 (中文)"/>
      <sheetName val="Page 85"/>
      <sheetName val="Page 85 (中文)"/>
      <sheetName val="Page 86"/>
      <sheetName val="Page 86 (中文)"/>
      <sheetName val="Page 93, top"/>
      <sheetName val="Page 93, top (中文)"/>
      <sheetName val="Page 93, middle"/>
      <sheetName val="Page 93, middle (中文)"/>
      <sheetName val="Page 93, bottom"/>
      <sheetName val="Page 93, bottom (中文)"/>
      <sheetName val="Page 94"/>
      <sheetName val="Page 94 (中文)"/>
      <sheetName val="Page 95"/>
      <sheetName val="Page 95 (中文)"/>
      <sheetName val="FRED data"/>
      <sheetName val="Kraft cash flow to equity"/>
      <sheetName val="Kraft 10K, 2005"/>
      <sheetName val="Tyson cash flow statement"/>
      <sheetName val="Tyson income statement"/>
      <sheetName val="Cascade cash flow statement"/>
      <sheetName val="Cascade 10K"/>
      <sheetName val="Cascade annual dividend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>
        <row r="2">
          <cell r="B2">
            <v>13.45</v>
          </cell>
        </row>
      </sheetData>
      <sheetData sheetId="49"/>
      <sheetData sheetId="50">
        <row r="2">
          <cell r="B2">
            <v>354820000</v>
          </cell>
        </row>
      </sheetData>
      <sheetData sheetId="51"/>
      <sheetData sheetId="52"/>
      <sheetData sheetId="53"/>
      <sheetData sheetId="54">
        <row r="6">
          <cell r="B6">
            <v>2955000000</v>
          </cell>
        </row>
      </sheetData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5">
          <cell r="B5">
            <v>1.1895910780669147E-2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0">
          <cell r="B10">
            <v>7.224697644812221E-2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RED data"/>
      <sheetName val="Kraft cash flow to equity"/>
      <sheetName val="Kraft 10K, 2005"/>
      <sheetName val="Tyson cash flow statement"/>
      <sheetName val="Tyson income statement"/>
      <sheetName val="Cascade cash flow statement"/>
      <sheetName val="Cascade 10K"/>
      <sheetName val="Cascade annual dividend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1">
          <cell r="B31">
            <v>0.29545454545454547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2">
          <cell r="B12">
            <v>5.7675294117647054E-2</v>
          </cell>
        </row>
        <row r="13">
          <cell r="B13">
            <v>4.6022566844919788E-2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1">
          <cell r="B11">
            <v>4.1786199901252985E-2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31"/>
  <sheetViews>
    <sheetView tabSelected="1" topLeftCell="A11" workbookViewId="0">
      <selection activeCell="F33" sqref="F33"/>
    </sheetView>
  </sheetViews>
  <sheetFormatPr defaultRowHeight="13.8" x14ac:dyDescent="0.25"/>
  <cols>
    <col min="1" max="1" width="23" style="2" customWidth="1"/>
    <col min="2" max="2" width="17.5546875" style="2" bestFit="1" customWidth="1"/>
    <col min="3" max="3" width="56.44140625" style="2" bestFit="1" customWidth="1"/>
  </cols>
  <sheetData>
    <row r="1" spans="1:3" ht="17.399999999999999" x14ac:dyDescent="0.3">
      <c r="A1" s="1" t="s">
        <v>0</v>
      </c>
      <c r="B1" s="1"/>
      <c r="C1" s="1"/>
    </row>
    <row r="2" spans="1:3" x14ac:dyDescent="0.25">
      <c r="A2" s="2" t="s">
        <v>1</v>
      </c>
      <c r="B2" s="3">
        <f>'[1]Page 75'!B2</f>
        <v>354820000</v>
      </c>
    </row>
    <row r="3" spans="1:3" x14ac:dyDescent="0.25">
      <c r="A3" s="2" t="s">
        <v>2</v>
      </c>
      <c r="B3" s="2">
        <f>'[1]Page 74'!B2</f>
        <v>13.45</v>
      </c>
    </row>
    <row r="4" spans="1:3" x14ac:dyDescent="0.25">
      <c r="A4" s="2" t="s">
        <v>3</v>
      </c>
      <c r="B4" s="3">
        <f>B2*B3</f>
        <v>4772329000</v>
      </c>
    </row>
    <row r="5" spans="1:3" x14ac:dyDescent="0.25">
      <c r="A5" s="2" t="s">
        <v>4</v>
      </c>
      <c r="B5" s="3">
        <f>'[1]Page 76, bottom'!B6</f>
        <v>2955000000</v>
      </c>
    </row>
    <row r="7" spans="1:3" x14ac:dyDescent="0.25">
      <c r="A7" s="4" t="s">
        <v>5</v>
      </c>
    </row>
    <row r="8" spans="1:3" ht="15.6" x14ac:dyDescent="0.35">
      <c r="A8" s="2" t="s">
        <v>6</v>
      </c>
      <c r="B8" s="5">
        <f>[2]Sheet1!$B$5</f>
        <v>1.1895910780669147E-2</v>
      </c>
      <c r="C8" s="2" t="str">
        <f ca="1">[5]!getformula(B8)</f>
        <v>&lt;--  ='D:\lizhengdong\交易框架\5_工具箱\_书库\编程\Excel\CH02\[chapter2_23.xlsm]Sheet1'!$B$5</v>
      </c>
    </row>
    <row r="9" spans="1:3" ht="15.6" x14ac:dyDescent="0.35">
      <c r="A9" s="2" t="s">
        <v>7</v>
      </c>
      <c r="B9" s="5">
        <f>[3]Sheet1!$B$10</f>
        <v>7.224697644812221E-2</v>
      </c>
      <c r="C9" s="2" t="str">
        <f ca="1">[5]!getformula(B9)</f>
        <v>&lt;--  =[chapter2_26.xlsm]Sheet1!$B$10</v>
      </c>
    </row>
    <row r="10" spans="1:3" ht="15.6" x14ac:dyDescent="0.35">
      <c r="A10" s="2" t="s">
        <v>8</v>
      </c>
      <c r="B10" s="5">
        <f>'[4]Tyson income statement'!$B$31</f>
        <v>0.29545454545454547</v>
      </c>
      <c r="C10" s="2" t="str">
        <f ca="1">[5]!getformula(B10)</f>
        <v>&lt;--  ='D:\lizhengdong\交易框架\5_工具箱\_书库\编程\Excel\CH02\[data.xlsm]Tyson income statement'!$B$31</v>
      </c>
    </row>
    <row r="11" spans="1:3" x14ac:dyDescent="0.25">
      <c r="A11" s="6" t="s">
        <v>9</v>
      </c>
      <c r="B11" s="10">
        <f>$B$4/($B$4+$B$5)*B8+$B$5/($B$4+$B$5)*B9*(1-$B$10)</f>
        <v>2.6811913797740214E-2</v>
      </c>
      <c r="C11" s="2" t="str">
        <f ca="1">[5]!getformula(B11)</f>
        <v>&lt;--  =$B$4/($B$4+$B$5)*B8+$B$5/($B$4+$B$5)*B9*(1-$B$10)</v>
      </c>
    </row>
    <row r="12" spans="1:3" x14ac:dyDescent="0.25">
      <c r="B12" s="7"/>
    </row>
    <row r="13" spans="1:3" x14ac:dyDescent="0.25">
      <c r="A13" s="4" t="s">
        <v>10</v>
      </c>
    </row>
    <row r="14" spans="1:3" ht="15.6" x14ac:dyDescent="0.35">
      <c r="A14" s="2" t="s">
        <v>6</v>
      </c>
      <c r="B14" s="5">
        <f>[7]Sheet1!$B$11</f>
        <v>4.1786199901252985E-2</v>
      </c>
      <c r="C14" s="2" t="str">
        <f ca="1">[5]!getformula(B14)</f>
        <v>&lt;--  ='D:\lizhengdong\交易框架\5_工具箱\_书库\编程\Excel\CH02\[chapter2_24.xlsm]Sheet1'!$B$11</v>
      </c>
    </row>
    <row r="15" spans="1:3" ht="15.6" x14ac:dyDescent="0.35">
      <c r="A15" s="2" t="s">
        <v>7</v>
      </c>
      <c r="B15" s="5">
        <f>[3]Sheet1!$B$10</f>
        <v>7.224697644812221E-2</v>
      </c>
      <c r="C15" s="2" t="str">
        <f ca="1">[5]!getformula(B15)</f>
        <v>&lt;--  =[chapter2_26.xlsm]Sheet1!$B$10</v>
      </c>
    </row>
    <row r="16" spans="1:3" ht="15.6" x14ac:dyDescent="0.35">
      <c r="A16" s="2" t="s">
        <v>8</v>
      </c>
      <c r="B16" s="5">
        <f>'[4]Tyson income statement'!$B$31</f>
        <v>0.29545454545454547</v>
      </c>
      <c r="C16" s="2" t="str">
        <f ca="1">[5]!getformula(B16)</f>
        <v>&lt;--  ='D:\lizhengdong\交易框架\5_工具箱\_书库\编程\Excel\CH02\[data.xlsm]Tyson income statement'!$B$31</v>
      </c>
    </row>
    <row r="17" spans="1:3" x14ac:dyDescent="0.25">
      <c r="A17" s="6" t="s">
        <v>9</v>
      </c>
      <c r="B17" s="10">
        <f>$B$4/($B$4+$B$5)*B14+$B$5/($B$4+$B$5)*B15*(1-$B$10)</f>
        <v>4.5271887947740397E-2</v>
      </c>
      <c r="C17" s="2" t="str">
        <f ca="1">[5]!getformula(B17)</f>
        <v>&lt;--  =$B$4/($B$4+$B$5)*B14+$B$5/($B$4+$B$5)*B15*(1-$B$10)</v>
      </c>
    </row>
    <row r="18" spans="1:3" x14ac:dyDescent="0.25">
      <c r="B18" s="7"/>
    </row>
    <row r="19" spans="1:3" x14ac:dyDescent="0.25">
      <c r="A19" s="4" t="s">
        <v>11</v>
      </c>
    </row>
    <row r="20" spans="1:3" ht="15.6" x14ac:dyDescent="0.35">
      <c r="A20" s="2" t="s">
        <v>6</v>
      </c>
      <c r="B20" s="5">
        <f>[6]Sheet1!$B$12</f>
        <v>5.7675294117647054E-2</v>
      </c>
      <c r="C20" s="2" t="str">
        <f ca="1">[5]!getformula(B20)</f>
        <v>&lt;--  ='D:\lizhengdong\交易框架\5_工具箱\_书库\编程\Excel\CH02\[chapter2_25.xlsm]Sheet1'!$B$12</v>
      </c>
    </row>
    <row r="21" spans="1:3" ht="15.6" x14ac:dyDescent="0.35">
      <c r="A21" s="2" t="s">
        <v>7</v>
      </c>
      <c r="B21" s="5">
        <f>[3]Sheet1!$B$10</f>
        <v>7.224697644812221E-2</v>
      </c>
      <c r="C21" s="2" t="str">
        <f ca="1">[5]!getformula(B21)</f>
        <v>&lt;--  =[chapter2_26.xlsm]Sheet1!$B$10</v>
      </c>
    </row>
    <row r="22" spans="1:3" ht="15.6" x14ac:dyDescent="0.35">
      <c r="A22" s="2" t="s">
        <v>8</v>
      </c>
      <c r="B22" s="5">
        <f>'[4]Tyson income statement'!$B$31</f>
        <v>0.29545454545454547</v>
      </c>
      <c r="C22" s="2" t="str">
        <f ca="1">[5]!getformula(B22)</f>
        <v>&lt;--  ='D:\lizhengdong\交易框架\5_工具箱\_书库\编程\Excel\CH02\[data.xlsm]Tyson income statement'!$B$31</v>
      </c>
    </row>
    <row r="23" spans="1:3" x14ac:dyDescent="0.25">
      <c r="A23" s="6" t="s">
        <v>9</v>
      </c>
      <c r="B23" s="10">
        <f>$B$4/($B$4+$B$5)*B20+$B$5/($B$4+$B$5)*B21*(1-$B$10)</f>
        <v>5.5084849853805185E-2</v>
      </c>
      <c r="C23" s="2" t="str">
        <f ca="1">[5]!getformula(B23)</f>
        <v>&lt;--  =$B$4/($B$4+$B$5)*B20+$B$5/($B$4+$B$5)*B21*(1-$B$10)</v>
      </c>
    </row>
    <row r="25" spans="1:3" x14ac:dyDescent="0.25">
      <c r="A25" s="4" t="s">
        <v>12</v>
      </c>
    </row>
    <row r="26" spans="1:3" ht="15.6" x14ac:dyDescent="0.35">
      <c r="A26" s="2" t="s">
        <v>6</v>
      </c>
      <c r="B26" s="5">
        <f>[6]Sheet1!$B$13</f>
        <v>4.6022566844919788E-2</v>
      </c>
      <c r="C26" s="2" t="str">
        <f ca="1">[5]!getformula(B26)</f>
        <v>&lt;--  ='D:\lizhengdong\交易框架\5_工具箱\_书库\编程\Excel\CH02\[chapter2_25.xlsm]Sheet1'!$B$13</v>
      </c>
    </row>
    <row r="27" spans="1:3" ht="15.6" x14ac:dyDescent="0.35">
      <c r="A27" s="2" t="s">
        <v>7</v>
      </c>
      <c r="B27" s="5">
        <f>[3]Sheet1!$B$10</f>
        <v>7.224697644812221E-2</v>
      </c>
      <c r="C27" s="2" t="str">
        <f ca="1">[5]!getformula(B27)</f>
        <v>&lt;--  =[chapter2_26.xlsm]Sheet1!$B$10</v>
      </c>
    </row>
    <row r="28" spans="1:3" ht="15.6" x14ac:dyDescent="0.35">
      <c r="A28" s="2" t="s">
        <v>8</v>
      </c>
      <c r="B28" s="5">
        <f>'[4]Tyson income statement'!$B$31</f>
        <v>0.29545454545454547</v>
      </c>
      <c r="C28" s="2" t="str">
        <f ca="1">[5]!getformula(B28)</f>
        <v>&lt;--  ='D:\lizhengdong\交易框架\5_工具箱\_书库\编程\Excel\CH02\[data.xlsm]Tyson income statement'!$B$31</v>
      </c>
    </row>
    <row r="29" spans="1:3" x14ac:dyDescent="0.25">
      <c r="A29" s="6" t="s">
        <v>9</v>
      </c>
      <c r="B29" s="10">
        <f>$B$4/($B$4+$B$5)*B26+$B$5/($B$4+$B$5)*B27*(1-$B$10)</f>
        <v>4.7888230130129994E-2</v>
      </c>
      <c r="C29" s="2" t="str">
        <f ca="1">[5]!getformula(B29)</f>
        <v>&lt;--  =$B$4/($B$4+$B$5)*B26+$B$5/($B$4+$B$5)*B27*(1-$B$10)</v>
      </c>
    </row>
    <row r="31" spans="1:3" x14ac:dyDescent="0.25">
      <c r="A31" s="8" t="s">
        <v>13</v>
      </c>
      <c r="B31" s="9">
        <f>AVERAGE(B29,B23,B17)</f>
        <v>4.9414989310558523E-2</v>
      </c>
      <c r="C31" s="2" t="str">
        <f ca="1">[5]!getformula(B31)</f>
        <v>&lt;--  =AVERAGE(B29,B23,B17)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2024-10-09T07:33:49Z</dcterms:modified>
</cp:coreProperties>
</file>