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49511F22-684B-40D0-9BD0-0E1749C8C76C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C6" i="1"/>
  <c r="B6" i="1"/>
  <c r="C10" i="1"/>
  <c r="D6" i="1"/>
</calcChain>
</file>

<file path=xl/sharedStrings.xml><?xml version="1.0" encoding="utf-8"?>
<sst xmlns="http://schemas.openxmlformats.org/spreadsheetml/2006/main" count="7" uniqueCount="7">
  <si>
    <t>COMPUTING THE COST OF DEBT FOR TYSON</t>
  </si>
  <si>
    <t>Cash and cash equivalents</t>
  </si>
  <si>
    <t>Current debt</t>
  </si>
  <si>
    <t>Long term debt</t>
  </si>
  <si>
    <t>Net debt</t>
  </si>
  <si>
    <t>Interest paid</t>
  </si>
  <si>
    <t>Net interest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</si>
</sst>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  <charset val="177"/>
    </font>
    <font>
      <b/>
      <sz val="14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  <xf numFmtId="0" fontId="3" fillId="0" borderId="0"/>
  </cellStyleXfs>
  <cellXfs count="7">
    <xf numFmtId="0" fontId="0" fillId="0" borderId="0" xfId="0">
      <alignment vertical="center"/>
    </xf>
    <xf numFmtId="0" fontId="4" fillId="0" borderId="0" xfId="2" applyFont="1" applyAlignment="1">
      <alignment horizontal="center"/>
    </xf>
    <xf numFmtId="0" fontId="3" fillId="0" borderId="0" xfId="2"/>
    <xf numFmtId="0" fontId="5" fillId="0" borderId="0" xfId="2" applyFont="1" applyAlignment="1">
      <alignment horizontal="center"/>
    </xf>
    <xf numFmtId="3" fontId="3" fillId="0" borderId="0" xfId="2" applyNumberFormat="1"/>
    <xf numFmtId="10" fontId="3" fillId="2" borderId="0" xfId="1" applyNumberFormat="1" applyFont="1" applyFill="1" applyAlignment="1"/>
    <xf numFmtId="0" fontId="3" fillId="3" borderId="0" xfId="3" applyFill="1"/>
  </cellXfs>
  <cellStyles count="4">
    <cellStyle name="Normal_Kraft" xfId="3" xr:uid="{B082C2B6-F6AF-4D92-A5B3-0F14EBF860AF}"/>
    <cellStyle name="Normal_Tyson" xfId="2" xr:uid="{C2242B01-D518-440A-888C-89CA8799A0B6}"/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D10"/>
  <sheetViews>
    <sheetView tabSelected="1" workbookViewId="0">
      <selection activeCell="C15" sqref="C15"/>
    </sheetView>
  </sheetViews>
  <sheetFormatPr defaultRowHeight="13.8" x14ac:dyDescent="0.25"/>
  <cols>
    <col min="1" max="1" width="34.109375" style="2" customWidth="1"/>
    <col min="2" max="3" width="17" style="2" customWidth="1"/>
    <col min="4" max="4" width="14.33203125" style="2" bestFit="1" customWidth="1"/>
  </cols>
  <sheetData>
    <row r="1" spans="1:4" ht="17.399999999999999" x14ac:dyDescent="0.3">
      <c r="A1" s="1" t="s">
        <v>0</v>
      </c>
      <c r="B1" s="1"/>
      <c r="C1" s="1"/>
      <c r="D1" s="1"/>
    </row>
    <row r="2" spans="1:4" x14ac:dyDescent="0.25">
      <c r="B2" s="3">
        <v>2005</v>
      </c>
      <c r="C2" s="3">
        <v>2004</v>
      </c>
    </row>
    <row r="3" spans="1:4" x14ac:dyDescent="0.25">
      <c r="A3" s="2" t="s">
        <v>1</v>
      </c>
      <c r="B3" s="4">
        <v>40000000</v>
      </c>
      <c r="C3" s="4">
        <v>33000000</v>
      </c>
    </row>
    <row r="4" spans="1:4" x14ac:dyDescent="0.25">
      <c r="A4" s="2" t="s">
        <v>2</v>
      </c>
      <c r="B4" s="4">
        <v>126000000</v>
      </c>
      <c r="C4" s="4">
        <v>338000000</v>
      </c>
    </row>
    <row r="5" spans="1:4" x14ac:dyDescent="0.25">
      <c r="A5" s="2" t="s">
        <v>3</v>
      </c>
      <c r="B5" s="4">
        <v>2869000000</v>
      </c>
      <c r="C5" s="4">
        <v>3024000000</v>
      </c>
    </row>
    <row r="6" spans="1:4" x14ac:dyDescent="0.25">
      <c r="A6" s="2" t="s">
        <v>4</v>
      </c>
      <c r="B6" s="4">
        <f>B5+B4-B3</f>
        <v>2955000000</v>
      </c>
      <c r="C6" s="4">
        <f>C5+C4-C3</f>
        <v>3329000000</v>
      </c>
      <c r="D6" s="2" t="str">
        <f ca="1">[1]!getformula(C6)</f>
        <v>&lt;--  =C5+C4-C3</v>
      </c>
    </row>
    <row r="8" spans="1:4" x14ac:dyDescent="0.25">
      <c r="A8" s="2" t="s">
        <v>5</v>
      </c>
      <c r="B8" s="4">
        <v>227000000</v>
      </c>
    </row>
    <row r="10" spans="1:4" x14ac:dyDescent="0.25">
      <c r="A10" s="6" t="s">
        <v>6</v>
      </c>
      <c r="B10" s="5">
        <f>B8/AVERAGE(B6:C6)</f>
        <v>7.224697644812221E-2</v>
      </c>
      <c r="C10" s="2" t="str">
        <f ca="1">[1]!getformula(B10)</f>
        <v>&lt;--  =B8/AVERAGE(B6:C6)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2024-10-09T07:33:54Z</dcterms:modified>
</cp:coreProperties>
</file>