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8F07C128-834E-4506-BB32-19380FDF06E1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21" i="1"/>
  <c r="B21" i="1"/>
  <c r="C20" i="1"/>
  <c r="B20" i="1"/>
  <c r="E18" i="1"/>
  <c r="E21" i="1" s="1"/>
  <c r="E17" i="1"/>
  <c r="E16" i="1"/>
  <c r="E15" i="1"/>
  <c r="E14" i="1"/>
  <c r="B4" i="1"/>
  <c r="F21" i="1"/>
  <c r="F20" i="1"/>
  <c r="F15" i="1"/>
  <c r="F14" i="1"/>
  <c r="C11" i="1"/>
  <c r="B11" i="1"/>
  <c r="C5" i="1"/>
  <c r="C4" i="1"/>
  <c r="E20" i="1" l="1"/>
</calcChain>
</file>

<file path=xl/sharedStrings.xml><?xml version="1.0" encoding="utf-8"?>
<sst xmlns="http://schemas.openxmlformats.org/spreadsheetml/2006/main" count="20" uniqueCount="18">
  <si>
    <t>Shares outstanding</t>
  </si>
  <si>
    <t>Share price, 11Aug06</t>
  </si>
  <si>
    <t>Equity value, E</t>
  </si>
  <si>
    <t>Current (Aug06) total equity payout</t>
  </si>
  <si>
    <r>
      <t>High growth rate, g</t>
    </r>
    <r>
      <rPr>
        <vertAlign val="subscript"/>
        <sz val="10"/>
        <rFont val="Arial"/>
        <family val="2"/>
      </rPr>
      <t>high</t>
    </r>
  </si>
  <si>
    <t>&lt;-- Guess</t>
  </si>
  <si>
    <t>Number of high-growth years</t>
  </si>
  <si>
    <r>
      <t>Normal growth rate, g</t>
    </r>
    <r>
      <rPr>
        <vertAlign val="subscript"/>
        <sz val="10"/>
        <rFont val="Arial"/>
        <family val="2"/>
      </rPr>
      <t>normal</t>
    </r>
  </si>
  <si>
    <r>
      <t>Cost of equity, r</t>
    </r>
    <r>
      <rPr>
        <vertAlign val="subscript"/>
        <sz val="10"/>
        <rFont val="Arial"/>
        <family val="2"/>
      </rPr>
      <t xml:space="preserve">E, </t>
    </r>
    <r>
      <rPr>
        <sz val="10"/>
        <rFont val="Arial"/>
        <family val="2"/>
      </rPr>
      <t xml:space="preserve">using the function </t>
    </r>
    <r>
      <rPr>
        <b/>
        <sz val="10"/>
        <rFont val="Arial"/>
        <family val="2"/>
      </rPr>
      <t>twostagegordon</t>
    </r>
  </si>
  <si>
    <t>Date</t>
  </si>
  <si>
    <t>Stock repurchases</t>
  </si>
  <si>
    <t>Dividends paid</t>
  </si>
  <si>
    <t>Stock issuance</t>
  </si>
  <si>
    <t>Cash flow to equity holders</t>
  </si>
  <si>
    <t>Growth rates</t>
  </si>
  <si>
    <t xml:space="preserve">                    Four year</t>
  </si>
  <si>
    <t xml:space="preserve">                    Two year</t>
  </si>
  <si>
    <r>
      <t>TYSON:  COST OF EQUITY r</t>
    </r>
    <r>
      <rPr>
        <b/>
        <vertAlign val="subscript"/>
        <sz val="18"/>
        <rFont val="Arial"/>
        <family val="2"/>
      </rPr>
      <t>E</t>
    </r>
    <r>
      <rPr>
        <b/>
        <sz val="18"/>
        <rFont val="Arial"/>
        <family val="2"/>
      </rPr>
      <t xml:space="preserve"> BASED ON CASH FLOW TO EQUITY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</si>
</sst>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.00_);_(* \(#,##0.00\);_(* &quot;-&quot;??_);_(@_)"/>
    <numFmt numFmtId="177" formatCode="_(* #,##0_);_(* \(#,##0\);_(* &quot;-&quot;??_);_(@_)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vertAlign val="subscript"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7">
    <xf numFmtId="0" fontId="0" fillId="0" borderId="0" xfId="0">
      <alignment vertical="center"/>
    </xf>
    <xf numFmtId="0" fontId="3" fillId="0" borderId="0" xfId="3"/>
    <xf numFmtId="3" fontId="3" fillId="0" borderId="0" xfId="3" applyNumberFormat="1"/>
    <xf numFmtId="177" fontId="2" fillId="0" borderId="0" xfId="1" applyNumberFormat="1" applyAlignment="1"/>
    <xf numFmtId="176" fontId="2" fillId="0" borderId="0" xfId="1" applyNumberFormat="1" applyAlignment="1"/>
    <xf numFmtId="10" fontId="3" fillId="0" borderId="0" xfId="3" applyNumberFormat="1"/>
    <xf numFmtId="0" fontId="2" fillId="0" borderId="0" xfId="1" applyNumberFormat="1" applyAlignment="1"/>
    <xf numFmtId="9" fontId="3" fillId="0" borderId="0" xfId="3" applyNumberFormat="1"/>
    <xf numFmtId="0" fontId="3" fillId="2" borderId="0" xfId="3" applyFill="1" applyAlignment="1">
      <alignment wrapText="1"/>
    </xf>
    <xf numFmtId="10" fontId="2" fillId="2" borderId="0" xfId="2" applyNumberFormat="1" applyFill="1" applyAlignment="1"/>
    <xf numFmtId="0" fontId="6" fillId="0" borderId="0" xfId="3" applyFont="1" applyAlignment="1">
      <alignment horizontal="center"/>
    </xf>
    <xf numFmtId="0" fontId="6" fillId="0" borderId="0" xfId="3" applyFont="1" applyAlignment="1">
      <alignment horizontal="center" vertical="center" wrapText="1"/>
    </xf>
    <xf numFmtId="0" fontId="6" fillId="0" borderId="0" xfId="3" applyFont="1" applyAlignment="1">
      <alignment vertical="center" wrapText="1"/>
    </xf>
    <xf numFmtId="0" fontId="3" fillId="0" borderId="0" xfId="3" applyAlignment="1">
      <alignment horizontal="center"/>
    </xf>
    <xf numFmtId="10" fontId="3" fillId="0" borderId="0" xfId="2" applyNumberFormat="1" applyFont="1" applyAlignment="1"/>
    <xf numFmtId="10" fontId="3" fillId="0" borderId="0" xfId="2" applyNumberFormat="1" applyFont="1" applyFill="1" applyAlignment="1"/>
    <xf numFmtId="0" fontId="7" fillId="0" borderId="0" xfId="3" applyFont="1" applyAlignment="1">
      <alignment horizontal="center" vertical="center" wrapText="1"/>
    </xf>
  </cellXfs>
  <cellStyles count="4">
    <cellStyle name="Normal_Tyson" xfId="3" xr:uid="{206FF8F7-4974-4BD3-83C9-E109A17B6B5D}"/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wostagegord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21"/>
  <sheetViews>
    <sheetView tabSelected="1" workbookViewId="0">
      <selection activeCell="G13" sqref="G13"/>
    </sheetView>
  </sheetViews>
  <sheetFormatPr defaultRowHeight="13.8" x14ac:dyDescent="0.25"/>
  <cols>
    <col min="1" max="1" width="30.109375" style="1" customWidth="1"/>
    <col min="2" max="2" width="16" style="1" customWidth="1"/>
    <col min="3" max="3" width="14.33203125" style="1" customWidth="1"/>
    <col min="4" max="5" width="16.109375" style="1" customWidth="1"/>
    <col min="6" max="6" width="20.109375" style="1" bestFit="1" customWidth="1"/>
  </cols>
  <sheetData>
    <row r="1" spans="1:6" ht="22.8" x14ac:dyDescent="0.25">
      <c r="A1" s="16" t="s">
        <v>17</v>
      </c>
      <c r="B1" s="16"/>
      <c r="C1" s="16"/>
      <c r="D1" s="16"/>
      <c r="E1" s="16"/>
      <c r="F1" s="16"/>
    </row>
    <row r="2" spans="1:6" x14ac:dyDescent="0.25">
      <c r="A2" s="1" t="s">
        <v>0</v>
      </c>
      <c r="B2" s="2">
        <v>354820000</v>
      </c>
    </row>
    <row r="3" spans="1:6" x14ac:dyDescent="0.25">
      <c r="A3" s="1" t="s">
        <v>1</v>
      </c>
      <c r="B3" s="1">
        <v>13.45</v>
      </c>
    </row>
    <row r="4" spans="1:6" x14ac:dyDescent="0.25">
      <c r="A4" s="1" t="s">
        <v>2</v>
      </c>
      <c r="B4" s="2">
        <f>B2*B3</f>
        <v>4772329000</v>
      </c>
      <c r="C4" s="1" t="str">
        <f ca="1">[1]!getformula(B4)</f>
        <v>&lt;--  =B2*B3</v>
      </c>
    </row>
    <row r="5" spans="1:6" x14ac:dyDescent="0.25">
      <c r="A5" s="1" t="s">
        <v>3</v>
      </c>
      <c r="B5" s="3">
        <f>E18*(1+B7)^0.75</f>
        <v>81631561.896939561</v>
      </c>
      <c r="C5" s="1" t="str">
        <f ca="1">[1]!getformula(B5)</f>
        <v>&lt;--  =E18*(1+B7)^0.75</v>
      </c>
    </row>
    <row r="6" spans="1:6" x14ac:dyDescent="0.25">
      <c r="B6" s="4"/>
    </row>
    <row r="7" spans="1:6" ht="15.6" x14ac:dyDescent="0.35">
      <c r="A7" s="1" t="s">
        <v>4</v>
      </c>
      <c r="B7" s="5">
        <v>0.1</v>
      </c>
      <c r="C7" s="1" t="s">
        <v>5</v>
      </c>
    </row>
    <row r="8" spans="1:6" x14ac:dyDescent="0.25">
      <c r="A8" s="1" t="s">
        <v>6</v>
      </c>
      <c r="B8" s="6">
        <v>3</v>
      </c>
      <c r="C8" s="1" t="s">
        <v>5</v>
      </c>
    </row>
    <row r="9" spans="1:6" ht="15.6" x14ac:dyDescent="0.35">
      <c r="A9" s="1" t="s">
        <v>7</v>
      </c>
      <c r="B9" s="7">
        <v>0.02</v>
      </c>
      <c r="C9" s="1" t="s">
        <v>5</v>
      </c>
    </row>
    <row r="11" spans="1:6" ht="28.8" x14ac:dyDescent="0.25">
      <c r="A11" s="8" t="s">
        <v>8</v>
      </c>
      <c r="B11" s="9">
        <f>[1]!twostagegordon(B4,B5,B7,B8,B9)</f>
        <v>4.1786199901252985E-2</v>
      </c>
      <c r="C11" s="1" t="str">
        <f ca="1">[1]!getformula(B11)</f>
        <v>&lt;--  =twostagegordon(B4,B5,B7,B8,B9)</v>
      </c>
    </row>
    <row r="13" spans="1:6" ht="26.4" x14ac:dyDescent="0.25">
      <c r="A13" s="10" t="s">
        <v>9</v>
      </c>
      <c r="B13" s="11" t="s">
        <v>10</v>
      </c>
      <c r="C13" s="12" t="s">
        <v>11</v>
      </c>
      <c r="D13" s="11" t="s">
        <v>12</v>
      </c>
      <c r="E13" s="11" t="s">
        <v>13</v>
      </c>
    </row>
    <row r="14" spans="1:6" x14ac:dyDescent="0.25">
      <c r="A14" s="13">
        <v>2001</v>
      </c>
      <c r="B14" s="2">
        <v>48000000</v>
      </c>
      <c r="C14" s="2">
        <v>35000000</v>
      </c>
      <c r="D14" s="2">
        <v>34000000</v>
      </c>
      <c r="E14" s="2">
        <f>B14+C14-D14</f>
        <v>49000000</v>
      </c>
      <c r="F14" s="1" t="str">
        <f ca="1">[1]!getformula(E14)</f>
        <v>&lt;--  =B14+C14-D14</v>
      </c>
    </row>
    <row r="15" spans="1:6" x14ac:dyDescent="0.25">
      <c r="A15" s="13">
        <v>2002</v>
      </c>
      <c r="B15" s="2">
        <v>19000000</v>
      </c>
      <c r="C15" s="2">
        <v>58000000</v>
      </c>
      <c r="D15" s="2">
        <v>0</v>
      </c>
      <c r="E15" s="2">
        <f>B15+C15-D15</f>
        <v>77000000</v>
      </c>
      <c r="F15" s="1" t="str">
        <f ca="1">[1]!getformula(E15)</f>
        <v>&lt;--  =B15+C15-D15</v>
      </c>
    </row>
    <row r="16" spans="1:6" x14ac:dyDescent="0.25">
      <c r="A16" s="13">
        <v>2003</v>
      </c>
      <c r="B16" s="2">
        <v>41000000</v>
      </c>
      <c r="C16" s="2">
        <v>54000000</v>
      </c>
      <c r="D16" s="2">
        <v>0</v>
      </c>
      <c r="E16" s="2">
        <f>B16+C16-D16</f>
        <v>95000000</v>
      </c>
      <c r="F16" s="14"/>
    </row>
    <row r="17" spans="1:6" x14ac:dyDescent="0.25">
      <c r="A17" s="13">
        <v>2004</v>
      </c>
      <c r="B17" s="2">
        <v>72000000</v>
      </c>
      <c r="C17" s="2">
        <v>55000000</v>
      </c>
      <c r="D17" s="2">
        <v>43000000</v>
      </c>
      <c r="E17" s="2">
        <f>B17+C17-D17</f>
        <v>84000000</v>
      </c>
    </row>
    <row r="18" spans="1:6" x14ac:dyDescent="0.25">
      <c r="A18" s="13">
        <v>2005</v>
      </c>
      <c r="B18" s="2">
        <v>45000000</v>
      </c>
      <c r="C18" s="2">
        <v>55000000</v>
      </c>
      <c r="D18" s="2">
        <v>24000000</v>
      </c>
      <c r="E18" s="2">
        <f>B18+C18-D18</f>
        <v>76000000</v>
      </c>
    </row>
    <row r="19" spans="1:6" x14ac:dyDescent="0.25">
      <c r="A19" s="13" t="s">
        <v>14</v>
      </c>
    </row>
    <row r="20" spans="1:6" x14ac:dyDescent="0.25">
      <c r="A20" s="1" t="s">
        <v>15</v>
      </c>
      <c r="B20" s="14">
        <f>(B18/B14)^(1/4)-1</f>
        <v>-1.600516436728483E-2</v>
      </c>
      <c r="C20" s="14">
        <f>(C18/C14)^(1/4)-1</f>
        <v>0.11962776897325011</v>
      </c>
      <c r="D20" s="15"/>
      <c r="E20" s="15">
        <f>(E18/E14)^(1/4)-1</f>
        <v>0.11597477487373253</v>
      </c>
      <c r="F20" s="1" t="str">
        <f ca="1">[1]!getformula(E20)</f>
        <v>&lt;--  =(E18/E14)^(1/4)-1</v>
      </c>
    </row>
    <row r="21" spans="1:6" x14ac:dyDescent="0.25">
      <c r="A21" s="1" t="s">
        <v>16</v>
      </c>
      <c r="B21" s="15">
        <f>(B18/B16)^(1/2)-1</f>
        <v>4.7645443654367403E-2</v>
      </c>
      <c r="C21" s="15">
        <f>(C18/C16)^(1/2)-1</f>
        <v>9.2167846991639824E-3</v>
      </c>
      <c r="E21" s="15">
        <f>(E18/E16)^(1/2)-1</f>
        <v>-0.10557280900008414</v>
      </c>
      <c r="F21" s="1" t="str">
        <f ca="1">[1]!getformula(E21)</f>
        <v>&lt;--  =(E18/E16)^(1/2)-1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2024-10-09T07:30:45Z</dcterms:modified>
</cp:coreProperties>
</file>