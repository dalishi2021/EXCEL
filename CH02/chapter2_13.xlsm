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2\"/>
    </mc:Choice>
  </mc:AlternateContent>
  <xr:revisionPtr revIDLastSave="0" documentId="13_ncr:1_{D3FF465F-20EB-4CAC-9B5B-4A0574173B52}" xr6:coauthVersionLast="47" xr6:coauthVersionMax="47" xr10:uidLastSave="{00000000-0000-0000-0000-000000000000}"/>
  <bookViews>
    <workbookView xWindow="-108" yWindow="-108" windowWidth="23256" windowHeight="12456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41" i="1" l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B2" i="1" s="1"/>
  <c r="B5" i="1" s="1"/>
  <c r="C17" i="1"/>
  <c r="C16" i="1"/>
  <c r="C15" i="1"/>
  <c r="C14" i="1"/>
  <c r="C13" i="1"/>
  <c r="C12" i="1"/>
  <c r="C11" i="1"/>
  <c r="C10" i="1"/>
  <c r="B3" i="1" s="1"/>
  <c r="B6" i="1" s="1"/>
  <c r="C6" i="1"/>
  <c r="C5" i="1"/>
  <c r="C2" i="1"/>
  <c r="C3" i="1"/>
  <c r="D10" i="1"/>
  <c r="D11" i="1"/>
  <c r="D13" i="1"/>
  <c r="D12" i="1"/>
</calcChain>
</file>

<file path=xl/sharedStrings.xml><?xml version="1.0" encoding="utf-8"?>
<sst xmlns="http://schemas.openxmlformats.org/spreadsheetml/2006/main" count="8" uniqueCount="8">
  <si>
    <t>Return</t>
  </si>
  <si>
    <t>Price</t>
  </si>
  <si>
    <t>Date</t>
  </si>
  <si>
    <t>Annualized standard deviation</t>
  </si>
  <si>
    <t>Annualized return</t>
  </si>
  <si>
    <t>Monthly standard deviation</t>
  </si>
  <si>
    <t>Average monthly return</t>
  </si>
  <si>
    <r>
      <t>MEASURING E(r</t>
    </r>
    <r>
      <rPr>
        <b/>
        <vertAlign val="subscript"/>
        <sz val="14"/>
        <rFont val="Arial"/>
        <family val="2"/>
      </rPr>
      <t>M</t>
    </r>
    <r>
      <rPr>
        <b/>
        <sz val="14"/>
        <rFont val="Arial"/>
        <family val="2"/>
      </rPr>
      <t>) USING HISTORICAL DATA
D</t>
    </r>
    <r>
      <rPr>
        <b/>
        <sz val="12"/>
        <rFont val="Arial"/>
        <family val="2"/>
      </rPr>
      <t>erived from prices for the Vanguard 500 Index Fund (symbol:  VFINX)
These prices include dividends; April 1987 - August 2006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</si>
</sst>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0"/>
      <name val="Arial"/>
      <family val="2"/>
    </font>
    <font>
      <b/>
      <sz val="14"/>
      <name val="Arial"/>
      <family val="2"/>
    </font>
    <font>
      <b/>
      <vertAlign val="subscript"/>
      <sz val="14"/>
      <name val="Arial"/>
      <family val="2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0" fillId="0" borderId="0" xfId="0" applyAlignmen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0" fontId="0" fillId="0" borderId="0" xfId="1" applyNumberFormat="1" applyFont="1" applyAlignment="1">
      <alignment horizontal="right"/>
    </xf>
    <xf numFmtId="2" fontId="0" fillId="0" borderId="0" xfId="0" applyNumberFormat="1" applyAlignment="1"/>
    <xf numFmtId="0" fontId="3" fillId="0" borderId="0" xfId="0" applyFont="1" applyAlignment="1">
      <alignment horizontal="center"/>
    </xf>
    <xf numFmtId="10" fontId="0" fillId="0" borderId="0" xfId="1" applyNumberFormat="1" applyFont="1" applyAlignment="1"/>
    <xf numFmtId="10" fontId="0" fillId="2" borderId="0" xfId="1" applyNumberFormat="1" applyFont="1" applyFill="1" applyAlignment="1"/>
    <xf numFmtId="0" fontId="0" fillId="2" borderId="0" xfId="0" applyFill="1" applyAlignment="1"/>
    <xf numFmtId="10" fontId="0" fillId="2" borderId="0" xfId="0" applyNumberFormat="1" applyFill="1" applyAlignment="1"/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D444"/>
  <sheetViews>
    <sheetView tabSelected="1" zoomScale="130" zoomScaleNormal="130" workbookViewId="0">
      <selection activeCell="I6" sqref="I6"/>
    </sheetView>
  </sheetViews>
  <sheetFormatPr defaultRowHeight="13.8" x14ac:dyDescent="0.25"/>
  <cols>
    <col min="1" max="1" width="29.21875" style="1" bestFit="1" customWidth="1"/>
    <col min="2" max="2" width="8.88671875" style="1"/>
    <col min="3" max="3" width="12.6640625" style="1" customWidth="1"/>
    <col min="4" max="4" width="16.6640625" style="1" customWidth="1"/>
  </cols>
  <sheetData>
    <row r="1" spans="1:4" ht="95.4" customHeight="1" x14ac:dyDescent="0.25">
      <c r="A1" s="12" t="s">
        <v>7</v>
      </c>
      <c r="B1" s="11"/>
      <c r="C1" s="11"/>
      <c r="D1" s="11"/>
    </row>
    <row r="2" spans="1:4" x14ac:dyDescent="0.25">
      <c r="A2" s="9" t="s">
        <v>6</v>
      </c>
      <c r="B2" s="10">
        <f>AVERAGE(C10:C241)</f>
        <v>8.3205431464338595E-3</v>
      </c>
      <c r="C2" s="1" t="str">
        <f ca="1">[1]!getformula(B2)</f>
        <v>&lt;--  =AVERAGE(C10:C241)</v>
      </c>
    </row>
    <row r="3" spans="1:4" x14ac:dyDescent="0.25">
      <c r="A3" s="1" t="s">
        <v>5</v>
      </c>
      <c r="B3" s="7">
        <f>STDEVP(C10:C241)</f>
        <v>4.3447630465267478E-2</v>
      </c>
      <c r="C3" s="1" t="str">
        <f ca="1">[1]!getformula(B3)</f>
        <v>&lt;--  =STDEVP(C10:C241)</v>
      </c>
    </row>
    <row r="5" spans="1:4" x14ac:dyDescent="0.25">
      <c r="A5" s="9" t="s">
        <v>4</v>
      </c>
      <c r="B5" s="8">
        <f>12*B2</f>
        <v>9.9846517757206321E-2</v>
      </c>
      <c r="C5" s="1" t="str">
        <f ca="1">[1]!getformula(B5)</f>
        <v>&lt;--  =12*B2</v>
      </c>
    </row>
    <row r="6" spans="1:4" x14ac:dyDescent="0.25">
      <c r="A6" s="1" t="s">
        <v>3</v>
      </c>
      <c r="B6" s="7">
        <f>SQRT(12)*B3</f>
        <v>0.15050700686864138</v>
      </c>
      <c r="C6" s="1" t="str">
        <f ca="1">[1]!getformula(B6)</f>
        <v>&lt;--  =SQRT(12)*B3</v>
      </c>
    </row>
    <row r="8" spans="1:4" x14ac:dyDescent="0.25">
      <c r="A8" s="6" t="s">
        <v>2</v>
      </c>
      <c r="B8" s="6" t="s">
        <v>1</v>
      </c>
      <c r="C8" s="6" t="s">
        <v>0</v>
      </c>
    </row>
    <row r="9" spans="1:4" x14ac:dyDescent="0.25">
      <c r="A9" s="13">
        <v>31868</v>
      </c>
      <c r="B9" s="5">
        <v>17.32</v>
      </c>
      <c r="C9" s="3"/>
    </row>
    <row r="10" spans="1:4" x14ac:dyDescent="0.25">
      <c r="A10" s="13">
        <v>31898</v>
      </c>
      <c r="B10" s="5">
        <v>17.489999999999998</v>
      </c>
      <c r="C10" s="4">
        <f>LN(B10/B9)</f>
        <v>9.767385896221439E-3</v>
      </c>
      <c r="D10" s="1" t="str">
        <f ca="1">[1]!getformula(C10)</f>
        <v>&lt;--  =LN(B10/B9)</v>
      </c>
    </row>
    <row r="11" spans="1:4" x14ac:dyDescent="0.25">
      <c r="A11" s="13">
        <v>31929</v>
      </c>
      <c r="B11" s="5">
        <v>18.37</v>
      </c>
      <c r="C11" s="4">
        <f>LN(B11/B10)</f>
        <v>4.9089610196523782E-2</v>
      </c>
      <c r="D11" s="1" t="str">
        <f ca="1">[1]!getformula(C11)</f>
        <v>&lt;--  =LN(B11/B10)</v>
      </c>
    </row>
    <row r="12" spans="1:4" x14ac:dyDescent="0.25">
      <c r="A12" s="13">
        <v>31959</v>
      </c>
      <c r="B12" s="5">
        <v>19.28</v>
      </c>
      <c r="C12" s="4">
        <f>LN(B12/B11)</f>
        <v>4.8349389955365189E-2</v>
      </c>
      <c r="D12" s="1" t="str">
        <f ca="1">[1]!getformula(C12)</f>
        <v>&lt;--  =LN(B12/B11)</v>
      </c>
    </row>
    <row r="13" spans="1:4" x14ac:dyDescent="0.25">
      <c r="A13" s="13">
        <v>31992</v>
      </c>
      <c r="B13" s="5">
        <v>20.02</v>
      </c>
      <c r="C13" s="4">
        <f>LN(B13/B12)</f>
        <v>3.7663484704674836E-2</v>
      </c>
      <c r="D13" s="1" t="str">
        <f ca="1">[1]!getformula(C13)</f>
        <v>&lt;--  =LN(B13/B12)</v>
      </c>
    </row>
    <row r="14" spans="1:4" x14ac:dyDescent="0.25">
      <c r="A14" s="13">
        <v>32021</v>
      </c>
      <c r="B14" s="5">
        <v>19.559999999999999</v>
      </c>
      <c r="C14" s="4">
        <f>LN(B14/B13)</f>
        <v>-2.3245109280403249E-2</v>
      </c>
    </row>
    <row r="15" spans="1:4" x14ac:dyDescent="0.25">
      <c r="A15" s="13">
        <v>32051</v>
      </c>
      <c r="B15" s="5">
        <v>15.31</v>
      </c>
      <c r="C15" s="4">
        <f>LN(B15/B14)</f>
        <v>-0.24498045493707876</v>
      </c>
    </row>
    <row r="16" spans="1:4" x14ac:dyDescent="0.25">
      <c r="A16" s="13">
        <v>32083</v>
      </c>
      <c r="B16" s="5">
        <v>14.06</v>
      </c>
      <c r="C16" s="4">
        <f>LN(B16/B15)</f>
        <v>-8.5172323287073484E-2</v>
      </c>
    </row>
    <row r="17" spans="1:3" x14ac:dyDescent="0.25">
      <c r="A17" s="13">
        <v>32112</v>
      </c>
      <c r="B17" s="5">
        <v>15.12</v>
      </c>
      <c r="C17" s="4">
        <f>LN(B17/B16)</f>
        <v>7.2684484368867916E-2</v>
      </c>
    </row>
    <row r="18" spans="1:3" x14ac:dyDescent="0.25">
      <c r="A18" s="13">
        <v>32146</v>
      </c>
      <c r="B18" s="5">
        <v>15.75</v>
      </c>
      <c r="C18" s="4">
        <f>LN(B18/B17)</f>
        <v>4.08219945202552E-2</v>
      </c>
    </row>
    <row r="19" spans="1:3" x14ac:dyDescent="0.25">
      <c r="A19" s="13">
        <v>32174</v>
      </c>
      <c r="B19" s="5">
        <v>16.48</v>
      </c>
      <c r="C19" s="4">
        <f>LN(B19/B18)</f>
        <v>4.5307159209683583E-2</v>
      </c>
    </row>
    <row r="20" spans="1:3" x14ac:dyDescent="0.25">
      <c r="A20" s="13">
        <v>32203</v>
      </c>
      <c r="B20" s="5">
        <v>15.98</v>
      </c>
      <c r="C20" s="4">
        <f>LN(B20/B19)</f>
        <v>-3.0809584143197077E-2</v>
      </c>
    </row>
    <row r="21" spans="1:3" x14ac:dyDescent="0.25">
      <c r="A21" s="13">
        <v>32237</v>
      </c>
      <c r="B21" s="5">
        <v>16.14</v>
      </c>
      <c r="C21" s="4">
        <f>LN(B21/B20)</f>
        <v>9.962722503674068E-3</v>
      </c>
    </row>
    <row r="22" spans="1:3" x14ac:dyDescent="0.25">
      <c r="A22" s="13">
        <v>32265</v>
      </c>
      <c r="B22" s="5">
        <v>16.27</v>
      </c>
      <c r="C22" s="4">
        <f>LN(B22/B21)</f>
        <v>8.0222583891436262E-3</v>
      </c>
    </row>
    <row r="23" spans="1:3" x14ac:dyDescent="0.25">
      <c r="A23" s="13">
        <v>32295</v>
      </c>
      <c r="B23" s="5">
        <v>17.010000000000002</v>
      </c>
      <c r="C23" s="4">
        <f>LN(B23/B22)</f>
        <v>4.4478485176824144E-2</v>
      </c>
    </row>
    <row r="24" spans="1:3" x14ac:dyDescent="0.25">
      <c r="A24" s="13">
        <v>32325</v>
      </c>
      <c r="B24" s="5">
        <v>16.95</v>
      </c>
      <c r="C24" s="4">
        <f>LN(B24/B23)</f>
        <v>-3.5335725813112387E-3</v>
      </c>
    </row>
    <row r="25" spans="1:3" x14ac:dyDescent="0.25">
      <c r="A25" s="13">
        <v>32356</v>
      </c>
      <c r="B25" s="5">
        <v>16.37</v>
      </c>
      <c r="C25" s="4">
        <f>LN(B25/B24)</f>
        <v>-3.4817442443415586E-2</v>
      </c>
    </row>
    <row r="26" spans="1:3" x14ac:dyDescent="0.25">
      <c r="A26" s="13">
        <v>32387</v>
      </c>
      <c r="B26" s="5">
        <v>17.07</v>
      </c>
      <c r="C26" s="4">
        <f>LN(B26/B25)</f>
        <v>4.1872145423305564E-2</v>
      </c>
    </row>
    <row r="27" spans="1:3" x14ac:dyDescent="0.25">
      <c r="A27" s="13">
        <v>32419</v>
      </c>
      <c r="B27" s="5">
        <v>17.54</v>
      </c>
      <c r="C27" s="4">
        <f>LN(B27/B26)</f>
        <v>2.7161450137687653E-2</v>
      </c>
    </row>
    <row r="28" spans="1:3" x14ac:dyDescent="0.25">
      <c r="A28" s="13">
        <v>32448</v>
      </c>
      <c r="B28" s="5">
        <v>17.28</v>
      </c>
      <c r="C28" s="4">
        <f>LN(B28/B27)</f>
        <v>-1.4934223568127274E-2</v>
      </c>
    </row>
    <row r="29" spans="1:3" x14ac:dyDescent="0.25">
      <c r="A29" s="13">
        <v>32478</v>
      </c>
      <c r="B29" s="5">
        <v>17.579999999999998</v>
      </c>
      <c r="C29" s="4">
        <f>LN(B29/B28)</f>
        <v>1.7212128881121207E-2</v>
      </c>
    </row>
    <row r="30" spans="1:3" x14ac:dyDescent="0.25">
      <c r="A30" s="13">
        <v>32511</v>
      </c>
      <c r="B30" s="5">
        <v>18.87</v>
      </c>
      <c r="C30" s="4">
        <f>LN(B30/B29)</f>
        <v>7.0811467123427993E-2</v>
      </c>
    </row>
    <row r="31" spans="1:3" x14ac:dyDescent="0.25">
      <c r="A31" s="13">
        <v>32540</v>
      </c>
      <c r="B31" s="5">
        <v>18.399999999999999</v>
      </c>
      <c r="C31" s="4">
        <f>LN(B31/B30)</f>
        <v>-2.5222694765519079E-2</v>
      </c>
    </row>
    <row r="32" spans="1:3" x14ac:dyDescent="0.25">
      <c r="A32" s="13">
        <v>32568</v>
      </c>
      <c r="B32" s="5">
        <v>18.82</v>
      </c>
      <c r="C32" s="4">
        <f>LN(B32/B31)</f>
        <v>2.2569469542293673E-2</v>
      </c>
    </row>
    <row r="33" spans="1:3" x14ac:dyDescent="0.25">
      <c r="A33" s="13">
        <v>32601</v>
      </c>
      <c r="B33" s="5">
        <v>19.8</v>
      </c>
      <c r="C33" s="4">
        <f>LN(B33/B32)</f>
        <v>5.0761803543255983E-2</v>
      </c>
    </row>
    <row r="34" spans="1:3" x14ac:dyDescent="0.25">
      <c r="A34" s="13">
        <v>32629</v>
      </c>
      <c r="B34" s="5">
        <v>20.6</v>
      </c>
      <c r="C34" s="4">
        <f>LN(B34/B33)</f>
        <v>3.9609138095045883E-2</v>
      </c>
    </row>
    <row r="35" spans="1:3" x14ac:dyDescent="0.25">
      <c r="A35" s="13">
        <v>32660</v>
      </c>
      <c r="B35" s="5">
        <v>20.47</v>
      </c>
      <c r="C35" s="4">
        <f>LN(B35/B34)</f>
        <v>-6.3306761223374114E-3</v>
      </c>
    </row>
    <row r="36" spans="1:3" x14ac:dyDescent="0.25">
      <c r="A36" s="13">
        <v>32692</v>
      </c>
      <c r="B36" s="5">
        <v>22.32</v>
      </c>
      <c r="C36" s="4">
        <f>LN(B36/B35)</f>
        <v>8.6522737839912003E-2</v>
      </c>
    </row>
    <row r="37" spans="1:3" x14ac:dyDescent="0.25">
      <c r="A37" s="13">
        <v>32721</v>
      </c>
      <c r="B37" s="5">
        <v>22.73</v>
      </c>
      <c r="C37" s="4">
        <f>LN(B37/B36)</f>
        <v>1.8202500351341667E-2</v>
      </c>
    </row>
    <row r="38" spans="1:3" x14ac:dyDescent="0.25">
      <c r="A38" s="13">
        <v>32752</v>
      </c>
      <c r="B38" s="5">
        <v>22.64</v>
      </c>
      <c r="C38" s="4">
        <f>LN(B38/B37)</f>
        <v>-3.9673845294696105E-3</v>
      </c>
    </row>
    <row r="39" spans="1:3" x14ac:dyDescent="0.25">
      <c r="A39" s="13">
        <v>32783</v>
      </c>
      <c r="B39" s="5">
        <v>22.11</v>
      </c>
      <c r="C39" s="4">
        <f>LN(B39/B38)</f>
        <v>-2.3688258465627315E-2</v>
      </c>
    </row>
    <row r="40" spans="1:3" x14ac:dyDescent="0.25">
      <c r="A40" s="13">
        <v>32813</v>
      </c>
      <c r="B40" s="5">
        <v>22.56</v>
      </c>
      <c r="C40" s="4">
        <f>LN(B40/B39)</f>
        <v>2.0148431760503238E-2</v>
      </c>
    </row>
    <row r="41" spans="1:3" x14ac:dyDescent="0.25">
      <c r="A41" s="13">
        <v>32843</v>
      </c>
      <c r="B41" s="5">
        <v>23.1</v>
      </c>
      <c r="C41" s="4">
        <f>LN(B41/B40)</f>
        <v>2.365419089788981E-2</v>
      </c>
    </row>
    <row r="42" spans="1:3" x14ac:dyDescent="0.25">
      <c r="A42" s="13">
        <v>32875</v>
      </c>
      <c r="B42" s="5">
        <v>21.55</v>
      </c>
      <c r="C42" s="4">
        <f>LN(B42/B41)</f>
        <v>-6.9456800977991062E-2</v>
      </c>
    </row>
    <row r="43" spans="1:3" x14ac:dyDescent="0.25">
      <c r="A43" s="13">
        <v>32905</v>
      </c>
      <c r="B43" s="5">
        <v>21.83</v>
      </c>
      <c r="C43" s="4">
        <f>LN(B43/B42)</f>
        <v>1.2909354012095722E-2</v>
      </c>
    </row>
    <row r="44" spans="1:3" x14ac:dyDescent="0.25">
      <c r="A44" s="13">
        <v>32933</v>
      </c>
      <c r="B44" s="5">
        <v>22.4</v>
      </c>
      <c r="C44" s="4">
        <f>LN(B44/B43)</f>
        <v>2.5775788299141549E-2</v>
      </c>
    </row>
    <row r="45" spans="1:3" x14ac:dyDescent="0.25">
      <c r="A45" s="13">
        <v>32965</v>
      </c>
      <c r="B45" s="5">
        <v>21.84</v>
      </c>
      <c r="C45" s="4">
        <f>LN(B45/B44)</f>
        <v>-2.5317807984289783E-2</v>
      </c>
    </row>
    <row r="46" spans="1:3" x14ac:dyDescent="0.25">
      <c r="A46" s="13">
        <v>32994</v>
      </c>
      <c r="B46" s="5">
        <v>23.95</v>
      </c>
      <c r="C46" s="4">
        <f>LN(B46/B45)</f>
        <v>9.2225172980219844E-2</v>
      </c>
    </row>
    <row r="47" spans="1:3" x14ac:dyDescent="0.25">
      <c r="A47" s="13">
        <v>33025</v>
      </c>
      <c r="B47" s="5">
        <v>23.79</v>
      </c>
      <c r="C47" s="4">
        <f>LN(B47/B46)</f>
        <v>-6.7029995420579917E-3</v>
      </c>
    </row>
    <row r="48" spans="1:3" x14ac:dyDescent="0.25">
      <c r="A48" s="13">
        <v>33056</v>
      </c>
      <c r="B48" s="5">
        <v>23.71</v>
      </c>
      <c r="C48" s="4">
        <f>LN(B48/B47)</f>
        <v>-3.3684242375521057E-3</v>
      </c>
    </row>
    <row r="49" spans="1:3" x14ac:dyDescent="0.25">
      <c r="A49" s="13">
        <v>33086</v>
      </c>
      <c r="B49" s="5">
        <v>21.57</v>
      </c>
      <c r="C49" s="4">
        <f>LN(B49/B48)</f>
        <v>-9.4593439676249058E-2</v>
      </c>
    </row>
    <row r="50" spans="1:3" x14ac:dyDescent="0.25">
      <c r="A50" s="13">
        <v>33120</v>
      </c>
      <c r="B50" s="5">
        <v>20.51</v>
      </c>
      <c r="C50" s="4">
        <f>LN(B50/B49)</f>
        <v>-5.0390888316775712E-2</v>
      </c>
    </row>
    <row r="51" spans="1:3" x14ac:dyDescent="0.25">
      <c r="A51" s="13">
        <v>33147</v>
      </c>
      <c r="B51" s="5">
        <v>20.43</v>
      </c>
      <c r="C51" s="4">
        <f>LN(B51/B50)</f>
        <v>-3.9081632547586908E-3</v>
      </c>
    </row>
    <row r="52" spans="1:3" x14ac:dyDescent="0.25">
      <c r="A52" s="13">
        <v>33178</v>
      </c>
      <c r="B52" s="5">
        <v>21.74</v>
      </c>
      <c r="C52" s="4">
        <f>LN(B52/B51)</f>
        <v>6.2149472863532604E-2</v>
      </c>
    </row>
    <row r="53" spans="1:3" x14ac:dyDescent="0.25">
      <c r="A53" s="13">
        <v>33210</v>
      </c>
      <c r="B53" s="5">
        <v>22.33</v>
      </c>
      <c r="C53" s="4">
        <f>LN(B53/B52)</f>
        <v>2.6777184159003063E-2</v>
      </c>
    </row>
    <row r="54" spans="1:3" x14ac:dyDescent="0.25">
      <c r="A54" s="13">
        <v>33240</v>
      </c>
      <c r="B54" s="5">
        <v>23.3</v>
      </c>
      <c r="C54" s="4">
        <f>LN(B54/B53)</f>
        <v>4.2522294719588544E-2</v>
      </c>
    </row>
    <row r="55" spans="1:3" x14ac:dyDescent="0.25">
      <c r="A55" s="13">
        <v>33270</v>
      </c>
      <c r="B55" s="5">
        <v>24.96</v>
      </c>
      <c r="C55" s="4">
        <f>LN(B55/B54)</f>
        <v>6.8821182929572053E-2</v>
      </c>
    </row>
    <row r="56" spans="1:3" x14ac:dyDescent="0.25">
      <c r="A56" s="13">
        <v>33298</v>
      </c>
      <c r="B56" s="5">
        <v>25.56</v>
      </c>
      <c r="C56" s="4">
        <f>LN(B56/B55)</f>
        <v>2.3754086008107057E-2</v>
      </c>
    </row>
    <row r="57" spans="1:3" x14ac:dyDescent="0.25">
      <c r="A57" s="13">
        <v>33329</v>
      </c>
      <c r="B57" s="5">
        <v>25.61</v>
      </c>
      <c r="C57" s="4">
        <f>LN(B57/B56)</f>
        <v>1.9542707020999035E-3</v>
      </c>
    </row>
    <row r="58" spans="1:3" x14ac:dyDescent="0.25">
      <c r="A58" s="13">
        <v>33359</v>
      </c>
      <c r="B58" s="5">
        <v>26.7</v>
      </c>
      <c r="C58" s="4">
        <f>LN(B58/B57)</f>
        <v>4.1680665194770004E-2</v>
      </c>
    </row>
    <row r="59" spans="1:3" x14ac:dyDescent="0.25">
      <c r="A59" s="13">
        <v>33392</v>
      </c>
      <c r="B59" s="5">
        <v>25.49</v>
      </c>
      <c r="C59" s="4">
        <f>LN(B59/B58)</f>
        <v>-4.6377347018179867E-2</v>
      </c>
    </row>
    <row r="60" spans="1:3" x14ac:dyDescent="0.25">
      <c r="A60" s="13">
        <v>33420</v>
      </c>
      <c r="B60" s="5">
        <v>26.67</v>
      </c>
      <c r="C60" s="4">
        <f>LN(B60/B59)</f>
        <v>4.5253119805898995E-2</v>
      </c>
    </row>
    <row r="61" spans="1:3" x14ac:dyDescent="0.25">
      <c r="A61" s="13">
        <v>33451</v>
      </c>
      <c r="B61" s="5">
        <v>27.29</v>
      </c>
      <c r="C61" s="4">
        <f>LN(B61/B60)</f>
        <v>2.2980996526324026E-2</v>
      </c>
    </row>
    <row r="62" spans="1:3" x14ac:dyDescent="0.25">
      <c r="A62" s="13">
        <v>33484</v>
      </c>
      <c r="B62" s="5">
        <v>26.83</v>
      </c>
      <c r="C62" s="4">
        <f>LN(B62/B61)</f>
        <v>-1.6999670282714326E-2</v>
      </c>
    </row>
    <row r="63" spans="1:3" x14ac:dyDescent="0.25">
      <c r="A63" s="13">
        <v>33512</v>
      </c>
      <c r="B63" s="5">
        <v>27.19</v>
      </c>
      <c r="C63" s="4">
        <f>LN(B63/B62)</f>
        <v>1.3328594206846713E-2</v>
      </c>
    </row>
    <row r="64" spans="1:3" x14ac:dyDescent="0.25">
      <c r="A64" s="13">
        <v>33543</v>
      </c>
      <c r="B64" s="5">
        <v>26.1</v>
      </c>
      <c r="C64" s="4">
        <f>LN(B64/B63)</f>
        <v>-4.0913944315731629E-2</v>
      </c>
    </row>
    <row r="65" spans="1:3" x14ac:dyDescent="0.25">
      <c r="A65" s="13">
        <v>33574</v>
      </c>
      <c r="B65" s="5">
        <v>29.07</v>
      </c>
      <c r="C65" s="4">
        <f>LN(B65/B64)</f>
        <v>0.10777140024213673</v>
      </c>
    </row>
    <row r="66" spans="1:3" x14ac:dyDescent="0.25">
      <c r="A66" s="13">
        <v>33605</v>
      </c>
      <c r="B66" s="5">
        <v>28.53</v>
      </c>
      <c r="C66" s="4">
        <f>LN(B66/B65)</f>
        <v>-1.8750549345375917E-2</v>
      </c>
    </row>
    <row r="67" spans="1:3" x14ac:dyDescent="0.25">
      <c r="A67" s="13">
        <v>33637</v>
      </c>
      <c r="B67" s="5">
        <v>28.89</v>
      </c>
      <c r="C67" s="4">
        <f>LN(B67/B66)</f>
        <v>1.2539349252735173E-2</v>
      </c>
    </row>
    <row r="68" spans="1:3" x14ac:dyDescent="0.25">
      <c r="A68" s="13">
        <v>33665</v>
      </c>
      <c r="B68" s="5">
        <v>28.33</v>
      </c>
      <c r="C68" s="4">
        <f>LN(B68/B67)</f>
        <v>-1.9574200635718825E-2</v>
      </c>
    </row>
    <row r="69" spans="1:3" x14ac:dyDescent="0.25">
      <c r="A69" s="13">
        <v>33695</v>
      </c>
      <c r="B69" s="5">
        <v>29.16</v>
      </c>
      <c r="C69" s="4">
        <f>LN(B69/B68)</f>
        <v>2.8876593298032372E-2</v>
      </c>
    </row>
    <row r="70" spans="1:3" x14ac:dyDescent="0.25">
      <c r="A70" s="13">
        <v>33725</v>
      </c>
      <c r="B70" s="5">
        <v>29.3</v>
      </c>
      <c r="C70" s="4">
        <f>LN(B70/B69)</f>
        <v>4.7896088825642932E-3</v>
      </c>
    </row>
    <row r="71" spans="1:3" x14ac:dyDescent="0.25">
      <c r="A71" s="13">
        <v>33756</v>
      </c>
      <c r="B71" s="5">
        <v>28.86</v>
      </c>
      <c r="C71" s="4">
        <f>LN(B71/B70)</f>
        <v>-1.5130962677296833E-2</v>
      </c>
    </row>
    <row r="72" spans="1:3" x14ac:dyDescent="0.25">
      <c r="A72" s="13">
        <v>33786</v>
      </c>
      <c r="B72" s="5">
        <v>30.03</v>
      </c>
      <c r="C72" s="4">
        <f>LN(B72/B71)</f>
        <v>3.9740328649514121E-2</v>
      </c>
    </row>
    <row r="73" spans="1:3" x14ac:dyDescent="0.25">
      <c r="A73" s="13">
        <v>33819</v>
      </c>
      <c r="B73" s="5">
        <v>29.41</v>
      </c>
      <c r="C73" s="4">
        <f>LN(B73/B72)</f>
        <v>-2.0862129429335328E-2</v>
      </c>
    </row>
    <row r="74" spans="1:3" x14ac:dyDescent="0.25">
      <c r="A74" s="13">
        <v>33848</v>
      </c>
      <c r="B74" s="5">
        <v>29.75</v>
      </c>
      <c r="C74" s="4">
        <f>LN(B74/B73)</f>
        <v>1.1494379425735212E-2</v>
      </c>
    </row>
    <row r="75" spans="1:3" x14ac:dyDescent="0.25">
      <c r="A75" s="13">
        <v>33878</v>
      </c>
      <c r="B75" s="5">
        <v>29.85</v>
      </c>
      <c r="C75" s="4">
        <f>LN(B75/B74)</f>
        <v>3.3557078469723151E-3</v>
      </c>
    </row>
    <row r="76" spans="1:3" x14ac:dyDescent="0.25">
      <c r="A76" s="13">
        <v>33910</v>
      </c>
      <c r="B76" s="5">
        <v>30.87</v>
      </c>
      <c r="C76" s="4">
        <f>LN(B76/B75)</f>
        <v>3.3599998675456849E-2</v>
      </c>
    </row>
    <row r="77" spans="1:3" x14ac:dyDescent="0.25">
      <c r="A77" s="13">
        <v>33939</v>
      </c>
      <c r="B77" s="5">
        <v>31.46</v>
      </c>
      <c r="C77" s="4">
        <f>LN(B77/B76)</f>
        <v>1.8932059116063743E-2</v>
      </c>
    </row>
    <row r="78" spans="1:3" x14ac:dyDescent="0.25">
      <c r="A78" s="13">
        <v>33973</v>
      </c>
      <c r="B78" s="5">
        <v>31.49</v>
      </c>
      <c r="C78" s="4">
        <f>LN(B78/B77)</f>
        <v>9.531374828013647E-4</v>
      </c>
    </row>
    <row r="79" spans="1:3" x14ac:dyDescent="0.25">
      <c r="A79" s="13">
        <v>34001</v>
      </c>
      <c r="B79" s="5">
        <v>31.92</v>
      </c>
      <c r="C79" s="4">
        <f>LN(B79/B78)</f>
        <v>1.3562737468674806E-2</v>
      </c>
    </row>
    <row r="80" spans="1:3" x14ac:dyDescent="0.25">
      <c r="A80" s="13">
        <v>34029</v>
      </c>
      <c r="B80" s="5">
        <v>32.590000000000003</v>
      </c>
      <c r="C80" s="4">
        <f>LN(B80/B79)</f>
        <v>2.0772720267862244E-2</v>
      </c>
    </row>
    <row r="81" spans="1:3" x14ac:dyDescent="0.25">
      <c r="A81" s="13">
        <v>34060</v>
      </c>
      <c r="B81" s="5">
        <v>31.8</v>
      </c>
      <c r="C81" s="4">
        <f>LN(B81/B80)</f>
        <v>-2.4539203063339159E-2</v>
      </c>
    </row>
    <row r="82" spans="1:3" x14ac:dyDescent="0.25">
      <c r="A82" s="13">
        <v>34092</v>
      </c>
      <c r="B82" s="5">
        <v>32.64</v>
      </c>
      <c r="C82" s="4">
        <f>LN(B82/B81)</f>
        <v>2.6072240309775105E-2</v>
      </c>
    </row>
    <row r="83" spans="1:3" x14ac:dyDescent="0.25">
      <c r="A83" s="13">
        <v>34121</v>
      </c>
      <c r="B83" s="5">
        <v>32.729999999999997</v>
      </c>
      <c r="C83" s="4">
        <f>LN(B83/B82)</f>
        <v>2.7535584171828166E-3</v>
      </c>
    </row>
    <row r="84" spans="1:3" x14ac:dyDescent="0.25">
      <c r="A84" s="13">
        <v>34151</v>
      </c>
      <c r="B84" s="5">
        <v>32.590000000000003</v>
      </c>
      <c r="C84" s="4">
        <f>LN(B84/B83)</f>
        <v>-4.2865956636187526E-3</v>
      </c>
    </row>
    <row r="85" spans="1:3" x14ac:dyDescent="0.25">
      <c r="A85" s="13">
        <v>34183</v>
      </c>
      <c r="B85" s="5">
        <v>33.82</v>
      </c>
      <c r="C85" s="4">
        <f>LN(B85/B84)</f>
        <v>3.7046850620963932E-2</v>
      </c>
    </row>
    <row r="86" spans="1:3" x14ac:dyDescent="0.25">
      <c r="A86" s="13">
        <v>34213</v>
      </c>
      <c r="B86" s="5">
        <v>33.56</v>
      </c>
      <c r="C86" s="4">
        <f>LN(B86/B85)</f>
        <v>-7.7174618714287539E-3</v>
      </c>
    </row>
    <row r="87" spans="1:3" x14ac:dyDescent="0.25">
      <c r="A87" s="13">
        <v>34243</v>
      </c>
      <c r="B87" s="5">
        <v>34.25</v>
      </c>
      <c r="C87" s="4">
        <f>LN(B87/B86)</f>
        <v>2.0351683109228771E-2</v>
      </c>
    </row>
    <row r="88" spans="1:3" x14ac:dyDescent="0.25">
      <c r="A88" s="13">
        <v>34274</v>
      </c>
      <c r="B88" s="5">
        <v>33.909999999999997</v>
      </c>
      <c r="C88" s="4">
        <f>LN(B88/B87)</f>
        <v>-9.9766085706871864E-3</v>
      </c>
    </row>
    <row r="89" spans="1:3" x14ac:dyDescent="0.25">
      <c r="A89" s="13">
        <v>34304</v>
      </c>
      <c r="B89" s="5">
        <v>34.33</v>
      </c>
      <c r="C89" s="4">
        <f>LN(B89/B88)</f>
        <v>1.2309651332053433E-2</v>
      </c>
    </row>
    <row r="90" spans="1:3" x14ac:dyDescent="0.25">
      <c r="A90" s="13">
        <v>34337</v>
      </c>
      <c r="B90" s="5">
        <v>35.49</v>
      </c>
      <c r="C90" s="4">
        <f>LN(B90/B89)</f>
        <v>3.3231359188804446E-2</v>
      </c>
    </row>
    <row r="91" spans="1:3" x14ac:dyDescent="0.25">
      <c r="A91" s="13">
        <v>34366</v>
      </c>
      <c r="B91" s="5">
        <v>34.520000000000003</v>
      </c>
      <c r="C91" s="4">
        <f>LN(B91/B90)</f>
        <v>-2.7712100443177901E-2</v>
      </c>
    </row>
    <row r="92" spans="1:3" x14ac:dyDescent="0.25">
      <c r="A92" s="13">
        <v>34394</v>
      </c>
      <c r="B92" s="5">
        <v>33.01</v>
      </c>
      <c r="C92" s="4">
        <f>LN(B92/B91)</f>
        <v>-4.4728320350125736E-2</v>
      </c>
    </row>
    <row r="93" spans="1:3" x14ac:dyDescent="0.25">
      <c r="A93" s="13">
        <v>34428</v>
      </c>
      <c r="B93" s="5">
        <v>33.44</v>
      </c>
      <c r="C93" s="4">
        <f>LN(B93/B92)</f>
        <v>1.2942242351399283E-2</v>
      </c>
    </row>
    <row r="94" spans="1:3" x14ac:dyDescent="0.25">
      <c r="A94" s="13">
        <v>34456</v>
      </c>
      <c r="B94" s="5">
        <v>33.97</v>
      </c>
      <c r="C94" s="4">
        <f>LN(B94/B93)</f>
        <v>1.5724993955991681E-2</v>
      </c>
    </row>
    <row r="95" spans="1:3" x14ac:dyDescent="0.25">
      <c r="A95" s="13">
        <v>34486</v>
      </c>
      <c r="B95" s="5">
        <v>33.14</v>
      </c>
      <c r="C95" s="4">
        <f>LN(B95/B94)</f>
        <v>-2.4736770174075648E-2</v>
      </c>
    </row>
    <row r="96" spans="1:3" x14ac:dyDescent="0.25">
      <c r="A96" s="13">
        <v>34516</v>
      </c>
      <c r="B96" s="5">
        <v>34.229999999999997</v>
      </c>
      <c r="C96" s="4">
        <f>LN(B96/B95)</f>
        <v>3.2361440543676914E-2</v>
      </c>
    </row>
    <row r="97" spans="1:3" x14ac:dyDescent="0.25">
      <c r="A97" s="13">
        <v>34547</v>
      </c>
      <c r="B97" s="5">
        <v>35.619999999999997</v>
      </c>
      <c r="C97" s="4">
        <f>LN(B97/B96)</f>
        <v>3.9804825319421568E-2</v>
      </c>
    </row>
    <row r="98" spans="1:3" x14ac:dyDescent="0.25">
      <c r="A98" s="13">
        <v>34578</v>
      </c>
      <c r="B98" s="5">
        <v>34.75</v>
      </c>
      <c r="C98" s="4">
        <f>LN(B98/B97)</f>
        <v>-2.4727705850714418E-2</v>
      </c>
    </row>
    <row r="99" spans="1:3" x14ac:dyDescent="0.25">
      <c r="A99" s="13">
        <v>34610</v>
      </c>
      <c r="B99" s="5">
        <v>35.53</v>
      </c>
      <c r="C99" s="4">
        <f>LN(B99/B98)</f>
        <v>2.2197838022134563E-2</v>
      </c>
    </row>
    <row r="100" spans="1:3" x14ac:dyDescent="0.25">
      <c r="A100" s="13">
        <v>34639</v>
      </c>
      <c r="B100" s="5">
        <v>34.229999999999997</v>
      </c>
      <c r="C100" s="4">
        <f>LN(B100/B99)</f>
        <v>-3.7274957490841858E-2</v>
      </c>
    </row>
    <row r="101" spans="1:3" x14ac:dyDescent="0.25">
      <c r="A101" s="13">
        <v>34669</v>
      </c>
      <c r="B101" s="5">
        <v>34.729999999999997</v>
      </c>
      <c r="C101" s="4">
        <f>LN(B101/B100)</f>
        <v>1.4501414213888657E-2</v>
      </c>
    </row>
    <row r="102" spans="1:3" x14ac:dyDescent="0.25">
      <c r="A102" s="13">
        <v>34702</v>
      </c>
      <c r="B102" s="5">
        <v>35.630000000000003</v>
      </c>
      <c r="C102" s="4">
        <f>LN(B102/B101)</f>
        <v>2.5584112861762195E-2</v>
      </c>
    </row>
    <row r="103" spans="1:3" x14ac:dyDescent="0.25">
      <c r="A103" s="13">
        <v>34731</v>
      </c>
      <c r="B103" s="5">
        <v>37.01</v>
      </c>
      <c r="C103" s="4">
        <f>LN(B103/B102)</f>
        <v>3.8000166780319811E-2</v>
      </c>
    </row>
    <row r="104" spans="1:3" x14ac:dyDescent="0.25">
      <c r="A104" s="13">
        <v>34759</v>
      </c>
      <c r="B104" s="5">
        <v>38.1</v>
      </c>
      <c r="C104" s="4">
        <f>LN(B104/B103)</f>
        <v>2.9026135734590706E-2</v>
      </c>
    </row>
    <row r="105" spans="1:3" x14ac:dyDescent="0.25">
      <c r="A105" s="13">
        <v>34792</v>
      </c>
      <c r="B105" s="5">
        <v>39.22</v>
      </c>
      <c r="C105" s="4">
        <f>LN(B105/B104)</f>
        <v>2.8972538635544831E-2</v>
      </c>
    </row>
    <row r="106" spans="1:3" x14ac:dyDescent="0.25">
      <c r="A106" s="13">
        <v>34820</v>
      </c>
      <c r="B106" s="5">
        <v>40.78</v>
      </c>
      <c r="C106" s="4">
        <f>LN(B106/B105)</f>
        <v>3.9004944378108877E-2</v>
      </c>
    </row>
    <row r="107" spans="1:3" x14ac:dyDescent="0.25">
      <c r="A107" s="13">
        <v>34851</v>
      </c>
      <c r="B107" s="5">
        <v>41.72</v>
      </c>
      <c r="C107" s="4">
        <f>LN(B107/B106)</f>
        <v>2.2788864986262578E-2</v>
      </c>
    </row>
    <row r="108" spans="1:3" x14ac:dyDescent="0.25">
      <c r="A108" s="13">
        <v>34883</v>
      </c>
      <c r="B108" s="5">
        <v>43.1</v>
      </c>
      <c r="C108" s="4">
        <f>LN(B108/B107)</f>
        <v>3.2542366977130463E-2</v>
      </c>
    </row>
    <row r="109" spans="1:3" x14ac:dyDescent="0.25">
      <c r="A109" s="13">
        <v>34912</v>
      </c>
      <c r="B109" s="5">
        <v>43.21</v>
      </c>
      <c r="C109" s="4">
        <f>LN(B109/B108)</f>
        <v>2.5489528341397613E-3</v>
      </c>
    </row>
    <row r="110" spans="1:3" x14ac:dyDescent="0.25">
      <c r="A110" s="13">
        <v>34943</v>
      </c>
      <c r="B110" s="5">
        <v>45.03</v>
      </c>
      <c r="C110" s="4">
        <f>LN(B110/B109)</f>
        <v>4.1256984369638434E-2</v>
      </c>
    </row>
    <row r="111" spans="1:3" x14ac:dyDescent="0.25">
      <c r="A111" s="13">
        <v>34974</v>
      </c>
      <c r="B111" s="5">
        <v>44.87</v>
      </c>
      <c r="C111" s="4">
        <f>LN(B111/B110)</f>
        <v>-3.5595143255884331E-3</v>
      </c>
    </row>
    <row r="112" spans="1:3" x14ac:dyDescent="0.25">
      <c r="A112" s="13">
        <v>35004</v>
      </c>
      <c r="B112" s="5">
        <v>46.83</v>
      </c>
      <c r="C112" s="4">
        <f>LN(B112/B111)</f>
        <v>4.2754603207558334E-2</v>
      </c>
    </row>
    <row r="113" spans="1:3" x14ac:dyDescent="0.25">
      <c r="A113" s="13">
        <v>35034</v>
      </c>
      <c r="B113" s="5">
        <v>47.74</v>
      </c>
      <c r="C113" s="4">
        <f>LN(B113/B112)</f>
        <v>1.9245597715233778E-2</v>
      </c>
    </row>
    <row r="114" spans="1:3" x14ac:dyDescent="0.25">
      <c r="A114" s="13">
        <v>35066</v>
      </c>
      <c r="B114" s="5">
        <v>49.35</v>
      </c>
      <c r="C114" s="4">
        <f>LN(B114/B113)</f>
        <v>3.3168144968806525E-2</v>
      </c>
    </row>
    <row r="115" spans="1:3" x14ac:dyDescent="0.25">
      <c r="A115" s="13">
        <v>35096</v>
      </c>
      <c r="B115" s="5">
        <v>49.81</v>
      </c>
      <c r="C115" s="4">
        <f>LN(B115/B114)</f>
        <v>9.2780012057015367E-3</v>
      </c>
    </row>
    <row r="116" spans="1:3" x14ac:dyDescent="0.25">
      <c r="A116" s="13">
        <v>35125</v>
      </c>
      <c r="B116" s="5">
        <v>50.3</v>
      </c>
      <c r="C116" s="4">
        <f>LN(B116/B115)</f>
        <v>9.7893100205014155E-3</v>
      </c>
    </row>
    <row r="117" spans="1:3" x14ac:dyDescent="0.25">
      <c r="A117" s="13">
        <v>35156</v>
      </c>
      <c r="B117" s="5">
        <v>51.03</v>
      </c>
      <c r="C117" s="4">
        <f>LN(B117/B116)</f>
        <v>1.440861797018656E-2</v>
      </c>
    </row>
    <row r="118" spans="1:3" x14ac:dyDescent="0.25">
      <c r="A118" s="13">
        <v>35186</v>
      </c>
      <c r="B118" s="5">
        <v>52.33</v>
      </c>
      <c r="C118" s="4">
        <f>LN(B118/B117)</f>
        <v>2.5156125308236226E-2</v>
      </c>
    </row>
    <row r="119" spans="1:3" x14ac:dyDescent="0.25">
      <c r="A119" s="13">
        <v>35219</v>
      </c>
      <c r="B119" s="5">
        <v>52.53</v>
      </c>
      <c r="C119" s="4">
        <f>LN(B119/B118)</f>
        <v>3.8146145817537038E-3</v>
      </c>
    </row>
    <row r="120" spans="1:3" x14ac:dyDescent="0.25">
      <c r="A120" s="13">
        <v>35247</v>
      </c>
      <c r="B120" s="5">
        <v>50.21</v>
      </c>
      <c r="C120" s="4">
        <f>LN(B120/B119)</f>
        <v>-4.5170224919256097E-2</v>
      </c>
    </row>
    <row r="121" spans="1:3" x14ac:dyDescent="0.25">
      <c r="A121" s="13">
        <v>35278</v>
      </c>
      <c r="B121" s="5">
        <v>51.26</v>
      </c>
      <c r="C121" s="4">
        <f>LN(B121/B120)</f>
        <v>2.0696510889310966E-2</v>
      </c>
    </row>
    <row r="122" spans="1:3" x14ac:dyDescent="0.25">
      <c r="A122" s="13">
        <v>35311</v>
      </c>
      <c r="B122" s="5">
        <v>54.13</v>
      </c>
      <c r="C122" s="4">
        <f>LN(B122/B121)</f>
        <v>5.447783987296162E-2</v>
      </c>
    </row>
    <row r="123" spans="1:3" x14ac:dyDescent="0.25">
      <c r="A123" s="13">
        <v>35339</v>
      </c>
      <c r="B123" s="5">
        <v>55.62</v>
      </c>
      <c r="C123" s="4">
        <f>LN(B123/B122)</f>
        <v>2.7154287996932095E-2</v>
      </c>
    </row>
    <row r="124" spans="1:3" x14ac:dyDescent="0.25">
      <c r="A124" s="13">
        <v>35370</v>
      </c>
      <c r="B124" s="5">
        <v>59.83</v>
      </c>
      <c r="C124" s="4">
        <f>LN(B124/B123)</f>
        <v>7.2964358596121673E-2</v>
      </c>
    </row>
    <row r="125" spans="1:3" x14ac:dyDescent="0.25">
      <c r="A125" s="13">
        <v>35401</v>
      </c>
      <c r="B125" s="5">
        <v>58.65</v>
      </c>
      <c r="C125" s="4">
        <f>LN(B125/B124)</f>
        <v>-1.9919632302455997E-2</v>
      </c>
    </row>
    <row r="126" spans="1:3" x14ac:dyDescent="0.25">
      <c r="A126" s="13">
        <v>35432</v>
      </c>
      <c r="B126" s="5">
        <v>62.31</v>
      </c>
      <c r="C126" s="4">
        <f>LN(B126/B125)</f>
        <v>6.0534351456646249E-2</v>
      </c>
    </row>
    <row r="127" spans="1:3" x14ac:dyDescent="0.25">
      <c r="A127" s="13">
        <v>35464</v>
      </c>
      <c r="B127" s="5">
        <v>62.8</v>
      </c>
      <c r="C127" s="4">
        <f>LN(B127/B126)</f>
        <v>7.8331469180221817E-3</v>
      </c>
    </row>
    <row r="128" spans="1:3" x14ac:dyDescent="0.25">
      <c r="A128" s="13">
        <v>35492</v>
      </c>
      <c r="B128" s="5">
        <v>60.2</v>
      </c>
      <c r="C128" s="4">
        <f>LN(B128/B127)</f>
        <v>-4.2282721159377513E-2</v>
      </c>
    </row>
    <row r="129" spans="1:3" x14ac:dyDescent="0.25">
      <c r="A129" s="13">
        <v>35521</v>
      </c>
      <c r="B129" s="5">
        <v>63.79</v>
      </c>
      <c r="C129" s="4">
        <f>LN(B129/B128)</f>
        <v>5.7924085939088488E-2</v>
      </c>
    </row>
    <row r="130" spans="1:3" x14ac:dyDescent="0.25">
      <c r="A130" s="13">
        <v>35551</v>
      </c>
      <c r="B130" s="5">
        <v>67.67</v>
      </c>
      <c r="C130" s="4">
        <f>LN(B130/B129)</f>
        <v>5.9046511990270265E-2</v>
      </c>
    </row>
    <row r="131" spans="1:3" x14ac:dyDescent="0.25">
      <c r="A131" s="13">
        <v>35583</v>
      </c>
      <c r="B131" s="5">
        <v>70.680000000000007</v>
      </c>
      <c r="C131" s="4">
        <f>LN(B131/B130)</f>
        <v>4.3519697207361513E-2</v>
      </c>
    </row>
    <row r="132" spans="1:3" x14ac:dyDescent="0.25">
      <c r="A132" s="13">
        <v>35612</v>
      </c>
      <c r="B132" s="5">
        <v>76.31</v>
      </c>
      <c r="C132" s="4">
        <f>LN(B132/B131)</f>
        <v>7.664134385004602E-2</v>
      </c>
    </row>
    <row r="133" spans="1:3" x14ac:dyDescent="0.25">
      <c r="A133" s="13">
        <v>35643</v>
      </c>
      <c r="B133" s="5">
        <v>72.03</v>
      </c>
      <c r="C133" s="4">
        <f>LN(B133/B132)</f>
        <v>-5.7721292400270317E-2</v>
      </c>
    </row>
    <row r="134" spans="1:3" x14ac:dyDescent="0.25">
      <c r="A134" s="13">
        <v>35675</v>
      </c>
      <c r="B134" s="5">
        <v>75.97</v>
      </c>
      <c r="C134" s="4">
        <f>LN(B134/B133)</f>
        <v>5.3255826613858748E-2</v>
      </c>
    </row>
    <row r="135" spans="1:3" x14ac:dyDescent="0.25">
      <c r="A135" s="13">
        <v>35704</v>
      </c>
      <c r="B135" s="5">
        <v>73.430000000000007</v>
      </c>
      <c r="C135" s="4">
        <f>LN(B135/B134)</f>
        <v>-3.4005954051611005E-2</v>
      </c>
    </row>
    <row r="136" spans="1:3" x14ac:dyDescent="0.25">
      <c r="A136" s="13">
        <v>35737</v>
      </c>
      <c r="B136" s="5">
        <v>76.8</v>
      </c>
      <c r="C136" s="4">
        <f>LN(B136/B135)</f>
        <v>4.4872068690107306E-2</v>
      </c>
    </row>
    <row r="137" spans="1:3" x14ac:dyDescent="0.25">
      <c r="A137" s="13">
        <v>35765</v>
      </c>
      <c r="B137" s="5">
        <v>78.11</v>
      </c>
      <c r="C137" s="4">
        <f>LN(B137/B136)</f>
        <v>1.6913449468579481E-2</v>
      </c>
    </row>
    <row r="138" spans="1:3" x14ac:dyDescent="0.25">
      <c r="A138" s="13">
        <v>35797</v>
      </c>
      <c r="B138" s="5">
        <v>78.98</v>
      </c>
      <c r="C138" s="4">
        <f>LN(B138/B137)</f>
        <v>1.107656623629746E-2</v>
      </c>
    </row>
    <row r="139" spans="1:3" x14ac:dyDescent="0.25">
      <c r="A139" s="13">
        <v>35828</v>
      </c>
      <c r="B139" s="5">
        <v>84.66</v>
      </c>
      <c r="C139" s="4">
        <f>LN(B139/B138)</f>
        <v>6.9448579234274277E-2</v>
      </c>
    </row>
    <row r="140" spans="1:3" x14ac:dyDescent="0.25">
      <c r="A140" s="13">
        <v>35856</v>
      </c>
      <c r="B140" s="5">
        <v>88.98</v>
      </c>
      <c r="C140" s="4">
        <f>LN(B140/B139)</f>
        <v>4.9768390285118161E-2</v>
      </c>
    </row>
    <row r="141" spans="1:3" x14ac:dyDescent="0.25">
      <c r="A141" s="13">
        <v>35886</v>
      </c>
      <c r="B141" s="5">
        <v>89.88</v>
      </c>
      <c r="C141" s="4">
        <f>LN(B141/B140)</f>
        <v>1.0063821939232571E-2</v>
      </c>
    </row>
    <row r="142" spans="1:3" x14ac:dyDescent="0.25">
      <c r="A142" s="13">
        <v>35916</v>
      </c>
      <c r="B142" s="5">
        <v>88.31</v>
      </c>
      <c r="C142" s="4">
        <f>LN(B142/B141)</f>
        <v>-1.7622095836417519E-2</v>
      </c>
    </row>
    <row r="143" spans="1:3" x14ac:dyDescent="0.25">
      <c r="A143" s="13">
        <v>35947</v>
      </c>
      <c r="B143" s="5">
        <v>91.91</v>
      </c>
      <c r="C143" s="4">
        <f>LN(B143/B142)</f>
        <v>3.9956485889307114E-2</v>
      </c>
    </row>
    <row r="144" spans="1:3" x14ac:dyDescent="0.25">
      <c r="A144" s="13">
        <v>35977</v>
      </c>
      <c r="B144" s="5">
        <v>90.94</v>
      </c>
      <c r="C144" s="4">
        <f>LN(B144/B143)</f>
        <v>-1.0609888973153602E-2</v>
      </c>
    </row>
    <row r="145" spans="1:3" x14ac:dyDescent="0.25">
      <c r="A145" s="13">
        <v>36010</v>
      </c>
      <c r="B145" s="5">
        <v>77.78</v>
      </c>
      <c r="C145" s="4">
        <f>LN(B145/B144)</f>
        <v>-0.15631561966926324</v>
      </c>
    </row>
    <row r="146" spans="1:3" x14ac:dyDescent="0.25">
      <c r="A146" s="13">
        <v>36039</v>
      </c>
      <c r="B146" s="5">
        <v>82.76</v>
      </c>
      <c r="C146" s="4">
        <f>LN(B146/B145)</f>
        <v>6.2060524149741114E-2</v>
      </c>
    </row>
    <row r="147" spans="1:3" x14ac:dyDescent="0.25">
      <c r="A147" s="13">
        <v>36069</v>
      </c>
      <c r="B147" s="5">
        <v>89.52</v>
      </c>
      <c r="C147" s="4">
        <f>LN(B147/B146)</f>
        <v>7.8517211126327424E-2</v>
      </c>
    </row>
    <row r="148" spans="1:3" x14ac:dyDescent="0.25">
      <c r="A148" s="13">
        <v>36101</v>
      </c>
      <c r="B148" s="5">
        <v>94.95</v>
      </c>
      <c r="C148" s="4">
        <f>LN(B148/B147)</f>
        <v>5.8888373254625259E-2</v>
      </c>
    </row>
    <row r="149" spans="1:3" x14ac:dyDescent="0.25">
      <c r="A149" s="13">
        <v>36130</v>
      </c>
      <c r="B149" s="5">
        <v>100.47</v>
      </c>
      <c r="C149" s="4">
        <f>LN(B149/B148)</f>
        <v>5.6508738215928035E-2</v>
      </c>
    </row>
    <row r="150" spans="1:3" x14ac:dyDescent="0.25">
      <c r="A150" s="13">
        <v>36164</v>
      </c>
      <c r="B150" s="5">
        <v>104.69</v>
      </c>
      <c r="C150" s="4">
        <f>LN(B150/B149)</f>
        <v>4.114442685704061E-2</v>
      </c>
    </row>
    <row r="151" spans="1:3" x14ac:dyDescent="0.25">
      <c r="A151" s="13">
        <v>36192</v>
      </c>
      <c r="B151" s="5">
        <v>101.42</v>
      </c>
      <c r="C151" s="4">
        <f>LN(B151/B150)</f>
        <v>-3.1733291964390523E-2</v>
      </c>
    </row>
    <row r="152" spans="1:3" x14ac:dyDescent="0.25">
      <c r="A152" s="13">
        <v>36220</v>
      </c>
      <c r="B152" s="5">
        <v>105.47</v>
      </c>
      <c r="C152" s="4">
        <f>LN(B152/B151)</f>
        <v>3.9156241921649799E-2</v>
      </c>
    </row>
    <row r="153" spans="1:3" x14ac:dyDescent="0.25">
      <c r="A153" s="13">
        <v>36251</v>
      </c>
      <c r="B153" s="5">
        <v>109.53</v>
      </c>
      <c r="C153" s="4">
        <f>LN(B153/B152)</f>
        <v>3.7771932047132244E-2</v>
      </c>
    </row>
    <row r="154" spans="1:3" x14ac:dyDescent="0.25">
      <c r="A154" s="13">
        <v>36283</v>
      </c>
      <c r="B154" s="5">
        <v>106.91</v>
      </c>
      <c r="C154" s="4">
        <f>LN(B154/B153)</f>
        <v>-2.4211125310246759E-2</v>
      </c>
    </row>
    <row r="155" spans="1:3" x14ac:dyDescent="0.25">
      <c r="A155" s="13">
        <v>36312</v>
      </c>
      <c r="B155" s="5">
        <v>112.85</v>
      </c>
      <c r="C155" s="4">
        <f>LN(B155/B154)</f>
        <v>5.4072144238136166E-2</v>
      </c>
    </row>
    <row r="156" spans="1:3" x14ac:dyDescent="0.25">
      <c r="A156" s="13">
        <v>36342</v>
      </c>
      <c r="B156" s="5">
        <v>109.32</v>
      </c>
      <c r="C156" s="4">
        <f>LN(B156/B155)</f>
        <v>-3.1780142203677468E-2</v>
      </c>
    </row>
    <row r="157" spans="1:3" x14ac:dyDescent="0.25">
      <c r="A157" s="13">
        <v>36374</v>
      </c>
      <c r="B157" s="5">
        <v>108.78</v>
      </c>
      <c r="C157" s="4">
        <f>LN(B157/B156)</f>
        <v>-4.9518670650524951E-3</v>
      </c>
    </row>
    <row r="158" spans="1:3" x14ac:dyDescent="0.25">
      <c r="A158" s="13">
        <v>36404</v>
      </c>
      <c r="B158" s="5">
        <v>105.8</v>
      </c>
      <c r="C158" s="4">
        <f>LN(B158/B157)</f>
        <v>-2.7776974570615683E-2</v>
      </c>
    </row>
    <row r="159" spans="1:3" x14ac:dyDescent="0.25">
      <c r="A159" s="13">
        <v>36434</v>
      </c>
      <c r="B159" s="5">
        <v>112.49</v>
      </c>
      <c r="C159" s="4">
        <f>LN(B159/B158)</f>
        <v>6.1313809380535468E-2</v>
      </c>
    </row>
    <row r="160" spans="1:3" x14ac:dyDescent="0.25">
      <c r="A160" s="13">
        <v>36465</v>
      </c>
      <c r="B160" s="5">
        <v>114.77</v>
      </c>
      <c r="C160" s="4">
        <f>LN(B160/B159)</f>
        <v>2.0065796887842491E-2</v>
      </c>
    </row>
    <row r="161" spans="1:3" x14ac:dyDescent="0.25">
      <c r="A161" s="13">
        <v>36495</v>
      </c>
      <c r="B161" s="5">
        <v>121.64</v>
      </c>
      <c r="C161" s="4">
        <f>LN(B161/B160)</f>
        <v>5.8135737116586907E-2</v>
      </c>
    </row>
    <row r="162" spans="1:3" x14ac:dyDescent="0.25">
      <c r="A162" s="13">
        <v>36528</v>
      </c>
      <c r="B162" s="5">
        <v>115.52</v>
      </c>
      <c r="C162" s="4">
        <f>LN(B162/B161)</f>
        <v>-5.1622187664647892E-2</v>
      </c>
    </row>
    <row r="163" spans="1:3" x14ac:dyDescent="0.25">
      <c r="A163" s="13">
        <v>36557</v>
      </c>
      <c r="B163" s="5">
        <v>113.32</v>
      </c>
      <c r="C163" s="4">
        <f>LN(B163/B162)</f>
        <v>-1.9228000182200364E-2</v>
      </c>
    </row>
    <row r="164" spans="1:3" x14ac:dyDescent="0.25">
      <c r="A164" s="13">
        <v>36586</v>
      </c>
      <c r="B164" s="5">
        <v>124.38</v>
      </c>
      <c r="C164" s="4">
        <f>LN(B164/B163)</f>
        <v>9.3125720713427507E-2</v>
      </c>
    </row>
    <row r="165" spans="1:3" x14ac:dyDescent="0.25">
      <c r="A165" s="13">
        <v>36619</v>
      </c>
      <c r="B165" s="5">
        <v>120.64</v>
      </c>
      <c r="C165" s="4">
        <f>LN(B165/B164)</f>
        <v>-3.0530491416097288E-2</v>
      </c>
    </row>
    <row r="166" spans="1:3" x14ac:dyDescent="0.25">
      <c r="A166" s="13">
        <v>36647</v>
      </c>
      <c r="B166" s="5">
        <v>118.18</v>
      </c>
      <c r="C166" s="4">
        <f>LN(B166/B165)</f>
        <v>-2.0602018342117379E-2</v>
      </c>
    </row>
    <row r="167" spans="1:3" x14ac:dyDescent="0.25">
      <c r="A167" s="13">
        <v>36678</v>
      </c>
      <c r="B167" s="5">
        <v>121.12</v>
      </c>
      <c r="C167" s="4">
        <f>LN(B167/B166)</f>
        <v>2.457290377161013E-2</v>
      </c>
    </row>
    <row r="168" spans="1:3" x14ac:dyDescent="0.25">
      <c r="A168" s="13">
        <v>36710</v>
      </c>
      <c r="B168" s="5">
        <v>119.31</v>
      </c>
      <c r="C168" s="4">
        <f>LN(B168/B167)</f>
        <v>-1.5056641801429699E-2</v>
      </c>
    </row>
    <row r="169" spans="1:3" x14ac:dyDescent="0.25">
      <c r="A169" s="13">
        <v>36739</v>
      </c>
      <c r="B169" s="5">
        <v>126.7</v>
      </c>
      <c r="C169" s="4">
        <f>LN(B169/B168)</f>
        <v>6.0096939439384447E-2</v>
      </c>
    </row>
    <row r="170" spans="1:3" x14ac:dyDescent="0.25">
      <c r="A170" s="13">
        <v>36770</v>
      </c>
      <c r="B170" s="5">
        <v>120</v>
      </c>
      <c r="C170" s="4">
        <f>LN(B170/B169)</f>
        <v>-5.4330344545047364E-2</v>
      </c>
    </row>
    <row r="171" spans="1:3" x14ac:dyDescent="0.25">
      <c r="A171" s="13">
        <v>36801</v>
      </c>
      <c r="B171" s="5">
        <v>119.48</v>
      </c>
      <c r="C171" s="4">
        <f>LN(B171/B170)</f>
        <v>-4.3427494341369121E-3</v>
      </c>
    </row>
    <row r="172" spans="1:3" x14ac:dyDescent="0.25">
      <c r="A172" s="13">
        <v>36831</v>
      </c>
      <c r="B172" s="5">
        <v>110.07</v>
      </c>
      <c r="C172" s="4">
        <f>LN(B172/B171)</f>
        <v>-8.2032466312608798E-2</v>
      </c>
    </row>
    <row r="173" spans="1:3" x14ac:dyDescent="0.25">
      <c r="A173" s="13">
        <v>36861</v>
      </c>
      <c r="B173" s="5">
        <v>110.63</v>
      </c>
      <c r="C173" s="4">
        <f>LN(B173/B172)</f>
        <v>5.0747730115190542E-3</v>
      </c>
    </row>
    <row r="174" spans="1:3" x14ac:dyDescent="0.25">
      <c r="A174" s="13">
        <v>36893</v>
      </c>
      <c r="B174" s="5">
        <v>114.55</v>
      </c>
      <c r="C174" s="4">
        <f>LN(B174/B173)</f>
        <v>3.482010885268496E-2</v>
      </c>
    </row>
    <row r="175" spans="1:3" x14ac:dyDescent="0.25">
      <c r="A175" s="13">
        <v>36923</v>
      </c>
      <c r="B175" s="5">
        <v>104.09</v>
      </c>
      <c r="C175" s="4">
        <f>LN(B175/B174)</f>
        <v>-9.5755499372127503E-2</v>
      </c>
    </row>
    <row r="176" spans="1:3" x14ac:dyDescent="0.25">
      <c r="A176" s="13">
        <v>36951</v>
      </c>
      <c r="B176" s="5">
        <v>97.46</v>
      </c>
      <c r="C176" s="4">
        <f>LN(B176/B175)</f>
        <v>-6.5813872112016988E-2</v>
      </c>
    </row>
    <row r="177" spans="1:3" x14ac:dyDescent="0.25">
      <c r="A177" s="13">
        <v>36983</v>
      </c>
      <c r="B177" s="5">
        <v>105.04</v>
      </c>
      <c r="C177" s="4">
        <f>LN(B177/B176)</f>
        <v>7.4899192579180693E-2</v>
      </c>
    </row>
    <row r="178" spans="1:3" x14ac:dyDescent="0.25">
      <c r="A178" s="13">
        <v>37012</v>
      </c>
      <c r="B178" s="5">
        <v>105.72</v>
      </c>
      <c r="C178" s="4">
        <f>LN(B178/B177)</f>
        <v>6.452859741547641E-3</v>
      </c>
    </row>
    <row r="179" spans="1:3" x14ac:dyDescent="0.25">
      <c r="A179" s="13">
        <v>37043</v>
      </c>
      <c r="B179" s="5">
        <v>103.13</v>
      </c>
      <c r="C179" s="4">
        <f>LN(B179/B178)</f>
        <v>-2.4803761408110865E-2</v>
      </c>
    </row>
    <row r="180" spans="1:3" x14ac:dyDescent="0.25">
      <c r="A180" s="13">
        <v>37074</v>
      </c>
      <c r="B180" s="5">
        <v>102.1</v>
      </c>
      <c r="C180" s="4">
        <f>LN(B180/B179)</f>
        <v>-1.003760315735781E-2</v>
      </c>
    </row>
    <row r="181" spans="1:3" x14ac:dyDescent="0.25">
      <c r="A181" s="13">
        <v>37104</v>
      </c>
      <c r="B181" s="5">
        <v>95.7</v>
      </c>
      <c r="C181" s="4">
        <f>LN(B181/B180)</f>
        <v>-6.4734426711711188E-2</v>
      </c>
    </row>
    <row r="182" spans="1:3" x14ac:dyDescent="0.25">
      <c r="A182" s="13">
        <v>37138</v>
      </c>
      <c r="B182" s="5">
        <v>87.95</v>
      </c>
      <c r="C182" s="4">
        <f>LN(B182/B181)</f>
        <v>-8.4449827275341394E-2</v>
      </c>
    </row>
    <row r="183" spans="1:3" x14ac:dyDescent="0.25">
      <c r="A183" s="13">
        <v>37165</v>
      </c>
      <c r="B183" s="5">
        <v>89.61</v>
      </c>
      <c r="C183" s="4">
        <f>LN(B183/B182)</f>
        <v>1.869844971256086E-2</v>
      </c>
    </row>
    <row r="184" spans="1:3" x14ac:dyDescent="0.25">
      <c r="A184" s="13">
        <v>37196</v>
      </c>
      <c r="B184" s="5">
        <v>96.47</v>
      </c>
      <c r="C184" s="4">
        <f>LN(B184/B183)</f>
        <v>7.3765158286334009E-2</v>
      </c>
    </row>
    <row r="185" spans="1:3" x14ac:dyDescent="0.25">
      <c r="A185" s="13">
        <v>37228</v>
      </c>
      <c r="B185" s="5">
        <v>97.32</v>
      </c>
      <c r="C185" s="4">
        <f>LN(B185/B184)</f>
        <v>8.7724387328594819E-3</v>
      </c>
    </row>
    <row r="186" spans="1:3" x14ac:dyDescent="0.25">
      <c r="A186" s="13">
        <v>37258</v>
      </c>
      <c r="B186" s="5">
        <v>95.88</v>
      </c>
      <c r="C186" s="4">
        <f>LN(B186/B185)</f>
        <v>-1.4907108349138229E-2</v>
      </c>
    </row>
    <row r="187" spans="1:3" x14ac:dyDescent="0.25">
      <c r="A187" s="13">
        <v>37288</v>
      </c>
      <c r="B187" s="5">
        <v>94.03</v>
      </c>
      <c r="C187" s="4">
        <f>LN(B187/B186)</f>
        <v>-1.9483529277198045E-2</v>
      </c>
    </row>
    <row r="188" spans="1:3" x14ac:dyDescent="0.25">
      <c r="A188" s="13">
        <v>37316</v>
      </c>
      <c r="B188" s="5">
        <v>97.55</v>
      </c>
      <c r="C188" s="4">
        <f>LN(B188/B187)</f>
        <v>3.6751186780134573E-2</v>
      </c>
    </row>
    <row r="189" spans="1:3" x14ac:dyDescent="0.25">
      <c r="A189" s="13">
        <v>37347</v>
      </c>
      <c r="B189" s="5">
        <v>91.62</v>
      </c>
      <c r="C189" s="4">
        <f>LN(B189/B188)</f>
        <v>-6.2715478610524067E-2</v>
      </c>
    </row>
    <row r="190" spans="1:3" x14ac:dyDescent="0.25">
      <c r="A190" s="13">
        <v>37377</v>
      </c>
      <c r="B190" s="5">
        <v>90.93</v>
      </c>
      <c r="C190" s="4">
        <f>LN(B190/B189)</f>
        <v>-7.5596087207746108E-3</v>
      </c>
    </row>
    <row r="191" spans="1:3" x14ac:dyDescent="0.25">
      <c r="A191" s="13">
        <v>37410</v>
      </c>
      <c r="B191" s="5">
        <v>84.44</v>
      </c>
      <c r="C191" s="4">
        <f>LN(B191/B190)</f>
        <v>-7.404875675770177E-2</v>
      </c>
    </row>
    <row r="192" spans="1:3" x14ac:dyDescent="0.25">
      <c r="A192" s="13">
        <v>37438</v>
      </c>
      <c r="B192" s="5">
        <v>77.92</v>
      </c>
      <c r="C192" s="4">
        <f>LN(B192/B191)</f>
        <v>-8.0358563645840139E-2</v>
      </c>
    </row>
    <row r="193" spans="1:3" x14ac:dyDescent="0.25">
      <c r="A193" s="13">
        <v>37469</v>
      </c>
      <c r="B193" s="5">
        <v>78.430000000000007</v>
      </c>
      <c r="C193" s="4">
        <f>LN(B193/B192)</f>
        <v>6.5238478902954139E-3</v>
      </c>
    </row>
    <row r="194" spans="1:3" x14ac:dyDescent="0.25">
      <c r="A194" s="13">
        <v>37502</v>
      </c>
      <c r="B194" s="5">
        <v>69.89</v>
      </c>
      <c r="C194" s="4">
        <f>LN(B194/B193)</f>
        <v>-0.11528392973553753</v>
      </c>
    </row>
    <row r="195" spans="1:3" x14ac:dyDescent="0.25">
      <c r="A195" s="13">
        <v>37530</v>
      </c>
      <c r="B195" s="5">
        <v>76.03</v>
      </c>
      <c r="C195" s="4">
        <f>LN(B195/B194)</f>
        <v>8.4205421751307546E-2</v>
      </c>
    </row>
    <row r="196" spans="1:3" x14ac:dyDescent="0.25">
      <c r="A196" s="13">
        <v>37561</v>
      </c>
      <c r="B196" s="5">
        <v>80.709999999999994</v>
      </c>
      <c r="C196" s="4">
        <f>LN(B196/B195)</f>
        <v>5.9734484095935639E-2</v>
      </c>
    </row>
    <row r="197" spans="1:3" x14ac:dyDescent="0.25">
      <c r="A197" s="13">
        <v>37592</v>
      </c>
      <c r="B197" s="5">
        <v>75.739999999999995</v>
      </c>
      <c r="C197" s="4">
        <f>LN(B197/B196)</f>
        <v>-6.3556060862632213E-2</v>
      </c>
    </row>
    <row r="198" spans="1:3" x14ac:dyDescent="0.25">
      <c r="A198" s="13">
        <v>37623</v>
      </c>
      <c r="B198" s="5">
        <v>73.760000000000005</v>
      </c>
      <c r="C198" s="4">
        <f>LN(B198/B197)</f>
        <v>-2.6489843225310214E-2</v>
      </c>
    </row>
    <row r="199" spans="1:3" x14ac:dyDescent="0.25">
      <c r="A199" s="13">
        <v>37655</v>
      </c>
      <c r="B199" s="5">
        <v>72.64</v>
      </c>
      <c r="C199" s="4">
        <f>LN(B199/B198)</f>
        <v>-1.5300844955300598E-2</v>
      </c>
    </row>
    <row r="200" spans="1:3" x14ac:dyDescent="0.25">
      <c r="A200" s="13">
        <v>37683</v>
      </c>
      <c r="B200" s="5">
        <v>73.33</v>
      </c>
      <c r="C200" s="4">
        <f>LN(B200/B199)</f>
        <v>9.4540678126703286E-3</v>
      </c>
    </row>
    <row r="201" spans="1:3" x14ac:dyDescent="0.25">
      <c r="A201" s="13">
        <v>37712</v>
      </c>
      <c r="B201" s="5">
        <v>79.38</v>
      </c>
      <c r="C201" s="4">
        <f>LN(B201/B200)</f>
        <v>7.9276645249211075E-2</v>
      </c>
    </row>
    <row r="202" spans="1:3" x14ac:dyDescent="0.25">
      <c r="A202" s="13">
        <v>37742</v>
      </c>
      <c r="B202" s="5">
        <v>83.56</v>
      </c>
      <c r="C202" s="4">
        <f>LN(B202/B201)</f>
        <v>5.1318489333445828E-2</v>
      </c>
    </row>
    <row r="203" spans="1:3" x14ac:dyDescent="0.25">
      <c r="A203" s="13">
        <v>37774</v>
      </c>
      <c r="B203" s="5">
        <v>84.61</v>
      </c>
      <c r="C203" s="4">
        <f>LN(B203/B202)</f>
        <v>1.2487526248044539E-2</v>
      </c>
    </row>
    <row r="204" spans="1:3" x14ac:dyDescent="0.25">
      <c r="A204" s="13">
        <v>37803</v>
      </c>
      <c r="B204" s="5">
        <v>86.09</v>
      </c>
      <c r="C204" s="4">
        <f>LN(B204/B203)</f>
        <v>1.7340797733453733E-2</v>
      </c>
    </row>
    <row r="205" spans="1:3" x14ac:dyDescent="0.25">
      <c r="A205" s="13">
        <v>37834</v>
      </c>
      <c r="B205" s="5">
        <v>87.75</v>
      </c>
      <c r="C205" s="4">
        <f>LN(B205/B204)</f>
        <v>1.909860167611193E-2</v>
      </c>
    </row>
    <row r="206" spans="1:3" x14ac:dyDescent="0.25">
      <c r="A206" s="13">
        <v>37866</v>
      </c>
      <c r="B206" s="5">
        <v>86.81</v>
      </c>
      <c r="C206" s="4">
        <f>LN(B206/B205)</f>
        <v>-1.0770039942258551E-2</v>
      </c>
    </row>
    <row r="207" spans="1:3" x14ac:dyDescent="0.25">
      <c r="A207" s="13">
        <v>37895</v>
      </c>
      <c r="B207" s="5">
        <v>91.71</v>
      </c>
      <c r="C207" s="4">
        <f>LN(B207/B206)</f>
        <v>5.4909602167136098E-2</v>
      </c>
    </row>
    <row r="208" spans="1:3" x14ac:dyDescent="0.25">
      <c r="A208" s="13">
        <v>37928</v>
      </c>
      <c r="B208" s="5">
        <v>92.5</v>
      </c>
      <c r="C208" s="4">
        <f>LN(B208/B207)</f>
        <v>8.5772199475267277E-3</v>
      </c>
    </row>
    <row r="209" spans="1:3" x14ac:dyDescent="0.25">
      <c r="A209" s="13">
        <v>37956</v>
      </c>
      <c r="B209" s="5">
        <v>97.33</v>
      </c>
      <c r="C209" s="4">
        <f>LN(B209/B208)</f>
        <v>5.0898621920022813E-2</v>
      </c>
    </row>
    <row r="210" spans="1:3" x14ac:dyDescent="0.25">
      <c r="A210" s="13">
        <v>37988</v>
      </c>
      <c r="B210" s="5">
        <v>99.1</v>
      </c>
      <c r="C210" s="4">
        <f>LN(B210/B209)</f>
        <v>1.8022174897540117E-2</v>
      </c>
    </row>
    <row r="211" spans="1:3" x14ac:dyDescent="0.25">
      <c r="A211" s="13">
        <v>38019</v>
      </c>
      <c r="B211" s="5">
        <v>100.47</v>
      </c>
      <c r="C211" s="4">
        <f>LN(B211/B210)</f>
        <v>1.3729734138280559E-2</v>
      </c>
    </row>
    <row r="212" spans="1:3" x14ac:dyDescent="0.25">
      <c r="A212" s="13">
        <v>38047</v>
      </c>
      <c r="B212" s="5">
        <v>98.95</v>
      </c>
      <c r="C212" s="4">
        <f>LN(B212/B211)</f>
        <v>-1.5244503425648172E-2</v>
      </c>
    </row>
    <row r="213" spans="1:3" x14ac:dyDescent="0.25">
      <c r="A213" s="13">
        <v>38078</v>
      </c>
      <c r="B213" s="5">
        <v>97.39</v>
      </c>
      <c r="C213" s="4">
        <f>LN(B213/B212)</f>
        <v>-1.5891136075466883E-2</v>
      </c>
    </row>
    <row r="214" spans="1:3" x14ac:dyDescent="0.25">
      <c r="A214" s="13">
        <v>38110</v>
      </c>
      <c r="B214" s="5">
        <v>98.71</v>
      </c>
      <c r="C214" s="4">
        <f>LN(B214/B213)</f>
        <v>1.3462722456688678E-2</v>
      </c>
    </row>
    <row r="215" spans="1:3" x14ac:dyDescent="0.25">
      <c r="A215" s="13">
        <v>38139</v>
      </c>
      <c r="B215" s="5">
        <v>100.61</v>
      </c>
      <c r="C215" s="4">
        <f>LN(B215/B214)</f>
        <v>1.9065397874162875E-2</v>
      </c>
    </row>
    <row r="216" spans="1:3" x14ac:dyDescent="0.25">
      <c r="A216" s="13">
        <v>38169</v>
      </c>
      <c r="B216" s="5">
        <v>97.28</v>
      </c>
      <c r="C216" s="4">
        <f>LN(B216/B215)</f>
        <v>-3.3658238086102396E-2</v>
      </c>
    </row>
    <row r="217" spans="1:3" x14ac:dyDescent="0.25">
      <c r="A217" s="13">
        <v>38201</v>
      </c>
      <c r="B217" s="5">
        <v>97.65</v>
      </c>
      <c r="C217" s="4">
        <f>LN(B217/B216)</f>
        <v>3.7962391048310053E-3</v>
      </c>
    </row>
    <row r="218" spans="1:3" x14ac:dyDescent="0.25">
      <c r="A218" s="13">
        <v>38231</v>
      </c>
      <c r="B218" s="5">
        <v>98.69</v>
      </c>
      <c r="C218" s="4">
        <f>LN(B218/B217)</f>
        <v>1.0593966861227712E-2</v>
      </c>
    </row>
    <row r="219" spans="1:3" x14ac:dyDescent="0.25">
      <c r="A219" s="13">
        <v>38261</v>
      </c>
      <c r="B219" s="5">
        <v>100.19</v>
      </c>
      <c r="C219" s="4">
        <f>LN(B219/B218)</f>
        <v>1.5084759087255827E-2</v>
      </c>
    </row>
    <row r="220" spans="1:3" x14ac:dyDescent="0.25">
      <c r="A220" s="13">
        <v>38292</v>
      </c>
      <c r="B220" s="5">
        <v>104.24</v>
      </c>
      <c r="C220" s="4">
        <f>LN(B220/B219)</f>
        <v>3.9627549545418E-2</v>
      </c>
    </row>
    <row r="221" spans="1:3" x14ac:dyDescent="0.25">
      <c r="A221" s="13">
        <v>38322</v>
      </c>
      <c r="B221" s="5">
        <v>107.78</v>
      </c>
      <c r="C221" s="4">
        <f>LN(B221/B220)</f>
        <v>3.3396179688760991E-2</v>
      </c>
    </row>
    <row r="222" spans="1:3" x14ac:dyDescent="0.25">
      <c r="A222" s="13">
        <v>38355</v>
      </c>
      <c r="B222" s="5">
        <v>105.14</v>
      </c>
      <c r="C222" s="4">
        <f>LN(B222/B221)</f>
        <v>-2.4799317114048595E-2</v>
      </c>
    </row>
    <row r="223" spans="1:3" x14ac:dyDescent="0.25">
      <c r="A223" s="13">
        <v>38384</v>
      </c>
      <c r="B223" s="5">
        <v>107.34</v>
      </c>
      <c r="C223" s="4">
        <f>LN(B223/B222)</f>
        <v>2.0708571357380887E-2</v>
      </c>
    </row>
    <row r="224" spans="1:3" x14ac:dyDescent="0.25">
      <c r="A224" s="13">
        <v>38412</v>
      </c>
      <c r="B224" s="5">
        <v>105.45</v>
      </c>
      <c r="C224" s="4">
        <f>LN(B224/B223)</f>
        <v>-1.7764459823899202E-2</v>
      </c>
    </row>
    <row r="225" spans="1:3" x14ac:dyDescent="0.25">
      <c r="A225" s="13">
        <v>38443</v>
      </c>
      <c r="B225" s="5">
        <v>103.43</v>
      </c>
      <c r="C225" s="4">
        <f>LN(B225/B224)</f>
        <v>-1.9341851535071248E-2</v>
      </c>
    </row>
    <row r="226" spans="1:3" x14ac:dyDescent="0.25">
      <c r="A226" s="13">
        <v>38474</v>
      </c>
      <c r="B226" s="5">
        <v>106.71</v>
      </c>
      <c r="C226" s="4">
        <f>LN(B226/B225)</f>
        <v>3.1219819238761201E-2</v>
      </c>
    </row>
    <row r="227" spans="1:3" x14ac:dyDescent="0.25">
      <c r="A227" s="13">
        <v>38504</v>
      </c>
      <c r="B227" s="5">
        <v>106.84</v>
      </c>
      <c r="C227" s="4">
        <f>LN(B227/B226)</f>
        <v>1.2175136132866087E-3</v>
      </c>
    </row>
    <row r="228" spans="1:3" x14ac:dyDescent="0.25">
      <c r="A228" s="13">
        <v>38534</v>
      </c>
      <c r="B228" s="5">
        <v>110.8</v>
      </c>
      <c r="C228" s="4">
        <f>LN(B228/B227)</f>
        <v>3.6394386071423208E-2</v>
      </c>
    </row>
    <row r="229" spans="1:3" x14ac:dyDescent="0.25">
      <c r="A229" s="13">
        <v>38565</v>
      </c>
      <c r="B229" s="5">
        <v>109.79</v>
      </c>
      <c r="C229" s="4">
        <f>LN(B229/B228)</f>
        <v>-9.1573240665423078E-3</v>
      </c>
    </row>
    <row r="230" spans="1:3" x14ac:dyDescent="0.25">
      <c r="A230" s="13">
        <v>38596</v>
      </c>
      <c r="B230" s="5">
        <v>110.66</v>
      </c>
      <c r="C230" s="4">
        <f>LN(B230/B229)</f>
        <v>7.8929872233225486E-3</v>
      </c>
    </row>
    <row r="231" spans="1:3" x14ac:dyDescent="0.25">
      <c r="A231" s="13">
        <v>38628</v>
      </c>
      <c r="B231" s="5">
        <v>108.8</v>
      </c>
      <c r="C231" s="4">
        <f>LN(B231/B230)</f>
        <v>-1.6951103048121391E-2</v>
      </c>
    </row>
    <row r="232" spans="1:3" x14ac:dyDescent="0.25">
      <c r="A232" s="13">
        <v>38657</v>
      </c>
      <c r="B232" s="5">
        <v>112.9</v>
      </c>
      <c r="C232" s="4">
        <f>LN(B232/B231)</f>
        <v>3.6991136733774216E-2</v>
      </c>
    </row>
    <row r="233" spans="1:3" x14ac:dyDescent="0.25">
      <c r="A233" s="13">
        <v>38687</v>
      </c>
      <c r="B233" s="5">
        <v>112.92</v>
      </c>
      <c r="C233" s="4">
        <f>LN(B233/B232)</f>
        <v>1.7713222967226359E-4</v>
      </c>
    </row>
    <row r="234" spans="1:3" x14ac:dyDescent="0.25">
      <c r="A234" s="13">
        <v>38720</v>
      </c>
      <c r="B234" s="5">
        <v>115.91</v>
      </c>
      <c r="C234" s="4">
        <f>LN(B234/B233)</f>
        <v>2.6134424515365007E-2</v>
      </c>
    </row>
    <row r="235" spans="1:3" x14ac:dyDescent="0.25">
      <c r="A235" s="13">
        <v>38749</v>
      </c>
      <c r="B235" s="5">
        <v>116.21</v>
      </c>
      <c r="C235" s="4">
        <f>LN(B235/B234)</f>
        <v>2.5848713341285997E-3</v>
      </c>
    </row>
    <row r="236" spans="1:3" x14ac:dyDescent="0.25">
      <c r="A236" s="13">
        <v>38777</v>
      </c>
      <c r="B236" s="5">
        <v>117.65</v>
      </c>
      <c r="C236" s="4">
        <f>LN(B236/B235)</f>
        <v>1.2315215938589152E-2</v>
      </c>
    </row>
    <row r="237" spans="1:3" x14ac:dyDescent="0.25">
      <c r="A237" s="13">
        <v>38810</v>
      </c>
      <c r="B237" s="5">
        <v>119.22</v>
      </c>
      <c r="C237" s="4">
        <f>LN(B237/B236)</f>
        <v>1.3256410618408886E-2</v>
      </c>
    </row>
    <row r="238" spans="1:3" x14ac:dyDescent="0.25">
      <c r="A238" s="13">
        <v>38838</v>
      </c>
      <c r="B238" s="5">
        <v>115.76</v>
      </c>
      <c r="C238" s="4">
        <f>LN(B238/B237)</f>
        <v>-2.9451443468551962E-2</v>
      </c>
    </row>
    <row r="239" spans="1:3" x14ac:dyDescent="0.25">
      <c r="A239" s="13">
        <v>38869</v>
      </c>
      <c r="B239" s="5">
        <v>115.91</v>
      </c>
      <c r="C239" s="4">
        <f>LN(B239/B238)</f>
        <v>1.2949455774252212E-3</v>
      </c>
    </row>
    <row r="240" spans="1:3" x14ac:dyDescent="0.25">
      <c r="A240" s="13">
        <v>38901</v>
      </c>
      <c r="B240" s="5">
        <v>116.61</v>
      </c>
      <c r="C240" s="4">
        <f>LN(B240/B239)</f>
        <v>6.0210056315879125E-3</v>
      </c>
    </row>
    <row r="241" spans="1:3" x14ac:dyDescent="0.25">
      <c r="A241" s="13">
        <v>38930</v>
      </c>
      <c r="B241" s="5">
        <v>119.37</v>
      </c>
      <c r="C241" s="4">
        <f>LN(B241/B240)</f>
        <v>2.3392879574705594E-2</v>
      </c>
    </row>
    <row r="242" spans="1:3" x14ac:dyDescent="0.25">
      <c r="A242" s="3"/>
      <c r="C242" s="2"/>
    </row>
    <row r="243" spans="1:3" x14ac:dyDescent="0.25">
      <c r="A243" s="3"/>
      <c r="C243" s="2"/>
    </row>
    <row r="244" spans="1:3" x14ac:dyDescent="0.25">
      <c r="A244" s="3"/>
      <c r="C244" s="2"/>
    </row>
    <row r="245" spans="1:3" x14ac:dyDescent="0.25">
      <c r="A245" s="3"/>
      <c r="C245" s="2"/>
    </row>
    <row r="246" spans="1:3" x14ac:dyDescent="0.25">
      <c r="A246" s="3"/>
      <c r="C246" s="2"/>
    </row>
    <row r="247" spans="1:3" x14ac:dyDescent="0.25">
      <c r="A247" s="3"/>
      <c r="C247" s="2"/>
    </row>
    <row r="248" spans="1:3" x14ac:dyDescent="0.25">
      <c r="A248" s="3"/>
      <c r="C248" s="2"/>
    </row>
    <row r="249" spans="1:3" x14ac:dyDescent="0.25">
      <c r="A249" s="3"/>
      <c r="C249" s="2"/>
    </row>
    <row r="250" spans="1:3" x14ac:dyDescent="0.25">
      <c r="A250" s="3"/>
      <c r="C250" s="2"/>
    </row>
    <row r="251" spans="1:3" x14ac:dyDescent="0.25">
      <c r="A251" s="3"/>
      <c r="C251" s="2"/>
    </row>
    <row r="252" spans="1:3" x14ac:dyDescent="0.25">
      <c r="A252" s="3"/>
      <c r="C252" s="2"/>
    </row>
    <row r="253" spans="1:3" x14ac:dyDescent="0.25">
      <c r="A253" s="3"/>
      <c r="C253" s="2"/>
    </row>
    <row r="254" spans="1:3" x14ac:dyDescent="0.25">
      <c r="A254" s="3"/>
      <c r="C254" s="2"/>
    </row>
    <row r="255" spans="1:3" x14ac:dyDescent="0.25">
      <c r="A255" s="3"/>
      <c r="C255" s="2"/>
    </row>
    <row r="256" spans="1:3" x14ac:dyDescent="0.25">
      <c r="A256" s="3"/>
      <c r="C256" s="2"/>
    </row>
    <row r="257" spans="1:3" x14ac:dyDescent="0.25">
      <c r="A257" s="3"/>
      <c r="C257" s="2"/>
    </row>
    <row r="258" spans="1:3" x14ac:dyDescent="0.25">
      <c r="A258" s="3"/>
      <c r="C258" s="2"/>
    </row>
    <row r="259" spans="1:3" x14ac:dyDescent="0.25">
      <c r="A259" s="3"/>
      <c r="C259" s="2"/>
    </row>
    <row r="260" spans="1:3" x14ac:dyDescent="0.25">
      <c r="A260" s="3"/>
      <c r="C260" s="2"/>
    </row>
    <row r="261" spans="1:3" x14ac:dyDescent="0.25">
      <c r="A261" s="3"/>
      <c r="C261" s="2"/>
    </row>
    <row r="262" spans="1:3" x14ac:dyDescent="0.25">
      <c r="A262" s="3"/>
      <c r="C262" s="2"/>
    </row>
    <row r="263" spans="1:3" x14ac:dyDescent="0.25">
      <c r="A263" s="3"/>
      <c r="C263" s="2"/>
    </row>
    <row r="264" spans="1:3" x14ac:dyDescent="0.25">
      <c r="A264" s="3"/>
      <c r="C264" s="2"/>
    </row>
    <row r="265" spans="1:3" x14ac:dyDescent="0.25">
      <c r="A265" s="3"/>
      <c r="C265" s="2"/>
    </row>
    <row r="266" spans="1:3" x14ac:dyDescent="0.25">
      <c r="A266" s="3"/>
      <c r="C266" s="2"/>
    </row>
    <row r="267" spans="1:3" x14ac:dyDescent="0.25">
      <c r="A267" s="3"/>
      <c r="C267" s="2"/>
    </row>
    <row r="268" spans="1:3" x14ac:dyDescent="0.25">
      <c r="A268" s="3"/>
      <c r="C268" s="2"/>
    </row>
    <row r="269" spans="1:3" x14ac:dyDescent="0.25">
      <c r="A269" s="3"/>
      <c r="C269" s="2"/>
    </row>
    <row r="270" spans="1:3" x14ac:dyDescent="0.25">
      <c r="A270" s="3"/>
      <c r="C270" s="2"/>
    </row>
    <row r="271" spans="1:3" x14ac:dyDescent="0.25">
      <c r="A271" s="3"/>
      <c r="C271" s="2"/>
    </row>
    <row r="272" spans="1:3" x14ac:dyDescent="0.25">
      <c r="A272" s="3"/>
      <c r="C272" s="2"/>
    </row>
    <row r="273" spans="1:3" x14ac:dyDescent="0.25">
      <c r="A273" s="3"/>
      <c r="C273" s="2"/>
    </row>
    <row r="274" spans="1:3" x14ac:dyDescent="0.25">
      <c r="A274" s="3"/>
      <c r="C274" s="2"/>
    </row>
    <row r="275" spans="1:3" x14ac:dyDescent="0.25">
      <c r="A275" s="3"/>
      <c r="C275" s="2"/>
    </row>
    <row r="276" spans="1:3" x14ac:dyDescent="0.25">
      <c r="A276" s="3"/>
      <c r="C276" s="2"/>
    </row>
    <row r="277" spans="1:3" x14ac:dyDescent="0.25">
      <c r="A277" s="3"/>
      <c r="C277" s="2"/>
    </row>
    <row r="278" spans="1:3" x14ac:dyDescent="0.25">
      <c r="A278" s="3"/>
      <c r="C278" s="2"/>
    </row>
    <row r="279" spans="1:3" x14ac:dyDescent="0.25">
      <c r="A279" s="3"/>
      <c r="C279" s="2"/>
    </row>
    <row r="280" spans="1:3" x14ac:dyDescent="0.25">
      <c r="A280" s="3"/>
      <c r="C280" s="2"/>
    </row>
    <row r="281" spans="1:3" x14ac:dyDescent="0.25">
      <c r="A281" s="3"/>
      <c r="C281" s="2"/>
    </row>
    <row r="282" spans="1:3" x14ac:dyDescent="0.25">
      <c r="A282" s="3"/>
      <c r="C282" s="2"/>
    </row>
    <row r="283" spans="1:3" x14ac:dyDescent="0.25">
      <c r="A283" s="3"/>
      <c r="C283" s="2"/>
    </row>
    <row r="284" spans="1:3" x14ac:dyDescent="0.25">
      <c r="A284" s="3"/>
      <c r="C284" s="2"/>
    </row>
    <row r="285" spans="1:3" x14ac:dyDescent="0.25">
      <c r="A285" s="3"/>
      <c r="C285" s="2"/>
    </row>
    <row r="286" spans="1:3" x14ac:dyDescent="0.25">
      <c r="A286" s="3"/>
      <c r="C286" s="2"/>
    </row>
    <row r="287" spans="1:3" x14ac:dyDescent="0.25">
      <c r="A287" s="3"/>
      <c r="C287" s="2"/>
    </row>
    <row r="288" spans="1:3" x14ac:dyDescent="0.25">
      <c r="A288" s="3"/>
      <c r="C288" s="2"/>
    </row>
    <row r="289" spans="1:3" x14ac:dyDescent="0.25">
      <c r="A289" s="3"/>
      <c r="C289" s="2"/>
    </row>
    <row r="290" spans="1:3" x14ac:dyDescent="0.25">
      <c r="A290" s="3"/>
      <c r="C290" s="2"/>
    </row>
    <row r="291" spans="1:3" x14ac:dyDescent="0.25">
      <c r="A291" s="3"/>
      <c r="C291" s="2"/>
    </row>
    <row r="292" spans="1:3" x14ac:dyDescent="0.25">
      <c r="A292" s="3"/>
      <c r="C292" s="2"/>
    </row>
    <row r="293" spans="1:3" x14ac:dyDescent="0.25">
      <c r="A293" s="3"/>
      <c r="C293" s="2"/>
    </row>
    <row r="294" spans="1:3" x14ac:dyDescent="0.25">
      <c r="A294" s="3"/>
      <c r="C294" s="2"/>
    </row>
    <row r="295" spans="1:3" x14ac:dyDescent="0.25">
      <c r="A295" s="3"/>
      <c r="C295" s="2"/>
    </row>
    <row r="296" spans="1:3" x14ac:dyDescent="0.25">
      <c r="A296" s="3"/>
      <c r="C296" s="2"/>
    </row>
    <row r="297" spans="1:3" x14ac:dyDescent="0.25">
      <c r="A297" s="3"/>
      <c r="C297" s="2"/>
    </row>
    <row r="298" spans="1:3" x14ac:dyDescent="0.25">
      <c r="A298" s="3"/>
      <c r="C298" s="2"/>
    </row>
    <row r="299" spans="1:3" x14ac:dyDescent="0.25">
      <c r="A299" s="3"/>
      <c r="C299" s="2"/>
    </row>
    <row r="300" spans="1:3" x14ac:dyDescent="0.25">
      <c r="A300" s="3"/>
      <c r="C300" s="2"/>
    </row>
    <row r="301" spans="1:3" x14ac:dyDescent="0.25">
      <c r="A301" s="3"/>
      <c r="C301" s="2"/>
    </row>
    <row r="302" spans="1:3" x14ac:dyDescent="0.25">
      <c r="C302" s="2"/>
    </row>
    <row r="303" spans="1:3" x14ac:dyDescent="0.25">
      <c r="C303" s="2"/>
    </row>
    <row r="304" spans="1:3" x14ac:dyDescent="0.25">
      <c r="C304" s="2"/>
    </row>
    <row r="305" spans="3:3" x14ac:dyDescent="0.25">
      <c r="C305" s="2"/>
    </row>
    <row r="306" spans="3:3" x14ac:dyDescent="0.25">
      <c r="C306" s="2"/>
    </row>
    <row r="307" spans="3:3" x14ac:dyDescent="0.25">
      <c r="C307" s="2"/>
    </row>
    <row r="308" spans="3:3" x14ac:dyDescent="0.25">
      <c r="C308" s="2"/>
    </row>
    <row r="309" spans="3:3" x14ac:dyDescent="0.25">
      <c r="C309" s="2"/>
    </row>
    <row r="310" spans="3:3" x14ac:dyDescent="0.25">
      <c r="C310" s="2"/>
    </row>
    <row r="311" spans="3:3" x14ac:dyDescent="0.25">
      <c r="C311" s="2"/>
    </row>
    <row r="312" spans="3:3" x14ac:dyDescent="0.25">
      <c r="C312" s="2"/>
    </row>
    <row r="313" spans="3:3" x14ac:dyDescent="0.25">
      <c r="C313" s="2"/>
    </row>
    <row r="314" spans="3:3" x14ac:dyDescent="0.25">
      <c r="C314" s="2"/>
    </row>
    <row r="315" spans="3:3" x14ac:dyDescent="0.25">
      <c r="C315" s="2"/>
    </row>
    <row r="316" spans="3:3" x14ac:dyDescent="0.25">
      <c r="C316" s="2"/>
    </row>
    <row r="317" spans="3:3" x14ac:dyDescent="0.25">
      <c r="C317" s="2"/>
    </row>
    <row r="318" spans="3:3" x14ac:dyDescent="0.25">
      <c r="C318" s="2"/>
    </row>
    <row r="319" spans="3:3" x14ac:dyDescent="0.25">
      <c r="C319" s="2"/>
    </row>
    <row r="320" spans="3:3" x14ac:dyDescent="0.25">
      <c r="C320" s="2"/>
    </row>
    <row r="321" spans="3:3" x14ac:dyDescent="0.25">
      <c r="C321" s="2"/>
    </row>
    <row r="322" spans="3:3" x14ac:dyDescent="0.25">
      <c r="C322" s="2"/>
    </row>
    <row r="323" spans="3:3" x14ac:dyDescent="0.25">
      <c r="C323" s="2"/>
    </row>
    <row r="324" spans="3:3" x14ac:dyDescent="0.25">
      <c r="C324" s="2"/>
    </row>
    <row r="325" spans="3:3" x14ac:dyDescent="0.25">
      <c r="C325" s="2"/>
    </row>
    <row r="326" spans="3:3" x14ac:dyDescent="0.25">
      <c r="C326" s="2"/>
    </row>
    <row r="327" spans="3:3" x14ac:dyDescent="0.25">
      <c r="C327" s="2"/>
    </row>
    <row r="328" spans="3:3" x14ac:dyDescent="0.25">
      <c r="C328" s="2"/>
    </row>
    <row r="329" spans="3:3" x14ac:dyDescent="0.25">
      <c r="C329" s="2"/>
    </row>
    <row r="330" spans="3:3" x14ac:dyDescent="0.25">
      <c r="C330" s="2"/>
    </row>
    <row r="331" spans="3:3" x14ac:dyDescent="0.25">
      <c r="C331" s="2"/>
    </row>
    <row r="332" spans="3:3" x14ac:dyDescent="0.25">
      <c r="C332" s="2"/>
    </row>
    <row r="333" spans="3:3" x14ac:dyDescent="0.25">
      <c r="C333" s="2"/>
    </row>
    <row r="334" spans="3:3" x14ac:dyDescent="0.25">
      <c r="C334" s="2"/>
    </row>
    <row r="335" spans="3:3" x14ac:dyDescent="0.25">
      <c r="C335" s="2"/>
    </row>
    <row r="336" spans="3:3" x14ac:dyDescent="0.25">
      <c r="C336" s="2"/>
    </row>
    <row r="337" spans="3:3" x14ac:dyDescent="0.25">
      <c r="C337" s="2"/>
    </row>
    <row r="338" spans="3:3" x14ac:dyDescent="0.25">
      <c r="C338" s="2"/>
    </row>
    <row r="339" spans="3:3" x14ac:dyDescent="0.25">
      <c r="C339" s="2"/>
    </row>
    <row r="340" spans="3:3" x14ac:dyDescent="0.25">
      <c r="C340" s="2"/>
    </row>
    <row r="341" spans="3:3" x14ac:dyDescent="0.25">
      <c r="C341" s="2"/>
    </row>
    <row r="342" spans="3:3" x14ac:dyDescent="0.25">
      <c r="C342" s="2"/>
    </row>
    <row r="343" spans="3:3" x14ac:dyDescent="0.25">
      <c r="C343" s="2"/>
    </row>
    <row r="344" spans="3:3" x14ac:dyDescent="0.25">
      <c r="C344" s="2"/>
    </row>
    <row r="345" spans="3:3" x14ac:dyDescent="0.25">
      <c r="C345" s="2"/>
    </row>
    <row r="346" spans="3:3" x14ac:dyDescent="0.25">
      <c r="C346" s="2"/>
    </row>
    <row r="347" spans="3:3" x14ac:dyDescent="0.25">
      <c r="C347" s="2"/>
    </row>
    <row r="348" spans="3:3" x14ac:dyDescent="0.25">
      <c r="C348" s="2"/>
    </row>
    <row r="349" spans="3:3" x14ac:dyDescent="0.25">
      <c r="C349" s="2"/>
    </row>
    <row r="350" spans="3:3" x14ac:dyDescent="0.25">
      <c r="C350" s="2"/>
    </row>
    <row r="351" spans="3:3" x14ac:dyDescent="0.25">
      <c r="C351" s="2"/>
    </row>
    <row r="352" spans="3:3" x14ac:dyDescent="0.25">
      <c r="C352" s="2"/>
    </row>
    <row r="353" spans="3:3" x14ac:dyDescent="0.25">
      <c r="C353" s="2"/>
    </row>
    <row r="354" spans="3:3" x14ac:dyDescent="0.25">
      <c r="C354" s="2"/>
    </row>
    <row r="355" spans="3:3" x14ac:dyDescent="0.25">
      <c r="C355" s="2"/>
    </row>
    <row r="356" spans="3:3" x14ac:dyDescent="0.25">
      <c r="C356" s="2"/>
    </row>
    <row r="357" spans="3:3" x14ac:dyDescent="0.25">
      <c r="C357" s="2"/>
    </row>
    <row r="358" spans="3:3" x14ac:dyDescent="0.25">
      <c r="C358" s="2"/>
    </row>
    <row r="359" spans="3:3" x14ac:dyDescent="0.25">
      <c r="C359" s="2"/>
    </row>
    <row r="360" spans="3:3" x14ac:dyDescent="0.25">
      <c r="C360" s="2"/>
    </row>
    <row r="361" spans="3:3" x14ac:dyDescent="0.25">
      <c r="C361" s="2"/>
    </row>
    <row r="362" spans="3:3" x14ac:dyDescent="0.25">
      <c r="C362" s="2"/>
    </row>
    <row r="363" spans="3:3" x14ac:dyDescent="0.25">
      <c r="C363" s="2"/>
    </row>
    <row r="364" spans="3:3" x14ac:dyDescent="0.25">
      <c r="C364" s="2"/>
    </row>
    <row r="365" spans="3:3" x14ac:dyDescent="0.25">
      <c r="C365" s="2"/>
    </row>
    <row r="366" spans="3:3" x14ac:dyDescent="0.25">
      <c r="C366" s="2"/>
    </row>
    <row r="367" spans="3:3" x14ac:dyDescent="0.25">
      <c r="C367" s="2"/>
    </row>
    <row r="368" spans="3:3" x14ac:dyDescent="0.25">
      <c r="C368" s="2"/>
    </row>
    <row r="369" spans="3:3" x14ac:dyDescent="0.25">
      <c r="C369" s="2"/>
    </row>
    <row r="370" spans="3:3" x14ac:dyDescent="0.25">
      <c r="C370" s="2"/>
    </row>
    <row r="371" spans="3:3" x14ac:dyDescent="0.25">
      <c r="C371" s="2"/>
    </row>
    <row r="372" spans="3:3" x14ac:dyDescent="0.25">
      <c r="C372" s="2"/>
    </row>
    <row r="373" spans="3:3" x14ac:dyDescent="0.25">
      <c r="C373" s="2"/>
    </row>
    <row r="374" spans="3:3" x14ac:dyDescent="0.25">
      <c r="C374" s="2"/>
    </row>
    <row r="375" spans="3:3" x14ac:dyDescent="0.25">
      <c r="C375" s="2"/>
    </row>
    <row r="376" spans="3:3" x14ac:dyDescent="0.25">
      <c r="C376" s="2"/>
    </row>
    <row r="377" spans="3:3" x14ac:dyDescent="0.25">
      <c r="C377" s="2"/>
    </row>
    <row r="378" spans="3:3" x14ac:dyDescent="0.25">
      <c r="C378" s="2"/>
    </row>
    <row r="379" spans="3:3" x14ac:dyDescent="0.25">
      <c r="C379" s="2"/>
    </row>
    <row r="380" spans="3:3" x14ac:dyDescent="0.25">
      <c r="C380" s="2"/>
    </row>
    <row r="381" spans="3:3" x14ac:dyDescent="0.25">
      <c r="C381" s="2"/>
    </row>
    <row r="382" spans="3:3" x14ac:dyDescent="0.25">
      <c r="C382" s="2"/>
    </row>
    <row r="383" spans="3:3" x14ac:dyDescent="0.25">
      <c r="C383" s="2"/>
    </row>
    <row r="384" spans="3:3" x14ac:dyDescent="0.25">
      <c r="C384" s="2"/>
    </row>
    <row r="385" spans="3:3" x14ac:dyDescent="0.25">
      <c r="C385" s="2"/>
    </row>
    <row r="386" spans="3:3" x14ac:dyDescent="0.25">
      <c r="C386" s="2"/>
    </row>
    <row r="387" spans="3:3" x14ac:dyDescent="0.25">
      <c r="C387" s="2"/>
    </row>
    <row r="388" spans="3:3" x14ac:dyDescent="0.25">
      <c r="C388" s="2"/>
    </row>
    <row r="389" spans="3:3" x14ac:dyDescent="0.25">
      <c r="C389" s="2"/>
    </row>
    <row r="390" spans="3:3" x14ac:dyDescent="0.25">
      <c r="C390" s="2"/>
    </row>
    <row r="391" spans="3:3" x14ac:dyDescent="0.25">
      <c r="C391" s="2"/>
    </row>
    <row r="392" spans="3:3" x14ac:dyDescent="0.25">
      <c r="C392" s="2"/>
    </row>
    <row r="393" spans="3:3" x14ac:dyDescent="0.25">
      <c r="C393" s="2"/>
    </row>
    <row r="394" spans="3:3" x14ac:dyDescent="0.25">
      <c r="C394" s="2"/>
    </row>
    <row r="395" spans="3:3" x14ac:dyDescent="0.25">
      <c r="C395" s="2"/>
    </row>
    <row r="396" spans="3:3" x14ac:dyDescent="0.25">
      <c r="C396" s="2"/>
    </row>
    <row r="397" spans="3:3" x14ac:dyDescent="0.25">
      <c r="C397" s="2"/>
    </row>
    <row r="398" spans="3:3" x14ac:dyDescent="0.25">
      <c r="C398" s="2"/>
    </row>
    <row r="399" spans="3:3" x14ac:dyDescent="0.25">
      <c r="C399" s="2"/>
    </row>
    <row r="400" spans="3:3" x14ac:dyDescent="0.25">
      <c r="C400" s="2"/>
    </row>
    <row r="401" spans="3:3" x14ac:dyDescent="0.25">
      <c r="C401" s="2"/>
    </row>
    <row r="402" spans="3:3" x14ac:dyDescent="0.25">
      <c r="C402" s="2"/>
    </row>
    <row r="403" spans="3:3" x14ac:dyDescent="0.25">
      <c r="C403" s="2"/>
    </row>
    <row r="404" spans="3:3" x14ac:dyDescent="0.25">
      <c r="C404" s="2"/>
    </row>
    <row r="405" spans="3:3" x14ac:dyDescent="0.25">
      <c r="C405" s="2"/>
    </row>
    <row r="406" spans="3:3" x14ac:dyDescent="0.25">
      <c r="C406" s="2"/>
    </row>
    <row r="407" spans="3:3" x14ac:dyDescent="0.25">
      <c r="C407" s="2"/>
    </row>
    <row r="408" spans="3:3" x14ac:dyDescent="0.25">
      <c r="C408" s="2"/>
    </row>
    <row r="409" spans="3:3" x14ac:dyDescent="0.25">
      <c r="C409" s="2"/>
    </row>
    <row r="410" spans="3:3" x14ac:dyDescent="0.25">
      <c r="C410" s="2"/>
    </row>
    <row r="411" spans="3:3" x14ac:dyDescent="0.25">
      <c r="C411" s="2"/>
    </row>
    <row r="412" spans="3:3" x14ac:dyDescent="0.25">
      <c r="C412" s="2"/>
    </row>
    <row r="413" spans="3:3" x14ac:dyDescent="0.25">
      <c r="C413" s="2"/>
    </row>
    <row r="414" spans="3:3" x14ac:dyDescent="0.25">
      <c r="C414" s="2"/>
    </row>
    <row r="415" spans="3:3" x14ac:dyDescent="0.25">
      <c r="C415" s="2"/>
    </row>
    <row r="416" spans="3:3" x14ac:dyDescent="0.25">
      <c r="C416" s="2"/>
    </row>
    <row r="417" spans="3:3" x14ac:dyDescent="0.25">
      <c r="C417" s="2"/>
    </row>
    <row r="418" spans="3:3" x14ac:dyDescent="0.25">
      <c r="C418" s="2"/>
    </row>
    <row r="419" spans="3:3" x14ac:dyDescent="0.25">
      <c r="C419" s="2"/>
    </row>
    <row r="420" spans="3:3" x14ac:dyDescent="0.25">
      <c r="C420" s="2"/>
    </row>
    <row r="421" spans="3:3" x14ac:dyDescent="0.25">
      <c r="C421" s="2"/>
    </row>
    <row r="422" spans="3:3" x14ac:dyDescent="0.25">
      <c r="C422" s="2"/>
    </row>
    <row r="423" spans="3:3" x14ac:dyDescent="0.25">
      <c r="C423" s="2"/>
    </row>
    <row r="424" spans="3:3" x14ac:dyDescent="0.25">
      <c r="C424" s="2"/>
    </row>
    <row r="425" spans="3:3" x14ac:dyDescent="0.25">
      <c r="C425" s="2"/>
    </row>
    <row r="426" spans="3:3" x14ac:dyDescent="0.25">
      <c r="C426" s="2"/>
    </row>
    <row r="427" spans="3:3" x14ac:dyDescent="0.25">
      <c r="C427" s="2"/>
    </row>
    <row r="428" spans="3:3" x14ac:dyDescent="0.25">
      <c r="C428" s="2"/>
    </row>
    <row r="429" spans="3:3" x14ac:dyDescent="0.25">
      <c r="C429" s="2"/>
    </row>
    <row r="430" spans="3:3" x14ac:dyDescent="0.25">
      <c r="C430" s="2"/>
    </row>
    <row r="431" spans="3:3" x14ac:dyDescent="0.25">
      <c r="C431" s="2"/>
    </row>
    <row r="432" spans="3:3" x14ac:dyDescent="0.25">
      <c r="C432" s="2"/>
    </row>
    <row r="433" spans="3:3" x14ac:dyDescent="0.25">
      <c r="C433" s="2"/>
    </row>
    <row r="434" spans="3:3" x14ac:dyDescent="0.25">
      <c r="C434" s="2"/>
    </row>
    <row r="435" spans="3:3" x14ac:dyDescent="0.25">
      <c r="C435" s="2"/>
    </row>
    <row r="436" spans="3:3" x14ac:dyDescent="0.25">
      <c r="C436" s="2"/>
    </row>
    <row r="437" spans="3:3" x14ac:dyDescent="0.25">
      <c r="C437" s="2"/>
    </row>
    <row r="438" spans="3:3" x14ac:dyDescent="0.25">
      <c r="C438" s="2"/>
    </row>
    <row r="439" spans="3:3" x14ac:dyDescent="0.25">
      <c r="C439" s="2"/>
    </row>
    <row r="440" spans="3:3" x14ac:dyDescent="0.25">
      <c r="C440" s="2"/>
    </row>
    <row r="441" spans="3:3" x14ac:dyDescent="0.25">
      <c r="C441" s="2"/>
    </row>
    <row r="442" spans="3:3" x14ac:dyDescent="0.25">
      <c r="C442" s="2"/>
    </row>
    <row r="443" spans="3:3" x14ac:dyDescent="0.25">
      <c r="C443" s="2"/>
    </row>
    <row r="444" spans="3:3" x14ac:dyDescent="0.25">
      <c r="C444" s="2"/>
    </row>
  </sheetData>
  <mergeCells count="1">
    <mergeCell ref="A1:D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2024-10-08T05:02:55Z</dcterms:modified>
</cp:coreProperties>
</file>