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40476726-44C1-4AF1-B3B3-78E16794FAE4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6" i="1" s="1"/>
  <c r="B14" i="1"/>
  <c r="B5" i="1"/>
  <c r="C6" i="1"/>
</calcChain>
</file>

<file path=xl/sharedStrings.xml><?xml version="1.0" encoding="utf-8"?>
<sst xmlns="http://schemas.openxmlformats.org/spreadsheetml/2006/main" count="10" uniqueCount="9">
  <si>
    <r>
      <t>COMPUTING THE COST OF EQUITY r</t>
    </r>
    <r>
      <rPr>
        <b/>
        <vertAlign val="subscript"/>
        <sz val="14"/>
        <rFont val="Arial"/>
        <family val="2"/>
      </rPr>
      <t>E</t>
    </r>
    <r>
      <rPr>
        <b/>
        <sz val="14"/>
        <rFont val="Arial"/>
        <family val="2"/>
      </rPr>
      <t xml:space="preserve"> FOR BIG CITY BAGELS
</t>
    </r>
    <r>
      <rPr>
        <b/>
        <sz val="12"/>
        <rFont val="Arial"/>
        <family val="2"/>
      </rPr>
      <t>March 1999</t>
    </r>
  </si>
  <si>
    <t>Big City's beta</t>
  </si>
  <si>
    <r>
      <t>Risk-free rate, r</t>
    </r>
    <r>
      <rPr>
        <vertAlign val="subscript"/>
        <sz val="10"/>
        <rFont val="Arial"/>
        <family val="2"/>
      </rPr>
      <t>f</t>
    </r>
  </si>
  <si>
    <r>
      <t>Expected market return, E(r</t>
    </r>
    <r>
      <rPr>
        <vertAlign val="subscript"/>
        <sz val="10"/>
        <rFont val="Arial"/>
        <family val="2"/>
      </rPr>
      <t>M</t>
    </r>
    <r>
      <rPr>
        <sz val="11"/>
        <color theme="1"/>
        <rFont val="等线"/>
        <family val="2"/>
        <charset val="134"/>
        <scheme val="minor"/>
      </rPr>
      <t>)</t>
    </r>
  </si>
  <si>
    <r>
      <t>Cost of equity, r</t>
    </r>
    <r>
      <rPr>
        <vertAlign val="subscript"/>
        <sz val="10"/>
        <rFont val="Arial"/>
        <family val="2"/>
      </rPr>
      <t>E</t>
    </r>
  </si>
  <si>
    <t>Supporting numbers</t>
  </si>
  <si>
    <t>P/E ratio of S&amp;P 500, March 1999</t>
  </si>
  <si>
    <t>Payout ratio, b</t>
  </si>
  <si>
    <t>Expected growth,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</si>
</sst>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vertAlign val="subscript"/>
      <sz val="14"/>
      <name val="Arial"/>
      <family val="2"/>
    </font>
    <font>
      <b/>
      <sz val="12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176" fontId="0" fillId="0" borderId="0" xfId="0" applyNumberFormat="1" applyAlignment="1"/>
    <xf numFmtId="10" fontId="0" fillId="0" borderId="0" xfId="0" applyNumberFormat="1" applyAlignment="1"/>
    <xf numFmtId="0" fontId="0" fillId="2" borderId="0" xfId="0" applyFill="1" applyAlignment="1"/>
    <xf numFmtId="10" fontId="0" fillId="2" borderId="0" xfId="1" applyNumberFormat="1" applyFont="1" applyFill="1" applyAlignment="1"/>
    <xf numFmtId="9" fontId="0" fillId="0" borderId="0" xfId="0" applyNumberForma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2\chapter2_34.xlsm" TargetMode="External"/><Relationship Id="rId1" Type="http://schemas.openxmlformats.org/officeDocument/2006/relationships/externalLinkPath" Target="chapter2_3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42">
          <cell r="B42">
            <v>-5.4194713502320066E-2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14"/>
  <sheetViews>
    <sheetView tabSelected="1" workbookViewId="0">
      <selection activeCell="H9" sqref="H9"/>
    </sheetView>
  </sheetViews>
  <sheetFormatPr defaultRowHeight="13.8" x14ac:dyDescent="0.25"/>
  <cols>
    <col min="1" max="1" width="28.88671875" style="2" customWidth="1"/>
    <col min="2" max="2" width="8.88671875" style="2"/>
    <col min="3" max="3" width="18" style="2" bestFit="1" customWidth="1"/>
  </cols>
  <sheetData>
    <row r="1" spans="1:3" ht="17.399999999999999" x14ac:dyDescent="0.25">
      <c r="A1" s="1" t="s">
        <v>0</v>
      </c>
      <c r="B1" s="1"/>
      <c r="C1" s="1"/>
    </row>
    <row r="2" spans="1:3" x14ac:dyDescent="0.25">
      <c r="A2" s="2" t="s">
        <v>1</v>
      </c>
      <c r="B2" s="3">
        <f>[2]Sheet1!$B$42</f>
        <v>-5.4194713502320066E-2</v>
      </c>
    </row>
    <row r="4" spans="1:3" ht="15.6" x14ac:dyDescent="0.35">
      <c r="A4" s="2" t="s">
        <v>2</v>
      </c>
      <c r="B4" s="4">
        <v>4.2900000000000001E-2</v>
      </c>
    </row>
    <row r="5" spans="1:3" ht="15.6" x14ac:dyDescent="0.35">
      <c r="A5" s="2" t="s">
        <v>3</v>
      </c>
      <c r="B5" s="4">
        <f>B14</f>
        <v>9.0800000000000006E-2</v>
      </c>
    </row>
    <row r="6" spans="1:3" ht="15.6" x14ac:dyDescent="0.35">
      <c r="A6" s="5" t="s">
        <v>4</v>
      </c>
      <c r="B6" s="6">
        <f>B4+B2*(B5-B4)</f>
        <v>4.0304073223238868E-2</v>
      </c>
      <c r="C6" s="2" t="str">
        <f ca="1">[1]!getformula(B6)</f>
        <v>&lt;--  =B4+B2*(B5-B4)</v>
      </c>
    </row>
    <row r="10" spans="1:3" x14ac:dyDescent="0.25">
      <c r="A10" s="2" t="s">
        <v>5</v>
      </c>
    </row>
    <row r="11" spans="1:3" x14ac:dyDescent="0.25">
      <c r="A11" s="2" t="s">
        <v>6</v>
      </c>
      <c r="B11" s="2">
        <v>50</v>
      </c>
    </row>
    <row r="12" spans="1:3" x14ac:dyDescent="0.25">
      <c r="A12" s="2" t="s">
        <v>7</v>
      </c>
      <c r="B12" s="7">
        <v>0.5</v>
      </c>
    </row>
    <row r="13" spans="1:3" x14ac:dyDescent="0.25">
      <c r="A13" s="2" t="s">
        <v>8</v>
      </c>
      <c r="B13" s="7">
        <v>0.08</v>
      </c>
    </row>
    <row r="14" spans="1:3" ht="15.6" x14ac:dyDescent="0.35">
      <c r="A14" s="2" t="s">
        <v>3</v>
      </c>
      <c r="B14" s="4">
        <f>B12*(1+B13)/B11+B13</f>
        <v>9.0800000000000006E-2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2024-10-09T09:28:41Z</dcterms:modified>
</cp:coreProperties>
</file>