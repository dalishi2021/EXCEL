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116202C4-A164-4AFB-B904-968A0C50DBD5}" xr6:coauthVersionLast="47" xr6:coauthVersionMax="47" xr10:uidLastSave="{00000000-0000-0000-0000-000000000000}"/>
  <bookViews>
    <workbookView xWindow="28680" yWindow="-120" windowWidth="16440" windowHeight="28320" firstSheet="7" activeTab="8" xr2:uid="{ECA143DD-40FA-4E3D-A930-71D7D5BEF9EB}"/>
  </bookViews>
  <sheets>
    <sheet name="Page 80" sheetId="10" r:id="rId1"/>
    <sheet name="Page 79, top" sheetId="9" r:id="rId2"/>
    <sheet name="FRED data" sheetId="1" r:id="rId3"/>
    <sheet name="Kraft cash flow to equity" sheetId="2" r:id="rId4"/>
    <sheet name="Kraft 10K, 2005" sheetId="3" r:id="rId5"/>
    <sheet name="Tyson cash flow statement" sheetId="4" r:id="rId6"/>
    <sheet name="Tyson income statement" sheetId="5" r:id="rId7"/>
    <sheet name="Cascade cash flow statement" sheetId="6" r:id="rId8"/>
    <sheet name="Cascade 10K" sheetId="7" r:id="rId9"/>
    <sheet name="Cascade annual dividends" sheetId="8" r:id="rId10"/>
  </sheets>
  <externalReferences>
    <externalReference r:id="rId11"/>
    <externalReference r:id="rId1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10" l="1"/>
  <c r="C16" i="10"/>
  <c r="C15" i="10"/>
  <c r="C13" i="10"/>
  <c r="B13" i="10"/>
  <c r="B16" i="10" s="1"/>
  <c r="C12" i="10"/>
  <c r="B12" i="10"/>
  <c r="B15" i="10" s="1"/>
  <c r="C10" i="10"/>
  <c r="C19" i="10" s="1"/>
  <c r="B10" i="10"/>
  <c r="B19" i="10" s="1"/>
  <c r="C4" i="10"/>
  <c r="B4" i="10"/>
  <c r="C3" i="10"/>
  <c r="B3" i="10"/>
  <c r="E17" i="9"/>
  <c r="E16" i="9"/>
  <c r="E15" i="9"/>
  <c r="E14" i="9"/>
  <c r="E13" i="9"/>
  <c r="E12" i="9"/>
  <c r="E11" i="9"/>
  <c r="B6" i="9"/>
  <c r="B5" i="9"/>
  <c r="B7" i="9" s="1"/>
  <c r="B4" i="9"/>
  <c r="B10" i="8"/>
  <c r="B9" i="8"/>
  <c r="C69" i="7"/>
  <c r="B69" i="7"/>
  <c r="E6" i="6"/>
  <c r="D6" i="6"/>
  <c r="C6" i="6"/>
  <c r="B6" i="6"/>
  <c r="H5" i="6"/>
  <c r="G5" i="6"/>
  <c r="F5" i="6"/>
  <c r="E5" i="6"/>
  <c r="D5" i="6"/>
  <c r="H4" i="6"/>
  <c r="G4" i="6"/>
  <c r="F4" i="6"/>
  <c r="E4" i="6"/>
  <c r="D4" i="6"/>
  <c r="C4" i="6"/>
  <c r="B4" i="6"/>
  <c r="D31" i="5"/>
  <c r="C31" i="5"/>
  <c r="B31" i="5"/>
  <c r="C169" i="3"/>
  <c r="B169" i="3"/>
  <c r="C167" i="3"/>
  <c r="C166" i="3"/>
  <c r="D160" i="3"/>
  <c r="C160" i="3"/>
  <c r="B160" i="3"/>
  <c r="I66" i="2"/>
  <c r="H66" i="2"/>
  <c r="G66" i="2"/>
  <c r="F6" i="2"/>
  <c r="E6" i="2"/>
  <c r="D6" i="2"/>
  <c r="C6" i="2"/>
  <c r="B6" i="2"/>
  <c r="F17" i="9"/>
  <c r="C4" i="9"/>
  <c r="C5" i="9"/>
  <c r="C6" i="9"/>
  <c r="C7" i="9"/>
  <c r="C10" i="8"/>
  <c r="C9" i="8"/>
  <c r="B18" i="10" l="1"/>
  <c r="C18" i="10"/>
</calcChain>
</file>

<file path=xl/sharedStrings.xml><?xml version="1.0" encoding="utf-8"?>
<sst xmlns="http://schemas.openxmlformats.org/spreadsheetml/2006/main" count="668" uniqueCount="506">
  <si>
    <t xml:space="preserve">Title:              </t>
  </si>
  <si>
    <t>3-Month Treasury Bill: Secondary Market Rate</t>
  </si>
  <si>
    <t xml:space="preserve">Series ID:          </t>
  </si>
  <si>
    <t>TB3MS</t>
  </si>
  <si>
    <t xml:space="preserve">Source:             </t>
  </si>
  <si>
    <t>Board of Governors of the Federal Reserve System</t>
  </si>
  <si>
    <t xml:space="preserve">Release:            </t>
  </si>
  <si>
    <t>H.15 Selected Interest Rates</t>
  </si>
  <si>
    <t>Seasonal Adjustment:</t>
  </si>
  <si>
    <t>Not Applicable</t>
  </si>
  <si>
    <t xml:space="preserve">Frequency:          </t>
  </si>
  <si>
    <t>Monthly</t>
  </si>
  <si>
    <t xml:space="preserve">Units:              </t>
  </si>
  <si>
    <t>Percent</t>
  </si>
  <si>
    <t xml:space="preserve">Date Range:         </t>
  </si>
  <si>
    <t>1934-01-01 to 2006-07-01</t>
  </si>
  <si>
    <t xml:space="preserve">Last Updated:       </t>
  </si>
  <si>
    <t>2006-08-08 9:12 AM CT</t>
  </si>
  <si>
    <t xml:space="preserve">Notes:              </t>
  </si>
  <si>
    <t>Averages of Business Days, Discount Basis</t>
  </si>
  <si>
    <t xml:space="preserve">DATE      </t>
  </si>
  <si>
    <t xml:space="preserve"> VALUE</t>
  </si>
  <si>
    <t>KRAFT:  CASH FLOWS TO EQUITY HOLDERS, 2001 - 2005</t>
  </si>
  <si>
    <t>Repurchase of Class A common stock</t>
  </si>
  <si>
    <t>Dividends paid</t>
  </si>
  <si>
    <t>Net proceeds from Class A common stock</t>
  </si>
  <si>
    <t>Cash flow to equity holders</t>
  </si>
  <si>
    <t>CASH PROVIDED BY (USED IN) OPERATING</t>
  </si>
  <si>
    <t>Cash Provided By (Used In) Operating Activities</t>
  </si>
  <si>
    <t>ACTIVITIES</t>
  </si>
  <si>
    <t xml:space="preserve">  Net earnings                                                                 $</t>
  </si>
  <si>
    <t xml:space="preserve">  Net earnings</t>
  </si>
  <si>
    <t xml:space="preserve">  Adjustments to reconcile net earnings to operating cash flows:</t>
  </si>
  <si>
    <t xml:space="preserve">    Depreciation and amortization</t>
  </si>
  <si>
    <t xml:space="preserve">    Deferred income tax provision</t>
  </si>
  <si>
    <t xml:space="preserve">    Deferred income tax (benefit) provision</t>
  </si>
  <si>
    <t xml:space="preserve">    Gains on sales of businesses</t>
  </si>
  <si>
    <t xml:space="preserve">    (Gains) losses on sales of businesses,</t>
  </si>
  <si>
    <t xml:space="preserve">    Integration costs and a loss on sale of a food factory, net of cash paid</t>
  </si>
  <si>
    <t xml:space="preserve">    net</t>
  </si>
  <si>
    <t xml:space="preserve">    Asset impairment and exit costs, net of cash paid</t>
  </si>
  <si>
    <t xml:space="preserve">    Integration costs, net of cash paid</t>
  </si>
  <si>
    <t xml:space="preserve">    Cash effects of changes, net of the effects from acquired and divested companies:</t>
  </si>
  <si>
    <t xml:space="preserve">    Loss on sale of discontinued operations</t>
  </si>
  <si>
    <t xml:space="preserve">      Receivables, net</t>
  </si>
  <si>
    <t xml:space="preserve">    Impairment loss on discontinued</t>
  </si>
  <si>
    <t xml:space="preserve">      Inventories</t>
  </si>
  <si>
    <t xml:space="preserve">    operations</t>
  </si>
  <si>
    <t xml:space="preserve">      Accounts payable</t>
  </si>
  <si>
    <t xml:space="preserve">    Asset impairment and exit costs, net of</t>
  </si>
  <si>
    <t xml:space="preserve">      Income taxes</t>
  </si>
  <si>
    <t xml:space="preserve">    cash paid</t>
  </si>
  <si>
    <t xml:space="preserve">      Amounts due to Altria Group, Inc. and affiliates</t>
  </si>
  <si>
    <t xml:space="preserve">      Other working capital items</t>
  </si>
  <si>
    <t xml:space="preserve">       Receivables, net</t>
  </si>
  <si>
    <t xml:space="preserve">    Change in pension assets and postretirement liabilities, net</t>
  </si>
  <si>
    <t xml:space="preserve">       Inventories</t>
  </si>
  <si>
    <t xml:space="preserve">    Other</t>
  </si>
  <si>
    <t xml:space="preserve">       Accounts payable</t>
  </si>
  <si>
    <t xml:space="preserve">      Net cash provided by operating activities</t>
  </si>
  <si>
    <t xml:space="preserve">       Income taxes</t>
  </si>
  <si>
    <t>Cash Provided By (Used In) Investing Activities</t>
  </si>
  <si>
    <t xml:space="preserve">       Amounts due to Altria Group, Inc. and</t>
  </si>
  <si>
    <t xml:space="preserve">  Capital expenditures</t>
  </si>
  <si>
    <t xml:space="preserve">       affiliates</t>
  </si>
  <si>
    <t xml:space="preserve">  Purchases of businesses, net of acquired cash</t>
  </si>
  <si>
    <t xml:space="preserve">       Other working capital items</t>
  </si>
  <si>
    <t xml:space="preserve">  Proceeds from sales of businesses</t>
  </si>
  <si>
    <t xml:space="preserve">    Change in pension assets and</t>
  </si>
  <si>
    <t xml:space="preserve">  Other</t>
  </si>
  <si>
    <t xml:space="preserve">    postretirement liabilities, net</t>
  </si>
  <si>
    <t xml:space="preserve">      Net cash used in investing activities</t>
  </si>
  <si>
    <t>Cash Provided By (Used In) Financing Activities</t>
  </si>
  <si>
    <t xml:space="preserve">       Net cash provided by operating</t>
  </si>
  <si>
    <t xml:space="preserve">  Net issuance (repayment) of short-term borrowings</t>
  </si>
  <si>
    <t xml:space="preserve">       activities</t>
  </si>
  <si>
    <t xml:space="preserve">  Long-term debt proceeds</t>
  </si>
  <si>
    <t>CASH PROVIDED BY (USED IN) INVESTING</t>
  </si>
  <si>
    <t xml:space="preserve">  Long-term debt repaid</t>
  </si>
  <si>
    <t xml:space="preserve">  Repayment of notes payable to Altria Group, Inc. and affiliates</t>
  </si>
  <si>
    <t xml:space="preserve">  (Decrease) increase in amounts due to Altria Group, Inc. and affiliates</t>
  </si>
  <si>
    <t xml:space="preserve">  Purchases of businesses, net of acquired</t>
  </si>
  <si>
    <t xml:space="preserve">  Repurchase of Class A common stock</t>
  </si>
  <si>
    <t xml:space="preserve">  cash</t>
  </si>
  <si>
    <t xml:space="preserve">  Dividends paid</t>
  </si>
  <si>
    <t xml:space="preserve">  Net proceeds from sale of Class A common stock</t>
  </si>
  <si>
    <t xml:space="preserve">    Net cash provided by (used in) investing</t>
  </si>
  <si>
    <t xml:space="preserve">      Net cash used in financing activities</t>
  </si>
  <si>
    <t xml:space="preserve">    activities</t>
  </si>
  <si>
    <t>Effect of exchange rate changes on cash and cash equivalents</t>
  </si>
  <si>
    <t>CASH PROVIDED BY (USED IN) FINANCING</t>
  </si>
  <si>
    <t>Cash and cash equivalents:</t>
  </si>
  <si>
    <t xml:space="preserve">      Increase (decrease)</t>
  </si>
  <si>
    <t xml:space="preserve">  Net (repayment) issuance of short-term</t>
  </si>
  <si>
    <t xml:space="preserve">      Balance at beginning of year</t>
  </si>
  <si>
    <t xml:space="preserve">  borrowings</t>
  </si>
  <si>
    <t xml:space="preserve">      Balance at end of year                                                   $</t>
  </si>
  <si>
    <t>Cash paid:</t>
  </si>
  <si>
    <t xml:space="preserve">      Interest                                                                 $</t>
  </si>
  <si>
    <t xml:space="preserve">  Repayment of notes payable to Altria Group,</t>
  </si>
  <si>
    <t xml:space="preserve">      Income taxes                                                             $</t>
  </si>
  <si>
    <t xml:space="preserve">  Inc. and affiliates</t>
  </si>
  <si>
    <t xml:space="preserve">  Increase (decrease) in amounts due to</t>
  </si>
  <si>
    <t xml:space="preserve">  Altria Group, Inc. and affiliates</t>
  </si>
  <si>
    <t xml:space="preserve">    Net cash used in financing activities</t>
  </si>
  <si>
    <t>Effect of exchange rate changes on cash and</t>
  </si>
  <si>
    <t>cash equivalents</t>
  </si>
  <si>
    <t xml:space="preserve">    Increase (decrease)</t>
  </si>
  <si>
    <t xml:space="preserve">    Balance at beginning of year</t>
  </si>
  <si>
    <t xml:space="preserve">    Balance at end of year</t>
  </si>
  <si>
    <t xml:space="preserve">    Interest</t>
  </si>
  <si>
    <t xml:space="preserve">    Income taxes</t>
  </si>
  <si>
    <t>KRAFT FOODS INC 10-K 2005-12-31: Balance Sheet</t>
  </si>
  <si>
    <t>ASSETS</t>
  </si>
  <si>
    <t xml:space="preserve">  Cash and cash equivalents</t>
  </si>
  <si>
    <t xml:space="preserve">  Receivables (less allowances of $92 in 2005 and $118</t>
  </si>
  <si>
    <t xml:space="preserve">  in 2004)</t>
  </si>
  <si>
    <t xml:space="preserve">  Inventories:</t>
  </si>
  <si>
    <t xml:space="preserve">     Raw materials</t>
  </si>
  <si>
    <t xml:space="preserve">     Finished product</t>
  </si>
  <si>
    <t/>
  </si>
  <si>
    <t xml:space="preserve">  Deferred income taxes</t>
  </si>
  <si>
    <t xml:space="preserve">  Assets of discontinued operations held for sale</t>
  </si>
  <si>
    <t xml:space="preserve">  Other current assets</t>
  </si>
  <si>
    <t xml:space="preserve">     Total current assets</t>
  </si>
  <si>
    <t xml:space="preserve">  Property, plant and equipment, at cost:</t>
  </si>
  <si>
    <t xml:space="preserve">     Land and land improvements</t>
  </si>
  <si>
    <t xml:space="preserve">     Buildings and building equipment</t>
  </si>
  <si>
    <t xml:space="preserve">     Machinery and equipment</t>
  </si>
  <si>
    <t xml:space="preserve">     Construction in progress</t>
  </si>
  <si>
    <t xml:space="preserve">     Less accumulated depreciation</t>
  </si>
  <si>
    <t xml:space="preserve">  Goodwill</t>
  </si>
  <si>
    <t xml:space="preserve">  Other intangible assets, net</t>
  </si>
  <si>
    <t xml:space="preserve">  Prepaid pension assets</t>
  </si>
  <si>
    <t xml:space="preserve">  Other assets</t>
  </si>
  <si>
    <t xml:space="preserve">     TOTAL ASSETS</t>
  </si>
  <si>
    <t>LIABILITIES</t>
  </si>
  <si>
    <t xml:space="preserve">  Short-term borrowings</t>
  </si>
  <si>
    <t xml:space="preserve">  Current portion of long-term debt</t>
  </si>
  <si>
    <t xml:space="preserve">  Due to Altria Group, Inc. and affiliates</t>
  </si>
  <si>
    <t xml:space="preserve">  Accounts payable</t>
  </si>
  <si>
    <t xml:space="preserve">  Accrued liabilities:</t>
  </si>
  <si>
    <t xml:space="preserve">     Marketing</t>
  </si>
  <si>
    <t xml:space="preserve">     Employment costs</t>
  </si>
  <si>
    <t xml:space="preserve">     Other</t>
  </si>
  <si>
    <t xml:space="preserve">  Income taxes</t>
  </si>
  <si>
    <t xml:space="preserve">     Total current liabilities</t>
  </si>
  <si>
    <t xml:space="preserve">  Long-term debt</t>
  </si>
  <si>
    <t xml:space="preserve">  Accrued postretirement health care costs</t>
  </si>
  <si>
    <t xml:space="preserve">  Other liabilities</t>
  </si>
  <si>
    <t xml:space="preserve">     Total liabilities</t>
  </si>
  <si>
    <t>Contingencies (Note 18)</t>
  </si>
  <si>
    <t>SHAREHOLDERS' EQUITY</t>
  </si>
  <si>
    <t xml:space="preserve">  Class A common stock, no par value (555,000,000</t>
  </si>
  <si>
    <t xml:space="preserve">  shares issued in 2005 and 2004)</t>
  </si>
  <si>
    <t xml:space="preserve">  Class B common stock, no par value (1,180,000,000</t>
  </si>
  <si>
    <t xml:space="preserve">  shares issued and outstanding in 2005 and 2004)</t>
  </si>
  <si>
    <t xml:space="preserve">  Additional paid-in capital</t>
  </si>
  <si>
    <t xml:space="preserve">  Earnings reinvested in the business</t>
  </si>
  <si>
    <t xml:space="preserve">  Accumulated other comprehensive losses (including</t>
  </si>
  <si>
    <t xml:space="preserve">  currency translation of $(1,290) in 2005 and $(890) in 2004)</t>
  </si>
  <si>
    <t xml:space="preserve">  Less cost of repurchased stock (65,119,245 Class A</t>
  </si>
  <si>
    <t xml:space="preserve">  shares in 2005 and 29,644,926 Class A shares in 2004)</t>
  </si>
  <si>
    <t xml:space="preserve">     Total shareholders' equity</t>
  </si>
  <si>
    <t xml:space="preserve">     TOTAL LIABILITIES AND SHAREHOLDERS' EQUITY</t>
  </si>
  <si>
    <t>Net revenues</t>
  </si>
  <si>
    <t>Cost of sales</t>
  </si>
  <si>
    <t xml:space="preserve">  Gross profit</t>
  </si>
  <si>
    <t>Marketing, administration and research costs</t>
  </si>
  <si>
    <t>Asset impairment and exit costs</t>
  </si>
  <si>
    <t>(Gains) losses on sales of businesses, net</t>
  </si>
  <si>
    <t>Amortization of intangibles</t>
  </si>
  <si>
    <t xml:space="preserve">  Operating income</t>
  </si>
  <si>
    <t>Interest and other debt expense, net</t>
  </si>
  <si>
    <t xml:space="preserve">  Earnings from continuing operations before</t>
  </si>
  <si>
    <t xml:space="preserve">  income taxes and minority interest</t>
  </si>
  <si>
    <t>Provision for income taxes</t>
  </si>
  <si>
    <t xml:space="preserve">  minority interest</t>
  </si>
  <si>
    <t>Minority interest in earnings from</t>
  </si>
  <si>
    <t>continuing operations, net</t>
  </si>
  <si>
    <t xml:space="preserve">  Earnings from continuing operations</t>
  </si>
  <si>
    <t>(Loss) earnings from discontinued</t>
  </si>
  <si>
    <t>operations, net of income taxes</t>
  </si>
  <si>
    <t xml:space="preserve">  Per share data:</t>
  </si>
  <si>
    <t xml:space="preserve">     Basic earnings per share:</t>
  </si>
  <si>
    <t xml:space="preserve">        Continuing operations</t>
  </si>
  <si>
    <t xml:space="preserve">        Discontinued operations</t>
  </si>
  <si>
    <t xml:space="preserve">        Net earnings</t>
  </si>
  <si>
    <t xml:space="preserve">     Diluted earnings per share:</t>
  </si>
  <si>
    <t>This data was extracted by EdgarScan from the PricewaterhouseCoopers Global Technology Centre.</t>
  </si>
  <si>
    <t>Please read the on-line disclaimer at http://edgarscan.pwcglobal.com/EdgarScan/edgarscan_disclaimer.html</t>
  </si>
  <si>
    <r>
      <t>Tax rate, T</t>
    </r>
    <r>
      <rPr>
        <vertAlign val="subscript"/>
        <sz val="10"/>
        <rFont val="Arial"/>
        <family val="2"/>
      </rPr>
      <t>C</t>
    </r>
  </si>
  <si>
    <t>Shares outstanding (from equity in balance sheet)</t>
  </si>
  <si>
    <t xml:space="preserve">     Class A</t>
  </si>
  <si>
    <t xml:space="preserve">     Class B</t>
  </si>
  <si>
    <t xml:space="preserve">     Repurchased</t>
  </si>
  <si>
    <t>Total</t>
  </si>
  <si>
    <t>Note:  Yahoo shows 1.66B shares</t>
  </si>
  <si>
    <t>TYSON FOODS INC 10-K/A 2006-02-08: Cash Flow</t>
  </si>
  <si>
    <t>Cash Flows From Operating Activities:</t>
  </si>
  <si>
    <t xml:space="preserve">    Net income                                                  $</t>
  </si>
  <si>
    <t xml:space="preserve">                                                  2005</t>
  </si>
  <si>
    <t xml:space="preserve">    Adjustments to reconcile net income to cash provided by operating activities:</t>
  </si>
  <si>
    <t xml:space="preserve">        Depreciation</t>
  </si>
  <si>
    <t xml:space="preserve">  Net income                                      $ 372</t>
  </si>
  <si>
    <t xml:space="preserve">        Amortization</t>
  </si>
  <si>
    <t xml:space="preserve">  Adjustments to reconcile net income to cash provided by operating activities:</t>
  </si>
  <si>
    <t xml:space="preserve">        Plant closing related charges</t>
  </si>
  <si>
    <t xml:space="preserve">      Depreciation                                  465</t>
  </si>
  <si>
    <t xml:space="preserve">        Write-down of intangible asset</t>
  </si>
  <si>
    <t xml:space="preserve">      Amortization                                  36</t>
  </si>
  <si>
    <t xml:space="preserve">        Gain on sale of subsidiary</t>
  </si>
  <si>
    <t xml:space="preserve">      Plant closing related charges                 10</t>
  </si>
  <si>
    <t xml:space="preserve">        Deferred taxes</t>
  </si>
  <si>
    <t xml:space="preserve">      Impairment and write-down of assets           25</t>
  </si>
  <si>
    <t xml:space="preserve">        Other</t>
  </si>
  <si>
    <t xml:space="preserve">      Deferred taxes                                (93       )</t>
  </si>
  <si>
    <t xml:space="preserve">        (Increase) decrease in accounts receivable</t>
  </si>
  <si>
    <t xml:space="preserve">      Other                                         (2        )</t>
  </si>
  <si>
    <t xml:space="preserve">        Increase in inventories</t>
  </si>
  <si>
    <t xml:space="preserve">      (Increase) decrease in accounts               24</t>
  </si>
  <si>
    <t xml:space="preserve">       Increase (decrease) in trade accounts payable</t>
  </si>
  <si>
    <t xml:space="preserve">      receivable</t>
  </si>
  <si>
    <t xml:space="preserve">       Net change in other current assets and liabilities</t>
  </si>
  <si>
    <t xml:space="preserve">      (Increase) decrease in inventories            13</t>
  </si>
  <si>
    <t>Cash Provided by Operating Activities</t>
  </si>
  <si>
    <t xml:space="preserve">      Increase in trade accounts payable            11</t>
  </si>
  <si>
    <t>Cash Flows From Investing Activities:</t>
  </si>
  <si>
    <t xml:space="preserve">      Net change in other current assets and        138</t>
  </si>
  <si>
    <t xml:space="preserve">    Additions to property, plant and equipment</t>
  </si>
  <si>
    <t xml:space="preserve">      liabilities</t>
  </si>
  <si>
    <t xml:space="preserve">    Proceeds from sale of assets</t>
  </si>
  <si>
    <t>Cash Provided by Operating Activities               999</t>
  </si>
  <si>
    <t xml:space="preserve">    Proceeds from sale of subsidiary</t>
  </si>
  <si>
    <t xml:space="preserve">    Net cash paid for IBP acquisition</t>
  </si>
  <si>
    <t xml:space="preserve">  Additions to property, plant and equipment        (571      )</t>
  </si>
  <si>
    <t xml:space="preserve">    Acquisitions of property, plant and equipment</t>
  </si>
  <si>
    <t xml:space="preserve">  Proceeds from sale of assets                      47</t>
  </si>
  <si>
    <t xml:space="preserve">    Purchase of Tyson de Mexico minority interest</t>
  </si>
  <si>
    <t xml:space="preserve">  Purchases of marketable securities                (543      )</t>
  </si>
  <si>
    <t xml:space="preserve">    Net change in investment in commercial paper</t>
  </si>
  <si>
    <t xml:space="preserve">  Proceeds from marketable securities               504</t>
  </si>
  <si>
    <t xml:space="preserve">    Net change in other assets and liabilities</t>
  </si>
  <si>
    <t xml:space="preserve">  Net change in other assets and liabilities        2</t>
  </si>
  <si>
    <t>Cash Used for Investing Activities</t>
  </si>
  <si>
    <t>Cash Used for Investing Activities                  (561      )</t>
  </si>
  <si>
    <t>Cash Flows From Financing Activities:</t>
  </si>
  <si>
    <t xml:space="preserve">    Net change in debt</t>
  </si>
  <si>
    <t xml:space="preserve">  Payments of debt, net                             (720      )</t>
  </si>
  <si>
    <t xml:space="preserve">    Purchase of treasury shares</t>
  </si>
  <si>
    <t xml:space="preserve">  Proceeds from borrowings of debt                  353</t>
  </si>
  <si>
    <t xml:space="preserve">    Proceeds from exercise of IBP stock options</t>
  </si>
  <si>
    <t xml:space="preserve">  Purchase of treasury shares                       (45       )</t>
  </si>
  <si>
    <t xml:space="preserve">    Dividends and other</t>
  </si>
  <si>
    <t xml:space="preserve">  Dividends                                         (55       )</t>
  </si>
  <si>
    <t>Cash Provided by (Used for) Financing Activities</t>
  </si>
  <si>
    <t xml:space="preserve">  Stock options exercised and other                 24</t>
  </si>
  <si>
    <t>Effect of Exchange Rate Change on Cash</t>
  </si>
  <si>
    <t>Cash Used for Financing Activities                  (443      )</t>
  </si>
  <si>
    <t>Increase (Decrease) in Cash and Cash Equivalents</t>
  </si>
  <si>
    <t>Effect of Exchange Rate Change on Cash              12</t>
  </si>
  <si>
    <t>Cash and Cash Equivalents at Beginning of Year</t>
  </si>
  <si>
    <t>Increase (Decrease) in Cash and Cash                7</t>
  </si>
  <si>
    <t>Cash and Cash Equivalents at End of Year                        $</t>
  </si>
  <si>
    <t>Equivalents</t>
  </si>
  <si>
    <t>Cash and Cash Equivalents at Beginning of Year      33</t>
  </si>
  <si>
    <t>Cash and Cash Equivalents at End of Year          $ 40</t>
  </si>
  <si>
    <t>Cash and cash equivalents</t>
  </si>
  <si>
    <t>Current debt</t>
  </si>
  <si>
    <t>Long term debt</t>
  </si>
  <si>
    <t>Interest paid</t>
  </si>
  <si>
    <t xml:space="preserve">2005   	</t>
  </si>
  <si>
    <t>Sales</t>
  </si>
  <si>
    <t>Assets</t>
  </si>
  <si>
    <t>Cost of Sales</t>
  </si>
  <si>
    <t>Current Assets:</t>
  </si>
  <si>
    <t>Operating Expenses:</t>
  </si>
  <si>
    <t>Accounts receivable, net</t>
  </si>
  <si>
    <t>Selling, general and administrative</t>
  </si>
  <si>
    <t>Inventories</t>
  </si>
  <si>
    <t>Other charges</t>
  </si>
  <si>
    <t>Other current assets</t>
  </si>
  <si>
    <t>Operating Income</t>
  </si>
  <si>
    <t>Total Current Assets</t>
  </si>
  <si>
    <t>Other Expense:</t>
  </si>
  <si>
    <t>Net Property, Plant and Equipment</t>
  </si>
  <si>
    <t>Interest</t>
  </si>
  <si>
    <t>Goodwill</t>
  </si>
  <si>
    <t>Other</t>
  </si>
  <si>
    <t>Intangible Assets</t>
  </si>
  <si>
    <t>Other Assets</t>
  </si>
  <si>
    <t>Total Assets</t>
  </si>
  <si>
    <t>Income Before Income Taxes</t>
  </si>
  <si>
    <t>Provision for Income Taxes</t>
  </si>
  <si>
    <t>Liabilities and Shareholders  Equity</t>
  </si>
  <si>
    <t>Net Income</t>
  </si>
  <si>
    <t>Current Liabilities:</t>
  </si>
  <si>
    <t>Tax rate</t>
  </si>
  <si>
    <t>Trade accounts payable</t>
  </si>
  <si>
    <t>Other current liabilities</t>
  </si>
  <si>
    <t>Total Current Liabilities</t>
  </si>
  <si>
    <t>Long-Term Debt</t>
  </si>
  <si>
    <t>Deferred Income Taxes</t>
  </si>
  <si>
    <t>Weighted Average Shares Outstanding:</t>
  </si>
  <si>
    <t>Other Liabilities</t>
  </si>
  <si>
    <t>Class A Basic</t>
  </si>
  <si>
    <t>Shareholders  Equity:</t>
  </si>
  <si>
    <t>Class B Basic</t>
  </si>
  <si>
    <t>Common stock ($0.10 par value):</t>
  </si>
  <si>
    <t>Diluted</t>
  </si>
  <si>
    <t>Class A-authorized 900 million shares:</t>
  </si>
  <si>
    <t>Earnings Per Share:</t>
  </si>
  <si>
    <t>issued 268 million shares in 2005 and</t>
  </si>
  <si>
    <t>Class B-authorized 900 million shares:</t>
  </si>
  <si>
    <t>issued 102 million shares in 2005 and</t>
  </si>
  <si>
    <t>Capital in excess of par value</t>
  </si>
  <si>
    <t>Retained earnings</t>
  </si>
  <si>
    <t>Accumulated other comprehensive income (loss</t>
  </si>
  <si>
    <t>)     28</t>
  </si>
  <si>
    <t>Less treasury stock, at cost-</t>
  </si>
  <si>
    <t>15 million shares in 2005 and 17 million</t>
  </si>
  <si>
    <t>shares in 2004</t>
  </si>
  <si>
    <t>Less unamortized deferred compensation</t>
  </si>
  <si>
    <t>Total Shareholders  Equity</t>
  </si>
  <si>
    <t>Total Liabilities and Shareholders  Equity</t>
  </si>
  <si>
    <t>CASCADE CORPORATION:  CASH FLOWS TO EQUITY</t>
  </si>
  <si>
    <t>Dividends</t>
  </si>
  <si>
    <t>Share repurchases</t>
  </si>
  <si>
    <t>Shares issued</t>
  </si>
  <si>
    <t>Shares issue</t>
  </si>
  <si>
    <t>Cash flows from operating activities:</t>
  </si>
  <si>
    <t>Net income</t>
  </si>
  <si>
    <t xml:space="preserve">  Net income</t>
  </si>
  <si>
    <t>Adjustments to reconcile net income to net cash provided by operating activities:</t>
  </si>
  <si>
    <t xml:space="preserve">  Adjustments to reconcile net income to net cash provided by operating activities:</t>
  </si>
  <si>
    <t>Depreciation and amortization</t>
  </si>
  <si>
    <t xml:space="preserve">    (Income) loss from discontinued</t>
  </si>
  <si>
    <t>Share-based compensation</t>
  </si>
  <si>
    <t>Deferred income taxes</t>
  </si>
  <si>
    <t xml:space="preserve">    operations, net of income taxes</t>
  </si>
  <si>
    <t>Loss on disposition of assets</t>
  </si>
  <si>
    <t xml:space="preserve">    Loss on sale of discontinued</t>
  </si>
  <si>
    <t>Income from discontinued operations, net</t>
  </si>
  <si>
    <t>Changes in operating assets and liabilities, net of effects of acquisitions and dispositions:</t>
  </si>
  <si>
    <t>of income taxes</t>
  </si>
  <si>
    <t xml:space="preserve">    Goodwill impairment</t>
  </si>
  <si>
    <t>Accounts receivable</t>
  </si>
  <si>
    <t>Loss on sale of discontinued operations,</t>
  </si>
  <si>
    <t xml:space="preserve">    Allowance for note receivable</t>
  </si>
  <si>
    <t>net of income taxes</t>
  </si>
  <si>
    <t>Prepaid expenses and other</t>
  </si>
  <si>
    <t>Loss on goodwill impairment</t>
  </si>
  <si>
    <t xml:space="preserve">    Deferred income taxes</t>
  </si>
  <si>
    <t>Accounts payable and accrued expenses</t>
  </si>
  <si>
    <t>Allowance for (recovery of) note</t>
  </si>
  <si>
    <t xml:space="preserve">    Loss on disposition of assets</t>
  </si>
  <si>
    <t>Current income tax payable and receivable</t>
  </si>
  <si>
    <t>receivable</t>
  </si>
  <si>
    <t xml:space="preserve">  Changes in operating assets and liabilities, net of effects of acquisitions and dispositions:</t>
  </si>
  <si>
    <t>Other assets and liabilities</t>
  </si>
  <si>
    <t xml:space="preserve">    Accounts receivable</t>
  </si>
  <si>
    <t>Net cash provided by operating activities</t>
  </si>
  <si>
    <t xml:space="preserve">    Inventories</t>
  </si>
  <si>
    <t>Cash flows from investing activities:</t>
  </si>
  <si>
    <t xml:space="preserve">    Prepaid expenses and other</t>
  </si>
  <si>
    <t>Capital expenditures</t>
  </si>
  <si>
    <t xml:space="preserve">    Accounts payable and accrued expenses</t>
  </si>
  <si>
    <t>Sale of marketable securities</t>
  </si>
  <si>
    <t xml:space="preserve">    Accrued environmental expenses</t>
  </si>
  <si>
    <t>Purchase of marketable securities</t>
  </si>
  <si>
    <t>Accrued environmental expenses</t>
  </si>
  <si>
    <t xml:space="preserve">    Other liabilities</t>
  </si>
  <si>
    <t>Business acquisitions</t>
  </si>
  <si>
    <t>Other liabilities</t>
  </si>
  <si>
    <t xml:space="preserve">      Cash provided by continuing</t>
  </si>
  <si>
    <t>Proceeds from sale of assets</t>
  </si>
  <si>
    <t>Cash provided by continuing operations</t>
  </si>
  <si>
    <t xml:space="preserve">      operations</t>
  </si>
  <si>
    <t>Other assets</t>
  </si>
  <si>
    <t>Cash provided by discontinued operations</t>
  </si>
  <si>
    <t xml:space="preserve">      Cash provided by discontinued</t>
  </si>
  <si>
    <t>Proceeds from sale of investment</t>
  </si>
  <si>
    <t>Net cash provided by operating</t>
  </si>
  <si>
    <t>Proceeds from notes receivable</t>
  </si>
  <si>
    <t>activities</t>
  </si>
  <si>
    <t xml:space="preserve">      Net cash provided by operating</t>
  </si>
  <si>
    <t>Net cash used in investing activities</t>
  </si>
  <si>
    <t xml:space="preserve">      activities</t>
  </si>
  <si>
    <t>Cash flows from financing activities:</t>
  </si>
  <si>
    <t>Cash dividends paid</t>
  </si>
  <si>
    <t>Payments on long-term debt and capital leases</t>
  </si>
  <si>
    <t>Advances on notes receivable</t>
  </si>
  <si>
    <t xml:space="preserve">  Proceeds from sale of assets</t>
  </si>
  <si>
    <t>Notes payable to banks, net</t>
  </si>
  <si>
    <t xml:space="preserve">  Proceeds from sale of discontinued</t>
  </si>
  <si>
    <t>Common stock issued under share-based compensation</t>
  </si>
  <si>
    <t>Purchase of marketable securities, net</t>
  </si>
  <si>
    <t xml:space="preserve">  operations</t>
  </si>
  <si>
    <t>plans</t>
  </si>
  <si>
    <t>Excess tax benefit from exercise of share-based</t>
  </si>
  <si>
    <t xml:space="preserve">    Cash provided by (used in) continuing</t>
  </si>
  <si>
    <t>compensation awards</t>
  </si>
  <si>
    <t>Proceeds from sale of discontinued</t>
  </si>
  <si>
    <t>Net cash used in financing activities</t>
  </si>
  <si>
    <t>operations</t>
  </si>
  <si>
    <t xml:space="preserve">    Cash provided by (used in) discontinued</t>
  </si>
  <si>
    <t>Effect of exchange rate changes</t>
  </si>
  <si>
    <t>Cash used in continuing operations</t>
  </si>
  <si>
    <t>Change in cash and cash equivalents</t>
  </si>
  <si>
    <t>Cash used in discontinued operations</t>
  </si>
  <si>
    <t xml:space="preserve">    Net cash provided by (used in)</t>
  </si>
  <si>
    <t>Cash and cash equivalents at beginning of year</t>
  </si>
  <si>
    <t xml:space="preserve">    investing activities</t>
  </si>
  <si>
    <t>Cash and cash equivalents at end of period</t>
  </si>
  <si>
    <t>Supplemental disclosure of noncash information:</t>
  </si>
  <si>
    <t>Payments on long-term debt</t>
  </si>
  <si>
    <t xml:space="preserve">  Payments on long-term debt</t>
  </si>
  <si>
    <t xml:space="preserve">  Proceeds from long-term debt</t>
  </si>
  <si>
    <t>Repurchase of common stock</t>
  </si>
  <si>
    <t xml:space="preserve">  Notes payable to banks, net</t>
  </si>
  <si>
    <t>Common stock issued under stock option</t>
  </si>
  <si>
    <t xml:space="preserve">  Redemption of convertible preferred stock</t>
  </si>
  <si>
    <t>plan</t>
  </si>
  <si>
    <t xml:space="preserve">  and minority interest</t>
  </si>
  <si>
    <t xml:space="preserve">  Repurchase of common stock</t>
  </si>
  <si>
    <t xml:space="preserve">  Cash dividends paid</t>
  </si>
  <si>
    <t>Cash and cash equivalents at beginning</t>
  </si>
  <si>
    <t>of year</t>
  </si>
  <si>
    <t>Cash and cash equivalents at beginning of</t>
  </si>
  <si>
    <t>Cash and cash equivalents at end of year</t>
  </si>
  <si>
    <t>year</t>
  </si>
  <si>
    <t>Supplemental disclosure of cash flow information:</t>
  </si>
  <si>
    <t xml:space="preserve">  Cash paid during the year for:</t>
  </si>
  <si>
    <t xml:space="preserve">  Receivable from capital lease</t>
  </si>
  <si>
    <t xml:space="preserve">  Receivables received upon sale of assets</t>
  </si>
  <si>
    <t xml:space="preserve">  Conversion of convertible preferred stock</t>
  </si>
  <si>
    <t xml:space="preserve">  to common stock</t>
  </si>
  <si>
    <t>CASCADE CORP 10-K 2006-01-31: Income Statement</t>
  </si>
  <si>
    <t>Net sales</t>
  </si>
  <si>
    <t>Cost of goods sold</t>
  </si>
  <si>
    <t>Gross profit</t>
  </si>
  <si>
    <t>Selling and administrative expenses</t>
  </si>
  <si>
    <t>Amortization</t>
  </si>
  <si>
    <t>Insurance litigation recovery</t>
  </si>
  <si>
    <t>Environmental expenses</t>
  </si>
  <si>
    <t>Operating income</t>
  </si>
  <si>
    <t>Interest expense</t>
  </si>
  <si>
    <t>Interest income</t>
  </si>
  <si>
    <t>Other (income) expense, net</t>
  </si>
  <si>
    <t>Income before provision for income taxes</t>
  </si>
  <si>
    <t>Dividends paid on preferred shares of subsidiary</t>
  </si>
  <si>
    <t>Net income applicable to common shareholders</t>
  </si>
  <si>
    <t>Basic earnings per share</t>
  </si>
  <si>
    <t>Diluted earnings per share</t>
  </si>
  <si>
    <t>Basic weighted average shares outstanding</t>
  </si>
  <si>
    <t>Diluted weighted average shares outstanding</t>
  </si>
  <si>
    <t>CASCADE CORP 10-K 2006-01-31: Balance Sheet</t>
  </si>
  <si>
    <t xml:space="preserve">                          ASSETS</t>
  </si>
  <si>
    <t>Current assets:</t>
  </si>
  <si>
    <t>Marketable securities</t>
  </si>
  <si>
    <t>Accounts receivable, less allowance for doubtful accounts</t>
  </si>
  <si>
    <t>of $1,415 and $2,182</t>
  </si>
  <si>
    <t>Total current assets</t>
  </si>
  <si>
    <t>Property, plant and equipment, net</t>
  </si>
  <si>
    <t>Total assets</t>
  </si>
  <si>
    <t xml:space="preserve">           LIABILITIES AND SHAREHOLDERS  EQUITY</t>
  </si>
  <si>
    <t>Current liabilities:</t>
  </si>
  <si>
    <t>Notes payable to banks</t>
  </si>
  <si>
    <t>Current portion of long-term debt</t>
  </si>
  <si>
    <t>Accounts payable</t>
  </si>
  <si>
    <t>Accrued payroll and payroll taxes</t>
  </si>
  <si>
    <t>Other accrued expenses</t>
  </si>
  <si>
    <t>Total current liabilities</t>
  </si>
  <si>
    <t>Long-term debt, net of current portion</t>
  </si>
  <si>
    <t>Total liabilities</t>
  </si>
  <si>
    <t>Commitments and contingencies (Note 13)</t>
  </si>
  <si>
    <t>Shareholders  equity:</t>
  </si>
  <si>
    <t>Common stock, $.50 par value, 20,000 authorized shares;</t>
  </si>
  <si>
    <t>12,536 and 12,224 shares issued and outstanding</t>
  </si>
  <si>
    <t>Additional paid-in capital</t>
  </si>
  <si>
    <t>Unamortized deferred compensation</t>
  </si>
  <si>
    <t>Accumulated other comprehensive income</t>
  </si>
  <si>
    <t>Total shareholders  equity</t>
  </si>
  <si>
    <t>Total liabilities and shareholders  equity</t>
  </si>
  <si>
    <t>Cascade tax rate</t>
  </si>
  <si>
    <t>Cascade Annual Dividends</t>
  </si>
  <si>
    <t>Note the divs are for the year ending 31jan of next</t>
  </si>
  <si>
    <t>Growth rate</t>
  </si>
  <si>
    <r>
      <t>CASCADE: 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BASED ON CASH FLOW TO EQUITY</t>
    </r>
  </si>
  <si>
    <t>Shares outstanding</t>
  </si>
  <si>
    <t>Share price, 31jan06</t>
  </si>
  <si>
    <t>Equity value, E</t>
  </si>
  <si>
    <t>2005 total equity payout</t>
  </si>
  <si>
    <t>Growth rate of payouts</t>
  </si>
  <si>
    <r>
      <t>Cost of equity,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/>
    </r>
  </si>
  <si>
    <t>Date</t>
  </si>
  <si>
    <t>Stock repurchases</t>
  </si>
  <si>
    <t>Stock issuance</t>
  </si>
  <si>
    <r>
      <t>COMPUTING THE COST OF DEBT  r</t>
    </r>
    <r>
      <rPr>
        <b/>
        <vertAlign val="subscript"/>
        <sz val="14"/>
        <rFont val="Arial"/>
        <family val="2"/>
      </rPr>
      <t>D</t>
    </r>
    <r>
      <rPr>
        <b/>
        <sz val="14"/>
        <rFont val="Arial"/>
        <family val="2"/>
      </rPr>
      <t xml:space="preserve"> FOR CASCADE</t>
    </r>
  </si>
  <si>
    <t>Notes payable to banks</t>
    <phoneticPr fontId="8" type="noConversion"/>
  </si>
  <si>
    <t>Current portion of long-term debt</t>
    <phoneticPr fontId="8" type="noConversion"/>
  </si>
  <si>
    <t>Long-term debt, net of current portion</t>
    <phoneticPr fontId="8" type="noConversion"/>
  </si>
  <si>
    <t>Total debt</t>
  </si>
  <si>
    <t>Interest cost</t>
  </si>
  <si>
    <t>Debt net of cash</t>
    <phoneticPr fontId="8" type="noConversion"/>
  </si>
  <si>
    <t>Debt net of cash and marketable securities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</si>
</sst>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\-mm\-dd"/>
    <numFmt numFmtId="177" formatCode="yyyy/mm/dd"/>
    <numFmt numFmtId="178" formatCode="&quot;$&quot;#,##0_);[Red]\(&quot;$&quot;#,##0\)"/>
    <numFmt numFmtId="179" formatCode="&quot;$&quot;#,##0.00_);[Red]\(&quot;$&quot;#,##0.00\)"/>
    <numFmt numFmtId="180" formatCode="_(* #,##0.00_);_(* \(#,##0.00\);_(* &quot;-&quot;??_);_(@_)"/>
    <numFmt numFmtId="181" formatCode="_(* #,##0_);_(* \(#,##0\);_(* &quot;-&quot;??_);_(@_)"/>
    <numFmt numFmtId="182" formatCode="m/d/yyyy;@"/>
  </numFmts>
  <fonts count="9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  <charset val="177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vertAlign val="subscript"/>
      <sz val="14"/>
      <name val="Arial"/>
      <family val="2"/>
    </font>
    <font>
      <sz val="8"/>
      <name val="Arial"/>
      <family val="2"/>
      <charset val="177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80" fontId="1" fillId="0" borderId="0" applyFont="0" applyFill="0" applyBorder="0" applyAlignment="0" applyProtection="0"/>
  </cellStyleXfs>
  <cellXfs count="37">
    <xf numFmtId="0" fontId="0" fillId="0" borderId="0" xfId="0"/>
    <xf numFmtId="176" fontId="0" fillId="0" borderId="0" xfId="0" applyNumberFormat="1"/>
    <xf numFmtId="2" fontId="0" fillId="0" borderId="0" xfId="0" applyNumberFormat="1"/>
    <xf numFmtId="0" fontId="3" fillId="0" borderId="0" xfId="2"/>
    <xf numFmtId="177" fontId="3" fillId="0" borderId="0" xfId="2" applyNumberFormat="1" applyAlignment="1">
      <alignment horizontal="center"/>
    </xf>
    <xf numFmtId="178" fontId="3" fillId="0" borderId="0" xfId="2" applyNumberFormat="1"/>
    <xf numFmtId="10" fontId="3" fillId="0" borderId="0" xfId="1" applyNumberFormat="1" applyFont="1"/>
    <xf numFmtId="3" fontId="3" fillId="0" borderId="0" xfId="2" applyNumberFormat="1"/>
    <xf numFmtId="0" fontId="5" fillId="0" borderId="0" xfId="2" applyFont="1"/>
    <xf numFmtId="0" fontId="6" fillId="0" borderId="0" xfId="3" applyFont="1"/>
    <xf numFmtId="0" fontId="3" fillId="0" borderId="0" xfId="3"/>
    <xf numFmtId="177" fontId="3" fillId="0" borderId="0" xfId="3" applyNumberFormat="1" applyAlignment="1">
      <alignment horizontal="center"/>
    </xf>
    <xf numFmtId="178" fontId="3" fillId="0" borderId="0" xfId="3" applyNumberFormat="1"/>
    <xf numFmtId="3" fontId="3" fillId="0" borderId="0" xfId="3" applyNumberFormat="1"/>
    <xf numFmtId="179" fontId="3" fillId="0" borderId="0" xfId="3" applyNumberFormat="1"/>
    <xf numFmtId="0" fontId="6" fillId="0" borderId="0" xfId="4" applyFont="1"/>
    <xf numFmtId="0" fontId="3" fillId="0" borderId="0" xfId="4"/>
    <xf numFmtId="177" fontId="3" fillId="0" borderId="0" xfId="4" applyNumberFormat="1" applyAlignment="1">
      <alignment horizontal="center"/>
    </xf>
    <xf numFmtId="178" fontId="3" fillId="0" borderId="0" xfId="4" applyNumberFormat="1"/>
    <xf numFmtId="0" fontId="5" fillId="0" borderId="0" xfId="4" applyFont="1"/>
    <xf numFmtId="0" fontId="6" fillId="0" borderId="0" xfId="4" applyFont="1" applyAlignment="1">
      <alignment horizontal="center"/>
    </xf>
    <xf numFmtId="0" fontId="6" fillId="0" borderId="0" xfId="4" applyFont="1" applyAlignment="1">
      <alignment horizontal="center" vertical="center" wrapText="1"/>
    </xf>
    <xf numFmtId="3" fontId="3" fillId="0" borderId="0" xfId="4" applyNumberFormat="1"/>
    <xf numFmtId="181" fontId="1" fillId="0" borderId="0" xfId="5" applyNumberFormat="1"/>
    <xf numFmtId="10" fontId="1" fillId="0" borderId="0" xfId="5" applyNumberFormat="1"/>
    <xf numFmtId="0" fontId="3" fillId="2" borderId="0" xfId="4" applyFill="1" applyAlignment="1">
      <alignment wrapText="1"/>
    </xf>
    <xf numFmtId="10" fontId="1" fillId="2" borderId="0" xfId="1" applyNumberFormat="1" applyFill="1"/>
    <xf numFmtId="0" fontId="5" fillId="0" borderId="0" xfId="4" applyFont="1" applyAlignment="1">
      <alignment horizontal="center"/>
    </xf>
    <xf numFmtId="0" fontId="5" fillId="0" borderId="0" xfId="4" applyFont="1" applyAlignment="1">
      <alignment horizontal="center" vertical="center" wrapText="1"/>
    </xf>
    <xf numFmtId="0" fontId="5" fillId="0" borderId="0" xfId="4" applyFont="1" applyAlignment="1">
      <alignment vertical="center" wrapText="1"/>
    </xf>
    <xf numFmtId="182" fontId="3" fillId="0" borderId="0" xfId="4" applyNumberFormat="1" applyAlignment="1">
      <alignment horizontal="center"/>
    </xf>
    <xf numFmtId="38" fontId="3" fillId="0" borderId="0" xfId="4" applyNumberFormat="1"/>
    <xf numFmtId="0" fontId="3" fillId="2" borderId="0" xfId="4" applyFill="1" applyAlignment="1">
      <alignment horizontal="center"/>
    </xf>
    <xf numFmtId="10" fontId="3" fillId="2" borderId="0" xfId="1" applyNumberFormat="1" applyFont="1" applyFill="1"/>
    <xf numFmtId="3" fontId="3" fillId="0" borderId="0" xfId="4" applyNumberFormat="1" applyAlignment="1">
      <alignment horizontal="right"/>
    </xf>
    <xf numFmtId="0" fontId="3" fillId="2" borderId="0" xfId="4" applyFill="1"/>
    <xf numFmtId="3" fontId="3" fillId="2" borderId="0" xfId="4" applyNumberFormat="1" applyFill="1" applyAlignment="1">
      <alignment horizontal="right"/>
    </xf>
  </cellXfs>
  <cellStyles count="6">
    <cellStyle name="Normal_Cascade Corp" xfId="4" xr:uid="{C606347D-0B1A-48BF-947E-54A49F27DF55}"/>
    <cellStyle name="Normal_Kraft" xfId="2" xr:uid="{95BE5329-642E-4F17-9187-A8C5F7CCAB43}"/>
    <cellStyle name="Normal_Tyson" xfId="3" xr:uid="{7839179F-5581-40FF-A4B1-4916F0B49225}"/>
    <cellStyle name="百分比" xfId="1" builtinId="5"/>
    <cellStyle name="常规" xfId="0" builtinId="0"/>
    <cellStyle name="千位分隔 2" xfId="5" xr:uid="{2F5F8E95-663C-4931-BA91-E1568FE2EA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175</xdr:row>
      <xdr:rowOff>0</xdr:rowOff>
    </xdr:from>
    <xdr:to>
      <xdr:col>9</xdr:col>
      <xdr:colOff>0</xdr:colOff>
      <xdr:row>224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A826F3-E0D7-4971-B9B0-DD5B404BD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032325"/>
          <a:ext cx="11325225" cy="840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>
        <row r="11">
          <cell r="B11">
            <v>2741000</v>
          </cell>
          <cell r="C11">
            <v>3570000</v>
          </cell>
        </row>
        <row r="12">
          <cell r="B12">
            <v>-979000</v>
          </cell>
          <cell r="C12">
            <v>-562000</v>
          </cell>
        </row>
        <row r="30">
          <cell r="B30">
            <v>35493000</v>
          </cell>
          <cell r="C30">
            <v>30482000</v>
          </cell>
        </row>
        <row r="31">
          <cell r="B31">
            <v>23004000</v>
          </cell>
          <cell r="C31">
            <v>1503000</v>
          </cell>
        </row>
      </sheetData>
      <sheetData sheetId="9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45DD9-D0E0-4325-8089-843BA034D1CD}">
  <sheetPr codeName="Sheet33"/>
  <dimension ref="A1:D20"/>
  <sheetViews>
    <sheetView workbookViewId="0">
      <selection activeCell="B36" sqref="B36"/>
    </sheetView>
  </sheetViews>
  <sheetFormatPr defaultColWidth="9.109375" defaultRowHeight="13.2" x14ac:dyDescent="0.25"/>
  <cols>
    <col min="1" max="1" width="37.33203125" style="16" bestFit="1" customWidth="1"/>
    <col min="2" max="2" width="17" style="16" customWidth="1"/>
    <col min="3" max="3" width="16.33203125" style="16" customWidth="1"/>
    <col min="4" max="4" width="27.44140625" style="16" bestFit="1" customWidth="1"/>
    <col min="5" max="256" width="9.109375" style="16"/>
    <col min="257" max="257" width="37.33203125" style="16" bestFit="1" customWidth="1"/>
    <col min="258" max="258" width="17" style="16" customWidth="1"/>
    <col min="259" max="259" width="16.33203125" style="16" customWidth="1"/>
    <col min="260" max="260" width="27.44140625" style="16" bestFit="1" customWidth="1"/>
    <col min="261" max="512" width="9.109375" style="16"/>
    <col min="513" max="513" width="37.33203125" style="16" bestFit="1" customWidth="1"/>
    <col min="514" max="514" width="17" style="16" customWidth="1"/>
    <col min="515" max="515" width="16.33203125" style="16" customWidth="1"/>
    <col min="516" max="516" width="27.44140625" style="16" bestFit="1" customWidth="1"/>
    <col min="517" max="768" width="9.109375" style="16"/>
    <col min="769" max="769" width="37.33203125" style="16" bestFit="1" customWidth="1"/>
    <col min="770" max="770" width="17" style="16" customWidth="1"/>
    <col min="771" max="771" width="16.33203125" style="16" customWidth="1"/>
    <col min="772" max="772" width="27.44140625" style="16" bestFit="1" customWidth="1"/>
    <col min="773" max="1024" width="9.109375" style="16"/>
    <col min="1025" max="1025" width="37.33203125" style="16" bestFit="1" customWidth="1"/>
    <col min="1026" max="1026" width="17" style="16" customWidth="1"/>
    <col min="1027" max="1027" width="16.33203125" style="16" customWidth="1"/>
    <col min="1028" max="1028" width="27.44140625" style="16" bestFit="1" customWidth="1"/>
    <col min="1029" max="1280" width="9.109375" style="16"/>
    <col min="1281" max="1281" width="37.33203125" style="16" bestFit="1" customWidth="1"/>
    <col min="1282" max="1282" width="17" style="16" customWidth="1"/>
    <col min="1283" max="1283" width="16.33203125" style="16" customWidth="1"/>
    <col min="1284" max="1284" width="27.44140625" style="16" bestFit="1" customWidth="1"/>
    <col min="1285" max="1536" width="9.109375" style="16"/>
    <col min="1537" max="1537" width="37.33203125" style="16" bestFit="1" customWidth="1"/>
    <col min="1538" max="1538" width="17" style="16" customWidth="1"/>
    <col min="1539" max="1539" width="16.33203125" style="16" customWidth="1"/>
    <col min="1540" max="1540" width="27.44140625" style="16" bestFit="1" customWidth="1"/>
    <col min="1541" max="1792" width="9.109375" style="16"/>
    <col min="1793" max="1793" width="37.33203125" style="16" bestFit="1" customWidth="1"/>
    <col min="1794" max="1794" width="17" style="16" customWidth="1"/>
    <col min="1795" max="1795" width="16.33203125" style="16" customWidth="1"/>
    <col min="1796" max="1796" width="27.44140625" style="16" bestFit="1" customWidth="1"/>
    <col min="1797" max="2048" width="9.109375" style="16"/>
    <col min="2049" max="2049" width="37.33203125" style="16" bestFit="1" customWidth="1"/>
    <col min="2050" max="2050" width="17" style="16" customWidth="1"/>
    <col min="2051" max="2051" width="16.33203125" style="16" customWidth="1"/>
    <col min="2052" max="2052" width="27.44140625" style="16" bestFit="1" customWidth="1"/>
    <col min="2053" max="2304" width="9.109375" style="16"/>
    <col min="2305" max="2305" width="37.33203125" style="16" bestFit="1" customWidth="1"/>
    <col min="2306" max="2306" width="17" style="16" customWidth="1"/>
    <col min="2307" max="2307" width="16.33203125" style="16" customWidth="1"/>
    <col min="2308" max="2308" width="27.44140625" style="16" bestFit="1" customWidth="1"/>
    <col min="2309" max="2560" width="9.109375" style="16"/>
    <col min="2561" max="2561" width="37.33203125" style="16" bestFit="1" customWidth="1"/>
    <col min="2562" max="2562" width="17" style="16" customWidth="1"/>
    <col min="2563" max="2563" width="16.33203125" style="16" customWidth="1"/>
    <col min="2564" max="2564" width="27.44140625" style="16" bestFit="1" customWidth="1"/>
    <col min="2565" max="2816" width="9.109375" style="16"/>
    <col min="2817" max="2817" width="37.33203125" style="16" bestFit="1" customWidth="1"/>
    <col min="2818" max="2818" width="17" style="16" customWidth="1"/>
    <col min="2819" max="2819" width="16.33203125" style="16" customWidth="1"/>
    <col min="2820" max="2820" width="27.44140625" style="16" bestFit="1" customWidth="1"/>
    <col min="2821" max="3072" width="9.109375" style="16"/>
    <col min="3073" max="3073" width="37.33203125" style="16" bestFit="1" customWidth="1"/>
    <col min="3074" max="3074" width="17" style="16" customWidth="1"/>
    <col min="3075" max="3075" width="16.33203125" style="16" customWidth="1"/>
    <col min="3076" max="3076" width="27.44140625" style="16" bestFit="1" customWidth="1"/>
    <col min="3077" max="3328" width="9.109375" style="16"/>
    <col min="3329" max="3329" width="37.33203125" style="16" bestFit="1" customWidth="1"/>
    <col min="3330" max="3330" width="17" style="16" customWidth="1"/>
    <col min="3331" max="3331" width="16.33203125" style="16" customWidth="1"/>
    <col min="3332" max="3332" width="27.44140625" style="16" bestFit="1" customWidth="1"/>
    <col min="3333" max="3584" width="9.109375" style="16"/>
    <col min="3585" max="3585" width="37.33203125" style="16" bestFit="1" customWidth="1"/>
    <col min="3586" max="3586" width="17" style="16" customWidth="1"/>
    <col min="3587" max="3587" width="16.33203125" style="16" customWidth="1"/>
    <col min="3588" max="3588" width="27.44140625" style="16" bestFit="1" customWidth="1"/>
    <col min="3589" max="3840" width="9.109375" style="16"/>
    <col min="3841" max="3841" width="37.33203125" style="16" bestFit="1" customWidth="1"/>
    <col min="3842" max="3842" width="17" style="16" customWidth="1"/>
    <col min="3843" max="3843" width="16.33203125" style="16" customWidth="1"/>
    <col min="3844" max="3844" width="27.44140625" style="16" bestFit="1" customWidth="1"/>
    <col min="3845" max="4096" width="9.109375" style="16"/>
    <col min="4097" max="4097" width="37.33203125" style="16" bestFit="1" customWidth="1"/>
    <col min="4098" max="4098" width="17" style="16" customWidth="1"/>
    <col min="4099" max="4099" width="16.33203125" style="16" customWidth="1"/>
    <col min="4100" max="4100" width="27.44140625" style="16" bestFit="1" customWidth="1"/>
    <col min="4101" max="4352" width="9.109375" style="16"/>
    <col min="4353" max="4353" width="37.33203125" style="16" bestFit="1" customWidth="1"/>
    <col min="4354" max="4354" width="17" style="16" customWidth="1"/>
    <col min="4355" max="4355" width="16.33203125" style="16" customWidth="1"/>
    <col min="4356" max="4356" width="27.44140625" style="16" bestFit="1" customWidth="1"/>
    <col min="4357" max="4608" width="9.109375" style="16"/>
    <col min="4609" max="4609" width="37.33203125" style="16" bestFit="1" customWidth="1"/>
    <col min="4610" max="4610" width="17" style="16" customWidth="1"/>
    <col min="4611" max="4611" width="16.33203125" style="16" customWidth="1"/>
    <col min="4612" max="4612" width="27.44140625" style="16" bestFit="1" customWidth="1"/>
    <col min="4613" max="4864" width="9.109375" style="16"/>
    <col min="4865" max="4865" width="37.33203125" style="16" bestFit="1" customWidth="1"/>
    <col min="4866" max="4866" width="17" style="16" customWidth="1"/>
    <col min="4867" max="4867" width="16.33203125" style="16" customWidth="1"/>
    <col min="4868" max="4868" width="27.44140625" style="16" bestFit="1" customWidth="1"/>
    <col min="4869" max="5120" width="9.109375" style="16"/>
    <col min="5121" max="5121" width="37.33203125" style="16" bestFit="1" customWidth="1"/>
    <col min="5122" max="5122" width="17" style="16" customWidth="1"/>
    <col min="5123" max="5123" width="16.33203125" style="16" customWidth="1"/>
    <col min="5124" max="5124" width="27.44140625" style="16" bestFit="1" customWidth="1"/>
    <col min="5125" max="5376" width="9.109375" style="16"/>
    <col min="5377" max="5377" width="37.33203125" style="16" bestFit="1" customWidth="1"/>
    <col min="5378" max="5378" width="17" style="16" customWidth="1"/>
    <col min="5379" max="5379" width="16.33203125" style="16" customWidth="1"/>
    <col min="5380" max="5380" width="27.44140625" style="16" bestFit="1" customWidth="1"/>
    <col min="5381" max="5632" width="9.109375" style="16"/>
    <col min="5633" max="5633" width="37.33203125" style="16" bestFit="1" customWidth="1"/>
    <col min="5634" max="5634" width="17" style="16" customWidth="1"/>
    <col min="5635" max="5635" width="16.33203125" style="16" customWidth="1"/>
    <col min="5636" max="5636" width="27.44140625" style="16" bestFit="1" customWidth="1"/>
    <col min="5637" max="5888" width="9.109375" style="16"/>
    <col min="5889" max="5889" width="37.33203125" style="16" bestFit="1" customWidth="1"/>
    <col min="5890" max="5890" width="17" style="16" customWidth="1"/>
    <col min="5891" max="5891" width="16.33203125" style="16" customWidth="1"/>
    <col min="5892" max="5892" width="27.44140625" style="16" bestFit="1" customWidth="1"/>
    <col min="5893" max="6144" width="9.109375" style="16"/>
    <col min="6145" max="6145" width="37.33203125" style="16" bestFit="1" customWidth="1"/>
    <col min="6146" max="6146" width="17" style="16" customWidth="1"/>
    <col min="6147" max="6147" width="16.33203125" style="16" customWidth="1"/>
    <col min="6148" max="6148" width="27.44140625" style="16" bestFit="1" customWidth="1"/>
    <col min="6149" max="6400" width="9.109375" style="16"/>
    <col min="6401" max="6401" width="37.33203125" style="16" bestFit="1" customWidth="1"/>
    <col min="6402" max="6402" width="17" style="16" customWidth="1"/>
    <col min="6403" max="6403" width="16.33203125" style="16" customWidth="1"/>
    <col min="6404" max="6404" width="27.44140625" style="16" bestFit="1" customWidth="1"/>
    <col min="6405" max="6656" width="9.109375" style="16"/>
    <col min="6657" max="6657" width="37.33203125" style="16" bestFit="1" customWidth="1"/>
    <col min="6658" max="6658" width="17" style="16" customWidth="1"/>
    <col min="6659" max="6659" width="16.33203125" style="16" customWidth="1"/>
    <col min="6660" max="6660" width="27.44140625" style="16" bestFit="1" customWidth="1"/>
    <col min="6661" max="6912" width="9.109375" style="16"/>
    <col min="6913" max="6913" width="37.33203125" style="16" bestFit="1" customWidth="1"/>
    <col min="6914" max="6914" width="17" style="16" customWidth="1"/>
    <col min="6915" max="6915" width="16.33203125" style="16" customWidth="1"/>
    <col min="6916" max="6916" width="27.44140625" style="16" bestFit="1" customWidth="1"/>
    <col min="6917" max="7168" width="9.109375" style="16"/>
    <col min="7169" max="7169" width="37.33203125" style="16" bestFit="1" customWidth="1"/>
    <col min="7170" max="7170" width="17" style="16" customWidth="1"/>
    <col min="7171" max="7171" width="16.33203125" style="16" customWidth="1"/>
    <col min="7172" max="7172" width="27.44140625" style="16" bestFit="1" customWidth="1"/>
    <col min="7173" max="7424" width="9.109375" style="16"/>
    <col min="7425" max="7425" width="37.33203125" style="16" bestFit="1" customWidth="1"/>
    <col min="7426" max="7426" width="17" style="16" customWidth="1"/>
    <col min="7427" max="7427" width="16.33203125" style="16" customWidth="1"/>
    <col min="7428" max="7428" width="27.44140625" style="16" bestFit="1" customWidth="1"/>
    <col min="7429" max="7680" width="9.109375" style="16"/>
    <col min="7681" max="7681" width="37.33203125" style="16" bestFit="1" customWidth="1"/>
    <col min="7682" max="7682" width="17" style="16" customWidth="1"/>
    <col min="7683" max="7683" width="16.33203125" style="16" customWidth="1"/>
    <col min="7684" max="7684" width="27.44140625" style="16" bestFit="1" customWidth="1"/>
    <col min="7685" max="7936" width="9.109375" style="16"/>
    <col min="7937" max="7937" width="37.33203125" style="16" bestFit="1" customWidth="1"/>
    <col min="7938" max="7938" width="17" style="16" customWidth="1"/>
    <col min="7939" max="7939" width="16.33203125" style="16" customWidth="1"/>
    <col min="7940" max="7940" width="27.44140625" style="16" bestFit="1" customWidth="1"/>
    <col min="7941" max="8192" width="9.109375" style="16"/>
    <col min="8193" max="8193" width="37.33203125" style="16" bestFit="1" customWidth="1"/>
    <col min="8194" max="8194" width="17" style="16" customWidth="1"/>
    <col min="8195" max="8195" width="16.33203125" style="16" customWidth="1"/>
    <col min="8196" max="8196" width="27.44140625" style="16" bestFit="1" customWidth="1"/>
    <col min="8197" max="8448" width="9.109375" style="16"/>
    <col min="8449" max="8449" width="37.33203125" style="16" bestFit="1" customWidth="1"/>
    <col min="8450" max="8450" width="17" style="16" customWidth="1"/>
    <col min="8451" max="8451" width="16.33203125" style="16" customWidth="1"/>
    <col min="8452" max="8452" width="27.44140625" style="16" bestFit="1" customWidth="1"/>
    <col min="8453" max="8704" width="9.109375" style="16"/>
    <col min="8705" max="8705" width="37.33203125" style="16" bestFit="1" customWidth="1"/>
    <col min="8706" max="8706" width="17" style="16" customWidth="1"/>
    <col min="8707" max="8707" width="16.33203125" style="16" customWidth="1"/>
    <col min="8708" max="8708" width="27.44140625" style="16" bestFit="1" customWidth="1"/>
    <col min="8709" max="8960" width="9.109375" style="16"/>
    <col min="8961" max="8961" width="37.33203125" style="16" bestFit="1" customWidth="1"/>
    <col min="8962" max="8962" width="17" style="16" customWidth="1"/>
    <col min="8963" max="8963" width="16.33203125" style="16" customWidth="1"/>
    <col min="8964" max="8964" width="27.44140625" style="16" bestFit="1" customWidth="1"/>
    <col min="8965" max="9216" width="9.109375" style="16"/>
    <col min="9217" max="9217" width="37.33203125" style="16" bestFit="1" customWidth="1"/>
    <col min="9218" max="9218" width="17" style="16" customWidth="1"/>
    <col min="9219" max="9219" width="16.33203125" style="16" customWidth="1"/>
    <col min="9220" max="9220" width="27.44140625" style="16" bestFit="1" customWidth="1"/>
    <col min="9221" max="9472" width="9.109375" style="16"/>
    <col min="9473" max="9473" width="37.33203125" style="16" bestFit="1" customWidth="1"/>
    <col min="9474" max="9474" width="17" style="16" customWidth="1"/>
    <col min="9475" max="9475" width="16.33203125" style="16" customWidth="1"/>
    <col min="9476" max="9476" width="27.44140625" style="16" bestFit="1" customWidth="1"/>
    <col min="9477" max="9728" width="9.109375" style="16"/>
    <col min="9729" max="9729" width="37.33203125" style="16" bestFit="1" customWidth="1"/>
    <col min="9730" max="9730" width="17" style="16" customWidth="1"/>
    <col min="9731" max="9731" width="16.33203125" style="16" customWidth="1"/>
    <col min="9732" max="9732" width="27.44140625" style="16" bestFit="1" customWidth="1"/>
    <col min="9733" max="9984" width="9.109375" style="16"/>
    <col min="9985" max="9985" width="37.33203125" style="16" bestFit="1" customWidth="1"/>
    <col min="9986" max="9986" width="17" style="16" customWidth="1"/>
    <col min="9987" max="9987" width="16.33203125" style="16" customWidth="1"/>
    <col min="9988" max="9988" width="27.44140625" style="16" bestFit="1" customWidth="1"/>
    <col min="9989" max="10240" width="9.109375" style="16"/>
    <col min="10241" max="10241" width="37.33203125" style="16" bestFit="1" customWidth="1"/>
    <col min="10242" max="10242" width="17" style="16" customWidth="1"/>
    <col min="10243" max="10243" width="16.33203125" style="16" customWidth="1"/>
    <col min="10244" max="10244" width="27.44140625" style="16" bestFit="1" customWidth="1"/>
    <col min="10245" max="10496" width="9.109375" style="16"/>
    <col min="10497" max="10497" width="37.33203125" style="16" bestFit="1" customWidth="1"/>
    <col min="10498" max="10498" width="17" style="16" customWidth="1"/>
    <col min="10499" max="10499" width="16.33203125" style="16" customWidth="1"/>
    <col min="10500" max="10500" width="27.44140625" style="16" bestFit="1" customWidth="1"/>
    <col min="10501" max="10752" width="9.109375" style="16"/>
    <col min="10753" max="10753" width="37.33203125" style="16" bestFit="1" customWidth="1"/>
    <col min="10754" max="10754" width="17" style="16" customWidth="1"/>
    <col min="10755" max="10755" width="16.33203125" style="16" customWidth="1"/>
    <col min="10756" max="10756" width="27.44140625" style="16" bestFit="1" customWidth="1"/>
    <col min="10757" max="11008" width="9.109375" style="16"/>
    <col min="11009" max="11009" width="37.33203125" style="16" bestFit="1" customWidth="1"/>
    <col min="11010" max="11010" width="17" style="16" customWidth="1"/>
    <col min="11011" max="11011" width="16.33203125" style="16" customWidth="1"/>
    <col min="11012" max="11012" width="27.44140625" style="16" bestFit="1" customWidth="1"/>
    <col min="11013" max="11264" width="9.109375" style="16"/>
    <col min="11265" max="11265" width="37.33203125" style="16" bestFit="1" customWidth="1"/>
    <col min="11266" max="11266" width="17" style="16" customWidth="1"/>
    <col min="11267" max="11267" width="16.33203125" style="16" customWidth="1"/>
    <col min="11268" max="11268" width="27.44140625" style="16" bestFit="1" customWidth="1"/>
    <col min="11269" max="11520" width="9.109375" style="16"/>
    <col min="11521" max="11521" width="37.33203125" style="16" bestFit="1" customWidth="1"/>
    <col min="11522" max="11522" width="17" style="16" customWidth="1"/>
    <col min="11523" max="11523" width="16.33203125" style="16" customWidth="1"/>
    <col min="11524" max="11524" width="27.44140625" style="16" bestFit="1" customWidth="1"/>
    <col min="11525" max="11776" width="9.109375" style="16"/>
    <col min="11777" max="11777" width="37.33203125" style="16" bestFit="1" customWidth="1"/>
    <col min="11778" max="11778" width="17" style="16" customWidth="1"/>
    <col min="11779" max="11779" width="16.33203125" style="16" customWidth="1"/>
    <col min="11780" max="11780" width="27.44140625" style="16" bestFit="1" customWidth="1"/>
    <col min="11781" max="12032" width="9.109375" style="16"/>
    <col min="12033" max="12033" width="37.33203125" style="16" bestFit="1" customWidth="1"/>
    <col min="12034" max="12034" width="17" style="16" customWidth="1"/>
    <col min="12035" max="12035" width="16.33203125" style="16" customWidth="1"/>
    <col min="12036" max="12036" width="27.44140625" style="16" bestFit="1" customWidth="1"/>
    <col min="12037" max="12288" width="9.109375" style="16"/>
    <col min="12289" max="12289" width="37.33203125" style="16" bestFit="1" customWidth="1"/>
    <col min="12290" max="12290" width="17" style="16" customWidth="1"/>
    <col min="12291" max="12291" width="16.33203125" style="16" customWidth="1"/>
    <col min="12292" max="12292" width="27.44140625" style="16" bestFit="1" customWidth="1"/>
    <col min="12293" max="12544" width="9.109375" style="16"/>
    <col min="12545" max="12545" width="37.33203125" style="16" bestFit="1" customWidth="1"/>
    <col min="12546" max="12546" width="17" style="16" customWidth="1"/>
    <col min="12547" max="12547" width="16.33203125" style="16" customWidth="1"/>
    <col min="12548" max="12548" width="27.44140625" style="16" bestFit="1" customWidth="1"/>
    <col min="12549" max="12800" width="9.109375" style="16"/>
    <col min="12801" max="12801" width="37.33203125" style="16" bestFit="1" customWidth="1"/>
    <col min="12802" max="12802" width="17" style="16" customWidth="1"/>
    <col min="12803" max="12803" width="16.33203125" style="16" customWidth="1"/>
    <col min="12804" max="12804" width="27.44140625" style="16" bestFit="1" customWidth="1"/>
    <col min="12805" max="13056" width="9.109375" style="16"/>
    <col min="13057" max="13057" width="37.33203125" style="16" bestFit="1" customWidth="1"/>
    <col min="13058" max="13058" width="17" style="16" customWidth="1"/>
    <col min="13059" max="13059" width="16.33203125" style="16" customWidth="1"/>
    <col min="13060" max="13060" width="27.44140625" style="16" bestFit="1" customWidth="1"/>
    <col min="13061" max="13312" width="9.109375" style="16"/>
    <col min="13313" max="13313" width="37.33203125" style="16" bestFit="1" customWidth="1"/>
    <col min="13314" max="13314" width="17" style="16" customWidth="1"/>
    <col min="13315" max="13315" width="16.33203125" style="16" customWidth="1"/>
    <col min="13316" max="13316" width="27.44140625" style="16" bestFit="1" customWidth="1"/>
    <col min="13317" max="13568" width="9.109375" style="16"/>
    <col min="13569" max="13569" width="37.33203125" style="16" bestFit="1" customWidth="1"/>
    <col min="13570" max="13570" width="17" style="16" customWidth="1"/>
    <col min="13571" max="13571" width="16.33203125" style="16" customWidth="1"/>
    <col min="13572" max="13572" width="27.44140625" style="16" bestFit="1" customWidth="1"/>
    <col min="13573" max="13824" width="9.109375" style="16"/>
    <col min="13825" max="13825" width="37.33203125" style="16" bestFit="1" customWidth="1"/>
    <col min="13826" max="13826" width="17" style="16" customWidth="1"/>
    <col min="13827" max="13827" width="16.33203125" style="16" customWidth="1"/>
    <col min="13828" max="13828" width="27.44140625" style="16" bestFit="1" customWidth="1"/>
    <col min="13829" max="14080" width="9.109375" style="16"/>
    <col min="14081" max="14081" width="37.33203125" style="16" bestFit="1" customWidth="1"/>
    <col min="14082" max="14082" width="17" style="16" customWidth="1"/>
    <col min="14083" max="14083" width="16.33203125" style="16" customWidth="1"/>
    <col min="14084" max="14084" width="27.44140625" style="16" bestFit="1" customWidth="1"/>
    <col min="14085" max="14336" width="9.109375" style="16"/>
    <col min="14337" max="14337" width="37.33203125" style="16" bestFit="1" customWidth="1"/>
    <col min="14338" max="14338" width="17" style="16" customWidth="1"/>
    <col min="14339" max="14339" width="16.33203125" style="16" customWidth="1"/>
    <col min="14340" max="14340" width="27.44140625" style="16" bestFit="1" customWidth="1"/>
    <col min="14341" max="14592" width="9.109375" style="16"/>
    <col min="14593" max="14593" width="37.33203125" style="16" bestFit="1" customWidth="1"/>
    <col min="14594" max="14594" width="17" style="16" customWidth="1"/>
    <col min="14595" max="14595" width="16.33203125" style="16" customWidth="1"/>
    <col min="14596" max="14596" width="27.44140625" style="16" bestFit="1" customWidth="1"/>
    <col min="14597" max="14848" width="9.109375" style="16"/>
    <col min="14849" max="14849" width="37.33203125" style="16" bestFit="1" customWidth="1"/>
    <col min="14850" max="14850" width="17" style="16" customWidth="1"/>
    <col min="14851" max="14851" width="16.33203125" style="16" customWidth="1"/>
    <col min="14852" max="14852" width="27.44140625" style="16" bestFit="1" customWidth="1"/>
    <col min="14853" max="15104" width="9.109375" style="16"/>
    <col min="15105" max="15105" width="37.33203125" style="16" bestFit="1" customWidth="1"/>
    <col min="15106" max="15106" width="17" style="16" customWidth="1"/>
    <col min="15107" max="15107" width="16.33203125" style="16" customWidth="1"/>
    <col min="15108" max="15108" width="27.44140625" style="16" bestFit="1" customWidth="1"/>
    <col min="15109" max="15360" width="9.109375" style="16"/>
    <col min="15361" max="15361" width="37.33203125" style="16" bestFit="1" customWidth="1"/>
    <col min="15362" max="15362" width="17" style="16" customWidth="1"/>
    <col min="15363" max="15363" width="16.33203125" style="16" customWidth="1"/>
    <col min="15364" max="15364" width="27.44140625" style="16" bestFit="1" customWidth="1"/>
    <col min="15365" max="15616" width="9.109375" style="16"/>
    <col min="15617" max="15617" width="37.33203125" style="16" bestFit="1" customWidth="1"/>
    <col min="15618" max="15618" width="17" style="16" customWidth="1"/>
    <col min="15619" max="15619" width="16.33203125" style="16" customWidth="1"/>
    <col min="15620" max="15620" width="27.44140625" style="16" bestFit="1" customWidth="1"/>
    <col min="15621" max="15872" width="9.109375" style="16"/>
    <col min="15873" max="15873" width="37.33203125" style="16" bestFit="1" customWidth="1"/>
    <col min="15874" max="15874" width="17" style="16" customWidth="1"/>
    <col min="15875" max="15875" width="16.33203125" style="16" customWidth="1"/>
    <col min="15876" max="15876" width="27.44140625" style="16" bestFit="1" customWidth="1"/>
    <col min="15877" max="16128" width="9.109375" style="16"/>
    <col min="16129" max="16129" width="37.33203125" style="16" bestFit="1" customWidth="1"/>
    <col min="16130" max="16130" width="17" style="16" customWidth="1"/>
    <col min="16131" max="16131" width="16.33203125" style="16" customWidth="1"/>
    <col min="16132" max="16132" width="27.44140625" style="16" bestFit="1" customWidth="1"/>
    <col min="16133" max="16384" width="9.109375" style="16"/>
  </cols>
  <sheetData>
    <row r="1" spans="1:4" ht="21" x14ac:dyDescent="0.45">
      <c r="A1" s="20" t="s">
        <v>498</v>
      </c>
      <c r="B1" s="20"/>
      <c r="C1" s="20"/>
      <c r="D1" s="20"/>
    </row>
    <row r="2" spans="1:4" x14ac:dyDescent="0.25">
      <c r="B2" s="17">
        <v>38748</v>
      </c>
      <c r="C2" s="17">
        <v>38383</v>
      </c>
    </row>
    <row r="3" spans="1:4" x14ac:dyDescent="0.25">
      <c r="A3" s="16" t="s">
        <v>267</v>
      </c>
      <c r="B3" s="34">
        <f>'[2]Cascade 10K'!B30</f>
        <v>35493000</v>
      </c>
      <c r="C3" s="34">
        <f>'[2]Cascade 10K'!C30</f>
        <v>30482000</v>
      </c>
    </row>
    <row r="4" spans="1:4" x14ac:dyDescent="0.25">
      <c r="A4" s="16" t="s">
        <v>459</v>
      </c>
      <c r="B4" s="34">
        <f>'[2]Cascade 10K'!B31</f>
        <v>23004000</v>
      </c>
      <c r="C4" s="34">
        <f>'[2]Cascade 10K'!C31</f>
        <v>1503000</v>
      </c>
    </row>
    <row r="5" spans="1:4" x14ac:dyDescent="0.25">
      <c r="B5" s="34"/>
      <c r="C5" s="34"/>
    </row>
    <row r="6" spans="1:4" x14ac:dyDescent="0.25">
      <c r="B6" s="34"/>
      <c r="C6" s="34"/>
    </row>
    <row r="7" spans="1:4" x14ac:dyDescent="0.25">
      <c r="A7" s="16" t="s">
        <v>499</v>
      </c>
      <c r="B7" s="34">
        <v>4741000</v>
      </c>
      <c r="C7" s="34">
        <v>2461000</v>
      </c>
    </row>
    <row r="8" spans="1:4" x14ac:dyDescent="0.25">
      <c r="A8" s="16" t="s">
        <v>500</v>
      </c>
      <c r="B8" s="34">
        <v>12681000</v>
      </c>
      <c r="C8" s="34">
        <v>12916000</v>
      </c>
    </row>
    <row r="9" spans="1:4" x14ac:dyDescent="0.25">
      <c r="A9" s="16" t="s">
        <v>501</v>
      </c>
      <c r="B9" s="34">
        <v>12500000</v>
      </c>
      <c r="C9" s="34">
        <v>25187000</v>
      </c>
    </row>
    <row r="10" spans="1:4" x14ac:dyDescent="0.25">
      <c r="A10" s="35" t="s">
        <v>502</v>
      </c>
      <c r="B10" s="36">
        <f>SUM(B7:B9)</f>
        <v>29922000</v>
      </c>
      <c r="C10" s="36">
        <f>SUM(C7:C9)</f>
        <v>40564000</v>
      </c>
    </row>
    <row r="11" spans="1:4" x14ac:dyDescent="0.25">
      <c r="B11" s="34"/>
      <c r="C11" s="34"/>
    </row>
    <row r="12" spans="1:4" x14ac:dyDescent="0.25">
      <c r="A12" s="16" t="s">
        <v>446</v>
      </c>
      <c r="B12" s="34">
        <f>'[2]Cascade 10K'!B11</f>
        <v>2741000</v>
      </c>
      <c r="C12" s="34">
        <f>'[2]Cascade 10K'!C11</f>
        <v>3570000</v>
      </c>
    </row>
    <row r="13" spans="1:4" x14ac:dyDescent="0.25">
      <c r="A13" s="16" t="s">
        <v>447</v>
      </c>
      <c r="B13" s="34">
        <f>-'[2]Cascade 10K'!B12</f>
        <v>979000</v>
      </c>
      <c r="C13" s="34">
        <f>-'[2]Cascade 10K'!C12</f>
        <v>562000</v>
      </c>
    </row>
    <row r="14" spans="1:4" x14ac:dyDescent="0.25">
      <c r="B14" s="34"/>
      <c r="C14" s="34"/>
    </row>
    <row r="15" spans="1:4" x14ac:dyDescent="0.25">
      <c r="A15" s="35" t="s">
        <v>503</v>
      </c>
      <c r="B15" s="33">
        <f>B12/AVERAGE(B10:C10)</f>
        <v>7.7774309792015439E-2</v>
      </c>
      <c r="C15" s="6" t="e">
        <f ca="1">getformula(B15)</f>
        <v>#NAME?</v>
      </c>
    </row>
    <row r="16" spans="1:4" x14ac:dyDescent="0.25">
      <c r="A16" s="16" t="s">
        <v>447</v>
      </c>
      <c r="B16" s="6">
        <f>B13/AVERAGE(B3:C3)</f>
        <v>2.9677908298597955E-2</v>
      </c>
      <c r="C16" s="6" t="e">
        <f ca="1">getformula(B16)</f>
        <v>#NAME?</v>
      </c>
    </row>
    <row r="17" spans="1:4" x14ac:dyDescent="0.25">
      <c r="B17" s="6"/>
      <c r="C17" s="6"/>
    </row>
    <row r="18" spans="1:4" x14ac:dyDescent="0.25">
      <c r="A18" s="16" t="s">
        <v>504</v>
      </c>
      <c r="B18" s="22">
        <f>B10-B3</f>
        <v>-5571000</v>
      </c>
      <c r="C18" s="22">
        <f>C10-C3</f>
        <v>10082000</v>
      </c>
      <c r="D18" s="16" t="e">
        <f ca="1">getformula(C18)</f>
        <v>#NAME?</v>
      </c>
    </row>
    <row r="19" spans="1:4" x14ac:dyDescent="0.25">
      <c r="A19" s="16" t="s">
        <v>505</v>
      </c>
      <c r="B19" s="22">
        <f>B10-SUM(B3:B4)</f>
        <v>-28575000</v>
      </c>
      <c r="C19" s="22">
        <f>C10-SUM(C3:C4)</f>
        <v>8579000</v>
      </c>
    </row>
    <row r="20" spans="1:4" x14ac:dyDescent="0.25">
      <c r="B20" s="6"/>
    </row>
  </sheetData>
  <mergeCells count="1">
    <mergeCell ref="A1:D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99015-DEA3-4505-A4DD-827910A0693F}">
  <sheetPr codeName="Sheet31"/>
  <dimension ref="A1:F17"/>
  <sheetViews>
    <sheetView workbookViewId="0">
      <selection activeCell="E23" sqref="E23"/>
    </sheetView>
  </sheetViews>
  <sheetFormatPr defaultColWidth="9.109375" defaultRowHeight="13.2" x14ac:dyDescent="0.25"/>
  <cols>
    <col min="1" max="1" width="26.6640625" style="16" customWidth="1"/>
    <col min="2" max="2" width="16" style="16" customWidth="1"/>
    <col min="3" max="3" width="14.33203125" style="16" customWidth="1"/>
    <col min="4" max="5" width="16.109375" style="16" customWidth="1"/>
    <col min="6" max="6" width="20.109375" style="16" bestFit="1" customWidth="1"/>
    <col min="7" max="256" width="9.109375" style="16"/>
    <col min="257" max="257" width="26.6640625" style="16" customWidth="1"/>
    <col min="258" max="258" width="16" style="16" customWidth="1"/>
    <col min="259" max="259" width="14.33203125" style="16" customWidth="1"/>
    <col min="260" max="261" width="16.109375" style="16" customWidth="1"/>
    <col min="262" max="262" width="20.109375" style="16" bestFit="1" customWidth="1"/>
    <col min="263" max="512" width="9.109375" style="16"/>
    <col min="513" max="513" width="26.6640625" style="16" customWidth="1"/>
    <col min="514" max="514" width="16" style="16" customWidth="1"/>
    <col min="515" max="515" width="14.33203125" style="16" customWidth="1"/>
    <col min="516" max="517" width="16.109375" style="16" customWidth="1"/>
    <col min="518" max="518" width="20.109375" style="16" bestFit="1" customWidth="1"/>
    <col min="519" max="768" width="9.109375" style="16"/>
    <col min="769" max="769" width="26.6640625" style="16" customWidth="1"/>
    <col min="770" max="770" width="16" style="16" customWidth="1"/>
    <col min="771" max="771" width="14.33203125" style="16" customWidth="1"/>
    <col min="772" max="773" width="16.109375" style="16" customWidth="1"/>
    <col min="774" max="774" width="20.109375" style="16" bestFit="1" customWidth="1"/>
    <col min="775" max="1024" width="9.109375" style="16"/>
    <col min="1025" max="1025" width="26.6640625" style="16" customWidth="1"/>
    <col min="1026" max="1026" width="16" style="16" customWidth="1"/>
    <col min="1027" max="1027" width="14.33203125" style="16" customWidth="1"/>
    <col min="1028" max="1029" width="16.109375" style="16" customWidth="1"/>
    <col min="1030" max="1030" width="20.109375" style="16" bestFit="1" customWidth="1"/>
    <col min="1031" max="1280" width="9.109375" style="16"/>
    <col min="1281" max="1281" width="26.6640625" style="16" customWidth="1"/>
    <col min="1282" max="1282" width="16" style="16" customWidth="1"/>
    <col min="1283" max="1283" width="14.33203125" style="16" customWidth="1"/>
    <col min="1284" max="1285" width="16.109375" style="16" customWidth="1"/>
    <col min="1286" max="1286" width="20.109375" style="16" bestFit="1" customWidth="1"/>
    <col min="1287" max="1536" width="9.109375" style="16"/>
    <col min="1537" max="1537" width="26.6640625" style="16" customWidth="1"/>
    <col min="1538" max="1538" width="16" style="16" customWidth="1"/>
    <col min="1539" max="1539" width="14.33203125" style="16" customWidth="1"/>
    <col min="1540" max="1541" width="16.109375" style="16" customWidth="1"/>
    <col min="1542" max="1542" width="20.109375" style="16" bestFit="1" customWidth="1"/>
    <col min="1543" max="1792" width="9.109375" style="16"/>
    <col min="1793" max="1793" width="26.6640625" style="16" customWidth="1"/>
    <col min="1794" max="1794" width="16" style="16" customWidth="1"/>
    <col min="1795" max="1795" width="14.33203125" style="16" customWidth="1"/>
    <col min="1796" max="1797" width="16.109375" style="16" customWidth="1"/>
    <col min="1798" max="1798" width="20.109375" style="16" bestFit="1" customWidth="1"/>
    <col min="1799" max="2048" width="9.109375" style="16"/>
    <col min="2049" max="2049" width="26.6640625" style="16" customWidth="1"/>
    <col min="2050" max="2050" width="16" style="16" customWidth="1"/>
    <col min="2051" max="2051" width="14.33203125" style="16" customWidth="1"/>
    <col min="2052" max="2053" width="16.109375" style="16" customWidth="1"/>
    <col min="2054" max="2054" width="20.109375" style="16" bestFit="1" customWidth="1"/>
    <col min="2055" max="2304" width="9.109375" style="16"/>
    <col min="2305" max="2305" width="26.6640625" style="16" customWidth="1"/>
    <col min="2306" max="2306" width="16" style="16" customWidth="1"/>
    <col min="2307" max="2307" width="14.33203125" style="16" customWidth="1"/>
    <col min="2308" max="2309" width="16.109375" style="16" customWidth="1"/>
    <col min="2310" max="2310" width="20.109375" style="16" bestFit="1" customWidth="1"/>
    <col min="2311" max="2560" width="9.109375" style="16"/>
    <col min="2561" max="2561" width="26.6640625" style="16" customWidth="1"/>
    <col min="2562" max="2562" width="16" style="16" customWidth="1"/>
    <col min="2563" max="2563" width="14.33203125" style="16" customWidth="1"/>
    <col min="2564" max="2565" width="16.109375" style="16" customWidth="1"/>
    <col min="2566" max="2566" width="20.109375" style="16" bestFit="1" customWidth="1"/>
    <col min="2567" max="2816" width="9.109375" style="16"/>
    <col min="2817" max="2817" width="26.6640625" style="16" customWidth="1"/>
    <col min="2818" max="2818" width="16" style="16" customWidth="1"/>
    <col min="2819" max="2819" width="14.33203125" style="16" customWidth="1"/>
    <col min="2820" max="2821" width="16.109375" style="16" customWidth="1"/>
    <col min="2822" max="2822" width="20.109375" style="16" bestFit="1" customWidth="1"/>
    <col min="2823" max="3072" width="9.109375" style="16"/>
    <col min="3073" max="3073" width="26.6640625" style="16" customWidth="1"/>
    <col min="3074" max="3074" width="16" style="16" customWidth="1"/>
    <col min="3075" max="3075" width="14.33203125" style="16" customWidth="1"/>
    <col min="3076" max="3077" width="16.109375" style="16" customWidth="1"/>
    <col min="3078" max="3078" width="20.109375" style="16" bestFit="1" customWidth="1"/>
    <col min="3079" max="3328" width="9.109375" style="16"/>
    <col min="3329" max="3329" width="26.6640625" style="16" customWidth="1"/>
    <col min="3330" max="3330" width="16" style="16" customWidth="1"/>
    <col min="3331" max="3331" width="14.33203125" style="16" customWidth="1"/>
    <col min="3332" max="3333" width="16.109375" style="16" customWidth="1"/>
    <col min="3334" max="3334" width="20.109375" style="16" bestFit="1" customWidth="1"/>
    <col min="3335" max="3584" width="9.109375" style="16"/>
    <col min="3585" max="3585" width="26.6640625" style="16" customWidth="1"/>
    <col min="3586" max="3586" width="16" style="16" customWidth="1"/>
    <col min="3587" max="3587" width="14.33203125" style="16" customWidth="1"/>
    <col min="3588" max="3589" width="16.109375" style="16" customWidth="1"/>
    <col min="3590" max="3590" width="20.109375" style="16" bestFit="1" customWidth="1"/>
    <col min="3591" max="3840" width="9.109375" style="16"/>
    <col min="3841" max="3841" width="26.6640625" style="16" customWidth="1"/>
    <col min="3842" max="3842" width="16" style="16" customWidth="1"/>
    <col min="3843" max="3843" width="14.33203125" style="16" customWidth="1"/>
    <col min="3844" max="3845" width="16.109375" style="16" customWidth="1"/>
    <col min="3846" max="3846" width="20.109375" style="16" bestFit="1" customWidth="1"/>
    <col min="3847" max="4096" width="9.109375" style="16"/>
    <col min="4097" max="4097" width="26.6640625" style="16" customWidth="1"/>
    <col min="4098" max="4098" width="16" style="16" customWidth="1"/>
    <col min="4099" max="4099" width="14.33203125" style="16" customWidth="1"/>
    <col min="4100" max="4101" width="16.109375" style="16" customWidth="1"/>
    <col min="4102" max="4102" width="20.109375" style="16" bestFit="1" customWidth="1"/>
    <col min="4103" max="4352" width="9.109375" style="16"/>
    <col min="4353" max="4353" width="26.6640625" style="16" customWidth="1"/>
    <col min="4354" max="4354" width="16" style="16" customWidth="1"/>
    <col min="4355" max="4355" width="14.33203125" style="16" customWidth="1"/>
    <col min="4356" max="4357" width="16.109375" style="16" customWidth="1"/>
    <col min="4358" max="4358" width="20.109375" style="16" bestFit="1" customWidth="1"/>
    <col min="4359" max="4608" width="9.109375" style="16"/>
    <col min="4609" max="4609" width="26.6640625" style="16" customWidth="1"/>
    <col min="4610" max="4610" width="16" style="16" customWidth="1"/>
    <col min="4611" max="4611" width="14.33203125" style="16" customWidth="1"/>
    <col min="4612" max="4613" width="16.109375" style="16" customWidth="1"/>
    <col min="4614" max="4614" width="20.109375" style="16" bestFit="1" customWidth="1"/>
    <col min="4615" max="4864" width="9.109375" style="16"/>
    <col min="4865" max="4865" width="26.6640625" style="16" customWidth="1"/>
    <col min="4866" max="4866" width="16" style="16" customWidth="1"/>
    <col min="4867" max="4867" width="14.33203125" style="16" customWidth="1"/>
    <col min="4868" max="4869" width="16.109375" style="16" customWidth="1"/>
    <col min="4870" max="4870" width="20.109375" style="16" bestFit="1" customWidth="1"/>
    <col min="4871" max="5120" width="9.109375" style="16"/>
    <col min="5121" max="5121" width="26.6640625" style="16" customWidth="1"/>
    <col min="5122" max="5122" width="16" style="16" customWidth="1"/>
    <col min="5123" max="5123" width="14.33203125" style="16" customWidth="1"/>
    <col min="5124" max="5125" width="16.109375" style="16" customWidth="1"/>
    <col min="5126" max="5126" width="20.109375" style="16" bestFit="1" customWidth="1"/>
    <col min="5127" max="5376" width="9.109375" style="16"/>
    <col min="5377" max="5377" width="26.6640625" style="16" customWidth="1"/>
    <col min="5378" max="5378" width="16" style="16" customWidth="1"/>
    <col min="5379" max="5379" width="14.33203125" style="16" customWidth="1"/>
    <col min="5380" max="5381" width="16.109375" style="16" customWidth="1"/>
    <col min="5382" max="5382" width="20.109375" style="16" bestFit="1" customWidth="1"/>
    <col min="5383" max="5632" width="9.109375" style="16"/>
    <col min="5633" max="5633" width="26.6640625" style="16" customWidth="1"/>
    <col min="5634" max="5634" width="16" style="16" customWidth="1"/>
    <col min="5635" max="5635" width="14.33203125" style="16" customWidth="1"/>
    <col min="5636" max="5637" width="16.109375" style="16" customWidth="1"/>
    <col min="5638" max="5638" width="20.109375" style="16" bestFit="1" customWidth="1"/>
    <col min="5639" max="5888" width="9.109375" style="16"/>
    <col min="5889" max="5889" width="26.6640625" style="16" customWidth="1"/>
    <col min="5890" max="5890" width="16" style="16" customWidth="1"/>
    <col min="5891" max="5891" width="14.33203125" style="16" customWidth="1"/>
    <col min="5892" max="5893" width="16.109375" style="16" customWidth="1"/>
    <col min="5894" max="5894" width="20.109375" style="16" bestFit="1" customWidth="1"/>
    <col min="5895" max="6144" width="9.109375" style="16"/>
    <col min="6145" max="6145" width="26.6640625" style="16" customWidth="1"/>
    <col min="6146" max="6146" width="16" style="16" customWidth="1"/>
    <col min="6147" max="6147" width="14.33203125" style="16" customWidth="1"/>
    <col min="6148" max="6149" width="16.109375" style="16" customWidth="1"/>
    <col min="6150" max="6150" width="20.109375" style="16" bestFit="1" customWidth="1"/>
    <col min="6151" max="6400" width="9.109375" style="16"/>
    <col min="6401" max="6401" width="26.6640625" style="16" customWidth="1"/>
    <col min="6402" max="6402" width="16" style="16" customWidth="1"/>
    <col min="6403" max="6403" width="14.33203125" style="16" customWidth="1"/>
    <col min="6404" max="6405" width="16.109375" style="16" customWidth="1"/>
    <col min="6406" max="6406" width="20.109375" style="16" bestFit="1" customWidth="1"/>
    <col min="6407" max="6656" width="9.109375" style="16"/>
    <col min="6657" max="6657" width="26.6640625" style="16" customWidth="1"/>
    <col min="6658" max="6658" width="16" style="16" customWidth="1"/>
    <col min="6659" max="6659" width="14.33203125" style="16" customWidth="1"/>
    <col min="6660" max="6661" width="16.109375" style="16" customWidth="1"/>
    <col min="6662" max="6662" width="20.109375" style="16" bestFit="1" customWidth="1"/>
    <col min="6663" max="6912" width="9.109375" style="16"/>
    <col min="6913" max="6913" width="26.6640625" style="16" customWidth="1"/>
    <col min="6914" max="6914" width="16" style="16" customWidth="1"/>
    <col min="6915" max="6915" width="14.33203125" style="16" customWidth="1"/>
    <col min="6916" max="6917" width="16.109375" style="16" customWidth="1"/>
    <col min="6918" max="6918" width="20.109375" style="16" bestFit="1" customWidth="1"/>
    <col min="6919" max="7168" width="9.109375" style="16"/>
    <col min="7169" max="7169" width="26.6640625" style="16" customWidth="1"/>
    <col min="7170" max="7170" width="16" style="16" customWidth="1"/>
    <col min="7171" max="7171" width="14.33203125" style="16" customWidth="1"/>
    <col min="7172" max="7173" width="16.109375" style="16" customWidth="1"/>
    <col min="7174" max="7174" width="20.109375" style="16" bestFit="1" customWidth="1"/>
    <col min="7175" max="7424" width="9.109375" style="16"/>
    <col min="7425" max="7425" width="26.6640625" style="16" customWidth="1"/>
    <col min="7426" max="7426" width="16" style="16" customWidth="1"/>
    <col min="7427" max="7427" width="14.33203125" style="16" customWidth="1"/>
    <col min="7428" max="7429" width="16.109375" style="16" customWidth="1"/>
    <col min="7430" max="7430" width="20.109375" style="16" bestFit="1" customWidth="1"/>
    <col min="7431" max="7680" width="9.109375" style="16"/>
    <col min="7681" max="7681" width="26.6640625" style="16" customWidth="1"/>
    <col min="7682" max="7682" width="16" style="16" customWidth="1"/>
    <col min="7683" max="7683" width="14.33203125" style="16" customWidth="1"/>
    <col min="7684" max="7685" width="16.109375" style="16" customWidth="1"/>
    <col min="7686" max="7686" width="20.109375" style="16" bestFit="1" customWidth="1"/>
    <col min="7687" max="7936" width="9.109375" style="16"/>
    <col min="7937" max="7937" width="26.6640625" style="16" customWidth="1"/>
    <col min="7938" max="7938" width="16" style="16" customWidth="1"/>
    <col min="7939" max="7939" width="14.33203125" style="16" customWidth="1"/>
    <col min="7940" max="7941" width="16.109375" style="16" customWidth="1"/>
    <col min="7942" max="7942" width="20.109375" style="16" bestFit="1" customWidth="1"/>
    <col min="7943" max="8192" width="9.109375" style="16"/>
    <col min="8193" max="8193" width="26.6640625" style="16" customWidth="1"/>
    <col min="8194" max="8194" width="16" style="16" customWidth="1"/>
    <col min="8195" max="8195" width="14.33203125" style="16" customWidth="1"/>
    <col min="8196" max="8197" width="16.109375" style="16" customWidth="1"/>
    <col min="8198" max="8198" width="20.109375" style="16" bestFit="1" customWidth="1"/>
    <col min="8199" max="8448" width="9.109375" style="16"/>
    <col min="8449" max="8449" width="26.6640625" style="16" customWidth="1"/>
    <col min="8450" max="8450" width="16" style="16" customWidth="1"/>
    <col min="8451" max="8451" width="14.33203125" style="16" customWidth="1"/>
    <col min="8452" max="8453" width="16.109375" style="16" customWidth="1"/>
    <col min="8454" max="8454" width="20.109375" style="16" bestFit="1" customWidth="1"/>
    <col min="8455" max="8704" width="9.109375" style="16"/>
    <col min="8705" max="8705" width="26.6640625" style="16" customWidth="1"/>
    <col min="8706" max="8706" width="16" style="16" customWidth="1"/>
    <col min="8707" max="8707" width="14.33203125" style="16" customWidth="1"/>
    <col min="8708" max="8709" width="16.109375" style="16" customWidth="1"/>
    <col min="8710" max="8710" width="20.109375" style="16" bestFit="1" customWidth="1"/>
    <col min="8711" max="8960" width="9.109375" style="16"/>
    <col min="8961" max="8961" width="26.6640625" style="16" customWidth="1"/>
    <col min="8962" max="8962" width="16" style="16" customWidth="1"/>
    <col min="8963" max="8963" width="14.33203125" style="16" customWidth="1"/>
    <col min="8964" max="8965" width="16.109375" style="16" customWidth="1"/>
    <col min="8966" max="8966" width="20.109375" style="16" bestFit="1" customWidth="1"/>
    <col min="8967" max="9216" width="9.109375" style="16"/>
    <col min="9217" max="9217" width="26.6640625" style="16" customWidth="1"/>
    <col min="9218" max="9218" width="16" style="16" customWidth="1"/>
    <col min="9219" max="9219" width="14.33203125" style="16" customWidth="1"/>
    <col min="9220" max="9221" width="16.109375" style="16" customWidth="1"/>
    <col min="9222" max="9222" width="20.109375" style="16" bestFit="1" customWidth="1"/>
    <col min="9223" max="9472" width="9.109375" style="16"/>
    <col min="9473" max="9473" width="26.6640625" style="16" customWidth="1"/>
    <col min="9474" max="9474" width="16" style="16" customWidth="1"/>
    <col min="9475" max="9475" width="14.33203125" style="16" customWidth="1"/>
    <col min="9476" max="9477" width="16.109375" style="16" customWidth="1"/>
    <col min="9478" max="9478" width="20.109375" style="16" bestFit="1" customWidth="1"/>
    <col min="9479" max="9728" width="9.109375" style="16"/>
    <col min="9729" max="9729" width="26.6640625" style="16" customWidth="1"/>
    <col min="9730" max="9730" width="16" style="16" customWidth="1"/>
    <col min="9731" max="9731" width="14.33203125" style="16" customWidth="1"/>
    <col min="9732" max="9733" width="16.109375" style="16" customWidth="1"/>
    <col min="9734" max="9734" width="20.109375" style="16" bestFit="1" customWidth="1"/>
    <col min="9735" max="9984" width="9.109375" style="16"/>
    <col min="9985" max="9985" width="26.6640625" style="16" customWidth="1"/>
    <col min="9986" max="9986" width="16" style="16" customWidth="1"/>
    <col min="9987" max="9987" width="14.33203125" style="16" customWidth="1"/>
    <col min="9988" max="9989" width="16.109375" style="16" customWidth="1"/>
    <col min="9990" max="9990" width="20.109375" style="16" bestFit="1" customWidth="1"/>
    <col min="9991" max="10240" width="9.109375" style="16"/>
    <col min="10241" max="10241" width="26.6640625" style="16" customWidth="1"/>
    <col min="10242" max="10242" width="16" style="16" customWidth="1"/>
    <col min="10243" max="10243" width="14.33203125" style="16" customWidth="1"/>
    <col min="10244" max="10245" width="16.109375" style="16" customWidth="1"/>
    <col min="10246" max="10246" width="20.109375" style="16" bestFit="1" customWidth="1"/>
    <col min="10247" max="10496" width="9.109375" style="16"/>
    <col min="10497" max="10497" width="26.6640625" style="16" customWidth="1"/>
    <col min="10498" max="10498" width="16" style="16" customWidth="1"/>
    <col min="10499" max="10499" width="14.33203125" style="16" customWidth="1"/>
    <col min="10500" max="10501" width="16.109375" style="16" customWidth="1"/>
    <col min="10502" max="10502" width="20.109375" style="16" bestFit="1" customWidth="1"/>
    <col min="10503" max="10752" width="9.109375" style="16"/>
    <col min="10753" max="10753" width="26.6640625" style="16" customWidth="1"/>
    <col min="10754" max="10754" width="16" style="16" customWidth="1"/>
    <col min="10755" max="10755" width="14.33203125" style="16" customWidth="1"/>
    <col min="10756" max="10757" width="16.109375" style="16" customWidth="1"/>
    <col min="10758" max="10758" width="20.109375" style="16" bestFit="1" customWidth="1"/>
    <col min="10759" max="11008" width="9.109375" style="16"/>
    <col min="11009" max="11009" width="26.6640625" style="16" customWidth="1"/>
    <col min="11010" max="11010" width="16" style="16" customWidth="1"/>
    <col min="11011" max="11011" width="14.33203125" style="16" customWidth="1"/>
    <col min="11012" max="11013" width="16.109375" style="16" customWidth="1"/>
    <col min="11014" max="11014" width="20.109375" style="16" bestFit="1" customWidth="1"/>
    <col min="11015" max="11264" width="9.109375" style="16"/>
    <col min="11265" max="11265" width="26.6640625" style="16" customWidth="1"/>
    <col min="11266" max="11266" width="16" style="16" customWidth="1"/>
    <col min="11267" max="11267" width="14.33203125" style="16" customWidth="1"/>
    <col min="11268" max="11269" width="16.109375" style="16" customWidth="1"/>
    <col min="11270" max="11270" width="20.109375" style="16" bestFit="1" customWidth="1"/>
    <col min="11271" max="11520" width="9.109375" style="16"/>
    <col min="11521" max="11521" width="26.6640625" style="16" customWidth="1"/>
    <col min="11522" max="11522" width="16" style="16" customWidth="1"/>
    <col min="11523" max="11523" width="14.33203125" style="16" customWidth="1"/>
    <col min="11524" max="11525" width="16.109375" style="16" customWidth="1"/>
    <col min="11526" max="11526" width="20.109375" style="16" bestFit="1" customWidth="1"/>
    <col min="11527" max="11776" width="9.109375" style="16"/>
    <col min="11777" max="11777" width="26.6640625" style="16" customWidth="1"/>
    <col min="11778" max="11778" width="16" style="16" customWidth="1"/>
    <col min="11779" max="11779" width="14.33203125" style="16" customWidth="1"/>
    <col min="11780" max="11781" width="16.109375" style="16" customWidth="1"/>
    <col min="11782" max="11782" width="20.109375" style="16" bestFit="1" customWidth="1"/>
    <col min="11783" max="12032" width="9.109375" style="16"/>
    <col min="12033" max="12033" width="26.6640625" style="16" customWidth="1"/>
    <col min="12034" max="12034" width="16" style="16" customWidth="1"/>
    <col min="12035" max="12035" width="14.33203125" style="16" customWidth="1"/>
    <col min="12036" max="12037" width="16.109375" style="16" customWidth="1"/>
    <col min="12038" max="12038" width="20.109375" style="16" bestFit="1" customWidth="1"/>
    <col min="12039" max="12288" width="9.109375" style="16"/>
    <col min="12289" max="12289" width="26.6640625" style="16" customWidth="1"/>
    <col min="12290" max="12290" width="16" style="16" customWidth="1"/>
    <col min="12291" max="12291" width="14.33203125" style="16" customWidth="1"/>
    <col min="12292" max="12293" width="16.109375" style="16" customWidth="1"/>
    <col min="12294" max="12294" width="20.109375" style="16" bestFit="1" customWidth="1"/>
    <col min="12295" max="12544" width="9.109375" style="16"/>
    <col min="12545" max="12545" width="26.6640625" style="16" customWidth="1"/>
    <col min="12546" max="12546" width="16" style="16" customWidth="1"/>
    <col min="12547" max="12547" width="14.33203125" style="16" customWidth="1"/>
    <col min="12548" max="12549" width="16.109375" style="16" customWidth="1"/>
    <col min="12550" max="12550" width="20.109375" style="16" bestFit="1" customWidth="1"/>
    <col min="12551" max="12800" width="9.109375" style="16"/>
    <col min="12801" max="12801" width="26.6640625" style="16" customWidth="1"/>
    <col min="12802" max="12802" width="16" style="16" customWidth="1"/>
    <col min="12803" max="12803" width="14.33203125" style="16" customWidth="1"/>
    <col min="12804" max="12805" width="16.109375" style="16" customWidth="1"/>
    <col min="12806" max="12806" width="20.109375" style="16" bestFit="1" customWidth="1"/>
    <col min="12807" max="13056" width="9.109375" style="16"/>
    <col min="13057" max="13057" width="26.6640625" style="16" customWidth="1"/>
    <col min="13058" max="13058" width="16" style="16" customWidth="1"/>
    <col min="13059" max="13059" width="14.33203125" style="16" customWidth="1"/>
    <col min="13060" max="13061" width="16.109375" style="16" customWidth="1"/>
    <col min="13062" max="13062" width="20.109375" style="16" bestFit="1" customWidth="1"/>
    <col min="13063" max="13312" width="9.109375" style="16"/>
    <col min="13313" max="13313" width="26.6640625" style="16" customWidth="1"/>
    <col min="13314" max="13314" width="16" style="16" customWidth="1"/>
    <col min="13315" max="13315" width="14.33203125" style="16" customWidth="1"/>
    <col min="13316" max="13317" width="16.109375" style="16" customWidth="1"/>
    <col min="13318" max="13318" width="20.109375" style="16" bestFit="1" customWidth="1"/>
    <col min="13319" max="13568" width="9.109375" style="16"/>
    <col min="13569" max="13569" width="26.6640625" style="16" customWidth="1"/>
    <col min="13570" max="13570" width="16" style="16" customWidth="1"/>
    <col min="13571" max="13571" width="14.33203125" style="16" customWidth="1"/>
    <col min="13572" max="13573" width="16.109375" style="16" customWidth="1"/>
    <col min="13574" max="13574" width="20.109375" style="16" bestFit="1" customWidth="1"/>
    <col min="13575" max="13824" width="9.109375" style="16"/>
    <col min="13825" max="13825" width="26.6640625" style="16" customWidth="1"/>
    <col min="13826" max="13826" width="16" style="16" customWidth="1"/>
    <col min="13827" max="13827" width="14.33203125" style="16" customWidth="1"/>
    <col min="13828" max="13829" width="16.109375" style="16" customWidth="1"/>
    <col min="13830" max="13830" width="20.109375" style="16" bestFit="1" customWidth="1"/>
    <col min="13831" max="14080" width="9.109375" style="16"/>
    <col min="14081" max="14081" width="26.6640625" style="16" customWidth="1"/>
    <col min="14082" max="14082" width="16" style="16" customWidth="1"/>
    <col min="14083" max="14083" width="14.33203125" style="16" customWidth="1"/>
    <col min="14084" max="14085" width="16.109375" style="16" customWidth="1"/>
    <col min="14086" max="14086" width="20.109375" style="16" bestFit="1" customWidth="1"/>
    <col min="14087" max="14336" width="9.109375" style="16"/>
    <col min="14337" max="14337" width="26.6640625" style="16" customWidth="1"/>
    <col min="14338" max="14338" width="16" style="16" customWidth="1"/>
    <col min="14339" max="14339" width="14.33203125" style="16" customWidth="1"/>
    <col min="14340" max="14341" width="16.109375" style="16" customWidth="1"/>
    <col min="14342" max="14342" width="20.109375" style="16" bestFit="1" customWidth="1"/>
    <col min="14343" max="14592" width="9.109375" style="16"/>
    <col min="14593" max="14593" width="26.6640625" style="16" customWidth="1"/>
    <col min="14594" max="14594" width="16" style="16" customWidth="1"/>
    <col min="14595" max="14595" width="14.33203125" style="16" customWidth="1"/>
    <col min="14596" max="14597" width="16.109375" style="16" customWidth="1"/>
    <col min="14598" max="14598" width="20.109375" style="16" bestFit="1" customWidth="1"/>
    <col min="14599" max="14848" width="9.109375" style="16"/>
    <col min="14849" max="14849" width="26.6640625" style="16" customWidth="1"/>
    <col min="14850" max="14850" width="16" style="16" customWidth="1"/>
    <col min="14851" max="14851" width="14.33203125" style="16" customWidth="1"/>
    <col min="14852" max="14853" width="16.109375" style="16" customWidth="1"/>
    <col min="14854" max="14854" width="20.109375" style="16" bestFit="1" customWidth="1"/>
    <col min="14855" max="15104" width="9.109375" style="16"/>
    <col min="15105" max="15105" width="26.6640625" style="16" customWidth="1"/>
    <col min="15106" max="15106" width="16" style="16" customWidth="1"/>
    <col min="15107" max="15107" width="14.33203125" style="16" customWidth="1"/>
    <col min="15108" max="15109" width="16.109375" style="16" customWidth="1"/>
    <col min="15110" max="15110" width="20.109375" style="16" bestFit="1" customWidth="1"/>
    <col min="15111" max="15360" width="9.109375" style="16"/>
    <col min="15361" max="15361" width="26.6640625" style="16" customWidth="1"/>
    <col min="15362" max="15362" width="16" style="16" customWidth="1"/>
    <col min="15363" max="15363" width="14.33203125" style="16" customWidth="1"/>
    <col min="15364" max="15365" width="16.109375" style="16" customWidth="1"/>
    <col min="15366" max="15366" width="20.109375" style="16" bestFit="1" customWidth="1"/>
    <col min="15367" max="15616" width="9.109375" style="16"/>
    <col min="15617" max="15617" width="26.6640625" style="16" customWidth="1"/>
    <col min="15618" max="15618" width="16" style="16" customWidth="1"/>
    <col min="15619" max="15619" width="14.33203125" style="16" customWidth="1"/>
    <col min="15620" max="15621" width="16.109375" style="16" customWidth="1"/>
    <col min="15622" max="15622" width="20.109375" style="16" bestFit="1" customWidth="1"/>
    <col min="15623" max="15872" width="9.109375" style="16"/>
    <col min="15873" max="15873" width="26.6640625" style="16" customWidth="1"/>
    <col min="15874" max="15874" width="16" style="16" customWidth="1"/>
    <col min="15875" max="15875" width="14.33203125" style="16" customWidth="1"/>
    <col min="15876" max="15877" width="16.109375" style="16" customWidth="1"/>
    <col min="15878" max="15878" width="20.109375" style="16" bestFit="1" customWidth="1"/>
    <col min="15879" max="16128" width="9.109375" style="16"/>
    <col min="16129" max="16129" width="26.6640625" style="16" customWidth="1"/>
    <col min="16130" max="16130" width="16" style="16" customWidth="1"/>
    <col min="16131" max="16131" width="14.33203125" style="16" customWidth="1"/>
    <col min="16132" max="16133" width="16.109375" style="16" customWidth="1"/>
    <col min="16134" max="16134" width="20.109375" style="16" bestFit="1" customWidth="1"/>
    <col min="16135" max="16384" width="9.109375" style="16"/>
  </cols>
  <sheetData>
    <row r="1" spans="1:6" ht="24" customHeight="1" x14ac:dyDescent="0.25">
      <c r="A1" s="21" t="s">
        <v>488</v>
      </c>
      <c r="B1" s="21"/>
      <c r="C1" s="21"/>
      <c r="D1" s="21"/>
      <c r="E1" s="21"/>
      <c r="F1" s="21"/>
    </row>
    <row r="2" spans="1:6" x14ac:dyDescent="0.25">
      <c r="A2" s="16" t="s">
        <v>489</v>
      </c>
      <c r="B2" s="22">
        <v>12536000</v>
      </c>
    </row>
    <row r="3" spans="1:6" x14ac:dyDescent="0.25">
      <c r="A3" s="16" t="s">
        <v>490</v>
      </c>
      <c r="B3" s="16">
        <v>50.69</v>
      </c>
    </row>
    <row r="4" spans="1:6" x14ac:dyDescent="0.25">
      <c r="A4" s="16" t="s">
        <v>491</v>
      </c>
      <c r="B4" s="22">
        <f>B2*B3</f>
        <v>635449840</v>
      </c>
      <c r="C4" s="16" t="str">
        <f ca="1">[1]!getformula(B4)</f>
        <v>&lt;--  =B2*B3</v>
      </c>
    </row>
    <row r="5" spans="1:6" x14ac:dyDescent="0.25">
      <c r="A5" s="16" t="s">
        <v>492</v>
      </c>
      <c r="B5" s="23">
        <f>E16</f>
        <v>3904000</v>
      </c>
      <c r="C5" s="16" t="str">
        <f ca="1">[1]!getformula(B5)</f>
        <v>&lt;--  =E16</v>
      </c>
    </row>
    <row r="6" spans="1:6" x14ac:dyDescent="0.25">
      <c r="A6" s="16" t="s">
        <v>493</v>
      </c>
      <c r="B6" s="24">
        <f>E17</f>
        <v>9.784158945490451E-2</v>
      </c>
      <c r="C6" s="16" t="str">
        <f ca="1">[1]!getformula(B6)</f>
        <v>&lt;--  =E17</v>
      </c>
    </row>
    <row r="7" spans="1:6" ht="15.6" x14ac:dyDescent="0.35">
      <c r="A7" s="25" t="s">
        <v>494</v>
      </c>
      <c r="B7" s="26">
        <f>B5*(1+B6)/B4+B6</f>
        <v>0.10458637605400405</v>
      </c>
      <c r="C7" s="16" t="str">
        <f ca="1">[1]!getformula(B7)</f>
        <v>&lt;--  =B5*(1+B6)/B4+B6</v>
      </c>
    </row>
    <row r="10" spans="1:6" ht="26.4" x14ac:dyDescent="0.25">
      <c r="A10" s="27" t="s">
        <v>495</v>
      </c>
      <c r="B10" s="28" t="s">
        <v>496</v>
      </c>
      <c r="C10" s="29" t="s">
        <v>24</v>
      </c>
      <c r="D10" s="28" t="s">
        <v>497</v>
      </c>
      <c r="E10" s="28" t="s">
        <v>26</v>
      </c>
    </row>
    <row r="11" spans="1:6" x14ac:dyDescent="0.25">
      <c r="A11" s="30">
        <v>36922</v>
      </c>
      <c r="B11" s="22">
        <v>0</v>
      </c>
      <c r="C11" s="22">
        <v>2448000</v>
      </c>
      <c r="D11" s="22"/>
      <c r="E11" s="31">
        <f t="shared" ref="E11:E16" si="0">B11+C11-D11</f>
        <v>2448000</v>
      </c>
    </row>
    <row r="12" spans="1:6" x14ac:dyDescent="0.25">
      <c r="A12" s="30">
        <v>37287</v>
      </c>
      <c r="B12" s="22">
        <v>1354000</v>
      </c>
      <c r="C12" s="22">
        <v>0</v>
      </c>
      <c r="D12" s="22"/>
      <c r="E12" s="31">
        <f t="shared" si="0"/>
        <v>1354000</v>
      </c>
    </row>
    <row r="13" spans="1:6" x14ac:dyDescent="0.25">
      <c r="A13" s="30">
        <v>37652</v>
      </c>
      <c r="B13" s="22">
        <v>1396000</v>
      </c>
      <c r="C13" s="22">
        <v>1200000</v>
      </c>
      <c r="D13" s="22">
        <v>73000</v>
      </c>
      <c r="E13" s="31">
        <f t="shared" si="0"/>
        <v>2523000</v>
      </c>
      <c r="F13" s="6"/>
    </row>
    <row r="14" spans="1:6" x14ac:dyDescent="0.25">
      <c r="A14" s="30">
        <v>38017</v>
      </c>
      <c r="B14" s="22">
        <v>0</v>
      </c>
      <c r="C14" s="22">
        <v>4936000</v>
      </c>
      <c r="D14" s="22">
        <v>1299000</v>
      </c>
      <c r="E14" s="31">
        <f t="shared" si="0"/>
        <v>3637000</v>
      </c>
      <c r="F14" s="6"/>
    </row>
    <row r="15" spans="1:6" x14ac:dyDescent="0.25">
      <c r="A15" s="30">
        <v>38383</v>
      </c>
      <c r="B15" s="22"/>
      <c r="C15" s="22">
        <v>5478000</v>
      </c>
      <c r="D15" s="22">
        <v>1616000</v>
      </c>
      <c r="E15" s="31">
        <f t="shared" si="0"/>
        <v>3862000</v>
      </c>
    </row>
    <row r="16" spans="1:6" x14ac:dyDescent="0.25">
      <c r="A16" s="30">
        <v>38748</v>
      </c>
      <c r="B16" s="22"/>
      <c r="C16" s="22">
        <v>6691000</v>
      </c>
      <c r="D16" s="22">
        <v>2787000</v>
      </c>
      <c r="E16" s="31">
        <f t="shared" si="0"/>
        <v>3904000</v>
      </c>
    </row>
    <row r="17" spans="3:6" x14ac:dyDescent="0.25">
      <c r="C17" s="6"/>
      <c r="D17" s="32" t="s">
        <v>487</v>
      </c>
      <c r="E17" s="33">
        <f>(E16/E11)^(1/5)-1</f>
        <v>9.784158945490451E-2</v>
      </c>
      <c r="F17" s="16" t="str">
        <f ca="1">[1]!getformula(E17)</f>
        <v>&lt;--  =(E16/E11)^(1/5)-1</v>
      </c>
    </row>
  </sheetData>
  <mergeCells count="1">
    <mergeCell ref="A1:F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B3280-3121-479C-8907-898F55B50052}">
  <sheetPr codeName="Sheet20"/>
  <dimension ref="A1:B883"/>
  <sheetViews>
    <sheetView workbookViewId="0">
      <selection activeCell="E36" sqref="E36"/>
    </sheetView>
  </sheetViews>
  <sheetFormatPr defaultRowHeight="13.2" x14ac:dyDescent="0.25"/>
  <cols>
    <col min="1" max="1" width="20.6640625" customWidth="1"/>
    <col min="257" max="257" width="20.6640625" customWidth="1"/>
    <col min="513" max="513" width="20.6640625" customWidth="1"/>
    <col min="769" max="769" width="20.6640625" customWidth="1"/>
    <col min="1025" max="1025" width="20.6640625" customWidth="1"/>
    <col min="1281" max="1281" width="20.6640625" customWidth="1"/>
    <col min="1537" max="1537" width="20.6640625" customWidth="1"/>
    <col min="1793" max="1793" width="20.6640625" customWidth="1"/>
    <col min="2049" max="2049" width="20.6640625" customWidth="1"/>
    <col min="2305" max="2305" width="20.6640625" customWidth="1"/>
    <col min="2561" max="2561" width="20.6640625" customWidth="1"/>
    <col min="2817" max="2817" width="20.6640625" customWidth="1"/>
    <col min="3073" max="3073" width="20.6640625" customWidth="1"/>
    <col min="3329" max="3329" width="20.6640625" customWidth="1"/>
    <col min="3585" max="3585" width="20.6640625" customWidth="1"/>
    <col min="3841" max="3841" width="20.6640625" customWidth="1"/>
    <col min="4097" max="4097" width="20.6640625" customWidth="1"/>
    <col min="4353" max="4353" width="20.6640625" customWidth="1"/>
    <col min="4609" max="4609" width="20.6640625" customWidth="1"/>
    <col min="4865" max="4865" width="20.6640625" customWidth="1"/>
    <col min="5121" max="5121" width="20.6640625" customWidth="1"/>
    <col min="5377" max="5377" width="20.6640625" customWidth="1"/>
    <col min="5633" max="5633" width="20.6640625" customWidth="1"/>
    <col min="5889" max="5889" width="20.6640625" customWidth="1"/>
    <col min="6145" max="6145" width="20.6640625" customWidth="1"/>
    <col min="6401" max="6401" width="20.6640625" customWidth="1"/>
    <col min="6657" max="6657" width="20.6640625" customWidth="1"/>
    <col min="6913" max="6913" width="20.6640625" customWidth="1"/>
    <col min="7169" max="7169" width="20.6640625" customWidth="1"/>
    <col min="7425" max="7425" width="20.6640625" customWidth="1"/>
    <col min="7681" max="7681" width="20.6640625" customWidth="1"/>
    <col min="7937" max="7937" width="20.6640625" customWidth="1"/>
    <col min="8193" max="8193" width="20.6640625" customWidth="1"/>
    <col min="8449" max="8449" width="20.6640625" customWidth="1"/>
    <col min="8705" max="8705" width="20.6640625" customWidth="1"/>
    <col min="8961" max="8961" width="20.6640625" customWidth="1"/>
    <col min="9217" max="9217" width="20.6640625" customWidth="1"/>
    <col min="9473" max="9473" width="20.6640625" customWidth="1"/>
    <col min="9729" max="9729" width="20.6640625" customWidth="1"/>
    <col min="9985" max="9985" width="20.6640625" customWidth="1"/>
    <col min="10241" max="10241" width="20.6640625" customWidth="1"/>
    <col min="10497" max="10497" width="20.6640625" customWidth="1"/>
    <col min="10753" max="10753" width="20.6640625" customWidth="1"/>
    <col min="11009" max="11009" width="20.6640625" customWidth="1"/>
    <col min="11265" max="11265" width="20.6640625" customWidth="1"/>
    <col min="11521" max="11521" width="20.6640625" customWidth="1"/>
    <col min="11777" max="11777" width="20.6640625" customWidth="1"/>
    <col min="12033" max="12033" width="20.6640625" customWidth="1"/>
    <col min="12289" max="12289" width="20.6640625" customWidth="1"/>
    <col min="12545" max="12545" width="20.6640625" customWidth="1"/>
    <col min="12801" max="12801" width="20.6640625" customWidth="1"/>
    <col min="13057" max="13057" width="20.6640625" customWidth="1"/>
    <col min="13313" max="13313" width="20.6640625" customWidth="1"/>
    <col min="13569" max="13569" width="20.6640625" customWidth="1"/>
    <col min="13825" max="13825" width="20.6640625" customWidth="1"/>
    <col min="14081" max="14081" width="20.6640625" customWidth="1"/>
    <col min="14337" max="14337" width="20.6640625" customWidth="1"/>
    <col min="14593" max="14593" width="20.6640625" customWidth="1"/>
    <col min="14849" max="14849" width="20.6640625" customWidth="1"/>
    <col min="15105" max="15105" width="20.6640625" customWidth="1"/>
    <col min="15361" max="15361" width="20.6640625" customWidth="1"/>
    <col min="15617" max="15617" width="20.6640625" customWidth="1"/>
    <col min="15873" max="15873" width="20.6640625" customWidth="1"/>
    <col min="16129" max="16129" width="20.6640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2" spans="1:2" x14ac:dyDescent="0.25">
      <c r="A12" t="s">
        <v>20</v>
      </c>
      <c r="B12" t="s">
        <v>21</v>
      </c>
    </row>
    <row r="13" spans="1:2" x14ac:dyDescent="0.25">
      <c r="A13" s="1">
        <v>12420</v>
      </c>
      <c r="B13" s="2">
        <v>0.72</v>
      </c>
    </row>
    <row r="14" spans="1:2" x14ac:dyDescent="0.25">
      <c r="A14" s="1">
        <v>12451</v>
      </c>
      <c r="B14" s="2">
        <v>0.62</v>
      </c>
    </row>
    <row r="15" spans="1:2" x14ac:dyDescent="0.25">
      <c r="A15" s="1">
        <v>12479</v>
      </c>
      <c r="B15" s="2">
        <v>0.24</v>
      </c>
    </row>
    <row r="16" spans="1:2" x14ac:dyDescent="0.25">
      <c r="A16" s="1">
        <v>12510</v>
      </c>
      <c r="B16" s="2">
        <v>0.15</v>
      </c>
    </row>
    <row r="17" spans="1:2" x14ac:dyDescent="0.25">
      <c r="A17" s="1">
        <v>12540</v>
      </c>
      <c r="B17" s="2">
        <v>0.16</v>
      </c>
    </row>
    <row r="18" spans="1:2" x14ac:dyDescent="0.25">
      <c r="A18" s="1">
        <v>12571</v>
      </c>
      <c r="B18" s="2">
        <v>0.15</v>
      </c>
    </row>
    <row r="19" spans="1:2" x14ac:dyDescent="0.25">
      <c r="A19" s="1">
        <v>12601</v>
      </c>
      <c r="B19" s="2">
        <v>0.15</v>
      </c>
    </row>
    <row r="20" spans="1:2" x14ac:dyDescent="0.25">
      <c r="A20" s="1">
        <v>12632</v>
      </c>
      <c r="B20" s="2">
        <v>0.19</v>
      </c>
    </row>
    <row r="21" spans="1:2" x14ac:dyDescent="0.25">
      <c r="A21" s="1">
        <v>12663</v>
      </c>
      <c r="B21" s="2">
        <v>0.21</v>
      </c>
    </row>
    <row r="22" spans="1:2" x14ac:dyDescent="0.25">
      <c r="A22" s="1">
        <v>12693</v>
      </c>
      <c r="B22" s="2">
        <v>0.27</v>
      </c>
    </row>
    <row r="23" spans="1:2" x14ac:dyDescent="0.25">
      <c r="A23" s="1">
        <v>12724</v>
      </c>
      <c r="B23" s="2">
        <v>0.25</v>
      </c>
    </row>
    <row r="24" spans="1:2" x14ac:dyDescent="0.25">
      <c r="A24" s="1">
        <v>12754</v>
      </c>
      <c r="B24" s="2">
        <v>0.23</v>
      </c>
    </row>
    <row r="25" spans="1:2" x14ac:dyDescent="0.25">
      <c r="A25" s="1">
        <v>12785</v>
      </c>
      <c r="B25" s="2">
        <v>0.2</v>
      </c>
    </row>
    <row r="26" spans="1:2" x14ac:dyDescent="0.25">
      <c r="A26" s="1">
        <v>12816</v>
      </c>
      <c r="B26" s="2">
        <v>0.19</v>
      </c>
    </row>
    <row r="27" spans="1:2" x14ac:dyDescent="0.25">
      <c r="A27" s="1">
        <v>12844</v>
      </c>
      <c r="B27" s="2">
        <v>0.15</v>
      </c>
    </row>
    <row r="28" spans="1:2" x14ac:dyDescent="0.25">
      <c r="A28" s="1">
        <v>12875</v>
      </c>
      <c r="B28" s="2">
        <v>0.15</v>
      </c>
    </row>
    <row r="29" spans="1:2" x14ac:dyDescent="0.25">
      <c r="A29" s="1">
        <v>12905</v>
      </c>
      <c r="B29" s="2">
        <v>0.15</v>
      </c>
    </row>
    <row r="30" spans="1:2" x14ac:dyDescent="0.25">
      <c r="A30" s="1">
        <v>12936</v>
      </c>
      <c r="B30" s="2">
        <v>0.15</v>
      </c>
    </row>
    <row r="31" spans="1:2" x14ac:dyDescent="0.25">
      <c r="A31" s="1">
        <v>12966</v>
      </c>
      <c r="B31" s="2">
        <v>0.15</v>
      </c>
    </row>
    <row r="32" spans="1:2" x14ac:dyDescent="0.25">
      <c r="A32" s="1">
        <v>12997</v>
      </c>
      <c r="B32" s="2">
        <v>0.16</v>
      </c>
    </row>
    <row r="33" spans="1:2" x14ac:dyDescent="0.25">
      <c r="A33" s="1">
        <v>13028</v>
      </c>
      <c r="B33" s="2">
        <v>0.2</v>
      </c>
    </row>
    <row r="34" spans="1:2" x14ac:dyDescent="0.25">
      <c r="A34" s="1">
        <v>13058</v>
      </c>
      <c r="B34" s="2">
        <v>0.2</v>
      </c>
    </row>
    <row r="35" spans="1:2" x14ac:dyDescent="0.25">
      <c r="A35" s="1">
        <v>13089</v>
      </c>
      <c r="B35" s="2">
        <v>0.16</v>
      </c>
    </row>
    <row r="36" spans="1:2" x14ac:dyDescent="0.25">
      <c r="A36" s="1">
        <v>13119</v>
      </c>
      <c r="B36" s="2">
        <v>0.15</v>
      </c>
    </row>
    <row r="37" spans="1:2" x14ac:dyDescent="0.25">
      <c r="A37" s="1">
        <v>13150</v>
      </c>
      <c r="B37" s="2">
        <v>0.2</v>
      </c>
    </row>
    <row r="38" spans="1:2" x14ac:dyDescent="0.25">
      <c r="A38" s="1">
        <v>13181</v>
      </c>
      <c r="B38" s="2">
        <v>0.2</v>
      </c>
    </row>
    <row r="39" spans="1:2" x14ac:dyDescent="0.25">
      <c r="A39" s="1">
        <v>13210</v>
      </c>
      <c r="B39" s="2">
        <v>0.2</v>
      </c>
    </row>
    <row r="40" spans="1:2" x14ac:dyDescent="0.25">
      <c r="A40" s="1">
        <v>13241</v>
      </c>
      <c r="B40" s="2">
        <v>0.2</v>
      </c>
    </row>
    <row r="41" spans="1:2" x14ac:dyDescent="0.25">
      <c r="A41" s="1">
        <v>13271</v>
      </c>
      <c r="B41" s="2">
        <v>0.2</v>
      </c>
    </row>
    <row r="42" spans="1:2" x14ac:dyDescent="0.25">
      <c r="A42" s="1">
        <v>13302</v>
      </c>
      <c r="B42" s="2">
        <v>0.2</v>
      </c>
    </row>
    <row r="43" spans="1:2" x14ac:dyDescent="0.25">
      <c r="A43" s="1">
        <v>13332</v>
      </c>
      <c r="B43" s="2">
        <v>0.15</v>
      </c>
    </row>
    <row r="44" spans="1:2" x14ac:dyDescent="0.25">
      <c r="A44" s="1">
        <v>13363</v>
      </c>
      <c r="B44" s="2">
        <v>0.2</v>
      </c>
    </row>
    <row r="45" spans="1:2" x14ac:dyDescent="0.25">
      <c r="A45" s="1">
        <v>13394</v>
      </c>
      <c r="B45" s="2">
        <v>0.16</v>
      </c>
    </row>
    <row r="46" spans="1:2" x14ac:dyDescent="0.25">
      <c r="A46" s="1">
        <v>13424</v>
      </c>
      <c r="B46" s="2">
        <v>0.13</v>
      </c>
    </row>
    <row r="47" spans="1:2" x14ac:dyDescent="0.25">
      <c r="A47" s="1">
        <v>13455</v>
      </c>
      <c r="B47" s="2">
        <v>0.11</v>
      </c>
    </row>
    <row r="48" spans="1:2" x14ac:dyDescent="0.25">
      <c r="A48" s="1">
        <v>13485</v>
      </c>
      <c r="B48" s="2">
        <v>0.12</v>
      </c>
    </row>
    <row r="49" spans="1:2" x14ac:dyDescent="0.25">
      <c r="A49" s="1">
        <v>13516</v>
      </c>
      <c r="B49" s="2">
        <v>0.17</v>
      </c>
    </row>
    <row r="50" spans="1:2" x14ac:dyDescent="0.25">
      <c r="A50" s="1">
        <v>13547</v>
      </c>
      <c r="B50" s="2">
        <v>0.15</v>
      </c>
    </row>
    <row r="51" spans="1:2" x14ac:dyDescent="0.25">
      <c r="A51" s="1">
        <v>13575</v>
      </c>
      <c r="B51" s="2">
        <v>0.38</v>
      </c>
    </row>
    <row r="52" spans="1:2" x14ac:dyDescent="0.25">
      <c r="A52" s="1">
        <v>13606</v>
      </c>
      <c r="B52" s="2">
        <v>0.56000000000000005</v>
      </c>
    </row>
    <row r="53" spans="1:2" x14ac:dyDescent="0.25">
      <c r="A53" s="1">
        <v>13636</v>
      </c>
      <c r="B53" s="2">
        <v>0.41</v>
      </c>
    </row>
    <row r="54" spans="1:2" x14ac:dyDescent="0.25">
      <c r="A54" s="1">
        <v>13667</v>
      </c>
      <c r="B54" s="2">
        <v>0.36</v>
      </c>
    </row>
    <row r="55" spans="1:2" x14ac:dyDescent="0.25">
      <c r="A55" s="1">
        <v>13697</v>
      </c>
      <c r="B55" s="2">
        <v>0.28000000000000003</v>
      </c>
    </row>
    <row r="56" spans="1:2" x14ac:dyDescent="0.25">
      <c r="A56" s="1">
        <v>13728</v>
      </c>
      <c r="B56" s="2">
        <v>0.28999999999999998</v>
      </c>
    </row>
    <row r="57" spans="1:2" x14ac:dyDescent="0.25">
      <c r="A57" s="1">
        <v>13759</v>
      </c>
      <c r="B57" s="2">
        <v>0.31</v>
      </c>
    </row>
    <row r="58" spans="1:2" x14ac:dyDescent="0.25">
      <c r="A58" s="1">
        <v>13789</v>
      </c>
      <c r="B58" s="2">
        <v>0.2</v>
      </c>
    </row>
    <row r="59" spans="1:2" x14ac:dyDescent="0.25">
      <c r="A59" s="1">
        <v>13820</v>
      </c>
      <c r="B59" s="2">
        <v>0.09</v>
      </c>
    </row>
    <row r="60" spans="1:2" x14ac:dyDescent="0.25">
      <c r="A60" s="1">
        <v>13850</v>
      </c>
      <c r="B60" s="2">
        <v>0.11</v>
      </c>
    </row>
    <row r="61" spans="1:2" x14ac:dyDescent="0.25">
      <c r="A61" s="1">
        <v>13881</v>
      </c>
      <c r="B61" s="2">
        <v>0.1</v>
      </c>
    </row>
    <row r="62" spans="1:2" x14ac:dyDescent="0.25">
      <c r="A62" s="1">
        <v>13912</v>
      </c>
      <c r="B62" s="2">
        <v>0.08</v>
      </c>
    </row>
    <row r="63" spans="1:2" x14ac:dyDescent="0.25">
      <c r="A63" s="1">
        <v>13940</v>
      </c>
      <c r="B63" s="2">
        <v>0.08</v>
      </c>
    </row>
    <row r="64" spans="1:2" x14ac:dyDescent="0.25">
      <c r="A64" s="1">
        <v>13971</v>
      </c>
      <c r="B64" s="2">
        <v>0.09</v>
      </c>
    </row>
    <row r="65" spans="1:2" x14ac:dyDescent="0.25">
      <c r="A65" s="1">
        <v>14001</v>
      </c>
      <c r="B65" s="2">
        <v>0.05</v>
      </c>
    </row>
    <row r="66" spans="1:2" x14ac:dyDescent="0.25">
      <c r="A66" s="1">
        <v>14032</v>
      </c>
      <c r="B66" s="2">
        <v>0.05</v>
      </c>
    </row>
    <row r="67" spans="1:2" x14ac:dyDescent="0.25">
      <c r="A67" s="1">
        <v>14062</v>
      </c>
      <c r="B67" s="2">
        <v>7.0000000000000007E-2</v>
      </c>
    </row>
    <row r="68" spans="1:2" x14ac:dyDescent="0.25">
      <c r="A68" s="1">
        <v>14093</v>
      </c>
      <c r="B68" s="2">
        <v>0.06</v>
      </c>
    </row>
    <row r="69" spans="1:2" x14ac:dyDescent="0.25">
      <c r="A69" s="1">
        <v>14124</v>
      </c>
      <c r="B69" s="2">
        <v>0.08</v>
      </c>
    </row>
    <row r="70" spans="1:2" x14ac:dyDescent="0.25">
      <c r="A70" s="1">
        <v>14154</v>
      </c>
      <c r="B70" s="2">
        <v>0.05</v>
      </c>
    </row>
    <row r="71" spans="1:2" x14ac:dyDescent="0.25">
      <c r="A71" s="1">
        <v>14185</v>
      </c>
      <c r="B71" s="2">
        <v>0.04</v>
      </c>
    </row>
    <row r="72" spans="1:2" x14ac:dyDescent="0.25">
      <c r="A72" s="1">
        <v>14215</v>
      </c>
      <c r="B72" s="2">
        <v>0.03</v>
      </c>
    </row>
    <row r="73" spans="1:2" x14ac:dyDescent="0.25">
      <c r="A73" s="1">
        <v>14246</v>
      </c>
      <c r="B73" s="2">
        <v>0.03</v>
      </c>
    </row>
    <row r="74" spans="1:2" x14ac:dyDescent="0.25">
      <c r="A74" s="1">
        <v>14277</v>
      </c>
      <c r="B74" s="2">
        <v>0.03</v>
      </c>
    </row>
    <row r="75" spans="1:2" x14ac:dyDescent="0.25">
      <c r="A75" s="1">
        <v>14305</v>
      </c>
      <c r="B75" s="2">
        <v>0.03</v>
      </c>
    </row>
    <row r="76" spans="1:2" x14ac:dyDescent="0.25">
      <c r="A76" s="1">
        <v>14336</v>
      </c>
      <c r="B76" s="2">
        <v>0.03</v>
      </c>
    </row>
    <row r="77" spans="1:2" x14ac:dyDescent="0.25">
      <c r="A77" s="1">
        <v>14366</v>
      </c>
      <c r="B77" s="2">
        <v>0.03</v>
      </c>
    </row>
    <row r="78" spans="1:2" x14ac:dyDescent="0.25">
      <c r="A78" s="1">
        <v>14397</v>
      </c>
      <c r="B78" s="2">
        <v>0.03</v>
      </c>
    </row>
    <row r="79" spans="1:2" x14ac:dyDescent="0.25">
      <c r="A79" s="1">
        <v>14427</v>
      </c>
      <c r="B79" s="2">
        <v>0.04</v>
      </c>
    </row>
    <row r="80" spans="1:2" x14ac:dyDescent="0.25">
      <c r="A80" s="1">
        <v>14458</v>
      </c>
      <c r="B80" s="2">
        <v>0.05</v>
      </c>
    </row>
    <row r="81" spans="1:2" x14ac:dyDescent="0.25">
      <c r="A81" s="1">
        <v>14489</v>
      </c>
      <c r="B81" s="2">
        <v>0.14000000000000001</v>
      </c>
    </row>
    <row r="82" spans="1:2" x14ac:dyDescent="0.25">
      <c r="A82" s="1">
        <v>14519</v>
      </c>
      <c r="B82" s="2">
        <v>0.05</v>
      </c>
    </row>
    <row r="83" spans="1:2" x14ac:dyDescent="0.25">
      <c r="A83" s="1">
        <v>14550</v>
      </c>
      <c r="B83" s="2">
        <v>0.05</v>
      </c>
    </row>
    <row r="84" spans="1:2" x14ac:dyDescent="0.25">
      <c r="A84" s="1">
        <v>14580</v>
      </c>
      <c r="B84" s="2">
        <v>0.04</v>
      </c>
    </row>
    <row r="85" spans="1:2" x14ac:dyDescent="0.25">
      <c r="A85" s="1">
        <v>14611</v>
      </c>
      <c r="B85" s="2">
        <v>0.01</v>
      </c>
    </row>
    <row r="86" spans="1:2" x14ac:dyDescent="0.25">
      <c r="A86" s="1">
        <v>14642</v>
      </c>
      <c r="B86" s="2">
        <v>0.02</v>
      </c>
    </row>
    <row r="87" spans="1:2" x14ac:dyDescent="0.25">
      <c r="A87" s="1">
        <v>14671</v>
      </c>
      <c r="B87" s="2">
        <v>0.02</v>
      </c>
    </row>
    <row r="88" spans="1:2" x14ac:dyDescent="0.25">
      <c r="A88" s="1">
        <v>14702</v>
      </c>
      <c r="B88" s="2">
        <v>0.02</v>
      </c>
    </row>
    <row r="89" spans="1:2" x14ac:dyDescent="0.25">
      <c r="A89" s="1">
        <v>14732</v>
      </c>
      <c r="B89" s="2">
        <v>0.06</v>
      </c>
    </row>
    <row r="90" spans="1:2" x14ac:dyDescent="0.25">
      <c r="A90" s="1">
        <v>14763</v>
      </c>
      <c r="B90" s="2">
        <v>0.1</v>
      </c>
    </row>
    <row r="91" spans="1:2" x14ac:dyDescent="0.25">
      <c r="A91" s="1">
        <v>14793</v>
      </c>
      <c r="B91" s="2">
        <v>0.05</v>
      </c>
    </row>
    <row r="92" spans="1:2" x14ac:dyDescent="0.25">
      <c r="A92" s="1">
        <v>14824</v>
      </c>
      <c r="B92" s="2">
        <v>0.04</v>
      </c>
    </row>
    <row r="93" spans="1:2" x14ac:dyDescent="0.25">
      <c r="A93" s="1">
        <v>14855</v>
      </c>
      <c r="B93" s="2">
        <v>0.05</v>
      </c>
    </row>
    <row r="94" spans="1:2" x14ac:dyDescent="0.25">
      <c r="A94" s="1">
        <v>14885</v>
      </c>
      <c r="B94" s="2">
        <v>0.02</v>
      </c>
    </row>
    <row r="95" spans="1:2" x14ac:dyDescent="0.25">
      <c r="A95" s="1">
        <v>14916</v>
      </c>
      <c r="B95" s="2">
        <v>0.02</v>
      </c>
    </row>
    <row r="96" spans="1:2" x14ac:dyDescent="0.25">
      <c r="A96" s="1">
        <v>14946</v>
      </c>
      <c r="B96" s="2">
        <v>0.02</v>
      </c>
    </row>
    <row r="97" spans="1:2" x14ac:dyDescent="0.25">
      <c r="A97" s="1">
        <v>14977</v>
      </c>
      <c r="B97" s="2">
        <v>0.02</v>
      </c>
    </row>
    <row r="98" spans="1:2" x14ac:dyDescent="0.25">
      <c r="A98" s="1">
        <v>15008</v>
      </c>
      <c r="B98" s="2">
        <v>0.04</v>
      </c>
    </row>
    <row r="99" spans="1:2" x14ac:dyDescent="0.25">
      <c r="A99" s="1">
        <v>15036</v>
      </c>
      <c r="B99" s="2">
        <v>0.11</v>
      </c>
    </row>
    <row r="100" spans="1:2" x14ac:dyDescent="0.25">
      <c r="A100" s="1">
        <v>15067</v>
      </c>
      <c r="B100" s="2">
        <v>0.1</v>
      </c>
    </row>
    <row r="101" spans="1:2" x14ac:dyDescent="0.25">
      <c r="A101" s="1">
        <v>15097</v>
      </c>
      <c r="B101" s="2">
        <v>0.11</v>
      </c>
    </row>
    <row r="102" spans="1:2" x14ac:dyDescent="0.25">
      <c r="A102" s="1">
        <v>15128</v>
      </c>
      <c r="B102" s="2">
        <v>0.12</v>
      </c>
    </row>
    <row r="103" spans="1:2" x14ac:dyDescent="0.25">
      <c r="A103" s="1">
        <v>15158</v>
      </c>
      <c r="B103" s="2">
        <v>0.12</v>
      </c>
    </row>
    <row r="104" spans="1:2" x14ac:dyDescent="0.25">
      <c r="A104" s="1">
        <v>15189</v>
      </c>
      <c r="B104" s="2">
        <v>0.13</v>
      </c>
    </row>
    <row r="105" spans="1:2" x14ac:dyDescent="0.25">
      <c r="A105" s="1">
        <v>15220</v>
      </c>
      <c r="B105" s="2">
        <v>0.1</v>
      </c>
    </row>
    <row r="106" spans="1:2" x14ac:dyDescent="0.25">
      <c r="A106" s="1">
        <v>15250</v>
      </c>
      <c r="B106" s="2">
        <v>0.09</v>
      </c>
    </row>
    <row r="107" spans="1:2" x14ac:dyDescent="0.25">
      <c r="A107" s="1">
        <v>15281</v>
      </c>
      <c r="B107" s="2">
        <v>0.28000000000000003</v>
      </c>
    </row>
    <row r="108" spans="1:2" x14ac:dyDescent="0.25">
      <c r="A108" s="1">
        <v>15311</v>
      </c>
      <c r="B108" s="2">
        <v>0.33</v>
      </c>
    </row>
    <row r="109" spans="1:2" x14ac:dyDescent="0.25">
      <c r="A109" s="1">
        <v>15342</v>
      </c>
      <c r="B109" s="2">
        <v>0.27</v>
      </c>
    </row>
    <row r="110" spans="1:2" x14ac:dyDescent="0.25">
      <c r="A110" s="1">
        <v>15373</v>
      </c>
      <c r="B110" s="2">
        <v>0.25</v>
      </c>
    </row>
    <row r="111" spans="1:2" x14ac:dyDescent="0.25">
      <c r="A111" s="1">
        <v>15401</v>
      </c>
      <c r="B111" s="2">
        <v>0.25</v>
      </c>
    </row>
    <row r="112" spans="1:2" x14ac:dyDescent="0.25">
      <c r="A112" s="1">
        <v>15432</v>
      </c>
      <c r="B112" s="2">
        <v>0.32</v>
      </c>
    </row>
    <row r="113" spans="1:2" x14ac:dyDescent="0.25">
      <c r="A113" s="1">
        <v>15462</v>
      </c>
      <c r="B113" s="2">
        <v>0.37</v>
      </c>
    </row>
    <row r="114" spans="1:2" x14ac:dyDescent="0.25">
      <c r="A114" s="1">
        <v>15493</v>
      </c>
      <c r="B114" s="2">
        <v>0.37</v>
      </c>
    </row>
    <row r="115" spans="1:2" x14ac:dyDescent="0.25">
      <c r="A115" s="1">
        <v>15523</v>
      </c>
      <c r="B115" s="2">
        <v>0.38</v>
      </c>
    </row>
    <row r="116" spans="1:2" x14ac:dyDescent="0.25">
      <c r="A116" s="1">
        <v>15554</v>
      </c>
      <c r="B116" s="2">
        <v>0.38</v>
      </c>
    </row>
    <row r="117" spans="1:2" x14ac:dyDescent="0.25">
      <c r="A117" s="1">
        <v>15585</v>
      </c>
      <c r="B117" s="2">
        <v>0.38</v>
      </c>
    </row>
    <row r="118" spans="1:2" x14ac:dyDescent="0.25">
      <c r="A118" s="1">
        <v>15615</v>
      </c>
      <c r="B118" s="2">
        <v>0.38</v>
      </c>
    </row>
    <row r="119" spans="1:2" x14ac:dyDescent="0.25">
      <c r="A119" s="1">
        <v>15646</v>
      </c>
      <c r="B119" s="2">
        <v>0.38</v>
      </c>
    </row>
    <row r="120" spans="1:2" x14ac:dyDescent="0.25">
      <c r="A120" s="1">
        <v>15676</v>
      </c>
      <c r="B120" s="2">
        <v>0.38</v>
      </c>
    </row>
    <row r="121" spans="1:2" x14ac:dyDescent="0.25">
      <c r="A121" s="1">
        <v>15707</v>
      </c>
      <c r="B121" s="2">
        <v>0.38</v>
      </c>
    </row>
    <row r="122" spans="1:2" x14ac:dyDescent="0.25">
      <c r="A122" s="1">
        <v>15738</v>
      </c>
      <c r="B122" s="2">
        <v>0.38</v>
      </c>
    </row>
    <row r="123" spans="1:2" x14ac:dyDescent="0.25">
      <c r="A123" s="1">
        <v>15766</v>
      </c>
      <c r="B123" s="2">
        <v>0.38</v>
      </c>
    </row>
    <row r="124" spans="1:2" x14ac:dyDescent="0.25">
      <c r="A124" s="1">
        <v>15797</v>
      </c>
      <c r="B124" s="2">
        <v>0.38</v>
      </c>
    </row>
    <row r="125" spans="1:2" x14ac:dyDescent="0.25">
      <c r="A125" s="1">
        <v>15827</v>
      </c>
      <c r="B125" s="2">
        <v>0.38</v>
      </c>
    </row>
    <row r="126" spans="1:2" x14ac:dyDescent="0.25">
      <c r="A126" s="1">
        <v>15858</v>
      </c>
      <c r="B126" s="2">
        <v>0.38</v>
      </c>
    </row>
    <row r="127" spans="1:2" x14ac:dyDescent="0.25">
      <c r="A127" s="1">
        <v>15888</v>
      </c>
      <c r="B127" s="2">
        <v>0.38</v>
      </c>
    </row>
    <row r="128" spans="1:2" x14ac:dyDescent="0.25">
      <c r="A128" s="1">
        <v>15919</v>
      </c>
      <c r="B128" s="2">
        <v>0.38</v>
      </c>
    </row>
    <row r="129" spans="1:2" x14ac:dyDescent="0.25">
      <c r="A129" s="1">
        <v>15950</v>
      </c>
      <c r="B129" s="2">
        <v>0.38</v>
      </c>
    </row>
    <row r="130" spans="1:2" x14ac:dyDescent="0.25">
      <c r="A130" s="1">
        <v>15980</v>
      </c>
      <c r="B130" s="2">
        <v>0.38</v>
      </c>
    </row>
    <row r="131" spans="1:2" x14ac:dyDescent="0.25">
      <c r="A131" s="1">
        <v>16011</v>
      </c>
      <c r="B131" s="2">
        <v>0.38</v>
      </c>
    </row>
    <row r="132" spans="1:2" x14ac:dyDescent="0.25">
      <c r="A132" s="1">
        <v>16041</v>
      </c>
      <c r="B132" s="2">
        <v>0.38</v>
      </c>
    </row>
    <row r="133" spans="1:2" x14ac:dyDescent="0.25">
      <c r="A133" s="1">
        <v>16072</v>
      </c>
      <c r="B133" s="2">
        <v>0.38</v>
      </c>
    </row>
    <row r="134" spans="1:2" x14ac:dyDescent="0.25">
      <c r="A134" s="1">
        <v>16103</v>
      </c>
      <c r="B134" s="2">
        <v>0.38</v>
      </c>
    </row>
    <row r="135" spans="1:2" x14ac:dyDescent="0.25">
      <c r="A135" s="1">
        <v>16132</v>
      </c>
      <c r="B135" s="2">
        <v>0.38</v>
      </c>
    </row>
    <row r="136" spans="1:2" x14ac:dyDescent="0.25">
      <c r="A136" s="1">
        <v>16163</v>
      </c>
      <c r="B136" s="2">
        <v>0.38</v>
      </c>
    </row>
    <row r="137" spans="1:2" x14ac:dyDescent="0.25">
      <c r="A137" s="1">
        <v>16193</v>
      </c>
      <c r="B137" s="2">
        <v>0.38</v>
      </c>
    </row>
    <row r="138" spans="1:2" x14ac:dyDescent="0.25">
      <c r="A138" s="1">
        <v>16224</v>
      </c>
      <c r="B138" s="2">
        <v>0.38</v>
      </c>
    </row>
    <row r="139" spans="1:2" x14ac:dyDescent="0.25">
      <c r="A139" s="1">
        <v>16254</v>
      </c>
      <c r="B139" s="2">
        <v>0.38</v>
      </c>
    </row>
    <row r="140" spans="1:2" x14ac:dyDescent="0.25">
      <c r="A140" s="1">
        <v>16285</v>
      </c>
      <c r="B140" s="2">
        <v>0.38</v>
      </c>
    </row>
    <row r="141" spans="1:2" x14ac:dyDescent="0.25">
      <c r="A141" s="1">
        <v>16316</v>
      </c>
      <c r="B141" s="2">
        <v>0.38</v>
      </c>
    </row>
    <row r="142" spans="1:2" x14ac:dyDescent="0.25">
      <c r="A142" s="1">
        <v>16346</v>
      </c>
      <c r="B142" s="2">
        <v>0.38</v>
      </c>
    </row>
    <row r="143" spans="1:2" x14ac:dyDescent="0.25">
      <c r="A143" s="1">
        <v>16377</v>
      </c>
      <c r="B143" s="2">
        <v>0.38</v>
      </c>
    </row>
    <row r="144" spans="1:2" x14ac:dyDescent="0.25">
      <c r="A144" s="1">
        <v>16407</v>
      </c>
      <c r="B144" s="2">
        <v>0.38</v>
      </c>
    </row>
    <row r="145" spans="1:2" x14ac:dyDescent="0.25">
      <c r="A145" s="1">
        <v>16438</v>
      </c>
      <c r="B145" s="2">
        <v>0.38</v>
      </c>
    </row>
    <row r="146" spans="1:2" x14ac:dyDescent="0.25">
      <c r="A146" s="1">
        <v>16469</v>
      </c>
      <c r="B146" s="2">
        <v>0.38</v>
      </c>
    </row>
    <row r="147" spans="1:2" x14ac:dyDescent="0.25">
      <c r="A147" s="1">
        <v>16497</v>
      </c>
      <c r="B147" s="2">
        <v>0.38</v>
      </c>
    </row>
    <row r="148" spans="1:2" x14ac:dyDescent="0.25">
      <c r="A148" s="1">
        <v>16528</v>
      </c>
      <c r="B148" s="2">
        <v>0.38</v>
      </c>
    </row>
    <row r="149" spans="1:2" x14ac:dyDescent="0.25">
      <c r="A149" s="1">
        <v>16558</v>
      </c>
      <c r="B149" s="2">
        <v>0.38</v>
      </c>
    </row>
    <row r="150" spans="1:2" x14ac:dyDescent="0.25">
      <c r="A150" s="1">
        <v>16589</v>
      </c>
      <c r="B150" s="2">
        <v>0.38</v>
      </c>
    </row>
    <row r="151" spans="1:2" x14ac:dyDescent="0.25">
      <c r="A151" s="1">
        <v>16619</v>
      </c>
      <c r="B151" s="2">
        <v>0.38</v>
      </c>
    </row>
    <row r="152" spans="1:2" x14ac:dyDescent="0.25">
      <c r="A152" s="1">
        <v>16650</v>
      </c>
      <c r="B152" s="2">
        <v>0.38</v>
      </c>
    </row>
    <row r="153" spans="1:2" x14ac:dyDescent="0.25">
      <c r="A153" s="1">
        <v>16681</v>
      </c>
      <c r="B153" s="2">
        <v>0.38</v>
      </c>
    </row>
    <row r="154" spans="1:2" x14ac:dyDescent="0.25">
      <c r="A154" s="1">
        <v>16711</v>
      </c>
      <c r="B154" s="2">
        <v>0.38</v>
      </c>
    </row>
    <row r="155" spans="1:2" x14ac:dyDescent="0.25">
      <c r="A155" s="1">
        <v>16742</v>
      </c>
      <c r="B155" s="2">
        <v>0.38</v>
      </c>
    </row>
    <row r="156" spans="1:2" x14ac:dyDescent="0.25">
      <c r="A156" s="1">
        <v>16772</v>
      </c>
      <c r="B156" s="2">
        <v>0.38</v>
      </c>
    </row>
    <row r="157" spans="1:2" x14ac:dyDescent="0.25">
      <c r="A157" s="1">
        <v>16803</v>
      </c>
      <c r="B157" s="2">
        <v>0.38</v>
      </c>
    </row>
    <row r="158" spans="1:2" x14ac:dyDescent="0.25">
      <c r="A158" s="1">
        <v>16834</v>
      </c>
      <c r="B158" s="2">
        <v>0.38</v>
      </c>
    </row>
    <row r="159" spans="1:2" x14ac:dyDescent="0.25">
      <c r="A159" s="1">
        <v>16862</v>
      </c>
      <c r="B159" s="2">
        <v>0.38</v>
      </c>
    </row>
    <row r="160" spans="1:2" x14ac:dyDescent="0.25">
      <c r="A160" s="1">
        <v>16893</v>
      </c>
      <c r="B160" s="2">
        <v>0.38</v>
      </c>
    </row>
    <row r="161" spans="1:2" x14ac:dyDescent="0.25">
      <c r="A161" s="1">
        <v>16923</v>
      </c>
      <c r="B161" s="2">
        <v>0.38</v>
      </c>
    </row>
    <row r="162" spans="1:2" x14ac:dyDescent="0.25">
      <c r="A162" s="1">
        <v>16954</v>
      </c>
      <c r="B162" s="2">
        <v>0.38</v>
      </c>
    </row>
    <row r="163" spans="1:2" x14ac:dyDescent="0.25">
      <c r="A163" s="1">
        <v>16984</v>
      </c>
      <c r="B163" s="2">
        <v>0.38</v>
      </c>
    </row>
    <row r="164" spans="1:2" x14ac:dyDescent="0.25">
      <c r="A164" s="1">
        <v>17015</v>
      </c>
      <c r="B164" s="2">
        <v>0.38</v>
      </c>
    </row>
    <row r="165" spans="1:2" x14ac:dyDescent="0.25">
      <c r="A165" s="1">
        <v>17046</v>
      </c>
      <c r="B165" s="2">
        <v>0.38</v>
      </c>
    </row>
    <row r="166" spans="1:2" x14ac:dyDescent="0.25">
      <c r="A166" s="1">
        <v>17076</v>
      </c>
      <c r="B166" s="2">
        <v>0.38</v>
      </c>
    </row>
    <row r="167" spans="1:2" x14ac:dyDescent="0.25">
      <c r="A167" s="1">
        <v>17107</v>
      </c>
      <c r="B167" s="2">
        <v>0.38</v>
      </c>
    </row>
    <row r="168" spans="1:2" x14ac:dyDescent="0.25">
      <c r="A168" s="1">
        <v>17137</v>
      </c>
      <c r="B168" s="2">
        <v>0.38</v>
      </c>
    </row>
    <row r="169" spans="1:2" x14ac:dyDescent="0.25">
      <c r="A169" s="1">
        <v>17168</v>
      </c>
      <c r="B169" s="2">
        <v>0.38</v>
      </c>
    </row>
    <row r="170" spans="1:2" x14ac:dyDescent="0.25">
      <c r="A170" s="1">
        <v>17199</v>
      </c>
      <c r="B170" s="2">
        <v>0.38</v>
      </c>
    </row>
    <row r="171" spans="1:2" x14ac:dyDescent="0.25">
      <c r="A171" s="1">
        <v>17227</v>
      </c>
      <c r="B171" s="2">
        <v>0.38</v>
      </c>
    </row>
    <row r="172" spans="1:2" x14ac:dyDescent="0.25">
      <c r="A172" s="1">
        <v>17258</v>
      </c>
      <c r="B172" s="2">
        <v>0.38</v>
      </c>
    </row>
    <row r="173" spans="1:2" x14ac:dyDescent="0.25">
      <c r="A173" s="1">
        <v>17288</v>
      </c>
      <c r="B173" s="2">
        <v>0.38</v>
      </c>
    </row>
    <row r="174" spans="1:2" x14ac:dyDescent="0.25">
      <c r="A174" s="1">
        <v>17319</v>
      </c>
      <c r="B174" s="2">
        <v>0.38</v>
      </c>
    </row>
    <row r="175" spans="1:2" x14ac:dyDescent="0.25">
      <c r="A175" s="1">
        <v>17349</v>
      </c>
      <c r="B175" s="2">
        <v>0.66</v>
      </c>
    </row>
    <row r="176" spans="1:2" x14ac:dyDescent="0.25">
      <c r="A176" s="1">
        <v>17380</v>
      </c>
      <c r="B176" s="2">
        <v>0.75</v>
      </c>
    </row>
    <row r="177" spans="1:2" x14ac:dyDescent="0.25">
      <c r="A177" s="1">
        <v>17411</v>
      </c>
      <c r="B177" s="2">
        <v>0.8</v>
      </c>
    </row>
    <row r="178" spans="1:2" x14ac:dyDescent="0.25">
      <c r="A178" s="1">
        <v>17441</v>
      </c>
      <c r="B178" s="2">
        <v>0.85</v>
      </c>
    </row>
    <row r="179" spans="1:2" x14ac:dyDescent="0.25">
      <c r="A179" s="1">
        <v>17472</v>
      </c>
      <c r="B179" s="2">
        <v>0.92</v>
      </c>
    </row>
    <row r="180" spans="1:2" x14ac:dyDescent="0.25">
      <c r="A180" s="1">
        <v>17502</v>
      </c>
      <c r="B180" s="2">
        <v>0.95</v>
      </c>
    </row>
    <row r="181" spans="1:2" x14ac:dyDescent="0.25">
      <c r="A181" s="1">
        <v>17533</v>
      </c>
      <c r="B181" s="2">
        <v>0.97</v>
      </c>
    </row>
    <row r="182" spans="1:2" x14ac:dyDescent="0.25">
      <c r="A182" s="1">
        <v>17564</v>
      </c>
      <c r="B182" s="2">
        <v>1</v>
      </c>
    </row>
    <row r="183" spans="1:2" x14ac:dyDescent="0.25">
      <c r="A183" s="1">
        <v>17593</v>
      </c>
      <c r="B183" s="2">
        <v>1</v>
      </c>
    </row>
    <row r="184" spans="1:2" x14ac:dyDescent="0.25">
      <c r="A184" s="1">
        <v>17624</v>
      </c>
      <c r="B184" s="2">
        <v>1</v>
      </c>
    </row>
    <row r="185" spans="1:2" x14ac:dyDescent="0.25">
      <c r="A185" s="1">
        <v>17654</v>
      </c>
      <c r="B185" s="2">
        <v>1</v>
      </c>
    </row>
    <row r="186" spans="1:2" x14ac:dyDescent="0.25">
      <c r="A186" s="1">
        <v>17685</v>
      </c>
      <c r="B186" s="2">
        <v>1</v>
      </c>
    </row>
    <row r="187" spans="1:2" x14ac:dyDescent="0.25">
      <c r="A187" s="1">
        <v>17715</v>
      </c>
      <c r="B187" s="2">
        <v>1</v>
      </c>
    </row>
    <row r="188" spans="1:2" x14ac:dyDescent="0.25">
      <c r="A188" s="1">
        <v>17746</v>
      </c>
      <c r="B188" s="2">
        <v>1.06</v>
      </c>
    </row>
    <row r="189" spans="1:2" x14ac:dyDescent="0.25">
      <c r="A189" s="1">
        <v>17777</v>
      </c>
      <c r="B189" s="2">
        <v>1.0900000000000001</v>
      </c>
    </row>
    <row r="190" spans="1:2" x14ac:dyDescent="0.25">
      <c r="A190" s="1">
        <v>17807</v>
      </c>
      <c r="B190" s="2">
        <v>1.1200000000000001</v>
      </c>
    </row>
    <row r="191" spans="1:2" x14ac:dyDescent="0.25">
      <c r="A191" s="1">
        <v>17838</v>
      </c>
      <c r="B191" s="2">
        <v>1.1399999999999999</v>
      </c>
    </row>
    <row r="192" spans="1:2" x14ac:dyDescent="0.25">
      <c r="A192" s="1">
        <v>17868</v>
      </c>
      <c r="B192" s="2">
        <v>1.1599999999999999</v>
      </c>
    </row>
    <row r="193" spans="1:2" x14ac:dyDescent="0.25">
      <c r="A193" s="1">
        <v>17899</v>
      </c>
      <c r="B193" s="2">
        <v>1.17</v>
      </c>
    </row>
    <row r="194" spans="1:2" x14ac:dyDescent="0.25">
      <c r="A194" s="1">
        <v>17930</v>
      </c>
      <c r="B194" s="2">
        <v>1.17</v>
      </c>
    </row>
    <row r="195" spans="1:2" x14ac:dyDescent="0.25">
      <c r="A195" s="1">
        <v>17958</v>
      </c>
      <c r="B195" s="2">
        <v>1.17</v>
      </c>
    </row>
    <row r="196" spans="1:2" x14ac:dyDescent="0.25">
      <c r="A196" s="1">
        <v>17989</v>
      </c>
      <c r="B196" s="2">
        <v>1.17</v>
      </c>
    </row>
    <row r="197" spans="1:2" x14ac:dyDescent="0.25">
      <c r="A197" s="1">
        <v>18019</v>
      </c>
      <c r="B197" s="2">
        <v>1.17</v>
      </c>
    </row>
    <row r="198" spans="1:2" x14ac:dyDescent="0.25">
      <c r="A198" s="1">
        <v>18050</v>
      </c>
      <c r="B198" s="2">
        <v>1.17</v>
      </c>
    </row>
    <row r="199" spans="1:2" x14ac:dyDescent="0.25">
      <c r="A199" s="1">
        <v>18080</v>
      </c>
      <c r="B199" s="2">
        <v>1.02</v>
      </c>
    </row>
    <row r="200" spans="1:2" x14ac:dyDescent="0.25">
      <c r="A200" s="1">
        <v>18111</v>
      </c>
      <c r="B200" s="2">
        <v>1.04</v>
      </c>
    </row>
    <row r="201" spans="1:2" x14ac:dyDescent="0.25">
      <c r="A201" s="1">
        <v>18142</v>
      </c>
      <c r="B201" s="2">
        <v>1.07</v>
      </c>
    </row>
    <row r="202" spans="1:2" x14ac:dyDescent="0.25">
      <c r="A202" s="1">
        <v>18172</v>
      </c>
      <c r="B202" s="2">
        <v>1.05</v>
      </c>
    </row>
    <row r="203" spans="1:2" x14ac:dyDescent="0.25">
      <c r="A203" s="1">
        <v>18203</v>
      </c>
      <c r="B203" s="2">
        <v>1.08</v>
      </c>
    </row>
    <row r="204" spans="1:2" x14ac:dyDescent="0.25">
      <c r="A204" s="1">
        <v>18233</v>
      </c>
      <c r="B204" s="2">
        <v>1.1000000000000001</v>
      </c>
    </row>
    <row r="205" spans="1:2" x14ac:dyDescent="0.25">
      <c r="A205" s="1">
        <v>18264</v>
      </c>
      <c r="B205" s="2">
        <v>1.07</v>
      </c>
    </row>
    <row r="206" spans="1:2" x14ac:dyDescent="0.25">
      <c r="A206" s="1">
        <v>18295</v>
      </c>
      <c r="B206" s="2">
        <v>1.1200000000000001</v>
      </c>
    </row>
    <row r="207" spans="1:2" x14ac:dyDescent="0.25">
      <c r="A207" s="1">
        <v>18323</v>
      </c>
      <c r="B207" s="2">
        <v>1.1200000000000001</v>
      </c>
    </row>
    <row r="208" spans="1:2" x14ac:dyDescent="0.25">
      <c r="A208" s="1">
        <v>18354</v>
      </c>
      <c r="B208" s="2">
        <v>1.1499999999999999</v>
      </c>
    </row>
    <row r="209" spans="1:2" x14ac:dyDescent="0.25">
      <c r="A209" s="1">
        <v>18384</v>
      </c>
      <c r="B209" s="2">
        <v>1.1599999999999999</v>
      </c>
    </row>
    <row r="210" spans="1:2" x14ac:dyDescent="0.25">
      <c r="A210" s="1">
        <v>18415</v>
      </c>
      <c r="B210" s="2">
        <v>1.1499999999999999</v>
      </c>
    </row>
    <row r="211" spans="1:2" x14ac:dyDescent="0.25">
      <c r="A211" s="1">
        <v>18445</v>
      </c>
      <c r="B211" s="2">
        <v>1.1599999999999999</v>
      </c>
    </row>
    <row r="212" spans="1:2" x14ac:dyDescent="0.25">
      <c r="A212" s="1">
        <v>18476</v>
      </c>
      <c r="B212" s="2">
        <v>1.2</v>
      </c>
    </row>
    <row r="213" spans="1:2" x14ac:dyDescent="0.25">
      <c r="A213" s="1">
        <v>18507</v>
      </c>
      <c r="B213" s="2">
        <v>1.3</v>
      </c>
    </row>
    <row r="214" spans="1:2" x14ac:dyDescent="0.25">
      <c r="A214" s="1">
        <v>18537</v>
      </c>
      <c r="B214" s="2">
        <v>1.31</v>
      </c>
    </row>
    <row r="215" spans="1:2" x14ac:dyDescent="0.25">
      <c r="A215" s="1">
        <v>18568</v>
      </c>
      <c r="B215" s="2">
        <v>1.36</v>
      </c>
    </row>
    <row r="216" spans="1:2" x14ac:dyDescent="0.25">
      <c r="A216" s="1">
        <v>18598</v>
      </c>
      <c r="B216" s="2">
        <v>1.34</v>
      </c>
    </row>
    <row r="217" spans="1:2" x14ac:dyDescent="0.25">
      <c r="A217" s="1">
        <v>18629</v>
      </c>
      <c r="B217" s="2">
        <v>1.34</v>
      </c>
    </row>
    <row r="218" spans="1:2" x14ac:dyDescent="0.25">
      <c r="A218" s="1">
        <v>18660</v>
      </c>
      <c r="B218" s="2">
        <v>1.36</v>
      </c>
    </row>
    <row r="219" spans="1:2" x14ac:dyDescent="0.25">
      <c r="A219" s="1">
        <v>18688</v>
      </c>
      <c r="B219" s="2">
        <v>1.4</v>
      </c>
    </row>
    <row r="220" spans="1:2" x14ac:dyDescent="0.25">
      <c r="A220" s="1">
        <v>18719</v>
      </c>
      <c r="B220" s="2">
        <v>1.47</v>
      </c>
    </row>
    <row r="221" spans="1:2" x14ac:dyDescent="0.25">
      <c r="A221" s="1">
        <v>18749</v>
      </c>
      <c r="B221" s="2">
        <v>1.55</v>
      </c>
    </row>
    <row r="222" spans="1:2" x14ac:dyDescent="0.25">
      <c r="A222" s="1">
        <v>18780</v>
      </c>
      <c r="B222" s="2">
        <v>1.45</v>
      </c>
    </row>
    <row r="223" spans="1:2" x14ac:dyDescent="0.25">
      <c r="A223" s="1">
        <v>18810</v>
      </c>
      <c r="B223" s="2">
        <v>1.56</v>
      </c>
    </row>
    <row r="224" spans="1:2" x14ac:dyDescent="0.25">
      <c r="A224" s="1">
        <v>18841</v>
      </c>
      <c r="B224" s="2">
        <v>1.62</v>
      </c>
    </row>
    <row r="225" spans="1:2" x14ac:dyDescent="0.25">
      <c r="A225" s="1">
        <v>18872</v>
      </c>
      <c r="B225" s="2">
        <v>1.63</v>
      </c>
    </row>
    <row r="226" spans="1:2" x14ac:dyDescent="0.25">
      <c r="A226" s="1">
        <v>18902</v>
      </c>
      <c r="B226" s="2">
        <v>1.54</v>
      </c>
    </row>
    <row r="227" spans="1:2" x14ac:dyDescent="0.25">
      <c r="A227" s="1">
        <v>18933</v>
      </c>
      <c r="B227" s="2">
        <v>1.56</v>
      </c>
    </row>
    <row r="228" spans="1:2" x14ac:dyDescent="0.25">
      <c r="A228" s="1">
        <v>18963</v>
      </c>
      <c r="B228" s="2">
        <v>1.73</v>
      </c>
    </row>
    <row r="229" spans="1:2" x14ac:dyDescent="0.25">
      <c r="A229" s="1">
        <v>18994</v>
      </c>
      <c r="B229" s="2">
        <v>1.57</v>
      </c>
    </row>
    <row r="230" spans="1:2" x14ac:dyDescent="0.25">
      <c r="A230" s="1">
        <v>19025</v>
      </c>
      <c r="B230" s="2">
        <v>1.54</v>
      </c>
    </row>
    <row r="231" spans="1:2" x14ac:dyDescent="0.25">
      <c r="A231" s="1">
        <v>19054</v>
      </c>
      <c r="B231" s="2">
        <v>1.59</v>
      </c>
    </row>
    <row r="232" spans="1:2" x14ac:dyDescent="0.25">
      <c r="A232" s="1">
        <v>19085</v>
      </c>
      <c r="B232" s="2">
        <v>1.57</v>
      </c>
    </row>
    <row r="233" spans="1:2" x14ac:dyDescent="0.25">
      <c r="A233" s="1">
        <v>19115</v>
      </c>
      <c r="B233" s="2">
        <v>1.67</v>
      </c>
    </row>
    <row r="234" spans="1:2" x14ac:dyDescent="0.25">
      <c r="A234" s="1">
        <v>19146</v>
      </c>
      <c r="B234" s="2">
        <v>1.7</v>
      </c>
    </row>
    <row r="235" spans="1:2" x14ac:dyDescent="0.25">
      <c r="A235" s="1">
        <v>19176</v>
      </c>
      <c r="B235" s="2">
        <v>1.81</v>
      </c>
    </row>
    <row r="236" spans="1:2" x14ac:dyDescent="0.25">
      <c r="A236" s="1">
        <v>19207</v>
      </c>
      <c r="B236" s="2">
        <v>1.83</v>
      </c>
    </row>
    <row r="237" spans="1:2" x14ac:dyDescent="0.25">
      <c r="A237" s="1">
        <v>19238</v>
      </c>
      <c r="B237" s="2">
        <v>1.71</v>
      </c>
    </row>
    <row r="238" spans="1:2" x14ac:dyDescent="0.25">
      <c r="A238" s="1">
        <v>19268</v>
      </c>
      <c r="B238" s="2">
        <v>1.74</v>
      </c>
    </row>
    <row r="239" spans="1:2" x14ac:dyDescent="0.25">
      <c r="A239" s="1">
        <v>19299</v>
      </c>
      <c r="B239" s="2">
        <v>1.85</v>
      </c>
    </row>
    <row r="240" spans="1:2" x14ac:dyDescent="0.25">
      <c r="A240" s="1">
        <v>19329</v>
      </c>
      <c r="B240" s="2">
        <v>2.09</v>
      </c>
    </row>
    <row r="241" spans="1:2" x14ac:dyDescent="0.25">
      <c r="A241" s="1">
        <v>19360</v>
      </c>
      <c r="B241" s="2">
        <v>1.96</v>
      </c>
    </row>
    <row r="242" spans="1:2" x14ac:dyDescent="0.25">
      <c r="A242" s="1">
        <v>19391</v>
      </c>
      <c r="B242" s="2">
        <v>1.97</v>
      </c>
    </row>
    <row r="243" spans="1:2" x14ac:dyDescent="0.25">
      <c r="A243" s="1">
        <v>19419</v>
      </c>
      <c r="B243" s="2">
        <v>2.0099999999999998</v>
      </c>
    </row>
    <row r="244" spans="1:2" x14ac:dyDescent="0.25">
      <c r="A244" s="1">
        <v>19450</v>
      </c>
      <c r="B244" s="2">
        <v>2.19</v>
      </c>
    </row>
    <row r="245" spans="1:2" x14ac:dyDescent="0.25">
      <c r="A245" s="1">
        <v>19480</v>
      </c>
      <c r="B245" s="2">
        <v>2.16</v>
      </c>
    </row>
    <row r="246" spans="1:2" x14ac:dyDescent="0.25">
      <c r="A246" s="1">
        <v>19511</v>
      </c>
      <c r="B246" s="2">
        <v>2.11</v>
      </c>
    </row>
    <row r="247" spans="1:2" x14ac:dyDescent="0.25">
      <c r="A247" s="1">
        <v>19541</v>
      </c>
      <c r="B247" s="2">
        <v>2.04</v>
      </c>
    </row>
    <row r="248" spans="1:2" x14ac:dyDescent="0.25">
      <c r="A248" s="1">
        <v>19572</v>
      </c>
      <c r="B248" s="2">
        <v>2.04</v>
      </c>
    </row>
    <row r="249" spans="1:2" x14ac:dyDescent="0.25">
      <c r="A249" s="1">
        <v>19603</v>
      </c>
      <c r="B249" s="2">
        <v>1.79</v>
      </c>
    </row>
    <row r="250" spans="1:2" x14ac:dyDescent="0.25">
      <c r="A250" s="1">
        <v>19633</v>
      </c>
      <c r="B250" s="2">
        <v>1.38</v>
      </c>
    </row>
    <row r="251" spans="1:2" x14ac:dyDescent="0.25">
      <c r="A251" s="1">
        <v>19664</v>
      </c>
      <c r="B251" s="2">
        <v>1.44</v>
      </c>
    </row>
    <row r="252" spans="1:2" x14ac:dyDescent="0.25">
      <c r="A252" s="1">
        <v>19694</v>
      </c>
      <c r="B252" s="2">
        <v>1.6</v>
      </c>
    </row>
    <row r="253" spans="1:2" x14ac:dyDescent="0.25">
      <c r="A253" s="1">
        <v>19725</v>
      </c>
      <c r="B253" s="2">
        <v>1.18</v>
      </c>
    </row>
    <row r="254" spans="1:2" x14ac:dyDescent="0.25">
      <c r="A254" s="1">
        <v>19756</v>
      </c>
      <c r="B254" s="2">
        <v>0.97</v>
      </c>
    </row>
    <row r="255" spans="1:2" x14ac:dyDescent="0.25">
      <c r="A255" s="1">
        <v>19784</v>
      </c>
      <c r="B255" s="2">
        <v>1.03</v>
      </c>
    </row>
    <row r="256" spans="1:2" x14ac:dyDescent="0.25">
      <c r="A256" s="1">
        <v>19815</v>
      </c>
      <c r="B256" s="2">
        <v>0.97</v>
      </c>
    </row>
    <row r="257" spans="1:2" x14ac:dyDescent="0.25">
      <c r="A257" s="1">
        <v>19845</v>
      </c>
      <c r="B257" s="2">
        <v>0.76</v>
      </c>
    </row>
    <row r="258" spans="1:2" x14ac:dyDescent="0.25">
      <c r="A258" s="1">
        <v>19876</v>
      </c>
      <c r="B258" s="2">
        <v>0.64</v>
      </c>
    </row>
    <row r="259" spans="1:2" x14ac:dyDescent="0.25">
      <c r="A259" s="1">
        <v>19906</v>
      </c>
      <c r="B259" s="2">
        <v>0.72</v>
      </c>
    </row>
    <row r="260" spans="1:2" x14ac:dyDescent="0.25">
      <c r="A260" s="1">
        <v>19937</v>
      </c>
      <c r="B260" s="2">
        <v>0.92</v>
      </c>
    </row>
    <row r="261" spans="1:2" x14ac:dyDescent="0.25">
      <c r="A261" s="1">
        <v>19968</v>
      </c>
      <c r="B261" s="2">
        <v>1.01</v>
      </c>
    </row>
    <row r="262" spans="1:2" x14ac:dyDescent="0.25">
      <c r="A262" s="1">
        <v>19998</v>
      </c>
      <c r="B262" s="2">
        <v>0.98</v>
      </c>
    </row>
    <row r="263" spans="1:2" x14ac:dyDescent="0.25">
      <c r="A263" s="1">
        <v>20029</v>
      </c>
      <c r="B263" s="2">
        <v>0.93</v>
      </c>
    </row>
    <row r="264" spans="1:2" x14ac:dyDescent="0.25">
      <c r="A264" s="1">
        <v>20059</v>
      </c>
      <c r="B264" s="2">
        <v>1.1499999999999999</v>
      </c>
    </row>
    <row r="265" spans="1:2" x14ac:dyDescent="0.25">
      <c r="A265" s="1">
        <v>20090</v>
      </c>
      <c r="B265" s="2">
        <v>1.22</v>
      </c>
    </row>
    <row r="266" spans="1:2" x14ac:dyDescent="0.25">
      <c r="A266" s="1">
        <v>20121</v>
      </c>
      <c r="B266" s="2">
        <v>1.17</v>
      </c>
    </row>
    <row r="267" spans="1:2" x14ac:dyDescent="0.25">
      <c r="A267" s="1">
        <v>20149</v>
      </c>
      <c r="B267" s="2">
        <v>1.28</v>
      </c>
    </row>
    <row r="268" spans="1:2" x14ac:dyDescent="0.25">
      <c r="A268" s="1">
        <v>20180</v>
      </c>
      <c r="B268" s="2">
        <v>1.59</v>
      </c>
    </row>
    <row r="269" spans="1:2" x14ac:dyDescent="0.25">
      <c r="A269" s="1">
        <v>20210</v>
      </c>
      <c r="B269" s="2">
        <v>1.45</v>
      </c>
    </row>
    <row r="270" spans="1:2" x14ac:dyDescent="0.25">
      <c r="A270" s="1">
        <v>20241</v>
      </c>
      <c r="B270" s="2">
        <v>1.41</v>
      </c>
    </row>
    <row r="271" spans="1:2" x14ac:dyDescent="0.25">
      <c r="A271" s="1">
        <v>20271</v>
      </c>
      <c r="B271" s="2">
        <v>1.6</v>
      </c>
    </row>
    <row r="272" spans="1:2" x14ac:dyDescent="0.25">
      <c r="A272" s="1">
        <v>20302</v>
      </c>
      <c r="B272" s="2">
        <v>1.9</v>
      </c>
    </row>
    <row r="273" spans="1:2" x14ac:dyDescent="0.25">
      <c r="A273" s="1">
        <v>20333</v>
      </c>
      <c r="B273" s="2">
        <v>2.0699999999999998</v>
      </c>
    </row>
    <row r="274" spans="1:2" x14ac:dyDescent="0.25">
      <c r="A274" s="1">
        <v>20363</v>
      </c>
      <c r="B274" s="2">
        <v>2.23</v>
      </c>
    </row>
    <row r="275" spans="1:2" x14ac:dyDescent="0.25">
      <c r="A275" s="1">
        <v>20394</v>
      </c>
      <c r="B275" s="2">
        <v>2.2400000000000002</v>
      </c>
    </row>
    <row r="276" spans="1:2" x14ac:dyDescent="0.25">
      <c r="A276" s="1">
        <v>20424</v>
      </c>
      <c r="B276" s="2">
        <v>2.54</v>
      </c>
    </row>
    <row r="277" spans="1:2" x14ac:dyDescent="0.25">
      <c r="A277" s="1">
        <v>20455</v>
      </c>
      <c r="B277" s="2">
        <v>2.41</v>
      </c>
    </row>
    <row r="278" spans="1:2" x14ac:dyDescent="0.25">
      <c r="A278" s="1">
        <v>20486</v>
      </c>
      <c r="B278" s="2">
        <v>2.3199999999999998</v>
      </c>
    </row>
    <row r="279" spans="1:2" x14ac:dyDescent="0.25">
      <c r="A279" s="1">
        <v>20515</v>
      </c>
      <c r="B279" s="2">
        <v>2.25</v>
      </c>
    </row>
    <row r="280" spans="1:2" x14ac:dyDescent="0.25">
      <c r="A280" s="1">
        <v>20546</v>
      </c>
      <c r="B280" s="2">
        <v>2.6</v>
      </c>
    </row>
    <row r="281" spans="1:2" x14ac:dyDescent="0.25">
      <c r="A281" s="1">
        <v>20576</v>
      </c>
      <c r="B281" s="2">
        <v>2.61</v>
      </c>
    </row>
    <row r="282" spans="1:2" x14ac:dyDescent="0.25">
      <c r="A282" s="1">
        <v>20607</v>
      </c>
      <c r="B282" s="2">
        <v>2.4900000000000002</v>
      </c>
    </row>
    <row r="283" spans="1:2" x14ac:dyDescent="0.25">
      <c r="A283" s="1">
        <v>20637</v>
      </c>
      <c r="B283" s="2">
        <v>2.31</v>
      </c>
    </row>
    <row r="284" spans="1:2" x14ac:dyDescent="0.25">
      <c r="A284" s="1">
        <v>20668</v>
      </c>
      <c r="B284" s="2">
        <v>2.6</v>
      </c>
    </row>
    <row r="285" spans="1:2" x14ac:dyDescent="0.25">
      <c r="A285" s="1">
        <v>20699</v>
      </c>
      <c r="B285" s="2">
        <v>2.84</v>
      </c>
    </row>
    <row r="286" spans="1:2" x14ac:dyDescent="0.25">
      <c r="A286" s="1">
        <v>20729</v>
      </c>
      <c r="B286" s="2">
        <v>2.9</v>
      </c>
    </row>
    <row r="287" spans="1:2" x14ac:dyDescent="0.25">
      <c r="A287" s="1">
        <v>20760</v>
      </c>
      <c r="B287" s="2">
        <v>2.99</v>
      </c>
    </row>
    <row r="288" spans="1:2" x14ac:dyDescent="0.25">
      <c r="A288" s="1">
        <v>20790</v>
      </c>
      <c r="B288" s="2">
        <v>3.21</v>
      </c>
    </row>
    <row r="289" spans="1:2" x14ac:dyDescent="0.25">
      <c r="A289" s="1">
        <v>20821</v>
      </c>
      <c r="B289" s="2">
        <v>3.11</v>
      </c>
    </row>
    <row r="290" spans="1:2" x14ac:dyDescent="0.25">
      <c r="A290" s="1">
        <v>20852</v>
      </c>
      <c r="B290" s="2">
        <v>3.1</v>
      </c>
    </row>
    <row r="291" spans="1:2" x14ac:dyDescent="0.25">
      <c r="A291" s="1">
        <v>20880</v>
      </c>
      <c r="B291" s="2">
        <v>3.08</v>
      </c>
    </row>
    <row r="292" spans="1:2" x14ac:dyDescent="0.25">
      <c r="A292" s="1">
        <v>20911</v>
      </c>
      <c r="B292" s="2">
        <v>3.07</v>
      </c>
    </row>
    <row r="293" spans="1:2" x14ac:dyDescent="0.25">
      <c r="A293" s="1">
        <v>20941</v>
      </c>
      <c r="B293" s="2">
        <v>3.06</v>
      </c>
    </row>
    <row r="294" spans="1:2" x14ac:dyDescent="0.25">
      <c r="A294" s="1">
        <v>20972</v>
      </c>
      <c r="B294" s="2">
        <v>3.29</v>
      </c>
    </row>
    <row r="295" spans="1:2" x14ac:dyDescent="0.25">
      <c r="A295" s="1">
        <v>21002</v>
      </c>
      <c r="B295" s="2">
        <v>3.16</v>
      </c>
    </row>
    <row r="296" spans="1:2" x14ac:dyDescent="0.25">
      <c r="A296" s="1">
        <v>21033</v>
      </c>
      <c r="B296" s="2">
        <v>3.37</v>
      </c>
    </row>
    <row r="297" spans="1:2" x14ac:dyDescent="0.25">
      <c r="A297" s="1">
        <v>21064</v>
      </c>
      <c r="B297" s="2">
        <v>3.53</v>
      </c>
    </row>
    <row r="298" spans="1:2" x14ac:dyDescent="0.25">
      <c r="A298" s="1">
        <v>21094</v>
      </c>
      <c r="B298" s="2">
        <v>3.58</v>
      </c>
    </row>
    <row r="299" spans="1:2" x14ac:dyDescent="0.25">
      <c r="A299" s="1">
        <v>21125</v>
      </c>
      <c r="B299" s="2">
        <v>3.31</v>
      </c>
    </row>
    <row r="300" spans="1:2" x14ac:dyDescent="0.25">
      <c r="A300" s="1">
        <v>21155</v>
      </c>
      <c r="B300" s="2">
        <v>3.04</v>
      </c>
    </row>
    <row r="301" spans="1:2" x14ac:dyDescent="0.25">
      <c r="A301" s="1">
        <v>21186</v>
      </c>
      <c r="B301" s="2">
        <v>2.44</v>
      </c>
    </row>
    <row r="302" spans="1:2" x14ac:dyDescent="0.25">
      <c r="A302" s="1">
        <v>21217</v>
      </c>
      <c r="B302" s="2">
        <v>1.53</v>
      </c>
    </row>
    <row r="303" spans="1:2" x14ac:dyDescent="0.25">
      <c r="A303" s="1">
        <v>21245</v>
      </c>
      <c r="B303" s="2">
        <v>1.3</v>
      </c>
    </row>
    <row r="304" spans="1:2" x14ac:dyDescent="0.25">
      <c r="A304" s="1">
        <v>21276</v>
      </c>
      <c r="B304" s="2">
        <v>1.1299999999999999</v>
      </c>
    </row>
    <row r="305" spans="1:2" x14ac:dyDescent="0.25">
      <c r="A305" s="1">
        <v>21306</v>
      </c>
      <c r="B305" s="2">
        <v>0.91</v>
      </c>
    </row>
    <row r="306" spans="1:2" x14ac:dyDescent="0.25">
      <c r="A306" s="1">
        <v>21337</v>
      </c>
      <c r="B306" s="2">
        <v>0.83</v>
      </c>
    </row>
    <row r="307" spans="1:2" x14ac:dyDescent="0.25">
      <c r="A307" s="1">
        <v>21367</v>
      </c>
      <c r="B307" s="2">
        <v>0.91</v>
      </c>
    </row>
    <row r="308" spans="1:2" x14ac:dyDescent="0.25">
      <c r="A308" s="1">
        <v>21398</v>
      </c>
      <c r="B308" s="2">
        <v>1.69</v>
      </c>
    </row>
    <row r="309" spans="1:2" x14ac:dyDescent="0.25">
      <c r="A309" s="1">
        <v>21429</v>
      </c>
      <c r="B309" s="2">
        <v>2.44</v>
      </c>
    </row>
    <row r="310" spans="1:2" x14ac:dyDescent="0.25">
      <c r="A310" s="1">
        <v>21459</v>
      </c>
      <c r="B310" s="2">
        <v>2.63</v>
      </c>
    </row>
    <row r="311" spans="1:2" x14ac:dyDescent="0.25">
      <c r="A311" s="1">
        <v>21490</v>
      </c>
      <c r="B311" s="2">
        <v>2.67</v>
      </c>
    </row>
    <row r="312" spans="1:2" x14ac:dyDescent="0.25">
      <c r="A312" s="1">
        <v>21520</v>
      </c>
      <c r="B312" s="2">
        <v>2.77</v>
      </c>
    </row>
    <row r="313" spans="1:2" x14ac:dyDescent="0.25">
      <c r="A313" s="1">
        <v>21551</v>
      </c>
      <c r="B313" s="2">
        <v>2.82</v>
      </c>
    </row>
    <row r="314" spans="1:2" x14ac:dyDescent="0.25">
      <c r="A314" s="1">
        <v>21582</v>
      </c>
      <c r="B314" s="2">
        <v>2.7</v>
      </c>
    </row>
    <row r="315" spans="1:2" x14ac:dyDescent="0.25">
      <c r="A315" s="1">
        <v>21610</v>
      </c>
      <c r="B315" s="2">
        <v>2.8</v>
      </c>
    </row>
    <row r="316" spans="1:2" x14ac:dyDescent="0.25">
      <c r="A316" s="1">
        <v>21641</v>
      </c>
      <c r="B316" s="2">
        <v>2.95</v>
      </c>
    </row>
    <row r="317" spans="1:2" x14ac:dyDescent="0.25">
      <c r="A317" s="1">
        <v>21671</v>
      </c>
      <c r="B317" s="2">
        <v>2.84</v>
      </c>
    </row>
    <row r="318" spans="1:2" x14ac:dyDescent="0.25">
      <c r="A318" s="1">
        <v>21702</v>
      </c>
      <c r="B318" s="2">
        <v>3.21</v>
      </c>
    </row>
    <row r="319" spans="1:2" x14ac:dyDescent="0.25">
      <c r="A319" s="1">
        <v>21732</v>
      </c>
      <c r="B319" s="2">
        <v>3.2</v>
      </c>
    </row>
    <row r="320" spans="1:2" x14ac:dyDescent="0.25">
      <c r="A320" s="1">
        <v>21763</v>
      </c>
      <c r="B320" s="2">
        <v>3.38</v>
      </c>
    </row>
    <row r="321" spans="1:2" x14ac:dyDescent="0.25">
      <c r="A321" s="1">
        <v>21794</v>
      </c>
      <c r="B321" s="2">
        <v>4.04</v>
      </c>
    </row>
    <row r="322" spans="1:2" x14ac:dyDescent="0.25">
      <c r="A322" s="1">
        <v>21824</v>
      </c>
      <c r="B322" s="2">
        <v>4.05</v>
      </c>
    </row>
    <row r="323" spans="1:2" x14ac:dyDescent="0.25">
      <c r="A323" s="1">
        <v>21855</v>
      </c>
      <c r="B323" s="2">
        <v>4.1500000000000004</v>
      </c>
    </row>
    <row r="324" spans="1:2" x14ac:dyDescent="0.25">
      <c r="A324" s="1">
        <v>21885</v>
      </c>
      <c r="B324" s="2">
        <v>4.49</v>
      </c>
    </row>
    <row r="325" spans="1:2" x14ac:dyDescent="0.25">
      <c r="A325" s="1">
        <v>21916</v>
      </c>
      <c r="B325" s="2">
        <v>4.3499999999999996</v>
      </c>
    </row>
    <row r="326" spans="1:2" x14ac:dyDescent="0.25">
      <c r="A326" s="1">
        <v>21947</v>
      </c>
      <c r="B326" s="2">
        <v>3.96</v>
      </c>
    </row>
    <row r="327" spans="1:2" x14ac:dyDescent="0.25">
      <c r="A327" s="1">
        <v>21976</v>
      </c>
      <c r="B327" s="2">
        <v>3.31</v>
      </c>
    </row>
    <row r="328" spans="1:2" x14ac:dyDescent="0.25">
      <c r="A328" s="1">
        <v>22007</v>
      </c>
      <c r="B328" s="2">
        <v>3.23</v>
      </c>
    </row>
    <row r="329" spans="1:2" x14ac:dyDescent="0.25">
      <c r="A329" s="1">
        <v>22037</v>
      </c>
      <c r="B329" s="2">
        <v>3.29</v>
      </c>
    </row>
    <row r="330" spans="1:2" x14ac:dyDescent="0.25">
      <c r="A330" s="1">
        <v>22068</v>
      </c>
      <c r="B330" s="2">
        <v>2.46</v>
      </c>
    </row>
    <row r="331" spans="1:2" x14ac:dyDescent="0.25">
      <c r="A331" s="1">
        <v>22098</v>
      </c>
      <c r="B331" s="2">
        <v>2.2999999999999998</v>
      </c>
    </row>
    <row r="332" spans="1:2" x14ac:dyDescent="0.25">
      <c r="A332" s="1">
        <v>22129</v>
      </c>
      <c r="B332" s="2">
        <v>2.2999999999999998</v>
      </c>
    </row>
    <row r="333" spans="1:2" x14ac:dyDescent="0.25">
      <c r="A333" s="1">
        <v>22160</v>
      </c>
      <c r="B333" s="2">
        <v>2.48</v>
      </c>
    </row>
    <row r="334" spans="1:2" x14ac:dyDescent="0.25">
      <c r="A334" s="1">
        <v>22190</v>
      </c>
      <c r="B334" s="2">
        <v>2.2999999999999998</v>
      </c>
    </row>
    <row r="335" spans="1:2" x14ac:dyDescent="0.25">
      <c r="A335" s="1">
        <v>22221</v>
      </c>
      <c r="B335" s="2">
        <v>2.37</v>
      </c>
    </row>
    <row r="336" spans="1:2" x14ac:dyDescent="0.25">
      <c r="A336" s="1">
        <v>22251</v>
      </c>
      <c r="B336" s="2">
        <v>2.25</v>
      </c>
    </row>
    <row r="337" spans="1:2" x14ac:dyDescent="0.25">
      <c r="A337" s="1">
        <v>22282</v>
      </c>
      <c r="B337" s="2">
        <v>2.2400000000000002</v>
      </c>
    </row>
    <row r="338" spans="1:2" x14ac:dyDescent="0.25">
      <c r="A338" s="1">
        <v>22313</v>
      </c>
      <c r="B338" s="2">
        <v>2.42</v>
      </c>
    </row>
    <row r="339" spans="1:2" x14ac:dyDescent="0.25">
      <c r="A339" s="1">
        <v>22341</v>
      </c>
      <c r="B339" s="2">
        <v>2.39</v>
      </c>
    </row>
    <row r="340" spans="1:2" x14ac:dyDescent="0.25">
      <c r="A340" s="1">
        <v>22372</v>
      </c>
      <c r="B340" s="2">
        <v>2.29</v>
      </c>
    </row>
    <row r="341" spans="1:2" x14ac:dyDescent="0.25">
      <c r="A341" s="1">
        <v>22402</v>
      </c>
      <c r="B341" s="2">
        <v>2.29</v>
      </c>
    </row>
    <row r="342" spans="1:2" x14ac:dyDescent="0.25">
      <c r="A342" s="1">
        <v>22433</v>
      </c>
      <c r="B342" s="2">
        <v>2.33</v>
      </c>
    </row>
    <row r="343" spans="1:2" x14ac:dyDescent="0.25">
      <c r="A343" s="1">
        <v>22463</v>
      </c>
      <c r="B343" s="2">
        <v>2.2400000000000002</v>
      </c>
    </row>
    <row r="344" spans="1:2" x14ac:dyDescent="0.25">
      <c r="A344" s="1">
        <v>22494</v>
      </c>
      <c r="B344" s="2">
        <v>2.39</v>
      </c>
    </row>
    <row r="345" spans="1:2" x14ac:dyDescent="0.25">
      <c r="A345" s="1">
        <v>22525</v>
      </c>
      <c r="B345" s="2">
        <v>2.2799999999999998</v>
      </c>
    </row>
    <row r="346" spans="1:2" x14ac:dyDescent="0.25">
      <c r="A346" s="1">
        <v>22555</v>
      </c>
      <c r="B346" s="2">
        <v>2.2999999999999998</v>
      </c>
    </row>
    <row r="347" spans="1:2" x14ac:dyDescent="0.25">
      <c r="A347" s="1">
        <v>22586</v>
      </c>
      <c r="B347" s="2">
        <v>2.48</v>
      </c>
    </row>
    <row r="348" spans="1:2" x14ac:dyDescent="0.25">
      <c r="A348" s="1">
        <v>22616</v>
      </c>
      <c r="B348" s="2">
        <v>2.6</v>
      </c>
    </row>
    <row r="349" spans="1:2" x14ac:dyDescent="0.25">
      <c r="A349" s="1">
        <v>22647</v>
      </c>
      <c r="B349" s="2">
        <v>2.72</v>
      </c>
    </row>
    <row r="350" spans="1:2" x14ac:dyDescent="0.25">
      <c r="A350" s="1">
        <v>22678</v>
      </c>
      <c r="B350" s="2">
        <v>2.73</v>
      </c>
    </row>
    <row r="351" spans="1:2" x14ac:dyDescent="0.25">
      <c r="A351" s="1">
        <v>22706</v>
      </c>
      <c r="B351" s="2">
        <v>2.72</v>
      </c>
    </row>
    <row r="352" spans="1:2" x14ac:dyDescent="0.25">
      <c r="A352" s="1">
        <v>22737</v>
      </c>
      <c r="B352" s="2">
        <v>2.73</v>
      </c>
    </row>
    <row r="353" spans="1:2" x14ac:dyDescent="0.25">
      <c r="A353" s="1">
        <v>22767</v>
      </c>
      <c r="B353" s="2">
        <v>2.69</v>
      </c>
    </row>
    <row r="354" spans="1:2" x14ac:dyDescent="0.25">
      <c r="A354" s="1">
        <v>22798</v>
      </c>
      <c r="B354" s="2">
        <v>2.73</v>
      </c>
    </row>
    <row r="355" spans="1:2" x14ac:dyDescent="0.25">
      <c r="A355" s="1">
        <v>22828</v>
      </c>
      <c r="B355" s="2">
        <v>2.92</v>
      </c>
    </row>
    <row r="356" spans="1:2" x14ac:dyDescent="0.25">
      <c r="A356" s="1">
        <v>22859</v>
      </c>
      <c r="B356" s="2">
        <v>2.82</v>
      </c>
    </row>
    <row r="357" spans="1:2" x14ac:dyDescent="0.25">
      <c r="A357" s="1">
        <v>22890</v>
      </c>
      <c r="B357" s="2">
        <v>2.78</v>
      </c>
    </row>
    <row r="358" spans="1:2" x14ac:dyDescent="0.25">
      <c r="A358" s="1">
        <v>22920</v>
      </c>
      <c r="B358" s="2">
        <v>2.74</v>
      </c>
    </row>
    <row r="359" spans="1:2" x14ac:dyDescent="0.25">
      <c r="A359" s="1">
        <v>22951</v>
      </c>
      <c r="B359" s="2">
        <v>2.83</v>
      </c>
    </row>
    <row r="360" spans="1:2" x14ac:dyDescent="0.25">
      <c r="A360" s="1">
        <v>22981</v>
      </c>
      <c r="B360" s="2">
        <v>2.87</v>
      </c>
    </row>
    <row r="361" spans="1:2" x14ac:dyDescent="0.25">
      <c r="A361" s="1">
        <v>23012</v>
      </c>
      <c r="B361" s="2">
        <v>2.91</v>
      </c>
    </row>
    <row r="362" spans="1:2" x14ac:dyDescent="0.25">
      <c r="A362" s="1">
        <v>23043</v>
      </c>
      <c r="B362" s="2">
        <v>2.92</v>
      </c>
    </row>
    <row r="363" spans="1:2" x14ac:dyDescent="0.25">
      <c r="A363" s="1">
        <v>23071</v>
      </c>
      <c r="B363" s="2">
        <v>2.89</v>
      </c>
    </row>
    <row r="364" spans="1:2" x14ac:dyDescent="0.25">
      <c r="A364" s="1">
        <v>23102</v>
      </c>
      <c r="B364" s="2">
        <v>2.9</v>
      </c>
    </row>
    <row r="365" spans="1:2" x14ac:dyDescent="0.25">
      <c r="A365" s="1">
        <v>23132</v>
      </c>
      <c r="B365" s="2">
        <v>2.93</v>
      </c>
    </row>
    <row r="366" spans="1:2" x14ac:dyDescent="0.25">
      <c r="A366" s="1">
        <v>23163</v>
      </c>
      <c r="B366" s="2">
        <v>2.99</v>
      </c>
    </row>
    <row r="367" spans="1:2" x14ac:dyDescent="0.25">
      <c r="A367" s="1">
        <v>23193</v>
      </c>
      <c r="B367" s="2">
        <v>3.18</v>
      </c>
    </row>
    <row r="368" spans="1:2" x14ac:dyDescent="0.25">
      <c r="A368" s="1">
        <v>23224</v>
      </c>
      <c r="B368" s="2">
        <v>3.32</v>
      </c>
    </row>
    <row r="369" spans="1:2" x14ac:dyDescent="0.25">
      <c r="A369" s="1">
        <v>23255</v>
      </c>
      <c r="B369" s="2">
        <v>3.38</v>
      </c>
    </row>
    <row r="370" spans="1:2" x14ac:dyDescent="0.25">
      <c r="A370" s="1">
        <v>23285</v>
      </c>
      <c r="B370" s="2">
        <v>3.45</v>
      </c>
    </row>
    <row r="371" spans="1:2" x14ac:dyDescent="0.25">
      <c r="A371" s="1">
        <v>23316</v>
      </c>
      <c r="B371" s="2">
        <v>3.52</v>
      </c>
    </row>
    <row r="372" spans="1:2" x14ac:dyDescent="0.25">
      <c r="A372" s="1">
        <v>23346</v>
      </c>
      <c r="B372" s="2">
        <v>3.52</v>
      </c>
    </row>
    <row r="373" spans="1:2" x14ac:dyDescent="0.25">
      <c r="A373" s="1">
        <v>23377</v>
      </c>
      <c r="B373" s="2">
        <v>3.52</v>
      </c>
    </row>
    <row r="374" spans="1:2" x14ac:dyDescent="0.25">
      <c r="A374" s="1">
        <v>23408</v>
      </c>
      <c r="B374" s="2">
        <v>3.53</v>
      </c>
    </row>
    <row r="375" spans="1:2" x14ac:dyDescent="0.25">
      <c r="A375" s="1">
        <v>23437</v>
      </c>
      <c r="B375" s="2">
        <v>3.54</v>
      </c>
    </row>
    <row r="376" spans="1:2" x14ac:dyDescent="0.25">
      <c r="A376" s="1">
        <v>23468</v>
      </c>
      <c r="B376" s="2">
        <v>3.47</v>
      </c>
    </row>
    <row r="377" spans="1:2" x14ac:dyDescent="0.25">
      <c r="A377" s="1">
        <v>23498</v>
      </c>
      <c r="B377" s="2">
        <v>3.48</v>
      </c>
    </row>
    <row r="378" spans="1:2" x14ac:dyDescent="0.25">
      <c r="A378" s="1">
        <v>23529</v>
      </c>
      <c r="B378" s="2">
        <v>3.48</v>
      </c>
    </row>
    <row r="379" spans="1:2" x14ac:dyDescent="0.25">
      <c r="A379" s="1">
        <v>23559</v>
      </c>
      <c r="B379" s="2">
        <v>3.46</v>
      </c>
    </row>
    <row r="380" spans="1:2" x14ac:dyDescent="0.25">
      <c r="A380" s="1">
        <v>23590</v>
      </c>
      <c r="B380" s="2">
        <v>3.5</v>
      </c>
    </row>
    <row r="381" spans="1:2" x14ac:dyDescent="0.25">
      <c r="A381" s="1">
        <v>23621</v>
      </c>
      <c r="B381" s="2">
        <v>3.53</v>
      </c>
    </row>
    <row r="382" spans="1:2" x14ac:dyDescent="0.25">
      <c r="A382" s="1">
        <v>23651</v>
      </c>
      <c r="B382" s="2">
        <v>3.57</v>
      </c>
    </row>
    <row r="383" spans="1:2" x14ac:dyDescent="0.25">
      <c r="A383" s="1">
        <v>23682</v>
      </c>
      <c r="B383" s="2">
        <v>3.64</v>
      </c>
    </row>
    <row r="384" spans="1:2" x14ac:dyDescent="0.25">
      <c r="A384" s="1">
        <v>23712</v>
      </c>
      <c r="B384" s="2">
        <v>3.84</v>
      </c>
    </row>
    <row r="385" spans="1:2" x14ac:dyDescent="0.25">
      <c r="A385" s="1">
        <v>23743</v>
      </c>
      <c r="B385" s="2">
        <v>3.81</v>
      </c>
    </row>
    <row r="386" spans="1:2" x14ac:dyDescent="0.25">
      <c r="A386" s="1">
        <v>23774</v>
      </c>
      <c r="B386" s="2">
        <v>3.93</v>
      </c>
    </row>
    <row r="387" spans="1:2" x14ac:dyDescent="0.25">
      <c r="A387" s="1">
        <v>23802</v>
      </c>
      <c r="B387" s="2">
        <v>3.93</v>
      </c>
    </row>
    <row r="388" spans="1:2" x14ac:dyDescent="0.25">
      <c r="A388" s="1">
        <v>23833</v>
      </c>
      <c r="B388" s="2">
        <v>3.93</v>
      </c>
    </row>
    <row r="389" spans="1:2" x14ac:dyDescent="0.25">
      <c r="A389" s="1">
        <v>23863</v>
      </c>
      <c r="B389" s="2">
        <v>3.89</v>
      </c>
    </row>
    <row r="390" spans="1:2" x14ac:dyDescent="0.25">
      <c r="A390" s="1">
        <v>23894</v>
      </c>
      <c r="B390" s="2">
        <v>3.8</v>
      </c>
    </row>
    <row r="391" spans="1:2" x14ac:dyDescent="0.25">
      <c r="A391" s="1">
        <v>23924</v>
      </c>
      <c r="B391" s="2">
        <v>3.84</v>
      </c>
    </row>
    <row r="392" spans="1:2" x14ac:dyDescent="0.25">
      <c r="A392" s="1">
        <v>23955</v>
      </c>
      <c r="B392" s="2">
        <v>3.84</v>
      </c>
    </row>
    <row r="393" spans="1:2" x14ac:dyDescent="0.25">
      <c r="A393" s="1">
        <v>23986</v>
      </c>
      <c r="B393" s="2">
        <v>3.92</v>
      </c>
    </row>
    <row r="394" spans="1:2" x14ac:dyDescent="0.25">
      <c r="A394" s="1">
        <v>24016</v>
      </c>
      <c r="B394" s="2">
        <v>4.03</v>
      </c>
    </row>
    <row r="395" spans="1:2" x14ac:dyDescent="0.25">
      <c r="A395" s="1">
        <v>24047</v>
      </c>
      <c r="B395" s="2">
        <v>4.09</v>
      </c>
    </row>
    <row r="396" spans="1:2" x14ac:dyDescent="0.25">
      <c r="A396" s="1">
        <v>24077</v>
      </c>
      <c r="B396" s="2">
        <v>4.38</v>
      </c>
    </row>
    <row r="397" spans="1:2" x14ac:dyDescent="0.25">
      <c r="A397" s="1">
        <v>24108</v>
      </c>
      <c r="B397" s="2">
        <v>4.59</v>
      </c>
    </row>
    <row r="398" spans="1:2" x14ac:dyDescent="0.25">
      <c r="A398" s="1">
        <v>24139</v>
      </c>
      <c r="B398" s="2">
        <v>4.6500000000000004</v>
      </c>
    </row>
    <row r="399" spans="1:2" x14ac:dyDescent="0.25">
      <c r="A399" s="1">
        <v>24167</v>
      </c>
      <c r="B399" s="2">
        <v>4.59</v>
      </c>
    </row>
    <row r="400" spans="1:2" x14ac:dyDescent="0.25">
      <c r="A400" s="1">
        <v>24198</v>
      </c>
      <c r="B400" s="2">
        <v>4.62</v>
      </c>
    </row>
    <row r="401" spans="1:2" x14ac:dyDescent="0.25">
      <c r="A401" s="1">
        <v>24228</v>
      </c>
      <c r="B401" s="2">
        <v>4.6399999999999997</v>
      </c>
    </row>
    <row r="402" spans="1:2" x14ac:dyDescent="0.25">
      <c r="A402" s="1">
        <v>24259</v>
      </c>
      <c r="B402" s="2">
        <v>4.5</v>
      </c>
    </row>
    <row r="403" spans="1:2" x14ac:dyDescent="0.25">
      <c r="A403" s="1">
        <v>24289</v>
      </c>
      <c r="B403" s="2">
        <v>4.8</v>
      </c>
    </row>
    <row r="404" spans="1:2" x14ac:dyDescent="0.25">
      <c r="A404" s="1">
        <v>24320</v>
      </c>
      <c r="B404" s="2">
        <v>4.96</v>
      </c>
    </row>
    <row r="405" spans="1:2" x14ac:dyDescent="0.25">
      <c r="A405" s="1">
        <v>24351</v>
      </c>
      <c r="B405" s="2">
        <v>5.37</v>
      </c>
    </row>
    <row r="406" spans="1:2" x14ac:dyDescent="0.25">
      <c r="A406" s="1">
        <v>24381</v>
      </c>
      <c r="B406" s="2">
        <v>5.35</v>
      </c>
    </row>
    <row r="407" spans="1:2" x14ac:dyDescent="0.25">
      <c r="A407" s="1">
        <v>24412</v>
      </c>
      <c r="B407" s="2">
        <v>5.32</v>
      </c>
    </row>
    <row r="408" spans="1:2" x14ac:dyDescent="0.25">
      <c r="A408" s="1">
        <v>24442</v>
      </c>
      <c r="B408" s="2">
        <v>4.96</v>
      </c>
    </row>
    <row r="409" spans="1:2" x14ac:dyDescent="0.25">
      <c r="A409" s="1">
        <v>24473</v>
      </c>
      <c r="B409" s="2">
        <v>4.72</v>
      </c>
    </row>
    <row r="410" spans="1:2" x14ac:dyDescent="0.25">
      <c r="A410" s="1">
        <v>24504</v>
      </c>
      <c r="B410" s="2">
        <v>4.5599999999999996</v>
      </c>
    </row>
    <row r="411" spans="1:2" x14ac:dyDescent="0.25">
      <c r="A411" s="1">
        <v>24532</v>
      </c>
      <c r="B411" s="2">
        <v>4.26</v>
      </c>
    </row>
    <row r="412" spans="1:2" x14ac:dyDescent="0.25">
      <c r="A412" s="1">
        <v>24563</v>
      </c>
      <c r="B412" s="2">
        <v>3.84</v>
      </c>
    </row>
    <row r="413" spans="1:2" x14ac:dyDescent="0.25">
      <c r="A413" s="1">
        <v>24593</v>
      </c>
      <c r="B413" s="2">
        <v>3.6</v>
      </c>
    </row>
    <row r="414" spans="1:2" x14ac:dyDescent="0.25">
      <c r="A414" s="1">
        <v>24624</v>
      </c>
      <c r="B414" s="2">
        <v>3.54</v>
      </c>
    </row>
    <row r="415" spans="1:2" x14ac:dyDescent="0.25">
      <c r="A415" s="1">
        <v>24654</v>
      </c>
      <c r="B415" s="2">
        <v>4.21</v>
      </c>
    </row>
    <row r="416" spans="1:2" x14ac:dyDescent="0.25">
      <c r="A416" s="1">
        <v>24685</v>
      </c>
      <c r="B416" s="2">
        <v>4.2699999999999996</v>
      </c>
    </row>
    <row r="417" spans="1:2" x14ac:dyDescent="0.25">
      <c r="A417" s="1">
        <v>24716</v>
      </c>
      <c r="B417" s="2">
        <v>4.42</v>
      </c>
    </row>
    <row r="418" spans="1:2" x14ac:dyDescent="0.25">
      <c r="A418" s="1">
        <v>24746</v>
      </c>
      <c r="B418" s="2">
        <v>4.5599999999999996</v>
      </c>
    </row>
    <row r="419" spans="1:2" x14ac:dyDescent="0.25">
      <c r="A419" s="1">
        <v>24777</v>
      </c>
      <c r="B419" s="2">
        <v>4.7300000000000004</v>
      </c>
    </row>
    <row r="420" spans="1:2" x14ac:dyDescent="0.25">
      <c r="A420" s="1">
        <v>24807</v>
      </c>
      <c r="B420" s="2">
        <v>4.97</v>
      </c>
    </row>
    <row r="421" spans="1:2" x14ac:dyDescent="0.25">
      <c r="A421" s="1">
        <v>24838</v>
      </c>
      <c r="B421" s="2">
        <v>5</v>
      </c>
    </row>
    <row r="422" spans="1:2" x14ac:dyDescent="0.25">
      <c r="A422" s="1">
        <v>24869</v>
      </c>
      <c r="B422" s="2">
        <v>4.9800000000000004</v>
      </c>
    </row>
    <row r="423" spans="1:2" x14ac:dyDescent="0.25">
      <c r="A423" s="1">
        <v>24898</v>
      </c>
      <c r="B423" s="2">
        <v>5.17</v>
      </c>
    </row>
    <row r="424" spans="1:2" x14ac:dyDescent="0.25">
      <c r="A424" s="1">
        <v>24929</v>
      </c>
      <c r="B424" s="2">
        <v>5.38</v>
      </c>
    </row>
    <row r="425" spans="1:2" x14ac:dyDescent="0.25">
      <c r="A425" s="1">
        <v>24959</v>
      </c>
      <c r="B425" s="2">
        <v>5.66</v>
      </c>
    </row>
    <row r="426" spans="1:2" x14ac:dyDescent="0.25">
      <c r="A426" s="1">
        <v>24990</v>
      </c>
      <c r="B426" s="2">
        <v>5.52</v>
      </c>
    </row>
    <row r="427" spans="1:2" x14ac:dyDescent="0.25">
      <c r="A427" s="1">
        <v>25020</v>
      </c>
      <c r="B427" s="2">
        <v>5.31</v>
      </c>
    </row>
    <row r="428" spans="1:2" x14ac:dyDescent="0.25">
      <c r="A428" s="1">
        <v>25051</v>
      </c>
      <c r="B428" s="2">
        <v>5.09</v>
      </c>
    </row>
    <row r="429" spans="1:2" x14ac:dyDescent="0.25">
      <c r="A429" s="1">
        <v>25082</v>
      </c>
      <c r="B429" s="2">
        <v>5.19</v>
      </c>
    </row>
    <row r="430" spans="1:2" x14ac:dyDescent="0.25">
      <c r="A430" s="1">
        <v>25112</v>
      </c>
      <c r="B430" s="2">
        <v>5.35</v>
      </c>
    </row>
    <row r="431" spans="1:2" x14ac:dyDescent="0.25">
      <c r="A431" s="1">
        <v>25143</v>
      </c>
      <c r="B431" s="2">
        <v>5.45</v>
      </c>
    </row>
    <row r="432" spans="1:2" x14ac:dyDescent="0.25">
      <c r="A432" s="1">
        <v>25173</v>
      </c>
      <c r="B432" s="2">
        <v>5.96</v>
      </c>
    </row>
    <row r="433" spans="1:2" x14ac:dyDescent="0.25">
      <c r="A433" s="1">
        <v>25204</v>
      </c>
      <c r="B433" s="2">
        <v>6.14</v>
      </c>
    </row>
    <row r="434" spans="1:2" x14ac:dyDescent="0.25">
      <c r="A434" s="1">
        <v>25235</v>
      </c>
      <c r="B434" s="2">
        <v>6.12</v>
      </c>
    </row>
    <row r="435" spans="1:2" x14ac:dyDescent="0.25">
      <c r="A435" s="1">
        <v>25263</v>
      </c>
      <c r="B435" s="2">
        <v>6.02</v>
      </c>
    </row>
    <row r="436" spans="1:2" x14ac:dyDescent="0.25">
      <c r="A436" s="1">
        <v>25294</v>
      </c>
      <c r="B436" s="2">
        <v>6.11</v>
      </c>
    </row>
    <row r="437" spans="1:2" x14ac:dyDescent="0.25">
      <c r="A437" s="1">
        <v>25324</v>
      </c>
      <c r="B437" s="2">
        <v>6.04</v>
      </c>
    </row>
    <row r="438" spans="1:2" x14ac:dyDescent="0.25">
      <c r="A438" s="1">
        <v>25355</v>
      </c>
      <c r="B438" s="2">
        <v>6.44</v>
      </c>
    </row>
    <row r="439" spans="1:2" x14ac:dyDescent="0.25">
      <c r="A439" s="1">
        <v>25385</v>
      </c>
      <c r="B439" s="2">
        <v>7</v>
      </c>
    </row>
    <row r="440" spans="1:2" x14ac:dyDescent="0.25">
      <c r="A440" s="1">
        <v>25416</v>
      </c>
      <c r="B440" s="2">
        <v>6.98</v>
      </c>
    </row>
    <row r="441" spans="1:2" x14ac:dyDescent="0.25">
      <c r="A441" s="1">
        <v>25447</v>
      </c>
      <c r="B441" s="2">
        <v>7.09</v>
      </c>
    </row>
    <row r="442" spans="1:2" x14ac:dyDescent="0.25">
      <c r="A442" s="1">
        <v>25477</v>
      </c>
      <c r="B442" s="2">
        <v>7</v>
      </c>
    </row>
    <row r="443" spans="1:2" x14ac:dyDescent="0.25">
      <c r="A443" s="1">
        <v>25508</v>
      </c>
      <c r="B443" s="2">
        <v>7.24</v>
      </c>
    </row>
    <row r="444" spans="1:2" x14ac:dyDescent="0.25">
      <c r="A444" s="1">
        <v>25538</v>
      </c>
      <c r="B444" s="2">
        <v>7.82</v>
      </c>
    </row>
    <row r="445" spans="1:2" x14ac:dyDescent="0.25">
      <c r="A445" s="1">
        <v>25569</v>
      </c>
      <c r="B445" s="2">
        <v>7.87</v>
      </c>
    </row>
    <row r="446" spans="1:2" x14ac:dyDescent="0.25">
      <c r="A446" s="1">
        <v>25600</v>
      </c>
      <c r="B446" s="2">
        <v>7.13</v>
      </c>
    </row>
    <row r="447" spans="1:2" x14ac:dyDescent="0.25">
      <c r="A447" s="1">
        <v>25628</v>
      </c>
      <c r="B447" s="2">
        <v>6.63</v>
      </c>
    </row>
    <row r="448" spans="1:2" x14ac:dyDescent="0.25">
      <c r="A448" s="1">
        <v>25659</v>
      </c>
      <c r="B448" s="2">
        <v>6.51</v>
      </c>
    </row>
    <row r="449" spans="1:2" x14ac:dyDescent="0.25">
      <c r="A449" s="1">
        <v>25689</v>
      </c>
      <c r="B449" s="2">
        <v>6.84</v>
      </c>
    </row>
    <row r="450" spans="1:2" x14ac:dyDescent="0.25">
      <c r="A450" s="1">
        <v>25720</v>
      </c>
      <c r="B450" s="2">
        <v>6.68</v>
      </c>
    </row>
    <row r="451" spans="1:2" x14ac:dyDescent="0.25">
      <c r="A451" s="1">
        <v>25750</v>
      </c>
      <c r="B451" s="2">
        <v>6.45</v>
      </c>
    </row>
    <row r="452" spans="1:2" x14ac:dyDescent="0.25">
      <c r="A452" s="1">
        <v>25781</v>
      </c>
      <c r="B452" s="2">
        <v>6.41</v>
      </c>
    </row>
    <row r="453" spans="1:2" x14ac:dyDescent="0.25">
      <c r="A453" s="1">
        <v>25812</v>
      </c>
      <c r="B453" s="2">
        <v>6.12</v>
      </c>
    </row>
    <row r="454" spans="1:2" x14ac:dyDescent="0.25">
      <c r="A454" s="1">
        <v>25842</v>
      </c>
      <c r="B454" s="2">
        <v>5.91</v>
      </c>
    </row>
    <row r="455" spans="1:2" x14ac:dyDescent="0.25">
      <c r="A455" s="1">
        <v>25873</v>
      </c>
      <c r="B455" s="2">
        <v>5.28</v>
      </c>
    </row>
    <row r="456" spans="1:2" x14ac:dyDescent="0.25">
      <c r="A456" s="1">
        <v>25903</v>
      </c>
      <c r="B456" s="2">
        <v>4.87</v>
      </c>
    </row>
    <row r="457" spans="1:2" x14ac:dyDescent="0.25">
      <c r="A457" s="1">
        <v>25934</v>
      </c>
      <c r="B457" s="2">
        <v>4.4400000000000004</v>
      </c>
    </row>
    <row r="458" spans="1:2" x14ac:dyDescent="0.25">
      <c r="A458" s="1">
        <v>25965</v>
      </c>
      <c r="B458" s="2">
        <v>3.7</v>
      </c>
    </row>
    <row r="459" spans="1:2" x14ac:dyDescent="0.25">
      <c r="A459" s="1">
        <v>25993</v>
      </c>
      <c r="B459" s="2">
        <v>3.38</v>
      </c>
    </row>
    <row r="460" spans="1:2" x14ac:dyDescent="0.25">
      <c r="A460" s="1">
        <v>26024</v>
      </c>
      <c r="B460" s="2">
        <v>3.86</v>
      </c>
    </row>
    <row r="461" spans="1:2" x14ac:dyDescent="0.25">
      <c r="A461" s="1">
        <v>26054</v>
      </c>
      <c r="B461" s="2">
        <v>4.1399999999999997</v>
      </c>
    </row>
    <row r="462" spans="1:2" x14ac:dyDescent="0.25">
      <c r="A462" s="1">
        <v>26085</v>
      </c>
      <c r="B462" s="2">
        <v>4.75</v>
      </c>
    </row>
    <row r="463" spans="1:2" x14ac:dyDescent="0.25">
      <c r="A463" s="1">
        <v>26115</v>
      </c>
      <c r="B463" s="2">
        <v>5.4</v>
      </c>
    </row>
    <row r="464" spans="1:2" x14ac:dyDescent="0.25">
      <c r="A464" s="1">
        <v>26146</v>
      </c>
      <c r="B464" s="2">
        <v>4.9400000000000004</v>
      </c>
    </row>
    <row r="465" spans="1:2" x14ac:dyDescent="0.25">
      <c r="A465" s="1">
        <v>26177</v>
      </c>
      <c r="B465" s="2">
        <v>4.6900000000000004</v>
      </c>
    </row>
    <row r="466" spans="1:2" x14ac:dyDescent="0.25">
      <c r="A466" s="1">
        <v>26207</v>
      </c>
      <c r="B466" s="2">
        <v>4.46</v>
      </c>
    </row>
    <row r="467" spans="1:2" x14ac:dyDescent="0.25">
      <c r="A467" s="1">
        <v>26238</v>
      </c>
      <c r="B467" s="2">
        <v>4.22</v>
      </c>
    </row>
    <row r="468" spans="1:2" x14ac:dyDescent="0.25">
      <c r="A468" s="1">
        <v>26268</v>
      </c>
      <c r="B468" s="2">
        <v>4.01</v>
      </c>
    </row>
    <row r="469" spans="1:2" x14ac:dyDescent="0.25">
      <c r="A469" s="1">
        <v>26299</v>
      </c>
      <c r="B469" s="2">
        <v>3.38</v>
      </c>
    </row>
    <row r="470" spans="1:2" x14ac:dyDescent="0.25">
      <c r="A470" s="1">
        <v>26330</v>
      </c>
      <c r="B470" s="2">
        <v>3.2</v>
      </c>
    </row>
    <row r="471" spans="1:2" x14ac:dyDescent="0.25">
      <c r="A471" s="1">
        <v>26359</v>
      </c>
      <c r="B471" s="2">
        <v>3.73</v>
      </c>
    </row>
    <row r="472" spans="1:2" x14ac:dyDescent="0.25">
      <c r="A472" s="1">
        <v>26390</v>
      </c>
      <c r="B472" s="2">
        <v>3.71</v>
      </c>
    </row>
    <row r="473" spans="1:2" x14ac:dyDescent="0.25">
      <c r="A473" s="1">
        <v>26420</v>
      </c>
      <c r="B473" s="2">
        <v>3.69</v>
      </c>
    </row>
    <row r="474" spans="1:2" x14ac:dyDescent="0.25">
      <c r="A474" s="1">
        <v>26451</v>
      </c>
      <c r="B474" s="2">
        <v>3.91</v>
      </c>
    </row>
    <row r="475" spans="1:2" x14ac:dyDescent="0.25">
      <c r="A475" s="1">
        <v>26481</v>
      </c>
      <c r="B475" s="2">
        <v>3.98</v>
      </c>
    </row>
    <row r="476" spans="1:2" x14ac:dyDescent="0.25">
      <c r="A476" s="1">
        <v>26512</v>
      </c>
      <c r="B476" s="2">
        <v>4.0199999999999996</v>
      </c>
    </row>
    <row r="477" spans="1:2" x14ac:dyDescent="0.25">
      <c r="A477" s="1">
        <v>26543</v>
      </c>
      <c r="B477" s="2">
        <v>4.66</v>
      </c>
    </row>
    <row r="478" spans="1:2" x14ac:dyDescent="0.25">
      <c r="A478" s="1">
        <v>26573</v>
      </c>
      <c r="B478" s="2">
        <v>4.74</v>
      </c>
    </row>
    <row r="479" spans="1:2" x14ac:dyDescent="0.25">
      <c r="A479" s="1">
        <v>26604</v>
      </c>
      <c r="B479" s="2">
        <v>4.78</v>
      </c>
    </row>
    <row r="480" spans="1:2" x14ac:dyDescent="0.25">
      <c r="A480" s="1">
        <v>26634</v>
      </c>
      <c r="B480" s="2">
        <v>5.07</v>
      </c>
    </row>
    <row r="481" spans="1:2" x14ac:dyDescent="0.25">
      <c r="A481" s="1">
        <v>26665</v>
      </c>
      <c r="B481" s="2">
        <v>5.41</v>
      </c>
    </row>
    <row r="482" spans="1:2" x14ac:dyDescent="0.25">
      <c r="A482" s="1">
        <v>26696</v>
      </c>
      <c r="B482" s="2">
        <v>5.6</v>
      </c>
    </row>
    <row r="483" spans="1:2" x14ac:dyDescent="0.25">
      <c r="A483" s="1">
        <v>26724</v>
      </c>
      <c r="B483" s="2">
        <v>6.09</v>
      </c>
    </row>
    <row r="484" spans="1:2" x14ac:dyDescent="0.25">
      <c r="A484" s="1">
        <v>26755</v>
      </c>
      <c r="B484" s="2">
        <v>6.26</v>
      </c>
    </row>
    <row r="485" spans="1:2" x14ac:dyDescent="0.25">
      <c r="A485" s="1">
        <v>26785</v>
      </c>
      <c r="B485" s="2">
        <v>6.36</v>
      </c>
    </row>
    <row r="486" spans="1:2" x14ac:dyDescent="0.25">
      <c r="A486" s="1">
        <v>26816</v>
      </c>
      <c r="B486" s="2">
        <v>7.19</v>
      </c>
    </row>
    <row r="487" spans="1:2" x14ac:dyDescent="0.25">
      <c r="A487" s="1">
        <v>26846</v>
      </c>
      <c r="B487" s="2">
        <v>8.01</v>
      </c>
    </row>
    <row r="488" spans="1:2" x14ac:dyDescent="0.25">
      <c r="A488" s="1">
        <v>26877</v>
      </c>
      <c r="B488" s="2">
        <v>8.67</v>
      </c>
    </row>
    <row r="489" spans="1:2" x14ac:dyDescent="0.25">
      <c r="A489" s="1">
        <v>26908</v>
      </c>
      <c r="B489" s="2">
        <v>8.2899999999999991</v>
      </c>
    </row>
    <row r="490" spans="1:2" x14ac:dyDescent="0.25">
      <c r="A490" s="1">
        <v>26938</v>
      </c>
      <c r="B490" s="2">
        <v>7.22</v>
      </c>
    </row>
    <row r="491" spans="1:2" x14ac:dyDescent="0.25">
      <c r="A491" s="1">
        <v>26969</v>
      </c>
      <c r="B491" s="2">
        <v>7.83</v>
      </c>
    </row>
    <row r="492" spans="1:2" x14ac:dyDescent="0.25">
      <c r="A492" s="1">
        <v>26999</v>
      </c>
      <c r="B492" s="2">
        <v>7.45</v>
      </c>
    </row>
    <row r="493" spans="1:2" x14ac:dyDescent="0.25">
      <c r="A493" s="1">
        <v>27030</v>
      </c>
      <c r="B493" s="2">
        <v>7.77</v>
      </c>
    </row>
    <row r="494" spans="1:2" x14ac:dyDescent="0.25">
      <c r="A494" s="1">
        <v>27061</v>
      </c>
      <c r="B494" s="2">
        <v>7.12</v>
      </c>
    </row>
    <row r="495" spans="1:2" x14ac:dyDescent="0.25">
      <c r="A495" s="1">
        <v>27089</v>
      </c>
      <c r="B495" s="2">
        <v>7.96</v>
      </c>
    </row>
    <row r="496" spans="1:2" x14ac:dyDescent="0.25">
      <c r="A496" s="1">
        <v>27120</v>
      </c>
      <c r="B496" s="2">
        <v>8.33</v>
      </c>
    </row>
    <row r="497" spans="1:2" x14ac:dyDescent="0.25">
      <c r="A497" s="1">
        <v>27150</v>
      </c>
      <c r="B497" s="2">
        <v>8.23</v>
      </c>
    </row>
    <row r="498" spans="1:2" x14ac:dyDescent="0.25">
      <c r="A498" s="1">
        <v>27181</v>
      </c>
      <c r="B498" s="2">
        <v>7.9</v>
      </c>
    </row>
    <row r="499" spans="1:2" x14ac:dyDescent="0.25">
      <c r="A499" s="1">
        <v>27211</v>
      </c>
      <c r="B499" s="2">
        <v>7.55</v>
      </c>
    </row>
    <row r="500" spans="1:2" x14ac:dyDescent="0.25">
      <c r="A500" s="1">
        <v>27242</v>
      </c>
      <c r="B500" s="2">
        <v>8.9600000000000009</v>
      </c>
    </row>
    <row r="501" spans="1:2" x14ac:dyDescent="0.25">
      <c r="A501" s="1">
        <v>27273</v>
      </c>
      <c r="B501" s="2">
        <v>8.06</v>
      </c>
    </row>
    <row r="502" spans="1:2" x14ac:dyDescent="0.25">
      <c r="A502" s="1">
        <v>27303</v>
      </c>
      <c r="B502" s="2">
        <v>7.46</v>
      </c>
    </row>
    <row r="503" spans="1:2" x14ac:dyDescent="0.25">
      <c r="A503" s="1">
        <v>27334</v>
      </c>
      <c r="B503" s="2">
        <v>7.47</v>
      </c>
    </row>
    <row r="504" spans="1:2" x14ac:dyDescent="0.25">
      <c r="A504" s="1">
        <v>27364</v>
      </c>
      <c r="B504" s="2">
        <v>7.15</v>
      </c>
    </row>
    <row r="505" spans="1:2" x14ac:dyDescent="0.25">
      <c r="A505" s="1">
        <v>27395</v>
      </c>
      <c r="B505" s="2">
        <v>6.26</v>
      </c>
    </row>
    <row r="506" spans="1:2" x14ac:dyDescent="0.25">
      <c r="A506" s="1">
        <v>27426</v>
      </c>
      <c r="B506" s="2">
        <v>5.5</v>
      </c>
    </row>
    <row r="507" spans="1:2" x14ac:dyDescent="0.25">
      <c r="A507" s="1">
        <v>27454</v>
      </c>
      <c r="B507" s="2">
        <v>5.49</v>
      </c>
    </row>
    <row r="508" spans="1:2" x14ac:dyDescent="0.25">
      <c r="A508" s="1">
        <v>27485</v>
      </c>
      <c r="B508" s="2">
        <v>5.61</v>
      </c>
    </row>
    <row r="509" spans="1:2" x14ac:dyDescent="0.25">
      <c r="A509" s="1">
        <v>27515</v>
      </c>
      <c r="B509" s="2">
        <v>5.23</v>
      </c>
    </row>
    <row r="510" spans="1:2" x14ac:dyDescent="0.25">
      <c r="A510" s="1">
        <v>27546</v>
      </c>
      <c r="B510" s="2">
        <v>5.34</v>
      </c>
    </row>
    <row r="511" spans="1:2" x14ac:dyDescent="0.25">
      <c r="A511" s="1">
        <v>27576</v>
      </c>
      <c r="B511" s="2">
        <v>6.13</v>
      </c>
    </row>
    <row r="512" spans="1:2" x14ac:dyDescent="0.25">
      <c r="A512" s="1">
        <v>27607</v>
      </c>
      <c r="B512" s="2">
        <v>6.44</v>
      </c>
    </row>
    <row r="513" spans="1:2" x14ac:dyDescent="0.25">
      <c r="A513" s="1">
        <v>27638</v>
      </c>
      <c r="B513" s="2">
        <v>6.42</v>
      </c>
    </row>
    <row r="514" spans="1:2" x14ac:dyDescent="0.25">
      <c r="A514" s="1">
        <v>27668</v>
      </c>
      <c r="B514" s="2">
        <v>5.96</v>
      </c>
    </row>
    <row r="515" spans="1:2" x14ac:dyDescent="0.25">
      <c r="A515" s="1">
        <v>27699</v>
      </c>
      <c r="B515" s="2">
        <v>5.48</v>
      </c>
    </row>
    <row r="516" spans="1:2" x14ac:dyDescent="0.25">
      <c r="A516" s="1">
        <v>27729</v>
      </c>
      <c r="B516" s="2">
        <v>5.44</v>
      </c>
    </row>
    <row r="517" spans="1:2" x14ac:dyDescent="0.25">
      <c r="A517" s="1">
        <v>27760</v>
      </c>
      <c r="B517" s="2">
        <v>4.87</v>
      </c>
    </row>
    <row r="518" spans="1:2" x14ac:dyDescent="0.25">
      <c r="A518" s="1">
        <v>27791</v>
      </c>
      <c r="B518" s="2">
        <v>4.88</v>
      </c>
    </row>
    <row r="519" spans="1:2" x14ac:dyDescent="0.25">
      <c r="A519" s="1">
        <v>27820</v>
      </c>
      <c r="B519" s="2">
        <v>5</v>
      </c>
    </row>
    <row r="520" spans="1:2" x14ac:dyDescent="0.25">
      <c r="A520" s="1">
        <v>27851</v>
      </c>
      <c r="B520" s="2">
        <v>4.8600000000000003</v>
      </c>
    </row>
    <row r="521" spans="1:2" x14ac:dyDescent="0.25">
      <c r="A521" s="1">
        <v>27881</v>
      </c>
      <c r="B521" s="2">
        <v>5.2</v>
      </c>
    </row>
    <row r="522" spans="1:2" x14ac:dyDescent="0.25">
      <c r="A522" s="1">
        <v>27912</v>
      </c>
      <c r="B522" s="2">
        <v>5.41</v>
      </c>
    </row>
    <row r="523" spans="1:2" x14ac:dyDescent="0.25">
      <c r="A523" s="1">
        <v>27942</v>
      </c>
      <c r="B523" s="2">
        <v>5.23</v>
      </c>
    </row>
    <row r="524" spans="1:2" x14ac:dyDescent="0.25">
      <c r="A524" s="1">
        <v>27973</v>
      </c>
      <c r="B524" s="2">
        <v>5.14</v>
      </c>
    </row>
    <row r="525" spans="1:2" x14ac:dyDescent="0.25">
      <c r="A525" s="1">
        <v>28004</v>
      </c>
      <c r="B525" s="2">
        <v>5.08</v>
      </c>
    </row>
    <row r="526" spans="1:2" x14ac:dyDescent="0.25">
      <c r="A526" s="1">
        <v>28034</v>
      </c>
      <c r="B526" s="2">
        <v>4.92</v>
      </c>
    </row>
    <row r="527" spans="1:2" x14ac:dyDescent="0.25">
      <c r="A527" s="1">
        <v>28065</v>
      </c>
      <c r="B527" s="2">
        <v>4.75</v>
      </c>
    </row>
    <row r="528" spans="1:2" x14ac:dyDescent="0.25">
      <c r="A528" s="1">
        <v>28095</v>
      </c>
      <c r="B528" s="2">
        <v>4.3499999999999996</v>
      </c>
    </row>
    <row r="529" spans="1:2" x14ac:dyDescent="0.25">
      <c r="A529" s="1">
        <v>28126</v>
      </c>
      <c r="B529" s="2">
        <v>4.62</v>
      </c>
    </row>
    <row r="530" spans="1:2" x14ac:dyDescent="0.25">
      <c r="A530" s="1">
        <v>28157</v>
      </c>
      <c r="B530" s="2">
        <v>4.67</v>
      </c>
    </row>
    <row r="531" spans="1:2" x14ac:dyDescent="0.25">
      <c r="A531" s="1">
        <v>28185</v>
      </c>
      <c r="B531" s="2">
        <v>4.5999999999999996</v>
      </c>
    </row>
    <row r="532" spans="1:2" x14ac:dyDescent="0.25">
      <c r="A532" s="1">
        <v>28216</v>
      </c>
      <c r="B532" s="2">
        <v>4.54</v>
      </c>
    </row>
    <row r="533" spans="1:2" x14ac:dyDescent="0.25">
      <c r="A533" s="1">
        <v>28246</v>
      </c>
      <c r="B533" s="2">
        <v>4.96</v>
      </c>
    </row>
    <row r="534" spans="1:2" x14ac:dyDescent="0.25">
      <c r="A534" s="1">
        <v>28277</v>
      </c>
      <c r="B534" s="2">
        <v>5.0199999999999996</v>
      </c>
    </row>
    <row r="535" spans="1:2" x14ac:dyDescent="0.25">
      <c r="A535" s="1">
        <v>28307</v>
      </c>
      <c r="B535" s="2">
        <v>5.19</v>
      </c>
    </row>
    <row r="536" spans="1:2" x14ac:dyDescent="0.25">
      <c r="A536" s="1">
        <v>28338</v>
      </c>
      <c r="B536" s="2">
        <v>5.49</v>
      </c>
    </row>
    <row r="537" spans="1:2" x14ac:dyDescent="0.25">
      <c r="A537" s="1">
        <v>28369</v>
      </c>
      <c r="B537" s="2">
        <v>5.81</v>
      </c>
    </row>
    <row r="538" spans="1:2" x14ac:dyDescent="0.25">
      <c r="A538" s="1">
        <v>28399</v>
      </c>
      <c r="B538" s="2">
        <v>6.16</v>
      </c>
    </row>
    <row r="539" spans="1:2" x14ac:dyDescent="0.25">
      <c r="A539" s="1">
        <v>28430</v>
      </c>
      <c r="B539" s="2">
        <v>6.1</v>
      </c>
    </row>
    <row r="540" spans="1:2" x14ac:dyDescent="0.25">
      <c r="A540" s="1">
        <v>28460</v>
      </c>
      <c r="B540" s="2">
        <v>6.07</v>
      </c>
    </row>
    <row r="541" spans="1:2" x14ac:dyDescent="0.25">
      <c r="A541" s="1">
        <v>28491</v>
      </c>
      <c r="B541" s="2">
        <v>6.44</v>
      </c>
    </row>
    <row r="542" spans="1:2" x14ac:dyDescent="0.25">
      <c r="A542" s="1">
        <v>28522</v>
      </c>
      <c r="B542" s="2">
        <v>6.45</v>
      </c>
    </row>
    <row r="543" spans="1:2" x14ac:dyDescent="0.25">
      <c r="A543" s="1">
        <v>28550</v>
      </c>
      <c r="B543" s="2">
        <v>6.29</v>
      </c>
    </row>
    <row r="544" spans="1:2" x14ac:dyDescent="0.25">
      <c r="A544" s="1">
        <v>28581</v>
      </c>
      <c r="B544" s="2">
        <v>6.29</v>
      </c>
    </row>
    <row r="545" spans="1:2" x14ac:dyDescent="0.25">
      <c r="A545" s="1">
        <v>28611</v>
      </c>
      <c r="B545" s="2">
        <v>6.41</v>
      </c>
    </row>
    <row r="546" spans="1:2" x14ac:dyDescent="0.25">
      <c r="A546" s="1">
        <v>28642</v>
      </c>
      <c r="B546" s="2">
        <v>6.73</v>
      </c>
    </row>
    <row r="547" spans="1:2" x14ac:dyDescent="0.25">
      <c r="A547" s="1">
        <v>28672</v>
      </c>
      <c r="B547" s="2">
        <v>7.01</v>
      </c>
    </row>
    <row r="548" spans="1:2" x14ac:dyDescent="0.25">
      <c r="A548" s="1">
        <v>28703</v>
      </c>
      <c r="B548" s="2">
        <v>7.08</v>
      </c>
    </row>
    <row r="549" spans="1:2" x14ac:dyDescent="0.25">
      <c r="A549" s="1">
        <v>28734</v>
      </c>
      <c r="B549" s="2">
        <v>7.85</v>
      </c>
    </row>
    <row r="550" spans="1:2" x14ac:dyDescent="0.25">
      <c r="A550" s="1">
        <v>28764</v>
      </c>
      <c r="B550" s="2">
        <v>7.99</v>
      </c>
    </row>
    <row r="551" spans="1:2" x14ac:dyDescent="0.25">
      <c r="A551" s="1">
        <v>28795</v>
      </c>
      <c r="B551" s="2">
        <v>8.64</v>
      </c>
    </row>
    <row r="552" spans="1:2" x14ac:dyDescent="0.25">
      <c r="A552" s="1">
        <v>28825</v>
      </c>
      <c r="B552" s="2">
        <v>9.08</v>
      </c>
    </row>
    <row r="553" spans="1:2" x14ac:dyDescent="0.25">
      <c r="A553" s="1">
        <v>28856</v>
      </c>
      <c r="B553" s="2">
        <v>9.35</v>
      </c>
    </row>
    <row r="554" spans="1:2" x14ac:dyDescent="0.25">
      <c r="A554" s="1">
        <v>28887</v>
      </c>
      <c r="B554" s="2">
        <v>9.32</v>
      </c>
    </row>
    <row r="555" spans="1:2" x14ac:dyDescent="0.25">
      <c r="A555" s="1">
        <v>28915</v>
      </c>
      <c r="B555" s="2">
        <v>9.48</v>
      </c>
    </row>
    <row r="556" spans="1:2" x14ac:dyDescent="0.25">
      <c r="A556" s="1">
        <v>28946</v>
      </c>
      <c r="B556" s="2">
        <v>9.4600000000000009</v>
      </c>
    </row>
    <row r="557" spans="1:2" x14ac:dyDescent="0.25">
      <c r="A557" s="1">
        <v>28976</v>
      </c>
      <c r="B557" s="2">
        <v>9.61</v>
      </c>
    </row>
    <row r="558" spans="1:2" x14ac:dyDescent="0.25">
      <c r="A558" s="1">
        <v>29007</v>
      </c>
      <c r="B558" s="2">
        <v>9.06</v>
      </c>
    </row>
    <row r="559" spans="1:2" x14ac:dyDescent="0.25">
      <c r="A559" s="1">
        <v>29037</v>
      </c>
      <c r="B559" s="2">
        <v>9.24</v>
      </c>
    </row>
    <row r="560" spans="1:2" x14ac:dyDescent="0.25">
      <c r="A560" s="1">
        <v>29068</v>
      </c>
      <c r="B560" s="2">
        <v>9.52</v>
      </c>
    </row>
    <row r="561" spans="1:2" x14ac:dyDescent="0.25">
      <c r="A561" s="1">
        <v>29099</v>
      </c>
      <c r="B561" s="2">
        <v>10.26</v>
      </c>
    </row>
    <row r="562" spans="1:2" x14ac:dyDescent="0.25">
      <c r="A562" s="1">
        <v>29129</v>
      </c>
      <c r="B562" s="2">
        <v>11.7</v>
      </c>
    </row>
    <row r="563" spans="1:2" x14ac:dyDescent="0.25">
      <c r="A563" s="1">
        <v>29160</v>
      </c>
      <c r="B563" s="2">
        <v>11.79</v>
      </c>
    </row>
    <row r="564" spans="1:2" x14ac:dyDescent="0.25">
      <c r="A564" s="1">
        <v>29190</v>
      </c>
      <c r="B564" s="2">
        <v>12.04</v>
      </c>
    </row>
    <row r="565" spans="1:2" x14ac:dyDescent="0.25">
      <c r="A565" s="1">
        <v>29221</v>
      </c>
      <c r="B565" s="2">
        <v>12</v>
      </c>
    </row>
    <row r="566" spans="1:2" x14ac:dyDescent="0.25">
      <c r="A566" s="1">
        <v>29252</v>
      </c>
      <c r="B566" s="2">
        <v>12.86</v>
      </c>
    </row>
    <row r="567" spans="1:2" x14ac:dyDescent="0.25">
      <c r="A567" s="1">
        <v>29281</v>
      </c>
      <c r="B567" s="2">
        <v>15.2</v>
      </c>
    </row>
    <row r="568" spans="1:2" x14ac:dyDescent="0.25">
      <c r="A568" s="1">
        <v>29312</v>
      </c>
      <c r="B568" s="2">
        <v>13.2</v>
      </c>
    </row>
    <row r="569" spans="1:2" x14ac:dyDescent="0.25">
      <c r="A569" s="1">
        <v>29342</v>
      </c>
      <c r="B569" s="2">
        <v>8.58</v>
      </c>
    </row>
    <row r="570" spans="1:2" x14ac:dyDescent="0.25">
      <c r="A570" s="1">
        <v>29373</v>
      </c>
      <c r="B570" s="2">
        <v>7.07</v>
      </c>
    </row>
    <row r="571" spans="1:2" x14ac:dyDescent="0.25">
      <c r="A571" s="1">
        <v>29403</v>
      </c>
      <c r="B571" s="2">
        <v>8.06</v>
      </c>
    </row>
    <row r="572" spans="1:2" x14ac:dyDescent="0.25">
      <c r="A572" s="1">
        <v>29434</v>
      </c>
      <c r="B572" s="2">
        <v>9.1300000000000008</v>
      </c>
    </row>
    <row r="573" spans="1:2" x14ac:dyDescent="0.25">
      <c r="A573" s="1">
        <v>29465</v>
      </c>
      <c r="B573" s="2">
        <v>10.27</v>
      </c>
    </row>
    <row r="574" spans="1:2" x14ac:dyDescent="0.25">
      <c r="A574" s="1">
        <v>29495</v>
      </c>
      <c r="B574" s="2">
        <v>11.62</v>
      </c>
    </row>
    <row r="575" spans="1:2" x14ac:dyDescent="0.25">
      <c r="A575" s="1">
        <v>29526</v>
      </c>
      <c r="B575" s="2">
        <v>13.73</v>
      </c>
    </row>
    <row r="576" spans="1:2" x14ac:dyDescent="0.25">
      <c r="A576" s="1">
        <v>29556</v>
      </c>
      <c r="B576" s="2">
        <v>15.49</v>
      </c>
    </row>
    <row r="577" spans="1:2" x14ac:dyDescent="0.25">
      <c r="A577" s="1">
        <v>29587</v>
      </c>
      <c r="B577" s="2">
        <v>15.02</v>
      </c>
    </row>
    <row r="578" spans="1:2" x14ac:dyDescent="0.25">
      <c r="A578" s="1">
        <v>29618</v>
      </c>
      <c r="B578" s="2">
        <v>14.79</v>
      </c>
    </row>
    <row r="579" spans="1:2" x14ac:dyDescent="0.25">
      <c r="A579" s="1">
        <v>29646</v>
      </c>
      <c r="B579" s="2">
        <v>13.36</v>
      </c>
    </row>
    <row r="580" spans="1:2" x14ac:dyDescent="0.25">
      <c r="A580" s="1">
        <v>29677</v>
      </c>
      <c r="B580" s="2">
        <v>13.69</v>
      </c>
    </row>
    <row r="581" spans="1:2" x14ac:dyDescent="0.25">
      <c r="A581" s="1">
        <v>29707</v>
      </c>
      <c r="B581" s="2">
        <v>16.3</v>
      </c>
    </row>
    <row r="582" spans="1:2" x14ac:dyDescent="0.25">
      <c r="A582" s="1">
        <v>29738</v>
      </c>
      <c r="B582" s="2">
        <v>14.73</v>
      </c>
    </row>
    <row r="583" spans="1:2" x14ac:dyDescent="0.25">
      <c r="A583" s="1">
        <v>29768</v>
      </c>
      <c r="B583" s="2">
        <v>14.95</v>
      </c>
    </row>
    <row r="584" spans="1:2" x14ac:dyDescent="0.25">
      <c r="A584" s="1">
        <v>29799</v>
      </c>
      <c r="B584" s="2">
        <v>15.51</v>
      </c>
    </row>
    <row r="585" spans="1:2" x14ac:dyDescent="0.25">
      <c r="A585" s="1">
        <v>29830</v>
      </c>
      <c r="B585" s="2">
        <v>14.7</v>
      </c>
    </row>
    <row r="586" spans="1:2" x14ac:dyDescent="0.25">
      <c r="A586" s="1">
        <v>29860</v>
      </c>
      <c r="B586" s="2">
        <v>13.54</v>
      </c>
    </row>
    <row r="587" spans="1:2" x14ac:dyDescent="0.25">
      <c r="A587" s="1">
        <v>29891</v>
      </c>
      <c r="B587" s="2">
        <v>10.86</v>
      </c>
    </row>
    <row r="588" spans="1:2" x14ac:dyDescent="0.25">
      <c r="A588" s="1">
        <v>29921</v>
      </c>
      <c r="B588" s="2">
        <v>10.85</v>
      </c>
    </row>
    <row r="589" spans="1:2" x14ac:dyDescent="0.25">
      <c r="A589" s="1">
        <v>29952</v>
      </c>
      <c r="B589" s="2">
        <v>12.28</v>
      </c>
    </row>
    <row r="590" spans="1:2" x14ac:dyDescent="0.25">
      <c r="A590" s="1">
        <v>29983</v>
      </c>
      <c r="B590" s="2">
        <v>13.48</v>
      </c>
    </row>
    <row r="591" spans="1:2" x14ac:dyDescent="0.25">
      <c r="A591" s="1">
        <v>30011</v>
      </c>
      <c r="B591" s="2">
        <v>12.68</v>
      </c>
    </row>
    <row r="592" spans="1:2" x14ac:dyDescent="0.25">
      <c r="A592" s="1">
        <v>30042</v>
      </c>
      <c r="B592" s="2">
        <v>12.7</v>
      </c>
    </row>
    <row r="593" spans="1:2" x14ac:dyDescent="0.25">
      <c r="A593" s="1">
        <v>30072</v>
      </c>
      <c r="B593" s="2">
        <v>12.09</v>
      </c>
    </row>
    <row r="594" spans="1:2" x14ac:dyDescent="0.25">
      <c r="A594" s="1">
        <v>30103</v>
      </c>
      <c r="B594" s="2">
        <v>12.47</v>
      </c>
    </row>
    <row r="595" spans="1:2" x14ac:dyDescent="0.25">
      <c r="A595" s="1">
        <v>30133</v>
      </c>
      <c r="B595" s="2">
        <v>11.35</v>
      </c>
    </row>
    <row r="596" spans="1:2" x14ac:dyDescent="0.25">
      <c r="A596" s="1">
        <v>30164</v>
      </c>
      <c r="B596" s="2">
        <v>8.68</v>
      </c>
    </row>
    <row r="597" spans="1:2" x14ac:dyDescent="0.25">
      <c r="A597" s="1">
        <v>30195</v>
      </c>
      <c r="B597" s="2">
        <v>7.92</v>
      </c>
    </row>
    <row r="598" spans="1:2" x14ac:dyDescent="0.25">
      <c r="A598" s="1">
        <v>30225</v>
      </c>
      <c r="B598" s="2">
        <v>7.71</v>
      </c>
    </row>
    <row r="599" spans="1:2" x14ac:dyDescent="0.25">
      <c r="A599" s="1">
        <v>30256</v>
      </c>
      <c r="B599" s="2">
        <v>8.07</v>
      </c>
    </row>
    <row r="600" spans="1:2" x14ac:dyDescent="0.25">
      <c r="A600" s="1">
        <v>30286</v>
      </c>
      <c r="B600" s="2">
        <v>7.94</v>
      </c>
    </row>
    <row r="601" spans="1:2" x14ac:dyDescent="0.25">
      <c r="A601" s="1">
        <v>30317</v>
      </c>
      <c r="B601" s="2">
        <v>7.86</v>
      </c>
    </row>
    <row r="602" spans="1:2" x14ac:dyDescent="0.25">
      <c r="A602" s="1">
        <v>30348</v>
      </c>
      <c r="B602" s="2">
        <v>8.11</v>
      </c>
    </row>
    <row r="603" spans="1:2" x14ac:dyDescent="0.25">
      <c r="A603" s="1">
        <v>30376</v>
      </c>
      <c r="B603" s="2">
        <v>8.35</v>
      </c>
    </row>
    <row r="604" spans="1:2" x14ac:dyDescent="0.25">
      <c r="A604" s="1">
        <v>30407</v>
      </c>
      <c r="B604" s="2">
        <v>8.2100000000000009</v>
      </c>
    </row>
    <row r="605" spans="1:2" x14ac:dyDescent="0.25">
      <c r="A605" s="1">
        <v>30437</v>
      </c>
      <c r="B605" s="2">
        <v>8.19</v>
      </c>
    </row>
    <row r="606" spans="1:2" x14ac:dyDescent="0.25">
      <c r="A606" s="1">
        <v>30468</v>
      </c>
      <c r="B606" s="2">
        <v>8.7899999999999991</v>
      </c>
    </row>
    <row r="607" spans="1:2" x14ac:dyDescent="0.25">
      <c r="A607" s="1">
        <v>30498</v>
      </c>
      <c r="B607" s="2">
        <v>9.08</v>
      </c>
    </row>
    <row r="608" spans="1:2" x14ac:dyDescent="0.25">
      <c r="A608" s="1">
        <v>30529</v>
      </c>
      <c r="B608" s="2">
        <v>9.34</v>
      </c>
    </row>
    <row r="609" spans="1:2" x14ac:dyDescent="0.25">
      <c r="A609" s="1">
        <v>30560</v>
      </c>
      <c r="B609" s="2">
        <v>9</v>
      </c>
    </row>
    <row r="610" spans="1:2" x14ac:dyDescent="0.25">
      <c r="A610" s="1">
        <v>30590</v>
      </c>
      <c r="B610" s="2">
        <v>8.64</v>
      </c>
    </row>
    <row r="611" spans="1:2" x14ac:dyDescent="0.25">
      <c r="A611" s="1">
        <v>30621</v>
      </c>
      <c r="B611" s="2">
        <v>8.76</v>
      </c>
    </row>
    <row r="612" spans="1:2" x14ac:dyDescent="0.25">
      <c r="A612" s="1">
        <v>30651</v>
      </c>
      <c r="B612" s="2">
        <v>9</v>
      </c>
    </row>
    <row r="613" spans="1:2" x14ac:dyDescent="0.25">
      <c r="A613" s="1">
        <v>30682</v>
      </c>
      <c r="B613" s="2">
        <v>8.9</v>
      </c>
    </row>
    <row r="614" spans="1:2" x14ac:dyDescent="0.25">
      <c r="A614" s="1">
        <v>30713</v>
      </c>
      <c r="B614" s="2">
        <v>9.09</v>
      </c>
    </row>
    <row r="615" spans="1:2" x14ac:dyDescent="0.25">
      <c r="A615" s="1">
        <v>30742</v>
      </c>
      <c r="B615" s="2">
        <v>9.52</v>
      </c>
    </row>
    <row r="616" spans="1:2" x14ac:dyDescent="0.25">
      <c r="A616" s="1">
        <v>30773</v>
      </c>
      <c r="B616" s="2">
        <v>9.69</v>
      </c>
    </row>
    <row r="617" spans="1:2" x14ac:dyDescent="0.25">
      <c r="A617" s="1">
        <v>30803</v>
      </c>
      <c r="B617" s="2">
        <v>9.83</v>
      </c>
    </row>
    <row r="618" spans="1:2" x14ac:dyDescent="0.25">
      <c r="A618" s="1">
        <v>30834</v>
      </c>
      <c r="B618" s="2">
        <v>9.8699999999999992</v>
      </c>
    </row>
    <row r="619" spans="1:2" x14ac:dyDescent="0.25">
      <c r="A619" s="1">
        <v>30864</v>
      </c>
      <c r="B619" s="2">
        <v>10.119999999999999</v>
      </c>
    </row>
    <row r="620" spans="1:2" x14ac:dyDescent="0.25">
      <c r="A620" s="1">
        <v>30895</v>
      </c>
      <c r="B620" s="2">
        <v>10.47</v>
      </c>
    </row>
    <row r="621" spans="1:2" x14ac:dyDescent="0.25">
      <c r="A621" s="1">
        <v>30926</v>
      </c>
      <c r="B621" s="2">
        <v>10.37</v>
      </c>
    </row>
    <row r="622" spans="1:2" x14ac:dyDescent="0.25">
      <c r="A622" s="1">
        <v>30956</v>
      </c>
      <c r="B622" s="2">
        <v>9.74</v>
      </c>
    </row>
    <row r="623" spans="1:2" x14ac:dyDescent="0.25">
      <c r="A623" s="1">
        <v>30987</v>
      </c>
      <c r="B623" s="2">
        <v>8.61</v>
      </c>
    </row>
    <row r="624" spans="1:2" x14ac:dyDescent="0.25">
      <c r="A624" s="1">
        <v>31017</v>
      </c>
      <c r="B624" s="2">
        <v>8.06</v>
      </c>
    </row>
    <row r="625" spans="1:2" x14ac:dyDescent="0.25">
      <c r="A625" s="1">
        <v>31048</v>
      </c>
      <c r="B625" s="2">
        <v>7.76</v>
      </c>
    </row>
    <row r="626" spans="1:2" x14ac:dyDescent="0.25">
      <c r="A626" s="1">
        <v>31079</v>
      </c>
      <c r="B626" s="2">
        <v>8.27</v>
      </c>
    </row>
    <row r="627" spans="1:2" x14ac:dyDescent="0.25">
      <c r="A627" s="1">
        <v>31107</v>
      </c>
      <c r="B627" s="2">
        <v>8.52</v>
      </c>
    </row>
    <row r="628" spans="1:2" x14ac:dyDescent="0.25">
      <c r="A628" s="1">
        <v>31138</v>
      </c>
      <c r="B628" s="2">
        <v>7.95</v>
      </c>
    </row>
    <row r="629" spans="1:2" x14ac:dyDescent="0.25">
      <c r="A629" s="1">
        <v>31168</v>
      </c>
      <c r="B629" s="2">
        <v>7.48</v>
      </c>
    </row>
    <row r="630" spans="1:2" x14ac:dyDescent="0.25">
      <c r="A630" s="1">
        <v>31199</v>
      </c>
      <c r="B630" s="2">
        <v>6.95</v>
      </c>
    </row>
    <row r="631" spans="1:2" x14ac:dyDescent="0.25">
      <c r="A631" s="1">
        <v>31229</v>
      </c>
      <c r="B631" s="2">
        <v>7.08</v>
      </c>
    </row>
    <row r="632" spans="1:2" x14ac:dyDescent="0.25">
      <c r="A632" s="1">
        <v>31260</v>
      </c>
      <c r="B632" s="2">
        <v>7.14</v>
      </c>
    </row>
    <row r="633" spans="1:2" x14ac:dyDescent="0.25">
      <c r="A633" s="1">
        <v>31291</v>
      </c>
      <c r="B633" s="2">
        <v>7.1</v>
      </c>
    </row>
    <row r="634" spans="1:2" x14ac:dyDescent="0.25">
      <c r="A634" s="1">
        <v>31321</v>
      </c>
      <c r="B634" s="2">
        <v>7.16</v>
      </c>
    </row>
    <row r="635" spans="1:2" x14ac:dyDescent="0.25">
      <c r="A635" s="1">
        <v>31352</v>
      </c>
      <c r="B635" s="2">
        <v>7.24</v>
      </c>
    </row>
    <row r="636" spans="1:2" x14ac:dyDescent="0.25">
      <c r="A636" s="1">
        <v>31382</v>
      </c>
      <c r="B636" s="2">
        <v>7.1</v>
      </c>
    </row>
    <row r="637" spans="1:2" x14ac:dyDescent="0.25">
      <c r="A637" s="1">
        <v>31413</v>
      </c>
      <c r="B637" s="2">
        <v>7.07</v>
      </c>
    </row>
    <row r="638" spans="1:2" x14ac:dyDescent="0.25">
      <c r="A638" s="1">
        <v>31444</v>
      </c>
      <c r="B638" s="2">
        <v>7.06</v>
      </c>
    </row>
    <row r="639" spans="1:2" x14ac:dyDescent="0.25">
      <c r="A639" s="1">
        <v>31472</v>
      </c>
      <c r="B639" s="2">
        <v>6.56</v>
      </c>
    </row>
    <row r="640" spans="1:2" x14ac:dyDescent="0.25">
      <c r="A640" s="1">
        <v>31503</v>
      </c>
      <c r="B640" s="2">
        <v>6.06</v>
      </c>
    </row>
    <row r="641" spans="1:2" x14ac:dyDescent="0.25">
      <c r="A641" s="1">
        <v>31533</v>
      </c>
      <c r="B641" s="2">
        <v>6.15</v>
      </c>
    </row>
    <row r="642" spans="1:2" x14ac:dyDescent="0.25">
      <c r="A642" s="1">
        <v>31564</v>
      </c>
      <c r="B642" s="2">
        <v>6.21</v>
      </c>
    </row>
    <row r="643" spans="1:2" x14ac:dyDescent="0.25">
      <c r="A643" s="1">
        <v>31594</v>
      </c>
      <c r="B643" s="2">
        <v>5.83</v>
      </c>
    </row>
    <row r="644" spans="1:2" x14ac:dyDescent="0.25">
      <c r="A644" s="1">
        <v>31625</v>
      </c>
      <c r="B644" s="2">
        <v>5.53</v>
      </c>
    </row>
    <row r="645" spans="1:2" x14ac:dyDescent="0.25">
      <c r="A645" s="1">
        <v>31656</v>
      </c>
      <c r="B645" s="2">
        <v>5.21</v>
      </c>
    </row>
    <row r="646" spans="1:2" x14ac:dyDescent="0.25">
      <c r="A646" s="1">
        <v>31686</v>
      </c>
      <c r="B646" s="2">
        <v>5.18</v>
      </c>
    </row>
    <row r="647" spans="1:2" x14ac:dyDescent="0.25">
      <c r="A647" s="1">
        <v>31717</v>
      </c>
      <c r="B647" s="2">
        <v>5.35</v>
      </c>
    </row>
    <row r="648" spans="1:2" x14ac:dyDescent="0.25">
      <c r="A648" s="1">
        <v>31747</v>
      </c>
      <c r="B648" s="2">
        <v>5.53</v>
      </c>
    </row>
    <row r="649" spans="1:2" x14ac:dyDescent="0.25">
      <c r="A649" s="1">
        <v>31778</v>
      </c>
      <c r="B649" s="2">
        <v>5.43</v>
      </c>
    </row>
    <row r="650" spans="1:2" x14ac:dyDescent="0.25">
      <c r="A650" s="1">
        <v>31809</v>
      </c>
      <c r="B650" s="2">
        <v>5.59</v>
      </c>
    </row>
    <row r="651" spans="1:2" x14ac:dyDescent="0.25">
      <c r="A651" s="1">
        <v>31837</v>
      </c>
      <c r="B651" s="2">
        <v>5.59</v>
      </c>
    </row>
    <row r="652" spans="1:2" x14ac:dyDescent="0.25">
      <c r="A652" s="1">
        <v>31868</v>
      </c>
      <c r="B652" s="2">
        <v>5.64</v>
      </c>
    </row>
    <row r="653" spans="1:2" x14ac:dyDescent="0.25">
      <c r="A653" s="1">
        <v>31898</v>
      </c>
      <c r="B653" s="2">
        <v>5.66</v>
      </c>
    </row>
    <row r="654" spans="1:2" x14ac:dyDescent="0.25">
      <c r="A654" s="1">
        <v>31929</v>
      </c>
      <c r="B654" s="2">
        <v>5.67</v>
      </c>
    </row>
    <row r="655" spans="1:2" x14ac:dyDescent="0.25">
      <c r="A655" s="1">
        <v>31959</v>
      </c>
      <c r="B655" s="2">
        <v>5.69</v>
      </c>
    </row>
    <row r="656" spans="1:2" x14ac:dyDescent="0.25">
      <c r="A656" s="1">
        <v>31990</v>
      </c>
      <c r="B656" s="2">
        <v>6.04</v>
      </c>
    </row>
    <row r="657" spans="1:2" x14ac:dyDescent="0.25">
      <c r="A657" s="1">
        <v>32021</v>
      </c>
      <c r="B657" s="2">
        <v>6.4</v>
      </c>
    </row>
    <row r="658" spans="1:2" x14ac:dyDescent="0.25">
      <c r="A658" s="1">
        <v>32051</v>
      </c>
      <c r="B658" s="2">
        <v>6.13</v>
      </c>
    </row>
    <row r="659" spans="1:2" x14ac:dyDescent="0.25">
      <c r="A659" s="1">
        <v>32082</v>
      </c>
      <c r="B659" s="2">
        <v>5.69</v>
      </c>
    </row>
    <row r="660" spans="1:2" x14ac:dyDescent="0.25">
      <c r="A660" s="1">
        <v>32112</v>
      </c>
      <c r="B660" s="2">
        <v>5.77</v>
      </c>
    </row>
    <row r="661" spans="1:2" x14ac:dyDescent="0.25">
      <c r="A661" s="1">
        <v>32143</v>
      </c>
      <c r="B661" s="2">
        <v>5.81</v>
      </c>
    </row>
    <row r="662" spans="1:2" x14ac:dyDescent="0.25">
      <c r="A662" s="1">
        <v>32174</v>
      </c>
      <c r="B662" s="2">
        <v>5.66</v>
      </c>
    </row>
    <row r="663" spans="1:2" x14ac:dyDescent="0.25">
      <c r="A663" s="1">
        <v>32203</v>
      </c>
      <c r="B663" s="2">
        <v>5.7</v>
      </c>
    </row>
    <row r="664" spans="1:2" x14ac:dyDescent="0.25">
      <c r="A664" s="1">
        <v>32234</v>
      </c>
      <c r="B664" s="2">
        <v>5.91</v>
      </c>
    </row>
    <row r="665" spans="1:2" x14ac:dyDescent="0.25">
      <c r="A665" s="1">
        <v>32264</v>
      </c>
      <c r="B665" s="2">
        <v>6.26</v>
      </c>
    </row>
    <row r="666" spans="1:2" x14ac:dyDescent="0.25">
      <c r="A666" s="1">
        <v>32295</v>
      </c>
      <c r="B666" s="2">
        <v>6.46</v>
      </c>
    </row>
    <row r="667" spans="1:2" x14ac:dyDescent="0.25">
      <c r="A667" s="1">
        <v>32325</v>
      </c>
      <c r="B667" s="2">
        <v>6.73</v>
      </c>
    </row>
    <row r="668" spans="1:2" x14ac:dyDescent="0.25">
      <c r="A668" s="1">
        <v>32356</v>
      </c>
      <c r="B668" s="2">
        <v>7.06</v>
      </c>
    </row>
    <row r="669" spans="1:2" x14ac:dyDescent="0.25">
      <c r="A669" s="1">
        <v>32387</v>
      </c>
      <c r="B669" s="2">
        <v>7.24</v>
      </c>
    </row>
    <row r="670" spans="1:2" x14ac:dyDescent="0.25">
      <c r="A670" s="1">
        <v>32417</v>
      </c>
      <c r="B670" s="2">
        <v>7.35</v>
      </c>
    </row>
    <row r="671" spans="1:2" x14ac:dyDescent="0.25">
      <c r="A671" s="1">
        <v>32448</v>
      </c>
      <c r="B671" s="2">
        <v>7.76</v>
      </c>
    </row>
    <row r="672" spans="1:2" x14ac:dyDescent="0.25">
      <c r="A672" s="1">
        <v>32478</v>
      </c>
      <c r="B672" s="2">
        <v>8.07</v>
      </c>
    </row>
    <row r="673" spans="1:2" x14ac:dyDescent="0.25">
      <c r="A673" s="1">
        <v>32509</v>
      </c>
      <c r="B673" s="2">
        <v>8.27</v>
      </c>
    </row>
    <row r="674" spans="1:2" x14ac:dyDescent="0.25">
      <c r="A674" s="1">
        <v>32540</v>
      </c>
      <c r="B674" s="2">
        <v>8.5299999999999994</v>
      </c>
    </row>
    <row r="675" spans="1:2" x14ac:dyDescent="0.25">
      <c r="A675" s="1">
        <v>32568</v>
      </c>
      <c r="B675" s="2">
        <v>8.82</v>
      </c>
    </row>
    <row r="676" spans="1:2" x14ac:dyDescent="0.25">
      <c r="A676" s="1">
        <v>32599</v>
      </c>
      <c r="B676" s="2">
        <v>8.65</v>
      </c>
    </row>
    <row r="677" spans="1:2" x14ac:dyDescent="0.25">
      <c r="A677" s="1">
        <v>32629</v>
      </c>
      <c r="B677" s="2">
        <v>8.43</v>
      </c>
    </row>
    <row r="678" spans="1:2" x14ac:dyDescent="0.25">
      <c r="A678" s="1">
        <v>32660</v>
      </c>
      <c r="B678" s="2">
        <v>8.15</v>
      </c>
    </row>
    <row r="679" spans="1:2" x14ac:dyDescent="0.25">
      <c r="A679" s="1">
        <v>32690</v>
      </c>
      <c r="B679" s="2">
        <v>7.88</v>
      </c>
    </row>
    <row r="680" spans="1:2" x14ac:dyDescent="0.25">
      <c r="A680" s="1">
        <v>32721</v>
      </c>
      <c r="B680" s="2">
        <v>7.9</v>
      </c>
    </row>
    <row r="681" spans="1:2" x14ac:dyDescent="0.25">
      <c r="A681" s="1">
        <v>32752</v>
      </c>
      <c r="B681" s="2">
        <v>7.75</v>
      </c>
    </row>
    <row r="682" spans="1:2" x14ac:dyDescent="0.25">
      <c r="A682" s="1">
        <v>32782</v>
      </c>
      <c r="B682" s="2">
        <v>7.64</v>
      </c>
    </row>
    <row r="683" spans="1:2" x14ac:dyDescent="0.25">
      <c r="A683" s="1">
        <v>32813</v>
      </c>
      <c r="B683" s="2">
        <v>7.69</v>
      </c>
    </row>
    <row r="684" spans="1:2" x14ac:dyDescent="0.25">
      <c r="A684" s="1">
        <v>32843</v>
      </c>
      <c r="B684" s="2">
        <v>7.63</v>
      </c>
    </row>
    <row r="685" spans="1:2" x14ac:dyDescent="0.25">
      <c r="A685" s="1">
        <v>32874</v>
      </c>
      <c r="B685" s="2">
        <v>7.64</v>
      </c>
    </row>
    <row r="686" spans="1:2" x14ac:dyDescent="0.25">
      <c r="A686" s="1">
        <v>32905</v>
      </c>
      <c r="B686" s="2">
        <v>7.74</v>
      </c>
    </row>
    <row r="687" spans="1:2" x14ac:dyDescent="0.25">
      <c r="A687" s="1">
        <v>32933</v>
      </c>
      <c r="B687" s="2">
        <v>7.9</v>
      </c>
    </row>
    <row r="688" spans="1:2" x14ac:dyDescent="0.25">
      <c r="A688" s="1">
        <v>32964</v>
      </c>
      <c r="B688" s="2">
        <v>7.77</v>
      </c>
    </row>
    <row r="689" spans="1:2" x14ac:dyDescent="0.25">
      <c r="A689" s="1">
        <v>32994</v>
      </c>
      <c r="B689" s="2">
        <v>7.74</v>
      </c>
    </row>
    <row r="690" spans="1:2" x14ac:dyDescent="0.25">
      <c r="A690" s="1">
        <v>33025</v>
      </c>
      <c r="B690" s="2">
        <v>7.73</v>
      </c>
    </row>
    <row r="691" spans="1:2" x14ac:dyDescent="0.25">
      <c r="A691" s="1">
        <v>33055</v>
      </c>
      <c r="B691" s="2">
        <v>7.62</v>
      </c>
    </row>
    <row r="692" spans="1:2" x14ac:dyDescent="0.25">
      <c r="A692" s="1">
        <v>33086</v>
      </c>
      <c r="B692" s="2">
        <v>7.45</v>
      </c>
    </row>
    <row r="693" spans="1:2" x14ac:dyDescent="0.25">
      <c r="A693" s="1">
        <v>33117</v>
      </c>
      <c r="B693" s="2">
        <v>7.36</v>
      </c>
    </row>
    <row r="694" spans="1:2" x14ac:dyDescent="0.25">
      <c r="A694" s="1">
        <v>33147</v>
      </c>
      <c r="B694" s="2">
        <v>7.17</v>
      </c>
    </row>
    <row r="695" spans="1:2" x14ac:dyDescent="0.25">
      <c r="A695" s="1">
        <v>33178</v>
      </c>
      <c r="B695" s="2">
        <v>7.06</v>
      </c>
    </row>
    <row r="696" spans="1:2" x14ac:dyDescent="0.25">
      <c r="A696" s="1">
        <v>33208</v>
      </c>
      <c r="B696" s="2">
        <v>6.74</v>
      </c>
    </row>
    <row r="697" spans="1:2" x14ac:dyDescent="0.25">
      <c r="A697" s="1">
        <v>33239</v>
      </c>
      <c r="B697" s="2">
        <v>6.22</v>
      </c>
    </row>
    <row r="698" spans="1:2" x14ac:dyDescent="0.25">
      <c r="A698" s="1">
        <v>33270</v>
      </c>
      <c r="B698" s="2">
        <v>5.94</v>
      </c>
    </row>
    <row r="699" spans="1:2" x14ac:dyDescent="0.25">
      <c r="A699" s="1">
        <v>33298</v>
      </c>
      <c r="B699" s="2">
        <v>5.91</v>
      </c>
    </row>
    <row r="700" spans="1:2" x14ac:dyDescent="0.25">
      <c r="A700" s="1">
        <v>33329</v>
      </c>
      <c r="B700" s="2">
        <v>5.65</v>
      </c>
    </row>
    <row r="701" spans="1:2" x14ac:dyDescent="0.25">
      <c r="A701" s="1">
        <v>33359</v>
      </c>
      <c r="B701" s="2">
        <v>5.46</v>
      </c>
    </row>
    <row r="702" spans="1:2" x14ac:dyDescent="0.25">
      <c r="A702" s="1">
        <v>33390</v>
      </c>
      <c r="B702" s="2">
        <v>5.57</v>
      </c>
    </row>
    <row r="703" spans="1:2" x14ac:dyDescent="0.25">
      <c r="A703" s="1">
        <v>33420</v>
      </c>
      <c r="B703" s="2">
        <v>5.58</v>
      </c>
    </row>
    <row r="704" spans="1:2" x14ac:dyDescent="0.25">
      <c r="A704" s="1">
        <v>33451</v>
      </c>
      <c r="B704" s="2">
        <v>5.33</v>
      </c>
    </row>
    <row r="705" spans="1:2" x14ac:dyDescent="0.25">
      <c r="A705" s="1">
        <v>33482</v>
      </c>
      <c r="B705" s="2">
        <v>5.22</v>
      </c>
    </row>
    <row r="706" spans="1:2" x14ac:dyDescent="0.25">
      <c r="A706" s="1">
        <v>33512</v>
      </c>
      <c r="B706" s="2">
        <v>4.99</v>
      </c>
    </row>
    <row r="707" spans="1:2" x14ac:dyDescent="0.25">
      <c r="A707" s="1">
        <v>33543</v>
      </c>
      <c r="B707" s="2">
        <v>4.5599999999999996</v>
      </c>
    </row>
    <row r="708" spans="1:2" x14ac:dyDescent="0.25">
      <c r="A708" s="1">
        <v>33573</v>
      </c>
      <c r="B708" s="2">
        <v>4.07</v>
      </c>
    </row>
    <row r="709" spans="1:2" x14ac:dyDescent="0.25">
      <c r="A709" s="1">
        <v>33604</v>
      </c>
      <c r="B709" s="2">
        <v>3.8</v>
      </c>
    </row>
    <row r="710" spans="1:2" x14ac:dyDescent="0.25">
      <c r="A710" s="1">
        <v>33635</v>
      </c>
      <c r="B710" s="2">
        <v>3.84</v>
      </c>
    </row>
    <row r="711" spans="1:2" x14ac:dyDescent="0.25">
      <c r="A711" s="1">
        <v>33664</v>
      </c>
      <c r="B711" s="2">
        <v>4.04</v>
      </c>
    </row>
    <row r="712" spans="1:2" x14ac:dyDescent="0.25">
      <c r="A712" s="1">
        <v>33695</v>
      </c>
      <c r="B712" s="2">
        <v>3.75</v>
      </c>
    </row>
    <row r="713" spans="1:2" x14ac:dyDescent="0.25">
      <c r="A713" s="1">
        <v>33725</v>
      </c>
      <c r="B713" s="2">
        <v>3.63</v>
      </c>
    </row>
    <row r="714" spans="1:2" x14ac:dyDescent="0.25">
      <c r="A714" s="1">
        <v>33756</v>
      </c>
      <c r="B714" s="2">
        <v>3.66</v>
      </c>
    </row>
    <row r="715" spans="1:2" x14ac:dyDescent="0.25">
      <c r="A715" s="1">
        <v>33786</v>
      </c>
      <c r="B715" s="2">
        <v>3.21</v>
      </c>
    </row>
    <row r="716" spans="1:2" x14ac:dyDescent="0.25">
      <c r="A716" s="1">
        <v>33817</v>
      </c>
      <c r="B716" s="2">
        <v>3.13</v>
      </c>
    </row>
    <row r="717" spans="1:2" x14ac:dyDescent="0.25">
      <c r="A717" s="1">
        <v>33848</v>
      </c>
      <c r="B717" s="2">
        <v>2.91</v>
      </c>
    </row>
    <row r="718" spans="1:2" x14ac:dyDescent="0.25">
      <c r="A718" s="1">
        <v>33878</v>
      </c>
      <c r="B718" s="2">
        <v>2.86</v>
      </c>
    </row>
    <row r="719" spans="1:2" x14ac:dyDescent="0.25">
      <c r="A719" s="1">
        <v>33909</v>
      </c>
      <c r="B719" s="2">
        <v>3.13</v>
      </c>
    </row>
    <row r="720" spans="1:2" x14ac:dyDescent="0.25">
      <c r="A720" s="1">
        <v>33939</v>
      </c>
      <c r="B720" s="2">
        <v>3.22</v>
      </c>
    </row>
    <row r="721" spans="1:2" x14ac:dyDescent="0.25">
      <c r="A721" s="1">
        <v>33970</v>
      </c>
      <c r="B721" s="2">
        <v>3</v>
      </c>
    </row>
    <row r="722" spans="1:2" x14ac:dyDescent="0.25">
      <c r="A722" s="1">
        <v>34001</v>
      </c>
      <c r="B722" s="2">
        <v>2.93</v>
      </c>
    </row>
    <row r="723" spans="1:2" x14ac:dyDescent="0.25">
      <c r="A723" s="1">
        <v>34029</v>
      </c>
      <c r="B723" s="2">
        <v>2.95</v>
      </c>
    </row>
    <row r="724" spans="1:2" x14ac:dyDescent="0.25">
      <c r="A724" s="1">
        <v>34060</v>
      </c>
      <c r="B724" s="2">
        <v>2.87</v>
      </c>
    </row>
    <row r="725" spans="1:2" x14ac:dyDescent="0.25">
      <c r="A725" s="1">
        <v>34090</v>
      </c>
      <c r="B725" s="2">
        <v>2.96</v>
      </c>
    </row>
    <row r="726" spans="1:2" x14ac:dyDescent="0.25">
      <c r="A726" s="1">
        <v>34121</v>
      </c>
      <c r="B726" s="2">
        <v>3.07</v>
      </c>
    </row>
    <row r="727" spans="1:2" x14ac:dyDescent="0.25">
      <c r="A727" s="1">
        <v>34151</v>
      </c>
      <c r="B727" s="2">
        <v>3.04</v>
      </c>
    </row>
    <row r="728" spans="1:2" x14ac:dyDescent="0.25">
      <c r="A728" s="1">
        <v>34182</v>
      </c>
      <c r="B728" s="2">
        <v>3.02</v>
      </c>
    </row>
    <row r="729" spans="1:2" x14ac:dyDescent="0.25">
      <c r="A729" s="1">
        <v>34213</v>
      </c>
      <c r="B729" s="2">
        <v>2.95</v>
      </c>
    </row>
    <row r="730" spans="1:2" x14ac:dyDescent="0.25">
      <c r="A730" s="1">
        <v>34243</v>
      </c>
      <c r="B730" s="2">
        <v>3.02</v>
      </c>
    </row>
    <row r="731" spans="1:2" x14ac:dyDescent="0.25">
      <c r="A731" s="1">
        <v>34274</v>
      </c>
      <c r="B731" s="2">
        <v>3.1</v>
      </c>
    </row>
    <row r="732" spans="1:2" x14ac:dyDescent="0.25">
      <c r="A732" s="1">
        <v>34304</v>
      </c>
      <c r="B732" s="2">
        <v>3.06</v>
      </c>
    </row>
    <row r="733" spans="1:2" x14ac:dyDescent="0.25">
      <c r="A733" s="1">
        <v>34335</v>
      </c>
      <c r="B733" s="2">
        <v>2.98</v>
      </c>
    </row>
    <row r="734" spans="1:2" x14ac:dyDescent="0.25">
      <c r="A734" s="1">
        <v>34366</v>
      </c>
      <c r="B734" s="2">
        <v>3.25</v>
      </c>
    </row>
    <row r="735" spans="1:2" x14ac:dyDescent="0.25">
      <c r="A735" s="1">
        <v>34394</v>
      </c>
      <c r="B735" s="2">
        <v>3.5</v>
      </c>
    </row>
    <row r="736" spans="1:2" x14ac:dyDescent="0.25">
      <c r="A736" s="1">
        <v>34425</v>
      </c>
      <c r="B736" s="2">
        <v>3.68</v>
      </c>
    </row>
    <row r="737" spans="1:2" x14ac:dyDescent="0.25">
      <c r="A737" s="1">
        <v>34455</v>
      </c>
      <c r="B737" s="2">
        <v>4.1399999999999997</v>
      </c>
    </row>
    <row r="738" spans="1:2" x14ac:dyDescent="0.25">
      <c r="A738" s="1">
        <v>34486</v>
      </c>
      <c r="B738" s="2">
        <v>4.1399999999999997</v>
      </c>
    </row>
    <row r="739" spans="1:2" x14ac:dyDescent="0.25">
      <c r="A739" s="1">
        <v>34516</v>
      </c>
      <c r="B739" s="2">
        <v>4.33</v>
      </c>
    </row>
    <row r="740" spans="1:2" x14ac:dyDescent="0.25">
      <c r="A740" s="1">
        <v>34547</v>
      </c>
      <c r="B740" s="2">
        <v>4.4800000000000004</v>
      </c>
    </row>
    <row r="741" spans="1:2" x14ac:dyDescent="0.25">
      <c r="A741" s="1">
        <v>34578</v>
      </c>
      <c r="B741" s="2">
        <v>4.62</v>
      </c>
    </row>
    <row r="742" spans="1:2" x14ac:dyDescent="0.25">
      <c r="A742" s="1">
        <v>34608</v>
      </c>
      <c r="B742" s="2">
        <v>4.95</v>
      </c>
    </row>
    <row r="743" spans="1:2" x14ac:dyDescent="0.25">
      <c r="A743" s="1">
        <v>34639</v>
      </c>
      <c r="B743" s="2">
        <v>5.29</v>
      </c>
    </row>
    <row r="744" spans="1:2" x14ac:dyDescent="0.25">
      <c r="A744" s="1">
        <v>34669</v>
      </c>
      <c r="B744" s="2">
        <v>5.6</v>
      </c>
    </row>
    <row r="745" spans="1:2" x14ac:dyDescent="0.25">
      <c r="A745" s="1">
        <v>34700</v>
      </c>
      <c r="B745" s="2">
        <v>5.71</v>
      </c>
    </row>
    <row r="746" spans="1:2" x14ac:dyDescent="0.25">
      <c r="A746" s="1">
        <v>34731</v>
      </c>
      <c r="B746" s="2">
        <v>5.77</v>
      </c>
    </row>
    <row r="747" spans="1:2" x14ac:dyDescent="0.25">
      <c r="A747" s="1">
        <v>34759</v>
      </c>
      <c r="B747" s="2">
        <v>5.73</v>
      </c>
    </row>
    <row r="748" spans="1:2" x14ac:dyDescent="0.25">
      <c r="A748" s="1">
        <v>34790</v>
      </c>
      <c r="B748" s="2">
        <v>5.65</v>
      </c>
    </row>
    <row r="749" spans="1:2" x14ac:dyDescent="0.25">
      <c r="A749" s="1">
        <v>34820</v>
      </c>
      <c r="B749" s="2">
        <v>5.67</v>
      </c>
    </row>
    <row r="750" spans="1:2" x14ac:dyDescent="0.25">
      <c r="A750" s="1">
        <v>34851</v>
      </c>
      <c r="B750" s="2">
        <v>5.47</v>
      </c>
    </row>
    <row r="751" spans="1:2" x14ac:dyDescent="0.25">
      <c r="A751" s="1">
        <v>34881</v>
      </c>
      <c r="B751" s="2">
        <v>5.42</v>
      </c>
    </row>
    <row r="752" spans="1:2" x14ac:dyDescent="0.25">
      <c r="A752" s="1">
        <v>34912</v>
      </c>
      <c r="B752" s="2">
        <v>5.4</v>
      </c>
    </row>
    <row r="753" spans="1:2" x14ac:dyDescent="0.25">
      <c r="A753" s="1">
        <v>34943</v>
      </c>
      <c r="B753" s="2">
        <v>5.28</v>
      </c>
    </row>
    <row r="754" spans="1:2" x14ac:dyDescent="0.25">
      <c r="A754" s="1">
        <v>34973</v>
      </c>
      <c r="B754" s="2">
        <v>5.28</v>
      </c>
    </row>
    <row r="755" spans="1:2" x14ac:dyDescent="0.25">
      <c r="A755" s="1">
        <v>35004</v>
      </c>
      <c r="B755" s="2">
        <v>5.36</v>
      </c>
    </row>
    <row r="756" spans="1:2" x14ac:dyDescent="0.25">
      <c r="A756" s="1">
        <v>35034</v>
      </c>
      <c r="B756" s="2">
        <v>5.14</v>
      </c>
    </row>
    <row r="757" spans="1:2" x14ac:dyDescent="0.25">
      <c r="A757" s="1">
        <v>35065</v>
      </c>
      <c r="B757" s="2">
        <v>5</v>
      </c>
    </row>
    <row r="758" spans="1:2" x14ac:dyDescent="0.25">
      <c r="A758" s="1">
        <v>35096</v>
      </c>
      <c r="B758" s="2">
        <v>4.83</v>
      </c>
    </row>
    <row r="759" spans="1:2" x14ac:dyDescent="0.25">
      <c r="A759" s="1">
        <v>35125</v>
      </c>
      <c r="B759" s="2">
        <v>4.96</v>
      </c>
    </row>
    <row r="760" spans="1:2" x14ac:dyDescent="0.25">
      <c r="A760" s="1">
        <v>35156</v>
      </c>
      <c r="B760" s="2">
        <v>4.95</v>
      </c>
    </row>
    <row r="761" spans="1:2" x14ac:dyDescent="0.25">
      <c r="A761" s="1">
        <v>35186</v>
      </c>
      <c r="B761" s="2">
        <v>5.0199999999999996</v>
      </c>
    </row>
    <row r="762" spans="1:2" x14ac:dyDescent="0.25">
      <c r="A762" s="1">
        <v>35217</v>
      </c>
      <c r="B762" s="2">
        <v>5.09</v>
      </c>
    </row>
    <row r="763" spans="1:2" x14ac:dyDescent="0.25">
      <c r="A763" s="1">
        <v>35247</v>
      </c>
      <c r="B763" s="2">
        <v>5.15</v>
      </c>
    </row>
    <row r="764" spans="1:2" x14ac:dyDescent="0.25">
      <c r="A764" s="1">
        <v>35278</v>
      </c>
      <c r="B764" s="2">
        <v>5.05</v>
      </c>
    </row>
    <row r="765" spans="1:2" x14ac:dyDescent="0.25">
      <c r="A765" s="1">
        <v>35309</v>
      </c>
      <c r="B765" s="2">
        <v>5.09</v>
      </c>
    </row>
    <row r="766" spans="1:2" x14ac:dyDescent="0.25">
      <c r="A766" s="1">
        <v>35339</v>
      </c>
      <c r="B766" s="2">
        <v>4.99</v>
      </c>
    </row>
    <row r="767" spans="1:2" x14ac:dyDescent="0.25">
      <c r="A767" s="1">
        <v>35370</v>
      </c>
      <c r="B767" s="2">
        <v>5.03</v>
      </c>
    </row>
    <row r="768" spans="1:2" x14ac:dyDescent="0.25">
      <c r="A768" s="1">
        <v>35400</v>
      </c>
      <c r="B768" s="2">
        <v>4.91</v>
      </c>
    </row>
    <row r="769" spans="1:2" x14ac:dyDescent="0.25">
      <c r="A769" s="1">
        <v>35431</v>
      </c>
      <c r="B769" s="2">
        <v>5.03</v>
      </c>
    </row>
    <row r="770" spans="1:2" x14ac:dyDescent="0.25">
      <c r="A770" s="1">
        <v>35462</v>
      </c>
      <c r="B770" s="2">
        <v>5.01</v>
      </c>
    </row>
    <row r="771" spans="1:2" x14ac:dyDescent="0.25">
      <c r="A771" s="1">
        <v>35490</v>
      </c>
      <c r="B771" s="2">
        <v>5.14</v>
      </c>
    </row>
    <row r="772" spans="1:2" x14ac:dyDescent="0.25">
      <c r="A772" s="1">
        <v>35521</v>
      </c>
      <c r="B772" s="2">
        <v>5.16</v>
      </c>
    </row>
    <row r="773" spans="1:2" x14ac:dyDescent="0.25">
      <c r="A773" s="1">
        <v>35551</v>
      </c>
      <c r="B773" s="2">
        <v>5.05</v>
      </c>
    </row>
    <row r="774" spans="1:2" x14ac:dyDescent="0.25">
      <c r="A774" s="1">
        <v>35582</v>
      </c>
      <c r="B774" s="2">
        <v>4.93</v>
      </c>
    </row>
    <row r="775" spans="1:2" x14ac:dyDescent="0.25">
      <c r="A775" s="1">
        <v>35612</v>
      </c>
      <c r="B775" s="2">
        <v>5.05</v>
      </c>
    </row>
    <row r="776" spans="1:2" x14ac:dyDescent="0.25">
      <c r="A776" s="1">
        <v>35643</v>
      </c>
      <c r="B776" s="2">
        <v>5.14</v>
      </c>
    </row>
    <row r="777" spans="1:2" x14ac:dyDescent="0.25">
      <c r="A777" s="1">
        <v>35674</v>
      </c>
      <c r="B777" s="2">
        <v>4.95</v>
      </c>
    </row>
    <row r="778" spans="1:2" x14ac:dyDescent="0.25">
      <c r="A778" s="1">
        <v>35704</v>
      </c>
      <c r="B778" s="2">
        <v>4.97</v>
      </c>
    </row>
    <row r="779" spans="1:2" x14ac:dyDescent="0.25">
      <c r="A779" s="1">
        <v>35735</v>
      </c>
      <c r="B779" s="2">
        <v>5.14</v>
      </c>
    </row>
    <row r="780" spans="1:2" x14ac:dyDescent="0.25">
      <c r="A780" s="1">
        <v>35765</v>
      </c>
      <c r="B780" s="2">
        <v>5.16</v>
      </c>
    </row>
    <row r="781" spans="1:2" x14ac:dyDescent="0.25">
      <c r="A781" s="1">
        <v>35796</v>
      </c>
      <c r="B781" s="2">
        <v>5.04</v>
      </c>
    </row>
    <row r="782" spans="1:2" x14ac:dyDescent="0.25">
      <c r="A782" s="1">
        <v>35827</v>
      </c>
      <c r="B782" s="2">
        <v>5.09</v>
      </c>
    </row>
    <row r="783" spans="1:2" x14ac:dyDescent="0.25">
      <c r="A783" s="1">
        <v>35855</v>
      </c>
      <c r="B783" s="2">
        <v>5.03</v>
      </c>
    </row>
    <row r="784" spans="1:2" x14ac:dyDescent="0.25">
      <c r="A784" s="1">
        <v>35886</v>
      </c>
      <c r="B784" s="2">
        <v>4.95</v>
      </c>
    </row>
    <row r="785" spans="1:2" x14ac:dyDescent="0.25">
      <c r="A785" s="1">
        <v>35916</v>
      </c>
      <c r="B785" s="2">
        <v>5</v>
      </c>
    </row>
    <row r="786" spans="1:2" x14ac:dyDescent="0.25">
      <c r="A786" s="1">
        <v>35947</v>
      </c>
      <c r="B786" s="2">
        <v>4.9800000000000004</v>
      </c>
    </row>
    <row r="787" spans="1:2" x14ac:dyDescent="0.25">
      <c r="A787" s="1">
        <v>35977</v>
      </c>
      <c r="B787" s="2">
        <v>4.96</v>
      </c>
    </row>
    <row r="788" spans="1:2" x14ac:dyDescent="0.25">
      <c r="A788" s="1">
        <v>36008</v>
      </c>
      <c r="B788" s="2">
        <v>4.9000000000000004</v>
      </c>
    </row>
    <row r="789" spans="1:2" x14ac:dyDescent="0.25">
      <c r="A789" s="1">
        <v>36039</v>
      </c>
      <c r="B789" s="2">
        <v>4.6100000000000003</v>
      </c>
    </row>
    <row r="790" spans="1:2" x14ac:dyDescent="0.25">
      <c r="A790" s="1">
        <v>36069</v>
      </c>
      <c r="B790" s="2">
        <v>3.96</v>
      </c>
    </row>
    <row r="791" spans="1:2" x14ac:dyDescent="0.25">
      <c r="A791" s="1">
        <v>36100</v>
      </c>
      <c r="B791" s="2">
        <v>4.41</v>
      </c>
    </row>
    <row r="792" spans="1:2" x14ac:dyDescent="0.25">
      <c r="A792" s="1">
        <v>36130</v>
      </c>
      <c r="B792" s="2">
        <v>4.3899999999999997</v>
      </c>
    </row>
    <row r="793" spans="1:2" x14ac:dyDescent="0.25">
      <c r="A793" s="1">
        <v>36161</v>
      </c>
      <c r="B793" s="2">
        <v>4.34</v>
      </c>
    </row>
    <row r="794" spans="1:2" x14ac:dyDescent="0.25">
      <c r="A794" s="1">
        <v>36192</v>
      </c>
      <c r="B794" s="2">
        <v>4.4400000000000004</v>
      </c>
    </row>
    <row r="795" spans="1:2" x14ac:dyDescent="0.25">
      <c r="A795" s="1">
        <v>36220</v>
      </c>
      <c r="B795" s="2">
        <v>4.4400000000000004</v>
      </c>
    </row>
    <row r="796" spans="1:2" x14ac:dyDescent="0.25">
      <c r="A796" s="1">
        <v>36251</v>
      </c>
      <c r="B796" s="2">
        <v>4.29</v>
      </c>
    </row>
    <row r="797" spans="1:2" x14ac:dyDescent="0.25">
      <c r="A797" s="1">
        <v>36281</v>
      </c>
      <c r="B797" s="2">
        <v>4.5</v>
      </c>
    </row>
    <row r="798" spans="1:2" x14ac:dyDescent="0.25">
      <c r="A798" s="1">
        <v>36312</v>
      </c>
      <c r="B798" s="2">
        <v>4.57</v>
      </c>
    </row>
    <row r="799" spans="1:2" x14ac:dyDescent="0.25">
      <c r="A799" s="1">
        <v>36342</v>
      </c>
      <c r="B799" s="2">
        <v>4.55</v>
      </c>
    </row>
    <row r="800" spans="1:2" x14ac:dyDescent="0.25">
      <c r="A800" s="1">
        <v>36373</v>
      </c>
      <c r="B800" s="2">
        <v>4.72</v>
      </c>
    </row>
    <row r="801" spans="1:2" x14ac:dyDescent="0.25">
      <c r="A801" s="1">
        <v>36404</v>
      </c>
      <c r="B801" s="2">
        <v>4.68</v>
      </c>
    </row>
    <row r="802" spans="1:2" x14ac:dyDescent="0.25">
      <c r="A802" s="1">
        <v>36434</v>
      </c>
      <c r="B802" s="2">
        <v>4.8600000000000003</v>
      </c>
    </row>
    <row r="803" spans="1:2" x14ac:dyDescent="0.25">
      <c r="A803" s="1">
        <v>36465</v>
      </c>
      <c r="B803" s="2">
        <v>5.07</v>
      </c>
    </row>
    <row r="804" spans="1:2" x14ac:dyDescent="0.25">
      <c r="A804" s="1">
        <v>36495</v>
      </c>
      <c r="B804" s="2">
        <v>5.2</v>
      </c>
    </row>
    <row r="805" spans="1:2" x14ac:dyDescent="0.25">
      <c r="A805" s="1">
        <v>36526</v>
      </c>
      <c r="B805" s="2">
        <v>5.32</v>
      </c>
    </row>
    <row r="806" spans="1:2" x14ac:dyDescent="0.25">
      <c r="A806" s="1">
        <v>36557</v>
      </c>
      <c r="B806" s="2">
        <v>5.55</v>
      </c>
    </row>
    <row r="807" spans="1:2" x14ac:dyDescent="0.25">
      <c r="A807" s="1">
        <v>36586</v>
      </c>
      <c r="B807" s="2">
        <v>5.69</v>
      </c>
    </row>
    <row r="808" spans="1:2" x14ac:dyDescent="0.25">
      <c r="A808" s="1">
        <v>36617</v>
      </c>
      <c r="B808" s="2">
        <v>5.66</v>
      </c>
    </row>
    <row r="809" spans="1:2" x14ac:dyDescent="0.25">
      <c r="A809" s="1">
        <v>36647</v>
      </c>
      <c r="B809" s="2">
        <v>5.79</v>
      </c>
    </row>
    <row r="810" spans="1:2" x14ac:dyDescent="0.25">
      <c r="A810" s="1">
        <v>36678</v>
      </c>
      <c r="B810" s="2">
        <v>5.69</v>
      </c>
    </row>
    <row r="811" spans="1:2" x14ac:dyDescent="0.25">
      <c r="A811" s="1">
        <v>36708</v>
      </c>
      <c r="B811" s="2">
        <v>5.96</v>
      </c>
    </row>
    <row r="812" spans="1:2" x14ac:dyDescent="0.25">
      <c r="A812" s="1">
        <v>36739</v>
      </c>
      <c r="B812" s="2">
        <v>6.09</v>
      </c>
    </row>
    <row r="813" spans="1:2" x14ac:dyDescent="0.25">
      <c r="A813" s="1">
        <v>36770</v>
      </c>
      <c r="B813" s="2">
        <v>6</v>
      </c>
    </row>
    <row r="814" spans="1:2" x14ac:dyDescent="0.25">
      <c r="A814" s="1">
        <v>36800</v>
      </c>
      <c r="B814" s="2">
        <v>6.11</v>
      </c>
    </row>
    <row r="815" spans="1:2" x14ac:dyDescent="0.25">
      <c r="A815" s="1">
        <v>36831</v>
      </c>
      <c r="B815" s="2">
        <v>6.17</v>
      </c>
    </row>
    <row r="816" spans="1:2" x14ac:dyDescent="0.25">
      <c r="A816" s="1">
        <v>36861</v>
      </c>
      <c r="B816" s="2">
        <v>5.77</v>
      </c>
    </row>
    <row r="817" spans="1:2" x14ac:dyDescent="0.25">
      <c r="A817" s="1">
        <v>36892</v>
      </c>
      <c r="B817" s="2">
        <v>5.15</v>
      </c>
    </row>
    <row r="818" spans="1:2" x14ac:dyDescent="0.25">
      <c r="A818" s="1">
        <v>36923</v>
      </c>
      <c r="B818" s="2">
        <v>4.88</v>
      </c>
    </row>
    <row r="819" spans="1:2" x14ac:dyDescent="0.25">
      <c r="A819" s="1">
        <v>36951</v>
      </c>
      <c r="B819" s="2">
        <v>4.42</v>
      </c>
    </row>
    <row r="820" spans="1:2" x14ac:dyDescent="0.25">
      <c r="A820" s="1">
        <v>36982</v>
      </c>
      <c r="B820" s="2">
        <v>3.87</v>
      </c>
    </row>
    <row r="821" spans="1:2" x14ac:dyDescent="0.25">
      <c r="A821" s="1">
        <v>37012</v>
      </c>
      <c r="B821" s="2">
        <v>3.62</v>
      </c>
    </row>
    <row r="822" spans="1:2" x14ac:dyDescent="0.25">
      <c r="A822" s="1">
        <v>37043</v>
      </c>
      <c r="B822" s="2">
        <v>3.49</v>
      </c>
    </row>
    <row r="823" spans="1:2" x14ac:dyDescent="0.25">
      <c r="A823" s="1">
        <v>37073</v>
      </c>
      <c r="B823" s="2">
        <v>3.51</v>
      </c>
    </row>
    <row r="824" spans="1:2" x14ac:dyDescent="0.25">
      <c r="A824" s="1">
        <v>37104</v>
      </c>
      <c r="B824" s="2">
        <v>3.36</v>
      </c>
    </row>
    <row r="825" spans="1:2" x14ac:dyDescent="0.25">
      <c r="A825" s="1">
        <v>37135</v>
      </c>
      <c r="B825" s="2">
        <v>2.64</v>
      </c>
    </row>
    <row r="826" spans="1:2" x14ac:dyDescent="0.25">
      <c r="A826" s="1">
        <v>37165</v>
      </c>
      <c r="B826" s="2">
        <v>2.16</v>
      </c>
    </row>
    <row r="827" spans="1:2" x14ac:dyDescent="0.25">
      <c r="A827" s="1">
        <v>37196</v>
      </c>
      <c r="B827" s="2">
        <v>1.87</v>
      </c>
    </row>
    <row r="828" spans="1:2" x14ac:dyDescent="0.25">
      <c r="A828" s="1">
        <v>37226</v>
      </c>
      <c r="B828" s="2">
        <v>1.69</v>
      </c>
    </row>
    <row r="829" spans="1:2" x14ac:dyDescent="0.25">
      <c r="A829" s="1">
        <v>37257</v>
      </c>
      <c r="B829" s="2">
        <v>1.65</v>
      </c>
    </row>
    <row r="830" spans="1:2" x14ac:dyDescent="0.25">
      <c r="A830" s="1">
        <v>37288</v>
      </c>
      <c r="B830" s="2">
        <v>1.73</v>
      </c>
    </row>
    <row r="831" spans="1:2" x14ac:dyDescent="0.25">
      <c r="A831" s="1">
        <v>37316</v>
      </c>
      <c r="B831" s="2">
        <v>1.79</v>
      </c>
    </row>
    <row r="832" spans="1:2" x14ac:dyDescent="0.25">
      <c r="A832" s="1">
        <v>37347</v>
      </c>
      <c r="B832" s="2">
        <v>1.72</v>
      </c>
    </row>
    <row r="833" spans="1:2" x14ac:dyDescent="0.25">
      <c r="A833" s="1">
        <v>37377</v>
      </c>
      <c r="B833" s="2">
        <v>1.73</v>
      </c>
    </row>
    <row r="834" spans="1:2" x14ac:dyDescent="0.25">
      <c r="A834" s="1">
        <v>37408</v>
      </c>
      <c r="B834" s="2">
        <v>1.7</v>
      </c>
    </row>
    <row r="835" spans="1:2" x14ac:dyDescent="0.25">
      <c r="A835" s="1">
        <v>37438</v>
      </c>
      <c r="B835" s="2">
        <v>1.68</v>
      </c>
    </row>
    <row r="836" spans="1:2" x14ac:dyDescent="0.25">
      <c r="A836" s="1">
        <v>37469</v>
      </c>
      <c r="B836" s="2">
        <v>1.62</v>
      </c>
    </row>
    <row r="837" spans="1:2" x14ac:dyDescent="0.25">
      <c r="A837" s="1">
        <v>37500</v>
      </c>
      <c r="B837" s="2">
        <v>1.63</v>
      </c>
    </row>
    <row r="838" spans="1:2" x14ac:dyDescent="0.25">
      <c r="A838" s="1">
        <v>37530</v>
      </c>
      <c r="B838" s="2">
        <v>1.58</v>
      </c>
    </row>
    <row r="839" spans="1:2" x14ac:dyDescent="0.25">
      <c r="A839" s="1">
        <v>37561</v>
      </c>
      <c r="B839" s="2">
        <v>1.23</v>
      </c>
    </row>
    <row r="840" spans="1:2" x14ac:dyDescent="0.25">
      <c r="A840" s="1">
        <v>37591</v>
      </c>
      <c r="B840" s="2">
        <v>1.19</v>
      </c>
    </row>
    <row r="841" spans="1:2" x14ac:dyDescent="0.25">
      <c r="A841" s="1">
        <v>37622</v>
      </c>
      <c r="B841" s="2">
        <v>1.17</v>
      </c>
    </row>
    <row r="842" spans="1:2" x14ac:dyDescent="0.25">
      <c r="A842" s="1">
        <v>37653</v>
      </c>
      <c r="B842" s="2">
        <v>1.17</v>
      </c>
    </row>
    <row r="843" spans="1:2" x14ac:dyDescent="0.25">
      <c r="A843" s="1">
        <v>37681</v>
      </c>
      <c r="B843" s="2">
        <v>1.1299999999999999</v>
      </c>
    </row>
    <row r="844" spans="1:2" x14ac:dyDescent="0.25">
      <c r="A844" s="1">
        <v>37712</v>
      </c>
      <c r="B844" s="2">
        <v>1.1299999999999999</v>
      </c>
    </row>
    <row r="845" spans="1:2" x14ac:dyDescent="0.25">
      <c r="A845" s="1">
        <v>37742</v>
      </c>
      <c r="B845" s="2">
        <v>1.07</v>
      </c>
    </row>
    <row r="846" spans="1:2" x14ac:dyDescent="0.25">
      <c r="A846" s="1">
        <v>37773</v>
      </c>
      <c r="B846" s="2">
        <v>0.92</v>
      </c>
    </row>
    <row r="847" spans="1:2" x14ac:dyDescent="0.25">
      <c r="A847" s="1">
        <v>37803</v>
      </c>
      <c r="B847" s="2">
        <v>0.9</v>
      </c>
    </row>
    <row r="848" spans="1:2" x14ac:dyDescent="0.25">
      <c r="A848" s="1">
        <v>37834</v>
      </c>
      <c r="B848" s="2">
        <v>0.95</v>
      </c>
    </row>
    <row r="849" spans="1:2" x14ac:dyDescent="0.25">
      <c r="A849" s="1">
        <v>37865</v>
      </c>
      <c r="B849" s="2">
        <v>0.94</v>
      </c>
    </row>
    <row r="850" spans="1:2" x14ac:dyDescent="0.25">
      <c r="A850" s="1">
        <v>37895</v>
      </c>
      <c r="B850" s="2">
        <v>0.92</v>
      </c>
    </row>
    <row r="851" spans="1:2" x14ac:dyDescent="0.25">
      <c r="A851" s="1">
        <v>37926</v>
      </c>
      <c r="B851" s="2">
        <v>0.93</v>
      </c>
    </row>
    <row r="852" spans="1:2" x14ac:dyDescent="0.25">
      <c r="A852" s="1">
        <v>37956</v>
      </c>
      <c r="B852" s="2">
        <v>0.9</v>
      </c>
    </row>
    <row r="853" spans="1:2" x14ac:dyDescent="0.25">
      <c r="A853" s="1">
        <v>37987</v>
      </c>
      <c r="B853" s="2">
        <v>0.88</v>
      </c>
    </row>
    <row r="854" spans="1:2" x14ac:dyDescent="0.25">
      <c r="A854" s="1">
        <v>38018</v>
      </c>
      <c r="B854" s="2">
        <v>0.93</v>
      </c>
    </row>
    <row r="855" spans="1:2" x14ac:dyDescent="0.25">
      <c r="A855" s="1">
        <v>38047</v>
      </c>
      <c r="B855" s="2">
        <v>0.94</v>
      </c>
    </row>
    <row r="856" spans="1:2" x14ac:dyDescent="0.25">
      <c r="A856" s="1">
        <v>38078</v>
      </c>
      <c r="B856" s="2">
        <v>0.94</v>
      </c>
    </row>
    <row r="857" spans="1:2" x14ac:dyDescent="0.25">
      <c r="A857" s="1">
        <v>38108</v>
      </c>
      <c r="B857" s="2">
        <v>1.02</v>
      </c>
    </row>
    <row r="858" spans="1:2" x14ac:dyDescent="0.25">
      <c r="A858" s="1">
        <v>38139</v>
      </c>
      <c r="B858" s="2">
        <v>1.27</v>
      </c>
    </row>
    <row r="859" spans="1:2" x14ac:dyDescent="0.25">
      <c r="A859" s="1">
        <v>38169</v>
      </c>
      <c r="B859" s="2">
        <v>1.33</v>
      </c>
    </row>
    <row r="860" spans="1:2" x14ac:dyDescent="0.25">
      <c r="A860" s="1">
        <v>38200</v>
      </c>
      <c r="B860" s="2">
        <v>1.48</v>
      </c>
    </row>
    <row r="861" spans="1:2" x14ac:dyDescent="0.25">
      <c r="A861" s="1">
        <v>38231</v>
      </c>
      <c r="B861" s="2">
        <v>1.65</v>
      </c>
    </row>
    <row r="862" spans="1:2" x14ac:dyDescent="0.25">
      <c r="A862" s="1">
        <v>38261</v>
      </c>
      <c r="B862" s="2">
        <v>1.76</v>
      </c>
    </row>
    <row r="863" spans="1:2" x14ac:dyDescent="0.25">
      <c r="A863" s="1">
        <v>38292</v>
      </c>
      <c r="B863" s="2">
        <v>2.0699999999999998</v>
      </c>
    </row>
    <row r="864" spans="1:2" x14ac:dyDescent="0.25">
      <c r="A864" s="1">
        <v>38322</v>
      </c>
      <c r="B864" s="2">
        <v>2.19</v>
      </c>
    </row>
    <row r="865" spans="1:2" x14ac:dyDescent="0.25">
      <c r="A865" s="1">
        <v>38353</v>
      </c>
      <c r="B865" s="2">
        <v>2.33</v>
      </c>
    </row>
    <row r="866" spans="1:2" x14ac:dyDescent="0.25">
      <c r="A866" s="1">
        <v>38384</v>
      </c>
      <c r="B866" s="2">
        <v>2.54</v>
      </c>
    </row>
    <row r="867" spans="1:2" x14ac:dyDescent="0.25">
      <c r="A867" s="1">
        <v>38412</v>
      </c>
      <c r="B867" s="2">
        <v>2.74</v>
      </c>
    </row>
    <row r="868" spans="1:2" x14ac:dyDescent="0.25">
      <c r="A868" s="1">
        <v>38443</v>
      </c>
      <c r="B868" s="2">
        <v>2.78</v>
      </c>
    </row>
    <row r="869" spans="1:2" x14ac:dyDescent="0.25">
      <c r="A869" s="1">
        <v>38473</v>
      </c>
      <c r="B869" s="2">
        <v>2.84</v>
      </c>
    </row>
    <row r="870" spans="1:2" x14ac:dyDescent="0.25">
      <c r="A870" s="1">
        <v>38504</v>
      </c>
      <c r="B870" s="2">
        <v>2.97</v>
      </c>
    </row>
    <row r="871" spans="1:2" x14ac:dyDescent="0.25">
      <c r="A871" s="1">
        <v>38534</v>
      </c>
      <c r="B871" s="2">
        <v>3.22</v>
      </c>
    </row>
    <row r="872" spans="1:2" x14ac:dyDescent="0.25">
      <c r="A872" s="1">
        <v>38565</v>
      </c>
      <c r="B872" s="2">
        <v>3.44</v>
      </c>
    </row>
    <row r="873" spans="1:2" x14ac:dyDescent="0.25">
      <c r="A873" s="1">
        <v>38596</v>
      </c>
      <c r="B873" s="2">
        <v>3.42</v>
      </c>
    </row>
    <row r="874" spans="1:2" x14ac:dyDescent="0.25">
      <c r="A874" s="1">
        <v>38626</v>
      </c>
      <c r="B874" s="2">
        <v>3.71</v>
      </c>
    </row>
    <row r="875" spans="1:2" x14ac:dyDescent="0.25">
      <c r="A875" s="1">
        <v>38657</v>
      </c>
      <c r="B875" s="2">
        <v>3.88</v>
      </c>
    </row>
    <row r="876" spans="1:2" x14ac:dyDescent="0.25">
      <c r="A876" s="1">
        <v>38687</v>
      </c>
      <c r="B876" s="2">
        <v>3.89</v>
      </c>
    </row>
    <row r="877" spans="1:2" x14ac:dyDescent="0.25">
      <c r="A877" s="1">
        <v>38718</v>
      </c>
      <c r="B877" s="2">
        <v>4.24</v>
      </c>
    </row>
    <row r="878" spans="1:2" x14ac:dyDescent="0.25">
      <c r="A878" s="1">
        <v>38749</v>
      </c>
      <c r="B878" s="2">
        <v>4.43</v>
      </c>
    </row>
    <row r="879" spans="1:2" x14ac:dyDescent="0.25">
      <c r="A879" s="1">
        <v>38777</v>
      </c>
      <c r="B879" s="2">
        <v>4.51</v>
      </c>
    </row>
    <row r="880" spans="1:2" x14ac:dyDescent="0.25">
      <c r="A880" s="1">
        <v>38808</v>
      </c>
      <c r="B880" s="2">
        <v>4.5999999999999996</v>
      </c>
    </row>
    <row r="881" spans="1:2" x14ac:dyDescent="0.25">
      <c r="A881" s="1">
        <v>38838</v>
      </c>
      <c r="B881" s="2">
        <v>4.72</v>
      </c>
    </row>
    <row r="882" spans="1:2" x14ac:dyDescent="0.25">
      <c r="A882" s="1">
        <v>38869</v>
      </c>
      <c r="B882" s="2">
        <v>4.79</v>
      </c>
    </row>
    <row r="883" spans="1:2" x14ac:dyDescent="0.25">
      <c r="A883" s="1">
        <v>38899</v>
      </c>
      <c r="B883" s="2">
        <v>4.95</v>
      </c>
    </row>
  </sheetData>
  <phoneticPr fontId="2" type="noConversion"/>
  <printOptions gridLines="1" gridLinesSet="0"/>
  <pageMargins left="0.75" right="0.75" top="1" bottom="1" header="0.5" footer="0.5"/>
  <pageSetup paperSize="0" fitToWidth="0" fitToHeight="0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9AE5C-9141-46D0-8A8F-EBEAAF2B23F8}">
  <sheetPr codeName="Sheet35"/>
  <dimension ref="A1:I77"/>
  <sheetViews>
    <sheetView workbookViewId="0">
      <selection sqref="A1:C1"/>
    </sheetView>
  </sheetViews>
  <sheetFormatPr defaultColWidth="9.109375" defaultRowHeight="13.2" x14ac:dyDescent="0.25"/>
  <cols>
    <col min="1" max="1" width="56.44140625" style="3" customWidth="1"/>
    <col min="2" max="5" width="15" style="3" bestFit="1" customWidth="1"/>
    <col min="6" max="6" width="33.6640625" style="3" customWidth="1"/>
    <col min="7" max="8" width="15" style="3" bestFit="1" customWidth="1"/>
    <col min="9" max="9" width="16" style="3" bestFit="1" customWidth="1"/>
    <col min="10" max="256" width="9.109375" style="3"/>
    <col min="257" max="257" width="56.44140625" style="3" customWidth="1"/>
    <col min="258" max="261" width="15" style="3" bestFit="1" customWidth="1"/>
    <col min="262" max="262" width="33.6640625" style="3" customWidth="1"/>
    <col min="263" max="264" width="15" style="3" bestFit="1" customWidth="1"/>
    <col min="265" max="265" width="16" style="3" bestFit="1" customWidth="1"/>
    <col min="266" max="512" width="9.109375" style="3"/>
    <col min="513" max="513" width="56.44140625" style="3" customWidth="1"/>
    <col min="514" max="517" width="15" style="3" bestFit="1" customWidth="1"/>
    <col min="518" max="518" width="33.6640625" style="3" customWidth="1"/>
    <col min="519" max="520" width="15" style="3" bestFit="1" customWidth="1"/>
    <col min="521" max="521" width="16" style="3" bestFit="1" customWidth="1"/>
    <col min="522" max="768" width="9.109375" style="3"/>
    <col min="769" max="769" width="56.44140625" style="3" customWidth="1"/>
    <col min="770" max="773" width="15" style="3" bestFit="1" customWidth="1"/>
    <col min="774" max="774" width="33.6640625" style="3" customWidth="1"/>
    <col min="775" max="776" width="15" style="3" bestFit="1" customWidth="1"/>
    <col min="777" max="777" width="16" style="3" bestFit="1" customWidth="1"/>
    <col min="778" max="1024" width="9.109375" style="3"/>
    <col min="1025" max="1025" width="56.44140625" style="3" customWidth="1"/>
    <col min="1026" max="1029" width="15" style="3" bestFit="1" customWidth="1"/>
    <col min="1030" max="1030" width="33.6640625" style="3" customWidth="1"/>
    <col min="1031" max="1032" width="15" style="3" bestFit="1" customWidth="1"/>
    <col min="1033" max="1033" width="16" style="3" bestFit="1" customWidth="1"/>
    <col min="1034" max="1280" width="9.109375" style="3"/>
    <col min="1281" max="1281" width="56.44140625" style="3" customWidth="1"/>
    <col min="1282" max="1285" width="15" style="3" bestFit="1" customWidth="1"/>
    <col min="1286" max="1286" width="33.6640625" style="3" customWidth="1"/>
    <col min="1287" max="1288" width="15" style="3" bestFit="1" customWidth="1"/>
    <col min="1289" max="1289" width="16" style="3" bestFit="1" customWidth="1"/>
    <col min="1290" max="1536" width="9.109375" style="3"/>
    <col min="1537" max="1537" width="56.44140625" style="3" customWidth="1"/>
    <col min="1538" max="1541" width="15" style="3" bestFit="1" customWidth="1"/>
    <col min="1542" max="1542" width="33.6640625" style="3" customWidth="1"/>
    <col min="1543" max="1544" width="15" style="3" bestFit="1" customWidth="1"/>
    <col min="1545" max="1545" width="16" style="3" bestFit="1" customWidth="1"/>
    <col min="1546" max="1792" width="9.109375" style="3"/>
    <col min="1793" max="1793" width="56.44140625" style="3" customWidth="1"/>
    <col min="1794" max="1797" width="15" style="3" bestFit="1" customWidth="1"/>
    <col min="1798" max="1798" width="33.6640625" style="3" customWidth="1"/>
    <col min="1799" max="1800" width="15" style="3" bestFit="1" customWidth="1"/>
    <col min="1801" max="1801" width="16" style="3" bestFit="1" customWidth="1"/>
    <col min="1802" max="2048" width="9.109375" style="3"/>
    <col min="2049" max="2049" width="56.44140625" style="3" customWidth="1"/>
    <col min="2050" max="2053" width="15" style="3" bestFit="1" customWidth="1"/>
    <col min="2054" max="2054" width="33.6640625" style="3" customWidth="1"/>
    <col min="2055" max="2056" width="15" style="3" bestFit="1" customWidth="1"/>
    <col min="2057" max="2057" width="16" style="3" bestFit="1" customWidth="1"/>
    <col min="2058" max="2304" width="9.109375" style="3"/>
    <col min="2305" max="2305" width="56.44140625" style="3" customWidth="1"/>
    <col min="2306" max="2309" width="15" style="3" bestFit="1" customWidth="1"/>
    <col min="2310" max="2310" width="33.6640625" style="3" customWidth="1"/>
    <col min="2311" max="2312" width="15" style="3" bestFit="1" customWidth="1"/>
    <col min="2313" max="2313" width="16" style="3" bestFit="1" customWidth="1"/>
    <col min="2314" max="2560" width="9.109375" style="3"/>
    <col min="2561" max="2561" width="56.44140625" style="3" customWidth="1"/>
    <col min="2562" max="2565" width="15" style="3" bestFit="1" customWidth="1"/>
    <col min="2566" max="2566" width="33.6640625" style="3" customWidth="1"/>
    <col min="2567" max="2568" width="15" style="3" bestFit="1" customWidth="1"/>
    <col min="2569" max="2569" width="16" style="3" bestFit="1" customWidth="1"/>
    <col min="2570" max="2816" width="9.109375" style="3"/>
    <col min="2817" max="2817" width="56.44140625" style="3" customWidth="1"/>
    <col min="2818" max="2821" width="15" style="3" bestFit="1" customWidth="1"/>
    <col min="2822" max="2822" width="33.6640625" style="3" customWidth="1"/>
    <col min="2823" max="2824" width="15" style="3" bestFit="1" customWidth="1"/>
    <col min="2825" max="2825" width="16" style="3" bestFit="1" customWidth="1"/>
    <col min="2826" max="3072" width="9.109375" style="3"/>
    <col min="3073" max="3073" width="56.44140625" style="3" customWidth="1"/>
    <col min="3074" max="3077" width="15" style="3" bestFit="1" customWidth="1"/>
    <col min="3078" max="3078" width="33.6640625" style="3" customWidth="1"/>
    <col min="3079" max="3080" width="15" style="3" bestFit="1" customWidth="1"/>
    <col min="3081" max="3081" width="16" style="3" bestFit="1" customWidth="1"/>
    <col min="3082" max="3328" width="9.109375" style="3"/>
    <col min="3329" max="3329" width="56.44140625" style="3" customWidth="1"/>
    <col min="3330" max="3333" width="15" style="3" bestFit="1" customWidth="1"/>
    <col min="3334" max="3334" width="33.6640625" style="3" customWidth="1"/>
    <col min="3335" max="3336" width="15" style="3" bestFit="1" customWidth="1"/>
    <col min="3337" max="3337" width="16" style="3" bestFit="1" customWidth="1"/>
    <col min="3338" max="3584" width="9.109375" style="3"/>
    <col min="3585" max="3585" width="56.44140625" style="3" customWidth="1"/>
    <col min="3586" max="3589" width="15" style="3" bestFit="1" customWidth="1"/>
    <col min="3590" max="3590" width="33.6640625" style="3" customWidth="1"/>
    <col min="3591" max="3592" width="15" style="3" bestFit="1" customWidth="1"/>
    <col min="3593" max="3593" width="16" style="3" bestFit="1" customWidth="1"/>
    <col min="3594" max="3840" width="9.109375" style="3"/>
    <col min="3841" max="3841" width="56.44140625" style="3" customWidth="1"/>
    <col min="3842" max="3845" width="15" style="3" bestFit="1" customWidth="1"/>
    <col min="3846" max="3846" width="33.6640625" style="3" customWidth="1"/>
    <col min="3847" max="3848" width="15" style="3" bestFit="1" customWidth="1"/>
    <col min="3849" max="3849" width="16" style="3" bestFit="1" customWidth="1"/>
    <col min="3850" max="4096" width="9.109375" style="3"/>
    <col min="4097" max="4097" width="56.44140625" style="3" customWidth="1"/>
    <col min="4098" max="4101" width="15" style="3" bestFit="1" customWidth="1"/>
    <col min="4102" max="4102" width="33.6640625" style="3" customWidth="1"/>
    <col min="4103" max="4104" width="15" style="3" bestFit="1" customWidth="1"/>
    <col min="4105" max="4105" width="16" style="3" bestFit="1" customWidth="1"/>
    <col min="4106" max="4352" width="9.109375" style="3"/>
    <col min="4353" max="4353" width="56.44140625" style="3" customWidth="1"/>
    <col min="4354" max="4357" width="15" style="3" bestFit="1" customWidth="1"/>
    <col min="4358" max="4358" width="33.6640625" style="3" customWidth="1"/>
    <col min="4359" max="4360" width="15" style="3" bestFit="1" customWidth="1"/>
    <col min="4361" max="4361" width="16" style="3" bestFit="1" customWidth="1"/>
    <col min="4362" max="4608" width="9.109375" style="3"/>
    <col min="4609" max="4609" width="56.44140625" style="3" customWidth="1"/>
    <col min="4610" max="4613" width="15" style="3" bestFit="1" customWidth="1"/>
    <col min="4614" max="4614" width="33.6640625" style="3" customWidth="1"/>
    <col min="4615" max="4616" width="15" style="3" bestFit="1" customWidth="1"/>
    <col min="4617" max="4617" width="16" style="3" bestFit="1" customWidth="1"/>
    <col min="4618" max="4864" width="9.109375" style="3"/>
    <col min="4865" max="4865" width="56.44140625" style="3" customWidth="1"/>
    <col min="4866" max="4869" width="15" style="3" bestFit="1" customWidth="1"/>
    <col min="4870" max="4870" width="33.6640625" style="3" customWidth="1"/>
    <col min="4871" max="4872" width="15" style="3" bestFit="1" customWidth="1"/>
    <col min="4873" max="4873" width="16" style="3" bestFit="1" customWidth="1"/>
    <col min="4874" max="5120" width="9.109375" style="3"/>
    <col min="5121" max="5121" width="56.44140625" style="3" customWidth="1"/>
    <col min="5122" max="5125" width="15" style="3" bestFit="1" customWidth="1"/>
    <col min="5126" max="5126" width="33.6640625" style="3" customWidth="1"/>
    <col min="5127" max="5128" width="15" style="3" bestFit="1" customWidth="1"/>
    <col min="5129" max="5129" width="16" style="3" bestFit="1" customWidth="1"/>
    <col min="5130" max="5376" width="9.109375" style="3"/>
    <col min="5377" max="5377" width="56.44140625" style="3" customWidth="1"/>
    <col min="5378" max="5381" width="15" style="3" bestFit="1" customWidth="1"/>
    <col min="5382" max="5382" width="33.6640625" style="3" customWidth="1"/>
    <col min="5383" max="5384" width="15" style="3" bestFit="1" customWidth="1"/>
    <col min="5385" max="5385" width="16" style="3" bestFit="1" customWidth="1"/>
    <col min="5386" max="5632" width="9.109375" style="3"/>
    <col min="5633" max="5633" width="56.44140625" style="3" customWidth="1"/>
    <col min="5634" max="5637" width="15" style="3" bestFit="1" customWidth="1"/>
    <col min="5638" max="5638" width="33.6640625" style="3" customWidth="1"/>
    <col min="5639" max="5640" width="15" style="3" bestFit="1" customWidth="1"/>
    <col min="5641" max="5641" width="16" style="3" bestFit="1" customWidth="1"/>
    <col min="5642" max="5888" width="9.109375" style="3"/>
    <col min="5889" max="5889" width="56.44140625" style="3" customWidth="1"/>
    <col min="5890" max="5893" width="15" style="3" bestFit="1" customWidth="1"/>
    <col min="5894" max="5894" width="33.6640625" style="3" customWidth="1"/>
    <col min="5895" max="5896" width="15" style="3" bestFit="1" customWidth="1"/>
    <col min="5897" max="5897" width="16" style="3" bestFit="1" customWidth="1"/>
    <col min="5898" max="6144" width="9.109375" style="3"/>
    <col min="6145" max="6145" width="56.44140625" style="3" customWidth="1"/>
    <col min="6146" max="6149" width="15" style="3" bestFit="1" customWidth="1"/>
    <col min="6150" max="6150" width="33.6640625" style="3" customWidth="1"/>
    <col min="6151" max="6152" width="15" style="3" bestFit="1" customWidth="1"/>
    <col min="6153" max="6153" width="16" style="3" bestFit="1" customWidth="1"/>
    <col min="6154" max="6400" width="9.109375" style="3"/>
    <col min="6401" max="6401" width="56.44140625" style="3" customWidth="1"/>
    <col min="6402" max="6405" width="15" style="3" bestFit="1" customWidth="1"/>
    <col min="6406" max="6406" width="33.6640625" style="3" customWidth="1"/>
    <col min="6407" max="6408" width="15" style="3" bestFit="1" customWidth="1"/>
    <col min="6409" max="6409" width="16" style="3" bestFit="1" customWidth="1"/>
    <col min="6410" max="6656" width="9.109375" style="3"/>
    <col min="6657" max="6657" width="56.44140625" style="3" customWidth="1"/>
    <col min="6658" max="6661" width="15" style="3" bestFit="1" customWidth="1"/>
    <col min="6662" max="6662" width="33.6640625" style="3" customWidth="1"/>
    <col min="6663" max="6664" width="15" style="3" bestFit="1" customWidth="1"/>
    <col min="6665" max="6665" width="16" style="3" bestFit="1" customWidth="1"/>
    <col min="6666" max="6912" width="9.109375" style="3"/>
    <col min="6913" max="6913" width="56.44140625" style="3" customWidth="1"/>
    <col min="6914" max="6917" width="15" style="3" bestFit="1" customWidth="1"/>
    <col min="6918" max="6918" width="33.6640625" style="3" customWidth="1"/>
    <col min="6919" max="6920" width="15" style="3" bestFit="1" customWidth="1"/>
    <col min="6921" max="6921" width="16" style="3" bestFit="1" customWidth="1"/>
    <col min="6922" max="7168" width="9.109375" style="3"/>
    <col min="7169" max="7169" width="56.44140625" style="3" customWidth="1"/>
    <col min="7170" max="7173" width="15" style="3" bestFit="1" customWidth="1"/>
    <col min="7174" max="7174" width="33.6640625" style="3" customWidth="1"/>
    <col min="7175" max="7176" width="15" style="3" bestFit="1" customWidth="1"/>
    <col min="7177" max="7177" width="16" style="3" bestFit="1" customWidth="1"/>
    <col min="7178" max="7424" width="9.109375" style="3"/>
    <col min="7425" max="7425" width="56.44140625" style="3" customWidth="1"/>
    <col min="7426" max="7429" width="15" style="3" bestFit="1" customWidth="1"/>
    <col min="7430" max="7430" width="33.6640625" style="3" customWidth="1"/>
    <col min="7431" max="7432" width="15" style="3" bestFit="1" customWidth="1"/>
    <col min="7433" max="7433" width="16" style="3" bestFit="1" customWidth="1"/>
    <col min="7434" max="7680" width="9.109375" style="3"/>
    <col min="7681" max="7681" width="56.44140625" style="3" customWidth="1"/>
    <col min="7682" max="7685" width="15" style="3" bestFit="1" customWidth="1"/>
    <col min="7686" max="7686" width="33.6640625" style="3" customWidth="1"/>
    <col min="7687" max="7688" width="15" style="3" bestFit="1" customWidth="1"/>
    <col min="7689" max="7689" width="16" style="3" bestFit="1" customWidth="1"/>
    <col min="7690" max="7936" width="9.109375" style="3"/>
    <col min="7937" max="7937" width="56.44140625" style="3" customWidth="1"/>
    <col min="7938" max="7941" width="15" style="3" bestFit="1" customWidth="1"/>
    <col min="7942" max="7942" width="33.6640625" style="3" customWidth="1"/>
    <col min="7943" max="7944" width="15" style="3" bestFit="1" customWidth="1"/>
    <col min="7945" max="7945" width="16" style="3" bestFit="1" customWidth="1"/>
    <col min="7946" max="8192" width="9.109375" style="3"/>
    <col min="8193" max="8193" width="56.44140625" style="3" customWidth="1"/>
    <col min="8194" max="8197" width="15" style="3" bestFit="1" customWidth="1"/>
    <col min="8198" max="8198" width="33.6640625" style="3" customWidth="1"/>
    <col min="8199" max="8200" width="15" style="3" bestFit="1" customWidth="1"/>
    <col min="8201" max="8201" width="16" style="3" bestFit="1" customWidth="1"/>
    <col min="8202" max="8448" width="9.109375" style="3"/>
    <col min="8449" max="8449" width="56.44140625" style="3" customWidth="1"/>
    <col min="8450" max="8453" width="15" style="3" bestFit="1" customWidth="1"/>
    <col min="8454" max="8454" width="33.6640625" style="3" customWidth="1"/>
    <col min="8455" max="8456" width="15" style="3" bestFit="1" customWidth="1"/>
    <col min="8457" max="8457" width="16" style="3" bestFit="1" customWidth="1"/>
    <col min="8458" max="8704" width="9.109375" style="3"/>
    <col min="8705" max="8705" width="56.44140625" style="3" customWidth="1"/>
    <col min="8706" max="8709" width="15" style="3" bestFit="1" customWidth="1"/>
    <col min="8710" max="8710" width="33.6640625" style="3" customWidth="1"/>
    <col min="8711" max="8712" width="15" style="3" bestFit="1" customWidth="1"/>
    <col min="8713" max="8713" width="16" style="3" bestFit="1" customWidth="1"/>
    <col min="8714" max="8960" width="9.109375" style="3"/>
    <col min="8961" max="8961" width="56.44140625" style="3" customWidth="1"/>
    <col min="8962" max="8965" width="15" style="3" bestFit="1" customWidth="1"/>
    <col min="8966" max="8966" width="33.6640625" style="3" customWidth="1"/>
    <col min="8967" max="8968" width="15" style="3" bestFit="1" customWidth="1"/>
    <col min="8969" max="8969" width="16" style="3" bestFit="1" customWidth="1"/>
    <col min="8970" max="9216" width="9.109375" style="3"/>
    <col min="9217" max="9217" width="56.44140625" style="3" customWidth="1"/>
    <col min="9218" max="9221" width="15" style="3" bestFit="1" customWidth="1"/>
    <col min="9222" max="9222" width="33.6640625" style="3" customWidth="1"/>
    <col min="9223" max="9224" width="15" style="3" bestFit="1" customWidth="1"/>
    <col min="9225" max="9225" width="16" style="3" bestFit="1" customWidth="1"/>
    <col min="9226" max="9472" width="9.109375" style="3"/>
    <col min="9473" max="9473" width="56.44140625" style="3" customWidth="1"/>
    <col min="9474" max="9477" width="15" style="3" bestFit="1" customWidth="1"/>
    <col min="9478" max="9478" width="33.6640625" style="3" customWidth="1"/>
    <col min="9479" max="9480" width="15" style="3" bestFit="1" customWidth="1"/>
    <col min="9481" max="9481" width="16" style="3" bestFit="1" customWidth="1"/>
    <col min="9482" max="9728" width="9.109375" style="3"/>
    <col min="9729" max="9729" width="56.44140625" style="3" customWidth="1"/>
    <col min="9730" max="9733" width="15" style="3" bestFit="1" customWidth="1"/>
    <col min="9734" max="9734" width="33.6640625" style="3" customWidth="1"/>
    <col min="9735" max="9736" width="15" style="3" bestFit="1" customWidth="1"/>
    <col min="9737" max="9737" width="16" style="3" bestFit="1" customWidth="1"/>
    <col min="9738" max="9984" width="9.109375" style="3"/>
    <col min="9985" max="9985" width="56.44140625" style="3" customWidth="1"/>
    <col min="9986" max="9989" width="15" style="3" bestFit="1" customWidth="1"/>
    <col min="9990" max="9990" width="33.6640625" style="3" customWidth="1"/>
    <col min="9991" max="9992" width="15" style="3" bestFit="1" customWidth="1"/>
    <col min="9993" max="9993" width="16" style="3" bestFit="1" customWidth="1"/>
    <col min="9994" max="10240" width="9.109375" style="3"/>
    <col min="10241" max="10241" width="56.44140625" style="3" customWidth="1"/>
    <col min="10242" max="10245" width="15" style="3" bestFit="1" customWidth="1"/>
    <col min="10246" max="10246" width="33.6640625" style="3" customWidth="1"/>
    <col min="10247" max="10248" width="15" style="3" bestFit="1" customWidth="1"/>
    <col min="10249" max="10249" width="16" style="3" bestFit="1" customWidth="1"/>
    <col min="10250" max="10496" width="9.109375" style="3"/>
    <col min="10497" max="10497" width="56.44140625" style="3" customWidth="1"/>
    <col min="10498" max="10501" width="15" style="3" bestFit="1" customWidth="1"/>
    <col min="10502" max="10502" width="33.6640625" style="3" customWidth="1"/>
    <col min="10503" max="10504" width="15" style="3" bestFit="1" customWidth="1"/>
    <col min="10505" max="10505" width="16" style="3" bestFit="1" customWidth="1"/>
    <col min="10506" max="10752" width="9.109375" style="3"/>
    <col min="10753" max="10753" width="56.44140625" style="3" customWidth="1"/>
    <col min="10754" max="10757" width="15" style="3" bestFit="1" customWidth="1"/>
    <col min="10758" max="10758" width="33.6640625" style="3" customWidth="1"/>
    <col min="10759" max="10760" width="15" style="3" bestFit="1" customWidth="1"/>
    <col min="10761" max="10761" width="16" style="3" bestFit="1" customWidth="1"/>
    <col min="10762" max="11008" width="9.109375" style="3"/>
    <col min="11009" max="11009" width="56.44140625" style="3" customWidth="1"/>
    <col min="11010" max="11013" width="15" style="3" bestFit="1" customWidth="1"/>
    <col min="11014" max="11014" width="33.6640625" style="3" customWidth="1"/>
    <col min="11015" max="11016" width="15" style="3" bestFit="1" customWidth="1"/>
    <col min="11017" max="11017" width="16" style="3" bestFit="1" customWidth="1"/>
    <col min="11018" max="11264" width="9.109375" style="3"/>
    <col min="11265" max="11265" width="56.44140625" style="3" customWidth="1"/>
    <col min="11266" max="11269" width="15" style="3" bestFit="1" customWidth="1"/>
    <col min="11270" max="11270" width="33.6640625" style="3" customWidth="1"/>
    <col min="11271" max="11272" width="15" style="3" bestFit="1" customWidth="1"/>
    <col min="11273" max="11273" width="16" style="3" bestFit="1" customWidth="1"/>
    <col min="11274" max="11520" width="9.109375" style="3"/>
    <col min="11521" max="11521" width="56.44140625" style="3" customWidth="1"/>
    <col min="11522" max="11525" width="15" style="3" bestFit="1" customWidth="1"/>
    <col min="11526" max="11526" width="33.6640625" style="3" customWidth="1"/>
    <col min="11527" max="11528" width="15" style="3" bestFit="1" customWidth="1"/>
    <col min="11529" max="11529" width="16" style="3" bestFit="1" customWidth="1"/>
    <col min="11530" max="11776" width="9.109375" style="3"/>
    <col min="11777" max="11777" width="56.44140625" style="3" customWidth="1"/>
    <col min="11778" max="11781" width="15" style="3" bestFit="1" customWidth="1"/>
    <col min="11782" max="11782" width="33.6640625" style="3" customWidth="1"/>
    <col min="11783" max="11784" width="15" style="3" bestFit="1" customWidth="1"/>
    <col min="11785" max="11785" width="16" style="3" bestFit="1" customWidth="1"/>
    <col min="11786" max="12032" width="9.109375" style="3"/>
    <col min="12033" max="12033" width="56.44140625" style="3" customWidth="1"/>
    <col min="12034" max="12037" width="15" style="3" bestFit="1" customWidth="1"/>
    <col min="12038" max="12038" width="33.6640625" style="3" customWidth="1"/>
    <col min="12039" max="12040" width="15" style="3" bestFit="1" customWidth="1"/>
    <col min="12041" max="12041" width="16" style="3" bestFit="1" customWidth="1"/>
    <col min="12042" max="12288" width="9.109375" style="3"/>
    <col min="12289" max="12289" width="56.44140625" style="3" customWidth="1"/>
    <col min="12290" max="12293" width="15" style="3" bestFit="1" customWidth="1"/>
    <col min="12294" max="12294" width="33.6640625" style="3" customWidth="1"/>
    <col min="12295" max="12296" width="15" style="3" bestFit="1" customWidth="1"/>
    <col min="12297" max="12297" width="16" style="3" bestFit="1" customWidth="1"/>
    <col min="12298" max="12544" width="9.109375" style="3"/>
    <col min="12545" max="12545" width="56.44140625" style="3" customWidth="1"/>
    <col min="12546" max="12549" width="15" style="3" bestFit="1" customWidth="1"/>
    <col min="12550" max="12550" width="33.6640625" style="3" customWidth="1"/>
    <col min="12551" max="12552" width="15" style="3" bestFit="1" customWidth="1"/>
    <col min="12553" max="12553" width="16" style="3" bestFit="1" customWidth="1"/>
    <col min="12554" max="12800" width="9.109375" style="3"/>
    <col min="12801" max="12801" width="56.44140625" style="3" customWidth="1"/>
    <col min="12802" max="12805" width="15" style="3" bestFit="1" customWidth="1"/>
    <col min="12806" max="12806" width="33.6640625" style="3" customWidth="1"/>
    <col min="12807" max="12808" width="15" style="3" bestFit="1" customWidth="1"/>
    <col min="12809" max="12809" width="16" style="3" bestFit="1" customWidth="1"/>
    <col min="12810" max="13056" width="9.109375" style="3"/>
    <col min="13057" max="13057" width="56.44140625" style="3" customWidth="1"/>
    <col min="13058" max="13061" width="15" style="3" bestFit="1" customWidth="1"/>
    <col min="13062" max="13062" width="33.6640625" style="3" customWidth="1"/>
    <col min="13063" max="13064" width="15" style="3" bestFit="1" customWidth="1"/>
    <col min="13065" max="13065" width="16" style="3" bestFit="1" customWidth="1"/>
    <col min="13066" max="13312" width="9.109375" style="3"/>
    <col min="13313" max="13313" width="56.44140625" style="3" customWidth="1"/>
    <col min="13314" max="13317" width="15" style="3" bestFit="1" customWidth="1"/>
    <col min="13318" max="13318" width="33.6640625" style="3" customWidth="1"/>
    <col min="13319" max="13320" width="15" style="3" bestFit="1" customWidth="1"/>
    <col min="13321" max="13321" width="16" style="3" bestFit="1" customWidth="1"/>
    <col min="13322" max="13568" width="9.109375" style="3"/>
    <col min="13569" max="13569" width="56.44140625" style="3" customWidth="1"/>
    <col min="13570" max="13573" width="15" style="3" bestFit="1" customWidth="1"/>
    <col min="13574" max="13574" width="33.6640625" style="3" customWidth="1"/>
    <col min="13575" max="13576" width="15" style="3" bestFit="1" customWidth="1"/>
    <col min="13577" max="13577" width="16" style="3" bestFit="1" customWidth="1"/>
    <col min="13578" max="13824" width="9.109375" style="3"/>
    <col min="13825" max="13825" width="56.44140625" style="3" customWidth="1"/>
    <col min="13826" max="13829" width="15" style="3" bestFit="1" customWidth="1"/>
    <col min="13830" max="13830" width="33.6640625" style="3" customWidth="1"/>
    <col min="13831" max="13832" width="15" style="3" bestFit="1" customWidth="1"/>
    <col min="13833" max="13833" width="16" style="3" bestFit="1" customWidth="1"/>
    <col min="13834" max="14080" width="9.109375" style="3"/>
    <col min="14081" max="14081" width="56.44140625" style="3" customWidth="1"/>
    <col min="14082" max="14085" width="15" style="3" bestFit="1" customWidth="1"/>
    <col min="14086" max="14086" width="33.6640625" style="3" customWidth="1"/>
    <col min="14087" max="14088" width="15" style="3" bestFit="1" customWidth="1"/>
    <col min="14089" max="14089" width="16" style="3" bestFit="1" customWidth="1"/>
    <col min="14090" max="14336" width="9.109375" style="3"/>
    <col min="14337" max="14337" width="56.44140625" style="3" customWidth="1"/>
    <col min="14338" max="14341" width="15" style="3" bestFit="1" customWidth="1"/>
    <col min="14342" max="14342" width="33.6640625" style="3" customWidth="1"/>
    <col min="14343" max="14344" width="15" style="3" bestFit="1" customWidth="1"/>
    <col min="14345" max="14345" width="16" style="3" bestFit="1" customWidth="1"/>
    <col min="14346" max="14592" width="9.109375" style="3"/>
    <col min="14593" max="14593" width="56.44140625" style="3" customWidth="1"/>
    <col min="14594" max="14597" width="15" style="3" bestFit="1" customWidth="1"/>
    <col min="14598" max="14598" width="33.6640625" style="3" customWidth="1"/>
    <col min="14599" max="14600" width="15" style="3" bestFit="1" customWidth="1"/>
    <col min="14601" max="14601" width="16" style="3" bestFit="1" customWidth="1"/>
    <col min="14602" max="14848" width="9.109375" style="3"/>
    <col min="14849" max="14849" width="56.44140625" style="3" customWidth="1"/>
    <col min="14850" max="14853" width="15" style="3" bestFit="1" customWidth="1"/>
    <col min="14854" max="14854" width="33.6640625" style="3" customWidth="1"/>
    <col min="14855" max="14856" width="15" style="3" bestFit="1" customWidth="1"/>
    <col min="14857" max="14857" width="16" style="3" bestFit="1" customWidth="1"/>
    <col min="14858" max="15104" width="9.109375" style="3"/>
    <col min="15105" max="15105" width="56.44140625" style="3" customWidth="1"/>
    <col min="15106" max="15109" width="15" style="3" bestFit="1" customWidth="1"/>
    <col min="15110" max="15110" width="33.6640625" style="3" customWidth="1"/>
    <col min="15111" max="15112" width="15" style="3" bestFit="1" customWidth="1"/>
    <col min="15113" max="15113" width="16" style="3" bestFit="1" customWidth="1"/>
    <col min="15114" max="15360" width="9.109375" style="3"/>
    <col min="15361" max="15361" width="56.44140625" style="3" customWidth="1"/>
    <col min="15362" max="15365" width="15" style="3" bestFit="1" customWidth="1"/>
    <col min="15366" max="15366" width="33.6640625" style="3" customWidth="1"/>
    <col min="15367" max="15368" width="15" style="3" bestFit="1" customWidth="1"/>
    <col min="15369" max="15369" width="16" style="3" bestFit="1" customWidth="1"/>
    <col min="15370" max="15616" width="9.109375" style="3"/>
    <col min="15617" max="15617" width="56.44140625" style="3" customWidth="1"/>
    <col min="15618" max="15621" width="15" style="3" bestFit="1" customWidth="1"/>
    <col min="15622" max="15622" width="33.6640625" style="3" customWidth="1"/>
    <col min="15623" max="15624" width="15" style="3" bestFit="1" customWidth="1"/>
    <col min="15625" max="15625" width="16" style="3" bestFit="1" customWidth="1"/>
    <col min="15626" max="15872" width="9.109375" style="3"/>
    <col min="15873" max="15873" width="56.44140625" style="3" customWidth="1"/>
    <col min="15874" max="15877" width="15" style="3" bestFit="1" customWidth="1"/>
    <col min="15878" max="15878" width="33.6640625" style="3" customWidth="1"/>
    <col min="15879" max="15880" width="15" style="3" bestFit="1" customWidth="1"/>
    <col min="15881" max="15881" width="16" style="3" bestFit="1" customWidth="1"/>
    <col min="15882" max="16128" width="9.109375" style="3"/>
    <col min="16129" max="16129" width="56.44140625" style="3" customWidth="1"/>
    <col min="16130" max="16133" width="15" style="3" bestFit="1" customWidth="1"/>
    <col min="16134" max="16134" width="33.6640625" style="3" customWidth="1"/>
    <col min="16135" max="16136" width="15" style="3" bestFit="1" customWidth="1"/>
    <col min="16137" max="16137" width="16" style="3" bestFit="1" customWidth="1"/>
    <col min="16138" max="16384" width="9.109375" style="3"/>
  </cols>
  <sheetData>
    <row r="1" spans="1:9" x14ac:dyDescent="0.25">
      <c r="A1" s="3" t="s">
        <v>22</v>
      </c>
    </row>
    <row r="2" spans="1:9" x14ac:dyDescent="0.25">
      <c r="B2" s="4">
        <v>38717</v>
      </c>
      <c r="C2" s="4">
        <v>38352</v>
      </c>
      <c r="D2" s="4">
        <v>37986</v>
      </c>
      <c r="E2" s="4">
        <v>37621</v>
      </c>
      <c r="F2" s="4">
        <v>37256</v>
      </c>
      <c r="G2" s="4"/>
    </row>
    <row r="3" spans="1:9" x14ac:dyDescent="0.25">
      <c r="A3" s="3" t="s">
        <v>23</v>
      </c>
      <c r="B3" s="5">
        <v>1175000000</v>
      </c>
      <c r="C3" s="5">
        <v>688000000</v>
      </c>
      <c r="D3" s="5">
        <v>372000000</v>
      </c>
      <c r="E3" s="5">
        <v>372000000</v>
      </c>
      <c r="F3" s="5">
        <v>170000000</v>
      </c>
    </row>
    <row r="4" spans="1:9" x14ac:dyDescent="0.25">
      <c r="A4" s="3" t="s">
        <v>24</v>
      </c>
      <c r="B4" s="5">
        <v>1437000000</v>
      </c>
      <c r="C4" s="5">
        <v>1280000000</v>
      </c>
      <c r="D4" s="5">
        <v>1089000000</v>
      </c>
      <c r="E4" s="5">
        <v>936000000</v>
      </c>
      <c r="F4" s="5">
        <v>225000000</v>
      </c>
      <c r="H4" s="5"/>
      <c r="I4" s="5"/>
    </row>
    <row r="5" spans="1:9" x14ac:dyDescent="0.25">
      <c r="A5" s="3" t="s">
        <v>25</v>
      </c>
      <c r="B5" s="5"/>
      <c r="C5" s="5"/>
      <c r="D5" s="5"/>
      <c r="E5" s="5">
        <v>8425000000</v>
      </c>
    </row>
    <row r="6" spans="1:9" x14ac:dyDescent="0.25">
      <c r="A6" s="3" t="s">
        <v>26</v>
      </c>
      <c r="B6" s="5">
        <f>B3+B4-B5</f>
        <v>2612000000</v>
      </c>
      <c r="C6" s="5">
        <f>C3+C4-C5</f>
        <v>1968000000</v>
      </c>
      <c r="D6" s="5">
        <f>D3+D4-D5</f>
        <v>1461000000</v>
      </c>
      <c r="E6" s="5">
        <f>E3+E4-E5</f>
        <v>-7117000000</v>
      </c>
      <c r="F6" s="5">
        <f>F3+F4-F5</f>
        <v>395000000</v>
      </c>
    </row>
    <row r="7" spans="1:9" x14ac:dyDescent="0.25">
      <c r="B7" s="5"/>
      <c r="C7" s="5"/>
      <c r="D7" s="5"/>
      <c r="E7" s="5"/>
      <c r="F7" s="5"/>
    </row>
    <row r="8" spans="1:9" x14ac:dyDescent="0.25">
      <c r="B8" s="5"/>
      <c r="C8" s="5"/>
      <c r="D8" s="5"/>
      <c r="E8" s="5"/>
      <c r="F8" s="5"/>
    </row>
    <row r="18" spans="1:9" x14ac:dyDescent="0.25">
      <c r="B18" s="4">
        <v>38717</v>
      </c>
      <c r="C18" s="4">
        <v>38352</v>
      </c>
      <c r="D18" s="4">
        <v>37986</v>
      </c>
      <c r="G18" s="4">
        <v>37986</v>
      </c>
      <c r="H18" s="4">
        <v>37621</v>
      </c>
      <c r="I18" s="4">
        <v>37256</v>
      </c>
    </row>
    <row r="19" spans="1:9" x14ac:dyDescent="0.25">
      <c r="A19" s="3" t="s">
        <v>27</v>
      </c>
      <c r="F19" s="3" t="s">
        <v>28</v>
      </c>
    </row>
    <row r="20" spans="1:9" x14ac:dyDescent="0.25">
      <c r="A20" s="3" t="s">
        <v>29</v>
      </c>
      <c r="F20" s="3" t="s">
        <v>30</v>
      </c>
      <c r="G20" s="5">
        <v>3476000000</v>
      </c>
      <c r="H20" s="5">
        <v>3394000000</v>
      </c>
      <c r="I20" s="5">
        <v>1882000000</v>
      </c>
    </row>
    <row r="21" spans="1:9" x14ac:dyDescent="0.25">
      <c r="A21" s="3" t="s">
        <v>31</v>
      </c>
      <c r="B21" s="5">
        <v>2632000000</v>
      </c>
      <c r="C21" s="5">
        <v>2665000000</v>
      </c>
      <c r="D21" s="5">
        <v>3476000000</v>
      </c>
      <c r="F21" s="3" t="s">
        <v>32</v>
      </c>
    </row>
    <row r="22" spans="1:9" x14ac:dyDescent="0.25">
      <c r="A22" s="3" t="s">
        <v>32</v>
      </c>
      <c r="F22" s="3" t="s">
        <v>33</v>
      </c>
      <c r="G22" s="5">
        <v>813000000</v>
      </c>
      <c r="H22" s="5">
        <v>716000000</v>
      </c>
      <c r="I22" s="5">
        <v>1642000000</v>
      </c>
    </row>
    <row r="23" spans="1:9" x14ac:dyDescent="0.25">
      <c r="A23" s="3" t="s">
        <v>33</v>
      </c>
      <c r="B23" s="5">
        <v>879000000</v>
      </c>
      <c r="C23" s="5">
        <v>879000000</v>
      </c>
      <c r="D23" s="5">
        <v>813000000</v>
      </c>
      <c r="F23" s="3" t="s">
        <v>34</v>
      </c>
      <c r="G23" s="5">
        <v>244000000</v>
      </c>
      <c r="H23" s="5">
        <v>278000000</v>
      </c>
      <c r="I23" s="5">
        <v>414000000</v>
      </c>
    </row>
    <row r="24" spans="1:9" x14ac:dyDescent="0.25">
      <c r="A24" s="3" t="s">
        <v>35</v>
      </c>
      <c r="B24" s="5">
        <v>-408000000</v>
      </c>
      <c r="C24" s="5">
        <v>41000000</v>
      </c>
      <c r="D24" s="5">
        <v>244000000</v>
      </c>
      <c r="F24" s="3" t="s">
        <v>36</v>
      </c>
      <c r="G24" s="5">
        <v>-31000000</v>
      </c>
      <c r="H24" s="5">
        <v>-80000000</v>
      </c>
      <c r="I24" s="5">
        <v>-8000000</v>
      </c>
    </row>
    <row r="25" spans="1:9" x14ac:dyDescent="0.25">
      <c r="A25" s="3" t="s">
        <v>37</v>
      </c>
      <c r="B25" s="5">
        <v>-108000000</v>
      </c>
      <c r="C25" s="5">
        <v>3000000</v>
      </c>
      <c r="D25" s="5">
        <v>-31000000</v>
      </c>
      <c r="F25" s="3" t="s">
        <v>38</v>
      </c>
      <c r="G25" s="5">
        <v>-26000000</v>
      </c>
      <c r="H25" s="5">
        <v>91000000</v>
      </c>
      <c r="I25" s="5">
        <v>79000000</v>
      </c>
    </row>
    <row r="26" spans="1:9" x14ac:dyDescent="0.25">
      <c r="A26" s="3" t="s">
        <v>39</v>
      </c>
      <c r="F26" s="3" t="s">
        <v>40</v>
      </c>
      <c r="G26" s="5">
        <v>6000000</v>
      </c>
      <c r="H26" s="5">
        <v>128000000</v>
      </c>
    </row>
    <row r="27" spans="1:9" x14ac:dyDescent="0.25">
      <c r="A27" s="3" t="s">
        <v>41</v>
      </c>
      <c r="B27" s="5">
        <v>-1000000</v>
      </c>
      <c r="C27" s="5">
        <v>-1000000</v>
      </c>
      <c r="D27" s="5">
        <v>-26000000</v>
      </c>
      <c r="F27" s="3" t="s">
        <v>42</v>
      </c>
    </row>
    <row r="28" spans="1:9" x14ac:dyDescent="0.25">
      <c r="A28" s="3" t="s">
        <v>43</v>
      </c>
      <c r="B28" s="5">
        <v>32000000</v>
      </c>
      <c r="F28" s="3" t="s">
        <v>44</v>
      </c>
      <c r="G28" s="5">
        <v>-45000000</v>
      </c>
      <c r="H28" s="5">
        <v>116000000</v>
      </c>
      <c r="I28" s="5">
        <v>23000000</v>
      </c>
    </row>
    <row r="29" spans="1:9" x14ac:dyDescent="0.25">
      <c r="A29" s="3" t="s">
        <v>45</v>
      </c>
      <c r="C29" s="5">
        <v>107000000</v>
      </c>
      <c r="F29" s="3" t="s">
        <v>46</v>
      </c>
      <c r="G29" s="5">
        <v>197000000</v>
      </c>
      <c r="H29" s="5">
        <v>-220000000</v>
      </c>
      <c r="I29" s="5">
        <v>-107000000</v>
      </c>
    </row>
    <row r="30" spans="1:9" x14ac:dyDescent="0.25">
      <c r="A30" s="3" t="s">
        <v>47</v>
      </c>
      <c r="F30" s="3" t="s">
        <v>48</v>
      </c>
      <c r="G30" s="5">
        <v>-116000000</v>
      </c>
      <c r="H30" s="5">
        <v>-116000000</v>
      </c>
      <c r="I30" s="5">
        <v>-73000000</v>
      </c>
    </row>
    <row r="31" spans="1:9" x14ac:dyDescent="0.25">
      <c r="A31" s="3" t="s">
        <v>49</v>
      </c>
      <c r="B31" s="5">
        <v>315000000</v>
      </c>
      <c r="C31" s="5">
        <v>493000000</v>
      </c>
      <c r="D31" s="5">
        <v>6000000</v>
      </c>
      <c r="F31" s="3" t="s">
        <v>50</v>
      </c>
      <c r="G31" s="5">
        <v>-125000000</v>
      </c>
      <c r="H31" s="5">
        <v>277000000</v>
      </c>
      <c r="I31" s="5">
        <v>74000000</v>
      </c>
    </row>
    <row r="32" spans="1:9" x14ac:dyDescent="0.25">
      <c r="A32" s="3" t="s">
        <v>51</v>
      </c>
      <c r="F32" s="3" t="s">
        <v>52</v>
      </c>
      <c r="G32" s="5">
        <v>169000000</v>
      </c>
      <c r="H32" s="5">
        <v>-244000000</v>
      </c>
      <c r="I32" s="5">
        <v>138000000</v>
      </c>
    </row>
    <row r="33" spans="1:9" x14ac:dyDescent="0.25">
      <c r="A33" s="3" t="s">
        <v>42</v>
      </c>
      <c r="F33" s="3" t="s">
        <v>53</v>
      </c>
      <c r="G33" s="5">
        <v>-167000000</v>
      </c>
      <c r="H33" s="5">
        <v>-330000000</v>
      </c>
      <c r="I33" s="5">
        <v>-290000000</v>
      </c>
    </row>
    <row r="34" spans="1:9" x14ac:dyDescent="0.25">
      <c r="A34" s="3" t="s">
        <v>54</v>
      </c>
      <c r="B34" s="5">
        <v>65000000</v>
      </c>
      <c r="C34" s="5">
        <v>23000000</v>
      </c>
      <c r="D34" s="5">
        <v>-45000000</v>
      </c>
      <c r="F34" s="3" t="s">
        <v>55</v>
      </c>
      <c r="G34" s="5">
        <v>-419000000</v>
      </c>
      <c r="H34" s="5">
        <v>-217000000</v>
      </c>
      <c r="I34" s="5">
        <v>-305000000</v>
      </c>
    </row>
    <row r="35" spans="1:9" x14ac:dyDescent="0.25">
      <c r="A35" s="3" t="s">
        <v>56</v>
      </c>
      <c r="B35" s="5">
        <v>-42000000</v>
      </c>
      <c r="C35" s="5">
        <v>-65000000</v>
      </c>
      <c r="D35" s="5">
        <v>197000000</v>
      </c>
      <c r="F35" s="3" t="s">
        <v>57</v>
      </c>
      <c r="G35" s="5">
        <v>143000000</v>
      </c>
      <c r="H35" s="5">
        <v>-73000000</v>
      </c>
      <c r="I35" s="5">
        <v>-141000000</v>
      </c>
    </row>
    <row r="36" spans="1:9" x14ac:dyDescent="0.25">
      <c r="A36" s="3" t="s">
        <v>58</v>
      </c>
      <c r="B36" s="5">
        <v>74000000</v>
      </c>
      <c r="C36" s="5">
        <v>152000000</v>
      </c>
      <c r="D36" s="5">
        <v>-116000000</v>
      </c>
      <c r="F36" s="3" t="s">
        <v>59</v>
      </c>
      <c r="G36" s="5">
        <v>4119000000</v>
      </c>
      <c r="H36" s="5">
        <v>3720000000</v>
      </c>
      <c r="I36" s="5">
        <v>3328000000</v>
      </c>
    </row>
    <row r="37" spans="1:9" x14ac:dyDescent="0.25">
      <c r="A37" s="3" t="s">
        <v>60</v>
      </c>
      <c r="B37" s="5">
        <v>-33000000</v>
      </c>
      <c r="C37" s="5">
        <v>-251000000</v>
      </c>
      <c r="D37" s="5">
        <v>-125000000</v>
      </c>
      <c r="F37" s="3" t="s">
        <v>61</v>
      </c>
    </row>
    <row r="38" spans="1:9" x14ac:dyDescent="0.25">
      <c r="A38" s="3" t="s">
        <v>62</v>
      </c>
      <c r="B38" s="5">
        <v>273000000</v>
      </c>
      <c r="C38" s="5">
        <v>74000000</v>
      </c>
      <c r="D38" s="5">
        <v>169000000</v>
      </c>
      <c r="F38" s="3" t="s">
        <v>63</v>
      </c>
      <c r="G38" s="5">
        <v>-1085000000</v>
      </c>
      <c r="H38" s="5">
        <v>-1184000000</v>
      </c>
      <c r="I38" s="5">
        <v>-1101000000</v>
      </c>
    </row>
    <row r="39" spans="1:9" x14ac:dyDescent="0.25">
      <c r="A39" s="3" t="s">
        <v>64</v>
      </c>
      <c r="F39" s="3" t="s">
        <v>65</v>
      </c>
      <c r="G39" s="5">
        <v>-98000000</v>
      </c>
      <c r="H39" s="5">
        <v>-122000000</v>
      </c>
      <c r="I39" s="5">
        <v>-194000000</v>
      </c>
    </row>
    <row r="40" spans="1:9" x14ac:dyDescent="0.25">
      <c r="A40" s="3" t="s">
        <v>66</v>
      </c>
      <c r="B40" s="5">
        <v>-432000000</v>
      </c>
      <c r="C40" s="5">
        <v>90000000</v>
      </c>
      <c r="D40" s="5">
        <v>-167000000</v>
      </c>
      <c r="F40" s="3" t="s">
        <v>67</v>
      </c>
      <c r="G40" s="5">
        <v>96000000</v>
      </c>
      <c r="H40" s="5">
        <v>219000000</v>
      </c>
      <c r="I40" s="5">
        <v>21000000</v>
      </c>
    </row>
    <row r="41" spans="1:9" x14ac:dyDescent="0.25">
      <c r="A41" s="3" t="s">
        <v>68</v>
      </c>
      <c r="B41" s="5">
        <v>-10000000</v>
      </c>
      <c r="C41" s="5">
        <v>-436000000</v>
      </c>
      <c r="D41" s="5">
        <v>-419000000</v>
      </c>
      <c r="F41" s="3" t="s">
        <v>69</v>
      </c>
      <c r="G41" s="5">
        <v>38000000</v>
      </c>
      <c r="H41" s="5">
        <v>35000000</v>
      </c>
      <c r="I41" s="5">
        <v>52000000</v>
      </c>
    </row>
    <row r="42" spans="1:9" x14ac:dyDescent="0.25">
      <c r="A42" s="3" t="s">
        <v>70</v>
      </c>
      <c r="F42" s="3" t="s">
        <v>71</v>
      </c>
      <c r="G42" s="5">
        <v>-1049000000</v>
      </c>
      <c r="H42" s="5">
        <v>-1052000000</v>
      </c>
      <c r="I42" s="5">
        <v>-1222000000</v>
      </c>
    </row>
    <row r="43" spans="1:9" x14ac:dyDescent="0.25">
      <c r="A43" s="3" t="s">
        <v>57</v>
      </c>
      <c r="B43" s="5">
        <v>228000000</v>
      </c>
      <c r="C43" s="5">
        <v>234000000</v>
      </c>
      <c r="D43" s="5">
        <v>143000000</v>
      </c>
      <c r="F43" s="3" t="s">
        <v>72</v>
      </c>
    </row>
    <row r="44" spans="1:9" x14ac:dyDescent="0.25">
      <c r="A44" s="3" t="s">
        <v>73</v>
      </c>
      <c r="B44" s="5">
        <v>3464000000</v>
      </c>
      <c r="C44" s="5">
        <v>4008000000</v>
      </c>
      <c r="D44" s="5">
        <v>4119000000</v>
      </c>
      <c r="F44" s="3" t="s">
        <v>74</v>
      </c>
      <c r="G44" s="5">
        <v>819000000</v>
      </c>
      <c r="H44" s="5">
        <v>-1036000000</v>
      </c>
      <c r="I44" s="5">
        <v>2505000000</v>
      </c>
    </row>
    <row r="45" spans="1:9" x14ac:dyDescent="0.25">
      <c r="A45" s="3" t="s">
        <v>75</v>
      </c>
      <c r="F45" s="3" t="s">
        <v>76</v>
      </c>
      <c r="G45" s="5">
        <v>1577000000</v>
      </c>
      <c r="H45" s="5">
        <v>3325000000</v>
      </c>
      <c r="I45" s="5">
        <v>4077000000</v>
      </c>
    </row>
    <row r="46" spans="1:9" x14ac:dyDescent="0.25">
      <c r="A46" s="3" t="s">
        <v>77</v>
      </c>
      <c r="F46" s="3" t="s">
        <v>78</v>
      </c>
      <c r="G46" s="5">
        <v>-491000000</v>
      </c>
      <c r="H46" s="5">
        <v>-609000000</v>
      </c>
      <c r="I46" s="5">
        <v>-705000000</v>
      </c>
    </row>
    <row r="47" spans="1:9" x14ac:dyDescent="0.25">
      <c r="A47" s="3" t="s">
        <v>29</v>
      </c>
      <c r="F47" s="3" t="s">
        <v>79</v>
      </c>
      <c r="G47" s="5">
        <v>-2757000000</v>
      </c>
      <c r="H47" s="5">
        <v>-3850000000</v>
      </c>
      <c r="I47" s="5">
        <v>-16350000000</v>
      </c>
    </row>
    <row r="48" spans="1:9" x14ac:dyDescent="0.25">
      <c r="A48" s="3" t="s">
        <v>63</v>
      </c>
      <c r="B48" s="5">
        <v>-1171000000</v>
      </c>
      <c r="C48" s="5">
        <v>-1006000000</v>
      </c>
      <c r="D48" s="5">
        <v>-1085000000</v>
      </c>
      <c r="F48" s="3" t="s">
        <v>80</v>
      </c>
      <c r="G48" s="5">
        <v>-525000000</v>
      </c>
      <c r="H48" s="5">
        <v>660000000</v>
      </c>
      <c r="I48" s="5">
        <v>142000000</v>
      </c>
    </row>
    <row r="49" spans="1:9" x14ac:dyDescent="0.25">
      <c r="A49" s="3" t="s">
        <v>81</v>
      </c>
      <c r="C49" s="5">
        <v>-137000000</v>
      </c>
      <c r="D49" s="5">
        <v>-98000000</v>
      </c>
      <c r="F49" s="3" t="s">
        <v>82</v>
      </c>
      <c r="G49" s="5">
        <v>-372000000</v>
      </c>
      <c r="H49" s="5">
        <v>-170000000</v>
      </c>
    </row>
    <row r="50" spans="1:9" x14ac:dyDescent="0.25">
      <c r="A50" s="3" t="s">
        <v>83</v>
      </c>
      <c r="F50" s="3" t="s">
        <v>84</v>
      </c>
      <c r="G50" s="5">
        <v>-1089000000</v>
      </c>
      <c r="H50" s="5">
        <v>-936000000</v>
      </c>
      <c r="I50" s="5">
        <v>-225000000</v>
      </c>
    </row>
    <row r="51" spans="1:9" x14ac:dyDescent="0.25">
      <c r="A51" s="3" t="s">
        <v>67</v>
      </c>
      <c r="B51" s="5">
        <v>1668000000</v>
      </c>
      <c r="C51" s="5">
        <v>18000000</v>
      </c>
      <c r="D51" s="5">
        <v>96000000</v>
      </c>
      <c r="F51" s="3" t="s">
        <v>85</v>
      </c>
      <c r="I51" s="5">
        <v>8425000000</v>
      </c>
    </row>
    <row r="52" spans="1:9" x14ac:dyDescent="0.25">
      <c r="A52" s="3" t="s">
        <v>69</v>
      </c>
      <c r="B52" s="5">
        <v>28000000</v>
      </c>
      <c r="C52" s="5">
        <v>69000000</v>
      </c>
      <c r="D52" s="5">
        <v>38000000</v>
      </c>
      <c r="F52" s="3" t="s">
        <v>69</v>
      </c>
      <c r="G52" s="5">
        <v>52000000</v>
      </c>
    </row>
    <row r="53" spans="1:9" x14ac:dyDescent="0.25">
      <c r="A53" s="3" t="s">
        <v>86</v>
      </c>
      <c r="B53" s="5">
        <v>525000000</v>
      </c>
      <c r="C53" s="5">
        <v>-1056000000</v>
      </c>
      <c r="D53" s="5">
        <v>-1049000000</v>
      </c>
      <c r="F53" s="3" t="s">
        <v>87</v>
      </c>
      <c r="G53" s="5">
        <v>-2786000000</v>
      </c>
      <c r="H53" s="5">
        <v>-2616000000</v>
      </c>
      <c r="I53" s="5">
        <v>-2131000000</v>
      </c>
    </row>
    <row r="54" spans="1:9" x14ac:dyDescent="0.25">
      <c r="A54" s="3" t="s">
        <v>88</v>
      </c>
      <c r="F54" s="3" t="s">
        <v>89</v>
      </c>
      <c r="G54" s="5">
        <v>15000000</v>
      </c>
      <c r="H54" s="5">
        <v>1000000</v>
      </c>
      <c r="I54" s="5">
        <v>-4000000</v>
      </c>
    </row>
    <row r="55" spans="1:9" x14ac:dyDescent="0.25">
      <c r="A55" s="3" t="s">
        <v>90</v>
      </c>
      <c r="F55" s="3" t="s">
        <v>91</v>
      </c>
    </row>
    <row r="56" spans="1:9" x14ac:dyDescent="0.25">
      <c r="A56" s="3" t="s">
        <v>29</v>
      </c>
      <c r="F56" s="3" t="s">
        <v>92</v>
      </c>
      <c r="G56" s="5">
        <v>299000000</v>
      </c>
      <c r="H56" s="5">
        <v>53000000</v>
      </c>
      <c r="I56" s="5">
        <v>-29000000</v>
      </c>
    </row>
    <row r="57" spans="1:9" x14ac:dyDescent="0.25">
      <c r="A57" s="3" t="s">
        <v>93</v>
      </c>
      <c r="B57" s="5">
        <v>-1005000000</v>
      </c>
      <c r="C57" s="5">
        <v>-635000000</v>
      </c>
      <c r="D57" s="5">
        <v>819000000</v>
      </c>
      <c r="F57" s="3" t="s">
        <v>94</v>
      </c>
      <c r="G57" s="5">
        <v>215000000</v>
      </c>
      <c r="H57" s="5">
        <v>162000000</v>
      </c>
      <c r="I57" s="5">
        <v>191000000</v>
      </c>
    </row>
    <row r="58" spans="1:9" x14ac:dyDescent="0.25">
      <c r="A58" s="3" t="s">
        <v>95</v>
      </c>
      <c r="F58" s="3" t="s">
        <v>96</v>
      </c>
      <c r="G58" s="5">
        <v>514000000</v>
      </c>
      <c r="H58" s="5">
        <v>215000000</v>
      </c>
      <c r="I58" s="5">
        <v>162000000</v>
      </c>
    </row>
    <row r="59" spans="1:9" x14ac:dyDescent="0.25">
      <c r="A59" s="3" t="s">
        <v>76</v>
      </c>
      <c r="B59" s="5">
        <v>69000000</v>
      </c>
      <c r="C59" s="5">
        <v>832000000</v>
      </c>
      <c r="D59" s="5">
        <v>1577000000</v>
      </c>
      <c r="F59" s="3" t="s">
        <v>97</v>
      </c>
    </row>
    <row r="60" spans="1:9" x14ac:dyDescent="0.25">
      <c r="A60" s="3" t="s">
        <v>78</v>
      </c>
      <c r="B60" s="5">
        <v>-775000000</v>
      </c>
      <c r="C60" s="5">
        <v>-842000000</v>
      </c>
      <c r="D60" s="5">
        <v>-491000000</v>
      </c>
      <c r="F60" s="3" t="s">
        <v>98</v>
      </c>
      <c r="G60" s="5">
        <v>642000000</v>
      </c>
      <c r="H60" s="5">
        <v>825000000</v>
      </c>
      <c r="I60" s="5">
        <v>1433000000</v>
      </c>
    </row>
    <row r="61" spans="1:9" x14ac:dyDescent="0.25">
      <c r="A61" s="3" t="s">
        <v>99</v>
      </c>
      <c r="D61" s="5">
        <v>-2757000000</v>
      </c>
      <c r="F61" s="3" t="s">
        <v>100</v>
      </c>
      <c r="G61" s="5">
        <v>1726000000</v>
      </c>
      <c r="H61" s="5">
        <v>1368000000</v>
      </c>
      <c r="I61" s="5">
        <v>1058000000</v>
      </c>
    </row>
    <row r="62" spans="1:9" x14ac:dyDescent="0.25">
      <c r="A62" s="3" t="s">
        <v>101</v>
      </c>
    </row>
    <row r="63" spans="1:9" x14ac:dyDescent="0.25">
      <c r="A63" s="3" t="s">
        <v>102</v>
      </c>
      <c r="B63" s="5">
        <v>107000000</v>
      </c>
      <c r="C63" s="5">
        <v>-585000000</v>
      </c>
      <c r="D63" s="5">
        <v>-525000000</v>
      </c>
    </row>
    <row r="64" spans="1:9" x14ac:dyDescent="0.25">
      <c r="A64" s="3" t="s">
        <v>103</v>
      </c>
    </row>
    <row r="65" spans="1:9" x14ac:dyDescent="0.25">
      <c r="A65" s="3" t="s">
        <v>82</v>
      </c>
      <c r="B65" s="5">
        <v>-1175000000</v>
      </c>
      <c r="C65" s="5">
        <v>-688000000</v>
      </c>
      <c r="D65" s="5">
        <v>-372000000</v>
      </c>
      <c r="F65" s="3" t="s">
        <v>82</v>
      </c>
      <c r="G65" s="5">
        <v>-372000000</v>
      </c>
      <c r="H65" s="5">
        <v>-170000000</v>
      </c>
    </row>
    <row r="66" spans="1:9" x14ac:dyDescent="0.25">
      <c r="A66" s="3" t="s">
        <v>84</v>
      </c>
      <c r="B66" s="5">
        <v>-1437000000</v>
      </c>
      <c r="C66" s="5">
        <v>-1280000000</v>
      </c>
      <c r="D66" s="5">
        <v>-1089000000</v>
      </c>
      <c r="F66" s="3" t="s">
        <v>84</v>
      </c>
      <c r="G66" s="5">
        <f>G50</f>
        <v>-1089000000</v>
      </c>
      <c r="H66" s="5">
        <f>H50</f>
        <v>-936000000</v>
      </c>
      <c r="I66" s="5">
        <f>I50</f>
        <v>-225000000</v>
      </c>
    </row>
    <row r="67" spans="1:9" x14ac:dyDescent="0.25">
      <c r="A67" s="3" t="s">
        <v>69</v>
      </c>
      <c r="B67" s="5">
        <v>265000000</v>
      </c>
      <c r="C67" s="5">
        <v>-20000000</v>
      </c>
      <c r="D67" s="5">
        <v>52000000</v>
      </c>
      <c r="F67" s="3" t="s">
        <v>85</v>
      </c>
      <c r="I67" s="5">
        <v>8425000000</v>
      </c>
    </row>
    <row r="68" spans="1:9" x14ac:dyDescent="0.25">
      <c r="A68" s="3" t="s">
        <v>104</v>
      </c>
      <c r="B68" s="5">
        <v>-3951000000</v>
      </c>
      <c r="C68" s="5">
        <v>-3218000000</v>
      </c>
      <c r="D68" s="5">
        <v>-2786000000</v>
      </c>
    </row>
    <row r="69" spans="1:9" x14ac:dyDescent="0.25">
      <c r="A69" s="3" t="s">
        <v>105</v>
      </c>
      <c r="B69" s="5">
        <v>-4000000</v>
      </c>
      <c r="C69" s="5">
        <v>34000000</v>
      </c>
      <c r="D69" s="5">
        <v>15000000</v>
      </c>
    </row>
    <row r="70" spans="1:9" x14ac:dyDescent="0.25">
      <c r="A70" s="3" t="s">
        <v>106</v>
      </c>
    </row>
    <row r="71" spans="1:9" x14ac:dyDescent="0.25">
      <c r="A71" s="3" t="s">
        <v>91</v>
      </c>
    </row>
    <row r="72" spans="1:9" x14ac:dyDescent="0.25">
      <c r="A72" s="3" t="s">
        <v>107</v>
      </c>
      <c r="B72" s="5">
        <v>34000000</v>
      </c>
      <c r="C72" s="5">
        <v>-232000000</v>
      </c>
      <c r="D72" s="5">
        <v>299000000</v>
      </c>
    </row>
    <row r="73" spans="1:9" x14ac:dyDescent="0.25">
      <c r="A73" s="3" t="s">
        <v>108</v>
      </c>
      <c r="B73" s="5">
        <v>282000000</v>
      </c>
      <c r="C73" s="5">
        <v>514000000</v>
      </c>
      <c r="D73" s="5">
        <v>215000000</v>
      </c>
    </row>
    <row r="74" spans="1:9" x14ac:dyDescent="0.25">
      <c r="A74" s="3" t="s">
        <v>109</v>
      </c>
      <c r="B74" s="5">
        <v>316000000</v>
      </c>
      <c r="C74" s="5">
        <v>282000000</v>
      </c>
      <c r="D74" s="5">
        <v>514000000</v>
      </c>
    </row>
    <row r="75" spans="1:9" x14ac:dyDescent="0.25">
      <c r="A75" s="3" t="s">
        <v>97</v>
      </c>
    </row>
    <row r="76" spans="1:9" x14ac:dyDescent="0.25">
      <c r="A76" s="3" t="s">
        <v>110</v>
      </c>
      <c r="B76" s="5">
        <v>679000000</v>
      </c>
      <c r="C76" s="5">
        <v>633000000</v>
      </c>
      <c r="D76" s="5">
        <v>642000000</v>
      </c>
    </row>
    <row r="77" spans="1:9" x14ac:dyDescent="0.25">
      <c r="A77" s="3" t="s">
        <v>111</v>
      </c>
      <c r="B77" s="5">
        <v>1957000000</v>
      </c>
      <c r="C77" s="5">
        <v>1610000000</v>
      </c>
      <c r="D77" s="5">
        <v>1726000000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2B7A1-0903-476E-A190-43B769B61790}">
  <sheetPr codeName="Sheet36"/>
  <dimension ref="A1:D173"/>
  <sheetViews>
    <sheetView topLeftCell="A109" workbookViewId="0">
      <selection activeCell="B160" sqref="B160"/>
    </sheetView>
  </sheetViews>
  <sheetFormatPr defaultColWidth="9.109375" defaultRowHeight="13.2" x14ac:dyDescent="0.25"/>
  <cols>
    <col min="1" max="1" width="54.33203125" style="3" customWidth="1"/>
    <col min="2" max="4" width="21.6640625" style="3" customWidth="1"/>
    <col min="5" max="256" width="9.109375" style="3"/>
    <col min="257" max="257" width="54.33203125" style="3" customWidth="1"/>
    <col min="258" max="260" width="21.6640625" style="3" customWidth="1"/>
    <col min="261" max="512" width="9.109375" style="3"/>
    <col min="513" max="513" width="54.33203125" style="3" customWidth="1"/>
    <col min="514" max="516" width="21.6640625" style="3" customWidth="1"/>
    <col min="517" max="768" width="9.109375" style="3"/>
    <col min="769" max="769" width="54.33203125" style="3" customWidth="1"/>
    <col min="770" max="772" width="21.6640625" style="3" customWidth="1"/>
    <col min="773" max="1024" width="9.109375" style="3"/>
    <col min="1025" max="1025" width="54.33203125" style="3" customWidth="1"/>
    <col min="1026" max="1028" width="21.6640625" style="3" customWidth="1"/>
    <col min="1029" max="1280" width="9.109375" style="3"/>
    <col min="1281" max="1281" width="54.33203125" style="3" customWidth="1"/>
    <col min="1282" max="1284" width="21.6640625" style="3" customWidth="1"/>
    <col min="1285" max="1536" width="9.109375" style="3"/>
    <col min="1537" max="1537" width="54.33203125" style="3" customWidth="1"/>
    <col min="1538" max="1540" width="21.6640625" style="3" customWidth="1"/>
    <col min="1541" max="1792" width="9.109375" style="3"/>
    <col min="1793" max="1793" width="54.33203125" style="3" customWidth="1"/>
    <col min="1794" max="1796" width="21.6640625" style="3" customWidth="1"/>
    <col min="1797" max="2048" width="9.109375" style="3"/>
    <col min="2049" max="2049" width="54.33203125" style="3" customWidth="1"/>
    <col min="2050" max="2052" width="21.6640625" style="3" customWidth="1"/>
    <col min="2053" max="2304" width="9.109375" style="3"/>
    <col min="2305" max="2305" width="54.33203125" style="3" customWidth="1"/>
    <col min="2306" max="2308" width="21.6640625" style="3" customWidth="1"/>
    <col min="2309" max="2560" width="9.109375" style="3"/>
    <col min="2561" max="2561" width="54.33203125" style="3" customWidth="1"/>
    <col min="2562" max="2564" width="21.6640625" style="3" customWidth="1"/>
    <col min="2565" max="2816" width="9.109375" style="3"/>
    <col min="2817" max="2817" width="54.33203125" style="3" customWidth="1"/>
    <col min="2818" max="2820" width="21.6640625" style="3" customWidth="1"/>
    <col min="2821" max="3072" width="9.109375" style="3"/>
    <col min="3073" max="3073" width="54.33203125" style="3" customWidth="1"/>
    <col min="3074" max="3076" width="21.6640625" style="3" customWidth="1"/>
    <col min="3077" max="3328" width="9.109375" style="3"/>
    <col min="3329" max="3329" width="54.33203125" style="3" customWidth="1"/>
    <col min="3330" max="3332" width="21.6640625" style="3" customWidth="1"/>
    <col min="3333" max="3584" width="9.109375" style="3"/>
    <col min="3585" max="3585" width="54.33203125" style="3" customWidth="1"/>
    <col min="3586" max="3588" width="21.6640625" style="3" customWidth="1"/>
    <col min="3589" max="3840" width="9.109375" style="3"/>
    <col min="3841" max="3841" width="54.33203125" style="3" customWidth="1"/>
    <col min="3842" max="3844" width="21.6640625" style="3" customWidth="1"/>
    <col min="3845" max="4096" width="9.109375" style="3"/>
    <col min="4097" max="4097" width="54.33203125" style="3" customWidth="1"/>
    <col min="4098" max="4100" width="21.6640625" style="3" customWidth="1"/>
    <col min="4101" max="4352" width="9.109375" style="3"/>
    <col min="4353" max="4353" width="54.33203125" style="3" customWidth="1"/>
    <col min="4354" max="4356" width="21.6640625" style="3" customWidth="1"/>
    <col min="4357" max="4608" width="9.109375" style="3"/>
    <col min="4609" max="4609" width="54.33203125" style="3" customWidth="1"/>
    <col min="4610" max="4612" width="21.6640625" style="3" customWidth="1"/>
    <col min="4613" max="4864" width="9.109375" style="3"/>
    <col min="4865" max="4865" width="54.33203125" style="3" customWidth="1"/>
    <col min="4866" max="4868" width="21.6640625" style="3" customWidth="1"/>
    <col min="4869" max="5120" width="9.109375" style="3"/>
    <col min="5121" max="5121" width="54.33203125" style="3" customWidth="1"/>
    <col min="5122" max="5124" width="21.6640625" style="3" customWidth="1"/>
    <col min="5125" max="5376" width="9.109375" style="3"/>
    <col min="5377" max="5377" width="54.33203125" style="3" customWidth="1"/>
    <col min="5378" max="5380" width="21.6640625" style="3" customWidth="1"/>
    <col min="5381" max="5632" width="9.109375" style="3"/>
    <col min="5633" max="5633" width="54.33203125" style="3" customWidth="1"/>
    <col min="5634" max="5636" width="21.6640625" style="3" customWidth="1"/>
    <col min="5637" max="5888" width="9.109375" style="3"/>
    <col min="5889" max="5889" width="54.33203125" style="3" customWidth="1"/>
    <col min="5890" max="5892" width="21.6640625" style="3" customWidth="1"/>
    <col min="5893" max="6144" width="9.109375" style="3"/>
    <col min="6145" max="6145" width="54.33203125" style="3" customWidth="1"/>
    <col min="6146" max="6148" width="21.6640625" style="3" customWidth="1"/>
    <col min="6149" max="6400" width="9.109375" style="3"/>
    <col min="6401" max="6401" width="54.33203125" style="3" customWidth="1"/>
    <col min="6402" max="6404" width="21.6640625" style="3" customWidth="1"/>
    <col min="6405" max="6656" width="9.109375" style="3"/>
    <col min="6657" max="6657" width="54.33203125" style="3" customWidth="1"/>
    <col min="6658" max="6660" width="21.6640625" style="3" customWidth="1"/>
    <col min="6661" max="6912" width="9.109375" style="3"/>
    <col min="6913" max="6913" width="54.33203125" style="3" customWidth="1"/>
    <col min="6914" max="6916" width="21.6640625" style="3" customWidth="1"/>
    <col min="6917" max="7168" width="9.109375" style="3"/>
    <col min="7169" max="7169" width="54.33203125" style="3" customWidth="1"/>
    <col min="7170" max="7172" width="21.6640625" style="3" customWidth="1"/>
    <col min="7173" max="7424" width="9.109375" style="3"/>
    <col min="7425" max="7425" width="54.33203125" style="3" customWidth="1"/>
    <col min="7426" max="7428" width="21.6640625" style="3" customWidth="1"/>
    <col min="7429" max="7680" width="9.109375" style="3"/>
    <col min="7681" max="7681" width="54.33203125" style="3" customWidth="1"/>
    <col min="7682" max="7684" width="21.6640625" style="3" customWidth="1"/>
    <col min="7685" max="7936" width="9.109375" style="3"/>
    <col min="7937" max="7937" width="54.33203125" style="3" customWidth="1"/>
    <col min="7938" max="7940" width="21.6640625" style="3" customWidth="1"/>
    <col min="7941" max="8192" width="9.109375" style="3"/>
    <col min="8193" max="8193" width="54.33203125" style="3" customWidth="1"/>
    <col min="8194" max="8196" width="21.6640625" style="3" customWidth="1"/>
    <col min="8197" max="8448" width="9.109375" style="3"/>
    <col min="8449" max="8449" width="54.33203125" style="3" customWidth="1"/>
    <col min="8450" max="8452" width="21.6640625" style="3" customWidth="1"/>
    <col min="8453" max="8704" width="9.109375" style="3"/>
    <col min="8705" max="8705" width="54.33203125" style="3" customWidth="1"/>
    <col min="8706" max="8708" width="21.6640625" style="3" customWidth="1"/>
    <col min="8709" max="8960" width="9.109375" style="3"/>
    <col min="8961" max="8961" width="54.33203125" style="3" customWidth="1"/>
    <col min="8962" max="8964" width="21.6640625" style="3" customWidth="1"/>
    <col min="8965" max="9216" width="9.109375" style="3"/>
    <col min="9217" max="9217" width="54.33203125" style="3" customWidth="1"/>
    <col min="9218" max="9220" width="21.6640625" style="3" customWidth="1"/>
    <col min="9221" max="9472" width="9.109375" style="3"/>
    <col min="9473" max="9473" width="54.33203125" style="3" customWidth="1"/>
    <col min="9474" max="9476" width="21.6640625" style="3" customWidth="1"/>
    <col min="9477" max="9728" width="9.109375" style="3"/>
    <col min="9729" max="9729" width="54.33203125" style="3" customWidth="1"/>
    <col min="9730" max="9732" width="21.6640625" style="3" customWidth="1"/>
    <col min="9733" max="9984" width="9.109375" style="3"/>
    <col min="9985" max="9985" width="54.33203125" style="3" customWidth="1"/>
    <col min="9986" max="9988" width="21.6640625" style="3" customWidth="1"/>
    <col min="9989" max="10240" width="9.109375" style="3"/>
    <col min="10241" max="10241" width="54.33203125" style="3" customWidth="1"/>
    <col min="10242" max="10244" width="21.6640625" style="3" customWidth="1"/>
    <col min="10245" max="10496" width="9.109375" style="3"/>
    <col min="10497" max="10497" width="54.33203125" style="3" customWidth="1"/>
    <col min="10498" max="10500" width="21.6640625" style="3" customWidth="1"/>
    <col min="10501" max="10752" width="9.109375" style="3"/>
    <col min="10753" max="10753" width="54.33203125" style="3" customWidth="1"/>
    <col min="10754" max="10756" width="21.6640625" style="3" customWidth="1"/>
    <col min="10757" max="11008" width="9.109375" style="3"/>
    <col min="11009" max="11009" width="54.33203125" style="3" customWidth="1"/>
    <col min="11010" max="11012" width="21.6640625" style="3" customWidth="1"/>
    <col min="11013" max="11264" width="9.109375" style="3"/>
    <col min="11265" max="11265" width="54.33203125" style="3" customWidth="1"/>
    <col min="11266" max="11268" width="21.6640625" style="3" customWidth="1"/>
    <col min="11269" max="11520" width="9.109375" style="3"/>
    <col min="11521" max="11521" width="54.33203125" style="3" customWidth="1"/>
    <col min="11522" max="11524" width="21.6640625" style="3" customWidth="1"/>
    <col min="11525" max="11776" width="9.109375" style="3"/>
    <col min="11777" max="11777" width="54.33203125" style="3" customWidth="1"/>
    <col min="11778" max="11780" width="21.6640625" style="3" customWidth="1"/>
    <col min="11781" max="12032" width="9.109375" style="3"/>
    <col min="12033" max="12033" width="54.33203125" style="3" customWidth="1"/>
    <col min="12034" max="12036" width="21.6640625" style="3" customWidth="1"/>
    <col min="12037" max="12288" width="9.109375" style="3"/>
    <col min="12289" max="12289" width="54.33203125" style="3" customWidth="1"/>
    <col min="12290" max="12292" width="21.6640625" style="3" customWidth="1"/>
    <col min="12293" max="12544" width="9.109375" style="3"/>
    <col min="12545" max="12545" width="54.33203125" style="3" customWidth="1"/>
    <col min="12546" max="12548" width="21.6640625" style="3" customWidth="1"/>
    <col min="12549" max="12800" width="9.109375" style="3"/>
    <col min="12801" max="12801" width="54.33203125" style="3" customWidth="1"/>
    <col min="12802" max="12804" width="21.6640625" style="3" customWidth="1"/>
    <col min="12805" max="13056" width="9.109375" style="3"/>
    <col min="13057" max="13057" width="54.33203125" style="3" customWidth="1"/>
    <col min="13058" max="13060" width="21.6640625" style="3" customWidth="1"/>
    <col min="13061" max="13312" width="9.109375" style="3"/>
    <col min="13313" max="13313" width="54.33203125" style="3" customWidth="1"/>
    <col min="13314" max="13316" width="21.6640625" style="3" customWidth="1"/>
    <col min="13317" max="13568" width="9.109375" style="3"/>
    <col min="13569" max="13569" width="54.33203125" style="3" customWidth="1"/>
    <col min="13570" max="13572" width="21.6640625" style="3" customWidth="1"/>
    <col min="13573" max="13824" width="9.109375" style="3"/>
    <col min="13825" max="13825" width="54.33203125" style="3" customWidth="1"/>
    <col min="13826" max="13828" width="21.6640625" style="3" customWidth="1"/>
    <col min="13829" max="14080" width="9.109375" style="3"/>
    <col min="14081" max="14081" width="54.33203125" style="3" customWidth="1"/>
    <col min="14082" max="14084" width="21.6640625" style="3" customWidth="1"/>
    <col min="14085" max="14336" width="9.109375" style="3"/>
    <col min="14337" max="14337" width="54.33203125" style="3" customWidth="1"/>
    <col min="14338" max="14340" width="21.6640625" style="3" customWidth="1"/>
    <col min="14341" max="14592" width="9.109375" style="3"/>
    <col min="14593" max="14593" width="54.33203125" style="3" customWidth="1"/>
    <col min="14594" max="14596" width="21.6640625" style="3" customWidth="1"/>
    <col min="14597" max="14848" width="9.109375" style="3"/>
    <col min="14849" max="14849" width="54.33203125" style="3" customWidth="1"/>
    <col min="14850" max="14852" width="21.6640625" style="3" customWidth="1"/>
    <col min="14853" max="15104" width="9.109375" style="3"/>
    <col min="15105" max="15105" width="54.33203125" style="3" customWidth="1"/>
    <col min="15106" max="15108" width="21.6640625" style="3" customWidth="1"/>
    <col min="15109" max="15360" width="9.109375" style="3"/>
    <col min="15361" max="15361" width="54.33203125" style="3" customWidth="1"/>
    <col min="15362" max="15364" width="21.6640625" style="3" customWidth="1"/>
    <col min="15365" max="15616" width="9.109375" style="3"/>
    <col min="15617" max="15617" width="54.33203125" style="3" customWidth="1"/>
    <col min="15618" max="15620" width="21.6640625" style="3" customWidth="1"/>
    <col min="15621" max="15872" width="9.109375" style="3"/>
    <col min="15873" max="15873" width="54.33203125" style="3" customWidth="1"/>
    <col min="15874" max="15876" width="21.6640625" style="3" customWidth="1"/>
    <col min="15877" max="16128" width="9.109375" style="3"/>
    <col min="16129" max="16129" width="54.33203125" style="3" customWidth="1"/>
    <col min="16130" max="16132" width="21.6640625" style="3" customWidth="1"/>
    <col min="16133" max="16384" width="9.109375" style="3"/>
  </cols>
  <sheetData>
    <row r="1" spans="1:3" x14ac:dyDescent="0.25">
      <c r="A1" s="3" t="s">
        <v>112</v>
      </c>
    </row>
    <row r="3" spans="1:3" x14ac:dyDescent="0.25">
      <c r="B3" s="4">
        <v>38717</v>
      </c>
      <c r="C3" s="4">
        <v>38352</v>
      </c>
    </row>
    <row r="4" spans="1:3" x14ac:dyDescent="0.25">
      <c r="A4" s="3" t="s">
        <v>113</v>
      </c>
    </row>
    <row r="5" spans="1:3" x14ac:dyDescent="0.25">
      <c r="A5" s="3" t="s">
        <v>114</v>
      </c>
      <c r="B5" s="5">
        <v>316000000</v>
      </c>
      <c r="C5" s="5">
        <v>282000000</v>
      </c>
    </row>
    <row r="6" spans="1:3" x14ac:dyDescent="0.25">
      <c r="A6" s="3" t="s">
        <v>115</v>
      </c>
      <c r="B6" s="5">
        <v>3385000000</v>
      </c>
      <c r="C6" s="5">
        <v>3541000000</v>
      </c>
    </row>
    <row r="7" spans="1:3" x14ac:dyDescent="0.25">
      <c r="A7" s="3" t="s">
        <v>116</v>
      </c>
    </row>
    <row r="8" spans="1:3" x14ac:dyDescent="0.25">
      <c r="A8" s="3" t="s">
        <v>117</v>
      </c>
    </row>
    <row r="9" spans="1:3" x14ac:dyDescent="0.25">
      <c r="A9" s="3" t="s">
        <v>118</v>
      </c>
      <c r="B9" s="5">
        <v>1363000000</v>
      </c>
      <c r="C9" s="5">
        <v>1367000000</v>
      </c>
    </row>
    <row r="10" spans="1:3" x14ac:dyDescent="0.25">
      <c r="A10" s="3" t="s">
        <v>119</v>
      </c>
      <c r="B10" s="5">
        <v>1980000000</v>
      </c>
      <c r="C10" s="5">
        <v>2080000000</v>
      </c>
    </row>
    <row r="11" spans="1:3" x14ac:dyDescent="0.25">
      <c r="A11" s="3" t="s">
        <v>120</v>
      </c>
      <c r="B11" s="5">
        <v>3343000000</v>
      </c>
      <c r="C11" s="5">
        <v>3447000000</v>
      </c>
    </row>
    <row r="12" spans="1:3" x14ac:dyDescent="0.25">
      <c r="A12" s="3" t="s">
        <v>121</v>
      </c>
      <c r="B12" s="5">
        <v>879000000</v>
      </c>
      <c r="C12" s="5">
        <v>749000000</v>
      </c>
    </row>
    <row r="13" spans="1:3" x14ac:dyDescent="0.25">
      <c r="A13" s="3" t="s">
        <v>122</v>
      </c>
      <c r="C13" s="5">
        <v>1458000000</v>
      </c>
    </row>
    <row r="14" spans="1:3" x14ac:dyDescent="0.25">
      <c r="A14" s="3" t="s">
        <v>123</v>
      </c>
      <c r="B14" s="5">
        <v>230000000</v>
      </c>
      <c r="C14" s="5">
        <v>245000000</v>
      </c>
    </row>
    <row r="15" spans="1:3" x14ac:dyDescent="0.25">
      <c r="A15" s="3" t="s">
        <v>124</v>
      </c>
      <c r="B15" s="5">
        <v>8153000000</v>
      </c>
      <c r="C15" s="5">
        <v>9722000000</v>
      </c>
    </row>
    <row r="16" spans="1:3" x14ac:dyDescent="0.25">
      <c r="A16" s="3" t="s">
        <v>125</v>
      </c>
    </row>
    <row r="17" spans="1:3" x14ac:dyDescent="0.25">
      <c r="A17" s="3" t="s">
        <v>126</v>
      </c>
      <c r="B17" s="5">
        <v>388000000</v>
      </c>
      <c r="C17" s="5">
        <v>400000000</v>
      </c>
    </row>
    <row r="18" spans="1:3" x14ac:dyDescent="0.25">
      <c r="A18" s="3" t="s">
        <v>127</v>
      </c>
      <c r="B18" s="5">
        <v>3551000000</v>
      </c>
      <c r="C18" s="5">
        <v>3545000000</v>
      </c>
    </row>
    <row r="19" spans="1:3" x14ac:dyDescent="0.25">
      <c r="A19" s="3" t="s">
        <v>128</v>
      </c>
      <c r="B19" s="5">
        <v>12008000000</v>
      </c>
      <c r="C19" s="5">
        <v>11892000000</v>
      </c>
    </row>
    <row r="20" spans="1:3" x14ac:dyDescent="0.25">
      <c r="A20" s="3" t="s">
        <v>129</v>
      </c>
      <c r="B20" s="5">
        <v>651000000</v>
      </c>
      <c r="C20" s="5">
        <v>646000000</v>
      </c>
    </row>
    <row r="21" spans="1:3" x14ac:dyDescent="0.25">
      <c r="A21" s="3" t="s">
        <v>120</v>
      </c>
      <c r="B21" s="5">
        <v>16598000000</v>
      </c>
      <c r="C21" s="5">
        <v>16483000000</v>
      </c>
    </row>
    <row r="22" spans="1:3" x14ac:dyDescent="0.25">
      <c r="A22" s="3" t="s">
        <v>130</v>
      </c>
      <c r="B22" s="5">
        <v>6781000000</v>
      </c>
      <c r="C22" s="5">
        <v>6498000000</v>
      </c>
    </row>
    <row r="23" spans="1:3" x14ac:dyDescent="0.25">
      <c r="A23" s="3" t="s">
        <v>120</v>
      </c>
      <c r="B23" s="5">
        <v>9817000000</v>
      </c>
      <c r="C23" s="5">
        <v>9985000000</v>
      </c>
    </row>
    <row r="24" spans="1:3" x14ac:dyDescent="0.25">
      <c r="A24" s="3" t="s">
        <v>131</v>
      </c>
      <c r="B24" s="5">
        <v>24648000000</v>
      </c>
      <c r="C24" s="5">
        <v>25177000000</v>
      </c>
    </row>
    <row r="25" spans="1:3" x14ac:dyDescent="0.25">
      <c r="A25" s="3" t="s">
        <v>132</v>
      </c>
      <c r="B25" s="5">
        <v>10516000000</v>
      </c>
      <c r="C25" s="5">
        <v>10634000000</v>
      </c>
    </row>
    <row r="26" spans="1:3" x14ac:dyDescent="0.25">
      <c r="A26" s="3" t="s">
        <v>133</v>
      </c>
      <c r="B26" s="5">
        <v>3617000000</v>
      </c>
      <c r="C26" s="5">
        <v>3569000000</v>
      </c>
    </row>
    <row r="27" spans="1:3" x14ac:dyDescent="0.25">
      <c r="A27" s="3" t="s">
        <v>134</v>
      </c>
      <c r="B27" s="5">
        <v>877000000</v>
      </c>
      <c r="C27" s="5">
        <v>841000000</v>
      </c>
    </row>
    <row r="28" spans="1:3" x14ac:dyDescent="0.25">
      <c r="A28" s="3" t="s">
        <v>135</v>
      </c>
      <c r="B28" s="5">
        <v>57628000000</v>
      </c>
      <c r="C28" s="5">
        <v>59928000000</v>
      </c>
    </row>
    <row r="29" spans="1:3" x14ac:dyDescent="0.25">
      <c r="A29" s="3" t="s">
        <v>136</v>
      </c>
    </row>
    <row r="30" spans="1:3" x14ac:dyDescent="0.25">
      <c r="A30" s="3" t="s">
        <v>137</v>
      </c>
      <c r="B30" s="5">
        <v>805000000</v>
      </c>
      <c r="C30" s="5">
        <v>1818000000</v>
      </c>
    </row>
    <row r="31" spans="1:3" x14ac:dyDescent="0.25">
      <c r="A31" s="3" t="s">
        <v>138</v>
      </c>
      <c r="B31" s="5">
        <v>1268000000</v>
      </c>
      <c r="C31" s="5">
        <v>750000000</v>
      </c>
    </row>
    <row r="32" spans="1:3" x14ac:dyDescent="0.25">
      <c r="A32" s="3" t="s">
        <v>139</v>
      </c>
      <c r="B32" s="5">
        <v>652000000</v>
      </c>
      <c r="C32" s="5">
        <v>227000000</v>
      </c>
    </row>
    <row r="33" spans="1:3" x14ac:dyDescent="0.25">
      <c r="A33" s="3" t="s">
        <v>140</v>
      </c>
      <c r="B33" s="5">
        <v>2270000000</v>
      </c>
      <c r="C33" s="5">
        <v>2207000000</v>
      </c>
    </row>
    <row r="34" spans="1:3" x14ac:dyDescent="0.25">
      <c r="A34" s="3" t="s">
        <v>141</v>
      </c>
    </row>
    <row r="35" spans="1:3" x14ac:dyDescent="0.25">
      <c r="A35" s="3" t="s">
        <v>142</v>
      </c>
      <c r="B35" s="5">
        <v>1529000000</v>
      </c>
      <c r="C35" s="5">
        <v>1637000000</v>
      </c>
    </row>
    <row r="36" spans="1:3" x14ac:dyDescent="0.25">
      <c r="A36" s="3" t="s">
        <v>143</v>
      </c>
      <c r="B36" s="5">
        <v>625000000</v>
      </c>
      <c r="C36" s="5">
        <v>732000000</v>
      </c>
    </row>
    <row r="37" spans="1:3" x14ac:dyDescent="0.25">
      <c r="A37" s="3" t="s">
        <v>144</v>
      </c>
      <c r="B37" s="5">
        <v>1338000000</v>
      </c>
      <c r="C37" s="5">
        <v>1537000000</v>
      </c>
    </row>
    <row r="38" spans="1:3" x14ac:dyDescent="0.25">
      <c r="A38" s="3" t="s">
        <v>145</v>
      </c>
      <c r="B38" s="5">
        <v>237000000</v>
      </c>
      <c r="C38" s="5">
        <v>170000000</v>
      </c>
    </row>
    <row r="39" spans="1:3" x14ac:dyDescent="0.25">
      <c r="A39" s="3" t="s">
        <v>146</v>
      </c>
      <c r="B39" s="5">
        <v>8724000000</v>
      </c>
      <c r="C39" s="5">
        <v>9078000000</v>
      </c>
    </row>
    <row r="40" spans="1:3" x14ac:dyDescent="0.25">
      <c r="A40" s="3" t="s">
        <v>147</v>
      </c>
      <c r="B40" s="5">
        <v>8475000000</v>
      </c>
      <c r="C40" s="5">
        <v>9723000000</v>
      </c>
    </row>
    <row r="41" spans="1:3" x14ac:dyDescent="0.25">
      <c r="A41" s="3" t="s">
        <v>121</v>
      </c>
      <c r="B41" s="5">
        <v>6067000000</v>
      </c>
      <c r="C41" s="5">
        <v>6468000000</v>
      </c>
    </row>
    <row r="42" spans="1:3" x14ac:dyDescent="0.25">
      <c r="A42" s="3" t="s">
        <v>148</v>
      </c>
      <c r="B42" s="5">
        <v>1931000000</v>
      </c>
      <c r="C42" s="5">
        <v>1887000000</v>
      </c>
    </row>
    <row r="43" spans="1:3" x14ac:dyDescent="0.25">
      <c r="A43" s="3" t="s">
        <v>149</v>
      </c>
      <c r="B43" s="5">
        <v>2838000000</v>
      </c>
      <c r="C43" s="5">
        <v>2861000000</v>
      </c>
    </row>
    <row r="44" spans="1:3" x14ac:dyDescent="0.25">
      <c r="A44" s="3" t="s">
        <v>150</v>
      </c>
      <c r="B44" s="5">
        <v>28035000000</v>
      </c>
      <c r="C44" s="5">
        <v>30017000000</v>
      </c>
    </row>
    <row r="45" spans="1:3" x14ac:dyDescent="0.25">
      <c r="A45" s="3" t="s">
        <v>151</v>
      </c>
    </row>
    <row r="46" spans="1:3" x14ac:dyDescent="0.25">
      <c r="A46" s="3" t="s">
        <v>152</v>
      </c>
    </row>
    <row r="47" spans="1:3" x14ac:dyDescent="0.25">
      <c r="A47" s="3" t="s">
        <v>153</v>
      </c>
    </row>
    <row r="48" spans="1:3" x14ac:dyDescent="0.25">
      <c r="A48" s="3" t="s">
        <v>154</v>
      </c>
    </row>
    <row r="49" spans="1:4" x14ac:dyDescent="0.25">
      <c r="A49" s="3" t="s">
        <v>155</v>
      </c>
    </row>
    <row r="50" spans="1:4" x14ac:dyDescent="0.25">
      <c r="A50" s="3" t="s">
        <v>156</v>
      </c>
    </row>
    <row r="51" spans="1:4" x14ac:dyDescent="0.25">
      <c r="A51" s="3" t="s">
        <v>157</v>
      </c>
      <c r="B51" s="5">
        <v>23835000000</v>
      </c>
      <c r="C51" s="5">
        <v>23762000000</v>
      </c>
    </row>
    <row r="52" spans="1:4" x14ac:dyDescent="0.25">
      <c r="A52" s="3" t="s">
        <v>158</v>
      </c>
      <c r="B52" s="5">
        <v>9453000000</v>
      </c>
      <c r="C52" s="5">
        <v>8304000000</v>
      </c>
    </row>
    <row r="53" spans="1:4" x14ac:dyDescent="0.25">
      <c r="A53" s="3" t="s">
        <v>159</v>
      </c>
      <c r="B53" s="5">
        <v>-1663000000</v>
      </c>
      <c r="C53" s="5">
        <v>-1205000000</v>
      </c>
    </row>
    <row r="54" spans="1:4" x14ac:dyDescent="0.25">
      <c r="A54" s="3" t="s">
        <v>160</v>
      </c>
    </row>
    <row r="55" spans="1:4" x14ac:dyDescent="0.25">
      <c r="A55" s="3" t="s">
        <v>120</v>
      </c>
      <c r="B55" s="5">
        <v>31625000000</v>
      </c>
      <c r="C55" s="5">
        <v>30861000000</v>
      </c>
    </row>
    <row r="56" spans="1:4" x14ac:dyDescent="0.25">
      <c r="A56" s="3" t="s">
        <v>161</v>
      </c>
      <c r="B56" s="5">
        <v>-2032000000</v>
      </c>
      <c r="C56" s="5">
        <v>-950000000</v>
      </c>
    </row>
    <row r="57" spans="1:4" x14ac:dyDescent="0.25">
      <c r="A57" s="3" t="s">
        <v>162</v>
      </c>
    </row>
    <row r="58" spans="1:4" x14ac:dyDescent="0.25">
      <c r="A58" s="3" t="s">
        <v>163</v>
      </c>
      <c r="B58" s="5">
        <v>29593000000</v>
      </c>
      <c r="C58" s="5">
        <v>29911000000</v>
      </c>
    </row>
    <row r="59" spans="1:4" x14ac:dyDescent="0.25">
      <c r="A59" s="3" t="s">
        <v>164</v>
      </c>
      <c r="B59" s="5">
        <v>57628000000</v>
      </c>
      <c r="C59" s="5">
        <v>59928000000</v>
      </c>
    </row>
    <row r="63" spans="1:4" x14ac:dyDescent="0.25">
      <c r="B63" s="4">
        <v>38717</v>
      </c>
      <c r="C63" s="4">
        <v>38352</v>
      </c>
      <c r="D63" s="4">
        <v>37986</v>
      </c>
    </row>
    <row r="64" spans="1:4" x14ac:dyDescent="0.25">
      <c r="A64" s="3" t="s">
        <v>165</v>
      </c>
      <c r="B64" s="5">
        <v>34113000000</v>
      </c>
      <c r="C64" s="5">
        <v>32168000000</v>
      </c>
      <c r="D64" s="5">
        <v>30498000000</v>
      </c>
    </row>
    <row r="65" spans="1:4" x14ac:dyDescent="0.25">
      <c r="A65" s="3" t="s">
        <v>166</v>
      </c>
      <c r="B65" s="5">
        <v>21845000000</v>
      </c>
      <c r="C65" s="5">
        <v>20281000000</v>
      </c>
      <c r="D65" s="5">
        <v>18531000000</v>
      </c>
    </row>
    <row r="66" spans="1:4" x14ac:dyDescent="0.25">
      <c r="A66" s="3" t="s">
        <v>167</v>
      </c>
      <c r="B66" s="5">
        <v>12268000000</v>
      </c>
      <c r="C66" s="5">
        <v>11887000000</v>
      </c>
      <c r="D66" s="5">
        <v>11967000000</v>
      </c>
    </row>
    <row r="67" spans="1:4" x14ac:dyDescent="0.25">
      <c r="A67" s="3" t="s">
        <v>168</v>
      </c>
      <c r="B67" s="5">
        <v>7135000000</v>
      </c>
      <c r="C67" s="5">
        <v>6658000000</v>
      </c>
      <c r="D67" s="5">
        <v>6123000000</v>
      </c>
    </row>
    <row r="68" spans="1:4" x14ac:dyDescent="0.25">
      <c r="A68" s="3" t="s">
        <v>169</v>
      </c>
      <c r="B68" s="5">
        <v>479000000</v>
      </c>
      <c r="C68" s="5">
        <v>603000000</v>
      </c>
      <c r="D68" s="5">
        <v>6000000</v>
      </c>
    </row>
    <row r="69" spans="1:4" x14ac:dyDescent="0.25">
      <c r="A69" s="3" t="s">
        <v>170</v>
      </c>
      <c r="B69" s="5">
        <v>-108000000</v>
      </c>
      <c r="C69" s="5">
        <v>3000000</v>
      </c>
      <c r="D69" s="5">
        <v>-31000000</v>
      </c>
    </row>
    <row r="70" spans="1:4" x14ac:dyDescent="0.25">
      <c r="A70" s="3" t="s">
        <v>171</v>
      </c>
      <c r="B70" s="5">
        <v>10000000</v>
      </c>
      <c r="C70" s="5">
        <v>11000000</v>
      </c>
      <c r="D70" s="5">
        <v>9000000</v>
      </c>
    </row>
    <row r="71" spans="1:4" x14ac:dyDescent="0.25">
      <c r="A71" s="3" t="s">
        <v>172</v>
      </c>
      <c r="B71" s="5">
        <v>4752000000</v>
      </c>
      <c r="C71" s="5">
        <v>4612000000</v>
      </c>
      <c r="D71" s="5">
        <v>5860000000</v>
      </c>
    </row>
    <row r="72" spans="1:4" x14ac:dyDescent="0.25">
      <c r="A72" s="3" t="s">
        <v>173</v>
      </c>
      <c r="B72" s="5">
        <v>636000000</v>
      </c>
      <c r="C72" s="5">
        <v>666000000</v>
      </c>
      <c r="D72" s="5">
        <v>665000000</v>
      </c>
    </row>
    <row r="73" spans="1:4" x14ac:dyDescent="0.25">
      <c r="A73" s="3" t="s">
        <v>174</v>
      </c>
      <c r="B73" s="5">
        <v>4116000000</v>
      </c>
      <c r="C73" s="5">
        <v>3946000000</v>
      </c>
      <c r="D73" s="5">
        <v>5195000000</v>
      </c>
    </row>
    <row r="74" spans="1:4" x14ac:dyDescent="0.25">
      <c r="A74" s="3" t="s">
        <v>175</v>
      </c>
    </row>
    <row r="75" spans="1:4" x14ac:dyDescent="0.25">
      <c r="A75" s="3" t="s">
        <v>176</v>
      </c>
      <c r="B75" s="5">
        <v>1209000000</v>
      </c>
      <c r="C75" s="5">
        <v>1274000000</v>
      </c>
      <c r="D75" s="5">
        <v>1812000000</v>
      </c>
    </row>
    <row r="76" spans="1:4" x14ac:dyDescent="0.25">
      <c r="A76" s="3" t="s">
        <v>174</v>
      </c>
      <c r="B76" s="5">
        <v>2907000000</v>
      </c>
      <c r="C76" s="5">
        <v>2672000000</v>
      </c>
      <c r="D76" s="5">
        <v>3383000000</v>
      </c>
    </row>
    <row r="77" spans="1:4" x14ac:dyDescent="0.25">
      <c r="A77" s="3" t="s">
        <v>177</v>
      </c>
    </row>
    <row r="78" spans="1:4" x14ac:dyDescent="0.25">
      <c r="A78" s="3" t="s">
        <v>178</v>
      </c>
      <c r="B78" s="5">
        <v>3000000</v>
      </c>
      <c r="C78" s="5">
        <v>3000000</v>
      </c>
      <c r="D78" s="5">
        <v>4000000</v>
      </c>
    </row>
    <row r="79" spans="1:4" x14ac:dyDescent="0.25">
      <c r="A79" s="3" t="s">
        <v>179</v>
      </c>
    </row>
    <row r="80" spans="1:4" x14ac:dyDescent="0.25">
      <c r="A80" s="3" t="s">
        <v>180</v>
      </c>
      <c r="B80" s="5">
        <v>2904000000</v>
      </c>
      <c r="C80" s="5">
        <v>2669000000</v>
      </c>
      <c r="D80" s="5">
        <v>3379000000</v>
      </c>
    </row>
    <row r="81" spans="1:4" x14ac:dyDescent="0.25">
      <c r="A81" s="3" t="s">
        <v>181</v>
      </c>
      <c r="B81" s="5">
        <v>-272000000</v>
      </c>
      <c r="C81" s="5">
        <v>-4000000</v>
      </c>
      <c r="D81" s="5">
        <v>97000000</v>
      </c>
    </row>
    <row r="82" spans="1:4" x14ac:dyDescent="0.25">
      <c r="A82" s="3" t="s">
        <v>182</v>
      </c>
    </row>
    <row r="83" spans="1:4" x14ac:dyDescent="0.25">
      <c r="A83" s="3" t="s">
        <v>31</v>
      </c>
      <c r="B83" s="5">
        <v>2632000000</v>
      </c>
      <c r="C83" s="5">
        <v>2665000000</v>
      </c>
      <c r="D83" s="5">
        <v>3476000000</v>
      </c>
    </row>
    <row r="84" spans="1:4" x14ac:dyDescent="0.25">
      <c r="A84" s="3" t="s">
        <v>183</v>
      </c>
    </row>
    <row r="85" spans="1:4" x14ac:dyDescent="0.25">
      <c r="A85" s="3" t="s">
        <v>184</v>
      </c>
    </row>
    <row r="86" spans="1:4" x14ac:dyDescent="0.25">
      <c r="A86" s="3" t="s">
        <v>185</v>
      </c>
      <c r="B86" s="5">
        <v>1720000</v>
      </c>
      <c r="C86" s="5">
        <v>1560000</v>
      </c>
      <c r="D86" s="5">
        <v>1950000</v>
      </c>
    </row>
    <row r="87" spans="1:4" x14ac:dyDescent="0.25">
      <c r="A87" s="3" t="s">
        <v>186</v>
      </c>
      <c r="B87" s="5">
        <v>-160000</v>
      </c>
      <c r="D87" s="5">
        <v>60000</v>
      </c>
    </row>
    <row r="88" spans="1:4" x14ac:dyDescent="0.25">
      <c r="A88" s="3" t="s">
        <v>187</v>
      </c>
      <c r="B88" s="5">
        <v>1560000</v>
      </c>
      <c r="C88" s="5">
        <v>1560000</v>
      </c>
      <c r="D88" s="5">
        <v>2010000</v>
      </c>
    </row>
    <row r="89" spans="1:4" x14ac:dyDescent="0.25">
      <c r="A89" s="3" t="s">
        <v>188</v>
      </c>
    </row>
    <row r="90" spans="1:4" x14ac:dyDescent="0.25">
      <c r="A90" s="3" t="s">
        <v>185</v>
      </c>
      <c r="B90" s="5">
        <v>1720000</v>
      </c>
      <c r="C90" s="5">
        <v>1550000</v>
      </c>
      <c r="D90" s="5">
        <v>1950000</v>
      </c>
    </row>
    <row r="91" spans="1:4" x14ac:dyDescent="0.25">
      <c r="A91" s="3" t="s">
        <v>186</v>
      </c>
      <c r="B91" s="5">
        <v>-170000</v>
      </c>
      <c r="D91" s="5">
        <v>60000</v>
      </c>
    </row>
    <row r="92" spans="1:4" x14ac:dyDescent="0.25">
      <c r="A92" s="3" t="s">
        <v>187</v>
      </c>
      <c r="B92" s="5">
        <v>1550000</v>
      </c>
      <c r="C92" s="5">
        <v>1550000</v>
      </c>
      <c r="D92" s="5">
        <v>2010000</v>
      </c>
    </row>
    <row r="96" spans="1:4" x14ac:dyDescent="0.25">
      <c r="B96" s="4">
        <v>38717</v>
      </c>
      <c r="C96" s="4">
        <v>38352</v>
      </c>
      <c r="D96" s="4">
        <v>37986</v>
      </c>
    </row>
    <row r="97" spans="1:4" x14ac:dyDescent="0.25">
      <c r="A97" s="3" t="s">
        <v>27</v>
      </c>
    </row>
    <row r="98" spans="1:4" x14ac:dyDescent="0.25">
      <c r="A98" s="3" t="s">
        <v>29</v>
      </c>
    </row>
    <row r="99" spans="1:4" x14ac:dyDescent="0.25">
      <c r="A99" s="3" t="s">
        <v>31</v>
      </c>
      <c r="B99" s="5">
        <v>2632000000</v>
      </c>
      <c r="C99" s="5">
        <v>2665000000</v>
      </c>
      <c r="D99" s="5">
        <v>3476000000</v>
      </c>
    </row>
    <row r="100" spans="1:4" x14ac:dyDescent="0.25">
      <c r="A100" s="3" t="s">
        <v>32</v>
      </c>
    </row>
    <row r="101" spans="1:4" x14ac:dyDescent="0.25">
      <c r="A101" s="3" t="s">
        <v>33</v>
      </c>
      <c r="B101" s="5">
        <v>879000000</v>
      </c>
      <c r="C101" s="5">
        <v>879000000</v>
      </c>
      <c r="D101" s="5">
        <v>813000000</v>
      </c>
    </row>
    <row r="102" spans="1:4" x14ac:dyDescent="0.25">
      <c r="A102" s="3" t="s">
        <v>35</v>
      </c>
      <c r="B102" s="5">
        <v>-408000000</v>
      </c>
      <c r="C102" s="5">
        <v>41000000</v>
      </c>
      <c r="D102" s="5">
        <v>244000000</v>
      </c>
    </row>
    <row r="103" spans="1:4" x14ac:dyDescent="0.25">
      <c r="A103" s="3" t="s">
        <v>37</v>
      </c>
      <c r="B103" s="5">
        <v>-108000000</v>
      </c>
      <c r="C103" s="5">
        <v>3000000</v>
      </c>
      <c r="D103" s="5">
        <v>-31000000</v>
      </c>
    </row>
    <row r="104" spans="1:4" x14ac:dyDescent="0.25">
      <c r="A104" s="3" t="s">
        <v>39</v>
      </c>
    </row>
    <row r="105" spans="1:4" x14ac:dyDescent="0.25">
      <c r="A105" s="3" t="s">
        <v>41</v>
      </c>
      <c r="B105" s="5">
        <v>-1000000</v>
      </c>
      <c r="C105" s="5">
        <v>-1000000</v>
      </c>
      <c r="D105" s="5">
        <v>-26000000</v>
      </c>
    </row>
    <row r="106" spans="1:4" x14ac:dyDescent="0.25">
      <c r="A106" s="3" t="s">
        <v>43</v>
      </c>
      <c r="B106" s="5">
        <v>32000000</v>
      </c>
    </row>
    <row r="107" spans="1:4" x14ac:dyDescent="0.25">
      <c r="A107" s="3" t="s">
        <v>45</v>
      </c>
      <c r="C107" s="5">
        <v>107000000</v>
      </c>
    </row>
    <row r="108" spans="1:4" x14ac:dyDescent="0.25">
      <c r="A108" s="3" t="s">
        <v>47</v>
      </c>
    </row>
    <row r="109" spans="1:4" x14ac:dyDescent="0.25">
      <c r="A109" s="3" t="s">
        <v>49</v>
      </c>
      <c r="B109" s="5">
        <v>315000000</v>
      </c>
      <c r="C109" s="5">
        <v>493000000</v>
      </c>
      <c r="D109" s="5">
        <v>6000000</v>
      </c>
    </row>
    <row r="110" spans="1:4" x14ac:dyDescent="0.25">
      <c r="A110" s="3" t="s">
        <v>51</v>
      </c>
    </row>
    <row r="111" spans="1:4" x14ac:dyDescent="0.25">
      <c r="A111" s="3" t="s">
        <v>42</v>
      </c>
    </row>
    <row r="112" spans="1:4" x14ac:dyDescent="0.25">
      <c r="A112" s="3" t="s">
        <v>54</v>
      </c>
      <c r="B112" s="5">
        <v>65000000</v>
      </c>
      <c r="C112" s="5">
        <v>23000000</v>
      </c>
      <c r="D112" s="5">
        <v>-45000000</v>
      </c>
    </row>
    <row r="113" spans="1:4" x14ac:dyDescent="0.25">
      <c r="A113" s="3" t="s">
        <v>56</v>
      </c>
      <c r="B113" s="5">
        <v>-42000000</v>
      </c>
      <c r="C113" s="5">
        <v>-65000000</v>
      </c>
      <c r="D113" s="5">
        <v>197000000</v>
      </c>
    </row>
    <row r="114" spans="1:4" x14ac:dyDescent="0.25">
      <c r="A114" s="3" t="s">
        <v>58</v>
      </c>
      <c r="B114" s="5">
        <v>74000000</v>
      </c>
      <c r="C114" s="5">
        <v>152000000</v>
      </c>
      <c r="D114" s="5">
        <v>-116000000</v>
      </c>
    </row>
    <row r="115" spans="1:4" x14ac:dyDescent="0.25">
      <c r="A115" s="3" t="s">
        <v>60</v>
      </c>
      <c r="B115" s="5">
        <v>-33000000</v>
      </c>
      <c r="C115" s="5">
        <v>-251000000</v>
      </c>
      <c r="D115" s="5">
        <v>-125000000</v>
      </c>
    </row>
    <row r="116" spans="1:4" x14ac:dyDescent="0.25">
      <c r="A116" s="3" t="s">
        <v>62</v>
      </c>
      <c r="B116" s="5">
        <v>273000000</v>
      </c>
      <c r="C116" s="5">
        <v>74000000</v>
      </c>
      <c r="D116" s="5">
        <v>169000000</v>
      </c>
    </row>
    <row r="117" spans="1:4" x14ac:dyDescent="0.25">
      <c r="A117" s="3" t="s">
        <v>64</v>
      </c>
    </row>
    <row r="118" spans="1:4" x14ac:dyDescent="0.25">
      <c r="A118" s="3" t="s">
        <v>66</v>
      </c>
      <c r="B118" s="5">
        <v>-432000000</v>
      </c>
      <c r="C118" s="5">
        <v>90000000</v>
      </c>
      <c r="D118" s="5">
        <v>-167000000</v>
      </c>
    </row>
    <row r="119" spans="1:4" x14ac:dyDescent="0.25">
      <c r="A119" s="3" t="s">
        <v>68</v>
      </c>
      <c r="B119" s="5">
        <v>-10000000</v>
      </c>
      <c r="C119" s="5">
        <v>-436000000</v>
      </c>
      <c r="D119" s="5">
        <v>-419000000</v>
      </c>
    </row>
    <row r="120" spans="1:4" x14ac:dyDescent="0.25">
      <c r="A120" s="3" t="s">
        <v>70</v>
      </c>
    </row>
    <row r="121" spans="1:4" x14ac:dyDescent="0.25">
      <c r="A121" s="3" t="s">
        <v>57</v>
      </c>
      <c r="B121" s="5">
        <v>228000000</v>
      </c>
      <c r="C121" s="5">
        <v>234000000</v>
      </c>
      <c r="D121" s="5">
        <v>143000000</v>
      </c>
    </row>
    <row r="122" spans="1:4" x14ac:dyDescent="0.25">
      <c r="A122" s="3" t="s">
        <v>73</v>
      </c>
      <c r="B122" s="5">
        <v>3464000000</v>
      </c>
      <c r="C122" s="5">
        <v>4008000000</v>
      </c>
      <c r="D122" s="5">
        <v>4119000000</v>
      </c>
    </row>
    <row r="123" spans="1:4" x14ac:dyDescent="0.25">
      <c r="A123" s="3" t="s">
        <v>75</v>
      </c>
    </row>
    <row r="124" spans="1:4" x14ac:dyDescent="0.25">
      <c r="A124" s="3" t="s">
        <v>77</v>
      </c>
    </row>
    <row r="125" spans="1:4" x14ac:dyDescent="0.25">
      <c r="A125" s="3" t="s">
        <v>29</v>
      </c>
    </row>
    <row r="126" spans="1:4" x14ac:dyDescent="0.25">
      <c r="A126" s="3" t="s">
        <v>63</v>
      </c>
      <c r="B126" s="5">
        <v>-1171000000</v>
      </c>
      <c r="C126" s="5">
        <v>-1006000000</v>
      </c>
      <c r="D126" s="5">
        <v>-1085000000</v>
      </c>
    </row>
    <row r="127" spans="1:4" x14ac:dyDescent="0.25">
      <c r="A127" s="3" t="s">
        <v>81</v>
      </c>
      <c r="C127" s="5">
        <v>-137000000</v>
      </c>
      <c r="D127" s="5">
        <v>-98000000</v>
      </c>
    </row>
    <row r="128" spans="1:4" x14ac:dyDescent="0.25">
      <c r="A128" s="3" t="s">
        <v>83</v>
      </c>
    </row>
    <row r="129" spans="1:4" x14ac:dyDescent="0.25">
      <c r="A129" s="3" t="s">
        <v>67</v>
      </c>
      <c r="B129" s="5">
        <v>1668000000</v>
      </c>
      <c r="C129" s="5">
        <v>18000000</v>
      </c>
      <c r="D129" s="5">
        <v>96000000</v>
      </c>
    </row>
    <row r="130" spans="1:4" x14ac:dyDescent="0.25">
      <c r="A130" s="3" t="s">
        <v>69</v>
      </c>
      <c r="B130" s="5">
        <v>28000000</v>
      </c>
      <c r="C130" s="5">
        <v>69000000</v>
      </c>
      <c r="D130" s="5">
        <v>38000000</v>
      </c>
    </row>
    <row r="131" spans="1:4" x14ac:dyDescent="0.25">
      <c r="A131" s="3" t="s">
        <v>86</v>
      </c>
      <c r="B131" s="5">
        <v>525000000</v>
      </c>
      <c r="C131" s="5">
        <v>-1056000000</v>
      </c>
      <c r="D131" s="5">
        <v>-1049000000</v>
      </c>
    </row>
    <row r="132" spans="1:4" x14ac:dyDescent="0.25">
      <c r="A132" s="3" t="s">
        <v>88</v>
      </c>
    </row>
    <row r="133" spans="1:4" x14ac:dyDescent="0.25">
      <c r="A133" s="3" t="s">
        <v>90</v>
      </c>
    </row>
    <row r="134" spans="1:4" x14ac:dyDescent="0.25">
      <c r="A134" s="3" t="s">
        <v>29</v>
      </c>
    </row>
    <row r="135" spans="1:4" x14ac:dyDescent="0.25">
      <c r="A135" s="3" t="s">
        <v>93</v>
      </c>
      <c r="B135" s="5">
        <v>-1005000000</v>
      </c>
      <c r="C135" s="5">
        <v>-635000000</v>
      </c>
      <c r="D135" s="5">
        <v>819000000</v>
      </c>
    </row>
    <row r="136" spans="1:4" x14ac:dyDescent="0.25">
      <c r="A136" s="3" t="s">
        <v>95</v>
      </c>
    </row>
    <row r="137" spans="1:4" x14ac:dyDescent="0.25">
      <c r="A137" s="3" t="s">
        <v>76</v>
      </c>
      <c r="B137" s="5">
        <v>69000000</v>
      </c>
      <c r="C137" s="5">
        <v>832000000</v>
      </c>
      <c r="D137" s="5">
        <v>1577000000</v>
      </c>
    </row>
    <row r="138" spans="1:4" x14ac:dyDescent="0.25">
      <c r="A138" s="3" t="s">
        <v>78</v>
      </c>
      <c r="B138" s="5">
        <v>-775000000</v>
      </c>
      <c r="C138" s="5">
        <v>-842000000</v>
      </c>
      <c r="D138" s="5">
        <v>-491000000</v>
      </c>
    </row>
    <row r="139" spans="1:4" x14ac:dyDescent="0.25">
      <c r="A139" s="3" t="s">
        <v>99</v>
      </c>
      <c r="D139" s="5">
        <v>-2757000000</v>
      </c>
    </row>
    <row r="140" spans="1:4" x14ac:dyDescent="0.25">
      <c r="A140" s="3" t="s">
        <v>101</v>
      </c>
    </row>
    <row r="141" spans="1:4" x14ac:dyDescent="0.25">
      <c r="A141" s="3" t="s">
        <v>102</v>
      </c>
      <c r="B141" s="5">
        <v>107000000</v>
      </c>
      <c r="C141" s="5">
        <v>-585000000</v>
      </c>
      <c r="D141" s="5">
        <v>-525000000</v>
      </c>
    </row>
    <row r="142" spans="1:4" x14ac:dyDescent="0.25">
      <c r="A142" s="3" t="s">
        <v>103</v>
      </c>
    </row>
    <row r="143" spans="1:4" x14ac:dyDescent="0.25">
      <c r="A143" s="3" t="s">
        <v>82</v>
      </c>
      <c r="B143" s="5">
        <v>-1175000000</v>
      </c>
      <c r="C143" s="5">
        <v>-688000000</v>
      </c>
      <c r="D143" s="5">
        <v>-372000000</v>
      </c>
    </row>
    <row r="144" spans="1:4" x14ac:dyDescent="0.25">
      <c r="A144" s="3" t="s">
        <v>84</v>
      </c>
      <c r="B144" s="5">
        <v>-1437000000</v>
      </c>
      <c r="C144" s="5">
        <v>-1280000000</v>
      </c>
      <c r="D144" s="5">
        <v>-1089000000</v>
      </c>
    </row>
    <row r="145" spans="1:4" x14ac:dyDescent="0.25">
      <c r="A145" s="3" t="s">
        <v>69</v>
      </c>
      <c r="B145" s="5">
        <v>265000000</v>
      </c>
      <c r="C145" s="5">
        <v>-20000000</v>
      </c>
      <c r="D145" s="5">
        <v>52000000</v>
      </c>
    </row>
    <row r="146" spans="1:4" x14ac:dyDescent="0.25">
      <c r="A146" s="3" t="s">
        <v>104</v>
      </c>
      <c r="B146" s="5">
        <v>-3951000000</v>
      </c>
      <c r="C146" s="5">
        <v>-3218000000</v>
      </c>
      <c r="D146" s="5">
        <v>-2786000000</v>
      </c>
    </row>
    <row r="147" spans="1:4" x14ac:dyDescent="0.25">
      <c r="A147" s="3" t="s">
        <v>105</v>
      </c>
      <c r="B147" s="5">
        <v>-4000000</v>
      </c>
      <c r="C147" s="5">
        <v>34000000</v>
      </c>
      <c r="D147" s="5">
        <v>15000000</v>
      </c>
    </row>
    <row r="148" spans="1:4" x14ac:dyDescent="0.25">
      <c r="A148" s="3" t="s">
        <v>106</v>
      </c>
    </row>
    <row r="149" spans="1:4" x14ac:dyDescent="0.25">
      <c r="A149" s="3" t="s">
        <v>91</v>
      </c>
    </row>
    <row r="150" spans="1:4" x14ac:dyDescent="0.25">
      <c r="A150" s="3" t="s">
        <v>107</v>
      </c>
      <c r="B150" s="5">
        <v>34000000</v>
      </c>
      <c r="C150" s="5">
        <v>-232000000</v>
      </c>
      <c r="D150" s="5">
        <v>299000000</v>
      </c>
    </row>
    <row r="151" spans="1:4" x14ac:dyDescent="0.25">
      <c r="A151" s="3" t="s">
        <v>108</v>
      </c>
      <c r="B151" s="5">
        <v>282000000</v>
      </c>
      <c r="C151" s="5">
        <v>514000000</v>
      </c>
      <c r="D151" s="5">
        <v>215000000</v>
      </c>
    </row>
    <row r="152" spans="1:4" x14ac:dyDescent="0.25">
      <c r="A152" s="3" t="s">
        <v>109</v>
      </c>
      <c r="B152" s="5">
        <v>316000000</v>
      </c>
      <c r="C152" s="5">
        <v>282000000</v>
      </c>
      <c r="D152" s="5">
        <v>514000000</v>
      </c>
    </row>
    <row r="153" spans="1:4" x14ac:dyDescent="0.25">
      <c r="A153" s="3" t="s">
        <v>97</v>
      </c>
    </row>
    <row r="154" spans="1:4" x14ac:dyDescent="0.25">
      <c r="A154" s="3" t="s">
        <v>110</v>
      </c>
      <c r="B154" s="5">
        <v>679000000</v>
      </c>
      <c r="C154" s="5">
        <v>633000000</v>
      </c>
      <c r="D154" s="5">
        <v>642000000</v>
      </c>
    </row>
    <row r="155" spans="1:4" x14ac:dyDescent="0.25">
      <c r="A155" s="3" t="s">
        <v>111</v>
      </c>
      <c r="B155" s="5">
        <v>1957000000</v>
      </c>
      <c r="C155" s="5">
        <v>1610000000</v>
      </c>
      <c r="D155" s="5">
        <v>1726000000</v>
      </c>
    </row>
    <row r="157" spans="1:4" x14ac:dyDescent="0.25">
      <c r="A157" s="3" t="s">
        <v>189</v>
      </c>
    </row>
    <row r="158" spans="1:4" x14ac:dyDescent="0.25">
      <c r="A158" s="3" t="s">
        <v>190</v>
      </c>
    </row>
    <row r="160" spans="1:4" ht="15.6" x14ac:dyDescent="0.35">
      <c r="A160" s="3" t="s">
        <v>191</v>
      </c>
      <c r="B160" s="6">
        <f>B75/B73</f>
        <v>0.29373177842565595</v>
      </c>
      <c r="C160" s="6">
        <f>C75/C73</f>
        <v>0.32285859097820579</v>
      </c>
      <c r="D160" s="6">
        <f>D75/D73</f>
        <v>0.34879692011549568</v>
      </c>
    </row>
    <row r="165" spans="1:3" x14ac:dyDescent="0.25">
      <c r="A165" s="3" t="s">
        <v>192</v>
      </c>
    </row>
    <row r="166" spans="1:3" x14ac:dyDescent="0.25">
      <c r="A166" s="3" t="s">
        <v>193</v>
      </c>
      <c r="B166" s="7">
        <v>555000000</v>
      </c>
      <c r="C166" s="7">
        <f>B166</f>
        <v>555000000</v>
      </c>
    </row>
    <row r="167" spans="1:3" x14ac:dyDescent="0.25">
      <c r="A167" s="3" t="s">
        <v>194</v>
      </c>
      <c r="B167" s="7">
        <v>1180000000</v>
      </c>
      <c r="C167" s="7">
        <f>B167</f>
        <v>1180000000</v>
      </c>
    </row>
    <row r="168" spans="1:3" x14ac:dyDescent="0.25">
      <c r="A168" s="3" t="s">
        <v>195</v>
      </c>
      <c r="B168" s="7">
        <v>65119245</v>
      </c>
      <c r="C168" s="7">
        <v>29644926</v>
      </c>
    </row>
    <row r="169" spans="1:3" x14ac:dyDescent="0.25">
      <c r="A169" s="3" t="s">
        <v>196</v>
      </c>
      <c r="B169" s="7">
        <f>B166+B167-B168</f>
        <v>1669880755</v>
      </c>
      <c r="C169" s="7">
        <f>C166+C167-C168</f>
        <v>1705355074</v>
      </c>
    </row>
    <row r="173" spans="1:3" x14ac:dyDescent="0.25">
      <c r="A173" s="8" t="s">
        <v>197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E1F0-2DA8-43E3-AB2D-E1336E047650}">
  <sheetPr codeName="Sheet42"/>
  <dimension ref="A1:I39"/>
  <sheetViews>
    <sheetView workbookViewId="0">
      <selection sqref="A1:C1"/>
    </sheetView>
  </sheetViews>
  <sheetFormatPr defaultColWidth="9.109375" defaultRowHeight="13.2" x14ac:dyDescent="0.25"/>
  <cols>
    <col min="1" max="1" width="21.44140625" style="10" bestFit="1" customWidth="1"/>
    <col min="2" max="2" width="14.33203125" style="10" customWidth="1"/>
    <col min="3" max="3" width="13.44140625" style="10" bestFit="1" customWidth="1"/>
    <col min="4" max="4" width="14.44140625" style="10" bestFit="1" customWidth="1"/>
    <col min="5" max="5" width="12.33203125" style="10" bestFit="1" customWidth="1"/>
    <col min="6" max="6" width="39.33203125" style="10" customWidth="1"/>
    <col min="7" max="7" width="13.44140625" style="10" bestFit="1" customWidth="1"/>
    <col min="8" max="8" width="14.44140625" style="10" bestFit="1" customWidth="1"/>
    <col min="9" max="9" width="15" style="10" bestFit="1" customWidth="1"/>
    <col min="10" max="10" width="11.6640625" style="10" bestFit="1" customWidth="1"/>
    <col min="11" max="256" width="9.109375" style="10"/>
    <col min="257" max="257" width="21.44140625" style="10" bestFit="1" customWidth="1"/>
    <col min="258" max="258" width="14.33203125" style="10" customWidth="1"/>
    <col min="259" max="259" width="13.44140625" style="10" bestFit="1" customWidth="1"/>
    <col min="260" max="260" width="14.44140625" style="10" bestFit="1" customWidth="1"/>
    <col min="261" max="261" width="12.33203125" style="10" bestFit="1" customWidth="1"/>
    <col min="262" max="262" width="39.33203125" style="10" customWidth="1"/>
    <col min="263" max="263" width="13.44140625" style="10" bestFit="1" customWidth="1"/>
    <col min="264" max="264" width="14.44140625" style="10" bestFit="1" customWidth="1"/>
    <col min="265" max="265" width="15" style="10" bestFit="1" customWidth="1"/>
    <col min="266" max="266" width="11.6640625" style="10" bestFit="1" customWidth="1"/>
    <col min="267" max="512" width="9.109375" style="10"/>
    <col min="513" max="513" width="21.44140625" style="10" bestFit="1" customWidth="1"/>
    <col min="514" max="514" width="14.33203125" style="10" customWidth="1"/>
    <col min="515" max="515" width="13.44140625" style="10" bestFit="1" customWidth="1"/>
    <col min="516" max="516" width="14.44140625" style="10" bestFit="1" customWidth="1"/>
    <col min="517" max="517" width="12.33203125" style="10" bestFit="1" customWidth="1"/>
    <col min="518" max="518" width="39.33203125" style="10" customWidth="1"/>
    <col min="519" max="519" width="13.44140625" style="10" bestFit="1" customWidth="1"/>
    <col min="520" max="520" width="14.44140625" style="10" bestFit="1" customWidth="1"/>
    <col min="521" max="521" width="15" style="10" bestFit="1" customWidth="1"/>
    <col min="522" max="522" width="11.6640625" style="10" bestFit="1" customWidth="1"/>
    <col min="523" max="768" width="9.109375" style="10"/>
    <col min="769" max="769" width="21.44140625" style="10" bestFit="1" customWidth="1"/>
    <col min="770" max="770" width="14.33203125" style="10" customWidth="1"/>
    <col min="771" max="771" width="13.44140625" style="10" bestFit="1" customWidth="1"/>
    <col min="772" max="772" width="14.44140625" style="10" bestFit="1" customWidth="1"/>
    <col min="773" max="773" width="12.33203125" style="10" bestFit="1" customWidth="1"/>
    <col min="774" max="774" width="39.33203125" style="10" customWidth="1"/>
    <col min="775" max="775" width="13.44140625" style="10" bestFit="1" customWidth="1"/>
    <col min="776" max="776" width="14.44140625" style="10" bestFit="1" customWidth="1"/>
    <col min="777" max="777" width="15" style="10" bestFit="1" customWidth="1"/>
    <col min="778" max="778" width="11.6640625" style="10" bestFit="1" customWidth="1"/>
    <col min="779" max="1024" width="9.109375" style="10"/>
    <col min="1025" max="1025" width="21.44140625" style="10" bestFit="1" customWidth="1"/>
    <col min="1026" max="1026" width="14.33203125" style="10" customWidth="1"/>
    <col min="1027" max="1027" width="13.44140625" style="10" bestFit="1" customWidth="1"/>
    <col min="1028" max="1028" width="14.44140625" style="10" bestFit="1" customWidth="1"/>
    <col min="1029" max="1029" width="12.33203125" style="10" bestFit="1" customWidth="1"/>
    <col min="1030" max="1030" width="39.33203125" style="10" customWidth="1"/>
    <col min="1031" max="1031" width="13.44140625" style="10" bestFit="1" customWidth="1"/>
    <col min="1032" max="1032" width="14.44140625" style="10" bestFit="1" customWidth="1"/>
    <col min="1033" max="1033" width="15" style="10" bestFit="1" customWidth="1"/>
    <col min="1034" max="1034" width="11.6640625" style="10" bestFit="1" customWidth="1"/>
    <col min="1035" max="1280" width="9.109375" style="10"/>
    <col min="1281" max="1281" width="21.44140625" style="10" bestFit="1" customWidth="1"/>
    <col min="1282" max="1282" width="14.33203125" style="10" customWidth="1"/>
    <col min="1283" max="1283" width="13.44140625" style="10" bestFit="1" customWidth="1"/>
    <col min="1284" max="1284" width="14.44140625" style="10" bestFit="1" customWidth="1"/>
    <col min="1285" max="1285" width="12.33203125" style="10" bestFit="1" customWidth="1"/>
    <col min="1286" max="1286" width="39.33203125" style="10" customWidth="1"/>
    <col min="1287" max="1287" width="13.44140625" style="10" bestFit="1" customWidth="1"/>
    <col min="1288" max="1288" width="14.44140625" style="10" bestFit="1" customWidth="1"/>
    <col min="1289" max="1289" width="15" style="10" bestFit="1" customWidth="1"/>
    <col min="1290" max="1290" width="11.6640625" style="10" bestFit="1" customWidth="1"/>
    <col min="1291" max="1536" width="9.109375" style="10"/>
    <col min="1537" max="1537" width="21.44140625" style="10" bestFit="1" customWidth="1"/>
    <col min="1538" max="1538" width="14.33203125" style="10" customWidth="1"/>
    <col min="1539" max="1539" width="13.44140625" style="10" bestFit="1" customWidth="1"/>
    <col min="1540" max="1540" width="14.44140625" style="10" bestFit="1" customWidth="1"/>
    <col min="1541" max="1541" width="12.33203125" style="10" bestFit="1" customWidth="1"/>
    <col min="1542" max="1542" width="39.33203125" style="10" customWidth="1"/>
    <col min="1543" max="1543" width="13.44140625" style="10" bestFit="1" customWidth="1"/>
    <col min="1544" max="1544" width="14.44140625" style="10" bestFit="1" customWidth="1"/>
    <col min="1545" max="1545" width="15" style="10" bestFit="1" customWidth="1"/>
    <col min="1546" max="1546" width="11.6640625" style="10" bestFit="1" customWidth="1"/>
    <col min="1547" max="1792" width="9.109375" style="10"/>
    <col min="1793" max="1793" width="21.44140625" style="10" bestFit="1" customWidth="1"/>
    <col min="1794" max="1794" width="14.33203125" style="10" customWidth="1"/>
    <col min="1795" max="1795" width="13.44140625" style="10" bestFit="1" customWidth="1"/>
    <col min="1796" max="1796" width="14.44140625" style="10" bestFit="1" customWidth="1"/>
    <col min="1797" max="1797" width="12.33203125" style="10" bestFit="1" customWidth="1"/>
    <col min="1798" max="1798" width="39.33203125" style="10" customWidth="1"/>
    <col min="1799" max="1799" width="13.44140625" style="10" bestFit="1" customWidth="1"/>
    <col min="1800" max="1800" width="14.44140625" style="10" bestFit="1" customWidth="1"/>
    <col min="1801" max="1801" width="15" style="10" bestFit="1" customWidth="1"/>
    <col min="1802" max="1802" width="11.6640625" style="10" bestFit="1" customWidth="1"/>
    <col min="1803" max="2048" width="9.109375" style="10"/>
    <col min="2049" max="2049" width="21.44140625" style="10" bestFit="1" customWidth="1"/>
    <col min="2050" max="2050" width="14.33203125" style="10" customWidth="1"/>
    <col min="2051" max="2051" width="13.44140625" style="10" bestFit="1" customWidth="1"/>
    <col min="2052" max="2052" width="14.44140625" style="10" bestFit="1" customWidth="1"/>
    <col min="2053" max="2053" width="12.33203125" style="10" bestFit="1" customWidth="1"/>
    <col min="2054" max="2054" width="39.33203125" style="10" customWidth="1"/>
    <col min="2055" max="2055" width="13.44140625" style="10" bestFit="1" customWidth="1"/>
    <col min="2056" max="2056" width="14.44140625" style="10" bestFit="1" customWidth="1"/>
    <col min="2057" max="2057" width="15" style="10" bestFit="1" customWidth="1"/>
    <col min="2058" max="2058" width="11.6640625" style="10" bestFit="1" customWidth="1"/>
    <col min="2059" max="2304" width="9.109375" style="10"/>
    <col min="2305" max="2305" width="21.44140625" style="10" bestFit="1" customWidth="1"/>
    <col min="2306" max="2306" width="14.33203125" style="10" customWidth="1"/>
    <col min="2307" max="2307" width="13.44140625" style="10" bestFit="1" customWidth="1"/>
    <col min="2308" max="2308" width="14.44140625" style="10" bestFit="1" customWidth="1"/>
    <col min="2309" max="2309" width="12.33203125" style="10" bestFit="1" customWidth="1"/>
    <col min="2310" max="2310" width="39.33203125" style="10" customWidth="1"/>
    <col min="2311" max="2311" width="13.44140625" style="10" bestFit="1" customWidth="1"/>
    <col min="2312" max="2312" width="14.44140625" style="10" bestFit="1" customWidth="1"/>
    <col min="2313" max="2313" width="15" style="10" bestFit="1" customWidth="1"/>
    <col min="2314" max="2314" width="11.6640625" style="10" bestFit="1" customWidth="1"/>
    <col min="2315" max="2560" width="9.109375" style="10"/>
    <col min="2561" max="2561" width="21.44140625" style="10" bestFit="1" customWidth="1"/>
    <col min="2562" max="2562" width="14.33203125" style="10" customWidth="1"/>
    <col min="2563" max="2563" width="13.44140625" style="10" bestFit="1" customWidth="1"/>
    <col min="2564" max="2564" width="14.44140625" style="10" bestFit="1" customWidth="1"/>
    <col min="2565" max="2565" width="12.33203125" style="10" bestFit="1" customWidth="1"/>
    <col min="2566" max="2566" width="39.33203125" style="10" customWidth="1"/>
    <col min="2567" max="2567" width="13.44140625" style="10" bestFit="1" customWidth="1"/>
    <col min="2568" max="2568" width="14.44140625" style="10" bestFit="1" customWidth="1"/>
    <col min="2569" max="2569" width="15" style="10" bestFit="1" customWidth="1"/>
    <col min="2570" max="2570" width="11.6640625" style="10" bestFit="1" customWidth="1"/>
    <col min="2571" max="2816" width="9.109375" style="10"/>
    <col min="2817" max="2817" width="21.44140625" style="10" bestFit="1" customWidth="1"/>
    <col min="2818" max="2818" width="14.33203125" style="10" customWidth="1"/>
    <col min="2819" max="2819" width="13.44140625" style="10" bestFit="1" customWidth="1"/>
    <col min="2820" max="2820" width="14.44140625" style="10" bestFit="1" customWidth="1"/>
    <col min="2821" max="2821" width="12.33203125" style="10" bestFit="1" customWidth="1"/>
    <col min="2822" max="2822" width="39.33203125" style="10" customWidth="1"/>
    <col min="2823" max="2823" width="13.44140625" style="10" bestFit="1" customWidth="1"/>
    <col min="2824" max="2824" width="14.44140625" style="10" bestFit="1" customWidth="1"/>
    <col min="2825" max="2825" width="15" style="10" bestFit="1" customWidth="1"/>
    <col min="2826" max="2826" width="11.6640625" style="10" bestFit="1" customWidth="1"/>
    <col min="2827" max="3072" width="9.109375" style="10"/>
    <col min="3073" max="3073" width="21.44140625" style="10" bestFit="1" customWidth="1"/>
    <col min="3074" max="3074" width="14.33203125" style="10" customWidth="1"/>
    <col min="3075" max="3075" width="13.44140625" style="10" bestFit="1" customWidth="1"/>
    <col min="3076" max="3076" width="14.44140625" style="10" bestFit="1" customWidth="1"/>
    <col min="3077" max="3077" width="12.33203125" style="10" bestFit="1" customWidth="1"/>
    <col min="3078" max="3078" width="39.33203125" style="10" customWidth="1"/>
    <col min="3079" max="3079" width="13.44140625" style="10" bestFit="1" customWidth="1"/>
    <col min="3080" max="3080" width="14.44140625" style="10" bestFit="1" customWidth="1"/>
    <col min="3081" max="3081" width="15" style="10" bestFit="1" customWidth="1"/>
    <col min="3082" max="3082" width="11.6640625" style="10" bestFit="1" customWidth="1"/>
    <col min="3083" max="3328" width="9.109375" style="10"/>
    <col min="3329" max="3329" width="21.44140625" style="10" bestFit="1" customWidth="1"/>
    <col min="3330" max="3330" width="14.33203125" style="10" customWidth="1"/>
    <col min="3331" max="3331" width="13.44140625" style="10" bestFit="1" customWidth="1"/>
    <col min="3332" max="3332" width="14.44140625" style="10" bestFit="1" customWidth="1"/>
    <col min="3333" max="3333" width="12.33203125" style="10" bestFit="1" customWidth="1"/>
    <col min="3334" max="3334" width="39.33203125" style="10" customWidth="1"/>
    <col min="3335" max="3335" width="13.44140625" style="10" bestFit="1" customWidth="1"/>
    <col min="3336" max="3336" width="14.44140625" style="10" bestFit="1" customWidth="1"/>
    <col min="3337" max="3337" width="15" style="10" bestFit="1" customWidth="1"/>
    <col min="3338" max="3338" width="11.6640625" style="10" bestFit="1" customWidth="1"/>
    <col min="3339" max="3584" width="9.109375" style="10"/>
    <col min="3585" max="3585" width="21.44140625" style="10" bestFit="1" customWidth="1"/>
    <col min="3586" max="3586" width="14.33203125" style="10" customWidth="1"/>
    <col min="3587" max="3587" width="13.44140625" style="10" bestFit="1" customWidth="1"/>
    <col min="3588" max="3588" width="14.44140625" style="10" bestFit="1" customWidth="1"/>
    <col min="3589" max="3589" width="12.33203125" style="10" bestFit="1" customWidth="1"/>
    <col min="3590" max="3590" width="39.33203125" style="10" customWidth="1"/>
    <col min="3591" max="3591" width="13.44140625" style="10" bestFit="1" customWidth="1"/>
    <col min="3592" max="3592" width="14.44140625" style="10" bestFit="1" customWidth="1"/>
    <col min="3593" max="3593" width="15" style="10" bestFit="1" customWidth="1"/>
    <col min="3594" max="3594" width="11.6640625" style="10" bestFit="1" customWidth="1"/>
    <col min="3595" max="3840" width="9.109375" style="10"/>
    <col min="3841" max="3841" width="21.44140625" style="10" bestFit="1" customWidth="1"/>
    <col min="3842" max="3842" width="14.33203125" style="10" customWidth="1"/>
    <col min="3843" max="3843" width="13.44140625" style="10" bestFit="1" customWidth="1"/>
    <col min="3844" max="3844" width="14.44140625" style="10" bestFit="1" customWidth="1"/>
    <col min="3845" max="3845" width="12.33203125" style="10" bestFit="1" customWidth="1"/>
    <col min="3846" max="3846" width="39.33203125" style="10" customWidth="1"/>
    <col min="3847" max="3847" width="13.44140625" style="10" bestFit="1" customWidth="1"/>
    <col min="3848" max="3848" width="14.44140625" style="10" bestFit="1" customWidth="1"/>
    <col min="3849" max="3849" width="15" style="10" bestFit="1" customWidth="1"/>
    <col min="3850" max="3850" width="11.6640625" style="10" bestFit="1" customWidth="1"/>
    <col min="3851" max="4096" width="9.109375" style="10"/>
    <col min="4097" max="4097" width="21.44140625" style="10" bestFit="1" customWidth="1"/>
    <col min="4098" max="4098" width="14.33203125" style="10" customWidth="1"/>
    <col min="4099" max="4099" width="13.44140625" style="10" bestFit="1" customWidth="1"/>
    <col min="4100" max="4100" width="14.44140625" style="10" bestFit="1" customWidth="1"/>
    <col min="4101" max="4101" width="12.33203125" style="10" bestFit="1" customWidth="1"/>
    <col min="4102" max="4102" width="39.33203125" style="10" customWidth="1"/>
    <col min="4103" max="4103" width="13.44140625" style="10" bestFit="1" customWidth="1"/>
    <col min="4104" max="4104" width="14.44140625" style="10" bestFit="1" customWidth="1"/>
    <col min="4105" max="4105" width="15" style="10" bestFit="1" customWidth="1"/>
    <col min="4106" max="4106" width="11.6640625" style="10" bestFit="1" customWidth="1"/>
    <col min="4107" max="4352" width="9.109375" style="10"/>
    <col min="4353" max="4353" width="21.44140625" style="10" bestFit="1" customWidth="1"/>
    <col min="4354" max="4354" width="14.33203125" style="10" customWidth="1"/>
    <col min="4355" max="4355" width="13.44140625" style="10" bestFit="1" customWidth="1"/>
    <col min="4356" max="4356" width="14.44140625" style="10" bestFit="1" customWidth="1"/>
    <col min="4357" max="4357" width="12.33203125" style="10" bestFit="1" customWidth="1"/>
    <col min="4358" max="4358" width="39.33203125" style="10" customWidth="1"/>
    <col min="4359" max="4359" width="13.44140625" style="10" bestFit="1" customWidth="1"/>
    <col min="4360" max="4360" width="14.44140625" style="10" bestFit="1" customWidth="1"/>
    <col min="4361" max="4361" width="15" style="10" bestFit="1" customWidth="1"/>
    <col min="4362" max="4362" width="11.6640625" style="10" bestFit="1" customWidth="1"/>
    <col min="4363" max="4608" width="9.109375" style="10"/>
    <col min="4609" max="4609" width="21.44140625" style="10" bestFit="1" customWidth="1"/>
    <col min="4610" max="4610" width="14.33203125" style="10" customWidth="1"/>
    <col min="4611" max="4611" width="13.44140625" style="10" bestFit="1" customWidth="1"/>
    <col min="4612" max="4612" width="14.44140625" style="10" bestFit="1" customWidth="1"/>
    <col min="4613" max="4613" width="12.33203125" style="10" bestFit="1" customWidth="1"/>
    <col min="4614" max="4614" width="39.33203125" style="10" customWidth="1"/>
    <col min="4615" max="4615" width="13.44140625" style="10" bestFit="1" customWidth="1"/>
    <col min="4616" max="4616" width="14.44140625" style="10" bestFit="1" customWidth="1"/>
    <col min="4617" max="4617" width="15" style="10" bestFit="1" customWidth="1"/>
    <col min="4618" max="4618" width="11.6640625" style="10" bestFit="1" customWidth="1"/>
    <col min="4619" max="4864" width="9.109375" style="10"/>
    <col min="4865" max="4865" width="21.44140625" style="10" bestFit="1" customWidth="1"/>
    <col min="4866" max="4866" width="14.33203125" style="10" customWidth="1"/>
    <col min="4867" max="4867" width="13.44140625" style="10" bestFit="1" customWidth="1"/>
    <col min="4868" max="4868" width="14.44140625" style="10" bestFit="1" customWidth="1"/>
    <col min="4869" max="4869" width="12.33203125" style="10" bestFit="1" customWidth="1"/>
    <col min="4870" max="4870" width="39.33203125" style="10" customWidth="1"/>
    <col min="4871" max="4871" width="13.44140625" style="10" bestFit="1" customWidth="1"/>
    <col min="4872" max="4872" width="14.44140625" style="10" bestFit="1" customWidth="1"/>
    <col min="4873" max="4873" width="15" style="10" bestFit="1" customWidth="1"/>
    <col min="4874" max="4874" width="11.6640625" style="10" bestFit="1" customWidth="1"/>
    <col min="4875" max="5120" width="9.109375" style="10"/>
    <col min="5121" max="5121" width="21.44140625" style="10" bestFit="1" customWidth="1"/>
    <col min="5122" max="5122" width="14.33203125" style="10" customWidth="1"/>
    <col min="5123" max="5123" width="13.44140625" style="10" bestFit="1" customWidth="1"/>
    <col min="5124" max="5124" width="14.44140625" style="10" bestFit="1" customWidth="1"/>
    <col min="5125" max="5125" width="12.33203125" style="10" bestFit="1" customWidth="1"/>
    <col min="5126" max="5126" width="39.33203125" style="10" customWidth="1"/>
    <col min="5127" max="5127" width="13.44140625" style="10" bestFit="1" customWidth="1"/>
    <col min="5128" max="5128" width="14.44140625" style="10" bestFit="1" customWidth="1"/>
    <col min="5129" max="5129" width="15" style="10" bestFit="1" customWidth="1"/>
    <col min="5130" max="5130" width="11.6640625" style="10" bestFit="1" customWidth="1"/>
    <col min="5131" max="5376" width="9.109375" style="10"/>
    <col min="5377" max="5377" width="21.44140625" style="10" bestFit="1" customWidth="1"/>
    <col min="5378" max="5378" width="14.33203125" style="10" customWidth="1"/>
    <col min="5379" max="5379" width="13.44140625" style="10" bestFit="1" customWidth="1"/>
    <col min="5380" max="5380" width="14.44140625" style="10" bestFit="1" customWidth="1"/>
    <col min="5381" max="5381" width="12.33203125" style="10" bestFit="1" customWidth="1"/>
    <col min="5382" max="5382" width="39.33203125" style="10" customWidth="1"/>
    <col min="5383" max="5383" width="13.44140625" style="10" bestFit="1" customWidth="1"/>
    <col min="5384" max="5384" width="14.44140625" style="10" bestFit="1" customWidth="1"/>
    <col min="5385" max="5385" width="15" style="10" bestFit="1" customWidth="1"/>
    <col min="5386" max="5386" width="11.6640625" style="10" bestFit="1" customWidth="1"/>
    <col min="5387" max="5632" width="9.109375" style="10"/>
    <col min="5633" max="5633" width="21.44140625" style="10" bestFit="1" customWidth="1"/>
    <col min="5634" max="5634" width="14.33203125" style="10" customWidth="1"/>
    <col min="5635" max="5635" width="13.44140625" style="10" bestFit="1" customWidth="1"/>
    <col min="5636" max="5636" width="14.44140625" style="10" bestFit="1" customWidth="1"/>
    <col min="5637" max="5637" width="12.33203125" style="10" bestFit="1" customWidth="1"/>
    <col min="5638" max="5638" width="39.33203125" style="10" customWidth="1"/>
    <col min="5639" max="5639" width="13.44140625" style="10" bestFit="1" customWidth="1"/>
    <col min="5640" max="5640" width="14.44140625" style="10" bestFit="1" customWidth="1"/>
    <col min="5641" max="5641" width="15" style="10" bestFit="1" customWidth="1"/>
    <col min="5642" max="5642" width="11.6640625" style="10" bestFit="1" customWidth="1"/>
    <col min="5643" max="5888" width="9.109375" style="10"/>
    <col min="5889" max="5889" width="21.44140625" style="10" bestFit="1" customWidth="1"/>
    <col min="5890" max="5890" width="14.33203125" style="10" customWidth="1"/>
    <col min="5891" max="5891" width="13.44140625" style="10" bestFit="1" customWidth="1"/>
    <col min="5892" max="5892" width="14.44140625" style="10" bestFit="1" customWidth="1"/>
    <col min="5893" max="5893" width="12.33203125" style="10" bestFit="1" customWidth="1"/>
    <col min="5894" max="5894" width="39.33203125" style="10" customWidth="1"/>
    <col min="5895" max="5895" width="13.44140625" style="10" bestFit="1" customWidth="1"/>
    <col min="5896" max="5896" width="14.44140625" style="10" bestFit="1" customWidth="1"/>
    <col min="5897" max="5897" width="15" style="10" bestFit="1" customWidth="1"/>
    <col min="5898" max="5898" width="11.6640625" style="10" bestFit="1" customWidth="1"/>
    <col min="5899" max="6144" width="9.109375" style="10"/>
    <col min="6145" max="6145" width="21.44140625" style="10" bestFit="1" customWidth="1"/>
    <col min="6146" max="6146" width="14.33203125" style="10" customWidth="1"/>
    <col min="6147" max="6147" width="13.44140625" style="10" bestFit="1" customWidth="1"/>
    <col min="6148" max="6148" width="14.44140625" style="10" bestFit="1" customWidth="1"/>
    <col min="6149" max="6149" width="12.33203125" style="10" bestFit="1" customWidth="1"/>
    <col min="6150" max="6150" width="39.33203125" style="10" customWidth="1"/>
    <col min="6151" max="6151" width="13.44140625" style="10" bestFit="1" customWidth="1"/>
    <col min="6152" max="6152" width="14.44140625" style="10" bestFit="1" customWidth="1"/>
    <col min="6153" max="6153" width="15" style="10" bestFit="1" customWidth="1"/>
    <col min="6154" max="6154" width="11.6640625" style="10" bestFit="1" customWidth="1"/>
    <col min="6155" max="6400" width="9.109375" style="10"/>
    <col min="6401" max="6401" width="21.44140625" style="10" bestFit="1" customWidth="1"/>
    <col min="6402" max="6402" width="14.33203125" style="10" customWidth="1"/>
    <col min="6403" max="6403" width="13.44140625" style="10" bestFit="1" customWidth="1"/>
    <col min="6404" max="6404" width="14.44140625" style="10" bestFit="1" customWidth="1"/>
    <col min="6405" max="6405" width="12.33203125" style="10" bestFit="1" customWidth="1"/>
    <col min="6406" max="6406" width="39.33203125" style="10" customWidth="1"/>
    <col min="6407" max="6407" width="13.44140625" style="10" bestFit="1" customWidth="1"/>
    <col min="6408" max="6408" width="14.44140625" style="10" bestFit="1" customWidth="1"/>
    <col min="6409" max="6409" width="15" style="10" bestFit="1" customWidth="1"/>
    <col min="6410" max="6410" width="11.6640625" style="10" bestFit="1" customWidth="1"/>
    <col min="6411" max="6656" width="9.109375" style="10"/>
    <col min="6657" max="6657" width="21.44140625" style="10" bestFit="1" customWidth="1"/>
    <col min="6658" max="6658" width="14.33203125" style="10" customWidth="1"/>
    <col min="6659" max="6659" width="13.44140625" style="10" bestFit="1" customWidth="1"/>
    <col min="6660" max="6660" width="14.44140625" style="10" bestFit="1" customWidth="1"/>
    <col min="6661" max="6661" width="12.33203125" style="10" bestFit="1" customWidth="1"/>
    <col min="6662" max="6662" width="39.33203125" style="10" customWidth="1"/>
    <col min="6663" max="6663" width="13.44140625" style="10" bestFit="1" customWidth="1"/>
    <col min="6664" max="6664" width="14.44140625" style="10" bestFit="1" customWidth="1"/>
    <col min="6665" max="6665" width="15" style="10" bestFit="1" customWidth="1"/>
    <col min="6666" max="6666" width="11.6640625" style="10" bestFit="1" customWidth="1"/>
    <col min="6667" max="6912" width="9.109375" style="10"/>
    <col min="6913" max="6913" width="21.44140625" style="10" bestFit="1" customWidth="1"/>
    <col min="6914" max="6914" width="14.33203125" style="10" customWidth="1"/>
    <col min="6915" max="6915" width="13.44140625" style="10" bestFit="1" customWidth="1"/>
    <col min="6916" max="6916" width="14.44140625" style="10" bestFit="1" customWidth="1"/>
    <col min="6917" max="6917" width="12.33203125" style="10" bestFit="1" customWidth="1"/>
    <col min="6918" max="6918" width="39.33203125" style="10" customWidth="1"/>
    <col min="6919" max="6919" width="13.44140625" style="10" bestFit="1" customWidth="1"/>
    <col min="6920" max="6920" width="14.44140625" style="10" bestFit="1" customWidth="1"/>
    <col min="6921" max="6921" width="15" style="10" bestFit="1" customWidth="1"/>
    <col min="6922" max="6922" width="11.6640625" style="10" bestFit="1" customWidth="1"/>
    <col min="6923" max="7168" width="9.109375" style="10"/>
    <col min="7169" max="7169" width="21.44140625" style="10" bestFit="1" customWidth="1"/>
    <col min="7170" max="7170" width="14.33203125" style="10" customWidth="1"/>
    <col min="7171" max="7171" width="13.44140625" style="10" bestFit="1" customWidth="1"/>
    <col min="7172" max="7172" width="14.44140625" style="10" bestFit="1" customWidth="1"/>
    <col min="7173" max="7173" width="12.33203125" style="10" bestFit="1" customWidth="1"/>
    <col min="7174" max="7174" width="39.33203125" style="10" customWidth="1"/>
    <col min="7175" max="7175" width="13.44140625" style="10" bestFit="1" customWidth="1"/>
    <col min="7176" max="7176" width="14.44140625" style="10" bestFit="1" customWidth="1"/>
    <col min="7177" max="7177" width="15" style="10" bestFit="1" customWidth="1"/>
    <col min="7178" max="7178" width="11.6640625" style="10" bestFit="1" customWidth="1"/>
    <col min="7179" max="7424" width="9.109375" style="10"/>
    <col min="7425" max="7425" width="21.44140625" style="10" bestFit="1" customWidth="1"/>
    <col min="7426" max="7426" width="14.33203125" style="10" customWidth="1"/>
    <col min="7427" max="7427" width="13.44140625" style="10" bestFit="1" customWidth="1"/>
    <col min="7428" max="7428" width="14.44140625" style="10" bestFit="1" customWidth="1"/>
    <col min="7429" max="7429" width="12.33203125" style="10" bestFit="1" customWidth="1"/>
    <col min="7430" max="7430" width="39.33203125" style="10" customWidth="1"/>
    <col min="7431" max="7431" width="13.44140625" style="10" bestFit="1" customWidth="1"/>
    <col min="7432" max="7432" width="14.44140625" style="10" bestFit="1" customWidth="1"/>
    <col min="7433" max="7433" width="15" style="10" bestFit="1" customWidth="1"/>
    <col min="7434" max="7434" width="11.6640625" style="10" bestFit="1" customWidth="1"/>
    <col min="7435" max="7680" width="9.109375" style="10"/>
    <col min="7681" max="7681" width="21.44140625" style="10" bestFit="1" customWidth="1"/>
    <col min="7682" max="7682" width="14.33203125" style="10" customWidth="1"/>
    <col min="7683" max="7683" width="13.44140625" style="10" bestFit="1" customWidth="1"/>
    <col min="7684" max="7684" width="14.44140625" style="10" bestFit="1" customWidth="1"/>
    <col min="7685" max="7685" width="12.33203125" style="10" bestFit="1" customWidth="1"/>
    <col min="7686" max="7686" width="39.33203125" style="10" customWidth="1"/>
    <col min="7687" max="7687" width="13.44140625" style="10" bestFit="1" customWidth="1"/>
    <col min="7688" max="7688" width="14.44140625" style="10" bestFit="1" customWidth="1"/>
    <col min="7689" max="7689" width="15" style="10" bestFit="1" customWidth="1"/>
    <col min="7690" max="7690" width="11.6640625" style="10" bestFit="1" customWidth="1"/>
    <col min="7691" max="7936" width="9.109375" style="10"/>
    <col min="7937" max="7937" width="21.44140625" style="10" bestFit="1" customWidth="1"/>
    <col min="7938" max="7938" width="14.33203125" style="10" customWidth="1"/>
    <col min="7939" max="7939" width="13.44140625" style="10" bestFit="1" customWidth="1"/>
    <col min="7940" max="7940" width="14.44140625" style="10" bestFit="1" customWidth="1"/>
    <col min="7941" max="7941" width="12.33203125" style="10" bestFit="1" customWidth="1"/>
    <col min="7942" max="7942" width="39.33203125" style="10" customWidth="1"/>
    <col min="7943" max="7943" width="13.44140625" style="10" bestFit="1" customWidth="1"/>
    <col min="7944" max="7944" width="14.44140625" style="10" bestFit="1" customWidth="1"/>
    <col min="7945" max="7945" width="15" style="10" bestFit="1" customWidth="1"/>
    <col min="7946" max="7946" width="11.6640625" style="10" bestFit="1" customWidth="1"/>
    <col min="7947" max="8192" width="9.109375" style="10"/>
    <col min="8193" max="8193" width="21.44140625" style="10" bestFit="1" customWidth="1"/>
    <col min="8194" max="8194" width="14.33203125" style="10" customWidth="1"/>
    <col min="8195" max="8195" width="13.44140625" style="10" bestFit="1" customWidth="1"/>
    <col min="8196" max="8196" width="14.44140625" style="10" bestFit="1" customWidth="1"/>
    <col min="8197" max="8197" width="12.33203125" style="10" bestFit="1" customWidth="1"/>
    <col min="8198" max="8198" width="39.33203125" style="10" customWidth="1"/>
    <col min="8199" max="8199" width="13.44140625" style="10" bestFit="1" customWidth="1"/>
    <col min="8200" max="8200" width="14.44140625" style="10" bestFit="1" customWidth="1"/>
    <col min="8201" max="8201" width="15" style="10" bestFit="1" customWidth="1"/>
    <col min="8202" max="8202" width="11.6640625" style="10" bestFit="1" customWidth="1"/>
    <col min="8203" max="8448" width="9.109375" style="10"/>
    <col min="8449" max="8449" width="21.44140625" style="10" bestFit="1" customWidth="1"/>
    <col min="8450" max="8450" width="14.33203125" style="10" customWidth="1"/>
    <col min="8451" max="8451" width="13.44140625" style="10" bestFit="1" customWidth="1"/>
    <col min="8452" max="8452" width="14.44140625" style="10" bestFit="1" customWidth="1"/>
    <col min="8453" max="8453" width="12.33203125" style="10" bestFit="1" customWidth="1"/>
    <col min="8454" max="8454" width="39.33203125" style="10" customWidth="1"/>
    <col min="8455" max="8455" width="13.44140625" style="10" bestFit="1" customWidth="1"/>
    <col min="8456" max="8456" width="14.44140625" style="10" bestFit="1" customWidth="1"/>
    <col min="8457" max="8457" width="15" style="10" bestFit="1" customWidth="1"/>
    <col min="8458" max="8458" width="11.6640625" style="10" bestFit="1" customWidth="1"/>
    <col min="8459" max="8704" width="9.109375" style="10"/>
    <col min="8705" max="8705" width="21.44140625" style="10" bestFit="1" customWidth="1"/>
    <col min="8706" max="8706" width="14.33203125" style="10" customWidth="1"/>
    <col min="8707" max="8707" width="13.44140625" style="10" bestFit="1" customWidth="1"/>
    <col min="8708" max="8708" width="14.44140625" style="10" bestFit="1" customWidth="1"/>
    <col min="8709" max="8709" width="12.33203125" style="10" bestFit="1" customWidth="1"/>
    <col min="8710" max="8710" width="39.33203125" style="10" customWidth="1"/>
    <col min="8711" max="8711" width="13.44140625" style="10" bestFit="1" customWidth="1"/>
    <col min="8712" max="8712" width="14.44140625" style="10" bestFit="1" customWidth="1"/>
    <col min="8713" max="8713" width="15" style="10" bestFit="1" customWidth="1"/>
    <col min="8714" max="8714" width="11.6640625" style="10" bestFit="1" customWidth="1"/>
    <col min="8715" max="8960" width="9.109375" style="10"/>
    <col min="8961" max="8961" width="21.44140625" style="10" bestFit="1" customWidth="1"/>
    <col min="8962" max="8962" width="14.33203125" style="10" customWidth="1"/>
    <col min="8963" max="8963" width="13.44140625" style="10" bestFit="1" customWidth="1"/>
    <col min="8964" max="8964" width="14.44140625" style="10" bestFit="1" customWidth="1"/>
    <col min="8965" max="8965" width="12.33203125" style="10" bestFit="1" customWidth="1"/>
    <col min="8966" max="8966" width="39.33203125" style="10" customWidth="1"/>
    <col min="8967" max="8967" width="13.44140625" style="10" bestFit="1" customWidth="1"/>
    <col min="8968" max="8968" width="14.44140625" style="10" bestFit="1" customWidth="1"/>
    <col min="8969" max="8969" width="15" style="10" bestFit="1" customWidth="1"/>
    <col min="8970" max="8970" width="11.6640625" style="10" bestFit="1" customWidth="1"/>
    <col min="8971" max="9216" width="9.109375" style="10"/>
    <col min="9217" max="9217" width="21.44140625" style="10" bestFit="1" customWidth="1"/>
    <col min="9218" max="9218" width="14.33203125" style="10" customWidth="1"/>
    <col min="9219" max="9219" width="13.44140625" style="10" bestFit="1" customWidth="1"/>
    <col min="9220" max="9220" width="14.44140625" style="10" bestFit="1" customWidth="1"/>
    <col min="9221" max="9221" width="12.33203125" style="10" bestFit="1" customWidth="1"/>
    <col min="9222" max="9222" width="39.33203125" style="10" customWidth="1"/>
    <col min="9223" max="9223" width="13.44140625" style="10" bestFit="1" customWidth="1"/>
    <col min="9224" max="9224" width="14.44140625" style="10" bestFit="1" customWidth="1"/>
    <col min="9225" max="9225" width="15" style="10" bestFit="1" customWidth="1"/>
    <col min="9226" max="9226" width="11.6640625" style="10" bestFit="1" customWidth="1"/>
    <col min="9227" max="9472" width="9.109375" style="10"/>
    <col min="9473" max="9473" width="21.44140625" style="10" bestFit="1" customWidth="1"/>
    <col min="9474" max="9474" width="14.33203125" style="10" customWidth="1"/>
    <col min="9475" max="9475" width="13.44140625" style="10" bestFit="1" customWidth="1"/>
    <col min="9476" max="9476" width="14.44140625" style="10" bestFit="1" customWidth="1"/>
    <col min="9477" max="9477" width="12.33203125" style="10" bestFit="1" customWidth="1"/>
    <col min="9478" max="9478" width="39.33203125" style="10" customWidth="1"/>
    <col min="9479" max="9479" width="13.44140625" style="10" bestFit="1" customWidth="1"/>
    <col min="9480" max="9480" width="14.44140625" style="10" bestFit="1" customWidth="1"/>
    <col min="9481" max="9481" width="15" style="10" bestFit="1" customWidth="1"/>
    <col min="9482" max="9482" width="11.6640625" style="10" bestFit="1" customWidth="1"/>
    <col min="9483" max="9728" width="9.109375" style="10"/>
    <col min="9729" max="9729" width="21.44140625" style="10" bestFit="1" customWidth="1"/>
    <col min="9730" max="9730" width="14.33203125" style="10" customWidth="1"/>
    <col min="9731" max="9731" width="13.44140625" style="10" bestFit="1" customWidth="1"/>
    <col min="9732" max="9732" width="14.44140625" style="10" bestFit="1" customWidth="1"/>
    <col min="9733" max="9733" width="12.33203125" style="10" bestFit="1" customWidth="1"/>
    <col min="9734" max="9734" width="39.33203125" style="10" customWidth="1"/>
    <col min="9735" max="9735" width="13.44140625" style="10" bestFit="1" customWidth="1"/>
    <col min="9736" max="9736" width="14.44140625" style="10" bestFit="1" customWidth="1"/>
    <col min="9737" max="9737" width="15" style="10" bestFit="1" customWidth="1"/>
    <col min="9738" max="9738" width="11.6640625" style="10" bestFit="1" customWidth="1"/>
    <col min="9739" max="9984" width="9.109375" style="10"/>
    <col min="9985" max="9985" width="21.44140625" style="10" bestFit="1" customWidth="1"/>
    <col min="9986" max="9986" width="14.33203125" style="10" customWidth="1"/>
    <col min="9987" max="9987" width="13.44140625" style="10" bestFit="1" customWidth="1"/>
    <col min="9988" max="9988" width="14.44140625" style="10" bestFit="1" customWidth="1"/>
    <col min="9989" max="9989" width="12.33203125" style="10" bestFit="1" customWidth="1"/>
    <col min="9990" max="9990" width="39.33203125" style="10" customWidth="1"/>
    <col min="9991" max="9991" width="13.44140625" style="10" bestFit="1" customWidth="1"/>
    <col min="9992" max="9992" width="14.44140625" style="10" bestFit="1" customWidth="1"/>
    <col min="9993" max="9993" width="15" style="10" bestFit="1" customWidth="1"/>
    <col min="9994" max="9994" width="11.6640625" style="10" bestFit="1" customWidth="1"/>
    <col min="9995" max="10240" width="9.109375" style="10"/>
    <col min="10241" max="10241" width="21.44140625" style="10" bestFit="1" customWidth="1"/>
    <col min="10242" max="10242" width="14.33203125" style="10" customWidth="1"/>
    <col min="10243" max="10243" width="13.44140625" style="10" bestFit="1" customWidth="1"/>
    <col min="10244" max="10244" width="14.44140625" style="10" bestFit="1" customWidth="1"/>
    <col min="10245" max="10245" width="12.33203125" style="10" bestFit="1" customWidth="1"/>
    <col min="10246" max="10246" width="39.33203125" style="10" customWidth="1"/>
    <col min="10247" max="10247" width="13.44140625" style="10" bestFit="1" customWidth="1"/>
    <col min="10248" max="10248" width="14.44140625" style="10" bestFit="1" customWidth="1"/>
    <col min="10249" max="10249" width="15" style="10" bestFit="1" customWidth="1"/>
    <col min="10250" max="10250" width="11.6640625" style="10" bestFit="1" customWidth="1"/>
    <col min="10251" max="10496" width="9.109375" style="10"/>
    <col min="10497" max="10497" width="21.44140625" style="10" bestFit="1" customWidth="1"/>
    <col min="10498" max="10498" width="14.33203125" style="10" customWidth="1"/>
    <col min="10499" max="10499" width="13.44140625" style="10" bestFit="1" customWidth="1"/>
    <col min="10500" max="10500" width="14.44140625" style="10" bestFit="1" customWidth="1"/>
    <col min="10501" max="10501" width="12.33203125" style="10" bestFit="1" customWidth="1"/>
    <col min="10502" max="10502" width="39.33203125" style="10" customWidth="1"/>
    <col min="10503" max="10503" width="13.44140625" style="10" bestFit="1" customWidth="1"/>
    <col min="10504" max="10504" width="14.44140625" style="10" bestFit="1" customWidth="1"/>
    <col min="10505" max="10505" width="15" style="10" bestFit="1" customWidth="1"/>
    <col min="10506" max="10506" width="11.6640625" style="10" bestFit="1" customWidth="1"/>
    <col min="10507" max="10752" width="9.109375" style="10"/>
    <col min="10753" max="10753" width="21.44140625" style="10" bestFit="1" customWidth="1"/>
    <col min="10754" max="10754" width="14.33203125" style="10" customWidth="1"/>
    <col min="10755" max="10755" width="13.44140625" style="10" bestFit="1" customWidth="1"/>
    <col min="10756" max="10756" width="14.44140625" style="10" bestFit="1" customWidth="1"/>
    <col min="10757" max="10757" width="12.33203125" style="10" bestFit="1" customWidth="1"/>
    <col min="10758" max="10758" width="39.33203125" style="10" customWidth="1"/>
    <col min="10759" max="10759" width="13.44140625" style="10" bestFit="1" customWidth="1"/>
    <col min="10760" max="10760" width="14.44140625" style="10" bestFit="1" customWidth="1"/>
    <col min="10761" max="10761" width="15" style="10" bestFit="1" customWidth="1"/>
    <col min="10762" max="10762" width="11.6640625" style="10" bestFit="1" customWidth="1"/>
    <col min="10763" max="11008" width="9.109375" style="10"/>
    <col min="11009" max="11009" width="21.44140625" style="10" bestFit="1" customWidth="1"/>
    <col min="11010" max="11010" width="14.33203125" style="10" customWidth="1"/>
    <col min="11011" max="11011" width="13.44140625" style="10" bestFit="1" customWidth="1"/>
    <col min="11012" max="11012" width="14.44140625" style="10" bestFit="1" customWidth="1"/>
    <col min="11013" max="11013" width="12.33203125" style="10" bestFit="1" customWidth="1"/>
    <col min="11014" max="11014" width="39.33203125" style="10" customWidth="1"/>
    <col min="11015" max="11015" width="13.44140625" style="10" bestFit="1" customWidth="1"/>
    <col min="11016" max="11016" width="14.44140625" style="10" bestFit="1" customWidth="1"/>
    <col min="11017" max="11017" width="15" style="10" bestFit="1" customWidth="1"/>
    <col min="11018" max="11018" width="11.6640625" style="10" bestFit="1" customWidth="1"/>
    <col min="11019" max="11264" width="9.109375" style="10"/>
    <col min="11265" max="11265" width="21.44140625" style="10" bestFit="1" customWidth="1"/>
    <col min="11266" max="11266" width="14.33203125" style="10" customWidth="1"/>
    <col min="11267" max="11267" width="13.44140625" style="10" bestFit="1" customWidth="1"/>
    <col min="11268" max="11268" width="14.44140625" style="10" bestFit="1" customWidth="1"/>
    <col min="11269" max="11269" width="12.33203125" style="10" bestFit="1" customWidth="1"/>
    <col min="11270" max="11270" width="39.33203125" style="10" customWidth="1"/>
    <col min="11271" max="11271" width="13.44140625" style="10" bestFit="1" customWidth="1"/>
    <col min="11272" max="11272" width="14.44140625" style="10" bestFit="1" customWidth="1"/>
    <col min="11273" max="11273" width="15" style="10" bestFit="1" customWidth="1"/>
    <col min="11274" max="11274" width="11.6640625" style="10" bestFit="1" customWidth="1"/>
    <col min="11275" max="11520" width="9.109375" style="10"/>
    <col min="11521" max="11521" width="21.44140625" style="10" bestFit="1" customWidth="1"/>
    <col min="11522" max="11522" width="14.33203125" style="10" customWidth="1"/>
    <col min="11523" max="11523" width="13.44140625" style="10" bestFit="1" customWidth="1"/>
    <col min="11524" max="11524" width="14.44140625" style="10" bestFit="1" customWidth="1"/>
    <col min="11525" max="11525" width="12.33203125" style="10" bestFit="1" customWidth="1"/>
    <col min="11526" max="11526" width="39.33203125" style="10" customWidth="1"/>
    <col min="11527" max="11527" width="13.44140625" style="10" bestFit="1" customWidth="1"/>
    <col min="11528" max="11528" width="14.44140625" style="10" bestFit="1" customWidth="1"/>
    <col min="11529" max="11529" width="15" style="10" bestFit="1" customWidth="1"/>
    <col min="11530" max="11530" width="11.6640625" style="10" bestFit="1" customWidth="1"/>
    <col min="11531" max="11776" width="9.109375" style="10"/>
    <col min="11777" max="11777" width="21.44140625" style="10" bestFit="1" customWidth="1"/>
    <col min="11778" max="11778" width="14.33203125" style="10" customWidth="1"/>
    <col min="11779" max="11779" width="13.44140625" style="10" bestFit="1" customWidth="1"/>
    <col min="11780" max="11780" width="14.44140625" style="10" bestFit="1" customWidth="1"/>
    <col min="11781" max="11781" width="12.33203125" style="10" bestFit="1" customWidth="1"/>
    <col min="11782" max="11782" width="39.33203125" style="10" customWidth="1"/>
    <col min="11783" max="11783" width="13.44140625" style="10" bestFit="1" customWidth="1"/>
    <col min="11784" max="11784" width="14.44140625" style="10" bestFit="1" customWidth="1"/>
    <col min="11785" max="11785" width="15" style="10" bestFit="1" customWidth="1"/>
    <col min="11786" max="11786" width="11.6640625" style="10" bestFit="1" customWidth="1"/>
    <col min="11787" max="12032" width="9.109375" style="10"/>
    <col min="12033" max="12033" width="21.44140625" style="10" bestFit="1" customWidth="1"/>
    <col min="12034" max="12034" width="14.33203125" style="10" customWidth="1"/>
    <col min="12035" max="12035" width="13.44140625" style="10" bestFit="1" customWidth="1"/>
    <col min="12036" max="12036" width="14.44140625" style="10" bestFit="1" customWidth="1"/>
    <col min="12037" max="12037" width="12.33203125" style="10" bestFit="1" customWidth="1"/>
    <col min="12038" max="12038" width="39.33203125" style="10" customWidth="1"/>
    <col min="12039" max="12039" width="13.44140625" style="10" bestFit="1" customWidth="1"/>
    <col min="12040" max="12040" width="14.44140625" style="10" bestFit="1" customWidth="1"/>
    <col min="12041" max="12041" width="15" style="10" bestFit="1" customWidth="1"/>
    <col min="12042" max="12042" width="11.6640625" style="10" bestFit="1" customWidth="1"/>
    <col min="12043" max="12288" width="9.109375" style="10"/>
    <col min="12289" max="12289" width="21.44140625" style="10" bestFit="1" customWidth="1"/>
    <col min="12290" max="12290" width="14.33203125" style="10" customWidth="1"/>
    <col min="12291" max="12291" width="13.44140625" style="10" bestFit="1" customWidth="1"/>
    <col min="12292" max="12292" width="14.44140625" style="10" bestFit="1" customWidth="1"/>
    <col min="12293" max="12293" width="12.33203125" style="10" bestFit="1" customWidth="1"/>
    <col min="12294" max="12294" width="39.33203125" style="10" customWidth="1"/>
    <col min="12295" max="12295" width="13.44140625" style="10" bestFit="1" customWidth="1"/>
    <col min="12296" max="12296" width="14.44140625" style="10" bestFit="1" customWidth="1"/>
    <col min="12297" max="12297" width="15" style="10" bestFit="1" customWidth="1"/>
    <col min="12298" max="12298" width="11.6640625" style="10" bestFit="1" customWidth="1"/>
    <col min="12299" max="12544" width="9.109375" style="10"/>
    <col min="12545" max="12545" width="21.44140625" style="10" bestFit="1" customWidth="1"/>
    <col min="12546" max="12546" width="14.33203125" style="10" customWidth="1"/>
    <col min="12547" max="12547" width="13.44140625" style="10" bestFit="1" customWidth="1"/>
    <col min="12548" max="12548" width="14.44140625" style="10" bestFit="1" customWidth="1"/>
    <col min="12549" max="12549" width="12.33203125" style="10" bestFit="1" customWidth="1"/>
    <col min="12550" max="12550" width="39.33203125" style="10" customWidth="1"/>
    <col min="12551" max="12551" width="13.44140625" style="10" bestFit="1" customWidth="1"/>
    <col min="12552" max="12552" width="14.44140625" style="10" bestFit="1" customWidth="1"/>
    <col min="12553" max="12553" width="15" style="10" bestFit="1" customWidth="1"/>
    <col min="12554" max="12554" width="11.6640625" style="10" bestFit="1" customWidth="1"/>
    <col min="12555" max="12800" width="9.109375" style="10"/>
    <col min="12801" max="12801" width="21.44140625" style="10" bestFit="1" customWidth="1"/>
    <col min="12802" max="12802" width="14.33203125" style="10" customWidth="1"/>
    <col min="12803" max="12803" width="13.44140625" style="10" bestFit="1" customWidth="1"/>
    <col min="12804" max="12804" width="14.44140625" style="10" bestFit="1" customWidth="1"/>
    <col min="12805" max="12805" width="12.33203125" style="10" bestFit="1" customWidth="1"/>
    <col min="12806" max="12806" width="39.33203125" style="10" customWidth="1"/>
    <col min="12807" max="12807" width="13.44140625" style="10" bestFit="1" customWidth="1"/>
    <col min="12808" max="12808" width="14.44140625" style="10" bestFit="1" customWidth="1"/>
    <col min="12809" max="12809" width="15" style="10" bestFit="1" customWidth="1"/>
    <col min="12810" max="12810" width="11.6640625" style="10" bestFit="1" customWidth="1"/>
    <col min="12811" max="13056" width="9.109375" style="10"/>
    <col min="13057" max="13057" width="21.44140625" style="10" bestFit="1" customWidth="1"/>
    <col min="13058" max="13058" width="14.33203125" style="10" customWidth="1"/>
    <col min="13059" max="13059" width="13.44140625" style="10" bestFit="1" customWidth="1"/>
    <col min="13060" max="13060" width="14.44140625" style="10" bestFit="1" customWidth="1"/>
    <col min="13061" max="13061" width="12.33203125" style="10" bestFit="1" customWidth="1"/>
    <col min="13062" max="13062" width="39.33203125" style="10" customWidth="1"/>
    <col min="13063" max="13063" width="13.44140625" style="10" bestFit="1" customWidth="1"/>
    <col min="13064" max="13064" width="14.44140625" style="10" bestFit="1" customWidth="1"/>
    <col min="13065" max="13065" width="15" style="10" bestFit="1" customWidth="1"/>
    <col min="13066" max="13066" width="11.6640625" style="10" bestFit="1" customWidth="1"/>
    <col min="13067" max="13312" width="9.109375" style="10"/>
    <col min="13313" max="13313" width="21.44140625" style="10" bestFit="1" customWidth="1"/>
    <col min="13314" max="13314" width="14.33203125" style="10" customWidth="1"/>
    <col min="13315" max="13315" width="13.44140625" style="10" bestFit="1" customWidth="1"/>
    <col min="13316" max="13316" width="14.44140625" style="10" bestFit="1" customWidth="1"/>
    <col min="13317" max="13317" width="12.33203125" style="10" bestFit="1" customWidth="1"/>
    <col min="13318" max="13318" width="39.33203125" style="10" customWidth="1"/>
    <col min="13319" max="13319" width="13.44140625" style="10" bestFit="1" customWidth="1"/>
    <col min="13320" max="13320" width="14.44140625" style="10" bestFit="1" customWidth="1"/>
    <col min="13321" max="13321" width="15" style="10" bestFit="1" customWidth="1"/>
    <col min="13322" max="13322" width="11.6640625" style="10" bestFit="1" customWidth="1"/>
    <col min="13323" max="13568" width="9.109375" style="10"/>
    <col min="13569" max="13569" width="21.44140625" style="10" bestFit="1" customWidth="1"/>
    <col min="13570" max="13570" width="14.33203125" style="10" customWidth="1"/>
    <col min="13571" max="13571" width="13.44140625" style="10" bestFit="1" customWidth="1"/>
    <col min="13572" max="13572" width="14.44140625" style="10" bestFit="1" customWidth="1"/>
    <col min="13573" max="13573" width="12.33203125" style="10" bestFit="1" customWidth="1"/>
    <col min="13574" max="13574" width="39.33203125" style="10" customWidth="1"/>
    <col min="13575" max="13575" width="13.44140625" style="10" bestFit="1" customWidth="1"/>
    <col min="13576" max="13576" width="14.44140625" style="10" bestFit="1" customWidth="1"/>
    <col min="13577" max="13577" width="15" style="10" bestFit="1" customWidth="1"/>
    <col min="13578" max="13578" width="11.6640625" style="10" bestFit="1" customWidth="1"/>
    <col min="13579" max="13824" width="9.109375" style="10"/>
    <col min="13825" max="13825" width="21.44140625" style="10" bestFit="1" customWidth="1"/>
    <col min="13826" max="13826" width="14.33203125" style="10" customWidth="1"/>
    <col min="13827" max="13827" width="13.44140625" style="10" bestFit="1" customWidth="1"/>
    <col min="13828" max="13828" width="14.44140625" style="10" bestFit="1" customWidth="1"/>
    <col min="13829" max="13829" width="12.33203125" style="10" bestFit="1" customWidth="1"/>
    <col min="13830" max="13830" width="39.33203125" style="10" customWidth="1"/>
    <col min="13831" max="13831" width="13.44140625" style="10" bestFit="1" customWidth="1"/>
    <col min="13832" max="13832" width="14.44140625" style="10" bestFit="1" customWidth="1"/>
    <col min="13833" max="13833" width="15" style="10" bestFit="1" customWidth="1"/>
    <col min="13834" max="13834" width="11.6640625" style="10" bestFit="1" customWidth="1"/>
    <col min="13835" max="14080" width="9.109375" style="10"/>
    <col min="14081" max="14081" width="21.44140625" style="10" bestFit="1" customWidth="1"/>
    <col min="14082" max="14082" width="14.33203125" style="10" customWidth="1"/>
    <col min="14083" max="14083" width="13.44140625" style="10" bestFit="1" customWidth="1"/>
    <col min="14084" max="14084" width="14.44140625" style="10" bestFit="1" customWidth="1"/>
    <col min="14085" max="14085" width="12.33203125" style="10" bestFit="1" customWidth="1"/>
    <col min="14086" max="14086" width="39.33203125" style="10" customWidth="1"/>
    <col min="14087" max="14087" width="13.44140625" style="10" bestFit="1" customWidth="1"/>
    <col min="14088" max="14088" width="14.44140625" style="10" bestFit="1" customWidth="1"/>
    <col min="14089" max="14089" width="15" style="10" bestFit="1" customWidth="1"/>
    <col min="14090" max="14090" width="11.6640625" style="10" bestFit="1" customWidth="1"/>
    <col min="14091" max="14336" width="9.109375" style="10"/>
    <col min="14337" max="14337" width="21.44140625" style="10" bestFit="1" customWidth="1"/>
    <col min="14338" max="14338" width="14.33203125" style="10" customWidth="1"/>
    <col min="14339" max="14339" width="13.44140625" style="10" bestFit="1" customWidth="1"/>
    <col min="14340" max="14340" width="14.44140625" style="10" bestFit="1" customWidth="1"/>
    <col min="14341" max="14341" width="12.33203125" style="10" bestFit="1" customWidth="1"/>
    <col min="14342" max="14342" width="39.33203125" style="10" customWidth="1"/>
    <col min="14343" max="14343" width="13.44140625" style="10" bestFit="1" customWidth="1"/>
    <col min="14344" max="14344" width="14.44140625" style="10" bestFit="1" customWidth="1"/>
    <col min="14345" max="14345" width="15" style="10" bestFit="1" customWidth="1"/>
    <col min="14346" max="14346" width="11.6640625" style="10" bestFit="1" customWidth="1"/>
    <col min="14347" max="14592" width="9.109375" style="10"/>
    <col min="14593" max="14593" width="21.44140625" style="10" bestFit="1" customWidth="1"/>
    <col min="14594" max="14594" width="14.33203125" style="10" customWidth="1"/>
    <col min="14595" max="14595" width="13.44140625" style="10" bestFit="1" customWidth="1"/>
    <col min="14596" max="14596" width="14.44140625" style="10" bestFit="1" customWidth="1"/>
    <col min="14597" max="14597" width="12.33203125" style="10" bestFit="1" customWidth="1"/>
    <col min="14598" max="14598" width="39.33203125" style="10" customWidth="1"/>
    <col min="14599" max="14599" width="13.44140625" style="10" bestFit="1" customWidth="1"/>
    <col min="14600" max="14600" width="14.44140625" style="10" bestFit="1" customWidth="1"/>
    <col min="14601" max="14601" width="15" style="10" bestFit="1" customWidth="1"/>
    <col min="14602" max="14602" width="11.6640625" style="10" bestFit="1" customWidth="1"/>
    <col min="14603" max="14848" width="9.109375" style="10"/>
    <col min="14849" max="14849" width="21.44140625" style="10" bestFit="1" customWidth="1"/>
    <col min="14850" max="14850" width="14.33203125" style="10" customWidth="1"/>
    <col min="14851" max="14851" width="13.44140625" style="10" bestFit="1" customWidth="1"/>
    <col min="14852" max="14852" width="14.44140625" style="10" bestFit="1" customWidth="1"/>
    <col min="14853" max="14853" width="12.33203125" style="10" bestFit="1" customWidth="1"/>
    <col min="14854" max="14854" width="39.33203125" style="10" customWidth="1"/>
    <col min="14855" max="14855" width="13.44140625" style="10" bestFit="1" customWidth="1"/>
    <col min="14856" max="14856" width="14.44140625" style="10" bestFit="1" customWidth="1"/>
    <col min="14857" max="14857" width="15" style="10" bestFit="1" customWidth="1"/>
    <col min="14858" max="14858" width="11.6640625" style="10" bestFit="1" customWidth="1"/>
    <col min="14859" max="15104" width="9.109375" style="10"/>
    <col min="15105" max="15105" width="21.44140625" style="10" bestFit="1" customWidth="1"/>
    <col min="15106" max="15106" width="14.33203125" style="10" customWidth="1"/>
    <col min="15107" max="15107" width="13.44140625" style="10" bestFit="1" customWidth="1"/>
    <col min="15108" max="15108" width="14.44140625" style="10" bestFit="1" customWidth="1"/>
    <col min="15109" max="15109" width="12.33203125" style="10" bestFit="1" customWidth="1"/>
    <col min="15110" max="15110" width="39.33203125" style="10" customWidth="1"/>
    <col min="15111" max="15111" width="13.44140625" style="10" bestFit="1" customWidth="1"/>
    <col min="15112" max="15112" width="14.44140625" style="10" bestFit="1" customWidth="1"/>
    <col min="15113" max="15113" width="15" style="10" bestFit="1" customWidth="1"/>
    <col min="15114" max="15114" width="11.6640625" style="10" bestFit="1" customWidth="1"/>
    <col min="15115" max="15360" width="9.109375" style="10"/>
    <col min="15361" max="15361" width="21.44140625" style="10" bestFit="1" customWidth="1"/>
    <col min="15362" max="15362" width="14.33203125" style="10" customWidth="1"/>
    <col min="15363" max="15363" width="13.44140625" style="10" bestFit="1" customWidth="1"/>
    <col min="15364" max="15364" width="14.44140625" style="10" bestFit="1" customWidth="1"/>
    <col min="15365" max="15365" width="12.33203125" style="10" bestFit="1" customWidth="1"/>
    <col min="15366" max="15366" width="39.33203125" style="10" customWidth="1"/>
    <col min="15367" max="15367" width="13.44140625" style="10" bestFit="1" customWidth="1"/>
    <col min="15368" max="15368" width="14.44140625" style="10" bestFit="1" customWidth="1"/>
    <col min="15369" max="15369" width="15" style="10" bestFit="1" customWidth="1"/>
    <col min="15370" max="15370" width="11.6640625" style="10" bestFit="1" customWidth="1"/>
    <col min="15371" max="15616" width="9.109375" style="10"/>
    <col min="15617" max="15617" width="21.44140625" style="10" bestFit="1" customWidth="1"/>
    <col min="15618" max="15618" width="14.33203125" style="10" customWidth="1"/>
    <col min="15619" max="15619" width="13.44140625" style="10" bestFit="1" customWidth="1"/>
    <col min="15620" max="15620" width="14.44140625" style="10" bestFit="1" customWidth="1"/>
    <col min="15621" max="15621" width="12.33203125" style="10" bestFit="1" customWidth="1"/>
    <col min="15622" max="15622" width="39.33203125" style="10" customWidth="1"/>
    <col min="15623" max="15623" width="13.44140625" style="10" bestFit="1" customWidth="1"/>
    <col min="15624" max="15624" width="14.44140625" style="10" bestFit="1" customWidth="1"/>
    <col min="15625" max="15625" width="15" style="10" bestFit="1" customWidth="1"/>
    <col min="15626" max="15626" width="11.6640625" style="10" bestFit="1" customWidth="1"/>
    <col min="15627" max="15872" width="9.109375" style="10"/>
    <col min="15873" max="15873" width="21.44140625" style="10" bestFit="1" customWidth="1"/>
    <col min="15874" max="15874" width="14.33203125" style="10" customWidth="1"/>
    <col min="15875" max="15875" width="13.44140625" style="10" bestFit="1" customWidth="1"/>
    <col min="15876" max="15876" width="14.44140625" style="10" bestFit="1" customWidth="1"/>
    <col min="15877" max="15877" width="12.33203125" style="10" bestFit="1" customWidth="1"/>
    <col min="15878" max="15878" width="39.33203125" style="10" customWidth="1"/>
    <col min="15879" max="15879" width="13.44140625" style="10" bestFit="1" customWidth="1"/>
    <col min="15880" max="15880" width="14.44140625" style="10" bestFit="1" customWidth="1"/>
    <col min="15881" max="15881" width="15" style="10" bestFit="1" customWidth="1"/>
    <col min="15882" max="15882" width="11.6640625" style="10" bestFit="1" customWidth="1"/>
    <col min="15883" max="16128" width="9.109375" style="10"/>
    <col min="16129" max="16129" width="21.44140625" style="10" bestFit="1" customWidth="1"/>
    <col min="16130" max="16130" width="14.33203125" style="10" customWidth="1"/>
    <col min="16131" max="16131" width="13.44140625" style="10" bestFit="1" customWidth="1"/>
    <col min="16132" max="16132" width="14.44140625" style="10" bestFit="1" customWidth="1"/>
    <col min="16133" max="16133" width="12.33203125" style="10" bestFit="1" customWidth="1"/>
    <col min="16134" max="16134" width="39.33203125" style="10" customWidth="1"/>
    <col min="16135" max="16135" width="13.44140625" style="10" bestFit="1" customWidth="1"/>
    <col min="16136" max="16136" width="14.44140625" style="10" bestFit="1" customWidth="1"/>
    <col min="16137" max="16137" width="15" style="10" bestFit="1" customWidth="1"/>
    <col min="16138" max="16138" width="11.6640625" style="10" bestFit="1" customWidth="1"/>
    <col min="16139" max="16384" width="9.109375" style="10"/>
  </cols>
  <sheetData>
    <row r="1" spans="1:9" ht="17.399999999999999" x14ac:dyDescent="0.3">
      <c r="A1" s="9" t="s">
        <v>198</v>
      </c>
      <c r="B1" s="9"/>
      <c r="D1" s="11"/>
      <c r="G1" s="11">
        <v>37891</v>
      </c>
      <c r="H1" s="11">
        <v>37526</v>
      </c>
      <c r="I1" s="11">
        <v>37161</v>
      </c>
    </row>
    <row r="2" spans="1:9" x14ac:dyDescent="0.25">
      <c r="F2" s="10" t="s">
        <v>199</v>
      </c>
    </row>
    <row r="3" spans="1:9" x14ac:dyDescent="0.25">
      <c r="B3" s="11">
        <v>38025</v>
      </c>
      <c r="C3" s="11">
        <v>37660</v>
      </c>
      <c r="D3" s="12"/>
      <c r="F3" s="10" t="s">
        <v>200</v>
      </c>
      <c r="G3" s="12">
        <v>337000000</v>
      </c>
      <c r="H3" s="12">
        <v>383000000</v>
      </c>
      <c r="I3" s="12">
        <v>88000000</v>
      </c>
    </row>
    <row r="4" spans="1:9" x14ac:dyDescent="0.25">
      <c r="A4" s="10" t="s">
        <v>201</v>
      </c>
      <c r="F4" s="10" t="s">
        <v>202</v>
      </c>
    </row>
    <row r="5" spans="1:9" x14ac:dyDescent="0.25">
      <c r="A5" s="10" t="s">
        <v>199</v>
      </c>
      <c r="D5" s="12"/>
      <c r="F5" s="10" t="s">
        <v>203</v>
      </c>
      <c r="G5" s="12">
        <v>427000000</v>
      </c>
      <c r="H5" s="12">
        <v>431000000</v>
      </c>
      <c r="I5" s="12">
        <v>294000000</v>
      </c>
    </row>
    <row r="6" spans="1:9" x14ac:dyDescent="0.25">
      <c r="A6" s="10" t="s">
        <v>204</v>
      </c>
      <c r="B6" s="12">
        <v>403000000</v>
      </c>
      <c r="C6" s="12">
        <v>337000000</v>
      </c>
      <c r="D6" s="12"/>
      <c r="F6" s="10" t="s">
        <v>205</v>
      </c>
      <c r="G6" s="12">
        <v>31000000</v>
      </c>
      <c r="H6" s="12">
        <v>36000000</v>
      </c>
      <c r="I6" s="12">
        <v>41000000</v>
      </c>
    </row>
    <row r="7" spans="1:9" x14ac:dyDescent="0.25">
      <c r="A7" s="10" t="s">
        <v>206</v>
      </c>
      <c r="D7" s="12"/>
      <c r="F7" s="10" t="s">
        <v>207</v>
      </c>
      <c r="G7" s="12">
        <v>22000000</v>
      </c>
      <c r="H7" s="12">
        <v>0</v>
      </c>
      <c r="I7" s="12">
        <v>0</v>
      </c>
    </row>
    <row r="8" spans="1:9" x14ac:dyDescent="0.25">
      <c r="A8" s="10" t="s">
        <v>208</v>
      </c>
      <c r="B8" s="12">
        <v>458000000</v>
      </c>
      <c r="C8" s="12">
        <v>427000000</v>
      </c>
      <c r="D8" s="12"/>
      <c r="F8" s="10" t="s">
        <v>209</v>
      </c>
      <c r="G8" s="12">
        <v>0</v>
      </c>
      <c r="H8" s="12">
        <v>27000000</v>
      </c>
      <c r="I8" s="12">
        <v>0</v>
      </c>
    </row>
    <row r="9" spans="1:9" x14ac:dyDescent="0.25">
      <c r="A9" s="10" t="s">
        <v>210</v>
      </c>
      <c r="B9" s="12">
        <v>32000000</v>
      </c>
      <c r="C9" s="12">
        <v>31000000</v>
      </c>
      <c r="D9" s="12"/>
      <c r="F9" s="10" t="s">
        <v>211</v>
      </c>
      <c r="G9" s="12">
        <v>0</v>
      </c>
      <c r="H9" s="12">
        <v>-22000000</v>
      </c>
      <c r="I9" s="12">
        <v>0</v>
      </c>
    </row>
    <row r="10" spans="1:9" x14ac:dyDescent="0.25">
      <c r="A10" s="10" t="s">
        <v>212</v>
      </c>
      <c r="B10" s="12">
        <v>28000000</v>
      </c>
      <c r="C10" s="12">
        <v>22000000</v>
      </c>
      <c r="D10" s="12"/>
      <c r="F10" s="10" t="s">
        <v>213</v>
      </c>
      <c r="G10" s="12">
        <v>113000000</v>
      </c>
      <c r="H10" s="12">
        <v>22000000</v>
      </c>
      <c r="I10" s="12">
        <v>-47000000</v>
      </c>
    </row>
    <row r="11" spans="1:9" x14ac:dyDescent="0.25">
      <c r="A11" s="10" t="s">
        <v>214</v>
      </c>
      <c r="B11" s="12">
        <v>46000000</v>
      </c>
      <c r="C11" s="12">
        <v>0</v>
      </c>
      <c r="D11" s="12"/>
      <c r="F11" s="10" t="s">
        <v>215</v>
      </c>
      <c r="G11" s="12">
        <v>36000000</v>
      </c>
      <c r="H11" s="12">
        <v>20000000</v>
      </c>
      <c r="I11" s="12">
        <v>21000000</v>
      </c>
    </row>
    <row r="12" spans="1:9" x14ac:dyDescent="0.25">
      <c r="A12" s="10" t="s">
        <v>216</v>
      </c>
      <c r="B12" s="12">
        <v>8000000</v>
      </c>
      <c r="C12" s="12">
        <v>113000000</v>
      </c>
      <c r="D12" s="12"/>
      <c r="F12" s="10" t="s">
        <v>217</v>
      </c>
      <c r="G12" s="12">
        <v>-179000000</v>
      </c>
      <c r="H12" s="12">
        <v>44000000</v>
      </c>
      <c r="I12" s="12">
        <v>-45000000</v>
      </c>
    </row>
    <row r="13" spans="1:9" x14ac:dyDescent="0.25">
      <c r="A13" s="10" t="s">
        <v>218</v>
      </c>
      <c r="B13" s="12">
        <v>4000000</v>
      </c>
      <c r="C13" s="12">
        <v>36000000</v>
      </c>
      <c r="D13" s="12"/>
      <c r="F13" s="10" t="s">
        <v>219</v>
      </c>
      <c r="G13" s="12">
        <v>-78000000</v>
      </c>
      <c r="H13" s="12">
        <v>-4000000</v>
      </c>
      <c r="I13" s="12">
        <v>-15000000</v>
      </c>
    </row>
    <row r="14" spans="1:9" x14ac:dyDescent="0.25">
      <c r="A14" s="10" t="s">
        <v>220</v>
      </c>
      <c r="B14" s="12">
        <v>67000000</v>
      </c>
      <c r="C14" s="12">
        <v>-179000000</v>
      </c>
      <c r="D14" s="12"/>
      <c r="F14" s="10" t="s">
        <v>221</v>
      </c>
      <c r="G14" s="12">
        <v>60000000</v>
      </c>
      <c r="H14" s="12">
        <v>-30000000</v>
      </c>
      <c r="I14" s="12">
        <v>89000000</v>
      </c>
    </row>
    <row r="15" spans="1:9" x14ac:dyDescent="0.25">
      <c r="A15" s="10" t="s">
        <v>222</v>
      </c>
      <c r="D15" s="12"/>
      <c r="F15" s="10" t="s">
        <v>223</v>
      </c>
      <c r="G15" s="12">
        <v>51000000</v>
      </c>
      <c r="H15" s="12">
        <v>267000000</v>
      </c>
      <c r="I15" s="12">
        <v>85000000</v>
      </c>
    </row>
    <row r="16" spans="1:9" x14ac:dyDescent="0.25">
      <c r="A16" s="10" t="s">
        <v>224</v>
      </c>
      <c r="B16" s="12">
        <v>-65000000</v>
      </c>
      <c r="C16" s="12">
        <v>-78000000</v>
      </c>
      <c r="F16" s="10" t="s">
        <v>225</v>
      </c>
      <c r="G16" s="12">
        <v>820000000</v>
      </c>
      <c r="H16" s="12">
        <v>1174000000</v>
      </c>
      <c r="I16" s="12">
        <v>511000000</v>
      </c>
    </row>
    <row r="17" spans="1:9" x14ac:dyDescent="0.25">
      <c r="A17" s="10" t="s">
        <v>226</v>
      </c>
      <c r="B17" s="12">
        <v>109000000</v>
      </c>
      <c r="C17" s="12">
        <v>60000000</v>
      </c>
      <c r="D17" s="12"/>
      <c r="F17" s="10" t="s">
        <v>227</v>
      </c>
    </row>
    <row r="18" spans="1:9" x14ac:dyDescent="0.25">
      <c r="A18" s="10" t="s">
        <v>228</v>
      </c>
      <c r="B18" s="12">
        <v>-158000000</v>
      </c>
      <c r="C18" s="12">
        <v>51000000</v>
      </c>
      <c r="F18" s="10" t="s">
        <v>229</v>
      </c>
      <c r="G18" s="12">
        <v>-402000000</v>
      </c>
      <c r="H18" s="12">
        <v>-433000000</v>
      </c>
      <c r="I18" s="12">
        <v>-261000000</v>
      </c>
    </row>
    <row r="19" spans="1:9" x14ac:dyDescent="0.25">
      <c r="A19" s="10" t="s">
        <v>230</v>
      </c>
      <c r="D19" s="12"/>
      <c r="F19" s="10" t="s">
        <v>231</v>
      </c>
      <c r="G19" s="12">
        <v>30000000</v>
      </c>
      <c r="H19" s="12">
        <v>14000000</v>
      </c>
      <c r="I19" s="12">
        <v>33000000</v>
      </c>
    </row>
    <row r="20" spans="1:9" x14ac:dyDescent="0.25">
      <c r="A20" s="10" t="s">
        <v>232</v>
      </c>
      <c r="B20" s="12">
        <v>932000000</v>
      </c>
      <c r="C20" s="12">
        <v>820000000</v>
      </c>
      <c r="D20" s="12"/>
      <c r="F20" s="10" t="s">
        <v>233</v>
      </c>
      <c r="G20" s="12">
        <v>0</v>
      </c>
      <c r="H20" s="12">
        <v>131000000</v>
      </c>
      <c r="I20" s="12">
        <v>0</v>
      </c>
    </row>
    <row r="21" spans="1:9" x14ac:dyDescent="0.25">
      <c r="A21" s="10" t="s">
        <v>227</v>
      </c>
      <c r="D21" s="12"/>
      <c r="F21" s="10" t="s">
        <v>234</v>
      </c>
      <c r="G21" s="12">
        <v>0</v>
      </c>
      <c r="H21" s="12">
        <v>0</v>
      </c>
      <c r="I21" s="12">
        <v>-1670000000</v>
      </c>
    </row>
    <row r="22" spans="1:9" x14ac:dyDescent="0.25">
      <c r="A22" s="10" t="s">
        <v>235</v>
      </c>
      <c r="B22" s="12">
        <v>-486000000</v>
      </c>
      <c r="C22" s="12">
        <v>-402000000</v>
      </c>
      <c r="D22" s="12"/>
      <c r="F22" s="10" t="s">
        <v>236</v>
      </c>
      <c r="G22" s="12">
        <v>0</v>
      </c>
      <c r="H22" s="12">
        <v>-73000000</v>
      </c>
      <c r="I22" s="12">
        <v>-33000000</v>
      </c>
    </row>
    <row r="23" spans="1:9" x14ac:dyDescent="0.25">
      <c r="A23" s="10" t="s">
        <v>237</v>
      </c>
      <c r="B23" s="12">
        <v>27000000</v>
      </c>
      <c r="C23" s="12">
        <v>30000000</v>
      </c>
      <c r="D23" s="12"/>
      <c r="F23" s="10" t="s">
        <v>238</v>
      </c>
      <c r="G23" s="12">
        <v>0</v>
      </c>
      <c r="H23" s="12">
        <v>0</v>
      </c>
      <c r="I23" s="12">
        <v>-19000000</v>
      </c>
    </row>
    <row r="24" spans="1:9" x14ac:dyDescent="0.25">
      <c r="A24" s="10" t="s">
        <v>239</v>
      </c>
      <c r="B24" s="12">
        <v>-99000000</v>
      </c>
      <c r="C24" s="12">
        <v>0</v>
      </c>
      <c r="D24" s="12"/>
      <c r="F24" s="10" t="s">
        <v>240</v>
      </c>
      <c r="G24" s="12">
        <v>4000000</v>
      </c>
      <c r="H24" s="12">
        <v>94000000</v>
      </c>
      <c r="I24" s="12">
        <v>-23000000</v>
      </c>
    </row>
    <row r="25" spans="1:9" x14ac:dyDescent="0.25">
      <c r="A25" s="10" t="s">
        <v>241</v>
      </c>
      <c r="B25" s="12">
        <v>0</v>
      </c>
      <c r="C25" s="12">
        <v>0</v>
      </c>
      <c r="D25" s="12"/>
      <c r="F25" s="10" t="s">
        <v>242</v>
      </c>
      <c r="G25" s="12">
        <v>7000000</v>
      </c>
      <c r="H25" s="12">
        <v>-61000000</v>
      </c>
      <c r="I25" s="12">
        <v>-45000000</v>
      </c>
    </row>
    <row r="26" spans="1:9" x14ac:dyDescent="0.25">
      <c r="A26" s="10" t="s">
        <v>243</v>
      </c>
      <c r="B26" s="12">
        <v>-42000000</v>
      </c>
      <c r="C26" s="12">
        <v>11000000</v>
      </c>
      <c r="D26" s="12"/>
      <c r="F26" s="10" t="s">
        <v>244</v>
      </c>
      <c r="G26" s="12">
        <v>-361000000</v>
      </c>
      <c r="H26" s="12">
        <v>-328000000</v>
      </c>
      <c r="I26" s="12">
        <v>-2018000000</v>
      </c>
    </row>
    <row r="27" spans="1:9" x14ac:dyDescent="0.25">
      <c r="A27" s="10" t="s">
        <v>245</v>
      </c>
      <c r="B27" s="12">
        <v>-600000000</v>
      </c>
      <c r="C27" s="12">
        <v>-361000000</v>
      </c>
      <c r="F27" s="10" t="s">
        <v>246</v>
      </c>
    </row>
    <row r="28" spans="1:9" x14ac:dyDescent="0.25">
      <c r="A28" s="10" t="s">
        <v>246</v>
      </c>
      <c r="D28" s="12"/>
      <c r="F28" s="10" t="s">
        <v>247</v>
      </c>
      <c r="G28" s="12">
        <v>-387000000</v>
      </c>
      <c r="H28" s="12">
        <v>-789000000</v>
      </c>
      <c r="I28" s="12">
        <v>1584000000</v>
      </c>
    </row>
    <row r="29" spans="1:9" x14ac:dyDescent="0.25">
      <c r="A29" s="10" t="s">
        <v>248</v>
      </c>
      <c r="B29" s="12">
        <v>-242000000</v>
      </c>
      <c r="C29" s="12">
        <v>-387000000</v>
      </c>
      <c r="D29" s="12"/>
      <c r="F29" s="10" t="s">
        <v>249</v>
      </c>
      <c r="G29" s="12">
        <v>-41000000</v>
      </c>
      <c r="H29" s="12">
        <v>-19000000</v>
      </c>
      <c r="I29" s="12">
        <v>-48000000</v>
      </c>
    </row>
    <row r="30" spans="1:9" x14ac:dyDescent="0.25">
      <c r="A30" s="10" t="s">
        <v>250</v>
      </c>
      <c r="B30" s="12">
        <v>0</v>
      </c>
      <c r="C30" s="12">
        <v>0</v>
      </c>
      <c r="D30" s="12"/>
      <c r="F30" s="10" t="s">
        <v>251</v>
      </c>
      <c r="G30" s="12">
        <v>0</v>
      </c>
      <c r="H30" s="12">
        <v>0</v>
      </c>
      <c r="I30" s="12">
        <v>34000000</v>
      </c>
    </row>
    <row r="31" spans="1:9" x14ac:dyDescent="0.25">
      <c r="A31" s="10" t="s">
        <v>252</v>
      </c>
      <c r="B31" s="12">
        <v>-72000000</v>
      </c>
      <c r="C31" s="12">
        <v>-41000000</v>
      </c>
      <c r="D31" s="12"/>
      <c r="F31" s="10" t="s">
        <v>253</v>
      </c>
      <c r="G31" s="12">
        <v>-54000000</v>
      </c>
      <c r="H31" s="12">
        <v>-58000000</v>
      </c>
      <c r="I31" s="12">
        <v>-35000000</v>
      </c>
    </row>
    <row r="32" spans="1:9" x14ac:dyDescent="0.25">
      <c r="A32" s="10" t="s">
        <v>254</v>
      </c>
      <c r="B32" s="12">
        <v>-55000000</v>
      </c>
      <c r="C32" s="12">
        <v>-54000000</v>
      </c>
      <c r="D32" s="12"/>
      <c r="F32" s="10" t="s">
        <v>255</v>
      </c>
      <c r="G32" s="12">
        <v>-482000000</v>
      </c>
      <c r="H32" s="12">
        <v>-866000000</v>
      </c>
      <c r="I32" s="12">
        <v>1535000000</v>
      </c>
    </row>
    <row r="33" spans="1:9" x14ac:dyDescent="0.25">
      <c r="A33" s="10" t="s">
        <v>256</v>
      </c>
      <c r="B33" s="12">
        <v>43000000</v>
      </c>
      <c r="C33" s="12">
        <v>0</v>
      </c>
      <c r="D33" s="12"/>
      <c r="F33" s="10" t="s">
        <v>257</v>
      </c>
      <c r="G33" s="12">
        <v>-3000000</v>
      </c>
      <c r="H33" s="12">
        <v>1000000</v>
      </c>
      <c r="I33" s="12">
        <v>-1000000</v>
      </c>
    </row>
    <row r="34" spans="1:9" x14ac:dyDescent="0.25">
      <c r="A34" s="10" t="s">
        <v>258</v>
      </c>
      <c r="B34" s="12">
        <v>-326000000</v>
      </c>
      <c r="C34" s="12">
        <v>-482000000</v>
      </c>
      <c r="D34" s="12"/>
      <c r="F34" s="10" t="s">
        <v>259</v>
      </c>
      <c r="G34" s="12">
        <v>-26000000</v>
      </c>
      <c r="H34" s="12">
        <v>-19000000</v>
      </c>
      <c r="I34" s="12">
        <v>27000000</v>
      </c>
    </row>
    <row r="35" spans="1:9" x14ac:dyDescent="0.25">
      <c r="A35" s="10" t="s">
        <v>260</v>
      </c>
      <c r="B35" s="12">
        <v>2000000</v>
      </c>
      <c r="C35" s="12">
        <v>-3000000</v>
      </c>
      <c r="D35" s="12"/>
      <c r="F35" s="10" t="s">
        <v>261</v>
      </c>
      <c r="G35" s="12">
        <v>51000000</v>
      </c>
      <c r="H35" s="12">
        <v>70000000</v>
      </c>
      <c r="I35" s="12">
        <v>43000000</v>
      </c>
    </row>
    <row r="36" spans="1:9" x14ac:dyDescent="0.25">
      <c r="A36" s="10" t="s">
        <v>262</v>
      </c>
      <c r="B36" s="12">
        <v>8000000</v>
      </c>
      <c r="C36" s="12">
        <v>-26000000</v>
      </c>
      <c r="D36" s="12"/>
      <c r="F36" s="10" t="s">
        <v>263</v>
      </c>
      <c r="G36" s="12">
        <v>25000000</v>
      </c>
      <c r="H36" s="12">
        <v>51000000</v>
      </c>
      <c r="I36" s="12">
        <v>70000000</v>
      </c>
    </row>
    <row r="37" spans="1:9" x14ac:dyDescent="0.25">
      <c r="A37" s="10" t="s">
        <v>264</v>
      </c>
    </row>
    <row r="38" spans="1:9" x14ac:dyDescent="0.25">
      <c r="A38" s="10" t="s">
        <v>265</v>
      </c>
      <c r="B38" s="12">
        <v>25000000</v>
      </c>
      <c r="C38" s="12">
        <v>51000000</v>
      </c>
    </row>
    <row r="39" spans="1:9" x14ac:dyDescent="0.25">
      <c r="A39" s="10" t="s">
        <v>266</v>
      </c>
      <c r="B39" s="12">
        <v>33000000</v>
      </c>
      <c r="C39" s="12">
        <v>25000000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91939-C20E-413F-B658-B66E32B3F28A}">
  <sheetPr codeName="Sheet43"/>
  <dimension ref="A2:I54"/>
  <sheetViews>
    <sheetView workbookViewId="0">
      <selection activeCell="A19" sqref="A19"/>
    </sheetView>
  </sheetViews>
  <sheetFormatPr defaultColWidth="9.109375" defaultRowHeight="13.2" x14ac:dyDescent="0.25"/>
  <cols>
    <col min="1" max="1" width="34.44140625" style="10" bestFit="1" customWidth="1"/>
    <col min="2" max="3" width="12.6640625" style="10" bestFit="1" customWidth="1"/>
    <col min="4" max="6" width="9.109375" style="10"/>
    <col min="7" max="7" width="41.5546875" style="10" bestFit="1" customWidth="1"/>
    <col min="8" max="256" width="9.109375" style="10"/>
    <col min="257" max="257" width="34.44140625" style="10" bestFit="1" customWidth="1"/>
    <col min="258" max="259" width="12.6640625" style="10" bestFit="1" customWidth="1"/>
    <col min="260" max="262" width="9.109375" style="10"/>
    <col min="263" max="263" width="41.5546875" style="10" bestFit="1" customWidth="1"/>
    <col min="264" max="512" width="9.109375" style="10"/>
    <col min="513" max="513" width="34.44140625" style="10" bestFit="1" customWidth="1"/>
    <col min="514" max="515" width="12.6640625" style="10" bestFit="1" customWidth="1"/>
    <col min="516" max="518" width="9.109375" style="10"/>
    <col min="519" max="519" width="41.5546875" style="10" bestFit="1" customWidth="1"/>
    <col min="520" max="768" width="9.109375" style="10"/>
    <col min="769" max="769" width="34.44140625" style="10" bestFit="1" customWidth="1"/>
    <col min="770" max="771" width="12.6640625" style="10" bestFit="1" customWidth="1"/>
    <col min="772" max="774" width="9.109375" style="10"/>
    <col min="775" max="775" width="41.5546875" style="10" bestFit="1" customWidth="1"/>
    <col min="776" max="1024" width="9.109375" style="10"/>
    <col min="1025" max="1025" width="34.44140625" style="10" bestFit="1" customWidth="1"/>
    <col min="1026" max="1027" width="12.6640625" style="10" bestFit="1" customWidth="1"/>
    <col min="1028" max="1030" width="9.109375" style="10"/>
    <col min="1031" max="1031" width="41.5546875" style="10" bestFit="1" customWidth="1"/>
    <col min="1032" max="1280" width="9.109375" style="10"/>
    <col min="1281" max="1281" width="34.44140625" style="10" bestFit="1" customWidth="1"/>
    <col min="1282" max="1283" width="12.6640625" style="10" bestFit="1" customWidth="1"/>
    <col min="1284" max="1286" width="9.109375" style="10"/>
    <col min="1287" max="1287" width="41.5546875" style="10" bestFit="1" customWidth="1"/>
    <col min="1288" max="1536" width="9.109375" style="10"/>
    <col min="1537" max="1537" width="34.44140625" style="10" bestFit="1" customWidth="1"/>
    <col min="1538" max="1539" width="12.6640625" style="10" bestFit="1" customWidth="1"/>
    <col min="1540" max="1542" width="9.109375" style="10"/>
    <col min="1543" max="1543" width="41.5546875" style="10" bestFit="1" customWidth="1"/>
    <col min="1544" max="1792" width="9.109375" style="10"/>
    <col min="1793" max="1793" width="34.44140625" style="10" bestFit="1" customWidth="1"/>
    <col min="1794" max="1795" width="12.6640625" style="10" bestFit="1" customWidth="1"/>
    <col min="1796" max="1798" width="9.109375" style="10"/>
    <col min="1799" max="1799" width="41.5546875" style="10" bestFit="1" customWidth="1"/>
    <col min="1800" max="2048" width="9.109375" style="10"/>
    <col min="2049" max="2049" width="34.44140625" style="10" bestFit="1" customWidth="1"/>
    <col min="2050" max="2051" width="12.6640625" style="10" bestFit="1" customWidth="1"/>
    <col min="2052" max="2054" width="9.109375" style="10"/>
    <col min="2055" max="2055" width="41.5546875" style="10" bestFit="1" customWidth="1"/>
    <col min="2056" max="2304" width="9.109375" style="10"/>
    <col min="2305" max="2305" width="34.44140625" style="10" bestFit="1" customWidth="1"/>
    <col min="2306" max="2307" width="12.6640625" style="10" bestFit="1" customWidth="1"/>
    <col min="2308" max="2310" width="9.109375" style="10"/>
    <col min="2311" max="2311" width="41.5546875" style="10" bestFit="1" customWidth="1"/>
    <col min="2312" max="2560" width="9.109375" style="10"/>
    <col min="2561" max="2561" width="34.44140625" style="10" bestFit="1" customWidth="1"/>
    <col min="2562" max="2563" width="12.6640625" style="10" bestFit="1" customWidth="1"/>
    <col min="2564" max="2566" width="9.109375" style="10"/>
    <col min="2567" max="2567" width="41.5546875" style="10" bestFit="1" customWidth="1"/>
    <col min="2568" max="2816" width="9.109375" style="10"/>
    <col min="2817" max="2817" width="34.44140625" style="10" bestFit="1" customWidth="1"/>
    <col min="2818" max="2819" width="12.6640625" style="10" bestFit="1" customWidth="1"/>
    <col min="2820" max="2822" width="9.109375" style="10"/>
    <col min="2823" max="2823" width="41.5546875" style="10" bestFit="1" customWidth="1"/>
    <col min="2824" max="3072" width="9.109375" style="10"/>
    <col min="3073" max="3073" width="34.44140625" style="10" bestFit="1" customWidth="1"/>
    <col min="3074" max="3075" width="12.6640625" style="10" bestFit="1" customWidth="1"/>
    <col min="3076" max="3078" width="9.109375" style="10"/>
    <col min="3079" max="3079" width="41.5546875" style="10" bestFit="1" customWidth="1"/>
    <col min="3080" max="3328" width="9.109375" style="10"/>
    <col min="3329" max="3329" width="34.44140625" style="10" bestFit="1" customWidth="1"/>
    <col min="3330" max="3331" width="12.6640625" style="10" bestFit="1" customWidth="1"/>
    <col min="3332" max="3334" width="9.109375" style="10"/>
    <col min="3335" max="3335" width="41.5546875" style="10" bestFit="1" customWidth="1"/>
    <col min="3336" max="3584" width="9.109375" style="10"/>
    <col min="3585" max="3585" width="34.44140625" style="10" bestFit="1" customWidth="1"/>
    <col min="3586" max="3587" width="12.6640625" style="10" bestFit="1" customWidth="1"/>
    <col min="3588" max="3590" width="9.109375" style="10"/>
    <col min="3591" max="3591" width="41.5546875" style="10" bestFit="1" customWidth="1"/>
    <col min="3592" max="3840" width="9.109375" style="10"/>
    <col min="3841" max="3841" width="34.44140625" style="10" bestFit="1" customWidth="1"/>
    <col min="3842" max="3843" width="12.6640625" style="10" bestFit="1" customWidth="1"/>
    <col min="3844" max="3846" width="9.109375" style="10"/>
    <col min="3847" max="3847" width="41.5546875" style="10" bestFit="1" customWidth="1"/>
    <col min="3848" max="4096" width="9.109375" style="10"/>
    <col min="4097" max="4097" width="34.44140625" style="10" bestFit="1" customWidth="1"/>
    <col min="4098" max="4099" width="12.6640625" style="10" bestFit="1" customWidth="1"/>
    <col min="4100" max="4102" width="9.109375" style="10"/>
    <col min="4103" max="4103" width="41.5546875" style="10" bestFit="1" customWidth="1"/>
    <col min="4104" max="4352" width="9.109375" style="10"/>
    <col min="4353" max="4353" width="34.44140625" style="10" bestFit="1" customWidth="1"/>
    <col min="4354" max="4355" width="12.6640625" style="10" bestFit="1" customWidth="1"/>
    <col min="4356" max="4358" width="9.109375" style="10"/>
    <col min="4359" max="4359" width="41.5546875" style="10" bestFit="1" customWidth="1"/>
    <col min="4360" max="4608" width="9.109375" style="10"/>
    <col min="4609" max="4609" width="34.44140625" style="10" bestFit="1" customWidth="1"/>
    <col min="4610" max="4611" width="12.6640625" style="10" bestFit="1" customWidth="1"/>
    <col min="4612" max="4614" width="9.109375" style="10"/>
    <col min="4615" max="4615" width="41.5546875" style="10" bestFit="1" customWidth="1"/>
    <col min="4616" max="4864" width="9.109375" style="10"/>
    <col min="4865" max="4865" width="34.44140625" style="10" bestFit="1" customWidth="1"/>
    <col min="4866" max="4867" width="12.6640625" style="10" bestFit="1" customWidth="1"/>
    <col min="4868" max="4870" width="9.109375" style="10"/>
    <col min="4871" max="4871" width="41.5546875" style="10" bestFit="1" customWidth="1"/>
    <col min="4872" max="5120" width="9.109375" style="10"/>
    <col min="5121" max="5121" width="34.44140625" style="10" bestFit="1" customWidth="1"/>
    <col min="5122" max="5123" width="12.6640625" style="10" bestFit="1" customWidth="1"/>
    <col min="5124" max="5126" width="9.109375" style="10"/>
    <col min="5127" max="5127" width="41.5546875" style="10" bestFit="1" customWidth="1"/>
    <col min="5128" max="5376" width="9.109375" style="10"/>
    <col min="5377" max="5377" width="34.44140625" style="10" bestFit="1" customWidth="1"/>
    <col min="5378" max="5379" width="12.6640625" style="10" bestFit="1" customWidth="1"/>
    <col min="5380" max="5382" width="9.109375" style="10"/>
    <col min="5383" max="5383" width="41.5546875" style="10" bestFit="1" customWidth="1"/>
    <col min="5384" max="5632" width="9.109375" style="10"/>
    <col min="5633" max="5633" width="34.44140625" style="10" bestFit="1" customWidth="1"/>
    <col min="5634" max="5635" width="12.6640625" style="10" bestFit="1" customWidth="1"/>
    <col min="5636" max="5638" width="9.109375" style="10"/>
    <col min="5639" max="5639" width="41.5546875" style="10" bestFit="1" customWidth="1"/>
    <col min="5640" max="5888" width="9.109375" style="10"/>
    <col min="5889" max="5889" width="34.44140625" style="10" bestFit="1" customWidth="1"/>
    <col min="5890" max="5891" width="12.6640625" style="10" bestFit="1" customWidth="1"/>
    <col min="5892" max="5894" width="9.109375" style="10"/>
    <col min="5895" max="5895" width="41.5546875" style="10" bestFit="1" customWidth="1"/>
    <col min="5896" max="6144" width="9.109375" style="10"/>
    <col min="6145" max="6145" width="34.44140625" style="10" bestFit="1" customWidth="1"/>
    <col min="6146" max="6147" width="12.6640625" style="10" bestFit="1" customWidth="1"/>
    <col min="6148" max="6150" width="9.109375" style="10"/>
    <col min="6151" max="6151" width="41.5546875" style="10" bestFit="1" customWidth="1"/>
    <col min="6152" max="6400" width="9.109375" style="10"/>
    <col min="6401" max="6401" width="34.44140625" style="10" bestFit="1" customWidth="1"/>
    <col min="6402" max="6403" width="12.6640625" style="10" bestFit="1" customWidth="1"/>
    <col min="6404" max="6406" width="9.109375" style="10"/>
    <col min="6407" max="6407" width="41.5546875" style="10" bestFit="1" customWidth="1"/>
    <col min="6408" max="6656" width="9.109375" style="10"/>
    <col min="6657" max="6657" width="34.44140625" style="10" bestFit="1" customWidth="1"/>
    <col min="6658" max="6659" width="12.6640625" style="10" bestFit="1" customWidth="1"/>
    <col min="6660" max="6662" width="9.109375" style="10"/>
    <col min="6663" max="6663" width="41.5546875" style="10" bestFit="1" customWidth="1"/>
    <col min="6664" max="6912" width="9.109375" style="10"/>
    <col min="6913" max="6913" width="34.44140625" style="10" bestFit="1" customWidth="1"/>
    <col min="6914" max="6915" width="12.6640625" style="10" bestFit="1" customWidth="1"/>
    <col min="6916" max="6918" width="9.109375" style="10"/>
    <col min="6919" max="6919" width="41.5546875" style="10" bestFit="1" customWidth="1"/>
    <col min="6920" max="7168" width="9.109375" style="10"/>
    <col min="7169" max="7169" width="34.44140625" style="10" bestFit="1" customWidth="1"/>
    <col min="7170" max="7171" width="12.6640625" style="10" bestFit="1" customWidth="1"/>
    <col min="7172" max="7174" width="9.109375" style="10"/>
    <col min="7175" max="7175" width="41.5546875" style="10" bestFit="1" customWidth="1"/>
    <col min="7176" max="7424" width="9.109375" style="10"/>
    <col min="7425" max="7425" width="34.44140625" style="10" bestFit="1" customWidth="1"/>
    <col min="7426" max="7427" width="12.6640625" style="10" bestFit="1" customWidth="1"/>
    <col min="7428" max="7430" width="9.109375" style="10"/>
    <col min="7431" max="7431" width="41.5546875" style="10" bestFit="1" customWidth="1"/>
    <col min="7432" max="7680" width="9.109375" style="10"/>
    <col min="7681" max="7681" width="34.44140625" style="10" bestFit="1" customWidth="1"/>
    <col min="7682" max="7683" width="12.6640625" style="10" bestFit="1" customWidth="1"/>
    <col min="7684" max="7686" width="9.109375" style="10"/>
    <col min="7687" max="7687" width="41.5546875" style="10" bestFit="1" customWidth="1"/>
    <col min="7688" max="7936" width="9.109375" style="10"/>
    <col min="7937" max="7937" width="34.44140625" style="10" bestFit="1" customWidth="1"/>
    <col min="7938" max="7939" width="12.6640625" style="10" bestFit="1" customWidth="1"/>
    <col min="7940" max="7942" width="9.109375" style="10"/>
    <col min="7943" max="7943" width="41.5546875" style="10" bestFit="1" customWidth="1"/>
    <col min="7944" max="8192" width="9.109375" style="10"/>
    <col min="8193" max="8193" width="34.44140625" style="10" bestFit="1" customWidth="1"/>
    <col min="8194" max="8195" width="12.6640625" style="10" bestFit="1" customWidth="1"/>
    <col min="8196" max="8198" width="9.109375" style="10"/>
    <col min="8199" max="8199" width="41.5546875" style="10" bestFit="1" customWidth="1"/>
    <col min="8200" max="8448" width="9.109375" style="10"/>
    <col min="8449" max="8449" width="34.44140625" style="10" bestFit="1" customWidth="1"/>
    <col min="8450" max="8451" width="12.6640625" style="10" bestFit="1" customWidth="1"/>
    <col min="8452" max="8454" width="9.109375" style="10"/>
    <col min="8455" max="8455" width="41.5546875" style="10" bestFit="1" customWidth="1"/>
    <col min="8456" max="8704" width="9.109375" style="10"/>
    <col min="8705" max="8705" width="34.44140625" style="10" bestFit="1" customWidth="1"/>
    <col min="8706" max="8707" width="12.6640625" style="10" bestFit="1" customWidth="1"/>
    <col min="8708" max="8710" width="9.109375" style="10"/>
    <col min="8711" max="8711" width="41.5546875" style="10" bestFit="1" customWidth="1"/>
    <col min="8712" max="8960" width="9.109375" style="10"/>
    <col min="8961" max="8961" width="34.44140625" style="10" bestFit="1" customWidth="1"/>
    <col min="8962" max="8963" width="12.6640625" style="10" bestFit="1" customWidth="1"/>
    <col min="8964" max="8966" width="9.109375" style="10"/>
    <col min="8967" max="8967" width="41.5546875" style="10" bestFit="1" customWidth="1"/>
    <col min="8968" max="9216" width="9.109375" style="10"/>
    <col min="9217" max="9217" width="34.44140625" style="10" bestFit="1" customWidth="1"/>
    <col min="9218" max="9219" width="12.6640625" style="10" bestFit="1" customWidth="1"/>
    <col min="9220" max="9222" width="9.109375" style="10"/>
    <col min="9223" max="9223" width="41.5546875" style="10" bestFit="1" customWidth="1"/>
    <col min="9224" max="9472" width="9.109375" style="10"/>
    <col min="9473" max="9473" width="34.44140625" style="10" bestFit="1" customWidth="1"/>
    <col min="9474" max="9475" width="12.6640625" style="10" bestFit="1" customWidth="1"/>
    <col min="9476" max="9478" width="9.109375" style="10"/>
    <col min="9479" max="9479" width="41.5546875" style="10" bestFit="1" customWidth="1"/>
    <col min="9480" max="9728" width="9.109375" style="10"/>
    <col min="9729" max="9729" width="34.44140625" style="10" bestFit="1" customWidth="1"/>
    <col min="9730" max="9731" width="12.6640625" style="10" bestFit="1" customWidth="1"/>
    <col min="9732" max="9734" width="9.109375" style="10"/>
    <col min="9735" max="9735" width="41.5546875" style="10" bestFit="1" customWidth="1"/>
    <col min="9736" max="9984" width="9.109375" style="10"/>
    <col min="9985" max="9985" width="34.44140625" style="10" bestFit="1" customWidth="1"/>
    <col min="9986" max="9987" width="12.6640625" style="10" bestFit="1" customWidth="1"/>
    <col min="9988" max="9990" width="9.109375" style="10"/>
    <col min="9991" max="9991" width="41.5546875" style="10" bestFit="1" customWidth="1"/>
    <col min="9992" max="10240" width="9.109375" style="10"/>
    <col min="10241" max="10241" width="34.44140625" style="10" bestFit="1" customWidth="1"/>
    <col min="10242" max="10243" width="12.6640625" style="10" bestFit="1" customWidth="1"/>
    <col min="10244" max="10246" width="9.109375" style="10"/>
    <col min="10247" max="10247" width="41.5546875" style="10" bestFit="1" customWidth="1"/>
    <col min="10248" max="10496" width="9.109375" style="10"/>
    <col min="10497" max="10497" width="34.44140625" style="10" bestFit="1" customWidth="1"/>
    <col min="10498" max="10499" width="12.6640625" style="10" bestFit="1" customWidth="1"/>
    <col min="10500" max="10502" width="9.109375" style="10"/>
    <col min="10503" max="10503" width="41.5546875" style="10" bestFit="1" customWidth="1"/>
    <col min="10504" max="10752" width="9.109375" style="10"/>
    <col min="10753" max="10753" width="34.44140625" style="10" bestFit="1" customWidth="1"/>
    <col min="10754" max="10755" width="12.6640625" style="10" bestFit="1" customWidth="1"/>
    <col min="10756" max="10758" width="9.109375" style="10"/>
    <col min="10759" max="10759" width="41.5546875" style="10" bestFit="1" customWidth="1"/>
    <col min="10760" max="11008" width="9.109375" style="10"/>
    <col min="11009" max="11009" width="34.44140625" style="10" bestFit="1" customWidth="1"/>
    <col min="11010" max="11011" width="12.6640625" style="10" bestFit="1" customWidth="1"/>
    <col min="11012" max="11014" width="9.109375" style="10"/>
    <col min="11015" max="11015" width="41.5546875" style="10" bestFit="1" customWidth="1"/>
    <col min="11016" max="11264" width="9.109375" style="10"/>
    <col min="11265" max="11265" width="34.44140625" style="10" bestFit="1" customWidth="1"/>
    <col min="11266" max="11267" width="12.6640625" style="10" bestFit="1" customWidth="1"/>
    <col min="11268" max="11270" width="9.109375" style="10"/>
    <col min="11271" max="11271" width="41.5546875" style="10" bestFit="1" customWidth="1"/>
    <col min="11272" max="11520" width="9.109375" style="10"/>
    <col min="11521" max="11521" width="34.44140625" style="10" bestFit="1" customWidth="1"/>
    <col min="11522" max="11523" width="12.6640625" style="10" bestFit="1" customWidth="1"/>
    <col min="11524" max="11526" width="9.109375" style="10"/>
    <col min="11527" max="11527" width="41.5546875" style="10" bestFit="1" customWidth="1"/>
    <col min="11528" max="11776" width="9.109375" style="10"/>
    <col min="11777" max="11777" width="34.44140625" style="10" bestFit="1" customWidth="1"/>
    <col min="11778" max="11779" width="12.6640625" style="10" bestFit="1" customWidth="1"/>
    <col min="11780" max="11782" width="9.109375" style="10"/>
    <col min="11783" max="11783" width="41.5546875" style="10" bestFit="1" customWidth="1"/>
    <col min="11784" max="12032" width="9.109375" style="10"/>
    <col min="12033" max="12033" width="34.44140625" style="10" bestFit="1" customWidth="1"/>
    <col min="12034" max="12035" width="12.6640625" style="10" bestFit="1" customWidth="1"/>
    <col min="12036" max="12038" width="9.109375" style="10"/>
    <col min="12039" max="12039" width="41.5546875" style="10" bestFit="1" customWidth="1"/>
    <col min="12040" max="12288" width="9.109375" style="10"/>
    <col min="12289" max="12289" width="34.44140625" style="10" bestFit="1" customWidth="1"/>
    <col min="12290" max="12291" width="12.6640625" style="10" bestFit="1" customWidth="1"/>
    <col min="12292" max="12294" width="9.109375" style="10"/>
    <col min="12295" max="12295" width="41.5546875" style="10" bestFit="1" customWidth="1"/>
    <col min="12296" max="12544" width="9.109375" style="10"/>
    <col min="12545" max="12545" width="34.44140625" style="10" bestFit="1" customWidth="1"/>
    <col min="12546" max="12547" width="12.6640625" style="10" bestFit="1" customWidth="1"/>
    <col min="12548" max="12550" width="9.109375" style="10"/>
    <col min="12551" max="12551" width="41.5546875" style="10" bestFit="1" customWidth="1"/>
    <col min="12552" max="12800" width="9.109375" style="10"/>
    <col min="12801" max="12801" width="34.44140625" style="10" bestFit="1" customWidth="1"/>
    <col min="12802" max="12803" width="12.6640625" style="10" bestFit="1" customWidth="1"/>
    <col min="12804" max="12806" width="9.109375" style="10"/>
    <col min="12807" max="12807" width="41.5546875" style="10" bestFit="1" customWidth="1"/>
    <col min="12808" max="13056" width="9.109375" style="10"/>
    <col min="13057" max="13057" width="34.44140625" style="10" bestFit="1" customWidth="1"/>
    <col min="13058" max="13059" width="12.6640625" style="10" bestFit="1" customWidth="1"/>
    <col min="13060" max="13062" width="9.109375" style="10"/>
    <col min="13063" max="13063" width="41.5546875" style="10" bestFit="1" customWidth="1"/>
    <col min="13064" max="13312" width="9.109375" style="10"/>
    <col min="13313" max="13313" width="34.44140625" style="10" bestFit="1" customWidth="1"/>
    <col min="13314" max="13315" width="12.6640625" style="10" bestFit="1" customWidth="1"/>
    <col min="13316" max="13318" width="9.109375" style="10"/>
    <col min="13319" max="13319" width="41.5546875" style="10" bestFit="1" customWidth="1"/>
    <col min="13320" max="13568" width="9.109375" style="10"/>
    <col min="13569" max="13569" width="34.44140625" style="10" bestFit="1" customWidth="1"/>
    <col min="13570" max="13571" width="12.6640625" style="10" bestFit="1" customWidth="1"/>
    <col min="13572" max="13574" width="9.109375" style="10"/>
    <col min="13575" max="13575" width="41.5546875" style="10" bestFit="1" customWidth="1"/>
    <col min="13576" max="13824" width="9.109375" style="10"/>
    <col min="13825" max="13825" width="34.44140625" style="10" bestFit="1" customWidth="1"/>
    <col min="13826" max="13827" width="12.6640625" style="10" bestFit="1" customWidth="1"/>
    <col min="13828" max="13830" width="9.109375" style="10"/>
    <col min="13831" max="13831" width="41.5546875" style="10" bestFit="1" customWidth="1"/>
    <col min="13832" max="14080" width="9.109375" style="10"/>
    <col min="14081" max="14081" width="34.44140625" style="10" bestFit="1" customWidth="1"/>
    <col min="14082" max="14083" width="12.6640625" style="10" bestFit="1" customWidth="1"/>
    <col min="14084" max="14086" width="9.109375" style="10"/>
    <col min="14087" max="14087" width="41.5546875" style="10" bestFit="1" customWidth="1"/>
    <col min="14088" max="14336" width="9.109375" style="10"/>
    <col min="14337" max="14337" width="34.44140625" style="10" bestFit="1" customWidth="1"/>
    <col min="14338" max="14339" width="12.6640625" style="10" bestFit="1" customWidth="1"/>
    <col min="14340" max="14342" width="9.109375" style="10"/>
    <col min="14343" max="14343" width="41.5546875" style="10" bestFit="1" customWidth="1"/>
    <col min="14344" max="14592" width="9.109375" style="10"/>
    <col min="14593" max="14593" width="34.44140625" style="10" bestFit="1" customWidth="1"/>
    <col min="14594" max="14595" width="12.6640625" style="10" bestFit="1" customWidth="1"/>
    <col min="14596" max="14598" width="9.109375" style="10"/>
    <col min="14599" max="14599" width="41.5546875" style="10" bestFit="1" customWidth="1"/>
    <col min="14600" max="14848" width="9.109375" style="10"/>
    <col min="14849" max="14849" width="34.44140625" style="10" bestFit="1" customWidth="1"/>
    <col min="14850" max="14851" width="12.6640625" style="10" bestFit="1" customWidth="1"/>
    <col min="14852" max="14854" width="9.109375" style="10"/>
    <col min="14855" max="14855" width="41.5546875" style="10" bestFit="1" customWidth="1"/>
    <col min="14856" max="15104" width="9.109375" style="10"/>
    <col min="15105" max="15105" width="34.44140625" style="10" bestFit="1" customWidth="1"/>
    <col min="15106" max="15107" width="12.6640625" style="10" bestFit="1" customWidth="1"/>
    <col min="15108" max="15110" width="9.109375" style="10"/>
    <col min="15111" max="15111" width="41.5546875" style="10" bestFit="1" customWidth="1"/>
    <col min="15112" max="15360" width="9.109375" style="10"/>
    <col min="15361" max="15361" width="34.44140625" style="10" bestFit="1" customWidth="1"/>
    <col min="15362" max="15363" width="12.6640625" style="10" bestFit="1" customWidth="1"/>
    <col min="15364" max="15366" width="9.109375" style="10"/>
    <col min="15367" max="15367" width="41.5546875" style="10" bestFit="1" customWidth="1"/>
    <col min="15368" max="15616" width="9.109375" style="10"/>
    <col min="15617" max="15617" width="34.44140625" style="10" bestFit="1" customWidth="1"/>
    <col min="15618" max="15619" width="12.6640625" style="10" bestFit="1" customWidth="1"/>
    <col min="15620" max="15622" width="9.109375" style="10"/>
    <col min="15623" max="15623" width="41.5546875" style="10" bestFit="1" customWidth="1"/>
    <col min="15624" max="15872" width="9.109375" style="10"/>
    <col min="15873" max="15873" width="34.44140625" style="10" bestFit="1" customWidth="1"/>
    <col min="15874" max="15875" width="12.6640625" style="10" bestFit="1" customWidth="1"/>
    <col min="15876" max="15878" width="9.109375" style="10"/>
    <col min="15879" max="15879" width="41.5546875" style="10" bestFit="1" customWidth="1"/>
    <col min="15880" max="16128" width="9.109375" style="10"/>
    <col min="16129" max="16129" width="34.44140625" style="10" bestFit="1" customWidth="1"/>
    <col min="16130" max="16131" width="12.6640625" style="10" bestFit="1" customWidth="1"/>
    <col min="16132" max="16134" width="9.109375" style="10"/>
    <col min="16135" max="16135" width="41.5546875" style="10" bestFit="1" customWidth="1"/>
    <col min="16136" max="16384" width="9.109375" style="10"/>
  </cols>
  <sheetData>
    <row r="2" spans="1:9" x14ac:dyDescent="0.25">
      <c r="B2" s="10">
        <v>2005</v>
      </c>
      <c r="C2" s="10">
        <v>2004</v>
      </c>
    </row>
    <row r="3" spans="1:9" x14ac:dyDescent="0.25">
      <c r="A3" s="10" t="s">
        <v>267</v>
      </c>
      <c r="B3" s="13">
        <v>40000000</v>
      </c>
      <c r="C3" s="13">
        <v>33000000</v>
      </c>
    </row>
    <row r="4" spans="1:9" x14ac:dyDescent="0.25">
      <c r="A4" s="10" t="s">
        <v>268</v>
      </c>
      <c r="B4" s="13">
        <v>126000000</v>
      </c>
      <c r="C4" s="13">
        <v>338000000</v>
      </c>
    </row>
    <row r="5" spans="1:9" x14ac:dyDescent="0.25">
      <c r="A5" s="10" t="s">
        <v>269</v>
      </c>
      <c r="B5" s="13">
        <v>2869000000</v>
      </c>
      <c r="C5" s="13">
        <v>3024000000</v>
      </c>
    </row>
    <row r="7" spans="1:9" x14ac:dyDescent="0.25">
      <c r="A7" s="10" t="s">
        <v>270</v>
      </c>
      <c r="B7" s="13">
        <v>227000000</v>
      </c>
    </row>
    <row r="13" spans="1:9" x14ac:dyDescent="0.25">
      <c r="B13" s="10" t="s">
        <v>271</v>
      </c>
      <c r="C13" s="10">
        <v>2004</v>
      </c>
      <c r="D13" s="10">
        <v>2003</v>
      </c>
      <c r="H13" s="10">
        <v>2005</v>
      </c>
      <c r="I13" s="10">
        <v>2004</v>
      </c>
    </row>
    <row r="14" spans="1:9" x14ac:dyDescent="0.25">
      <c r="A14" s="10" t="s">
        <v>272</v>
      </c>
      <c r="B14" s="12">
        <v>26014</v>
      </c>
      <c r="C14" s="12">
        <v>26441</v>
      </c>
      <c r="D14" s="12">
        <v>24549</v>
      </c>
      <c r="G14" s="10" t="s">
        <v>273</v>
      </c>
    </row>
    <row r="15" spans="1:9" x14ac:dyDescent="0.25">
      <c r="A15" s="10" t="s">
        <v>274</v>
      </c>
      <c r="B15" s="13">
        <v>24274</v>
      </c>
      <c r="C15" s="13">
        <v>24550</v>
      </c>
      <c r="D15" s="13">
        <v>22805</v>
      </c>
      <c r="G15" s="10" t="s">
        <v>275</v>
      </c>
    </row>
    <row r="16" spans="1:9" x14ac:dyDescent="0.25">
      <c r="B16" s="13">
        <v>1740</v>
      </c>
      <c r="C16" s="13">
        <v>1891</v>
      </c>
      <c r="D16" s="13">
        <v>1744</v>
      </c>
      <c r="G16" s="10" t="s">
        <v>267</v>
      </c>
      <c r="H16" s="12">
        <v>40</v>
      </c>
      <c r="I16" s="12">
        <v>33</v>
      </c>
    </row>
    <row r="17" spans="1:9" x14ac:dyDescent="0.25">
      <c r="A17" s="10" t="s">
        <v>276</v>
      </c>
      <c r="G17" s="10" t="s">
        <v>277</v>
      </c>
      <c r="H17" s="13">
        <v>1214</v>
      </c>
      <c r="I17" s="13">
        <v>1240</v>
      </c>
    </row>
    <row r="18" spans="1:9" x14ac:dyDescent="0.25">
      <c r="A18" s="10" t="s">
        <v>278</v>
      </c>
      <c r="B18" s="10">
        <v>928</v>
      </c>
      <c r="C18" s="10">
        <v>880</v>
      </c>
      <c r="D18" s="10">
        <v>831</v>
      </c>
      <c r="G18" s="10" t="s">
        <v>279</v>
      </c>
      <c r="H18" s="13">
        <v>2062</v>
      </c>
      <c r="I18" s="13">
        <v>2063</v>
      </c>
    </row>
    <row r="19" spans="1:9" x14ac:dyDescent="0.25">
      <c r="A19" s="10" t="s">
        <v>280</v>
      </c>
      <c r="B19" s="10">
        <v>47</v>
      </c>
      <c r="C19" s="10">
        <v>86</v>
      </c>
      <c r="D19" s="10">
        <v>76</v>
      </c>
      <c r="G19" s="10" t="s">
        <v>281</v>
      </c>
      <c r="H19" s="10">
        <v>169</v>
      </c>
      <c r="I19" s="10">
        <v>196</v>
      </c>
    </row>
    <row r="20" spans="1:9" x14ac:dyDescent="0.25">
      <c r="A20" s="10" t="s">
        <v>282</v>
      </c>
      <c r="B20" s="10">
        <v>765</v>
      </c>
      <c r="C20" s="10">
        <v>925</v>
      </c>
      <c r="D20" s="10">
        <v>837</v>
      </c>
      <c r="G20" s="10" t="s">
        <v>283</v>
      </c>
      <c r="H20" s="13">
        <v>3485</v>
      </c>
      <c r="I20" s="13">
        <v>3532</v>
      </c>
    </row>
    <row r="21" spans="1:9" x14ac:dyDescent="0.25">
      <c r="A21" s="10" t="s">
        <v>284</v>
      </c>
      <c r="G21" s="10" t="s">
        <v>285</v>
      </c>
      <c r="H21" s="13">
        <v>4007</v>
      </c>
      <c r="I21" s="13">
        <v>3964</v>
      </c>
    </row>
    <row r="22" spans="1:9" x14ac:dyDescent="0.25">
      <c r="A22" s="10" t="s">
        <v>286</v>
      </c>
      <c r="B22" s="10">
        <v>227</v>
      </c>
      <c r="C22" s="10">
        <v>275</v>
      </c>
      <c r="D22" s="10">
        <v>296</v>
      </c>
      <c r="G22" s="10" t="s">
        <v>287</v>
      </c>
      <c r="H22" s="13">
        <v>2502</v>
      </c>
      <c r="I22" s="13">
        <v>2558</v>
      </c>
    </row>
    <row r="23" spans="1:9" x14ac:dyDescent="0.25">
      <c r="A23" s="10" t="s">
        <v>288</v>
      </c>
      <c r="B23" s="10">
        <v>10</v>
      </c>
      <c r="C23" s="10">
        <v>15</v>
      </c>
      <c r="D23" s="10">
        <v>18</v>
      </c>
      <c r="G23" s="10" t="s">
        <v>289</v>
      </c>
      <c r="H23" s="10">
        <v>142</v>
      </c>
      <c r="I23" s="10">
        <v>149</v>
      </c>
    </row>
    <row r="24" spans="1:9" x14ac:dyDescent="0.25">
      <c r="B24" s="10">
        <v>237</v>
      </c>
      <c r="C24" s="10">
        <v>290</v>
      </c>
      <c r="D24" s="10">
        <v>314</v>
      </c>
      <c r="G24" s="10" t="s">
        <v>290</v>
      </c>
      <c r="H24" s="10">
        <v>368</v>
      </c>
      <c r="I24" s="10">
        <v>261</v>
      </c>
    </row>
    <row r="25" spans="1:9" x14ac:dyDescent="0.25">
      <c r="G25" s="10" t="s">
        <v>291</v>
      </c>
      <c r="H25" s="12">
        <v>10504</v>
      </c>
      <c r="I25" s="12">
        <v>10464</v>
      </c>
    </row>
    <row r="27" spans="1:9" x14ac:dyDescent="0.25">
      <c r="A27" s="10" t="s">
        <v>292</v>
      </c>
      <c r="B27" s="10">
        <v>528</v>
      </c>
      <c r="C27" s="10">
        <v>635</v>
      </c>
      <c r="D27" s="10">
        <v>523</v>
      </c>
    </row>
    <row r="28" spans="1:9" x14ac:dyDescent="0.25">
      <c r="A28" s="10" t="s">
        <v>293</v>
      </c>
      <c r="B28" s="10">
        <v>156</v>
      </c>
      <c r="C28" s="10">
        <v>232</v>
      </c>
      <c r="D28" s="10">
        <v>186</v>
      </c>
      <c r="G28" s="10" t="s">
        <v>294</v>
      </c>
    </row>
    <row r="29" spans="1:9" x14ac:dyDescent="0.25">
      <c r="A29" s="10" t="s">
        <v>295</v>
      </c>
      <c r="B29" s="12">
        <v>372</v>
      </c>
      <c r="C29" s="12">
        <v>403</v>
      </c>
      <c r="D29" s="12">
        <v>337</v>
      </c>
      <c r="G29" s="10" t="s">
        <v>296</v>
      </c>
    </row>
    <row r="30" spans="1:9" x14ac:dyDescent="0.25">
      <c r="G30" s="10" t="s">
        <v>268</v>
      </c>
      <c r="H30" s="12">
        <v>126</v>
      </c>
      <c r="I30" s="12">
        <v>338</v>
      </c>
    </row>
    <row r="31" spans="1:9" x14ac:dyDescent="0.25">
      <c r="A31" s="10" t="s">
        <v>297</v>
      </c>
      <c r="B31" s="6">
        <f>B28/B27</f>
        <v>0.29545454545454547</v>
      </c>
      <c r="C31" s="6">
        <f>C28/C27</f>
        <v>0.36535433070866141</v>
      </c>
      <c r="D31" s="6">
        <f>D28/D27</f>
        <v>0.35564053537284895</v>
      </c>
      <c r="G31" s="10" t="s">
        <v>298</v>
      </c>
      <c r="H31" s="10">
        <v>961</v>
      </c>
      <c r="I31" s="10">
        <v>945</v>
      </c>
    </row>
    <row r="32" spans="1:9" x14ac:dyDescent="0.25">
      <c r="G32" s="10" t="s">
        <v>299</v>
      </c>
      <c r="H32" s="13">
        <v>1070</v>
      </c>
      <c r="I32" s="13">
        <v>1010</v>
      </c>
    </row>
    <row r="33" spans="1:9" x14ac:dyDescent="0.25">
      <c r="G33" s="10" t="s">
        <v>300</v>
      </c>
      <c r="H33" s="13">
        <v>2157</v>
      </c>
      <c r="I33" s="13">
        <v>2293</v>
      </c>
    </row>
    <row r="34" spans="1:9" x14ac:dyDescent="0.25">
      <c r="G34" s="10" t="s">
        <v>301</v>
      </c>
      <c r="H34" s="13">
        <v>2869</v>
      </c>
      <c r="I34" s="13">
        <v>3024</v>
      </c>
    </row>
    <row r="35" spans="1:9" x14ac:dyDescent="0.25">
      <c r="G35" s="10" t="s">
        <v>302</v>
      </c>
      <c r="H35" s="10">
        <v>638</v>
      </c>
      <c r="I35" s="10">
        <v>695</v>
      </c>
    </row>
    <row r="36" spans="1:9" x14ac:dyDescent="0.25">
      <c r="A36" s="10" t="s">
        <v>303</v>
      </c>
      <c r="G36" s="10" t="s">
        <v>304</v>
      </c>
      <c r="H36" s="10">
        <v>169</v>
      </c>
      <c r="I36" s="10">
        <v>160</v>
      </c>
    </row>
    <row r="37" spans="1:9" x14ac:dyDescent="0.25">
      <c r="A37" s="10" t="s">
        <v>305</v>
      </c>
      <c r="B37" s="10">
        <v>243</v>
      </c>
      <c r="C37" s="10">
        <v>243</v>
      </c>
      <c r="D37" s="10">
        <v>244</v>
      </c>
      <c r="G37" s="10" t="s">
        <v>306</v>
      </c>
    </row>
    <row r="38" spans="1:9" x14ac:dyDescent="0.25">
      <c r="A38" s="10" t="s">
        <v>307</v>
      </c>
      <c r="B38" s="10">
        <v>102</v>
      </c>
      <c r="C38" s="10">
        <v>102</v>
      </c>
      <c r="D38" s="10">
        <v>102</v>
      </c>
      <c r="G38" s="10" t="s">
        <v>308</v>
      </c>
    </row>
    <row r="39" spans="1:9" x14ac:dyDescent="0.25">
      <c r="A39" s="10" t="s">
        <v>309</v>
      </c>
      <c r="B39" s="10">
        <v>357</v>
      </c>
      <c r="C39" s="10">
        <v>357</v>
      </c>
      <c r="D39" s="10">
        <v>352</v>
      </c>
      <c r="G39" s="10" t="s">
        <v>310</v>
      </c>
    </row>
    <row r="40" spans="1:9" x14ac:dyDescent="0.25">
      <c r="A40" s="10" t="s">
        <v>311</v>
      </c>
      <c r="G40" s="10" t="s">
        <v>312</v>
      </c>
      <c r="H40" s="10">
        <v>27</v>
      </c>
      <c r="I40" s="10">
        <v>27</v>
      </c>
    </row>
    <row r="41" spans="1:9" x14ac:dyDescent="0.25">
      <c r="A41" s="10" t="s">
        <v>305</v>
      </c>
      <c r="B41" s="14">
        <v>1.1100000000000001</v>
      </c>
      <c r="C41" s="14">
        <v>1.2</v>
      </c>
      <c r="D41" s="14">
        <v>1</v>
      </c>
      <c r="G41" s="10">
        <v>2004</v>
      </c>
    </row>
    <row r="42" spans="1:9" x14ac:dyDescent="0.25">
      <c r="A42" s="10" t="s">
        <v>307</v>
      </c>
      <c r="B42" s="14">
        <v>1</v>
      </c>
      <c r="C42" s="14">
        <v>1.08</v>
      </c>
      <c r="D42" s="14">
        <v>0.9</v>
      </c>
      <c r="G42" s="10" t="s">
        <v>313</v>
      </c>
    </row>
    <row r="43" spans="1:9" x14ac:dyDescent="0.25">
      <c r="A43" s="10" t="s">
        <v>309</v>
      </c>
      <c r="B43" s="14">
        <v>1.04</v>
      </c>
      <c r="C43" s="14">
        <v>1.1299999999999999</v>
      </c>
      <c r="D43" s="14">
        <v>0.96</v>
      </c>
      <c r="G43" s="10" t="s">
        <v>314</v>
      </c>
      <c r="H43" s="10">
        <v>10</v>
      </c>
      <c r="I43" s="10">
        <v>10</v>
      </c>
    </row>
    <row r="44" spans="1:9" x14ac:dyDescent="0.25">
      <c r="G44" s="10">
        <v>2004</v>
      </c>
    </row>
    <row r="45" spans="1:9" x14ac:dyDescent="0.25">
      <c r="G45" s="10" t="s">
        <v>315</v>
      </c>
      <c r="H45" s="13">
        <v>1867</v>
      </c>
      <c r="I45" s="13">
        <v>1849</v>
      </c>
    </row>
    <row r="46" spans="1:9" x14ac:dyDescent="0.25">
      <c r="G46" s="10" t="s">
        <v>316</v>
      </c>
      <c r="H46" s="13">
        <v>3032</v>
      </c>
      <c r="I46" s="13">
        <v>2728</v>
      </c>
    </row>
    <row r="47" spans="1:9" x14ac:dyDescent="0.25">
      <c r="G47" s="10" t="s">
        <v>317</v>
      </c>
      <c r="H47" s="10" t="s">
        <v>318</v>
      </c>
      <c r="I47" s="10">
        <v>-12</v>
      </c>
    </row>
    <row r="48" spans="1:9" x14ac:dyDescent="0.25">
      <c r="H48" s="13">
        <v>4964</v>
      </c>
      <c r="I48" s="13">
        <v>4602</v>
      </c>
    </row>
    <row r="49" spans="7:9" x14ac:dyDescent="0.25">
      <c r="G49" s="10" t="s">
        <v>319</v>
      </c>
    </row>
    <row r="50" spans="7:9" x14ac:dyDescent="0.25">
      <c r="G50" s="10" t="s">
        <v>320</v>
      </c>
      <c r="H50" s="10">
        <v>238</v>
      </c>
      <c r="I50" s="10">
        <v>264</v>
      </c>
    </row>
    <row r="51" spans="7:9" x14ac:dyDescent="0.25">
      <c r="G51" s="10" t="s">
        <v>321</v>
      </c>
    </row>
    <row r="52" spans="7:9" x14ac:dyDescent="0.25">
      <c r="G52" s="10" t="s">
        <v>322</v>
      </c>
      <c r="H52" s="10">
        <v>55</v>
      </c>
      <c r="I52" s="10">
        <v>46</v>
      </c>
    </row>
    <row r="53" spans="7:9" x14ac:dyDescent="0.25">
      <c r="G53" s="10" t="s">
        <v>323</v>
      </c>
      <c r="H53" s="13">
        <v>4671</v>
      </c>
      <c r="I53" s="13">
        <v>4292</v>
      </c>
    </row>
    <row r="54" spans="7:9" x14ac:dyDescent="0.25">
      <c r="G54" s="10" t="s">
        <v>324</v>
      </c>
      <c r="H54" s="12">
        <v>10504</v>
      </c>
      <c r="I54" s="12">
        <v>10464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FD68A-6292-4CBB-8EED-28392874A247}">
  <sheetPr codeName="Sheet26"/>
  <dimension ref="A1:O78"/>
  <sheetViews>
    <sheetView workbookViewId="0">
      <selection activeCell="G24" sqref="G24"/>
    </sheetView>
  </sheetViews>
  <sheetFormatPr defaultColWidth="9.109375" defaultRowHeight="13.2" x14ac:dyDescent="0.25"/>
  <cols>
    <col min="1" max="1" width="32.109375" style="16" customWidth="1"/>
    <col min="2" max="4" width="12.33203125" style="16" bestFit="1" customWidth="1"/>
    <col min="5" max="6" width="10.6640625" style="16" bestFit="1" customWidth="1"/>
    <col min="7" max="7" width="28.109375" style="16" customWidth="1"/>
    <col min="8" max="10" width="12.33203125" style="16" bestFit="1" customWidth="1"/>
    <col min="11" max="11" width="9.109375" style="16"/>
    <col min="12" max="12" width="39.33203125" style="16" customWidth="1"/>
    <col min="13" max="15" width="12.33203125" style="16" bestFit="1" customWidth="1"/>
    <col min="16" max="256" width="9.109375" style="16"/>
    <col min="257" max="257" width="32.109375" style="16" customWidth="1"/>
    <col min="258" max="260" width="12.33203125" style="16" bestFit="1" customWidth="1"/>
    <col min="261" max="262" width="10.6640625" style="16" bestFit="1" customWidth="1"/>
    <col min="263" max="263" width="28.109375" style="16" customWidth="1"/>
    <col min="264" max="266" width="12.33203125" style="16" bestFit="1" customWidth="1"/>
    <col min="267" max="267" width="9.109375" style="16"/>
    <col min="268" max="268" width="39.33203125" style="16" customWidth="1"/>
    <col min="269" max="271" width="12.33203125" style="16" bestFit="1" customWidth="1"/>
    <col min="272" max="512" width="9.109375" style="16"/>
    <col min="513" max="513" width="32.109375" style="16" customWidth="1"/>
    <col min="514" max="516" width="12.33203125" style="16" bestFit="1" customWidth="1"/>
    <col min="517" max="518" width="10.6640625" style="16" bestFit="1" customWidth="1"/>
    <col min="519" max="519" width="28.109375" style="16" customWidth="1"/>
    <col min="520" max="522" width="12.33203125" style="16" bestFit="1" customWidth="1"/>
    <col min="523" max="523" width="9.109375" style="16"/>
    <col min="524" max="524" width="39.33203125" style="16" customWidth="1"/>
    <col min="525" max="527" width="12.33203125" style="16" bestFit="1" customWidth="1"/>
    <col min="528" max="768" width="9.109375" style="16"/>
    <col min="769" max="769" width="32.109375" style="16" customWidth="1"/>
    <col min="770" max="772" width="12.33203125" style="16" bestFit="1" customWidth="1"/>
    <col min="773" max="774" width="10.6640625" style="16" bestFit="1" customWidth="1"/>
    <col min="775" max="775" width="28.109375" style="16" customWidth="1"/>
    <col min="776" max="778" width="12.33203125" style="16" bestFit="1" customWidth="1"/>
    <col min="779" max="779" width="9.109375" style="16"/>
    <col min="780" max="780" width="39.33203125" style="16" customWidth="1"/>
    <col min="781" max="783" width="12.33203125" style="16" bestFit="1" customWidth="1"/>
    <col min="784" max="1024" width="9.109375" style="16"/>
    <col min="1025" max="1025" width="32.109375" style="16" customWidth="1"/>
    <col min="1026" max="1028" width="12.33203125" style="16" bestFit="1" customWidth="1"/>
    <col min="1029" max="1030" width="10.6640625" style="16" bestFit="1" customWidth="1"/>
    <col min="1031" max="1031" width="28.109375" style="16" customWidth="1"/>
    <col min="1032" max="1034" width="12.33203125" style="16" bestFit="1" customWidth="1"/>
    <col min="1035" max="1035" width="9.109375" style="16"/>
    <col min="1036" max="1036" width="39.33203125" style="16" customWidth="1"/>
    <col min="1037" max="1039" width="12.33203125" style="16" bestFit="1" customWidth="1"/>
    <col min="1040" max="1280" width="9.109375" style="16"/>
    <col min="1281" max="1281" width="32.109375" style="16" customWidth="1"/>
    <col min="1282" max="1284" width="12.33203125" style="16" bestFit="1" customWidth="1"/>
    <col min="1285" max="1286" width="10.6640625" style="16" bestFit="1" customWidth="1"/>
    <col min="1287" max="1287" width="28.109375" style="16" customWidth="1"/>
    <col min="1288" max="1290" width="12.33203125" style="16" bestFit="1" customWidth="1"/>
    <col min="1291" max="1291" width="9.109375" style="16"/>
    <col min="1292" max="1292" width="39.33203125" style="16" customWidth="1"/>
    <col min="1293" max="1295" width="12.33203125" style="16" bestFit="1" customWidth="1"/>
    <col min="1296" max="1536" width="9.109375" style="16"/>
    <col min="1537" max="1537" width="32.109375" style="16" customWidth="1"/>
    <col min="1538" max="1540" width="12.33203125" style="16" bestFit="1" customWidth="1"/>
    <col min="1541" max="1542" width="10.6640625" style="16" bestFit="1" customWidth="1"/>
    <col min="1543" max="1543" width="28.109375" style="16" customWidth="1"/>
    <col min="1544" max="1546" width="12.33203125" style="16" bestFit="1" customWidth="1"/>
    <col min="1547" max="1547" width="9.109375" style="16"/>
    <col min="1548" max="1548" width="39.33203125" style="16" customWidth="1"/>
    <col min="1549" max="1551" width="12.33203125" style="16" bestFit="1" customWidth="1"/>
    <col min="1552" max="1792" width="9.109375" style="16"/>
    <col min="1793" max="1793" width="32.109375" style="16" customWidth="1"/>
    <col min="1794" max="1796" width="12.33203125" style="16" bestFit="1" customWidth="1"/>
    <col min="1797" max="1798" width="10.6640625" style="16" bestFit="1" customWidth="1"/>
    <col min="1799" max="1799" width="28.109375" style="16" customWidth="1"/>
    <col min="1800" max="1802" width="12.33203125" style="16" bestFit="1" customWidth="1"/>
    <col min="1803" max="1803" width="9.109375" style="16"/>
    <col min="1804" max="1804" width="39.33203125" style="16" customWidth="1"/>
    <col min="1805" max="1807" width="12.33203125" style="16" bestFit="1" customWidth="1"/>
    <col min="1808" max="2048" width="9.109375" style="16"/>
    <col min="2049" max="2049" width="32.109375" style="16" customWidth="1"/>
    <col min="2050" max="2052" width="12.33203125" style="16" bestFit="1" customWidth="1"/>
    <col min="2053" max="2054" width="10.6640625" style="16" bestFit="1" customWidth="1"/>
    <col min="2055" max="2055" width="28.109375" style="16" customWidth="1"/>
    <col min="2056" max="2058" width="12.33203125" style="16" bestFit="1" customWidth="1"/>
    <col min="2059" max="2059" width="9.109375" style="16"/>
    <col min="2060" max="2060" width="39.33203125" style="16" customWidth="1"/>
    <col min="2061" max="2063" width="12.33203125" style="16" bestFit="1" customWidth="1"/>
    <col min="2064" max="2304" width="9.109375" style="16"/>
    <col min="2305" max="2305" width="32.109375" style="16" customWidth="1"/>
    <col min="2306" max="2308" width="12.33203125" style="16" bestFit="1" customWidth="1"/>
    <col min="2309" max="2310" width="10.6640625" style="16" bestFit="1" customWidth="1"/>
    <col min="2311" max="2311" width="28.109375" style="16" customWidth="1"/>
    <col min="2312" max="2314" width="12.33203125" style="16" bestFit="1" customWidth="1"/>
    <col min="2315" max="2315" width="9.109375" style="16"/>
    <col min="2316" max="2316" width="39.33203125" style="16" customWidth="1"/>
    <col min="2317" max="2319" width="12.33203125" style="16" bestFit="1" customWidth="1"/>
    <col min="2320" max="2560" width="9.109375" style="16"/>
    <col min="2561" max="2561" width="32.109375" style="16" customWidth="1"/>
    <col min="2562" max="2564" width="12.33203125" style="16" bestFit="1" customWidth="1"/>
    <col min="2565" max="2566" width="10.6640625" style="16" bestFit="1" customWidth="1"/>
    <col min="2567" max="2567" width="28.109375" style="16" customWidth="1"/>
    <col min="2568" max="2570" width="12.33203125" style="16" bestFit="1" customWidth="1"/>
    <col min="2571" max="2571" width="9.109375" style="16"/>
    <col min="2572" max="2572" width="39.33203125" style="16" customWidth="1"/>
    <col min="2573" max="2575" width="12.33203125" style="16" bestFit="1" customWidth="1"/>
    <col min="2576" max="2816" width="9.109375" style="16"/>
    <col min="2817" max="2817" width="32.109375" style="16" customWidth="1"/>
    <col min="2818" max="2820" width="12.33203125" style="16" bestFit="1" customWidth="1"/>
    <col min="2821" max="2822" width="10.6640625" style="16" bestFit="1" customWidth="1"/>
    <col min="2823" max="2823" width="28.109375" style="16" customWidth="1"/>
    <col min="2824" max="2826" width="12.33203125" style="16" bestFit="1" customWidth="1"/>
    <col min="2827" max="2827" width="9.109375" style="16"/>
    <col min="2828" max="2828" width="39.33203125" style="16" customWidth="1"/>
    <col min="2829" max="2831" width="12.33203125" style="16" bestFit="1" customWidth="1"/>
    <col min="2832" max="3072" width="9.109375" style="16"/>
    <col min="3073" max="3073" width="32.109375" style="16" customWidth="1"/>
    <col min="3074" max="3076" width="12.33203125" style="16" bestFit="1" customWidth="1"/>
    <col min="3077" max="3078" width="10.6640625" style="16" bestFit="1" customWidth="1"/>
    <col min="3079" max="3079" width="28.109375" style="16" customWidth="1"/>
    <col min="3080" max="3082" width="12.33203125" style="16" bestFit="1" customWidth="1"/>
    <col min="3083" max="3083" width="9.109375" style="16"/>
    <col min="3084" max="3084" width="39.33203125" style="16" customWidth="1"/>
    <col min="3085" max="3087" width="12.33203125" style="16" bestFit="1" customWidth="1"/>
    <col min="3088" max="3328" width="9.109375" style="16"/>
    <col min="3329" max="3329" width="32.109375" style="16" customWidth="1"/>
    <col min="3330" max="3332" width="12.33203125" style="16" bestFit="1" customWidth="1"/>
    <col min="3333" max="3334" width="10.6640625" style="16" bestFit="1" customWidth="1"/>
    <col min="3335" max="3335" width="28.109375" style="16" customWidth="1"/>
    <col min="3336" max="3338" width="12.33203125" style="16" bestFit="1" customWidth="1"/>
    <col min="3339" max="3339" width="9.109375" style="16"/>
    <col min="3340" max="3340" width="39.33203125" style="16" customWidth="1"/>
    <col min="3341" max="3343" width="12.33203125" style="16" bestFit="1" customWidth="1"/>
    <col min="3344" max="3584" width="9.109375" style="16"/>
    <col min="3585" max="3585" width="32.109375" style="16" customWidth="1"/>
    <col min="3586" max="3588" width="12.33203125" style="16" bestFit="1" customWidth="1"/>
    <col min="3589" max="3590" width="10.6640625" style="16" bestFit="1" customWidth="1"/>
    <col min="3591" max="3591" width="28.109375" style="16" customWidth="1"/>
    <col min="3592" max="3594" width="12.33203125" style="16" bestFit="1" customWidth="1"/>
    <col min="3595" max="3595" width="9.109375" style="16"/>
    <col min="3596" max="3596" width="39.33203125" style="16" customWidth="1"/>
    <col min="3597" max="3599" width="12.33203125" style="16" bestFit="1" customWidth="1"/>
    <col min="3600" max="3840" width="9.109375" style="16"/>
    <col min="3841" max="3841" width="32.109375" style="16" customWidth="1"/>
    <col min="3842" max="3844" width="12.33203125" style="16" bestFit="1" customWidth="1"/>
    <col min="3845" max="3846" width="10.6640625" style="16" bestFit="1" customWidth="1"/>
    <col min="3847" max="3847" width="28.109375" style="16" customWidth="1"/>
    <col min="3848" max="3850" width="12.33203125" style="16" bestFit="1" customWidth="1"/>
    <col min="3851" max="3851" width="9.109375" style="16"/>
    <col min="3852" max="3852" width="39.33203125" style="16" customWidth="1"/>
    <col min="3853" max="3855" width="12.33203125" style="16" bestFit="1" customWidth="1"/>
    <col min="3856" max="4096" width="9.109375" style="16"/>
    <col min="4097" max="4097" width="32.109375" style="16" customWidth="1"/>
    <col min="4098" max="4100" width="12.33203125" style="16" bestFit="1" customWidth="1"/>
    <col min="4101" max="4102" width="10.6640625" style="16" bestFit="1" customWidth="1"/>
    <col min="4103" max="4103" width="28.109375" style="16" customWidth="1"/>
    <col min="4104" max="4106" width="12.33203125" style="16" bestFit="1" customWidth="1"/>
    <col min="4107" max="4107" width="9.109375" style="16"/>
    <col min="4108" max="4108" width="39.33203125" style="16" customWidth="1"/>
    <col min="4109" max="4111" width="12.33203125" style="16" bestFit="1" customWidth="1"/>
    <col min="4112" max="4352" width="9.109375" style="16"/>
    <col min="4353" max="4353" width="32.109375" style="16" customWidth="1"/>
    <col min="4354" max="4356" width="12.33203125" style="16" bestFit="1" customWidth="1"/>
    <col min="4357" max="4358" width="10.6640625" style="16" bestFit="1" customWidth="1"/>
    <col min="4359" max="4359" width="28.109375" style="16" customWidth="1"/>
    <col min="4360" max="4362" width="12.33203125" style="16" bestFit="1" customWidth="1"/>
    <col min="4363" max="4363" width="9.109375" style="16"/>
    <col min="4364" max="4364" width="39.33203125" style="16" customWidth="1"/>
    <col min="4365" max="4367" width="12.33203125" style="16" bestFit="1" customWidth="1"/>
    <col min="4368" max="4608" width="9.109375" style="16"/>
    <col min="4609" max="4609" width="32.109375" style="16" customWidth="1"/>
    <col min="4610" max="4612" width="12.33203125" style="16" bestFit="1" customWidth="1"/>
    <col min="4613" max="4614" width="10.6640625" style="16" bestFit="1" customWidth="1"/>
    <col min="4615" max="4615" width="28.109375" style="16" customWidth="1"/>
    <col min="4616" max="4618" width="12.33203125" style="16" bestFit="1" customWidth="1"/>
    <col min="4619" max="4619" width="9.109375" style="16"/>
    <col min="4620" max="4620" width="39.33203125" style="16" customWidth="1"/>
    <col min="4621" max="4623" width="12.33203125" style="16" bestFit="1" customWidth="1"/>
    <col min="4624" max="4864" width="9.109375" style="16"/>
    <col min="4865" max="4865" width="32.109375" style="16" customWidth="1"/>
    <col min="4866" max="4868" width="12.33203125" style="16" bestFit="1" customWidth="1"/>
    <col min="4869" max="4870" width="10.6640625" style="16" bestFit="1" customWidth="1"/>
    <col min="4871" max="4871" width="28.109375" style="16" customWidth="1"/>
    <col min="4872" max="4874" width="12.33203125" style="16" bestFit="1" customWidth="1"/>
    <col min="4875" max="4875" width="9.109375" style="16"/>
    <col min="4876" max="4876" width="39.33203125" style="16" customWidth="1"/>
    <col min="4877" max="4879" width="12.33203125" style="16" bestFit="1" customWidth="1"/>
    <col min="4880" max="5120" width="9.109375" style="16"/>
    <col min="5121" max="5121" width="32.109375" style="16" customWidth="1"/>
    <col min="5122" max="5124" width="12.33203125" style="16" bestFit="1" customWidth="1"/>
    <col min="5125" max="5126" width="10.6640625" style="16" bestFit="1" customWidth="1"/>
    <col min="5127" max="5127" width="28.109375" style="16" customWidth="1"/>
    <col min="5128" max="5130" width="12.33203125" style="16" bestFit="1" customWidth="1"/>
    <col min="5131" max="5131" width="9.109375" style="16"/>
    <col min="5132" max="5132" width="39.33203125" style="16" customWidth="1"/>
    <col min="5133" max="5135" width="12.33203125" style="16" bestFit="1" customWidth="1"/>
    <col min="5136" max="5376" width="9.109375" style="16"/>
    <col min="5377" max="5377" width="32.109375" style="16" customWidth="1"/>
    <col min="5378" max="5380" width="12.33203125" style="16" bestFit="1" customWidth="1"/>
    <col min="5381" max="5382" width="10.6640625" style="16" bestFit="1" customWidth="1"/>
    <col min="5383" max="5383" width="28.109375" style="16" customWidth="1"/>
    <col min="5384" max="5386" width="12.33203125" style="16" bestFit="1" customWidth="1"/>
    <col min="5387" max="5387" width="9.109375" style="16"/>
    <col min="5388" max="5388" width="39.33203125" style="16" customWidth="1"/>
    <col min="5389" max="5391" width="12.33203125" style="16" bestFit="1" customWidth="1"/>
    <col min="5392" max="5632" width="9.109375" style="16"/>
    <col min="5633" max="5633" width="32.109375" style="16" customWidth="1"/>
    <col min="5634" max="5636" width="12.33203125" style="16" bestFit="1" customWidth="1"/>
    <col min="5637" max="5638" width="10.6640625" style="16" bestFit="1" customWidth="1"/>
    <col min="5639" max="5639" width="28.109375" style="16" customWidth="1"/>
    <col min="5640" max="5642" width="12.33203125" style="16" bestFit="1" customWidth="1"/>
    <col min="5643" max="5643" width="9.109375" style="16"/>
    <col min="5644" max="5644" width="39.33203125" style="16" customWidth="1"/>
    <col min="5645" max="5647" width="12.33203125" style="16" bestFit="1" customWidth="1"/>
    <col min="5648" max="5888" width="9.109375" style="16"/>
    <col min="5889" max="5889" width="32.109375" style="16" customWidth="1"/>
    <col min="5890" max="5892" width="12.33203125" style="16" bestFit="1" customWidth="1"/>
    <col min="5893" max="5894" width="10.6640625" style="16" bestFit="1" customWidth="1"/>
    <col min="5895" max="5895" width="28.109375" style="16" customWidth="1"/>
    <col min="5896" max="5898" width="12.33203125" style="16" bestFit="1" customWidth="1"/>
    <col min="5899" max="5899" width="9.109375" style="16"/>
    <col min="5900" max="5900" width="39.33203125" style="16" customWidth="1"/>
    <col min="5901" max="5903" width="12.33203125" style="16" bestFit="1" customWidth="1"/>
    <col min="5904" max="6144" width="9.109375" style="16"/>
    <col min="6145" max="6145" width="32.109375" style="16" customWidth="1"/>
    <col min="6146" max="6148" width="12.33203125" style="16" bestFit="1" customWidth="1"/>
    <col min="6149" max="6150" width="10.6640625" style="16" bestFit="1" customWidth="1"/>
    <col min="6151" max="6151" width="28.109375" style="16" customWidth="1"/>
    <col min="6152" max="6154" width="12.33203125" style="16" bestFit="1" customWidth="1"/>
    <col min="6155" max="6155" width="9.109375" style="16"/>
    <col min="6156" max="6156" width="39.33203125" style="16" customWidth="1"/>
    <col min="6157" max="6159" width="12.33203125" style="16" bestFit="1" customWidth="1"/>
    <col min="6160" max="6400" width="9.109375" style="16"/>
    <col min="6401" max="6401" width="32.109375" style="16" customWidth="1"/>
    <col min="6402" max="6404" width="12.33203125" style="16" bestFit="1" customWidth="1"/>
    <col min="6405" max="6406" width="10.6640625" style="16" bestFit="1" customWidth="1"/>
    <col min="6407" max="6407" width="28.109375" style="16" customWidth="1"/>
    <col min="6408" max="6410" width="12.33203125" style="16" bestFit="1" customWidth="1"/>
    <col min="6411" max="6411" width="9.109375" style="16"/>
    <col min="6412" max="6412" width="39.33203125" style="16" customWidth="1"/>
    <col min="6413" max="6415" width="12.33203125" style="16" bestFit="1" customWidth="1"/>
    <col min="6416" max="6656" width="9.109375" style="16"/>
    <col min="6657" max="6657" width="32.109375" style="16" customWidth="1"/>
    <col min="6658" max="6660" width="12.33203125" style="16" bestFit="1" customWidth="1"/>
    <col min="6661" max="6662" width="10.6640625" style="16" bestFit="1" customWidth="1"/>
    <col min="6663" max="6663" width="28.109375" style="16" customWidth="1"/>
    <col min="6664" max="6666" width="12.33203125" style="16" bestFit="1" customWidth="1"/>
    <col min="6667" max="6667" width="9.109375" style="16"/>
    <col min="6668" max="6668" width="39.33203125" style="16" customWidth="1"/>
    <col min="6669" max="6671" width="12.33203125" style="16" bestFit="1" customWidth="1"/>
    <col min="6672" max="6912" width="9.109375" style="16"/>
    <col min="6913" max="6913" width="32.109375" style="16" customWidth="1"/>
    <col min="6914" max="6916" width="12.33203125" style="16" bestFit="1" customWidth="1"/>
    <col min="6917" max="6918" width="10.6640625" style="16" bestFit="1" customWidth="1"/>
    <col min="6919" max="6919" width="28.109375" style="16" customWidth="1"/>
    <col min="6920" max="6922" width="12.33203125" style="16" bestFit="1" customWidth="1"/>
    <col min="6923" max="6923" width="9.109375" style="16"/>
    <col min="6924" max="6924" width="39.33203125" style="16" customWidth="1"/>
    <col min="6925" max="6927" width="12.33203125" style="16" bestFit="1" customWidth="1"/>
    <col min="6928" max="7168" width="9.109375" style="16"/>
    <col min="7169" max="7169" width="32.109375" style="16" customWidth="1"/>
    <col min="7170" max="7172" width="12.33203125" style="16" bestFit="1" customWidth="1"/>
    <col min="7173" max="7174" width="10.6640625" style="16" bestFit="1" customWidth="1"/>
    <col min="7175" max="7175" width="28.109375" style="16" customWidth="1"/>
    <col min="7176" max="7178" width="12.33203125" style="16" bestFit="1" customWidth="1"/>
    <col min="7179" max="7179" width="9.109375" style="16"/>
    <col min="7180" max="7180" width="39.33203125" style="16" customWidth="1"/>
    <col min="7181" max="7183" width="12.33203125" style="16" bestFit="1" customWidth="1"/>
    <col min="7184" max="7424" width="9.109375" style="16"/>
    <col min="7425" max="7425" width="32.109375" style="16" customWidth="1"/>
    <col min="7426" max="7428" width="12.33203125" style="16" bestFit="1" customWidth="1"/>
    <col min="7429" max="7430" width="10.6640625" style="16" bestFit="1" customWidth="1"/>
    <col min="7431" max="7431" width="28.109375" style="16" customWidth="1"/>
    <col min="7432" max="7434" width="12.33203125" style="16" bestFit="1" customWidth="1"/>
    <col min="7435" max="7435" width="9.109375" style="16"/>
    <col min="7436" max="7436" width="39.33203125" style="16" customWidth="1"/>
    <col min="7437" max="7439" width="12.33203125" style="16" bestFit="1" customWidth="1"/>
    <col min="7440" max="7680" width="9.109375" style="16"/>
    <col min="7681" max="7681" width="32.109375" style="16" customWidth="1"/>
    <col min="7682" max="7684" width="12.33203125" style="16" bestFit="1" customWidth="1"/>
    <col min="7685" max="7686" width="10.6640625" style="16" bestFit="1" customWidth="1"/>
    <col min="7687" max="7687" width="28.109375" style="16" customWidth="1"/>
    <col min="7688" max="7690" width="12.33203125" style="16" bestFit="1" customWidth="1"/>
    <col min="7691" max="7691" width="9.109375" style="16"/>
    <col min="7692" max="7692" width="39.33203125" style="16" customWidth="1"/>
    <col min="7693" max="7695" width="12.33203125" style="16" bestFit="1" customWidth="1"/>
    <col min="7696" max="7936" width="9.109375" style="16"/>
    <col min="7937" max="7937" width="32.109375" style="16" customWidth="1"/>
    <col min="7938" max="7940" width="12.33203125" style="16" bestFit="1" customWidth="1"/>
    <col min="7941" max="7942" width="10.6640625" style="16" bestFit="1" customWidth="1"/>
    <col min="7943" max="7943" width="28.109375" style="16" customWidth="1"/>
    <col min="7944" max="7946" width="12.33203125" style="16" bestFit="1" customWidth="1"/>
    <col min="7947" max="7947" width="9.109375" style="16"/>
    <col min="7948" max="7948" width="39.33203125" style="16" customWidth="1"/>
    <col min="7949" max="7951" width="12.33203125" style="16" bestFit="1" customWidth="1"/>
    <col min="7952" max="8192" width="9.109375" style="16"/>
    <col min="8193" max="8193" width="32.109375" style="16" customWidth="1"/>
    <col min="8194" max="8196" width="12.33203125" style="16" bestFit="1" customWidth="1"/>
    <col min="8197" max="8198" width="10.6640625" style="16" bestFit="1" customWidth="1"/>
    <col min="8199" max="8199" width="28.109375" style="16" customWidth="1"/>
    <col min="8200" max="8202" width="12.33203125" style="16" bestFit="1" customWidth="1"/>
    <col min="8203" max="8203" width="9.109375" style="16"/>
    <col min="8204" max="8204" width="39.33203125" style="16" customWidth="1"/>
    <col min="8205" max="8207" width="12.33203125" style="16" bestFit="1" customWidth="1"/>
    <col min="8208" max="8448" width="9.109375" style="16"/>
    <col min="8449" max="8449" width="32.109375" style="16" customWidth="1"/>
    <col min="8450" max="8452" width="12.33203125" style="16" bestFit="1" customWidth="1"/>
    <col min="8453" max="8454" width="10.6640625" style="16" bestFit="1" customWidth="1"/>
    <col min="8455" max="8455" width="28.109375" style="16" customWidth="1"/>
    <col min="8456" max="8458" width="12.33203125" style="16" bestFit="1" customWidth="1"/>
    <col min="8459" max="8459" width="9.109375" style="16"/>
    <col min="8460" max="8460" width="39.33203125" style="16" customWidth="1"/>
    <col min="8461" max="8463" width="12.33203125" style="16" bestFit="1" customWidth="1"/>
    <col min="8464" max="8704" width="9.109375" style="16"/>
    <col min="8705" max="8705" width="32.109375" style="16" customWidth="1"/>
    <col min="8706" max="8708" width="12.33203125" style="16" bestFit="1" customWidth="1"/>
    <col min="8709" max="8710" width="10.6640625" style="16" bestFit="1" customWidth="1"/>
    <col min="8711" max="8711" width="28.109375" style="16" customWidth="1"/>
    <col min="8712" max="8714" width="12.33203125" style="16" bestFit="1" customWidth="1"/>
    <col min="8715" max="8715" width="9.109375" style="16"/>
    <col min="8716" max="8716" width="39.33203125" style="16" customWidth="1"/>
    <col min="8717" max="8719" width="12.33203125" style="16" bestFit="1" customWidth="1"/>
    <col min="8720" max="8960" width="9.109375" style="16"/>
    <col min="8961" max="8961" width="32.109375" style="16" customWidth="1"/>
    <col min="8962" max="8964" width="12.33203125" style="16" bestFit="1" customWidth="1"/>
    <col min="8965" max="8966" width="10.6640625" style="16" bestFit="1" customWidth="1"/>
    <col min="8967" max="8967" width="28.109375" style="16" customWidth="1"/>
    <col min="8968" max="8970" width="12.33203125" style="16" bestFit="1" customWidth="1"/>
    <col min="8971" max="8971" width="9.109375" style="16"/>
    <col min="8972" max="8972" width="39.33203125" style="16" customWidth="1"/>
    <col min="8973" max="8975" width="12.33203125" style="16" bestFit="1" customWidth="1"/>
    <col min="8976" max="9216" width="9.109375" style="16"/>
    <col min="9217" max="9217" width="32.109375" style="16" customWidth="1"/>
    <col min="9218" max="9220" width="12.33203125" style="16" bestFit="1" customWidth="1"/>
    <col min="9221" max="9222" width="10.6640625" style="16" bestFit="1" customWidth="1"/>
    <col min="9223" max="9223" width="28.109375" style="16" customWidth="1"/>
    <col min="9224" max="9226" width="12.33203125" style="16" bestFit="1" customWidth="1"/>
    <col min="9227" max="9227" width="9.109375" style="16"/>
    <col min="9228" max="9228" width="39.33203125" style="16" customWidth="1"/>
    <col min="9229" max="9231" width="12.33203125" style="16" bestFit="1" customWidth="1"/>
    <col min="9232" max="9472" width="9.109375" style="16"/>
    <col min="9473" max="9473" width="32.109375" style="16" customWidth="1"/>
    <col min="9474" max="9476" width="12.33203125" style="16" bestFit="1" customWidth="1"/>
    <col min="9477" max="9478" width="10.6640625" style="16" bestFit="1" customWidth="1"/>
    <col min="9479" max="9479" width="28.109375" style="16" customWidth="1"/>
    <col min="9480" max="9482" width="12.33203125" style="16" bestFit="1" customWidth="1"/>
    <col min="9483" max="9483" width="9.109375" style="16"/>
    <col min="9484" max="9484" width="39.33203125" style="16" customWidth="1"/>
    <col min="9485" max="9487" width="12.33203125" style="16" bestFit="1" customWidth="1"/>
    <col min="9488" max="9728" width="9.109375" style="16"/>
    <col min="9729" max="9729" width="32.109375" style="16" customWidth="1"/>
    <col min="9730" max="9732" width="12.33203125" style="16" bestFit="1" customWidth="1"/>
    <col min="9733" max="9734" width="10.6640625" style="16" bestFit="1" customWidth="1"/>
    <col min="9735" max="9735" width="28.109375" style="16" customWidth="1"/>
    <col min="9736" max="9738" width="12.33203125" style="16" bestFit="1" customWidth="1"/>
    <col min="9739" max="9739" width="9.109375" style="16"/>
    <col min="9740" max="9740" width="39.33203125" style="16" customWidth="1"/>
    <col min="9741" max="9743" width="12.33203125" style="16" bestFit="1" customWidth="1"/>
    <col min="9744" max="9984" width="9.109375" style="16"/>
    <col min="9985" max="9985" width="32.109375" style="16" customWidth="1"/>
    <col min="9986" max="9988" width="12.33203125" style="16" bestFit="1" customWidth="1"/>
    <col min="9989" max="9990" width="10.6640625" style="16" bestFit="1" customWidth="1"/>
    <col min="9991" max="9991" width="28.109375" style="16" customWidth="1"/>
    <col min="9992" max="9994" width="12.33203125" style="16" bestFit="1" customWidth="1"/>
    <col min="9995" max="9995" width="9.109375" style="16"/>
    <col min="9996" max="9996" width="39.33203125" style="16" customWidth="1"/>
    <col min="9997" max="9999" width="12.33203125" style="16" bestFit="1" customWidth="1"/>
    <col min="10000" max="10240" width="9.109375" style="16"/>
    <col min="10241" max="10241" width="32.109375" style="16" customWidth="1"/>
    <col min="10242" max="10244" width="12.33203125" style="16" bestFit="1" customWidth="1"/>
    <col min="10245" max="10246" width="10.6640625" style="16" bestFit="1" customWidth="1"/>
    <col min="10247" max="10247" width="28.109375" style="16" customWidth="1"/>
    <col min="10248" max="10250" width="12.33203125" style="16" bestFit="1" customWidth="1"/>
    <col min="10251" max="10251" width="9.109375" style="16"/>
    <col min="10252" max="10252" width="39.33203125" style="16" customWidth="1"/>
    <col min="10253" max="10255" width="12.33203125" style="16" bestFit="1" customWidth="1"/>
    <col min="10256" max="10496" width="9.109375" style="16"/>
    <col min="10497" max="10497" width="32.109375" style="16" customWidth="1"/>
    <col min="10498" max="10500" width="12.33203125" style="16" bestFit="1" customWidth="1"/>
    <col min="10501" max="10502" width="10.6640625" style="16" bestFit="1" customWidth="1"/>
    <col min="10503" max="10503" width="28.109375" style="16" customWidth="1"/>
    <col min="10504" max="10506" width="12.33203125" style="16" bestFit="1" customWidth="1"/>
    <col min="10507" max="10507" width="9.109375" style="16"/>
    <col min="10508" max="10508" width="39.33203125" style="16" customWidth="1"/>
    <col min="10509" max="10511" width="12.33203125" style="16" bestFit="1" customWidth="1"/>
    <col min="10512" max="10752" width="9.109375" style="16"/>
    <col min="10753" max="10753" width="32.109375" style="16" customWidth="1"/>
    <col min="10754" max="10756" width="12.33203125" style="16" bestFit="1" customWidth="1"/>
    <col min="10757" max="10758" width="10.6640625" style="16" bestFit="1" customWidth="1"/>
    <col min="10759" max="10759" width="28.109375" style="16" customWidth="1"/>
    <col min="10760" max="10762" width="12.33203125" style="16" bestFit="1" customWidth="1"/>
    <col min="10763" max="10763" width="9.109375" style="16"/>
    <col min="10764" max="10764" width="39.33203125" style="16" customWidth="1"/>
    <col min="10765" max="10767" width="12.33203125" style="16" bestFit="1" customWidth="1"/>
    <col min="10768" max="11008" width="9.109375" style="16"/>
    <col min="11009" max="11009" width="32.109375" style="16" customWidth="1"/>
    <col min="11010" max="11012" width="12.33203125" style="16" bestFit="1" customWidth="1"/>
    <col min="11013" max="11014" width="10.6640625" style="16" bestFit="1" customWidth="1"/>
    <col min="11015" max="11015" width="28.109375" style="16" customWidth="1"/>
    <col min="11016" max="11018" width="12.33203125" style="16" bestFit="1" customWidth="1"/>
    <col min="11019" max="11019" width="9.109375" style="16"/>
    <col min="11020" max="11020" width="39.33203125" style="16" customWidth="1"/>
    <col min="11021" max="11023" width="12.33203125" style="16" bestFit="1" customWidth="1"/>
    <col min="11024" max="11264" width="9.109375" style="16"/>
    <col min="11265" max="11265" width="32.109375" style="16" customWidth="1"/>
    <col min="11266" max="11268" width="12.33203125" style="16" bestFit="1" customWidth="1"/>
    <col min="11269" max="11270" width="10.6640625" style="16" bestFit="1" customWidth="1"/>
    <col min="11271" max="11271" width="28.109375" style="16" customWidth="1"/>
    <col min="11272" max="11274" width="12.33203125" style="16" bestFit="1" customWidth="1"/>
    <col min="11275" max="11275" width="9.109375" style="16"/>
    <col min="11276" max="11276" width="39.33203125" style="16" customWidth="1"/>
    <col min="11277" max="11279" width="12.33203125" style="16" bestFit="1" customWidth="1"/>
    <col min="11280" max="11520" width="9.109375" style="16"/>
    <col min="11521" max="11521" width="32.109375" style="16" customWidth="1"/>
    <col min="11522" max="11524" width="12.33203125" style="16" bestFit="1" customWidth="1"/>
    <col min="11525" max="11526" width="10.6640625" style="16" bestFit="1" customWidth="1"/>
    <col min="11527" max="11527" width="28.109375" style="16" customWidth="1"/>
    <col min="11528" max="11530" width="12.33203125" style="16" bestFit="1" customWidth="1"/>
    <col min="11531" max="11531" width="9.109375" style="16"/>
    <col min="11532" max="11532" width="39.33203125" style="16" customWidth="1"/>
    <col min="11533" max="11535" width="12.33203125" style="16" bestFit="1" customWidth="1"/>
    <col min="11536" max="11776" width="9.109375" style="16"/>
    <col min="11777" max="11777" width="32.109375" style="16" customWidth="1"/>
    <col min="11778" max="11780" width="12.33203125" style="16" bestFit="1" customWidth="1"/>
    <col min="11781" max="11782" width="10.6640625" style="16" bestFit="1" customWidth="1"/>
    <col min="11783" max="11783" width="28.109375" style="16" customWidth="1"/>
    <col min="11784" max="11786" width="12.33203125" style="16" bestFit="1" customWidth="1"/>
    <col min="11787" max="11787" width="9.109375" style="16"/>
    <col min="11788" max="11788" width="39.33203125" style="16" customWidth="1"/>
    <col min="11789" max="11791" width="12.33203125" style="16" bestFit="1" customWidth="1"/>
    <col min="11792" max="12032" width="9.109375" style="16"/>
    <col min="12033" max="12033" width="32.109375" style="16" customWidth="1"/>
    <col min="12034" max="12036" width="12.33203125" style="16" bestFit="1" customWidth="1"/>
    <col min="12037" max="12038" width="10.6640625" style="16" bestFit="1" customWidth="1"/>
    <col min="12039" max="12039" width="28.109375" style="16" customWidth="1"/>
    <col min="12040" max="12042" width="12.33203125" style="16" bestFit="1" customWidth="1"/>
    <col min="12043" max="12043" width="9.109375" style="16"/>
    <col min="12044" max="12044" width="39.33203125" style="16" customWidth="1"/>
    <col min="12045" max="12047" width="12.33203125" style="16" bestFit="1" customWidth="1"/>
    <col min="12048" max="12288" width="9.109375" style="16"/>
    <col min="12289" max="12289" width="32.109375" style="16" customWidth="1"/>
    <col min="12290" max="12292" width="12.33203125" style="16" bestFit="1" customWidth="1"/>
    <col min="12293" max="12294" width="10.6640625" style="16" bestFit="1" customWidth="1"/>
    <col min="12295" max="12295" width="28.109375" style="16" customWidth="1"/>
    <col min="12296" max="12298" width="12.33203125" style="16" bestFit="1" customWidth="1"/>
    <col min="12299" max="12299" width="9.109375" style="16"/>
    <col min="12300" max="12300" width="39.33203125" style="16" customWidth="1"/>
    <col min="12301" max="12303" width="12.33203125" style="16" bestFit="1" customWidth="1"/>
    <col min="12304" max="12544" width="9.109375" style="16"/>
    <col min="12545" max="12545" width="32.109375" style="16" customWidth="1"/>
    <col min="12546" max="12548" width="12.33203125" style="16" bestFit="1" customWidth="1"/>
    <col min="12549" max="12550" width="10.6640625" style="16" bestFit="1" customWidth="1"/>
    <col min="12551" max="12551" width="28.109375" style="16" customWidth="1"/>
    <col min="12552" max="12554" width="12.33203125" style="16" bestFit="1" customWidth="1"/>
    <col min="12555" max="12555" width="9.109375" style="16"/>
    <col min="12556" max="12556" width="39.33203125" style="16" customWidth="1"/>
    <col min="12557" max="12559" width="12.33203125" style="16" bestFit="1" customWidth="1"/>
    <col min="12560" max="12800" width="9.109375" style="16"/>
    <col min="12801" max="12801" width="32.109375" style="16" customWidth="1"/>
    <col min="12802" max="12804" width="12.33203125" style="16" bestFit="1" customWidth="1"/>
    <col min="12805" max="12806" width="10.6640625" style="16" bestFit="1" customWidth="1"/>
    <col min="12807" max="12807" width="28.109375" style="16" customWidth="1"/>
    <col min="12808" max="12810" width="12.33203125" style="16" bestFit="1" customWidth="1"/>
    <col min="12811" max="12811" width="9.109375" style="16"/>
    <col min="12812" max="12812" width="39.33203125" style="16" customWidth="1"/>
    <col min="12813" max="12815" width="12.33203125" style="16" bestFit="1" customWidth="1"/>
    <col min="12816" max="13056" width="9.109375" style="16"/>
    <col min="13057" max="13057" width="32.109375" style="16" customWidth="1"/>
    <col min="13058" max="13060" width="12.33203125" style="16" bestFit="1" customWidth="1"/>
    <col min="13061" max="13062" width="10.6640625" style="16" bestFit="1" customWidth="1"/>
    <col min="13063" max="13063" width="28.109375" style="16" customWidth="1"/>
    <col min="13064" max="13066" width="12.33203125" style="16" bestFit="1" customWidth="1"/>
    <col min="13067" max="13067" width="9.109375" style="16"/>
    <col min="13068" max="13068" width="39.33203125" style="16" customWidth="1"/>
    <col min="13069" max="13071" width="12.33203125" style="16" bestFit="1" customWidth="1"/>
    <col min="13072" max="13312" width="9.109375" style="16"/>
    <col min="13313" max="13313" width="32.109375" style="16" customWidth="1"/>
    <col min="13314" max="13316" width="12.33203125" style="16" bestFit="1" customWidth="1"/>
    <col min="13317" max="13318" width="10.6640625" style="16" bestFit="1" customWidth="1"/>
    <col min="13319" max="13319" width="28.109375" style="16" customWidth="1"/>
    <col min="13320" max="13322" width="12.33203125" style="16" bestFit="1" customWidth="1"/>
    <col min="13323" max="13323" width="9.109375" style="16"/>
    <col min="13324" max="13324" width="39.33203125" style="16" customWidth="1"/>
    <col min="13325" max="13327" width="12.33203125" style="16" bestFit="1" customWidth="1"/>
    <col min="13328" max="13568" width="9.109375" style="16"/>
    <col min="13569" max="13569" width="32.109375" style="16" customWidth="1"/>
    <col min="13570" max="13572" width="12.33203125" style="16" bestFit="1" customWidth="1"/>
    <col min="13573" max="13574" width="10.6640625" style="16" bestFit="1" customWidth="1"/>
    <col min="13575" max="13575" width="28.109375" style="16" customWidth="1"/>
    <col min="13576" max="13578" width="12.33203125" style="16" bestFit="1" customWidth="1"/>
    <col min="13579" max="13579" width="9.109375" style="16"/>
    <col min="13580" max="13580" width="39.33203125" style="16" customWidth="1"/>
    <col min="13581" max="13583" width="12.33203125" style="16" bestFit="1" customWidth="1"/>
    <col min="13584" max="13824" width="9.109375" style="16"/>
    <col min="13825" max="13825" width="32.109375" style="16" customWidth="1"/>
    <col min="13826" max="13828" width="12.33203125" style="16" bestFit="1" customWidth="1"/>
    <col min="13829" max="13830" width="10.6640625" style="16" bestFit="1" customWidth="1"/>
    <col min="13831" max="13831" width="28.109375" style="16" customWidth="1"/>
    <col min="13832" max="13834" width="12.33203125" style="16" bestFit="1" customWidth="1"/>
    <col min="13835" max="13835" width="9.109375" style="16"/>
    <col min="13836" max="13836" width="39.33203125" style="16" customWidth="1"/>
    <col min="13837" max="13839" width="12.33203125" style="16" bestFit="1" customWidth="1"/>
    <col min="13840" max="14080" width="9.109375" style="16"/>
    <col min="14081" max="14081" width="32.109375" style="16" customWidth="1"/>
    <col min="14082" max="14084" width="12.33203125" style="16" bestFit="1" customWidth="1"/>
    <col min="14085" max="14086" width="10.6640625" style="16" bestFit="1" customWidth="1"/>
    <col min="14087" max="14087" width="28.109375" style="16" customWidth="1"/>
    <col min="14088" max="14090" width="12.33203125" style="16" bestFit="1" customWidth="1"/>
    <col min="14091" max="14091" width="9.109375" style="16"/>
    <col min="14092" max="14092" width="39.33203125" style="16" customWidth="1"/>
    <col min="14093" max="14095" width="12.33203125" style="16" bestFit="1" customWidth="1"/>
    <col min="14096" max="14336" width="9.109375" style="16"/>
    <col min="14337" max="14337" width="32.109375" style="16" customWidth="1"/>
    <col min="14338" max="14340" width="12.33203125" style="16" bestFit="1" customWidth="1"/>
    <col min="14341" max="14342" width="10.6640625" style="16" bestFit="1" customWidth="1"/>
    <col min="14343" max="14343" width="28.109375" style="16" customWidth="1"/>
    <col min="14344" max="14346" width="12.33203125" style="16" bestFit="1" customWidth="1"/>
    <col min="14347" max="14347" width="9.109375" style="16"/>
    <col min="14348" max="14348" width="39.33203125" style="16" customWidth="1"/>
    <col min="14349" max="14351" width="12.33203125" style="16" bestFit="1" customWidth="1"/>
    <col min="14352" max="14592" width="9.109375" style="16"/>
    <col min="14593" max="14593" width="32.109375" style="16" customWidth="1"/>
    <col min="14594" max="14596" width="12.33203125" style="16" bestFit="1" customWidth="1"/>
    <col min="14597" max="14598" width="10.6640625" style="16" bestFit="1" customWidth="1"/>
    <col min="14599" max="14599" width="28.109375" style="16" customWidth="1"/>
    <col min="14600" max="14602" width="12.33203125" style="16" bestFit="1" customWidth="1"/>
    <col min="14603" max="14603" width="9.109375" style="16"/>
    <col min="14604" max="14604" width="39.33203125" style="16" customWidth="1"/>
    <col min="14605" max="14607" width="12.33203125" style="16" bestFit="1" customWidth="1"/>
    <col min="14608" max="14848" width="9.109375" style="16"/>
    <col min="14849" max="14849" width="32.109375" style="16" customWidth="1"/>
    <col min="14850" max="14852" width="12.33203125" style="16" bestFit="1" customWidth="1"/>
    <col min="14853" max="14854" width="10.6640625" style="16" bestFit="1" customWidth="1"/>
    <col min="14855" max="14855" width="28.109375" style="16" customWidth="1"/>
    <col min="14856" max="14858" width="12.33203125" style="16" bestFit="1" customWidth="1"/>
    <col min="14859" max="14859" width="9.109375" style="16"/>
    <col min="14860" max="14860" width="39.33203125" style="16" customWidth="1"/>
    <col min="14861" max="14863" width="12.33203125" style="16" bestFit="1" customWidth="1"/>
    <col min="14864" max="15104" width="9.109375" style="16"/>
    <col min="15105" max="15105" width="32.109375" style="16" customWidth="1"/>
    <col min="15106" max="15108" width="12.33203125" style="16" bestFit="1" customWidth="1"/>
    <col min="15109" max="15110" width="10.6640625" style="16" bestFit="1" customWidth="1"/>
    <col min="15111" max="15111" width="28.109375" style="16" customWidth="1"/>
    <col min="15112" max="15114" width="12.33203125" style="16" bestFit="1" customWidth="1"/>
    <col min="15115" max="15115" width="9.109375" style="16"/>
    <col min="15116" max="15116" width="39.33203125" style="16" customWidth="1"/>
    <col min="15117" max="15119" width="12.33203125" style="16" bestFit="1" customWidth="1"/>
    <col min="15120" max="15360" width="9.109375" style="16"/>
    <col min="15361" max="15361" width="32.109375" style="16" customWidth="1"/>
    <col min="15362" max="15364" width="12.33203125" style="16" bestFit="1" customWidth="1"/>
    <col min="15365" max="15366" width="10.6640625" style="16" bestFit="1" customWidth="1"/>
    <col min="15367" max="15367" width="28.109375" style="16" customWidth="1"/>
    <col min="15368" max="15370" width="12.33203125" style="16" bestFit="1" customWidth="1"/>
    <col min="15371" max="15371" width="9.109375" style="16"/>
    <col min="15372" max="15372" width="39.33203125" style="16" customWidth="1"/>
    <col min="15373" max="15375" width="12.33203125" style="16" bestFit="1" customWidth="1"/>
    <col min="15376" max="15616" width="9.109375" style="16"/>
    <col min="15617" max="15617" width="32.109375" style="16" customWidth="1"/>
    <col min="15618" max="15620" width="12.33203125" style="16" bestFit="1" customWidth="1"/>
    <col min="15621" max="15622" width="10.6640625" style="16" bestFit="1" customWidth="1"/>
    <col min="15623" max="15623" width="28.109375" style="16" customWidth="1"/>
    <col min="15624" max="15626" width="12.33203125" style="16" bestFit="1" customWidth="1"/>
    <col min="15627" max="15627" width="9.109375" style="16"/>
    <col min="15628" max="15628" width="39.33203125" style="16" customWidth="1"/>
    <col min="15629" max="15631" width="12.33203125" style="16" bestFit="1" customWidth="1"/>
    <col min="15632" max="15872" width="9.109375" style="16"/>
    <col min="15873" max="15873" width="32.109375" style="16" customWidth="1"/>
    <col min="15874" max="15876" width="12.33203125" style="16" bestFit="1" customWidth="1"/>
    <col min="15877" max="15878" width="10.6640625" style="16" bestFit="1" customWidth="1"/>
    <col min="15879" max="15879" width="28.109375" style="16" customWidth="1"/>
    <col min="15880" max="15882" width="12.33203125" style="16" bestFit="1" customWidth="1"/>
    <col min="15883" max="15883" width="9.109375" style="16"/>
    <col min="15884" max="15884" width="39.33203125" style="16" customWidth="1"/>
    <col min="15885" max="15887" width="12.33203125" style="16" bestFit="1" customWidth="1"/>
    <col min="15888" max="16128" width="9.109375" style="16"/>
    <col min="16129" max="16129" width="32.109375" style="16" customWidth="1"/>
    <col min="16130" max="16132" width="12.33203125" style="16" bestFit="1" customWidth="1"/>
    <col min="16133" max="16134" width="10.6640625" style="16" bestFit="1" customWidth="1"/>
    <col min="16135" max="16135" width="28.109375" style="16" customWidth="1"/>
    <col min="16136" max="16138" width="12.33203125" style="16" bestFit="1" customWidth="1"/>
    <col min="16139" max="16139" width="9.109375" style="16"/>
    <col min="16140" max="16140" width="39.33203125" style="16" customWidth="1"/>
    <col min="16141" max="16143" width="12.33203125" style="16" bestFit="1" customWidth="1"/>
    <col min="16144" max="16384" width="9.109375" style="16"/>
  </cols>
  <sheetData>
    <row r="1" spans="1:12" ht="17.399999999999999" x14ac:dyDescent="0.3">
      <c r="A1" s="15" t="s">
        <v>325</v>
      </c>
    </row>
    <row r="3" spans="1:12" x14ac:dyDescent="0.25">
      <c r="B3" s="17">
        <v>38748</v>
      </c>
      <c r="C3" s="17">
        <v>38383</v>
      </c>
      <c r="D3" s="17">
        <v>38017</v>
      </c>
      <c r="E3" s="17">
        <v>37652</v>
      </c>
      <c r="F3" s="17">
        <v>37287</v>
      </c>
      <c r="G3" s="17">
        <v>36922</v>
      </c>
      <c r="H3" s="17">
        <v>36556</v>
      </c>
    </row>
    <row r="4" spans="1:12" x14ac:dyDescent="0.25">
      <c r="A4" s="16" t="s">
        <v>326</v>
      </c>
      <c r="B4" s="18">
        <f>-B45</f>
        <v>6691000</v>
      </c>
      <c r="C4" s="18">
        <f>-C45</f>
        <v>5478000</v>
      </c>
      <c r="D4" s="18">
        <f>-H62</f>
        <v>4936000</v>
      </c>
      <c r="E4" s="18">
        <f>-I62</f>
        <v>1200000</v>
      </c>
      <c r="F4" s="18">
        <f>-M63</f>
        <v>0</v>
      </c>
      <c r="G4" s="18">
        <f>-N63</f>
        <v>2448000</v>
      </c>
      <c r="H4" s="18">
        <f>-O63</f>
        <v>5321000</v>
      </c>
      <c r="L4" s="16" t="s">
        <v>326</v>
      </c>
    </row>
    <row r="5" spans="1:12" x14ac:dyDescent="0.25">
      <c r="A5" s="16" t="s">
        <v>327</v>
      </c>
      <c r="D5" s="18">
        <f>-H59</f>
        <v>0</v>
      </c>
      <c r="E5" s="18">
        <f>-I59</f>
        <v>1396000</v>
      </c>
      <c r="F5" s="18">
        <f>-M62</f>
        <v>1354000</v>
      </c>
      <c r="G5" s="18">
        <f>-N62</f>
        <v>0</v>
      </c>
      <c r="H5" s="18">
        <f>-O62</f>
        <v>1844000</v>
      </c>
      <c r="L5" s="16" t="s">
        <v>327</v>
      </c>
    </row>
    <row r="6" spans="1:12" x14ac:dyDescent="0.25">
      <c r="A6" s="16" t="s">
        <v>328</v>
      </c>
      <c r="B6" s="18">
        <f>B48</f>
        <v>2787000</v>
      </c>
      <c r="C6" s="18">
        <f>C48</f>
        <v>1616000</v>
      </c>
      <c r="D6" s="18">
        <f>H60</f>
        <v>1299000</v>
      </c>
      <c r="E6" s="18">
        <f>I60</f>
        <v>73000</v>
      </c>
      <c r="L6" s="16" t="s">
        <v>329</v>
      </c>
    </row>
    <row r="18" spans="1:15" x14ac:dyDescent="0.25">
      <c r="B18" s="17">
        <v>38748</v>
      </c>
      <c r="C18" s="17">
        <v>38383</v>
      </c>
      <c r="D18" s="17">
        <v>38017</v>
      </c>
      <c r="H18" s="17">
        <v>38017</v>
      </c>
      <c r="I18" s="17">
        <v>37652</v>
      </c>
      <c r="J18" s="17">
        <v>37287</v>
      </c>
      <c r="M18" s="17">
        <v>37287</v>
      </c>
      <c r="N18" s="17">
        <v>36922</v>
      </c>
      <c r="O18" s="17">
        <v>36556</v>
      </c>
    </row>
    <row r="19" spans="1:15" x14ac:dyDescent="0.25">
      <c r="A19" s="16" t="s">
        <v>330</v>
      </c>
      <c r="G19" s="16" t="s">
        <v>330</v>
      </c>
      <c r="L19" s="16" t="s">
        <v>330</v>
      </c>
    </row>
    <row r="20" spans="1:15" x14ac:dyDescent="0.25">
      <c r="A20" s="16" t="s">
        <v>331</v>
      </c>
      <c r="B20" s="18">
        <v>42051000</v>
      </c>
      <c r="C20" s="18">
        <v>28490000</v>
      </c>
      <c r="D20" s="18">
        <v>18506000</v>
      </c>
      <c r="G20" s="16" t="s">
        <v>331</v>
      </c>
      <c r="H20" s="18">
        <v>18506000</v>
      </c>
      <c r="I20" s="18">
        <v>17707000</v>
      </c>
      <c r="J20" s="18">
        <v>4127000</v>
      </c>
      <c r="L20" s="16" t="s">
        <v>332</v>
      </c>
      <c r="M20" s="18">
        <v>4127000</v>
      </c>
      <c r="N20" s="18">
        <v>11863000</v>
      </c>
      <c r="O20" s="18">
        <v>4934000</v>
      </c>
    </row>
    <row r="21" spans="1:15" x14ac:dyDescent="0.25">
      <c r="A21" s="16" t="s">
        <v>333</v>
      </c>
      <c r="G21" s="16" t="s">
        <v>333</v>
      </c>
      <c r="L21" s="16" t="s">
        <v>334</v>
      </c>
    </row>
    <row r="22" spans="1:15" x14ac:dyDescent="0.25">
      <c r="A22" s="16" t="s">
        <v>335</v>
      </c>
      <c r="B22" s="18">
        <v>16005000</v>
      </c>
      <c r="C22" s="18">
        <v>14570000</v>
      </c>
      <c r="D22" s="18">
        <v>12664000</v>
      </c>
      <c r="G22" s="16" t="s">
        <v>335</v>
      </c>
      <c r="H22" s="18">
        <v>12664000</v>
      </c>
      <c r="I22" s="18">
        <v>10793000</v>
      </c>
      <c r="J22" s="18">
        <v>14748000</v>
      </c>
      <c r="L22" s="16" t="s">
        <v>336</v>
      </c>
      <c r="M22" s="18">
        <v>-485000</v>
      </c>
      <c r="N22" s="18">
        <v>-2089000</v>
      </c>
      <c r="O22" s="18">
        <v>490000</v>
      </c>
    </row>
    <row r="23" spans="1:15" x14ac:dyDescent="0.25">
      <c r="A23" s="16" t="s">
        <v>337</v>
      </c>
      <c r="B23" s="18">
        <v>2278000</v>
      </c>
      <c r="C23" s="18">
        <v>2492000</v>
      </c>
      <c r="D23" s="18">
        <v>0</v>
      </c>
      <c r="G23" s="16" t="s">
        <v>338</v>
      </c>
      <c r="H23" s="18">
        <v>1802000</v>
      </c>
      <c r="I23" s="18">
        <v>2395000</v>
      </c>
      <c r="J23" s="18">
        <v>-5646000</v>
      </c>
      <c r="L23" s="16" t="s">
        <v>339</v>
      </c>
    </row>
    <row r="24" spans="1:15" x14ac:dyDescent="0.25">
      <c r="A24" s="16" t="s">
        <v>338</v>
      </c>
      <c r="B24" s="18">
        <v>-2995000</v>
      </c>
      <c r="C24" s="18">
        <v>2062000</v>
      </c>
      <c r="D24" s="18">
        <v>1802000</v>
      </c>
      <c r="G24" s="16" t="s">
        <v>340</v>
      </c>
      <c r="H24" s="18">
        <v>102000</v>
      </c>
      <c r="I24" s="18">
        <v>54000</v>
      </c>
      <c r="J24" s="18">
        <v>101000</v>
      </c>
      <c r="L24" s="16" t="s">
        <v>341</v>
      </c>
      <c r="M24" s="18">
        <v>1660000</v>
      </c>
      <c r="N24" s="18">
        <v>0</v>
      </c>
      <c r="O24" s="18">
        <v>0</v>
      </c>
    </row>
    <row r="25" spans="1:15" x14ac:dyDescent="0.25">
      <c r="A25" s="16" t="s">
        <v>340</v>
      </c>
      <c r="B25" s="18">
        <v>385000</v>
      </c>
      <c r="C25" s="18">
        <v>3000</v>
      </c>
      <c r="D25" s="18">
        <v>102000</v>
      </c>
      <c r="G25" s="16" t="s">
        <v>342</v>
      </c>
      <c r="H25" s="18">
        <v>0</v>
      </c>
      <c r="I25" s="18">
        <v>0</v>
      </c>
      <c r="J25" s="18">
        <v>-485000</v>
      </c>
      <c r="L25" s="16" t="s">
        <v>339</v>
      </c>
    </row>
    <row r="26" spans="1:15" x14ac:dyDescent="0.25">
      <c r="A26" s="16" t="s">
        <v>343</v>
      </c>
      <c r="G26" s="16" t="s">
        <v>344</v>
      </c>
      <c r="L26" s="16" t="s">
        <v>345</v>
      </c>
      <c r="M26" s="18">
        <v>5100000</v>
      </c>
      <c r="N26" s="18">
        <v>0</v>
      </c>
      <c r="O26" s="18">
        <v>0</v>
      </c>
    </row>
    <row r="27" spans="1:15" x14ac:dyDescent="0.25">
      <c r="A27" s="16" t="s">
        <v>346</v>
      </c>
      <c r="B27" s="18">
        <v>2023000</v>
      </c>
      <c r="C27" s="18">
        <v>-12803000</v>
      </c>
      <c r="D27" s="18">
        <v>-9810000</v>
      </c>
      <c r="G27" s="16" t="s">
        <v>347</v>
      </c>
      <c r="H27" s="18">
        <v>0</v>
      </c>
      <c r="I27" s="18">
        <v>0</v>
      </c>
      <c r="J27" s="18">
        <v>1660000</v>
      </c>
      <c r="L27" s="16" t="s">
        <v>348</v>
      </c>
      <c r="M27" s="18">
        <v>7308000</v>
      </c>
      <c r="N27" s="18">
        <v>0</v>
      </c>
      <c r="O27" s="18">
        <v>0</v>
      </c>
    </row>
    <row r="28" spans="1:15" x14ac:dyDescent="0.25">
      <c r="A28" s="16" t="s">
        <v>279</v>
      </c>
      <c r="B28" s="18">
        <v>-12026000</v>
      </c>
      <c r="C28" s="18">
        <v>-8320000</v>
      </c>
      <c r="D28" s="18">
        <v>-2235000</v>
      </c>
      <c r="G28" s="16" t="s">
        <v>349</v>
      </c>
      <c r="L28" s="16" t="s">
        <v>33</v>
      </c>
      <c r="M28" s="18">
        <v>14748000</v>
      </c>
      <c r="N28" s="18">
        <v>15897000</v>
      </c>
      <c r="O28" s="18">
        <v>16060000</v>
      </c>
    </row>
    <row r="29" spans="1:15" x14ac:dyDescent="0.25">
      <c r="A29" s="16" t="s">
        <v>350</v>
      </c>
      <c r="B29" s="18">
        <v>-141000</v>
      </c>
      <c r="C29" s="18">
        <v>34000</v>
      </c>
      <c r="D29" s="18">
        <v>38000</v>
      </c>
      <c r="G29" s="16" t="s">
        <v>351</v>
      </c>
      <c r="H29" s="18">
        <v>0</v>
      </c>
      <c r="I29" s="18">
        <v>0</v>
      </c>
      <c r="J29" s="18">
        <v>5100000</v>
      </c>
      <c r="L29" s="16" t="s">
        <v>352</v>
      </c>
      <c r="M29" s="18">
        <v>-5646000</v>
      </c>
      <c r="N29" s="18">
        <v>196000</v>
      </c>
      <c r="O29" s="18">
        <v>-9638000</v>
      </c>
    </row>
    <row r="30" spans="1:15" x14ac:dyDescent="0.25">
      <c r="A30" s="16" t="s">
        <v>353</v>
      </c>
      <c r="B30" s="18">
        <v>2378000</v>
      </c>
      <c r="C30" s="18">
        <v>8342000</v>
      </c>
      <c r="D30" s="18">
        <v>538000</v>
      </c>
      <c r="G30" s="16" t="s">
        <v>354</v>
      </c>
      <c r="H30" s="18">
        <v>0</v>
      </c>
      <c r="I30" s="18">
        <v>-2500000</v>
      </c>
      <c r="J30" s="18">
        <v>7308000</v>
      </c>
      <c r="L30" s="16" t="s">
        <v>355</v>
      </c>
      <c r="M30" s="18">
        <v>101000</v>
      </c>
      <c r="N30" s="18">
        <v>59000</v>
      </c>
      <c r="O30" s="18">
        <v>1076000</v>
      </c>
    </row>
    <row r="31" spans="1:15" x14ac:dyDescent="0.25">
      <c r="A31" s="16" t="s">
        <v>356</v>
      </c>
      <c r="B31" s="18">
        <v>245000</v>
      </c>
      <c r="C31" s="18">
        <v>2210000</v>
      </c>
      <c r="D31" s="18">
        <v>3415000</v>
      </c>
      <c r="G31" s="16" t="s">
        <v>357</v>
      </c>
      <c r="L31" s="16" t="s">
        <v>358</v>
      </c>
    </row>
    <row r="32" spans="1:15" x14ac:dyDescent="0.25">
      <c r="A32" s="16" t="s">
        <v>359</v>
      </c>
      <c r="B32" s="18">
        <v>222000</v>
      </c>
      <c r="C32" s="18">
        <v>728000</v>
      </c>
      <c r="D32" s="18">
        <v>1221000</v>
      </c>
      <c r="G32" s="16" t="s">
        <v>343</v>
      </c>
      <c r="L32" s="16" t="s">
        <v>360</v>
      </c>
      <c r="M32" s="18">
        <v>10067000</v>
      </c>
      <c r="N32" s="18">
        <v>-487000</v>
      </c>
      <c r="O32" s="18">
        <v>10660000</v>
      </c>
    </row>
    <row r="33" spans="1:15" x14ac:dyDescent="0.25">
      <c r="A33" s="16" t="s">
        <v>361</v>
      </c>
      <c r="B33" s="18">
        <v>50425000</v>
      </c>
      <c r="C33" s="18">
        <v>37808000</v>
      </c>
      <c r="D33" s="18">
        <v>26241000</v>
      </c>
      <c r="G33" s="16" t="s">
        <v>346</v>
      </c>
      <c r="H33" s="18">
        <v>-9810000</v>
      </c>
      <c r="I33" s="18">
        <v>-3472000</v>
      </c>
      <c r="J33" s="18">
        <v>10067000</v>
      </c>
      <c r="L33" s="16" t="s">
        <v>362</v>
      </c>
      <c r="M33" s="18">
        <v>4706000</v>
      </c>
      <c r="N33" s="18">
        <v>4673000</v>
      </c>
      <c r="O33" s="18">
        <v>3921000</v>
      </c>
    </row>
    <row r="34" spans="1:15" x14ac:dyDescent="0.25">
      <c r="A34" s="16" t="s">
        <v>363</v>
      </c>
      <c r="G34" s="16" t="s">
        <v>279</v>
      </c>
      <c r="H34" s="18">
        <v>-2235000</v>
      </c>
      <c r="I34" s="18">
        <v>386000</v>
      </c>
      <c r="J34" s="18">
        <v>4706000</v>
      </c>
      <c r="L34" s="16" t="s">
        <v>364</v>
      </c>
      <c r="M34" s="18">
        <v>-39000</v>
      </c>
      <c r="N34" s="18">
        <v>-1849000</v>
      </c>
      <c r="O34" s="18">
        <v>5793000</v>
      </c>
    </row>
    <row r="35" spans="1:15" x14ac:dyDescent="0.25">
      <c r="A35" s="16" t="s">
        <v>365</v>
      </c>
      <c r="B35" s="18">
        <v>-10580000</v>
      </c>
      <c r="C35" s="18">
        <v>-13581000</v>
      </c>
      <c r="D35" s="18">
        <v>-11403000</v>
      </c>
      <c r="G35" s="16" t="s">
        <v>350</v>
      </c>
      <c r="H35" s="18">
        <v>3619000</v>
      </c>
      <c r="I35" s="18">
        <v>-4149000</v>
      </c>
      <c r="J35" s="18">
        <v>-39000</v>
      </c>
      <c r="L35" s="16" t="s">
        <v>366</v>
      </c>
      <c r="M35" s="18">
        <v>-6534000</v>
      </c>
      <c r="N35" s="18">
        <v>-4395000</v>
      </c>
      <c r="O35" s="18">
        <v>3529000</v>
      </c>
    </row>
    <row r="36" spans="1:15" x14ac:dyDescent="0.25">
      <c r="A36" s="16" t="s">
        <v>367</v>
      </c>
      <c r="B36" s="18">
        <v>71549000</v>
      </c>
      <c r="C36" s="18">
        <v>21246000</v>
      </c>
      <c r="D36" s="18">
        <v>25225000</v>
      </c>
      <c r="G36" s="16" t="s">
        <v>353</v>
      </c>
      <c r="H36" s="18">
        <v>538000</v>
      </c>
      <c r="I36" s="18">
        <v>3902000</v>
      </c>
      <c r="J36" s="18">
        <v>-6534000</v>
      </c>
      <c r="L36" s="16" t="s">
        <v>368</v>
      </c>
      <c r="M36" s="18">
        <v>-3901000</v>
      </c>
      <c r="N36" s="18">
        <v>-1921000</v>
      </c>
      <c r="O36" s="18">
        <v>10087000</v>
      </c>
    </row>
    <row r="37" spans="1:15" x14ac:dyDescent="0.25">
      <c r="A37" s="16" t="s">
        <v>369</v>
      </c>
      <c r="B37" s="18">
        <v>-93050000</v>
      </c>
      <c r="C37" s="18">
        <v>-17791000</v>
      </c>
      <c r="D37" s="18">
        <v>-31227000</v>
      </c>
      <c r="G37" s="16" t="s">
        <v>370</v>
      </c>
      <c r="H37" s="18">
        <v>-799000</v>
      </c>
      <c r="I37" s="18">
        <v>-2297000</v>
      </c>
      <c r="J37" s="18">
        <v>-3901000</v>
      </c>
      <c r="L37" s="16" t="s">
        <v>371</v>
      </c>
      <c r="M37" s="18">
        <v>503000</v>
      </c>
      <c r="N37" s="18">
        <v>211000</v>
      </c>
      <c r="O37" s="18">
        <v>1032000</v>
      </c>
    </row>
    <row r="38" spans="1:15" x14ac:dyDescent="0.25">
      <c r="A38" s="16" t="s">
        <v>372</v>
      </c>
      <c r="B38" s="18">
        <v>0</v>
      </c>
      <c r="C38" s="18">
        <v>-6236000</v>
      </c>
      <c r="D38" s="18">
        <v>-11677000</v>
      </c>
      <c r="G38" s="16" t="s">
        <v>373</v>
      </c>
      <c r="H38" s="18">
        <v>2020000</v>
      </c>
      <c r="I38" s="18">
        <v>1122000</v>
      </c>
      <c r="J38" s="18">
        <v>503000</v>
      </c>
      <c r="L38" s="16" t="s">
        <v>374</v>
      </c>
      <c r="M38" s="18">
        <v>31715000</v>
      </c>
      <c r="N38" s="18">
        <v>22158000</v>
      </c>
      <c r="O38" s="18">
        <v>47944000</v>
      </c>
    </row>
    <row r="39" spans="1:15" x14ac:dyDescent="0.25">
      <c r="A39" s="16" t="s">
        <v>375</v>
      </c>
      <c r="B39" s="18">
        <v>358000</v>
      </c>
      <c r="C39" s="18">
        <v>314000</v>
      </c>
      <c r="D39" s="18">
        <v>844000</v>
      </c>
      <c r="G39" s="16" t="s">
        <v>376</v>
      </c>
      <c r="H39" s="18">
        <v>26407000</v>
      </c>
      <c r="I39" s="18">
        <v>23941000</v>
      </c>
      <c r="J39" s="18">
        <v>31715000</v>
      </c>
      <c r="L39" s="16" t="s">
        <v>377</v>
      </c>
    </row>
    <row r="40" spans="1:15" x14ac:dyDescent="0.25">
      <c r="A40" s="16" t="s">
        <v>378</v>
      </c>
      <c r="B40" s="18">
        <v>0</v>
      </c>
      <c r="C40" s="18">
        <v>147000</v>
      </c>
      <c r="D40" s="18">
        <v>-930000</v>
      </c>
      <c r="G40" s="16" t="s">
        <v>379</v>
      </c>
      <c r="H40" s="18">
        <v>0</v>
      </c>
      <c r="I40" s="18">
        <v>0</v>
      </c>
      <c r="J40" s="18">
        <v>3121000</v>
      </c>
      <c r="L40" s="16" t="s">
        <v>380</v>
      </c>
      <c r="M40" s="18">
        <v>3121000</v>
      </c>
      <c r="N40" s="18">
        <v>5891000</v>
      </c>
      <c r="O40" s="18">
        <v>2191000</v>
      </c>
    </row>
    <row r="41" spans="1:15" x14ac:dyDescent="0.25">
      <c r="A41" s="16" t="s">
        <v>381</v>
      </c>
      <c r="B41" s="18">
        <v>0</v>
      </c>
      <c r="C41" s="18">
        <v>1044000</v>
      </c>
      <c r="D41" s="18">
        <v>0</v>
      </c>
      <c r="G41" s="16" t="s">
        <v>382</v>
      </c>
      <c r="H41" s="18">
        <v>26407000</v>
      </c>
      <c r="I41" s="18">
        <v>23941000</v>
      </c>
      <c r="J41" s="18">
        <v>34836000</v>
      </c>
      <c r="L41" s="16" t="s">
        <v>377</v>
      </c>
    </row>
    <row r="42" spans="1:15" x14ac:dyDescent="0.25">
      <c r="A42" s="16" t="s">
        <v>383</v>
      </c>
      <c r="B42" s="18">
        <v>0</v>
      </c>
      <c r="C42" s="18">
        <v>0</v>
      </c>
      <c r="D42" s="18">
        <v>9556000</v>
      </c>
      <c r="G42" s="16" t="s">
        <v>384</v>
      </c>
      <c r="L42" s="16" t="s">
        <v>385</v>
      </c>
      <c r="M42" s="18">
        <v>34836000</v>
      </c>
      <c r="N42" s="18">
        <v>28049000</v>
      </c>
      <c r="O42" s="18">
        <v>50135000</v>
      </c>
    </row>
    <row r="43" spans="1:15" x14ac:dyDescent="0.25">
      <c r="A43" s="16" t="s">
        <v>386</v>
      </c>
      <c r="B43" s="18">
        <v>-31723000</v>
      </c>
      <c r="C43" s="18">
        <v>-14857000</v>
      </c>
      <c r="D43" s="18">
        <v>-19612000</v>
      </c>
      <c r="G43" s="16" t="s">
        <v>363</v>
      </c>
      <c r="L43" s="16" t="s">
        <v>387</v>
      </c>
    </row>
    <row r="44" spans="1:15" x14ac:dyDescent="0.25">
      <c r="A44" s="16" t="s">
        <v>388</v>
      </c>
      <c r="G44" s="16" t="s">
        <v>365</v>
      </c>
      <c r="H44" s="18">
        <v>-11403000</v>
      </c>
      <c r="I44" s="18">
        <v>-10665000</v>
      </c>
      <c r="J44" s="18">
        <v>-7303000</v>
      </c>
      <c r="L44" s="16" t="s">
        <v>363</v>
      </c>
    </row>
    <row r="45" spans="1:15" x14ac:dyDescent="0.25">
      <c r="A45" s="16" t="s">
        <v>389</v>
      </c>
      <c r="B45" s="18">
        <v>-6691000</v>
      </c>
      <c r="C45" s="18">
        <v>-5478000</v>
      </c>
      <c r="D45" s="18">
        <v>-4936000</v>
      </c>
      <c r="G45" s="16" t="s">
        <v>375</v>
      </c>
      <c r="H45" s="18">
        <v>844000</v>
      </c>
      <c r="I45" s="18">
        <v>268000</v>
      </c>
      <c r="J45" s="18">
        <v>257000</v>
      </c>
      <c r="L45" s="16" t="s">
        <v>63</v>
      </c>
      <c r="M45" s="18">
        <v>-7303000</v>
      </c>
      <c r="N45" s="18">
        <v>-5549000</v>
      </c>
      <c r="O45" s="18">
        <v>-13811000</v>
      </c>
    </row>
    <row r="46" spans="1:15" x14ac:dyDescent="0.25">
      <c r="A46" s="16" t="s">
        <v>390</v>
      </c>
      <c r="B46" s="18">
        <v>-12922000</v>
      </c>
      <c r="C46" s="18">
        <v>-13026000</v>
      </c>
      <c r="D46" s="18">
        <v>-12850000</v>
      </c>
      <c r="G46" s="16" t="s">
        <v>391</v>
      </c>
      <c r="H46" s="18">
        <v>0</v>
      </c>
      <c r="I46" s="18">
        <v>-2102000</v>
      </c>
      <c r="J46" s="18">
        <v>0</v>
      </c>
      <c r="L46" s="16" t="s">
        <v>392</v>
      </c>
      <c r="M46" s="18">
        <v>257000</v>
      </c>
      <c r="N46" s="18">
        <v>1367000</v>
      </c>
      <c r="O46" s="18">
        <v>29785000</v>
      </c>
    </row>
    <row r="47" spans="1:15" x14ac:dyDescent="0.25">
      <c r="A47" s="16" t="s">
        <v>393</v>
      </c>
      <c r="B47" s="18">
        <v>2452000</v>
      </c>
      <c r="C47" s="18">
        <v>-344000</v>
      </c>
      <c r="D47" s="18">
        <v>1606000</v>
      </c>
      <c r="G47" s="16" t="s">
        <v>383</v>
      </c>
      <c r="H47" s="18">
        <v>9556000</v>
      </c>
      <c r="I47" s="18">
        <v>4786000</v>
      </c>
      <c r="J47" s="18">
        <v>0</v>
      </c>
      <c r="L47" s="16" t="s">
        <v>394</v>
      </c>
      <c r="M47" s="18">
        <v>3250000</v>
      </c>
      <c r="N47" s="18">
        <v>0</v>
      </c>
      <c r="O47" s="18">
        <v>0</v>
      </c>
    </row>
    <row r="48" spans="1:15" x14ac:dyDescent="0.25">
      <c r="A48" s="16" t="s">
        <v>395</v>
      </c>
      <c r="B48" s="18">
        <v>2787000</v>
      </c>
      <c r="C48" s="18">
        <v>1616000</v>
      </c>
      <c r="D48" s="18">
        <v>1299000</v>
      </c>
      <c r="G48" s="16" t="s">
        <v>396</v>
      </c>
      <c r="H48" s="18">
        <v>-6002000</v>
      </c>
      <c r="I48" s="18">
        <v>0</v>
      </c>
      <c r="J48" s="18">
        <v>0</v>
      </c>
      <c r="L48" s="16" t="s">
        <v>397</v>
      </c>
    </row>
    <row r="49" spans="1:15" x14ac:dyDescent="0.25">
      <c r="A49" s="16" t="s">
        <v>398</v>
      </c>
      <c r="G49" s="16" t="s">
        <v>372</v>
      </c>
      <c r="H49" s="18">
        <v>-11677000</v>
      </c>
      <c r="I49" s="18">
        <v>0</v>
      </c>
      <c r="J49" s="18">
        <v>0</v>
      </c>
      <c r="L49" s="16" t="s">
        <v>134</v>
      </c>
      <c r="M49" s="18">
        <v>1276000</v>
      </c>
      <c r="N49" s="18">
        <v>-439000</v>
      </c>
      <c r="O49" s="18">
        <v>-540000</v>
      </c>
    </row>
    <row r="50" spans="1:15" x14ac:dyDescent="0.25">
      <c r="A50" s="16" t="s">
        <v>399</v>
      </c>
      <c r="B50" s="18">
        <v>1183000</v>
      </c>
      <c r="C50" s="18">
        <v>340000</v>
      </c>
      <c r="D50" s="18">
        <v>166000</v>
      </c>
      <c r="G50" s="16" t="s">
        <v>378</v>
      </c>
      <c r="H50" s="18">
        <v>-930000</v>
      </c>
      <c r="I50" s="18">
        <v>-5000</v>
      </c>
      <c r="J50" s="18">
        <v>1276000</v>
      </c>
      <c r="L50" s="16" t="s">
        <v>400</v>
      </c>
      <c r="M50" s="18">
        <v>-2520000</v>
      </c>
      <c r="N50" s="18">
        <v>-4621000</v>
      </c>
      <c r="O50" s="18">
        <v>15434000</v>
      </c>
    </row>
    <row r="51" spans="1:15" x14ac:dyDescent="0.25">
      <c r="A51" s="16" t="s">
        <v>401</v>
      </c>
      <c r="G51" s="16" t="s">
        <v>402</v>
      </c>
      <c r="H51" s="18">
        <v>0</v>
      </c>
      <c r="I51" s="18">
        <v>0</v>
      </c>
      <c r="J51" s="18">
        <v>3250000</v>
      </c>
      <c r="L51" s="16" t="s">
        <v>47</v>
      </c>
    </row>
    <row r="52" spans="1:15" x14ac:dyDescent="0.25">
      <c r="A52" s="16" t="s">
        <v>403</v>
      </c>
      <c r="B52" s="18">
        <v>-13191000</v>
      </c>
      <c r="C52" s="18">
        <v>-16892000</v>
      </c>
      <c r="D52" s="18">
        <v>-14715000</v>
      </c>
      <c r="G52" s="16" t="s">
        <v>404</v>
      </c>
      <c r="L52" s="16" t="s">
        <v>405</v>
      </c>
      <c r="M52" s="18">
        <v>-681000</v>
      </c>
      <c r="N52" s="18">
        <v>-1607000</v>
      </c>
      <c r="O52" s="18">
        <v>-3023000</v>
      </c>
    </row>
    <row r="53" spans="1:15" x14ac:dyDescent="0.25">
      <c r="A53" s="16" t="s">
        <v>406</v>
      </c>
      <c r="B53" s="18">
        <v>-500000</v>
      </c>
      <c r="C53" s="18">
        <v>-1161000</v>
      </c>
      <c r="D53" s="18">
        <v>4169000</v>
      </c>
      <c r="G53" s="16" t="s">
        <v>407</v>
      </c>
      <c r="H53" s="18">
        <v>-19612000</v>
      </c>
      <c r="I53" s="18">
        <v>-7718000</v>
      </c>
      <c r="J53" s="18">
        <v>-2520000</v>
      </c>
      <c r="L53" s="16" t="s">
        <v>47</v>
      </c>
    </row>
    <row r="54" spans="1:15" x14ac:dyDescent="0.25">
      <c r="A54" s="16" t="s">
        <v>408</v>
      </c>
      <c r="B54" s="18">
        <v>5011000</v>
      </c>
      <c r="C54" s="18">
        <v>4898000</v>
      </c>
      <c r="D54" s="18">
        <v>-3917000</v>
      </c>
      <c r="G54" s="16" t="s">
        <v>409</v>
      </c>
      <c r="H54" s="18">
        <v>0</v>
      </c>
      <c r="I54" s="18">
        <v>0</v>
      </c>
      <c r="J54" s="18">
        <v>-681000</v>
      </c>
      <c r="L54" s="16" t="s">
        <v>410</v>
      </c>
      <c r="M54" s="18">
        <v>-3201000</v>
      </c>
      <c r="N54" s="18">
        <v>-6228000</v>
      </c>
      <c r="O54" s="18">
        <v>12411000</v>
      </c>
    </row>
    <row r="55" spans="1:15" x14ac:dyDescent="0.25">
      <c r="A55" s="16" t="s">
        <v>411</v>
      </c>
      <c r="B55" s="18">
        <v>30482000</v>
      </c>
      <c r="C55" s="18">
        <v>25584000</v>
      </c>
      <c r="D55" s="18">
        <v>29501000</v>
      </c>
      <c r="G55" s="16" t="s">
        <v>386</v>
      </c>
      <c r="H55" s="18">
        <v>-19612000</v>
      </c>
      <c r="I55" s="18">
        <v>-7718000</v>
      </c>
      <c r="J55" s="18">
        <v>-3201000</v>
      </c>
      <c r="L55" s="16" t="s">
        <v>412</v>
      </c>
    </row>
    <row r="56" spans="1:15" x14ac:dyDescent="0.25">
      <c r="A56" s="16" t="s">
        <v>413</v>
      </c>
      <c r="B56" s="18">
        <v>35493000</v>
      </c>
      <c r="C56" s="18">
        <v>30482000</v>
      </c>
      <c r="D56" s="18">
        <v>25584000</v>
      </c>
      <c r="G56" s="16" t="s">
        <v>388</v>
      </c>
      <c r="L56" s="16" t="s">
        <v>388</v>
      </c>
    </row>
    <row r="57" spans="1:15" x14ac:dyDescent="0.25">
      <c r="A57" s="16" t="s">
        <v>414</v>
      </c>
      <c r="G57" s="16" t="s">
        <v>415</v>
      </c>
      <c r="H57" s="18">
        <v>-12850000</v>
      </c>
      <c r="I57" s="18">
        <v>-15833000</v>
      </c>
      <c r="J57" s="18">
        <v>-10694000</v>
      </c>
      <c r="L57" s="16" t="s">
        <v>416</v>
      </c>
      <c r="M57" s="18">
        <v>-10694000</v>
      </c>
      <c r="N57" s="18">
        <v>-27470000</v>
      </c>
      <c r="O57" s="18">
        <v>-61783000</v>
      </c>
    </row>
    <row r="58" spans="1:15" x14ac:dyDescent="0.25">
      <c r="G58" s="16" t="s">
        <v>393</v>
      </c>
      <c r="H58" s="18">
        <v>1606000</v>
      </c>
      <c r="I58" s="18">
        <v>300000</v>
      </c>
      <c r="J58" s="18">
        <v>-4357000</v>
      </c>
      <c r="L58" s="16" t="s">
        <v>417</v>
      </c>
      <c r="M58" s="18">
        <v>0</v>
      </c>
      <c r="N58" s="18">
        <v>1910000</v>
      </c>
      <c r="O58" s="18">
        <v>28844000</v>
      </c>
    </row>
    <row r="59" spans="1:15" x14ac:dyDescent="0.25">
      <c r="G59" s="16" t="s">
        <v>418</v>
      </c>
      <c r="H59" s="18">
        <v>0</v>
      </c>
      <c r="I59" s="18">
        <v>-1396000</v>
      </c>
      <c r="J59" s="18">
        <v>-1354000</v>
      </c>
      <c r="L59" s="16" t="s">
        <v>419</v>
      </c>
      <c r="M59" s="18">
        <v>-4357000</v>
      </c>
      <c r="N59" s="18">
        <v>-3309000</v>
      </c>
      <c r="O59" s="18">
        <v>-1409000</v>
      </c>
    </row>
    <row r="60" spans="1:15" x14ac:dyDescent="0.25">
      <c r="G60" s="16" t="s">
        <v>420</v>
      </c>
      <c r="H60" s="18">
        <v>1299000</v>
      </c>
      <c r="I60" s="18">
        <v>73000</v>
      </c>
      <c r="J60" s="18">
        <v>0</v>
      </c>
      <c r="L60" s="16" t="s">
        <v>421</v>
      </c>
      <c r="M60" s="18">
        <v>0</v>
      </c>
      <c r="N60" s="18">
        <v>0</v>
      </c>
      <c r="O60" s="18">
        <v>-4162000</v>
      </c>
    </row>
    <row r="61" spans="1:15" x14ac:dyDescent="0.25">
      <c r="G61" s="16" t="s">
        <v>422</v>
      </c>
      <c r="L61" s="16" t="s">
        <v>423</v>
      </c>
    </row>
    <row r="62" spans="1:15" x14ac:dyDescent="0.25">
      <c r="G62" s="16" t="s">
        <v>389</v>
      </c>
      <c r="H62" s="18">
        <v>-4936000</v>
      </c>
      <c r="I62" s="18">
        <v>-1200000</v>
      </c>
      <c r="J62" s="18">
        <v>0</v>
      </c>
      <c r="L62" s="16" t="s">
        <v>424</v>
      </c>
      <c r="M62" s="18">
        <v>-1354000</v>
      </c>
      <c r="N62" s="18">
        <v>0</v>
      </c>
      <c r="O62" s="18">
        <v>-1844000</v>
      </c>
    </row>
    <row r="63" spans="1:15" x14ac:dyDescent="0.25">
      <c r="G63" s="16" t="s">
        <v>403</v>
      </c>
      <c r="H63" s="18">
        <v>-14881000</v>
      </c>
      <c r="I63" s="18">
        <v>-18056000</v>
      </c>
      <c r="J63" s="18">
        <v>-16405000</v>
      </c>
      <c r="L63" s="16" t="s">
        <v>425</v>
      </c>
      <c r="M63" s="18">
        <v>0</v>
      </c>
      <c r="N63" s="18">
        <v>-2448000</v>
      </c>
      <c r="O63" s="18">
        <v>-5321000</v>
      </c>
    </row>
    <row r="64" spans="1:15" x14ac:dyDescent="0.25">
      <c r="G64" s="16" t="s">
        <v>406</v>
      </c>
      <c r="H64" s="18">
        <v>4169000</v>
      </c>
      <c r="I64" s="18">
        <v>5723000</v>
      </c>
      <c r="J64" s="18">
        <v>-2037000</v>
      </c>
      <c r="L64" s="16" t="s">
        <v>104</v>
      </c>
      <c r="M64" s="18">
        <v>-16405000</v>
      </c>
      <c r="N64" s="18">
        <v>-31317000</v>
      </c>
      <c r="O64" s="18">
        <v>-45675000</v>
      </c>
    </row>
    <row r="65" spans="7:15" x14ac:dyDescent="0.25">
      <c r="G65" s="16" t="s">
        <v>408</v>
      </c>
      <c r="H65" s="18">
        <v>-3917000</v>
      </c>
      <c r="I65" s="18">
        <v>3890000</v>
      </c>
      <c r="J65" s="18">
        <v>13193000</v>
      </c>
      <c r="L65" s="16" t="s">
        <v>406</v>
      </c>
      <c r="M65" s="18">
        <v>-2037000</v>
      </c>
      <c r="N65" s="18">
        <v>-1274000</v>
      </c>
      <c r="O65" s="18">
        <v>-5143000</v>
      </c>
    </row>
    <row r="66" spans="7:15" x14ac:dyDescent="0.25">
      <c r="G66" s="16" t="s">
        <v>426</v>
      </c>
      <c r="H66" s="18">
        <v>29501000</v>
      </c>
      <c r="I66" s="18">
        <v>25611000</v>
      </c>
      <c r="J66" s="18">
        <v>12418000</v>
      </c>
      <c r="L66" s="16" t="s">
        <v>408</v>
      </c>
      <c r="M66" s="18">
        <v>13193000</v>
      </c>
      <c r="N66" s="18">
        <v>-10770000</v>
      </c>
      <c r="O66" s="18">
        <v>11728000</v>
      </c>
    </row>
    <row r="67" spans="7:15" x14ac:dyDescent="0.25">
      <c r="G67" s="16" t="s">
        <v>427</v>
      </c>
      <c r="L67" s="16" t="s">
        <v>428</v>
      </c>
      <c r="M67" s="18">
        <v>12418000</v>
      </c>
      <c r="N67" s="18">
        <v>23188000</v>
      </c>
      <c r="O67" s="18">
        <v>11460000</v>
      </c>
    </row>
    <row r="68" spans="7:15" x14ac:dyDescent="0.25">
      <c r="G68" s="16" t="s">
        <v>429</v>
      </c>
      <c r="H68" s="18">
        <v>25584000</v>
      </c>
      <c r="I68" s="18">
        <v>29501000</v>
      </c>
      <c r="J68" s="18">
        <v>25611000</v>
      </c>
      <c r="L68" s="16" t="s">
        <v>430</v>
      </c>
    </row>
    <row r="69" spans="7:15" x14ac:dyDescent="0.25">
      <c r="L69" s="16" t="s">
        <v>413</v>
      </c>
      <c r="M69" s="18">
        <v>25611000</v>
      </c>
      <c r="N69" s="18">
        <v>12418000</v>
      </c>
      <c r="O69" s="18">
        <v>23188000</v>
      </c>
    </row>
    <row r="70" spans="7:15" x14ac:dyDescent="0.25">
      <c r="L70" s="16" t="s">
        <v>431</v>
      </c>
    </row>
    <row r="71" spans="7:15" x14ac:dyDescent="0.25">
      <c r="L71" s="16" t="s">
        <v>432</v>
      </c>
    </row>
    <row r="72" spans="7:15" x14ac:dyDescent="0.25">
      <c r="L72" s="16" t="s">
        <v>110</v>
      </c>
      <c r="M72" s="18">
        <v>6440000</v>
      </c>
      <c r="N72" s="18">
        <v>8376000</v>
      </c>
      <c r="O72" s="18">
        <v>8515000</v>
      </c>
    </row>
    <row r="73" spans="7:15" x14ac:dyDescent="0.25">
      <c r="L73" s="16" t="s">
        <v>111</v>
      </c>
      <c r="M73" s="18">
        <v>5549000</v>
      </c>
      <c r="N73" s="18">
        <v>13378000</v>
      </c>
      <c r="O73" s="18">
        <v>8561000</v>
      </c>
    </row>
    <row r="74" spans="7:15" x14ac:dyDescent="0.25">
      <c r="L74" s="16" t="s">
        <v>414</v>
      </c>
    </row>
    <row r="75" spans="7:15" x14ac:dyDescent="0.25">
      <c r="L75" s="16" t="s">
        <v>433</v>
      </c>
      <c r="M75" s="18">
        <v>0</v>
      </c>
      <c r="N75" s="18">
        <v>2036000</v>
      </c>
      <c r="O75" s="18">
        <v>0</v>
      </c>
    </row>
    <row r="76" spans="7:15" x14ac:dyDescent="0.25">
      <c r="L76" s="16" t="s">
        <v>434</v>
      </c>
      <c r="M76" s="18">
        <v>9561000</v>
      </c>
      <c r="N76" s="18">
        <v>0</v>
      </c>
      <c r="O76" s="18">
        <v>7308000</v>
      </c>
    </row>
    <row r="77" spans="7:15" x14ac:dyDescent="0.25">
      <c r="L77" s="16" t="s">
        <v>435</v>
      </c>
      <c r="M77" s="18">
        <v>0</v>
      </c>
      <c r="N77" s="18">
        <v>0</v>
      </c>
      <c r="O77" s="18">
        <v>413000</v>
      </c>
    </row>
    <row r="78" spans="7:15" x14ac:dyDescent="0.25">
      <c r="L78" s="16" t="s">
        <v>436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5688-5717-429C-A8C9-F30AC2DC8EC6}">
  <sheetPr codeName="Sheet27"/>
  <dimension ref="A1:D69"/>
  <sheetViews>
    <sheetView tabSelected="1" workbookViewId="0">
      <selection activeCell="F32" sqref="F32"/>
    </sheetView>
  </sheetViews>
  <sheetFormatPr defaultColWidth="9.109375" defaultRowHeight="13.2" x14ac:dyDescent="0.25"/>
  <cols>
    <col min="1" max="1" width="42.5546875" style="16" customWidth="1"/>
    <col min="2" max="4" width="12.6640625" style="16" bestFit="1" customWidth="1"/>
    <col min="5" max="256" width="9.109375" style="16"/>
    <col min="257" max="257" width="42.5546875" style="16" customWidth="1"/>
    <col min="258" max="260" width="12.6640625" style="16" bestFit="1" customWidth="1"/>
    <col min="261" max="512" width="9.109375" style="16"/>
    <col min="513" max="513" width="42.5546875" style="16" customWidth="1"/>
    <col min="514" max="516" width="12.6640625" style="16" bestFit="1" customWidth="1"/>
    <col min="517" max="768" width="9.109375" style="16"/>
    <col min="769" max="769" width="42.5546875" style="16" customWidth="1"/>
    <col min="770" max="772" width="12.6640625" style="16" bestFit="1" customWidth="1"/>
    <col min="773" max="1024" width="9.109375" style="16"/>
    <col min="1025" max="1025" width="42.5546875" style="16" customWidth="1"/>
    <col min="1026" max="1028" width="12.6640625" style="16" bestFit="1" customWidth="1"/>
    <col min="1029" max="1280" width="9.109375" style="16"/>
    <col min="1281" max="1281" width="42.5546875" style="16" customWidth="1"/>
    <col min="1282" max="1284" width="12.6640625" style="16" bestFit="1" customWidth="1"/>
    <col min="1285" max="1536" width="9.109375" style="16"/>
    <col min="1537" max="1537" width="42.5546875" style="16" customWidth="1"/>
    <col min="1538" max="1540" width="12.6640625" style="16" bestFit="1" customWidth="1"/>
    <col min="1541" max="1792" width="9.109375" style="16"/>
    <col min="1793" max="1793" width="42.5546875" style="16" customWidth="1"/>
    <col min="1794" max="1796" width="12.6640625" style="16" bestFit="1" customWidth="1"/>
    <col min="1797" max="2048" width="9.109375" style="16"/>
    <col min="2049" max="2049" width="42.5546875" style="16" customWidth="1"/>
    <col min="2050" max="2052" width="12.6640625" style="16" bestFit="1" customWidth="1"/>
    <col min="2053" max="2304" width="9.109375" style="16"/>
    <col min="2305" max="2305" width="42.5546875" style="16" customWidth="1"/>
    <col min="2306" max="2308" width="12.6640625" style="16" bestFit="1" customWidth="1"/>
    <col min="2309" max="2560" width="9.109375" style="16"/>
    <col min="2561" max="2561" width="42.5546875" style="16" customWidth="1"/>
    <col min="2562" max="2564" width="12.6640625" style="16" bestFit="1" customWidth="1"/>
    <col min="2565" max="2816" width="9.109375" style="16"/>
    <col min="2817" max="2817" width="42.5546875" style="16" customWidth="1"/>
    <col min="2818" max="2820" width="12.6640625" style="16" bestFit="1" customWidth="1"/>
    <col min="2821" max="3072" width="9.109375" style="16"/>
    <col min="3073" max="3073" width="42.5546875" style="16" customWidth="1"/>
    <col min="3074" max="3076" width="12.6640625" style="16" bestFit="1" customWidth="1"/>
    <col min="3077" max="3328" width="9.109375" style="16"/>
    <col min="3329" max="3329" width="42.5546875" style="16" customWidth="1"/>
    <col min="3330" max="3332" width="12.6640625" style="16" bestFit="1" customWidth="1"/>
    <col min="3333" max="3584" width="9.109375" style="16"/>
    <col min="3585" max="3585" width="42.5546875" style="16" customWidth="1"/>
    <col min="3586" max="3588" width="12.6640625" style="16" bestFit="1" customWidth="1"/>
    <col min="3589" max="3840" width="9.109375" style="16"/>
    <col min="3841" max="3841" width="42.5546875" style="16" customWidth="1"/>
    <col min="3842" max="3844" width="12.6640625" style="16" bestFit="1" customWidth="1"/>
    <col min="3845" max="4096" width="9.109375" style="16"/>
    <col min="4097" max="4097" width="42.5546875" style="16" customWidth="1"/>
    <col min="4098" max="4100" width="12.6640625" style="16" bestFit="1" customWidth="1"/>
    <col min="4101" max="4352" width="9.109375" style="16"/>
    <col min="4353" max="4353" width="42.5546875" style="16" customWidth="1"/>
    <col min="4354" max="4356" width="12.6640625" style="16" bestFit="1" customWidth="1"/>
    <col min="4357" max="4608" width="9.109375" style="16"/>
    <col min="4609" max="4609" width="42.5546875" style="16" customWidth="1"/>
    <col min="4610" max="4612" width="12.6640625" style="16" bestFit="1" customWidth="1"/>
    <col min="4613" max="4864" width="9.109375" style="16"/>
    <col min="4865" max="4865" width="42.5546875" style="16" customWidth="1"/>
    <col min="4866" max="4868" width="12.6640625" style="16" bestFit="1" customWidth="1"/>
    <col min="4869" max="5120" width="9.109375" style="16"/>
    <col min="5121" max="5121" width="42.5546875" style="16" customWidth="1"/>
    <col min="5122" max="5124" width="12.6640625" style="16" bestFit="1" customWidth="1"/>
    <col min="5125" max="5376" width="9.109375" style="16"/>
    <col min="5377" max="5377" width="42.5546875" style="16" customWidth="1"/>
    <col min="5378" max="5380" width="12.6640625" style="16" bestFit="1" customWidth="1"/>
    <col min="5381" max="5632" width="9.109375" style="16"/>
    <col min="5633" max="5633" width="42.5546875" style="16" customWidth="1"/>
    <col min="5634" max="5636" width="12.6640625" style="16" bestFit="1" customWidth="1"/>
    <col min="5637" max="5888" width="9.109375" style="16"/>
    <col min="5889" max="5889" width="42.5546875" style="16" customWidth="1"/>
    <col min="5890" max="5892" width="12.6640625" style="16" bestFit="1" customWidth="1"/>
    <col min="5893" max="6144" width="9.109375" style="16"/>
    <col min="6145" max="6145" width="42.5546875" style="16" customWidth="1"/>
    <col min="6146" max="6148" width="12.6640625" style="16" bestFit="1" customWidth="1"/>
    <col min="6149" max="6400" width="9.109375" style="16"/>
    <col min="6401" max="6401" width="42.5546875" style="16" customWidth="1"/>
    <col min="6402" max="6404" width="12.6640625" style="16" bestFit="1" customWidth="1"/>
    <col min="6405" max="6656" width="9.109375" style="16"/>
    <col min="6657" max="6657" width="42.5546875" style="16" customWidth="1"/>
    <col min="6658" max="6660" width="12.6640625" style="16" bestFit="1" customWidth="1"/>
    <col min="6661" max="6912" width="9.109375" style="16"/>
    <col min="6913" max="6913" width="42.5546875" style="16" customWidth="1"/>
    <col min="6914" max="6916" width="12.6640625" style="16" bestFit="1" customWidth="1"/>
    <col min="6917" max="7168" width="9.109375" style="16"/>
    <col min="7169" max="7169" width="42.5546875" style="16" customWidth="1"/>
    <col min="7170" max="7172" width="12.6640625" style="16" bestFit="1" customWidth="1"/>
    <col min="7173" max="7424" width="9.109375" style="16"/>
    <col min="7425" max="7425" width="42.5546875" style="16" customWidth="1"/>
    <col min="7426" max="7428" width="12.6640625" style="16" bestFit="1" customWidth="1"/>
    <col min="7429" max="7680" width="9.109375" style="16"/>
    <col min="7681" max="7681" width="42.5546875" style="16" customWidth="1"/>
    <col min="7682" max="7684" width="12.6640625" style="16" bestFit="1" customWidth="1"/>
    <col min="7685" max="7936" width="9.109375" style="16"/>
    <col min="7937" max="7937" width="42.5546875" style="16" customWidth="1"/>
    <col min="7938" max="7940" width="12.6640625" style="16" bestFit="1" customWidth="1"/>
    <col min="7941" max="8192" width="9.109375" style="16"/>
    <col min="8193" max="8193" width="42.5546875" style="16" customWidth="1"/>
    <col min="8194" max="8196" width="12.6640625" style="16" bestFit="1" customWidth="1"/>
    <col min="8197" max="8448" width="9.109375" style="16"/>
    <col min="8449" max="8449" width="42.5546875" style="16" customWidth="1"/>
    <col min="8450" max="8452" width="12.6640625" style="16" bestFit="1" customWidth="1"/>
    <col min="8453" max="8704" width="9.109375" style="16"/>
    <col min="8705" max="8705" width="42.5546875" style="16" customWidth="1"/>
    <col min="8706" max="8708" width="12.6640625" style="16" bestFit="1" customWidth="1"/>
    <col min="8709" max="8960" width="9.109375" style="16"/>
    <col min="8961" max="8961" width="42.5546875" style="16" customWidth="1"/>
    <col min="8962" max="8964" width="12.6640625" style="16" bestFit="1" customWidth="1"/>
    <col min="8965" max="9216" width="9.109375" style="16"/>
    <col min="9217" max="9217" width="42.5546875" style="16" customWidth="1"/>
    <col min="9218" max="9220" width="12.6640625" style="16" bestFit="1" customWidth="1"/>
    <col min="9221" max="9472" width="9.109375" style="16"/>
    <col min="9473" max="9473" width="42.5546875" style="16" customWidth="1"/>
    <col min="9474" max="9476" width="12.6640625" style="16" bestFit="1" customWidth="1"/>
    <col min="9477" max="9728" width="9.109375" style="16"/>
    <col min="9729" max="9729" width="42.5546875" style="16" customWidth="1"/>
    <col min="9730" max="9732" width="12.6640625" style="16" bestFit="1" customWidth="1"/>
    <col min="9733" max="9984" width="9.109375" style="16"/>
    <col min="9985" max="9985" width="42.5546875" style="16" customWidth="1"/>
    <col min="9986" max="9988" width="12.6640625" style="16" bestFit="1" customWidth="1"/>
    <col min="9989" max="10240" width="9.109375" style="16"/>
    <col min="10241" max="10241" width="42.5546875" style="16" customWidth="1"/>
    <col min="10242" max="10244" width="12.6640625" style="16" bestFit="1" customWidth="1"/>
    <col min="10245" max="10496" width="9.109375" style="16"/>
    <col min="10497" max="10497" width="42.5546875" style="16" customWidth="1"/>
    <col min="10498" max="10500" width="12.6640625" style="16" bestFit="1" customWidth="1"/>
    <col min="10501" max="10752" width="9.109375" style="16"/>
    <col min="10753" max="10753" width="42.5546875" style="16" customWidth="1"/>
    <col min="10754" max="10756" width="12.6640625" style="16" bestFit="1" customWidth="1"/>
    <col min="10757" max="11008" width="9.109375" style="16"/>
    <col min="11009" max="11009" width="42.5546875" style="16" customWidth="1"/>
    <col min="11010" max="11012" width="12.6640625" style="16" bestFit="1" customWidth="1"/>
    <col min="11013" max="11264" width="9.109375" style="16"/>
    <col min="11265" max="11265" width="42.5546875" style="16" customWidth="1"/>
    <col min="11266" max="11268" width="12.6640625" style="16" bestFit="1" customWidth="1"/>
    <col min="11269" max="11520" width="9.109375" style="16"/>
    <col min="11521" max="11521" width="42.5546875" style="16" customWidth="1"/>
    <col min="11522" max="11524" width="12.6640625" style="16" bestFit="1" customWidth="1"/>
    <col min="11525" max="11776" width="9.109375" style="16"/>
    <col min="11777" max="11777" width="42.5546875" style="16" customWidth="1"/>
    <col min="11778" max="11780" width="12.6640625" style="16" bestFit="1" customWidth="1"/>
    <col min="11781" max="12032" width="9.109375" style="16"/>
    <col min="12033" max="12033" width="42.5546875" style="16" customWidth="1"/>
    <col min="12034" max="12036" width="12.6640625" style="16" bestFit="1" customWidth="1"/>
    <col min="12037" max="12288" width="9.109375" style="16"/>
    <col min="12289" max="12289" width="42.5546875" style="16" customWidth="1"/>
    <col min="12290" max="12292" width="12.6640625" style="16" bestFit="1" customWidth="1"/>
    <col min="12293" max="12544" width="9.109375" style="16"/>
    <col min="12545" max="12545" width="42.5546875" style="16" customWidth="1"/>
    <col min="12546" max="12548" width="12.6640625" style="16" bestFit="1" customWidth="1"/>
    <col min="12549" max="12800" width="9.109375" style="16"/>
    <col min="12801" max="12801" width="42.5546875" style="16" customWidth="1"/>
    <col min="12802" max="12804" width="12.6640625" style="16" bestFit="1" customWidth="1"/>
    <col min="12805" max="13056" width="9.109375" style="16"/>
    <col min="13057" max="13057" width="42.5546875" style="16" customWidth="1"/>
    <col min="13058" max="13060" width="12.6640625" style="16" bestFit="1" customWidth="1"/>
    <col min="13061" max="13312" width="9.109375" style="16"/>
    <col min="13313" max="13313" width="42.5546875" style="16" customWidth="1"/>
    <col min="13314" max="13316" width="12.6640625" style="16" bestFit="1" customWidth="1"/>
    <col min="13317" max="13568" width="9.109375" style="16"/>
    <col min="13569" max="13569" width="42.5546875" style="16" customWidth="1"/>
    <col min="13570" max="13572" width="12.6640625" style="16" bestFit="1" customWidth="1"/>
    <col min="13573" max="13824" width="9.109375" style="16"/>
    <col min="13825" max="13825" width="42.5546875" style="16" customWidth="1"/>
    <col min="13826" max="13828" width="12.6640625" style="16" bestFit="1" customWidth="1"/>
    <col min="13829" max="14080" width="9.109375" style="16"/>
    <col min="14081" max="14081" width="42.5546875" style="16" customWidth="1"/>
    <col min="14082" max="14084" width="12.6640625" style="16" bestFit="1" customWidth="1"/>
    <col min="14085" max="14336" width="9.109375" style="16"/>
    <col min="14337" max="14337" width="42.5546875" style="16" customWidth="1"/>
    <col min="14338" max="14340" width="12.6640625" style="16" bestFit="1" customWidth="1"/>
    <col min="14341" max="14592" width="9.109375" style="16"/>
    <col min="14593" max="14593" width="42.5546875" style="16" customWidth="1"/>
    <col min="14594" max="14596" width="12.6640625" style="16" bestFit="1" customWidth="1"/>
    <col min="14597" max="14848" width="9.109375" style="16"/>
    <col min="14849" max="14849" width="42.5546875" style="16" customWidth="1"/>
    <col min="14850" max="14852" width="12.6640625" style="16" bestFit="1" customWidth="1"/>
    <col min="14853" max="15104" width="9.109375" style="16"/>
    <col min="15105" max="15105" width="42.5546875" style="16" customWidth="1"/>
    <col min="15106" max="15108" width="12.6640625" style="16" bestFit="1" customWidth="1"/>
    <col min="15109" max="15360" width="9.109375" style="16"/>
    <col min="15361" max="15361" width="42.5546875" style="16" customWidth="1"/>
    <col min="15362" max="15364" width="12.6640625" style="16" bestFit="1" customWidth="1"/>
    <col min="15365" max="15616" width="9.109375" style="16"/>
    <col min="15617" max="15617" width="42.5546875" style="16" customWidth="1"/>
    <col min="15618" max="15620" width="12.6640625" style="16" bestFit="1" customWidth="1"/>
    <col min="15621" max="15872" width="9.109375" style="16"/>
    <col min="15873" max="15873" width="42.5546875" style="16" customWidth="1"/>
    <col min="15874" max="15876" width="12.6640625" style="16" bestFit="1" customWidth="1"/>
    <col min="15877" max="16128" width="9.109375" style="16"/>
    <col min="16129" max="16129" width="42.5546875" style="16" customWidth="1"/>
    <col min="16130" max="16132" width="12.6640625" style="16" bestFit="1" customWidth="1"/>
    <col min="16133" max="16384" width="9.109375" style="16"/>
  </cols>
  <sheetData>
    <row r="1" spans="1:4" ht="17.399999999999999" x14ac:dyDescent="0.3">
      <c r="A1" s="15" t="s">
        <v>437</v>
      </c>
    </row>
    <row r="2" spans="1:4" x14ac:dyDescent="0.25">
      <c r="B2" s="17">
        <v>38748</v>
      </c>
      <c r="C2" s="17">
        <v>38383</v>
      </c>
      <c r="D2" s="17">
        <v>38017</v>
      </c>
    </row>
    <row r="3" spans="1:4" x14ac:dyDescent="0.25">
      <c r="A3" s="16" t="s">
        <v>438</v>
      </c>
      <c r="B3" s="18">
        <v>450503000</v>
      </c>
      <c r="C3" s="18">
        <v>385719000</v>
      </c>
      <c r="D3" s="18">
        <v>297756000</v>
      </c>
    </row>
    <row r="4" spans="1:4" x14ac:dyDescent="0.25">
      <c r="A4" s="16" t="s">
        <v>439</v>
      </c>
      <c r="B4" s="18">
        <v>307774000</v>
      </c>
      <c r="C4" s="18">
        <v>262537000</v>
      </c>
      <c r="D4" s="18">
        <v>202120000</v>
      </c>
    </row>
    <row r="5" spans="1:4" x14ac:dyDescent="0.25">
      <c r="A5" s="16" t="s">
        <v>440</v>
      </c>
      <c r="B5" s="18">
        <v>142729000</v>
      </c>
      <c r="C5" s="18">
        <v>123182000</v>
      </c>
      <c r="D5" s="18">
        <v>95636000</v>
      </c>
    </row>
    <row r="6" spans="1:4" x14ac:dyDescent="0.25">
      <c r="A6" s="16" t="s">
        <v>441</v>
      </c>
      <c r="B6" s="18">
        <v>77392000</v>
      </c>
      <c r="C6" s="18">
        <v>75892000</v>
      </c>
      <c r="D6" s="18">
        <v>63099000</v>
      </c>
    </row>
    <row r="7" spans="1:4" x14ac:dyDescent="0.25">
      <c r="A7" s="16" t="s">
        <v>442</v>
      </c>
      <c r="B7" s="18">
        <v>1443000</v>
      </c>
      <c r="C7" s="18">
        <v>658000</v>
      </c>
      <c r="D7" s="18">
        <v>512000</v>
      </c>
    </row>
    <row r="8" spans="1:4" x14ac:dyDescent="0.25">
      <c r="A8" s="16" t="s">
        <v>443</v>
      </c>
      <c r="B8" s="18">
        <v>0</v>
      </c>
      <c r="C8" s="18">
        <v>-1300000</v>
      </c>
      <c r="D8" s="18">
        <v>0</v>
      </c>
    </row>
    <row r="9" spans="1:4" x14ac:dyDescent="0.25">
      <c r="A9" s="16" t="s">
        <v>444</v>
      </c>
      <c r="B9" s="18">
        <v>0</v>
      </c>
      <c r="C9" s="18">
        <v>155000</v>
      </c>
      <c r="D9" s="18">
        <v>0</v>
      </c>
    </row>
    <row r="10" spans="1:4" x14ac:dyDescent="0.25">
      <c r="A10" s="16" t="s">
        <v>445</v>
      </c>
      <c r="B10" s="18">
        <v>63894000</v>
      </c>
      <c r="C10" s="18">
        <v>47777000</v>
      </c>
      <c r="D10" s="18">
        <v>32025000</v>
      </c>
    </row>
    <row r="11" spans="1:4" x14ac:dyDescent="0.25">
      <c r="A11" s="16" t="s">
        <v>446</v>
      </c>
      <c r="B11" s="18">
        <v>2741000</v>
      </c>
      <c r="C11" s="18">
        <v>3570000</v>
      </c>
      <c r="D11" s="18">
        <v>4570000</v>
      </c>
    </row>
    <row r="12" spans="1:4" x14ac:dyDescent="0.25">
      <c r="A12" s="16" t="s">
        <v>447</v>
      </c>
      <c r="B12" s="18">
        <v>-979000</v>
      </c>
      <c r="C12" s="18">
        <v>-562000</v>
      </c>
      <c r="D12" s="18">
        <v>-1016000</v>
      </c>
    </row>
    <row r="13" spans="1:4" x14ac:dyDescent="0.25">
      <c r="A13" s="16" t="s">
        <v>448</v>
      </c>
      <c r="B13" s="18">
        <v>-95000</v>
      </c>
      <c r="C13" s="18">
        <v>-218000</v>
      </c>
      <c r="D13" s="18">
        <v>40000</v>
      </c>
    </row>
    <row r="14" spans="1:4" x14ac:dyDescent="0.25">
      <c r="A14" s="16" t="s">
        <v>449</v>
      </c>
      <c r="B14" s="18">
        <v>62227000</v>
      </c>
      <c r="C14" s="18">
        <v>44987000</v>
      </c>
      <c r="D14" s="18">
        <v>28431000</v>
      </c>
    </row>
    <row r="15" spans="1:4" x14ac:dyDescent="0.25">
      <c r="A15" s="16" t="s">
        <v>176</v>
      </c>
      <c r="B15" s="18">
        <v>20176000</v>
      </c>
      <c r="C15" s="18">
        <v>16497000</v>
      </c>
      <c r="D15" s="18">
        <v>9925000</v>
      </c>
    </row>
    <row r="16" spans="1:4" x14ac:dyDescent="0.25">
      <c r="A16" s="16" t="s">
        <v>331</v>
      </c>
      <c r="B16" s="18">
        <v>42051000</v>
      </c>
      <c r="C16" s="18">
        <v>28490000</v>
      </c>
      <c r="D16" s="18">
        <v>18506000</v>
      </c>
    </row>
    <row r="17" spans="1:4" x14ac:dyDescent="0.25">
      <c r="A17" s="16" t="s">
        <v>450</v>
      </c>
      <c r="B17" s="18">
        <v>0</v>
      </c>
      <c r="C17" s="18">
        <v>0</v>
      </c>
      <c r="D17" s="18">
        <v>-30000</v>
      </c>
    </row>
    <row r="18" spans="1:4" x14ac:dyDescent="0.25">
      <c r="A18" s="16" t="s">
        <v>451</v>
      </c>
      <c r="B18" s="18">
        <v>42051000</v>
      </c>
      <c r="C18" s="18">
        <v>28490000</v>
      </c>
      <c r="D18" s="18">
        <v>18476000</v>
      </c>
    </row>
    <row r="19" spans="1:4" x14ac:dyDescent="0.25">
      <c r="A19" s="16" t="s">
        <v>452</v>
      </c>
      <c r="B19" s="18">
        <v>3400</v>
      </c>
      <c r="C19" s="18">
        <v>2340</v>
      </c>
      <c r="D19" s="18">
        <v>1550</v>
      </c>
    </row>
    <row r="20" spans="1:4" x14ac:dyDescent="0.25">
      <c r="A20" s="16" t="s">
        <v>453</v>
      </c>
      <c r="B20" s="18">
        <v>3270</v>
      </c>
      <c r="C20" s="18">
        <v>2240</v>
      </c>
      <c r="D20" s="18">
        <v>1490</v>
      </c>
    </row>
    <row r="21" spans="1:4" x14ac:dyDescent="0.25">
      <c r="A21" s="16" t="s">
        <v>454</v>
      </c>
      <c r="B21" s="18">
        <v>12354000</v>
      </c>
      <c r="C21" s="18">
        <v>12164000</v>
      </c>
      <c r="D21" s="18">
        <v>11934000</v>
      </c>
    </row>
    <row r="22" spans="1:4" x14ac:dyDescent="0.25">
      <c r="A22" s="16" t="s">
        <v>455</v>
      </c>
      <c r="B22" s="18">
        <v>12850000</v>
      </c>
      <c r="C22" s="18">
        <v>12726000</v>
      </c>
      <c r="D22" s="18">
        <v>12409000</v>
      </c>
    </row>
    <row r="25" spans="1:4" x14ac:dyDescent="0.25">
      <c r="A25" s="16" t="s">
        <v>456</v>
      </c>
    </row>
    <row r="27" spans="1:4" x14ac:dyDescent="0.25">
      <c r="B27" s="17">
        <v>38748</v>
      </c>
      <c r="C27" s="17">
        <v>38383</v>
      </c>
    </row>
    <row r="28" spans="1:4" x14ac:dyDescent="0.25">
      <c r="A28" s="16" t="s">
        <v>457</v>
      </c>
    </row>
    <row r="29" spans="1:4" x14ac:dyDescent="0.25">
      <c r="A29" s="16" t="s">
        <v>458</v>
      </c>
    </row>
    <row r="30" spans="1:4" x14ac:dyDescent="0.25">
      <c r="A30" s="16" t="s">
        <v>267</v>
      </c>
      <c r="B30" s="18">
        <v>35493000</v>
      </c>
      <c r="C30" s="18">
        <v>30482000</v>
      </c>
    </row>
    <row r="31" spans="1:4" x14ac:dyDescent="0.25">
      <c r="A31" s="16" t="s">
        <v>459</v>
      </c>
      <c r="B31" s="18">
        <v>23004000</v>
      </c>
      <c r="C31" s="18">
        <v>1503000</v>
      </c>
    </row>
    <row r="32" spans="1:4" x14ac:dyDescent="0.25">
      <c r="A32" s="16" t="s">
        <v>460</v>
      </c>
      <c r="B32" s="18">
        <v>67020000</v>
      </c>
      <c r="C32" s="18">
        <v>70728000</v>
      </c>
    </row>
    <row r="33" spans="1:3" x14ac:dyDescent="0.25">
      <c r="A33" s="16" t="s">
        <v>461</v>
      </c>
    </row>
    <row r="34" spans="1:3" x14ac:dyDescent="0.25">
      <c r="A34" s="16" t="s">
        <v>279</v>
      </c>
      <c r="B34" s="18">
        <v>56996000</v>
      </c>
      <c r="C34" s="18">
        <v>46212000</v>
      </c>
    </row>
    <row r="35" spans="1:3" x14ac:dyDescent="0.25">
      <c r="A35" s="16" t="s">
        <v>338</v>
      </c>
      <c r="B35" s="18">
        <v>3232000</v>
      </c>
      <c r="C35" s="18">
        <v>3042000</v>
      </c>
    </row>
    <row r="36" spans="1:3" x14ac:dyDescent="0.25">
      <c r="A36" s="16" t="s">
        <v>350</v>
      </c>
      <c r="B36" s="18">
        <v>5373000</v>
      </c>
      <c r="C36" s="18">
        <v>4592000</v>
      </c>
    </row>
    <row r="37" spans="1:3" x14ac:dyDescent="0.25">
      <c r="A37" s="16" t="s">
        <v>462</v>
      </c>
      <c r="B37" s="18">
        <v>191118000</v>
      </c>
      <c r="C37" s="18">
        <v>156559000</v>
      </c>
    </row>
    <row r="38" spans="1:3" x14ac:dyDescent="0.25">
      <c r="A38" s="16" t="s">
        <v>463</v>
      </c>
      <c r="B38" s="18">
        <v>75374000</v>
      </c>
      <c r="C38" s="18">
        <v>82027000</v>
      </c>
    </row>
    <row r="39" spans="1:3" x14ac:dyDescent="0.25">
      <c r="A39" s="16" t="s">
        <v>287</v>
      </c>
      <c r="B39" s="18">
        <v>78820000</v>
      </c>
      <c r="C39" s="18">
        <v>74786000</v>
      </c>
    </row>
    <row r="40" spans="1:3" x14ac:dyDescent="0.25">
      <c r="A40" s="16" t="s">
        <v>338</v>
      </c>
      <c r="B40" s="18">
        <v>11851000</v>
      </c>
      <c r="C40" s="18">
        <v>9688000</v>
      </c>
    </row>
    <row r="41" spans="1:3" x14ac:dyDescent="0.25">
      <c r="A41" s="16" t="s">
        <v>378</v>
      </c>
      <c r="B41" s="18">
        <v>4120000</v>
      </c>
      <c r="C41" s="18">
        <v>5032000</v>
      </c>
    </row>
    <row r="42" spans="1:3" x14ac:dyDescent="0.25">
      <c r="A42" s="16" t="s">
        <v>464</v>
      </c>
      <c r="B42" s="18">
        <v>361283000</v>
      </c>
      <c r="C42" s="18">
        <v>328092000</v>
      </c>
    </row>
    <row r="43" spans="1:3" x14ac:dyDescent="0.25">
      <c r="A43" s="16" t="s">
        <v>465</v>
      </c>
    </row>
    <row r="44" spans="1:3" x14ac:dyDescent="0.25">
      <c r="A44" s="16" t="s">
        <v>466</v>
      </c>
    </row>
    <row r="45" spans="1:3" x14ac:dyDescent="0.25">
      <c r="A45" s="16" t="s">
        <v>467</v>
      </c>
      <c r="B45" s="18">
        <v>4741000</v>
      </c>
      <c r="C45" s="18">
        <v>2461000</v>
      </c>
    </row>
    <row r="46" spans="1:3" x14ac:dyDescent="0.25">
      <c r="A46" s="16" t="s">
        <v>468</v>
      </c>
      <c r="B46" s="18">
        <v>12681000</v>
      </c>
      <c r="C46" s="18">
        <v>12916000</v>
      </c>
    </row>
    <row r="47" spans="1:3" x14ac:dyDescent="0.25">
      <c r="A47" s="16" t="s">
        <v>469</v>
      </c>
      <c r="B47" s="18">
        <v>25124000</v>
      </c>
      <c r="C47" s="18">
        <v>25778000</v>
      </c>
    </row>
    <row r="48" spans="1:3" x14ac:dyDescent="0.25">
      <c r="A48" s="16" t="s">
        <v>470</v>
      </c>
      <c r="B48" s="18">
        <v>8710000</v>
      </c>
      <c r="C48" s="18">
        <v>7283000</v>
      </c>
    </row>
    <row r="49" spans="1:3" x14ac:dyDescent="0.25">
      <c r="A49" s="16" t="s">
        <v>370</v>
      </c>
      <c r="B49" s="18">
        <v>984000</v>
      </c>
      <c r="C49" s="18">
        <v>894000</v>
      </c>
    </row>
    <row r="50" spans="1:3" x14ac:dyDescent="0.25">
      <c r="A50" s="16" t="s">
        <v>471</v>
      </c>
      <c r="B50" s="18">
        <v>13916000</v>
      </c>
      <c r="C50" s="18">
        <v>13073000</v>
      </c>
    </row>
    <row r="51" spans="1:3" x14ac:dyDescent="0.25">
      <c r="A51" s="16" t="s">
        <v>472</v>
      </c>
      <c r="B51" s="18">
        <v>66156000</v>
      </c>
      <c r="C51" s="18">
        <v>62405000</v>
      </c>
    </row>
    <row r="52" spans="1:3" x14ac:dyDescent="0.25">
      <c r="A52" s="16" t="s">
        <v>473</v>
      </c>
      <c r="B52" s="18">
        <v>12500000</v>
      </c>
      <c r="C52" s="18">
        <v>25187000</v>
      </c>
    </row>
    <row r="53" spans="1:3" x14ac:dyDescent="0.25">
      <c r="A53" s="16" t="s">
        <v>370</v>
      </c>
      <c r="B53" s="18">
        <v>6951000</v>
      </c>
      <c r="C53" s="18">
        <v>7799000</v>
      </c>
    </row>
    <row r="54" spans="1:3" x14ac:dyDescent="0.25">
      <c r="A54" s="16" t="s">
        <v>338</v>
      </c>
      <c r="B54" s="18">
        <v>4009000</v>
      </c>
      <c r="C54" s="18">
        <v>3988000</v>
      </c>
    </row>
    <row r="55" spans="1:3" x14ac:dyDescent="0.25">
      <c r="A55" s="16" t="s">
        <v>373</v>
      </c>
      <c r="B55" s="18">
        <v>12261000</v>
      </c>
      <c r="C55" s="18">
        <v>10830000</v>
      </c>
    </row>
    <row r="56" spans="1:3" x14ac:dyDescent="0.25">
      <c r="A56" s="16" t="s">
        <v>474</v>
      </c>
      <c r="B56" s="18">
        <v>101877000</v>
      </c>
      <c r="C56" s="18">
        <v>110209000</v>
      </c>
    </row>
    <row r="57" spans="1:3" x14ac:dyDescent="0.25">
      <c r="A57" s="16" t="s">
        <v>475</v>
      </c>
    </row>
    <row r="58" spans="1:3" x14ac:dyDescent="0.25">
      <c r="A58" s="16" t="s">
        <v>476</v>
      </c>
    </row>
    <row r="59" spans="1:3" x14ac:dyDescent="0.25">
      <c r="A59" s="16" t="s">
        <v>477</v>
      </c>
      <c r="B59" s="18">
        <v>6268000</v>
      </c>
      <c r="C59" s="18">
        <v>6112000</v>
      </c>
    </row>
    <row r="60" spans="1:3" x14ac:dyDescent="0.25">
      <c r="A60" s="16" t="s">
        <v>478</v>
      </c>
    </row>
    <row r="61" spans="1:3" x14ac:dyDescent="0.25">
      <c r="A61" s="16" t="s">
        <v>479</v>
      </c>
      <c r="B61" s="18">
        <v>21590000</v>
      </c>
      <c r="C61" s="18">
        <v>20004000</v>
      </c>
    </row>
    <row r="62" spans="1:3" x14ac:dyDescent="0.25">
      <c r="A62" s="16" t="s">
        <v>480</v>
      </c>
      <c r="B62" s="18">
        <v>0</v>
      </c>
      <c r="C62" s="18">
        <v>-4506000</v>
      </c>
    </row>
    <row r="63" spans="1:3" x14ac:dyDescent="0.25">
      <c r="A63" s="16" t="s">
        <v>316</v>
      </c>
      <c r="B63" s="18">
        <v>223867000</v>
      </c>
      <c r="C63" s="18">
        <v>188507000</v>
      </c>
    </row>
    <row r="64" spans="1:3" x14ac:dyDescent="0.25">
      <c r="A64" s="16" t="s">
        <v>481</v>
      </c>
      <c r="B64" s="18">
        <v>7681000</v>
      </c>
      <c r="C64" s="18">
        <v>7766000</v>
      </c>
    </row>
    <row r="65" spans="1:3" x14ac:dyDescent="0.25">
      <c r="A65" s="16" t="s">
        <v>482</v>
      </c>
      <c r="B65" s="18">
        <v>259406000</v>
      </c>
      <c r="C65" s="18">
        <v>217883000</v>
      </c>
    </row>
    <row r="66" spans="1:3" x14ac:dyDescent="0.25">
      <c r="A66" s="16" t="s">
        <v>483</v>
      </c>
      <c r="B66" s="18">
        <v>361283000</v>
      </c>
      <c r="C66" s="18">
        <v>328092000</v>
      </c>
    </row>
    <row r="69" spans="1:3" x14ac:dyDescent="0.25">
      <c r="A69" s="19" t="s">
        <v>484</v>
      </c>
      <c r="B69" s="6">
        <f>B15/B14</f>
        <v>0.32423224645250454</v>
      </c>
      <c r="C69" s="6">
        <f>C15/C14</f>
        <v>0.36670593727076711</v>
      </c>
    </row>
  </sheetData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55026-CCA8-4774-BAAB-36357B91ABCA}">
  <sheetPr codeName="Sheet30"/>
  <dimension ref="A1:E10"/>
  <sheetViews>
    <sheetView workbookViewId="0">
      <selection sqref="A1:C1"/>
    </sheetView>
  </sheetViews>
  <sheetFormatPr defaultColWidth="9.109375" defaultRowHeight="13.2" x14ac:dyDescent="0.25"/>
  <cols>
    <col min="1" max="1" width="16.44140625" style="16" customWidth="1"/>
    <col min="2" max="2" width="9.109375" style="16"/>
    <col min="3" max="3" width="18.109375" style="16" bestFit="1" customWidth="1"/>
    <col min="4" max="256" width="9.109375" style="16"/>
    <col min="257" max="257" width="16.44140625" style="16" customWidth="1"/>
    <col min="258" max="258" width="9.109375" style="16"/>
    <col min="259" max="259" width="18.109375" style="16" bestFit="1" customWidth="1"/>
    <col min="260" max="512" width="9.109375" style="16"/>
    <col min="513" max="513" width="16.44140625" style="16" customWidth="1"/>
    <col min="514" max="514" width="9.109375" style="16"/>
    <col min="515" max="515" width="18.109375" style="16" bestFit="1" customWidth="1"/>
    <col min="516" max="768" width="9.109375" style="16"/>
    <col min="769" max="769" width="16.44140625" style="16" customWidth="1"/>
    <col min="770" max="770" width="9.109375" style="16"/>
    <col min="771" max="771" width="18.109375" style="16" bestFit="1" customWidth="1"/>
    <col min="772" max="1024" width="9.109375" style="16"/>
    <col min="1025" max="1025" width="16.44140625" style="16" customWidth="1"/>
    <col min="1026" max="1026" width="9.109375" style="16"/>
    <col min="1027" max="1027" width="18.109375" style="16" bestFit="1" customWidth="1"/>
    <col min="1028" max="1280" width="9.109375" style="16"/>
    <col min="1281" max="1281" width="16.44140625" style="16" customWidth="1"/>
    <col min="1282" max="1282" width="9.109375" style="16"/>
    <col min="1283" max="1283" width="18.109375" style="16" bestFit="1" customWidth="1"/>
    <col min="1284" max="1536" width="9.109375" style="16"/>
    <col min="1537" max="1537" width="16.44140625" style="16" customWidth="1"/>
    <col min="1538" max="1538" width="9.109375" style="16"/>
    <col min="1539" max="1539" width="18.109375" style="16" bestFit="1" customWidth="1"/>
    <col min="1540" max="1792" width="9.109375" style="16"/>
    <col min="1793" max="1793" width="16.44140625" style="16" customWidth="1"/>
    <col min="1794" max="1794" width="9.109375" style="16"/>
    <col min="1795" max="1795" width="18.109375" style="16" bestFit="1" customWidth="1"/>
    <col min="1796" max="2048" width="9.109375" style="16"/>
    <col min="2049" max="2049" width="16.44140625" style="16" customWidth="1"/>
    <col min="2050" max="2050" width="9.109375" style="16"/>
    <col min="2051" max="2051" width="18.109375" style="16" bestFit="1" customWidth="1"/>
    <col min="2052" max="2304" width="9.109375" style="16"/>
    <col min="2305" max="2305" width="16.44140625" style="16" customWidth="1"/>
    <col min="2306" max="2306" width="9.109375" style="16"/>
    <col min="2307" max="2307" width="18.109375" style="16" bestFit="1" customWidth="1"/>
    <col min="2308" max="2560" width="9.109375" style="16"/>
    <col min="2561" max="2561" width="16.44140625" style="16" customWidth="1"/>
    <col min="2562" max="2562" width="9.109375" style="16"/>
    <col min="2563" max="2563" width="18.109375" style="16" bestFit="1" customWidth="1"/>
    <col min="2564" max="2816" width="9.109375" style="16"/>
    <col min="2817" max="2817" width="16.44140625" style="16" customWidth="1"/>
    <col min="2818" max="2818" width="9.109375" style="16"/>
    <col min="2819" max="2819" width="18.109375" style="16" bestFit="1" customWidth="1"/>
    <col min="2820" max="3072" width="9.109375" style="16"/>
    <col min="3073" max="3073" width="16.44140625" style="16" customWidth="1"/>
    <col min="3074" max="3074" width="9.109375" style="16"/>
    <col min="3075" max="3075" width="18.109375" style="16" bestFit="1" customWidth="1"/>
    <col min="3076" max="3328" width="9.109375" style="16"/>
    <col min="3329" max="3329" width="16.44140625" style="16" customWidth="1"/>
    <col min="3330" max="3330" width="9.109375" style="16"/>
    <col min="3331" max="3331" width="18.109375" style="16" bestFit="1" customWidth="1"/>
    <col min="3332" max="3584" width="9.109375" style="16"/>
    <col min="3585" max="3585" width="16.44140625" style="16" customWidth="1"/>
    <col min="3586" max="3586" width="9.109375" style="16"/>
    <col min="3587" max="3587" width="18.109375" style="16" bestFit="1" customWidth="1"/>
    <col min="3588" max="3840" width="9.109375" style="16"/>
    <col min="3841" max="3841" width="16.44140625" style="16" customWidth="1"/>
    <col min="3842" max="3842" width="9.109375" style="16"/>
    <col min="3843" max="3843" width="18.109375" style="16" bestFit="1" customWidth="1"/>
    <col min="3844" max="4096" width="9.109375" style="16"/>
    <col min="4097" max="4097" width="16.44140625" style="16" customWidth="1"/>
    <col min="4098" max="4098" width="9.109375" style="16"/>
    <col min="4099" max="4099" width="18.109375" style="16" bestFit="1" customWidth="1"/>
    <col min="4100" max="4352" width="9.109375" style="16"/>
    <col min="4353" max="4353" width="16.44140625" style="16" customWidth="1"/>
    <col min="4354" max="4354" width="9.109375" style="16"/>
    <col min="4355" max="4355" width="18.109375" style="16" bestFit="1" customWidth="1"/>
    <col min="4356" max="4608" width="9.109375" style="16"/>
    <col min="4609" max="4609" width="16.44140625" style="16" customWidth="1"/>
    <col min="4610" max="4610" width="9.109375" style="16"/>
    <col min="4611" max="4611" width="18.109375" style="16" bestFit="1" customWidth="1"/>
    <col min="4612" max="4864" width="9.109375" style="16"/>
    <col min="4865" max="4865" width="16.44140625" style="16" customWidth="1"/>
    <col min="4866" max="4866" width="9.109375" style="16"/>
    <col min="4867" max="4867" width="18.109375" style="16" bestFit="1" customWidth="1"/>
    <col min="4868" max="5120" width="9.109375" style="16"/>
    <col min="5121" max="5121" width="16.44140625" style="16" customWidth="1"/>
    <col min="5122" max="5122" width="9.109375" style="16"/>
    <col min="5123" max="5123" width="18.109375" style="16" bestFit="1" customWidth="1"/>
    <col min="5124" max="5376" width="9.109375" style="16"/>
    <col min="5377" max="5377" width="16.44140625" style="16" customWidth="1"/>
    <col min="5378" max="5378" width="9.109375" style="16"/>
    <col min="5379" max="5379" width="18.109375" style="16" bestFit="1" customWidth="1"/>
    <col min="5380" max="5632" width="9.109375" style="16"/>
    <col min="5633" max="5633" width="16.44140625" style="16" customWidth="1"/>
    <col min="5634" max="5634" width="9.109375" style="16"/>
    <col min="5635" max="5635" width="18.109375" style="16" bestFit="1" customWidth="1"/>
    <col min="5636" max="5888" width="9.109375" style="16"/>
    <col min="5889" max="5889" width="16.44140625" style="16" customWidth="1"/>
    <col min="5890" max="5890" width="9.109375" style="16"/>
    <col min="5891" max="5891" width="18.109375" style="16" bestFit="1" customWidth="1"/>
    <col min="5892" max="6144" width="9.109375" style="16"/>
    <col min="6145" max="6145" width="16.44140625" style="16" customWidth="1"/>
    <col min="6146" max="6146" width="9.109375" style="16"/>
    <col min="6147" max="6147" width="18.109375" style="16" bestFit="1" customWidth="1"/>
    <col min="6148" max="6400" width="9.109375" style="16"/>
    <col min="6401" max="6401" width="16.44140625" style="16" customWidth="1"/>
    <col min="6402" max="6402" width="9.109375" style="16"/>
    <col min="6403" max="6403" width="18.109375" style="16" bestFit="1" customWidth="1"/>
    <col min="6404" max="6656" width="9.109375" style="16"/>
    <col min="6657" max="6657" width="16.44140625" style="16" customWidth="1"/>
    <col min="6658" max="6658" width="9.109375" style="16"/>
    <col min="6659" max="6659" width="18.109375" style="16" bestFit="1" customWidth="1"/>
    <col min="6660" max="6912" width="9.109375" style="16"/>
    <col min="6913" max="6913" width="16.44140625" style="16" customWidth="1"/>
    <col min="6914" max="6914" width="9.109375" style="16"/>
    <col min="6915" max="6915" width="18.109375" style="16" bestFit="1" customWidth="1"/>
    <col min="6916" max="7168" width="9.109375" style="16"/>
    <col min="7169" max="7169" width="16.44140625" style="16" customWidth="1"/>
    <col min="7170" max="7170" width="9.109375" style="16"/>
    <col min="7171" max="7171" width="18.109375" style="16" bestFit="1" customWidth="1"/>
    <col min="7172" max="7424" width="9.109375" style="16"/>
    <col min="7425" max="7425" width="16.44140625" style="16" customWidth="1"/>
    <col min="7426" max="7426" width="9.109375" style="16"/>
    <col min="7427" max="7427" width="18.109375" style="16" bestFit="1" customWidth="1"/>
    <col min="7428" max="7680" width="9.109375" style="16"/>
    <col min="7681" max="7681" width="16.44140625" style="16" customWidth="1"/>
    <col min="7682" max="7682" width="9.109375" style="16"/>
    <col min="7683" max="7683" width="18.109375" style="16" bestFit="1" customWidth="1"/>
    <col min="7684" max="7936" width="9.109375" style="16"/>
    <col min="7937" max="7937" width="16.44140625" style="16" customWidth="1"/>
    <col min="7938" max="7938" width="9.109375" style="16"/>
    <col min="7939" max="7939" width="18.109375" style="16" bestFit="1" customWidth="1"/>
    <col min="7940" max="8192" width="9.109375" style="16"/>
    <col min="8193" max="8193" width="16.44140625" style="16" customWidth="1"/>
    <col min="8194" max="8194" width="9.109375" style="16"/>
    <col min="8195" max="8195" width="18.109375" style="16" bestFit="1" customWidth="1"/>
    <col min="8196" max="8448" width="9.109375" style="16"/>
    <col min="8449" max="8449" width="16.44140625" style="16" customWidth="1"/>
    <col min="8450" max="8450" width="9.109375" style="16"/>
    <col min="8451" max="8451" width="18.109375" style="16" bestFit="1" customWidth="1"/>
    <col min="8452" max="8704" width="9.109375" style="16"/>
    <col min="8705" max="8705" width="16.44140625" style="16" customWidth="1"/>
    <col min="8706" max="8706" width="9.109375" style="16"/>
    <col min="8707" max="8707" width="18.109375" style="16" bestFit="1" customWidth="1"/>
    <col min="8708" max="8960" width="9.109375" style="16"/>
    <col min="8961" max="8961" width="16.44140625" style="16" customWidth="1"/>
    <col min="8962" max="8962" width="9.109375" style="16"/>
    <col min="8963" max="8963" width="18.109375" style="16" bestFit="1" customWidth="1"/>
    <col min="8964" max="9216" width="9.109375" style="16"/>
    <col min="9217" max="9217" width="16.44140625" style="16" customWidth="1"/>
    <col min="9218" max="9218" width="9.109375" style="16"/>
    <col min="9219" max="9219" width="18.109375" style="16" bestFit="1" customWidth="1"/>
    <col min="9220" max="9472" width="9.109375" style="16"/>
    <col min="9473" max="9473" width="16.44140625" style="16" customWidth="1"/>
    <col min="9474" max="9474" width="9.109375" style="16"/>
    <col min="9475" max="9475" width="18.109375" style="16" bestFit="1" customWidth="1"/>
    <col min="9476" max="9728" width="9.109375" style="16"/>
    <col min="9729" max="9729" width="16.44140625" style="16" customWidth="1"/>
    <col min="9730" max="9730" width="9.109375" style="16"/>
    <col min="9731" max="9731" width="18.109375" style="16" bestFit="1" customWidth="1"/>
    <col min="9732" max="9984" width="9.109375" style="16"/>
    <col min="9985" max="9985" width="16.44140625" style="16" customWidth="1"/>
    <col min="9986" max="9986" width="9.109375" style="16"/>
    <col min="9987" max="9987" width="18.109375" style="16" bestFit="1" customWidth="1"/>
    <col min="9988" max="10240" width="9.109375" style="16"/>
    <col min="10241" max="10241" width="16.44140625" style="16" customWidth="1"/>
    <col min="10242" max="10242" width="9.109375" style="16"/>
    <col min="10243" max="10243" width="18.109375" style="16" bestFit="1" customWidth="1"/>
    <col min="10244" max="10496" width="9.109375" style="16"/>
    <col min="10497" max="10497" width="16.44140625" style="16" customWidth="1"/>
    <col min="10498" max="10498" width="9.109375" style="16"/>
    <col min="10499" max="10499" width="18.109375" style="16" bestFit="1" customWidth="1"/>
    <col min="10500" max="10752" width="9.109375" style="16"/>
    <col min="10753" max="10753" width="16.44140625" style="16" customWidth="1"/>
    <col min="10754" max="10754" width="9.109375" style="16"/>
    <col min="10755" max="10755" width="18.109375" style="16" bestFit="1" customWidth="1"/>
    <col min="10756" max="11008" width="9.109375" style="16"/>
    <col min="11009" max="11009" width="16.44140625" style="16" customWidth="1"/>
    <col min="11010" max="11010" width="9.109375" style="16"/>
    <col min="11011" max="11011" width="18.109375" style="16" bestFit="1" customWidth="1"/>
    <col min="11012" max="11264" width="9.109375" style="16"/>
    <col min="11265" max="11265" width="16.44140625" style="16" customWidth="1"/>
    <col min="11266" max="11266" width="9.109375" style="16"/>
    <col min="11267" max="11267" width="18.109375" style="16" bestFit="1" customWidth="1"/>
    <col min="11268" max="11520" width="9.109375" style="16"/>
    <col min="11521" max="11521" width="16.44140625" style="16" customWidth="1"/>
    <col min="11522" max="11522" width="9.109375" style="16"/>
    <col min="11523" max="11523" width="18.109375" style="16" bestFit="1" customWidth="1"/>
    <col min="11524" max="11776" width="9.109375" style="16"/>
    <col min="11777" max="11777" width="16.44140625" style="16" customWidth="1"/>
    <col min="11778" max="11778" width="9.109375" style="16"/>
    <col min="11779" max="11779" width="18.109375" style="16" bestFit="1" customWidth="1"/>
    <col min="11780" max="12032" width="9.109375" style="16"/>
    <col min="12033" max="12033" width="16.44140625" style="16" customWidth="1"/>
    <col min="12034" max="12034" width="9.109375" style="16"/>
    <col min="12035" max="12035" width="18.109375" style="16" bestFit="1" customWidth="1"/>
    <col min="12036" max="12288" width="9.109375" style="16"/>
    <col min="12289" max="12289" width="16.44140625" style="16" customWidth="1"/>
    <col min="12290" max="12290" width="9.109375" style="16"/>
    <col min="12291" max="12291" width="18.109375" style="16" bestFit="1" customWidth="1"/>
    <col min="12292" max="12544" width="9.109375" style="16"/>
    <col min="12545" max="12545" width="16.44140625" style="16" customWidth="1"/>
    <col min="12546" max="12546" width="9.109375" style="16"/>
    <col min="12547" max="12547" width="18.109375" style="16" bestFit="1" customWidth="1"/>
    <col min="12548" max="12800" width="9.109375" style="16"/>
    <col min="12801" max="12801" width="16.44140625" style="16" customWidth="1"/>
    <col min="12802" max="12802" width="9.109375" style="16"/>
    <col min="12803" max="12803" width="18.109375" style="16" bestFit="1" customWidth="1"/>
    <col min="12804" max="13056" width="9.109375" style="16"/>
    <col min="13057" max="13057" width="16.44140625" style="16" customWidth="1"/>
    <col min="13058" max="13058" width="9.109375" style="16"/>
    <col min="13059" max="13059" width="18.109375" style="16" bestFit="1" customWidth="1"/>
    <col min="13060" max="13312" width="9.109375" style="16"/>
    <col min="13313" max="13313" width="16.44140625" style="16" customWidth="1"/>
    <col min="13314" max="13314" width="9.109375" style="16"/>
    <col min="13315" max="13315" width="18.109375" style="16" bestFit="1" customWidth="1"/>
    <col min="13316" max="13568" width="9.109375" style="16"/>
    <col min="13569" max="13569" width="16.44140625" style="16" customWidth="1"/>
    <col min="13570" max="13570" width="9.109375" style="16"/>
    <col min="13571" max="13571" width="18.109375" style="16" bestFit="1" customWidth="1"/>
    <col min="13572" max="13824" width="9.109375" style="16"/>
    <col min="13825" max="13825" width="16.44140625" style="16" customWidth="1"/>
    <col min="13826" max="13826" width="9.109375" style="16"/>
    <col min="13827" max="13827" width="18.109375" style="16" bestFit="1" customWidth="1"/>
    <col min="13828" max="14080" width="9.109375" style="16"/>
    <col min="14081" max="14081" width="16.44140625" style="16" customWidth="1"/>
    <col min="14082" max="14082" width="9.109375" style="16"/>
    <col min="14083" max="14083" width="18.109375" style="16" bestFit="1" customWidth="1"/>
    <col min="14084" max="14336" width="9.109375" style="16"/>
    <col min="14337" max="14337" width="16.44140625" style="16" customWidth="1"/>
    <col min="14338" max="14338" width="9.109375" style="16"/>
    <col min="14339" max="14339" width="18.109375" style="16" bestFit="1" customWidth="1"/>
    <col min="14340" max="14592" width="9.109375" style="16"/>
    <col min="14593" max="14593" width="16.44140625" style="16" customWidth="1"/>
    <col min="14594" max="14594" width="9.109375" style="16"/>
    <col min="14595" max="14595" width="18.109375" style="16" bestFit="1" customWidth="1"/>
    <col min="14596" max="14848" width="9.109375" style="16"/>
    <col min="14849" max="14849" width="16.44140625" style="16" customWidth="1"/>
    <col min="14850" max="14850" width="9.109375" style="16"/>
    <col min="14851" max="14851" width="18.109375" style="16" bestFit="1" customWidth="1"/>
    <col min="14852" max="15104" width="9.109375" style="16"/>
    <col min="15105" max="15105" width="16.44140625" style="16" customWidth="1"/>
    <col min="15106" max="15106" width="9.109375" style="16"/>
    <col min="15107" max="15107" width="18.109375" style="16" bestFit="1" customWidth="1"/>
    <col min="15108" max="15360" width="9.109375" style="16"/>
    <col min="15361" max="15361" width="16.44140625" style="16" customWidth="1"/>
    <col min="15362" max="15362" width="9.109375" style="16"/>
    <col min="15363" max="15363" width="18.109375" style="16" bestFit="1" customWidth="1"/>
    <col min="15364" max="15616" width="9.109375" style="16"/>
    <col min="15617" max="15617" width="16.44140625" style="16" customWidth="1"/>
    <col min="15618" max="15618" width="9.109375" style="16"/>
    <col min="15619" max="15619" width="18.109375" style="16" bestFit="1" customWidth="1"/>
    <col min="15620" max="15872" width="9.109375" style="16"/>
    <col min="15873" max="15873" width="16.44140625" style="16" customWidth="1"/>
    <col min="15874" max="15874" width="9.109375" style="16"/>
    <col min="15875" max="15875" width="18.109375" style="16" bestFit="1" customWidth="1"/>
    <col min="15876" max="16128" width="9.109375" style="16"/>
    <col min="16129" max="16129" width="16.44140625" style="16" customWidth="1"/>
    <col min="16130" max="16130" width="9.109375" style="16"/>
    <col min="16131" max="16131" width="18.109375" style="16" bestFit="1" customWidth="1"/>
    <col min="16132" max="16384" width="9.109375" style="16"/>
  </cols>
  <sheetData>
    <row r="1" spans="1:5" ht="17.399999999999999" x14ac:dyDescent="0.3">
      <c r="A1" s="20" t="s">
        <v>485</v>
      </c>
      <c r="B1" s="20"/>
      <c r="C1" s="20"/>
    </row>
    <row r="2" spans="1:5" x14ac:dyDescent="0.25">
      <c r="A2" s="16">
        <v>2001</v>
      </c>
      <c r="B2" s="16">
        <v>0</v>
      </c>
    </row>
    <row r="3" spans="1:5" x14ac:dyDescent="0.25">
      <c r="A3" s="16">
        <v>2002</v>
      </c>
      <c r="B3" s="16">
        <v>0.1</v>
      </c>
    </row>
    <row r="4" spans="1:5" x14ac:dyDescent="0.25">
      <c r="A4" s="16">
        <v>2003</v>
      </c>
      <c r="B4" s="16">
        <v>0.41</v>
      </c>
      <c r="E4" s="16" t="s">
        <v>486</v>
      </c>
    </row>
    <row r="5" spans="1:5" x14ac:dyDescent="0.25">
      <c r="A5" s="16">
        <v>2004</v>
      </c>
      <c r="B5" s="16">
        <v>0.45</v>
      </c>
    </row>
    <row r="6" spans="1:5" x14ac:dyDescent="0.25">
      <c r="A6" s="16">
        <v>2005</v>
      </c>
      <c r="B6" s="16">
        <v>0.54</v>
      </c>
    </row>
    <row r="8" spans="1:5" x14ac:dyDescent="0.25">
      <c r="A8" s="16" t="s">
        <v>487</v>
      </c>
    </row>
    <row r="9" spans="1:5" x14ac:dyDescent="0.25">
      <c r="B9" s="6">
        <f>(B6/B3)^(1/3)-1</f>
        <v>0.75441064292771953</v>
      </c>
      <c r="C9" s="16" t="str">
        <f ca="1">[1]!getformula(B9)</f>
        <v>&lt;--  =(B6/B3)^(1/3)-1</v>
      </c>
    </row>
    <row r="10" spans="1:5" x14ac:dyDescent="0.25">
      <c r="B10" s="6">
        <f>(B6/B4)^(1/2)-1</f>
        <v>0.14763808351400898</v>
      </c>
      <c r="C10" s="16" t="str">
        <f ca="1">[1]!getformula(B10)</f>
        <v>&lt;--  =(B6/B4)^(1/2)-1</v>
      </c>
    </row>
  </sheetData>
  <mergeCells count="1">
    <mergeCell ref="A1:C1"/>
  </mergeCells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Page 80</vt:lpstr>
      <vt:lpstr>Page 79, top</vt:lpstr>
      <vt:lpstr>FRED data</vt:lpstr>
      <vt:lpstr>Kraft cash flow to equity</vt:lpstr>
      <vt:lpstr>Kraft 10K, 2005</vt:lpstr>
      <vt:lpstr>Tyson cash flow statement</vt:lpstr>
      <vt:lpstr>Tyson income statement</vt:lpstr>
      <vt:lpstr>Cascade cash flow statement</vt:lpstr>
      <vt:lpstr>Cascade 10K</vt:lpstr>
      <vt:lpstr>Cascade annual dividends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2024-10-09T05:23:49Z</dcterms:created>
  <dcterms:modified xsi:type="dcterms:W3CDTF">2024-10-09T08:02:36Z</dcterms:modified>
</cp:coreProperties>
</file>