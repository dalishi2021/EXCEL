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"/>
    </mc:Choice>
  </mc:AlternateContent>
  <xr:revisionPtr revIDLastSave="0" documentId="13_ncr:1_{E8329E17-4437-47C7-AB81-423B4FF9ED4A}" xr6:coauthVersionLast="47" xr6:coauthVersionMax="47" xr10:uidLastSave="{00000000-0000-0000-0000-000000000000}"/>
  <bookViews>
    <workbookView xWindow="28680" yWindow="-120" windowWidth="16440" windowHeight="283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  <c r="B12" i="1"/>
  <c r="B9" i="1"/>
  <c r="B13" i="1" s="1"/>
  <c r="B5" i="1"/>
  <c r="C13" i="1"/>
  <c r="C12" i="1"/>
  <c r="C5" i="1"/>
</calcChain>
</file>

<file path=xl/sharedStrings.xml><?xml version="1.0" encoding="utf-8"?>
<sst xmlns="http://schemas.openxmlformats.org/spreadsheetml/2006/main" count="16" uniqueCount="16">
  <si>
    <r>
      <t>COMPUTING THE COST OF EQUITY r</t>
    </r>
    <r>
      <rPr>
        <b/>
        <vertAlign val="subscript"/>
        <sz val="14"/>
        <rFont val="Arial"/>
        <family val="2"/>
      </rPr>
      <t>E</t>
    </r>
    <r>
      <rPr>
        <b/>
        <sz val="14"/>
        <rFont val="Arial"/>
        <family val="2"/>
      </rPr>
      <t xml:space="preserve"> FOR KRAFT USING THE MARKET PRICE/EARNINGS MULTIPLE TO COMPUTE E(r</t>
    </r>
    <r>
      <rPr>
        <b/>
        <vertAlign val="subscript"/>
        <sz val="14"/>
        <rFont val="Arial"/>
        <family val="2"/>
      </rPr>
      <t>M</t>
    </r>
    <r>
      <rPr>
        <b/>
        <sz val="14"/>
        <rFont val="Arial"/>
        <family val="2"/>
      </rPr>
      <t xml:space="preserve">) </t>
    </r>
    <r>
      <rPr>
        <b/>
        <sz val="12"/>
        <rFont val="Arial"/>
        <family val="2"/>
      </rPr>
      <t/>
    </r>
  </si>
  <si>
    <r>
      <t>Expected market return, E(r</t>
    </r>
    <r>
      <rPr>
        <vertAlign val="subscript"/>
        <sz val="10"/>
        <rFont val="Arial"/>
        <family val="2"/>
      </rPr>
      <t>M</t>
    </r>
    <r>
      <rPr>
        <sz val="10"/>
        <rFont val="Arial"/>
        <family val="2"/>
      </rPr>
      <t>)</t>
    </r>
  </si>
  <si>
    <t>Kraft cost of equity calculations</t>
  </si>
  <si>
    <t>Kraft beta</t>
  </si>
  <si>
    <t>&lt;-- From Yahoo</t>
  </si>
  <si>
    <r>
      <t>Kraft tax rate, T</t>
    </r>
    <r>
      <rPr>
        <vertAlign val="subscript"/>
        <sz val="10"/>
        <rFont val="Arial"/>
        <family val="2"/>
      </rPr>
      <t>C</t>
    </r>
  </si>
  <si>
    <t>&lt;-- Computed from Kraft financials</t>
  </si>
  <si>
    <r>
      <t>Risk free rate, r</t>
    </r>
    <r>
      <rPr>
        <vertAlign val="subscript"/>
        <sz val="10"/>
        <rFont val="Arial"/>
        <family val="2"/>
      </rPr>
      <t>f</t>
    </r>
  </si>
  <si>
    <r>
      <t>Kraft cost of equity, r</t>
    </r>
    <r>
      <rPr>
        <vertAlign val="subscript"/>
        <sz val="10"/>
        <rFont val="Arial"/>
        <family val="2"/>
      </rPr>
      <t>E,Kraft</t>
    </r>
  </si>
  <si>
    <t xml:space="preserve">     Classic CAPM</t>
  </si>
  <si>
    <t xml:space="preserve">     Tax-adjusted CAPM</t>
  </si>
  <si>
    <r>
      <t>Note</t>
    </r>
    <r>
      <rPr>
        <sz val="10"/>
        <rFont val="Arial"/>
        <family val="2"/>
      </rPr>
      <t>:  Price/Earnings ratio for S&amp;P 500 from http://www.bullandbearwise.com</t>
    </r>
  </si>
  <si>
    <t>Anticipated growth of equity cash flow: g</t>
    <phoneticPr fontId="1" type="noConversion"/>
  </si>
  <si>
    <t>Equity cash flow payout ratio: a</t>
    <phoneticPr fontId="1" type="noConversion"/>
  </si>
  <si>
    <t>Market price/earnings multiple, December 2005:PE</t>
    <phoneticPr fontId="1" type="noConversion"/>
  </si>
  <si>
    <t>SH300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</si>
</sst>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vertAlign val="subscript"/>
      <sz val="14"/>
      <name val="Arial"/>
      <family val="2"/>
    </font>
    <font>
      <b/>
      <sz val="12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/>
  </cellStyleXfs>
  <cellXfs count="14">
    <xf numFmtId="0" fontId="0" fillId="0" borderId="0" xfId="0">
      <alignment vertical="center"/>
    </xf>
    <xf numFmtId="0" fontId="3" fillId="0" borderId="0" xfId="2"/>
    <xf numFmtId="10" fontId="2" fillId="0" borderId="0" xfId="1" applyNumberFormat="1" applyAlignment="1"/>
    <xf numFmtId="0" fontId="8" fillId="0" borderId="0" xfId="2" applyFont="1"/>
    <xf numFmtId="176" fontId="3" fillId="0" borderId="0" xfId="2" applyNumberFormat="1"/>
    <xf numFmtId="10" fontId="3" fillId="0" borderId="0" xfId="2" applyNumberFormat="1"/>
    <xf numFmtId="0" fontId="2" fillId="0" borderId="0" xfId="1" applyNumberFormat="1" applyAlignment="1"/>
    <xf numFmtId="0" fontId="3" fillId="2" borderId="0" xfId="2" applyFill="1"/>
    <xf numFmtId="10" fontId="2" fillId="2" borderId="0" xfId="1" applyNumberFormat="1" applyFill="1" applyAlignment="1"/>
    <xf numFmtId="2" fontId="3" fillId="0" borderId="0" xfId="2" applyNumberFormat="1"/>
    <xf numFmtId="0" fontId="0" fillId="0" borderId="0" xfId="0" applyAlignment="1">
      <alignment horizontal="center" vertical="center"/>
    </xf>
    <xf numFmtId="0" fontId="4" fillId="0" borderId="0" xfId="2" applyFont="1" applyAlignment="1">
      <alignment horizontal="center" vertical="center" wrapText="1"/>
    </xf>
    <xf numFmtId="0" fontId="8" fillId="0" borderId="0" xfId="2" applyFont="1" applyAlignment="1">
      <alignment horizontal="left" vertical="center" wrapText="1"/>
    </xf>
    <xf numFmtId="0" fontId="3" fillId="0" borderId="0" xfId="2" applyAlignment="1">
      <alignment horizontal="left" vertical="center" wrapText="1"/>
    </xf>
  </cellXfs>
  <cellStyles count="3">
    <cellStyle name="Normal_fm3_chapter02" xfId="2" xr:uid="{465B6F0E-1D70-43CC-8EAA-EB0A06BB9639}"/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2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42"/>
      <sheetName val="Page 42 (中文)"/>
      <sheetName val="Page 43"/>
      <sheetName val="Page 43 (中文)"/>
      <sheetName val="Page 44"/>
      <sheetName val="Page 44 (中文)"/>
      <sheetName val="Pages 45-46"/>
      <sheetName val="Pages 45-46 (中文)"/>
      <sheetName val="Page 47"/>
      <sheetName val="Page 47 (中文)"/>
      <sheetName val="Page 49"/>
      <sheetName val="Page 49 (中文)"/>
      <sheetName val="Page 50"/>
      <sheetName val="Page 54"/>
      <sheetName val="Page 50 (中文)"/>
      <sheetName val="Page 51"/>
      <sheetName val="Page 51 (中文)"/>
      <sheetName val="Page 54 (中文)"/>
      <sheetName val="Page 56"/>
      <sheetName val="Page 56 (中文)"/>
      <sheetName val="Page 58"/>
      <sheetName val="Page 58 (中文)"/>
      <sheetName val="Page 59"/>
      <sheetName val="Page 59 (中文)"/>
      <sheetName val="Intel tax rate"/>
      <sheetName val="Page 62"/>
      <sheetName val="Page 62 (中文)"/>
      <sheetName val="Page 63"/>
      <sheetName val="Page 63 (中文)"/>
      <sheetName val="Page 64, top"/>
      <sheetName val="Page 64, top (中文)"/>
      <sheetName val="Page 64, bottom"/>
      <sheetName val="Page 64, bottom (中文)"/>
      <sheetName val="Page 65"/>
      <sheetName val="Page 65 (中文)"/>
      <sheetName val="Page 67"/>
      <sheetName val="Page 67 (中文)"/>
      <sheetName val="Page 69, top"/>
      <sheetName val="Page 69, bottom"/>
      <sheetName val="Page 69, bottom (中文)"/>
      <sheetName val="Page 71"/>
      <sheetName val="Page 71 (中文)"/>
      <sheetName val="Page 72, top"/>
      <sheetName val="Page 72, top (中文)"/>
      <sheetName val="Page 72, bottom"/>
      <sheetName val="Page 72, bottom (中文)"/>
      <sheetName val="Page 73"/>
      <sheetName val="Page 73 (中文)"/>
      <sheetName val="Page 74"/>
      <sheetName val="Page 74 (中文)"/>
      <sheetName val="Page 75"/>
      <sheetName val="Page 75 (中文)"/>
      <sheetName val="Page 76, top"/>
      <sheetName val="Page 76, top (中文)"/>
      <sheetName val="Page 76, bottom"/>
      <sheetName val="Page 76, bottom (中文)"/>
      <sheetName val="Page 77"/>
      <sheetName val="Page 77 (中文)"/>
      <sheetName val="Page 78"/>
      <sheetName val="Page 78 (中文)"/>
      <sheetName val="Page 79, top"/>
      <sheetName val="Page 79, top (中文)"/>
      <sheetName val="Page 79, bottom"/>
      <sheetName val="Page 79, bottom (中文)"/>
      <sheetName val="Page 80"/>
      <sheetName val="Page 80 (中文)"/>
      <sheetName val="Page 81"/>
      <sheetName val="Page 81 (中文)"/>
      <sheetName val="Pages 82-83"/>
      <sheetName val="Pages 82-83 (中文)"/>
      <sheetName val="Page 84"/>
      <sheetName val="Page 84 (中文)"/>
      <sheetName val="Page 85"/>
      <sheetName val="Page 85 (中文)"/>
      <sheetName val="Page 86"/>
      <sheetName val="Page 86 (中文)"/>
      <sheetName val="Page 93, top"/>
      <sheetName val="Page 93, top (中文)"/>
      <sheetName val="Page 93, middle"/>
      <sheetName val="Page 93, middle (中文)"/>
      <sheetName val="Page 93, bottom"/>
      <sheetName val="Page 93, bottom (中文)"/>
      <sheetName val="Page 94"/>
      <sheetName val="Page 94 (中文)"/>
      <sheetName val="Page 95"/>
      <sheetName val="Page 95 (中文)"/>
      <sheetName val="FRED data"/>
      <sheetName val="Kraft cash flow to equity"/>
      <sheetName val="Kraft 10K, 2005"/>
      <sheetName val="Tyson cash flow statement"/>
      <sheetName val="Tyson income statement"/>
      <sheetName val="Cascade cash flow statement"/>
      <sheetName val="Cascade 10K"/>
      <sheetName val="Cascade annual dividend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>
        <row r="160">
          <cell r="B160">
            <v>0.29373177842565595</v>
          </cell>
        </row>
      </sheetData>
      <sheetData sheetId="89"/>
      <sheetData sheetId="90"/>
      <sheetData sheetId="91"/>
      <sheetData sheetId="92"/>
      <sheetData sheetId="9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E24"/>
  <sheetViews>
    <sheetView tabSelected="1" workbookViewId="0">
      <selection activeCell="D29" sqref="D29"/>
    </sheetView>
  </sheetViews>
  <sheetFormatPr defaultRowHeight="13.8" x14ac:dyDescent="0.25"/>
  <cols>
    <col min="1" max="1" width="41.88671875" style="1" customWidth="1"/>
    <col min="2" max="2" width="11.33203125" style="1" customWidth="1"/>
    <col min="3" max="3" width="34.88671875" style="1" customWidth="1"/>
  </cols>
  <sheetData>
    <row r="1" spans="1:5" ht="17.399999999999999" x14ac:dyDescent="0.25">
      <c r="A1" s="11" t="s">
        <v>0</v>
      </c>
      <c r="B1" s="11"/>
      <c r="C1" s="11"/>
    </row>
    <row r="2" spans="1:5" x14ac:dyDescent="0.25">
      <c r="A2" s="1" t="s">
        <v>14</v>
      </c>
      <c r="B2" s="1">
        <v>18</v>
      </c>
      <c r="D2" s="1">
        <v>12</v>
      </c>
      <c r="E2" s="10" t="s">
        <v>15</v>
      </c>
    </row>
    <row r="3" spans="1:5" x14ac:dyDescent="0.25">
      <c r="A3" s="1" t="s">
        <v>13</v>
      </c>
      <c r="B3" s="2">
        <v>0.5</v>
      </c>
      <c r="D3" s="2">
        <v>0.5</v>
      </c>
    </row>
    <row r="4" spans="1:5" x14ac:dyDescent="0.25">
      <c r="A4" s="1" t="s">
        <v>12</v>
      </c>
      <c r="B4" s="2">
        <v>0.06</v>
      </c>
      <c r="D4" s="2">
        <v>0.06</v>
      </c>
    </row>
    <row r="5" spans="1:5" ht="15.6" x14ac:dyDescent="0.35">
      <c r="A5" s="1" t="s">
        <v>1</v>
      </c>
      <c r="B5" s="2">
        <f>B3*(1+B4)/B2+B4</f>
        <v>8.9444444444444438E-2</v>
      </c>
      <c r="C5" s="1" t="str">
        <f ca="1">[1]!getformula(B5)</f>
        <v>&lt;--  =B3*(1+B4)/B2+B4</v>
      </c>
      <c r="D5" s="2">
        <f>D3*(1+D4)/D2+D4</f>
        <v>0.10416666666666666</v>
      </c>
    </row>
    <row r="6" spans="1:5" x14ac:dyDescent="0.25">
      <c r="B6" s="2"/>
    </row>
    <row r="7" spans="1:5" x14ac:dyDescent="0.25">
      <c r="A7" s="3" t="s">
        <v>2</v>
      </c>
      <c r="B7" s="2"/>
    </row>
    <row r="8" spans="1:5" x14ac:dyDescent="0.25">
      <c r="A8" s="1" t="s">
        <v>3</v>
      </c>
      <c r="B8" s="4">
        <v>0.47</v>
      </c>
      <c r="C8" s="1" t="s">
        <v>4</v>
      </c>
    </row>
    <row r="9" spans="1:5" ht="15.6" x14ac:dyDescent="0.35">
      <c r="A9" s="1" t="s">
        <v>5</v>
      </c>
      <c r="B9" s="2">
        <f>'[2]Kraft 10K, 2005'!B160</f>
        <v>0.29373177842565595</v>
      </c>
      <c r="C9" s="1" t="s">
        <v>6</v>
      </c>
    </row>
    <row r="10" spans="1:5" ht="15.6" x14ac:dyDescent="0.35">
      <c r="A10" s="1" t="s">
        <v>7</v>
      </c>
      <c r="B10" s="5">
        <v>4.9299999999999997E-2</v>
      </c>
    </row>
    <row r="11" spans="1:5" ht="15.6" x14ac:dyDescent="0.35">
      <c r="A11" s="1" t="s">
        <v>8</v>
      </c>
      <c r="B11" s="6"/>
    </row>
    <row r="12" spans="1:5" x14ac:dyDescent="0.25">
      <c r="A12" s="7" t="s">
        <v>9</v>
      </c>
      <c r="B12" s="8">
        <f>B10+B8*(B5-B10)</f>
        <v>6.8167888888888889E-2</v>
      </c>
      <c r="C12" s="1" t="str">
        <f ca="1">[1]!getformula(B12)</f>
        <v>&lt;--  =B10+B8*(B5-B10)</v>
      </c>
    </row>
    <row r="13" spans="1:5" x14ac:dyDescent="0.25">
      <c r="A13" s="7" t="s">
        <v>10</v>
      </c>
      <c r="B13" s="8">
        <f>B10*(1-B9)+B8*(B5-B10*(1-B9))</f>
        <v>6.0492971250404919E-2</v>
      </c>
      <c r="C13" s="1" t="str">
        <f ca="1">[1]!getformula(B13)</f>
        <v>&lt;--  =B10*(1-B9)+B8*(B5-B10*(1-B9))</v>
      </c>
    </row>
    <row r="14" spans="1:5" x14ac:dyDescent="0.25">
      <c r="B14" s="9"/>
    </row>
    <row r="15" spans="1:5" x14ac:dyDescent="0.25">
      <c r="A15" s="12" t="s">
        <v>11</v>
      </c>
      <c r="B15" s="13"/>
      <c r="C15" s="13"/>
    </row>
    <row r="16" spans="1:5" x14ac:dyDescent="0.25">
      <c r="B16" s="9"/>
    </row>
    <row r="17" spans="2:2" x14ac:dyDescent="0.25">
      <c r="B17" s="9"/>
    </row>
    <row r="18" spans="2:2" x14ac:dyDescent="0.25">
      <c r="B18" s="9"/>
    </row>
    <row r="19" spans="2:2" x14ac:dyDescent="0.25">
      <c r="B19" s="9"/>
    </row>
    <row r="20" spans="2:2" x14ac:dyDescent="0.25">
      <c r="B20" s="9"/>
    </row>
    <row r="21" spans="2:2" x14ac:dyDescent="0.25">
      <c r="B21" s="9"/>
    </row>
    <row r="22" spans="2:2" x14ac:dyDescent="0.25">
      <c r="B22" s="9"/>
    </row>
    <row r="23" spans="2:2" x14ac:dyDescent="0.25">
      <c r="B23" s="9"/>
    </row>
    <row r="24" spans="2:2" x14ac:dyDescent="0.25">
      <c r="B24" s="9"/>
    </row>
  </sheetData>
  <mergeCells count="2">
    <mergeCell ref="A1:C1"/>
    <mergeCell ref="A15:C15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2024-10-09T07:03:18Z</dcterms:modified>
</cp:coreProperties>
</file>