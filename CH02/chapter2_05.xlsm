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D4EE61B0-4C47-4976-B77B-78D7EB437610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A13" i="1"/>
  <c r="A12" i="1"/>
  <c r="B9" i="1"/>
  <c r="B8" i="1"/>
  <c r="A9" i="1"/>
  <c r="A8" i="1"/>
  <c r="B4" i="1"/>
  <c r="C9" i="1"/>
  <c r="C8" i="1"/>
  <c r="B5" i="1"/>
  <c r="C13" i="1"/>
  <c r="C12" i="1"/>
  <c r="D9" i="1"/>
  <c r="D8" i="1"/>
  <c r="C5" i="1"/>
  <c r="C4" i="1"/>
</calcChain>
</file>

<file path=xl/sharedStrings.xml><?xml version="1.0" encoding="utf-8"?>
<sst xmlns="http://schemas.openxmlformats.org/spreadsheetml/2006/main" count="11" uniqueCount="11">
  <si>
    <r>
      <t>JNJ's stock price, P</t>
    </r>
    <r>
      <rPr>
        <vertAlign val="subscript"/>
        <sz val="10"/>
        <rFont val="Arial"/>
        <family val="2"/>
      </rPr>
      <t>0,</t>
    </r>
    <r>
      <rPr>
        <sz val="10"/>
        <rFont val="Arial"/>
        <family val="2"/>
      </rPr>
      <t xml:space="preserve"> 31 Dec 2005</t>
    </r>
  </si>
  <si>
    <t>Current dividend</t>
  </si>
  <si>
    <t xml:space="preserve">     Quarterly</t>
  </si>
  <si>
    <r>
      <t xml:space="preserve">     Annualized dividend, Div</t>
    </r>
    <r>
      <rPr>
        <vertAlign val="subscript"/>
        <sz val="10"/>
        <rFont val="Arial"/>
        <family val="2"/>
      </rPr>
      <t>0</t>
    </r>
  </si>
  <si>
    <r>
      <t xml:space="preserve">Dividend growth rate, </t>
    </r>
    <r>
      <rPr>
        <sz val="10"/>
        <rFont val="Arial"/>
        <family val="2"/>
      </rPr>
      <t>g</t>
    </r>
  </si>
  <si>
    <t>Quarterly</t>
  </si>
  <si>
    <t>Annualized</t>
  </si>
  <si>
    <r>
      <t>Gordon model cost of equity r</t>
    </r>
    <r>
      <rPr>
        <vertAlign val="subscript"/>
        <sz val="10"/>
        <rFont val="Arial"/>
        <family val="2"/>
      </rPr>
      <t>E</t>
    </r>
  </si>
  <si>
    <t>Date</t>
  </si>
  <si>
    <t>Dividend per share</t>
  </si>
  <si>
    <r>
      <t>COMPUTING JNJ's r</t>
    </r>
    <r>
      <rPr>
        <b/>
        <vertAlign val="subscript"/>
        <sz val="20"/>
        <rFont val="Arial"/>
        <family val="2"/>
      </rPr>
      <t>E</t>
    </r>
    <r>
      <rPr>
        <b/>
        <sz val="20"/>
        <rFont val="Arial"/>
        <family val="2"/>
      </rPr>
      <t xml:space="preserve"> BASED ON DIVIDENDS PER SHARE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</si>
</sst>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vertAlign val="sub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vertAlign val="subscript"/>
      <sz val="2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2" fontId="0" fillId="0" borderId="0" xfId="0" applyNumberFormat="1" applyAlignment="1"/>
    <xf numFmtId="0" fontId="5" fillId="0" borderId="0" xfId="0" applyFont="1" applyAlignment="1">
      <alignment horizontal="center"/>
    </xf>
    <xf numFmtId="10" fontId="0" fillId="0" borderId="0" xfId="0" applyNumberFormat="1" applyAlignment="1"/>
    <xf numFmtId="10" fontId="0" fillId="0" borderId="0" xfId="1" applyNumberFormat="1" applyFont="1" applyAlignment="1"/>
    <xf numFmtId="10" fontId="0" fillId="2" borderId="0" xfId="0" applyNumberFormat="1" applyFill="1" applyAlignment="1"/>
    <xf numFmtId="10" fontId="5" fillId="0" borderId="0" xfId="0" applyNumberFormat="1" applyFont="1" applyAlignment="1">
      <alignment horizontal="center" vertical="center" wrapText="1"/>
    </xf>
    <xf numFmtId="176" fontId="0" fillId="0" borderId="0" xfId="0" applyNumberFormat="1" applyAlignment="1"/>
    <xf numFmtId="14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36"/>
  <sheetViews>
    <sheetView tabSelected="1" workbookViewId="0">
      <selection activeCell="C7" sqref="C7"/>
    </sheetView>
  </sheetViews>
  <sheetFormatPr defaultRowHeight="13.8" x14ac:dyDescent="0.25"/>
  <cols>
    <col min="1" max="1" width="31.109375" bestFit="1" customWidth="1"/>
    <col min="2" max="3" width="22.77734375" customWidth="1"/>
  </cols>
  <sheetData>
    <row r="1" spans="1:4" ht="24.6" x14ac:dyDescent="0.25">
      <c r="A1" s="10" t="s">
        <v>10</v>
      </c>
      <c r="B1" s="10"/>
      <c r="C1" s="10"/>
      <c r="D1" s="10"/>
    </row>
    <row r="2" spans="1:4" ht="15.6" x14ac:dyDescent="0.35">
      <c r="A2" s="1" t="s">
        <v>0</v>
      </c>
      <c r="B2" s="1">
        <v>61.07</v>
      </c>
      <c r="C2" s="1"/>
      <c r="D2" s="1"/>
    </row>
    <row r="3" spans="1:4" x14ac:dyDescent="0.25">
      <c r="A3" s="1" t="s">
        <v>1</v>
      </c>
      <c r="B3" s="1"/>
      <c r="C3" s="1"/>
      <c r="D3" s="1"/>
    </row>
    <row r="4" spans="1:4" x14ac:dyDescent="0.25">
      <c r="A4" s="1" t="s">
        <v>2</v>
      </c>
      <c r="B4" s="2">
        <f>B36</f>
        <v>0.33</v>
      </c>
      <c r="C4" s="1" t="str">
        <f ca="1">_xlfn.FORMULATEXT(B4)</f>
        <v>=B36</v>
      </c>
      <c r="D4" s="1"/>
    </row>
    <row r="5" spans="1:4" ht="15.6" x14ac:dyDescent="0.35">
      <c r="A5" s="1" t="s">
        <v>3</v>
      </c>
      <c r="B5" s="1">
        <f>B4*4</f>
        <v>1.32</v>
      </c>
      <c r="C5" s="1" t="str">
        <f ca="1">_xlfn.FORMULATEXT(B5)</f>
        <v>=B4*4</v>
      </c>
      <c r="D5" s="1"/>
    </row>
    <row r="6" spans="1:4" x14ac:dyDescent="0.25">
      <c r="A6" s="1"/>
      <c r="B6" s="1"/>
      <c r="C6" s="1"/>
      <c r="D6" s="1"/>
    </row>
    <row r="7" spans="1:4" x14ac:dyDescent="0.25">
      <c r="A7" s="1" t="s">
        <v>4</v>
      </c>
      <c r="B7" s="3" t="s">
        <v>5</v>
      </c>
      <c r="C7" s="3" t="s">
        <v>6</v>
      </c>
      <c r="D7" s="1"/>
    </row>
    <row r="8" spans="1:4" x14ac:dyDescent="0.25">
      <c r="A8" s="4" t="str">
        <f>"     Growth since "&amp;TEXT(A16,"yyyy-mm-dd")</f>
        <v xml:space="preserve">     Growth since 2000-11-17</v>
      </c>
      <c r="B8" s="4">
        <f>(B36/B16)^(1/20)-1</f>
        <v>3.6858990772308919E-2</v>
      </c>
      <c r="C8" s="5">
        <f>(1+B8)^4-1</f>
        <v>0.15578962436501409</v>
      </c>
      <c r="D8" s="1" t="str">
        <f ca="1">_xlfn.FORMULATEXT(C8)</f>
        <v>=(1+B8)^4-1</v>
      </c>
    </row>
    <row r="9" spans="1:4" x14ac:dyDescent="0.25">
      <c r="A9" s="4" t="str">
        <f>"     Growth since "&amp;TEXT(A28,"yyyy-mm-dd")</f>
        <v xml:space="preserve">     Growth since 2003-11-14</v>
      </c>
      <c r="B9" s="4">
        <f>(B36/B28)^(1/8)-1</f>
        <v>4.0609621968775045E-2</v>
      </c>
      <c r="C9" s="5">
        <f>(1+B9)^4-1</f>
        <v>0.17260393995585743</v>
      </c>
      <c r="D9" s="1" t="str">
        <f ca="1">_xlfn.FORMULATEXT(C9)</f>
        <v>=(1+B9)^4-1</v>
      </c>
    </row>
    <row r="10" spans="1:4" x14ac:dyDescent="0.25">
      <c r="A10" s="1"/>
      <c r="B10" s="1"/>
      <c r="C10" s="1"/>
      <c r="D10" s="1"/>
    </row>
    <row r="11" spans="1:4" ht="15.6" x14ac:dyDescent="0.35">
      <c r="A11" s="1" t="s">
        <v>7</v>
      </c>
      <c r="B11" s="1"/>
      <c r="C11" s="1"/>
      <c r="D11" s="1"/>
    </row>
    <row r="12" spans="1:4" x14ac:dyDescent="0.25">
      <c r="A12" s="4" t="str">
        <f>"     Growth since "&amp;TEXT(A20,"yyyy-mm-dd")</f>
        <v xml:space="preserve">     Growth since 2001-11-16</v>
      </c>
      <c r="B12" s="6">
        <f>B5*(1+C8)/B2+C8</f>
        <v>0.1807714862310992</v>
      </c>
      <c r="C12" s="1" t="str">
        <f ca="1">_xlfn.FORMULATEXT(B12)</f>
        <v>=B5*(1+C8)/B2+C8</v>
      </c>
      <c r="D12" s="1"/>
    </row>
    <row r="13" spans="1:4" x14ac:dyDescent="0.25">
      <c r="A13" s="4" t="str">
        <f>"     Growth since "&amp;TEXT(A32,"yyyy-mm-dd")</f>
        <v xml:space="preserve">     Growth since 2004-11-12</v>
      </c>
      <c r="B13" s="6">
        <f>B5*(1+C9)/B2+C9</f>
        <v>0.19794923553047233</v>
      </c>
      <c r="C13" s="1" t="str">
        <f ca="1">_xlfn.FORMULATEXT(B13)</f>
        <v>=B5*(1+C9)/B2+C9</v>
      </c>
      <c r="D13" s="1"/>
    </row>
    <row r="14" spans="1:4" x14ac:dyDescent="0.25">
      <c r="A14" s="1"/>
      <c r="B14" s="4"/>
      <c r="C14" s="1"/>
      <c r="D14" s="1"/>
    </row>
    <row r="15" spans="1:4" ht="39.6" x14ac:dyDescent="0.25">
      <c r="A15" s="3" t="s">
        <v>8</v>
      </c>
      <c r="B15" s="7" t="s">
        <v>9</v>
      </c>
      <c r="C15" s="1"/>
      <c r="D15" s="1"/>
    </row>
    <row r="16" spans="1:4" x14ac:dyDescent="0.25">
      <c r="A16" s="9">
        <v>36847</v>
      </c>
      <c r="B16" s="8">
        <v>0.16</v>
      </c>
      <c r="C16" s="1"/>
      <c r="D16" s="1"/>
    </row>
    <row r="17" spans="1:4" x14ac:dyDescent="0.25">
      <c r="A17" s="9">
        <v>36937</v>
      </c>
      <c r="B17" s="8">
        <v>0.16</v>
      </c>
      <c r="C17" s="1"/>
      <c r="D17" s="1"/>
    </row>
    <row r="18" spans="1:4" x14ac:dyDescent="0.25">
      <c r="A18" s="9">
        <v>37029</v>
      </c>
      <c r="B18" s="8">
        <v>0.18</v>
      </c>
      <c r="C18" s="1"/>
      <c r="D18" s="1"/>
    </row>
    <row r="19" spans="1:4" x14ac:dyDescent="0.25">
      <c r="A19" s="9">
        <v>37120</v>
      </c>
      <c r="B19" s="8">
        <v>0.18</v>
      </c>
      <c r="C19" s="1"/>
      <c r="D19" s="1"/>
    </row>
    <row r="20" spans="1:4" x14ac:dyDescent="0.25">
      <c r="A20" s="9">
        <v>37211</v>
      </c>
      <c r="B20" s="8">
        <v>0.18</v>
      </c>
      <c r="C20" s="1"/>
      <c r="D20" s="1"/>
    </row>
    <row r="21" spans="1:4" x14ac:dyDescent="0.25">
      <c r="A21" s="9">
        <v>37301</v>
      </c>
      <c r="B21" s="8">
        <v>0.18</v>
      </c>
      <c r="C21" s="1"/>
      <c r="D21" s="1"/>
    </row>
    <row r="22" spans="1:4" x14ac:dyDescent="0.25">
      <c r="A22" s="9">
        <v>37393</v>
      </c>
      <c r="B22" s="8">
        <v>0.20499999999999999</v>
      </c>
      <c r="C22" s="1"/>
      <c r="D22" s="1"/>
    </row>
    <row r="23" spans="1:4" x14ac:dyDescent="0.25">
      <c r="A23" s="9">
        <v>37484</v>
      </c>
      <c r="B23" s="8">
        <v>0.20499999999999999</v>
      </c>
      <c r="C23" s="1"/>
      <c r="D23" s="1"/>
    </row>
    <row r="24" spans="1:4" x14ac:dyDescent="0.25">
      <c r="A24" s="9">
        <v>37575</v>
      </c>
      <c r="B24" s="8">
        <v>0.20499999999999999</v>
      </c>
      <c r="C24" s="1"/>
      <c r="D24" s="1"/>
    </row>
    <row r="25" spans="1:4" x14ac:dyDescent="0.25">
      <c r="A25" s="9">
        <v>37665</v>
      </c>
      <c r="B25" s="8">
        <v>0.20499999999999999</v>
      </c>
      <c r="C25" s="1"/>
      <c r="D25" s="1"/>
    </row>
    <row r="26" spans="1:4" x14ac:dyDescent="0.25">
      <c r="A26" s="9">
        <v>37757</v>
      </c>
      <c r="B26" s="8">
        <v>0.24</v>
      </c>
      <c r="C26" s="1"/>
      <c r="D26" s="1"/>
    </row>
    <row r="27" spans="1:4" x14ac:dyDescent="0.25">
      <c r="A27" s="9">
        <v>37848</v>
      </c>
      <c r="B27" s="8">
        <v>0.24</v>
      </c>
      <c r="C27" s="1"/>
      <c r="D27" s="1"/>
    </row>
    <row r="28" spans="1:4" x14ac:dyDescent="0.25">
      <c r="A28" s="9">
        <v>37939</v>
      </c>
      <c r="B28" s="8">
        <v>0.24</v>
      </c>
      <c r="C28" s="1"/>
      <c r="D28" s="1"/>
    </row>
    <row r="29" spans="1:4" x14ac:dyDescent="0.25">
      <c r="A29" s="9">
        <v>38029</v>
      </c>
      <c r="B29" s="8">
        <v>0.24</v>
      </c>
      <c r="C29" s="1"/>
      <c r="D29" s="1"/>
    </row>
    <row r="30" spans="1:4" x14ac:dyDescent="0.25">
      <c r="A30" s="9">
        <v>38121</v>
      </c>
      <c r="B30" s="8">
        <v>0.28499999999999998</v>
      </c>
      <c r="C30" s="1"/>
      <c r="D30" s="1"/>
    </row>
    <row r="31" spans="1:4" x14ac:dyDescent="0.25">
      <c r="A31" s="9">
        <v>38212</v>
      </c>
      <c r="B31" s="8">
        <v>0.28499999999999998</v>
      </c>
      <c r="C31" s="1"/>
      <c r="D31" s="1"/>
    </row>
    <row r="32" spans="1:4" x14ac:dyDescent="0.25">
      <c r="A32" s="9">
        <v>38303</v>
      </c>
      <c r="B32" s="8">
        <v>0.28499999999999998</v>
      </c>
      <c r="C32" s="1"/>
      <c r="D32" s="1"/>
    </row>
    <row r="33" spans="1:4" x14ac:dyDescent="0.25">
      <c r="A33" s="9">
        <v>38394</v>
      </c>
      <c r="B33" s="8">
        <v>0.28499999999999998</v>
      </c>
      <c r="C33" s="1"/>
      <c r="D33" s="1"/>
    </row>
    <row r="34" spans="1:4" x14ac:dyDescent="0.25">
      <c r="A34" s="9">
        <v>38485</v>
      </c>
      <c r="B34" s="8">
        <v>0.33</v>
      </c>
      <c r="C34" s="1"/>
      <c r="D34" s="1"/>
    </row>
    <row r="35" spans="1:4" x14ac:dyDescent="0.25">
      <c r="A35" s="9">
        <v>38583</v>
      </c>
      <c r="B35" s="8">
        <v>0.33</v>
      </c>
      <c r="C35" s="1"/>
      <c r="D35" s="1"/>
    </row>
    <row r="36" spans="1:4" x14ac:dyDescent="0.25">
      <c r="A36" s="9">
        <v>38674</v>
      </c>
      <c r="B36" s="8">
        <v>0.33</v>
      </c>
      <c r="C36" s="1"/>
      <c r="D36" s="1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2024-10-07T06:26:32Z</dcterms:modified>
</cp:coreProperties>
</file>