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"/>
    </mc:Choice>
  </mc:AlternateContent>
  <xr:revisionPtr revIDLastSave="0" documentId="13_ncr:1_{77EEC795-7392-4BA7-B721-AC9211BEBE43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712" sheetId="2" r:id="rId2"/>
  </sheets>
  <externalReferences>
    <externalReference r:id="rId3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2" l="1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4" i="2"/>
  <c r="H5" i="2"/>
  <c r="H6" i="2"/>
  <c r="H3" i="2"/>
</calcChain>
</file>

<file path=xl/sharedStrings.xml><?xml version="1.0" encoding="utf-8"?>
<sst xmlns="http://schemas.openxmlformats.org/spreadsheetml/2006/main" count="22" uniqueCount="22">
  <si>
    <r>
      <t xml:space="preserve">YAHOO'S BOND SCREENER--TYPICAL PAGE
</t>
    </r>
    <r>
      <rPr>
        <b/>
        <sz val="12"/>
        <rFont val="Arial"/>
        <family val="2"/>
      </rPr>
      <t>Data from 23 February 2007
Comparing the Yahoo YTM with Excel's Yield function</t>
    </r>
    <phoneticPr fontId="5" type="noConversion"/>
  </si>
  <si>
    <t>Issue</t>
  </si>
  <si>
    <t>Price</t>
  </si>
  <si>
    <t>Coupon</t>
  </si>
  <si>
    <t>Maturity</t>
  </si>
  <si>
    <t>YTM</t>
  </si>
  <si>
    <t>Excel
Yield function</t>
  </si>
  <si>
    <t>BANKAMERICA CORP</t>
  </si>
  <si>
    <t>HOUSEHOLD FIN CORP INT NT BE</t>
  </si>
  <si>
    <t>INTERNATIONAL LEASE FIN CORP</t>
  </si>
  <si>
    <t>MERRILL LYNCH CO INC MTN BE</t>
  </si>
  <si>
    <t>MERRILL LYNCH &amp; CO INC</t>
  </si>
  <si>
    <t>BANKBOSTON N A</t>
  </si>
  <si>
    <t>BANK ONE CHICAGO ILL MTN BE</t>
  </si>
  <si>
    <t>GOLDMAN SACHS GROUP INC</t>
  </si>
  <si>
    <t>BANK NEW YORK NY MEDTERM NT BE</t>
  </si>
  <si>
    <t>CITIGROUP INC</t>
  </si>
  <si>
    <t>CHEVRONTEXACO CAP CO</t>
  </si>
  <si>
    <t>WELLS FARGO &amp; CO NEW</t>
  </si>
  <si>
    <t>ABBOTT LABS</t>
  </si>
  <si>
    <t>GILLETTE CO</t>
  </si>
  <si>
    <t>LILLY ELI &amp;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</si>
</sst>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vertical="center" wrapText="1"/>
    </xf>
    <xf numFmtId="2" fontId="2" fillId="0" borderId="0" xfId="1" applyNumberFormat="1"/>
    <xf numFmtId="10" fontId="2" fillId="0" borderId="0" xfId="2" applyNumberFormat="1" applyFont="1" applyAlignment="1"/>
    <xf numFmtId="15" fontId="2" fillId="0" borderId="0" xfId="1" applyNumberFormat="1"/>
  </cellXfs>
  <cellStyles count="3">
    <cellStyle name="百分比 2" xfId="2" xr:uid="{D9469BD7-5178-42E5-A7AB-DB88D2063FCB}"/>
    <cellStyle name="常规" xfId="0" builtinId="0"/>
    <cellStyle name="常规 2" xfId="1" xr:uid="{21140C6F-79CD-4562-BBB8-7373B5E96D7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230505</xdr:colOff>
      <xdr:row>1</xdr:row>
      <xdr:rowOff>373380</xdr:rowOff>
    </xdr:from>
    <xdr:to>
      <xdr:col>29</xdr:col>
      <xdr:colOff>594085</xdr:colOff>
      <xdr:row>32</xdr:row>
      <xdr:rowOff>113143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344D7F9-08C1-11DB-9F1C-574369912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12805" y="1154430"/>
          <a:ext cx="11679280" cy="53595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U21" sqref="U2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8772-5F16-4CB7-B730-E1B0F92F96AE}">
  <sheetPr codeName="Sheet11"/>
  <dimension ref="A1:J17"/>
  <sheetViews>
    <sheetView tabSelected="1" workbookViewId="0">
      <selection activeCell="H28" sqref="H28"/>
    </sheetView>
  </sheetViews>
  <sheetFormatPr defaultColWidth="9.109375" defaultRowHeight="13.2" x14ac:dyDescent="0.25"/>
  <cols>
    <col min="1" max="1" width="36.88671875" style="2" bestFit="1" customWidth="1"/>
    <col min="2" max="5" width="9.109375" style="2"/>
    <col min="6" max="6" width="3.88671875" style="2" customWidth="1"/>
    <col min="7" max="7" width="9.6640625" style="2" customWidth="1"/>
    <col min="8" max="8" width="42.5546875" style="2" bestFit="1" customWidth="1"/>
    <col min="9" max="256" width="9.109375" style="2"/>
    <col min="257" max="257" width="36.88671875" style="2" bestFit="1" customWidth="1"/>
    <col min="258" max="261" width="9.109375" style="2"/>
    <col min="262" max="262" width="3.88671875" style="2" customWidth="1"/>
    <col min="263" max="263" width="9.6640625" style="2" customWidth="1"/>
    <col min="264" max="264" width="42.5546875" style="2" bestFit="1" customWidth="1"/>
    <col min="265" max="512" width="9.109375" style="2"/>
    <col min="513" max="513" width="36.88671875" style="2" bestFit="1" customWidth="1"/>
    <col min="514" max="517" width="9.109375" style="2"/>
    <col min="518" max="518" width="3.88671875" style="2" customWidth="1"/>
    <col min="519" max="519" width="9.6640625" style="2" customWidth="1"/>
    <col min="520" max="520" width="42.5546875" style="2" bestFit="1" customWidth="1"/>
    <col min="521" max="768" width="9.109375" style="2"/>
    <col min="769" max="769" width="36.88671875" style="2" bestFit="1" customWidth="1"/>
    <col min="770" max="773" width="9.109375" style="2"/>
    <col min="774" max="774" width="3.88671875" style="2" customWidth="1"/>
    <col min="775" max="775" width="9.6640625" style="2" customWidth="1"/>
    <col min="776" max="776" width="42.5546875" style="2" bestFit="1" customWidth="1"/>
    <col min="777" max="1024" width="9.109375" style="2"/>
    <col min="1025" max="1025" width="36.88671875" style="2" bestFit="1" customWidth="1"/>
    <col min="1026" max="1029" width="9.109375" style="2"/>
    <col min="1030" max="1030" width="3.88671875" style="2" customWidth="1"/>
    <col min="1031" max="1031" width="9.6640625" style="2" customWidth="1"/>
    <col min="1032" max="1032" width="42.5546875" style="2" bestFit="1" customWidth="1"/>
    <col min="1033" max="1280" width="9.109375" style="2"/>
    <col min="1281" max="1281" width="36.88671875" style="2" bestFit="1" customWidth="1"/>
    <col min="1282" max="1285" width="9.109375" style="2"/>
    <col min="1286" max="1286" width="3.88671875" style="2" customWidth="1"/>
    <col min="1287" max="1287" width="9.6640625" style="2" customWidth="1"/>
    <col min="1288" max="1288" width="42.5546875" style="2" bestFit="1" customWidth="1"/>
    <col min="1289" max="1536" width="9.109375" style="2"/>
    <col min="1537" max="1537" width="36.88671875" style="2" bestFit="1" customWidth="1"/>
    <col min="1538" max="1541" width="9.109375" style="2"/>
    <col min="1542" max="1542" width="3.88671875" style="2" customWidth="1"/>
    <col min="1543" max="1543" width="9.6640625" style="2" customWidth="1"/>
    <col min="1544" max="1544" width="42.5546875" style="2" bestFit="1" customWidth="1"/>
    <col min="1545" max="1792" width="9.109375" style="2"/>
    <col min="1793" max="1793" width="36.88671875" style="2" bestFit="1" customWidth="1"/>
    <col min="1794" max="1797" width="9.109375" style="2"/>
    <col min="1798" max="1798" width="3.88671875" style="2" customWidth="1"/>
    <col min="1799" max="1799" width="9.6640625" style="2" customWidth="1"/>
    <col min="1800" max="1800" width="42.5546875" style="2" bestFit="1" customWidth="1"/>
    <col min="1801" max="2048" width="9.109375" style="2"/>
    <col min="2049" max="2049" width="36.88671875" style="2" bestFit="1" customWidth="1"/>
    <col min="2050" max="2053" width="9.109375" style="2"/>
    <col min="2054" max="2054" width="3.88671875" style="2" customWidth="1"/>
    <col min="2055" max="2055" width="9.6640625" style="2" customWidth="1"/>
    <col min="2056" max="2056" width="42.5546875" style="2" bestFit="1" customWidth="1"/>
    <col min="2057" max="2304" width="9.109375" style="2"/>
    <col min="2305" max="2305" width="36.88671875" style="2" bestFit="1" customWidth="1"/>
    <col min="2306" max="2309" width="9.109375" style="2"/>
    <col min="2310" max="2310" width="3.88671875" style="2" customWidth="1"/>
    <col min="2311" max="2311" width="9.6640625" style="2" customWidth="1"/>
    <col min="2312" max="2312" width="42.5546875" style="2" bestFit="1" customWidth="1"/>
    <col min="2313" max="2560" width="9.109375" style="2"/>
    <col min="2561" max="2561" width="36.88671875" style="2" bestFit="1" customWidth="1"/>
    <col min="2562" max="2565" width="9.109375" style="2"/>
    <col min="2566" max="2566" width="3.88671875" style="2" customWidth="1"/>
    <col min="2567" max="2567" width="9.6640625" style="2" customWidth="1"/>
    <col min="2568" max="2568" width="42.5546875" style="2" bestFit="1" customWidth="1"/>
    <col min="2569" max="2816" width="9.109375" style="2"/>
    <col min="2817" max="2817" width="36.88671875" style="2" bestFit="1" customWidth="1"/>
    <col min="2818" max="2821" width="9.109375" style="2"/>
    <col min="2822" max="2822" width="3.88671875" style="2" customWidth="1"/>
    <col min="2823" max="2823" width="9.6640625" style="2" customWidth="1"/>
    <col min="2824" max="2824" width="42.5546875" style="2" bestFit="1" customWidth="1"/>
    <col min="2825" max="3072" width="9.109375" style="2"/>
    <col min="3073" max="3073" width="36.88671875" style="2" bestFit="1" customWidth="1"/>
    <col min="3074" max="3077" width="9.109375" style="2"/>
    <col min="3078" max="3078" width="3.88671875" style="2" customWidth="1"/>
    <col min="3079" max="3079" width="9.6640625" style="2" customWidth="1"/>
    <col min="3080" max="3080" width="42.5546875" style="2" bestFit="1" customWidth="1"/>
    <col min="3081" max="3328" width="9.109375" style="2"/>
    <col min="3329" max="3329" width="36.88671875" style="2" bestFit="1" customWidth="1"/>
    <col min="3330" max="3333" width="9.109375" style="2"/>
    <col min="3334" max="3334" width="3.88671875" style="2" customWidth="1"/>
    <col min="3335" max="3335" width="9.6640625" style="2" customWidth="1"/>
    <col min="3336" max="3336" width="42.5546875" style="2" bestFit="1" customWidth="1"/>
    <col min="3337" max="3584" width="9.109375" style="2"/>
    <col min="3585" max="3585" width="36.88671875" style="2" bestFit="1" customWidth="1"/>
    <col min="3586" max="3589" width="9.109375" style="2"/>
    <col min="3590" max="3590" width="3.88671875" style="2" customWidth="1"/>
    <col min="3591" max="3591" width="9.6640625" style="2" customWidth="1"/>
    <col min="3592" max="3592" width="42.5546875" style="2" bestFit="1" customWidth="1"/>
    <col min="3593" max="3840" width="9.109375" style="2"/>
    <col min="3841" max="3841" width="36.88671875" style="2" bestFit="1" customWidth="1"/>
    <col min="3842" max="3845" width="9.109375" style="2"/>
    <col min="3846" max="3846" width="3.88671875" style="2" customWidth="1"/>
    <col min="3847" max="3847" width="9.6640625" style="2" customWidth="1"/>
    <col min="3848" max="3848" width="42.5546875" style="2" bestFit="1" customWidth="1"/>
    <col min="3849" max="4096" width="9.109375" style="2"/>
    <col min="4097" max="4097" width="36.88671875" style="2" bestFit="1" customWidth="1"/>
    <col min="4098" max="4101" width="9.109375" style="2"/>
    <col min="4102" max="4102" width="3.88671875" style="2" customWidth="1"/>
    <col min="4103" max="4103" width="9.6640625" style="2" customWidth="1"/>
    <col min="4104" max="4104" width="42.5546875" style="2" bestFit="1" customWidth="1"/>
    <col min="4105" max="4352" width="9.109375" style="2"/>
    <col min="4353" max="4353" width="36.88671875" style="2" bestFit="1" customWidth="1"/>
    <col min="4354" max="4357" width="9.109375" style="2"/>
    <col min="4358" max="4358" width="3.88671875" style="2" customWidth="1"/>
    <col min="4359" max="4359" width="9.6640625" style="2" customWidth="1"/>
    <col min="4360" max="4360" width="42.5546875" style="2" bestFit="1" customWidth="1"/>
    <col min="4361" max="4608" width="9.109375" style="2"/>
    <col min="4609" max="4609" width="36.88671875" style="2" bestFit="1" customWidth="1"/>
    <col min="4610" max="4613" width="9.109375" style="2"/>
    <col min="4614" max="4614" width="3.88671875" style="2" customWidth="1"/>
    <col min="4615" max="4615" width="9.6640625" style="2" customWidth="1"/>
    <col min="4616" max="4616" width="42.5546875" style="2" bestFit="1" customWidth="1"/>
    <col min="4617" max="4864" width="9.109375" style="2"/>
    <col min="4865" max="4865" width="36.88671875" style="2" bestFit="1" customWidth="1"/>
    <col min="4866" max="4869" width="9.109375" style="2"/>
    <col min="4870" max="4870" width="3.88671875" style="2" customWidth="1"/>
    <col min="4871" max="4871" width="9.6640625" style="2" customWidth="1"/>
    <col min="4872" max="4872" width="42.5546875" style="2" bestFit="1" customWidth="1"/>
    <col min="4873" max="5120" width="9.109375" style="2"/>
    <col min="5121" max="5121" width="36.88671875" style="2" bestFit="1" customWidth="1"/>
    <col min="5122" max="5125" width="9.109375" style="2"/>
    <col min="5126" max="5126" width="3.88671875" style="2" customWidth="1"/>
    <col min="5127" max="5127" width="9.6640625" style="2" customWidth="1"/>
    <col min="5128" max="5128" width="42.5546875" style="2" bestFit="1" customWidth="1"/>
    <col min="5129" max="5376" width="9.109375" style="2"/>
    <col min="5377" max="5377" width="36.88671875" style="2" bestFit="1" customWidth="1"/>
    <col min="5378" max="5381" width="9.109375" style="2"/>
    <col min="5382" max="5382" width="3.88671875" style="2" customWidth="1"/>
    <col min="5383" max="5383" width="9.6640625" style="2" customWidth="1"/>
    <col min="5384" max="5384" width="42.5546875" style="2" bestFit="1" customWidth="1"/>
    <col min="5385" max="5632" width="9.109375" style="2"/>
    <col min="5633" max="5633" width="36.88671875" style="2" bestFit="1" customWidth="1"/>
    <col min="5634" max="5637" width="9.109375" style="2"/>
    <col min="5638" max="5638" width="3.88671875" style="2" customWidth="1"/>
    <col min="5639" max="5639" width="9.6640625" style="2" customWidth="1"/>
    <col min="5640" max="5640" width="42.5546875" style="2" bestFit="1" customWidth="1"/>
    <col min="5641" max="5888" width="9.109375" style="2"/>
    <col min="5889" max="5889" width="36.88671875" style="2" bestFit="1" customWidth="1"/>
    <col min="5890" max="5893" width="9.109375" style="2"/>
    <col min="5894" max="5894" width="3.88671875" style="2" customWidth="1"/>
    <col min="5895" max="5895" width="9.6640625" style="2" customWidth="1"/>
    <col min="5896" max="5896" width="42.5546875" style="2" bestFit="1" customWidth="1"/>
    <col min="5897" max="6144" width="9.109375" style="2"/>
    <col min="6145" max="6145" width="36.88671875" style="2" bestFit="1" customWidth="1"/>
    <col min="6146" max="6149" width="9.109375" style="2"/>
    <col min="6150" max="6150" width="3.88671875" style="2" customWidth="1"/>
    <col min="6151" max="6151" width="9.6640625" style="2" customWidth="1"/>
    <col min="6152" max="6152" width="42.5546875" style="2" bestFit="1" customWidth="1"/>
    <col min="6153" max="6400" width="9.109375" style="2"/>
    <col min="6401" max="6401" width="36.88671875" style="2" bestFit="1" customWidth="1"/>
    <col min="6402" max="6405" width="9.109375" style="2"/>
    <col min="6406" max="6406" width="3.88671875" style="2" customWidth="1"/>
    <col min="6407" max="6407" width="9.6640625" style="2" customWidth="1"/>
    <col min="6408" max="6408" width="42.5546875" style="2" bestFit="1" customWidth="1"/>
    <col min="6409" max="6656" width="9.109375" style="2"/>
    <col min="6657" max="6657" width="36.88671875" style="2" bestFit="1" customWidth="1"/>
    <col min="6658" max="6661" width="9.109375" style="2"/>
    <col min="6662" max="6662" width="3.88671875" style="2" customWidth="1"/>
    <col min="6663" max="6663" width="9.6640625" style="2" customWidth="1"/>
    <col min="6664" max="6664" width="42.5546875" style="2" bestFit="1" customWidth="1"/>
    <col min="6665" max="6912" width="9.109375" style="2"/>
    <col min="6913" max="6913" width="36.88671875" style="2" bestFit="1" customWidth="1"/>
    <col min="6914" max="6917" width="9.109375" style="2"/>
    <col min="6918" max="6918" width="3.88671875" style="2" customWidth="1"/>
    <col min="6919" max="6919" width="9.6640625" style="2" customWidth="1"/>
    <col min="6920" max="6920" width="42.5546875" style="2" bestFit="1" customWidth="1"/>
    <col min="6921" max="7168" width="9.109375" style="2"/>
    <col min="7169" max="7169" width="36.88671875" style="2" bestFit="1" customWidth="1"/>
    <col min="7170" max="7173" width="9.109375" style="2"/>
    <col min="7174" max="7174" width="3.88671875" style="2" customWidth="1"/>
    <col min="7175" max="7175" width="9.6640625" style="2" customWidth="1"/>
    <col min="7176" max="7176" width="42.5546875" style="2" bestFit="1" customWidth="1"/>
    <col min="7177" max="7424" width="9.109375" style="2"/>
    <col min="7425" max="7425" width="36.88671875" style="2" bestFit="1" customWidth="1"/>
    <col min="7426" max="7429" width="9.109375" style="2"/>
    <col min="7430" max="7430" width="3.88671875" style="2" customWidth="1"/>
    <col min="7431" max="7431" width="9.6640625" style="2" customWidth="1"/>
    <col min="7432" max="7432" width="42.5546875" style="2" bestFit="1" customWidth="1"/>
    <col min="7433" max="7680" width="9.109375" style="2"/>
    <col min="7681" max="7681" width="36.88671875" style="2" bestFit="1" customWidth="1"/>
    <col min="7682" max="7685" width="9.109375" style="2"/>
    <col min="7686" max="7686" width="3.88671875" style="2" customWidth="1"/>
    <col min="7687" max="7687" width="9.6640625" style="2" customWidth="1"/>
    <col min="7688" max="7688" width="42.5546875" style="2" bestFit="1" customWidth="1"/>
    <col min="7689" max="7936" width="9.109375" style="2"/>
    <col min="7937" max="7937" width="36.88671875" style="2" bestFit="1" customWidth="1"/>
    <col min="7938" max="7941" width="9.109375" style="2"/>
    <col min="7942" max="7942" width="3.88671875" style="2" customWidth="1"/>
    <col min="7943" max="7943" width="9.6640625" style="2" customWidth="1"/>
    <col min="7944" max="7944" width="42.5546875" style="2" bestFit="1" customWidth="1"/>
    <col min="7945" max="8192" width="9.109375" style="2"/>
    <col min="8193" max="8193" width="36.88671875" style="2" bestFit="1" customWidth="1"/>
    <col min="8194" max="8197" width="9.109375" style="2"/>
    <col min="8198" max="8198" width="3.88671875" style="2" customWidth="1"/>
    <col min="8199" max="8199" width="9.6640625" style="2" customWidth="1"/>
    <col min="8200" max="8200" width="42.5546875" style="2" bestFit="1" customWidth="1"/>
    <col min="8201" max="8448" width="9.109375" style="2"/>
    <col min="8449" max="8449" width="36.88671875" style="2" bestFit="1" customWidth="1"/>
    <col min="8450" max="8453" width="9.109375" style="2"/>
    <col min="8454" max="8454" width="3.88671875" style="2" customWidth="1"/>
    <col min="8455" max="8455" width="9.6640625" style="2" customWidth="1"/>
    <col min="8456" max="8456" width="42.5546875" style="2" bestFit="1" customWidth="1"/>
    <col min="8457" max="8704" width="9.109375" style="2"/>
    <col min="8705" max="8705" width="36.88671875" style="2" bestFit="1" customWidth="1"/>
    <col min="8706" max="8709" width="9.109375" style="2"/>
    <col min="8710" max="8710" width="3.88671875" style="2" customWidth="1"/>
    <col min="8711" max="8711" width="9.6640625" style="2" customWidth="1"/>
    <col min="8712" max="8712" width="42.5546875" style="2" bestFit="1" customWidth="1"/>
    <col min="8713" max="8960" width="9.109375" style="2"/>
    <col min="8961" max="8961" width="36.88671875" style="2" bestFit="1" customWidth="1"/>
    <col min="8962" max="8965" width="9.109375" style="2"/>
    <col min="8966" max="8966" width="3.88671875" style="2" customWidth="1"/>
    <col min="8967" max="8967" width="9.6640625" style="2" customWidth="1"/>
    <col min="8968" max="8968" width="42.5546875" style="2" bestFit="1" customWidth="1"/>
    <col min="8969" max="9216" width="9.109375" style="2"/>
    <col min="9217" max="9217" width="36.88671875" style="2" bestFit="1" customWidth="1"/>
    <col min="9218" max="9221" width="9.109375" style="2"/>
    <col min="9222" max="9222" width="3.88671875" style="2" customWidth="1"/>
    <col min="9223" max="9223" width="9.6640625" style="2" customWidth="1"/>
    <col min="9224" max="9224" width="42.5546875" style="2" bestFit="1" customWidth="1"/>
    <col min="9225" max="9472" width="9.109375" style="2"/>
    <col min="9473" max="9473" width="36.88671875" style="2" bestFit="1" customWidth="1"/>
    <col min="9474" max="9477" width="9.109375" style="2"/>
    <col min="9478" max="9478" width="3.88671875" style="2" customWidth="1"/>
    <col min="9479" max="9479" width="9.6640625" style="2" customWidth="1"/>
    <col min="9480" max="9480" width="42.5546875" style="2" bestFit="1" customWidth="1"/>
    <col min="9481" max="9728" width="9.109375" style="2"/>
    <col min="9729" max="9729" width="36.88671875" style="2" bestFit="1" customWidth="1"/>
    <col min="9730" max="9733" width="9.109375" style="2"/>
    <col min="9734" max="9734" width="3.88671875" style="2" customWidth="1"/>
    <col min="9735" max="9735" width="9.6640625" style="2" customWidth="1"/>
    <col min="9736" max="9736" width="42.5546875" style="2" bestFit="1" customWidth="1"/>
    <col min="9737" max="9984" width="9.109375" style="2"/>
    <col min="9985" max="9985" width="36.88671875" style="2" bestFit="1" customWidth="1"/>
    <col min="9986" max="9989" width="9.109375" style="2"/>
    <col min="9990" max="9990" width="3.88671875" style="2" customWidth="1"/>
    <col min="9991" max="9991" width="9.6640625" style="2" customWidth="1"/>
    <col min="9992" max="9992" width="42.5546875" style="2" bestFit="1" customWidth="1"/>
    <col min="9993" max="10240" width="9.109375" style="2"/>
    <col min="10241" max="10241" width="36.88671875" style="2" bestFit="1" customWidth="1"/>
    <col min="10242" max="10245" width="9.109375" style="2"/>
    <col min="10246" max="10246" width="3.88671875" style="2" customWidth="1"/>
    <col min="10247" max="10247" width="9.6640625" style="2" customWidth="1"/>
    <col min="10248" max="10248" width="42.5546875" style="2" bestFit="1" customWidth="1"/>
    <col min="10249" max="10496" width="9.109375" style="2"/>
    <col min="10497" max="10497" width="36.88671875" style="2" bestFit="1" customWidth="1"/>
    <col min="10498" max="10501" width="9.109375" style="2"/>
    <col min="10502" max="10502" width="3.88671875" style="2" customWidth="1"/>
    <col min="10503" max="10503" width="9.6640625" style="2" customWidth="1"/>
    <col min="10504" max="10504" width="42.5546875" style="2" bestFit="1" customWidth="1"/>
    <col min="10505" max="10752" width="9.109375" style="2"/>
    <col min="10753" max="10753" width="36.88671875" style="2" bestFit="1" customWidth="1"/>
    <col min="10754" max="10757" width="9.109375" style="2"/>
    <col min="10758" max="10758" width="3.88671875" style="2" customWidth="1"/>
    <col min="10759" max="10759" width="9.6640625" style="2" customWidth="1"/>
    <col min="10760" max="10760" width="42.5546875" style="2" bestFit="1" customWidth="1"/>
    <col min="10761" max="11008" width="9.109375" style="2"/>
    <col min="11009" max="11009" width="36.88671875" style="2" bestFit="1" customWidth="1"/>
    <col min="11010" max="11013" width="9.109375" style="2"/>
    <col min="11014" max="11014" width="3.88671875" style="2" customWidth="1"/>
    <col min="11015" max="11015" width="9.6640625" style="2" customWidth="1"/>
    <col min="11016" max="11016" width="42.5546875" style="2" bestFit="1" customWidth="1"/>
    <col min="11017" max="11264" width="9.109375" style="2"/>
    <col min="11265" max="11265" width="36.88671875" style="2" bestFit="1" customWidth="1"/>
    <col min="11266" max="11269" width="9.109375" style="2"/>
    <col min="11270" max="11270" width="3.88671875" style="2" customWidth="1"/>
    <col min="11271" max="11271" width="9.6640625" style="2" customWidth="1"/>
    <col min="11272" max="11272" width="42.5546875" style="2" bestFit="1" customWidth="1"/>
    <col min="11273" max="11520" width="9.109375" style="2"/>
    <col min="11521" max="11521" width="36.88671875" style="2" bestFit="1" customWidth="1"/>
    <col min="11522" max="11525" width="9.109375" style="2"/>
    <col min="11526" max="11526" width="3.88671875" style="2" customWidth="1"/>
    <col min="11527" max="11527" width="9.6640625" style="2" customWidth="1"/>
    <col min="11528" max="11528" width="42.5546875" style="2" bestFit="1" customWidth="1"/>
    <col min="11529" max="11776" width="9.109375" style="2"/>
    <col min="11777" max="11777" width="36.88671875" style="2" bestFit="1" customWidth="1"/>
    <col min="11778" max="11781" width="9.109375" style="2"/>
    <col min="11782" max="11782" width="3.88671875" style="2" customWidth="1"/>
    <col min="11783" max="11783" width="9.6640625" style="2" customWidth="1"/>
    <col min="11784" max="11784" width="42.5546875" style="2" bestFit="1" customWidth="1"/>
    <col min="11785" max="12032" width="9.109375" style="2"/>
    <col min="12033" max="12033" width="36.88671875" style="2" bestFit="1" customWidth="1"/>
    <col min="12034" max="12037" width="9.109375" style="2"/>
    <col min="12038" max="12038" width="3.88671875" style="2" customWidth="1"/>
    <col min="12039" max="12039" width="9.6640625" style="2" customWidth="1"/>
    <col min="12040" max="12040" width="42.5546875" style="2" bestFit="1" customWidth="1"/>
    <col min="12041" max="12288" width="9.109375" style="2"/>
    <col min="12289" max="12289" width="36.88671875" style="2" bestFit="1" customWidth="1"/>
    <col min="12290" max="12293" width="9.109375" style="2"/>
    <col min="12294" max="12294" width="3.88671875" style="2" customWidth="1"/>
    <col min="12295" max="12295" width="9.6640625" style="2" customWidth="1"/>
    <col min="12296" max="12296" width="42.5546875" style="2" bestFit="1" customWidth="1"/>
    <col min="12297" max="12544" width="9.109375" style="2"/>
    <col min="12545" max="12545" width="36.88671875" style="2" bestFit="1" customWidth="1"/>
    <col min="12546" max="12549" width="9.109375" style="2"/>
    <col min="12550" max="12550" width="3.88671875" style="2" customWidth="1"/>
    <col min="12551" max="12551" width="9.6640625" style="2" customWidth="1"/>
    <col min="12552" max="12552" width="42.5546875" style="2" bestFit="1" customWidth="1"/>
    <col min="12553" max="12800" width="9.109375" style="2"/>
    <col min="12801" max="12801" width="36.88671875" style="2" bestFit="1" customWidth="1"/>
    <col min="12802" max="12805" width="9.109375" style="2"/>
    <col min="12806" max="12806" width="3.88671875" style="2" customWidth="1"/>
    <col min="12807" max="12807" width="9.6640625" style="2" customWidth="1"/>
    <col min="12808" max="12808" width="42.5546875" style="2" bestFit="1" customWidth="1"/>
    <col min="12809" max="13056" width="9.109375" style="2"/>
    <col min="13057" max="13057" width="36.88671875" style="2" bestFit="1" customWidth="1"/>
    <col min="13058" max="13061" width="9.109375" style="2"/>
    <col min="13062" max="13062" width="3.88671875" style="2" customWidth="1"/>
    <col min="13063" max="13063" width="9.6640625" style="2" customWidth="1"/>
    <col min="13064" max="13064" width="42.5546875" style="2" bestFit="1" customWidth="1"/>
    <col min="13065" max="13312" width="9.109375" style="2"/>
    <col min="13313" max="13313" width="36.88671875" style="2" bestFit="1" customWidth="1"/>
    <col min="13314" max="13317" width="9.109375" style="2"/>
    <col min="13318" max="13318" width="3.88671875" style="2" customWidth="1"/>
    <col min="13319" max="13319" width="9.6640625" style="2" customWidth="1"/>
    <col min="13320" max="13320" width="42.5546875" style="2" bestFit="1" customWidth="1"/>
    <col min="13321" max="13568" width="9.109375" style="2"/>
    <col min="13569" max="13569" width="36.88671875" style="2" bestFit="1" customWidth="1"/>
    <col min="13570" max="13573" width="9.109375" style="2"/>
    <col min="13574" max="13574" width="3.88671875" style="2" customWidth="1"/>
    <col min="13575" max="13575" width="9.6640625" style="2" customWidth="1"/>
    <col min="13576" max="13576" width="42.5546875" style="2" bestFit="1" customWidth="1"/>
    <col min="13577" max="13824" width="9.109375" style="2"/>
    <col min="13825" max="13825" width="36.88671875" style="2" bestFit="1" customWidth="1"/>
    <col min="13826" max="13829" width="9.109375" style="2"/>
    <col min="13830" max="13830" width="3.88671875" style="2" customWidth="1"/>
    <col min="13831" max="13831" width="9.6640625" style="2" customWidth="1"/>
    <col min="13832" max="13832" width="42.5546875" style="2" bestFit="1" customWidth="1"/>
    <col min="13833" max="14080" width="9.109375" style="2"/>
    <col min="14081" max="14081" width="36.88671875" style="2" bestFit="1" customWidth="1"/>
    <col min="14082" max="14085" width="9.109375" style="2"/>
    <col min="14086" max="14086" width="3.88671875" style="2" customWidth="1"/>
    <col min="14087" max="14087" width="9.6640625" style="2" customWidth="1"/>
    <col min="14088" max="14088" width="42.5546875" style="2" bestFit="1" customWidth="1"/>
    <col min="14089" max="14336" width="9.109375" style="2"/>
    <col min="14337" max="14337" width="36.88671875" style="2" bestFit="1" customWidth="1"/>
    <col min="14338" max="14341" width="9.109375" style="2"/>
    <col min="14342" max="14342" width="3.88671875" style="2" customWidth="1"/>
    <col min="14343" max="14343" width="9.6640625" style="2" customWidth="1"/>
    <col min="14344" max="14344" width="42.5546875" style="2" bestFit="1" customWidth="1"/>
    <col min="14345" max="14592" width="9.109375" style="2"/>
    <col min="14593" max="14593" width="36.88671875" style="2" bestFit="1" customWidth="1"/>
    <col min="14594" max="14597" width="9.109375" style="2"/>
    <col min="14598" max="14598" width="3.88671875" style="2" customWidth="1"/>
    <col min="14599" max="14599" width="9.6640625" style="2" customWidth="1"/>
    <col min="14600" max="14600" width="42.5546875" style="2" bestFit="1" customWidth="1"/>
    <col min="14601" max="14848" width="9.109375" style="2"/>
    <col min="14849" max="14849" width="36.88671875" style="2" bestFit="1" customWidth="1"/>
    <col min="14850" max="14853" width="9.109375" style="2"/>
    <col min="14854" max="14854" width="3.88671875" style="2" customWidth="1"/>
    <col min="14855" max="14855" width="9.6640625" style="2" customWidth="1"/>
    <col min="14856" max="14856" width="42.5546875" style="2" bestFit="1" customWidth="1"/>
    <col min="14857" max="15104" width="9.109375" style="2"/>
    <col min="15105" max="15105" width="36.88671875" style="2" bestFit="1" customWidth="1"/>
    <col min="15106" max="15109" width="9.109375" style="2"/>
    <col min="15110" max="15110" width="3.88671875" style="2" customWidth="1"/>
    <col min="15111" max="15111" width="9.6640625" style="2" customWidth="1"/>
    <col min="15112" max="15112" width="42.5546875" style="2" bestFit="1" customWidth="1"/>
    <col min="15113" max="15360" width="9.109375" style="2"/>
    <col min="15361" max="15361" width="36.88671875" style="2" bestFit="1" customWidth="1"/>
    <col min="15362" max="15365" width="9.109375" style="2"/>
    <col min="15366" max="15366" width="3.88671875" style="2" customWidth="1"/>
    <col min="15367" max="15367" width="9.6640625" style="2" customWidth="1"/>
    <col min="15368" max="15368" width="42.5546875" style="2" bestFit="1" customWidth="1"/>
    <col min="15369" max="15616" width="9.109375" style="2"/>
    <col min="15617" max="15617" width="36.88671875" style="2" bestFit="1" customWidth="1"/>
    <col min="15618" max="15621" width="9.109375" style="2"/>
    <col min="15622" max="15622" width="3.88671875" style="2" customWidth="1"/>
    <col min="15623" max="15623" width="9.6640625" style="2" customWidth="1"/>
    <col min="15624" max="15624" width="42.5546875" style="2" bestFit="1" customWidth="1"/>
    <col min="15625" max="15872" width="9.109375" style="2"/>
    <col min="15873" max="15873" width="36.88671875" style="2" bestFit="1" customWidth="1"/>
    <col min="15874" max="15877" width="9.109375" style="2"/>
    <col min="15878" max="15878" width="3.88671875" style="2" customWidth="1"/>
    <col min="15879" max="15879" width="9.6640625" style="2" customWidth="1"/>
    <col min="15880" max="15880" width="42.5546875" style="2" bestFit="1" customWidth="1"/>
    <col min="15881" max="16128" width="9.109375" style="2"/>
    <col min="16129" max="16129" width="36.88671875" style="2" bestFit="1" customWidth="1"/>
    <col min="16130" max="16133" width="9.109375" style="2"/>
    <col min="16134" max="16134" width="3.88671875" style="2" customWidth="1"/>
    <col min="16135" max="16135" width="9.6640625" style="2" customWidth="1"/>
    <col min="16136" max="16136" width="42.5546875" style="2" bestFit="1" customWidth="1"/>
    <col min="16137" max="16384" width="9.109375" style="2"/>
  </cols>
  <sheetData>
    <row r="1" spans="1:10" ht="62.25" customHeight="1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10" s="4" customFormat="1" ht="37.5" customHeigh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G2" s="3" t="s">
        <v>6</v>
      </c>
    </row>
    <row r="3" spans="1:10" x14ac:dyDescent="0.25">
      <c r="A3" s="2" t="s">
        <v>7</v>
      </c>
      <c r="B3" s="5">
        <v>102.77</v>
      </c>
      <c r="C3" s="6">
        <v>6.6250000000000003E-2</v>
      </c>
      <c r="D3" s="7">
        <v>39370</v>
      </c>
      <c r="E3" s="6">
        <v>2.1219999999999999E-2</v>
      </c>
      <c r="G3" s="6">
        <f t="shared" ref="G3:G17" si="0">YIELD(DATE(2007,2,23),D3,C3,B3,100,2,1)</f>
        <v>2.2365350819817935E-2</v>
      </c>
      <c r="H3" s="2" t="str">
        <f ca="1">[1]!getformula(G3)</f>
        <v>&lt;--  =YIELD(DATE(2007,2,23),D3,C3,B3,100,2,1)</v>
      </c>
      <c r="J3" s="6"/>
    </row>
    <row r="4" spans="1:10" x14ac:dyDescent="0.25">
      <c r="A4" s="2" t="s">
        <v>8</v>
      </c>
      <c r="B4" s="5">
        <v>103.65</v>
      </c>
      <c r="C4" s="6">
        <v>0.08</v>
      </c>
      <c r="D4" s="7">
        <v>39370</v>
      </c>
      <c r="E4" s="6">
        <v>2.0899999999999998E-2</v>
      </c>
      <c r="G4" s="6">
        <f t="shared" si="0"/>
        <v>2.2186527359328686E-2</v>
      </c>
      <c r="H4" s="2" t="str">
        <f ca="1">[1]!getformula(G4)</f>
        <v>&lt;--  =YIELD(DATE(2007,2,23),D4,C4,B4,100,2,1)</v>
      </c>
      <c r="J4" s="6"/>
    </row>
    <row r="5" spans="1:10" x14ac:dyDescent="0.25">
      <c r="A5" s="2" t="s">
        <v>9</v>
      </c>
      <c r="B5" s="5">
        <v>101.04</v>
      </c>
      <c r="C5" s="6">
        <v>0.04</v>
      </c>
      <c r="D5" s="7">
        <v>39401</v>
      </c>
      <c r="E5" s="6">
        <v>2.512E-2</v>
      </c>
      <c r="G5" s="6">
        <f t="shared" si="0"/>
        <v>2.5363590191089726E-2</v>
      </c>
      <c r="H5" s="2" t="str">
        <f ca="1">[1]!getformula(G5)</f>
        <v>&lt;--  =YIELD(DATE(2007,2,23),D5,C5,B5,100,2,1)</v>
      </c>
      <c r="J5" s="6"/>
    </row>
    <row r="6" spans="1:10" x14ac:dyDescent="0.25">
      <c r="A6" s="2" t="s">
        <v>10</v>
      </c>
      <c r="B6" s="5">
        <v>101.1</v>
      </c>
      <c r="C6" s="6">
        <v>0.04</v>
      </c>
      <c r="D6" s="7">
        <v>39401</v>
      </c>
      <c r="E6" s="6">
        <v>2.4169999999999997E-2</v>
      </c>
      <c r="G6" s="6">
        <f t="shared" si="0"/>
        <v>2.4530911047264816E-2</v>
      </c>
      <c r="H6" s="2" t="str">
        <f ca="1">[1]!getformula(G6)</f>
        <v>&lt;--  =YIELD(DATE(2007,2,23),D6,C6,B6,100,2,1)</v>
      </c>
      <c r="J6" s="6"/>
    </row>
    <row r="7" spans="1:10" x14ac:dyDescent="0.25">
      <c r="A7" s="2" t="s">
        <v>11</v>
      </c>
      <c r="B7" s="5">
        <v>103.25</v>
      </c>
      <c r="C7" s="6">
        <v>6.5599999999999992E-2</v>
      </c>
      <c r="D7" s="7">
        <v>39432</v>
      </c>
      <c r="E7" s="6">
        <v>2.3849999999999996E-2</v>
      </c>
      <c r="G7" s="6">
        <f t="shared" si="0"/>
        <v>2.4786602024960681E-2</v>
      </c>
      <c r="J7" s="6"/>
    </row>
    <row r="8" spans="1:10" x14ac:dyDescent="0.25">
      <c r="A8" s="2" t="s">
        <v>12</v>
      </c>
      <c r="B8" s="5">
        <v>102.91</v>
      </c>
      <c r="C8" s="6">
        <v>6.5000000000000002E-2</v>
      </c>
      <c r="D8" s="7">
        <v>39435</v>
      </c>
      <c r="E8" s="6">
        <v>2.793E-2</v>
      </c>
      <c r="G8" s="6">
        <f t="shared" si="0"/>
        <v>2.8714460492645928E-2</v>
      </c>
      <c r="J8" s="6"/>
    </row>
    <row r="9" spans="1:10" x14ac:dyDescent="0.25">
      <c r="A9" s="2" t="s">
        <v>13</v>
      </c>
      <c r="B9" s="5">
        <v>100.69</v>
      </c>
      <c r="C9" s="6">
        <v>3.7000000000000005E-2</v>
      </c>
      <c r="D9" s="7">
        <v>39462</v>
      </c>
      <c r="E9" s="6">
        <v>2.8889999999999999E-2</v>
      </c>
      <c r="G9" s="6">
        <f t="shared" si="0"/>
        <v>2.9084230414958015E-2</v>
      </c>
      <c r="J9" s="6"/>
    </row>
    <row r="10" spans="1:10" x14ac:dyDescent="0.25">
      <c r="A10" s="2" t="s">
        <v>14</v>
      </c>
      <c r="B10" s="5">
        <v>101.09</v>
      </c>
      <c r="C10" s="6">
        <v>4.1250000000000002E-2</v>
      </c>
      <c r="D10" s="7">
        <v>39462</v>
      </c>
      <c r="E10" s="6">
        <v>2.8500000000000001E-2</v>
      </c>
      <c r="G10" s="6">
        <f t="shared" si="0"/>
        <v>2.8760448740205728E-2</v>
      </c>
      <c r="J10" s="6"/>
    </row>
    <row r="11" spans="1:10" x14ac:dyDescent="0.25">
      <c r="A11" s="2" t="s">
        <v>15</v>
      </c>
      <c r="B11" s="5">
        <v>100.81</v>
      </c>
      <c r="C11" s="6">
        <v>3.7999999999999999E-2</v>
      </c>
      <c r="D11" s="7">
        <v>39479</v>
      </c>
      <c r="E11" s="6">
        <v>2.8910000000000002E-2</v>
      </c>
      <c r="G11" s="6">
        <f t="shared" si="0"/>
        <v>2.9178473699756853E-2</v>
      </c>
      <c r="J11" s="6"/>
    </row>
    <row r="12" spans="1:10" x14ac:dyDescent="0.25">
      <c r="A12" s="2" t="s">
        <v>16</v>
      </c>
      <c r="B12" s="5">
        <v>100.5</v>
      </c>
      <c r="C12" s="6">
        <v>3.5000000000000003E-2</v>
      </c>
      <c r="D12" s="7">
        <v>39479</v>
      </c>
      <c r="E12" s="6">
        <v>2.9399999999999999E-2</v>
      </c>
      <c r="G12" s="6">
        <f t="shared" si="0"/>
        <v>2.9548160176610567E-2</v>
      </c>
      <c r="J12" s="6"/>
    </row>
    <row r="13" spans="1:10" x14ac:dyDescent="0.25">
      <c r="A13" s="2" t="s">
        <v>17</v>
      </c>
      <c r="B13" s="5">
        <v>100.47</v>
      </c>
      <c r="C13" s="6">
        <v>3.3750000000000002E-2</v>
      </c>
      <c r="D13" s="7">
        <v>39493</v>
      </c>
      <c r="E13" s="6">
        <v>2.8679999999999997E-2</v>
      </c>
      <c r="G13" s="6">
        <f t="shared" si="0"/>
        <v>2.8835822122459765E-2</v>
      </c>
      <c r="J13" s="6"/>
    </row>
    <row r="14" spans="1:10" x14ac:dyDescent="0.25">
      <c r="A14" s="2" t="s">
        <v>18</v>
      </c>
      <c r="B14" s="5">
        <v>100.94</v>
      </c>
      <c r="C14" s="6">
        <v>4.1250000000000002E-2</v>
      </c>
      <c r="D14" s="7">
        <v>39517</v>
      </c>
      <c r="E14" s="6">
        <v>3.1879999999999999E-2</v>
      </c>
      <c r="G14" s="6">
        <f t="shared" si="0"/>
        <v>3.198857501132344E-2</v>
      </c>
      <c r="J14" s="6"/>
    </row>
    <row r="15" spans="1:10" x14ac:dyDescent="0.25">
      <c r="A15" s="2" t="s">
        <v>19</v>
      </c>
      <c r="B15" s="5">
        <v>102.96</v>
      </c>
      <c r="C15" s="6">
        <v>0.06</v>
      </c>
      <c r="D15" s="7">
        <v>39522</v>
      </c>
      <c r="E15" s="6">
        <v>3.0830000000000003E-2</v>
      </c>
      <c r="G15" s="6">
        <f t="shared" si="0"/>
        <v>3.1244040821783198E-2</v>
      </c>
      <c r="J15" s="6"/>
    </row>
    <row r="16" spans="1:10" x14ac:dyDescent="0.25">
      <c r="A16" s="2" t="s">
        <v>20</v>
      </c>
      <c r="B16" s="5">
        <v>99.72</v>
      </c>
      <c r="C16" s="6">
        <v>2.8750000000000001E-2</v>
      </c>
      <c r="D16" s="7">
        <v>39522</v>
      </c>
      <c r="E16" s="6">
        <v>3.1480000000000001E-2</v>
      </c>
      <c r="G16" s="6">
        <f t="shared" si="0"/>
        <v>3.1457773201985818E-2</v>
      </c>
      <c r="J16" s="6"/>
    </row>
    <row r="17" spans="1:10" x14ac:dyDescent="0.25">
      <c r="A17" s="2" t="s">
        <v>21</v>
      </c>
      <c r="B17" s="5">
        <v>99.78</v>
      </c>
      <c r="C17" s="6">
        <v>2.8999999999999998E-2</v>
      </c>
      <c r="D17" s="7">
        <v>39522</v>
      </c>
      <c r="E17" s="6">
        <v>3.1150000000000001E-2</v>
      </c>
      <c r="G17" s="6">
        <f t="shared" si="0"/>
        <v>3.1124717987125652E-2</v>
      </c>
      <c r="J17" s="6"/>
    </row>
  </sheetData>
  <mergeCells count="1">
    <mergeCell ref="A1:H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712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2024-12-18T08:33:21Z</dcterms:modified>
</cp:coreProperties>
</file>