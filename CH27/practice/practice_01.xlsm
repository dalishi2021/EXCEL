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practice\"/>
    </mc:Choice>
  </mc:AlternateContent>
  <xr:revisionPtr revIDLastSave="0" documentId="13_ncr:1_{F727F13C-C7CC-4A30-B17E-6BDAC359940C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CCC bonds, data" sheetId="2" r:id="rId2"/>
    <sheet name="Exercise 1" sheetId="3" r:id="rId3"/>
  </sheets>
  <externalReferences>
    <externalReference r:id="rId4"/>
    <externalReference r:id="rId5"/>
  </externalReferences>
  <definedNames>
    <definedName name="z1?b_1_so_a_sf_m_tc_1_stt___pr_0_cpl__1_cpu__1_yl__1_yu__1_ytl__1_ytu__1_mtl__1_mtu__1_rl_7_ru_7_cll_0" localSheetId="1">'CCC bonds, data'!$A$2:$F$17</definedName>
    <definedName name="z1?b_1_so_a_sf_m_tc_1_stt___pr_0_cpl__1_cpu__1_yl__1_yu__1_ytl__1_ytu__1_mtl__1_mtu__1_rl_7_ru_7_cll_0" localSheetId="2">'Exercise 1'!$A$2:$F$17</definedName>
    <definedName name="z1?b_2_cll_0_cpl__1.000000_cpu__1.000000_mtl__1_mtu__1_pr_0_rl_7_ru_7_sf_m_so_a_stt___tc_1_yl__1.000000_ytl__1.000000_ytu__1.000000_yu__1.000000" localSheetId="1">'CCC bonds, data'!$A$18:$F$30</definedName>
    <definedName name="z1?b_2_cll_0_cpl__1.000000_cpu__1.000000_mtl__1_mtu__1_pr_0_rl_7_ru_7_sf_m_so_a_stt___tc_1_yl__1.000000_ytl__1.000000_ytu__1.000000_yu__1.000000" localSheetId="2">'Exercise 1'!$A$18:$F$30</definedName>
  </definedNam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H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147B11-B2CF-4E5C-9B50-FC1693107AF9}" name="连接" type="4" refreshedVersion="2" background="1" saveData="1">
    <webPr sourceData="1" parsePre="1" consecutive="1" xl2000="1" url="http://reports.finance.yahoo.com/z1?b=1&amp;so=a&amp;sf=m&amp;tc=1&amp;stt=-&amp;pr=0&amp;cpl=-1&amp;cpu=-1&amp;yl=-1&amp;yu=-1&amp;ytl=-1&amp;ytu=-1&amp;mtl=-1&amp;mtu=-1&amp;rl=7&amp;ru=7&amp;cll=0" htmlTables="1">
      <tables count="1">
        <x v="8"/>
      </tables>
    </webPr>
  </connection>
  <connection id="2" xr16:uid="{3CA91C1C-AF38-4820-9289-3EAF4E39D42C}" name="连接1" type="4" refreshedVersion="2" background="1" saveData="1">
    <webPr sourceData="1" parsePre="1" consecutive="1" xl2000="1" url="http://reports.finance.yahoo.com/z1?b=2&amp;cll=0&amp;cpl=-1.000000&amp;cpu=-1.000000&amp;mtl=-1&amp;mtu=-1&amp;pr=0&amp;rl=7&amp;ru=7&amp;sf=m&amp;so=a&amp;stt=-&amp;tc=1&amp;yl=-1.000000&amp;ytl=-1.000000&amp;ytu=-1.000000&amp;yu=-1.000000" htmlTables="1">
      <tables count="1">
        <x v="8"/>
      </tables>
    </webPr>
  </connection>
  <connection id="3" xr16:uid="{E67FDBFC-C6CD-4948-A2BD-1048C66C6745}" name="连接2" type="4" refreshedVersion="2" background="1" saveData="1">
    <webPr sourceData="1" parsePre="1" consecutive="1" xl2000="1" url="http://reports.finance.yahoo.com/z1?b=2&amp;cll=0&amp;cpl=-1.000000&amp;cpu=-1.000000&amp;mtl=-1&amp;mtu=-1&amp;pr=0&amp;rl=7&amp;ru=7&amp;sf=m&amp;so=a&amp;stt=-&amp;tc=1&amp;yl=-1.000000&amp;ytl=-1.000000&amp;ytu=-1.000000&amp;yu=-1.000000" htmlTables="1">
      <tables count="1">
        <x v="8"/>
      </tables>
    </webPr>
  </connection>
  <connection id="4" xr16:uid="{985708E7-20D3-4081-BAFC-99B67DE86D40}" name="连接3" type="4" refreshedVersion="2" background="1" saveData="1">
    <webPr sourceData="1" parsePre="1" consecutive="1" xl2000="1" url="http://reports.finance.yahoo.com/z1?b=1&amp;so=a&amp;sf=m&amp;tc=1&amp;stt=-&amp;pr=0&amp;cpl=-1&amp;cpu=-1&amp;yl=-1&amp;yu=-1&amp;ytl=-1&amp;ytu=-1&amp;mtl=-1&amp;mtu=-1&amp;rl=7&amp;ru=7&amp;cll=0" htmlTables="1">
      <tables count="1">
        <x v="8"/>
      </tables>
    </webPr>
  </connection>
</connections>
</file>

<file path=xl/sharedStrings.xml><?xml version="1.0" encoding="utf-8"?>
<sst xmlns="http://schemas.openxmlformats.org/spreadsheetml/2006/main" count="128" uniqueCount="23">
  <si>
    <t>CCC CORPORATE BONDS, NON-CALLABLE, 20 JULY 2007</t>
  </si>
  <si>
    <t>Type</t>
  </si>
  <si>
    <t>Price</t>
  </si>
  <si>
    <t>Coupon(%)</t>
  </si>
  <si>
    <t>Maturity</t>
  </si>
  <si>
    <t>YTM(%)</t>
  </si>
  <si>
    <t>Fitch 
Rating</t>
  </si>
  <si>
    <t>LEVEL 3 COMMUNICATIONS INC</t>
  </si>
  <si>
    <t>CCC</t>
  </si>
  <si>
    <t>FORD MTR CO DEL</t>
  </si>
  <si>
    <t>USEC INC</t>
  </si>
  <si>
    <t>XM SATELLITE RADIO HLDGS INC</t>
  </si>
  <si>
    <t>Here's the Bond Screener screen from Yahoo</t>
  </si>
  <si>
    <t>VISTEON CORP</t>
  </si>
  <si>
    <t>TEMBEC INDS INC</t>
  </si>
  <si>
    <t>TOYS R US INC</t>
  </si>
  <si>
    <t>TENET HEALTHCARE CORP</t>
  </si>
  <si>
    <t>AMR CORP</t>
  </si>
  <si>
    <t>POPE &amp; TALBOT INC</t>
  </si>
  <si>
    <t>RITE AID CORP</t>
  </si>
  <si>
    <t>Scotia Pacific Co LLC</t>
  </si>
  <si>
    <t>BORDEN CHEMICAL INC</t>
  </si>
  <si>
    <t>Time to
maturity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</si>
</sst>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2" fontId="2" fillId="0" borderId="0" xfId="1" applyNumberFormat="1"/>
    <xf numFmtId="15" fontId="2" fillId="0" borderId="0" xfId="1" applyNumberFormat="1"/>
    <xf numFmtId="176" fontId="2" fillId="0" borderId="0" xfId="1" applyNumberFormat="1"/>
    <xf numFmtId="0" fontId="2" fillId="0" borderId="0" xfId="1" applyAlignment="1">
      <alignment horizontal="center"/>
    </xf>
    <xf numFmtId="0" fontId="4" fillId="0" borderId="0" xfId="1" applyFont="1"/>
    <xf numFmtId="0" fontId="4" fillId="0" borderId="0" xfId="1" applyFont="1" applyAlignment="1">
      <alignment horizontal="center" wrapText="1"/>
    </xf>
    <xf numFmtId="177" fontId="2" fillId="0" borderId="0" xfId="1" applyNumberFormat="1"/>
  </cellXfs>
  <cellStyles count="2">
    <cellStyle name="常规" xfId="0" builtinId="0"/>
    <cellStyle name="常规 2" xfId="1" xr:uid="{00B04230-F273-4FA5-8E73-C9CF7679CB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XY-Scatter Plot of YTM vs Maturity
this plot includes all the data</a:t>
            </a:r>
          </a:p>
        </c:rich>
      </c:tx>
      <c:layout>
        <c:manualLayout>
          <c:xMode val="edge"/>
          <c:yMode val="edge"/>
          <c:x val="0.33925938196592231"/>
          <c:y val="3.63196447957655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296331125698478E-2"/>
          <c:y val="9.9273695775092485E-2"/>
          <c:w val="0.85481512399273885"/>
          <c:h val="0.7336568248744639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031551402687367"/>
                  <c:y val="-0.21444494269407138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trendline>
            <c:trendlineType val="linear"/>
            <c:dispRSqr val="0"/>
            <c:dispEq val="0"/>
          </c:trendline>
          <c:xVal>
            <c:numRef>
              <c:f>'Exercise 1'!$G$3:$G$30</c:f>
              <c:numCache>
                <c:formatCode>0.0000</c:formatCode>
                <c:ptCount val="28"/>
                <c:pt idx="0">
                  <c:v>0.65479452054794518</c:v>
                </c:pt>
                <c:pt idx="1">
                  <c:v>1.2027397260273973</c:v>
                </c:pt>
                <c:pt idx="2">
                  <c:v>1.5068493150684932</c:v>
                </c:pt>
                <c:pt idx="3">
                  <c:v>2.3698630136986303</c:v>
                </c:pt>
                <c:pt idx="4">
                  <c:v>2.6547945205479451</c:v>
                </c:pt>
                <c:pt idx="5">
                  <c:v>3.0356164383561643</c:v>
                </c:pt>
                <c:pt idx="6">
                  <c:v>3.5397260273972604</c:v>
                </c:pt>
                <c:pt idx="7">
                  <c:v>4.0356164383561648</c:v>
                </c:pt>
                <c:pt idx="8">
                  <c:v>4.3698630136986303</c:v>
                </c:pt>
                <c:pt idx="9">
                  <c:v>4.6575342465753424</c:v>
                </c:pt>
                <c:pt idx="10">
                  <c:v>4.8712328767123285</c:v>
                </c:pt>
                <c:pt idx="11">
                  <c:v>5.0383561643835613</c:v>
                </c:pt>
                <c:pt idx="12">
                  <c:v>5.5424657534246577</c:v>
                </c:pt>
                <c:pt idx="13">
                  <c:v>5.7424657534246579</c:v>
                </c:pt>
                <c:pt idx="14">
                  <c:v>5.8712328767123285</c:v>
                </c:pt>
                <c:pt idx="15">
                  <c:v>5.8712328767123285</c:v>
                </c:pt>
                <c:pt idx="16">
                  <c:v>6.0767123287671234</c:v>
                </c:pt>
                <c:pt idx="17">
                  <c:v>6.5095890410958903</c:v>
                </c:pt>
                <c:pt idx="18">
                  <c:v>6.6438356164383565</c:v>
                </c:pt>
                <c:pt idx="19">
                  <c:v>6.9534246575342467</c:v>
                </c:pt>
                <c:pt idx="20">
                  <c:v>7.5424657534246577</c:v>
                </c:pt>
                <c:pt idx="21">
                  <c:v>9.1643835616438363</c:v>
                </c:pt>
                <c:pt idx="22">
                  <c:v>11.246575342465754</c:v>
                </c:pt>
                <c:pt idx="23">
                  <c:v>13.663013698630136</c:v>
                </c:pt>
                <c:pt idx="24">
                  <c:v>15.586301369863014</c:v>
                </c:pt>
                <c:pt idx="25">
                  <c:v>19.589041095890412</c:v>
                </c:pt>
                <c:pt idx="26">
                  <c:v>24.339726027397262</c:v>
                </c:pt>
                <c:pt idx="27">
                  <c:v>39.602739726027394</c:v>
                </c:pt>
              </c:numCache>
            </c:numRef>
          </c:xVal>
          <c:yVal>
            <c:numRef>
              <c:f>'Exercise 1'!$E$3:$E$30</c:f>
              <c:numCache>
                <c:formatCode>0.000</c:formatCode>
                <c:ptCount val="28"/>
                <c:pt idx="0">
                  <c:v>3.1339999999999999</c:v>
                </c:pt>
                <c:pt idx="1">
                  <c:v>5.1630000000000003</c:v>
                </c:pt>
                <c:pt idx="2">
                  <c:v>5.5609999999999999</c:v>
                </c:pt>
                <c:pt idx="3">
                  <c:v>6.8639999999999999</c:v>
                </c:pt>
                <c:pt idx="4">
                  <c:v>6.5049999999999999</c:v>
                </c:pt>
                <c:pt idx="5">
                  <c:v>7.2370000000000001</c:v>
                </c:pt>
                <c:pt idx="6">
                  <c:v>27.02</c:v>
                </c:pt>
                <c:pt idx="7">
                  <c:v>8.5050000000000008</c:v>
                </c:pt>
                <c:pt idx="8">
                  <c:v>8.01</c:v>
                </c:pt>
                <c:pt idx="9">
                  <c:v>22.696000000000002</c:v>
                </c:pt>
                <c:pt idx="10">
                  <c:v>8.1259999999999994</c:v>
                </c:pt>
                <c:pt idx="11">
                  <c:v>7.556</c:v>
                </c:pt>
                <c:pt idx="12">
                  <c:v>8.8719999999999999</c:v>
                </c:pt>
                <c:pt idx="13">
                  <c:v>9.3480000000000008</c:v>
                </c:pt>
                <c:pt idx="14">
                  <c:v>11.714</c:v>
                </c:pt>
                <c:pt idx="15">
                  <c:v>11.714</c:v>
                </c:pt>
                <c:pt idx="16">
                  <c:v>8.8030000000000008</c:v>
                </c:pt>
                <c:pt idx="17">
                  <c:v>8.0030000000000001</c:v>
                </c:pt>
                <c:pt idx="18">
                  <c:v>9.18</c:v>
                </c:pt>
                <c:pt idx="19">
                  <c:v>9.4779999999999998</c:v>
                </c:pt>
                <c:pt idx="20">
                  <c:v>9.4339999999999993</c:v>
                </c:pt>
                <c:pt idx="21">
                  <c:v>8.6</c:v>
                </c:pt>
                <c:pt idx="22">
                  <c:v>8.7859999999999996</c:v>
                </c:pt>
                <c:pt idx="23">
                  <c:v>8.8780000000000001</c:v>
                </c:pt>
                <c:pt idx="24">
                  <c:v>8.7479999999999993</c:v>
                </c:pt>
                <c:pt idx="25">
                  <c:v>8.8930000000000007</c:v>
                </c:pt>
                <c:pt idx="26">
                  <c:v>8.5429999999999993</c:v>
                </c:pt>
                <c:pt idx="27">
                  <c:v>10.374000000000001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AD-4A59-A8DC-AF99C8A1A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853368"/>
        <c:axId val="1"/>
      </c:scatterChart>
      <c:valAx>
        <c:axId val="812853368"/>
        <c:scaling>
          <c:orientation val="minMax"/>
          <c:max val="4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48740758369776604"/>
              <c:y val="0.8983058812819343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YTM</a:t>
                </a:r>
              </a:p>
            </c:rich>
          </c:tx>
          <c:layout>
            <c:manualLayout>
              <c:xMode val="edge"/>
              <c:yMode val="edge"/>
              <c:x val="3.4074086398324079E-2"/>
              <c:y val="0.4309931182430845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128533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7</xdr:row>
      <xdr:rowOff>68580</xdr:rowOff>
    </xdr:from>
    <xdr:to>
      <xdr:col>18</xdr:col>
      <xdr:colOff>381000</xdr:colOff>
      <xdr:row>40</xdr:row>
      <xdr:rowOff>19050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9E1130B-0951-4373-B66C-0639666F3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8425" y="1476375"/>
          <a:ext cx="7048500" cy="56102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129540</xdr:colOff>
      <xdr:row>6</xdr:row>
      <xdr:rowOff>68580</xdr:rowOff>
    </xdr:from>
    <xdr:to>
      <xdr:col>15</xdr:col>
      <xdr:colOff>381000</xdr:colOff>
      <xdr:row>29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91F083B-1E1E-4127-9659-72C97050B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B bonds, data"/>
      <sheetName val="CCC bonds, data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</sheetNames>
    <sheetDataSet>
      <sheetData sheetId="0"/>
      <sheetData sheetId="1"/>
      <sheetData sheetId="2">
        <row r="3">
          <cell r="E3">
            <v>3.1339999999999999</v>
          </cell>
          <cell r="G3">
            <v>0.65479452054794518</v>
          </cell>
        </row>
        <row r="4">
          <cell r="E4">
            <v>5.1630000000000003</v>
          </cell>
          <cell r="G4">
            <v>1.2027397260273973</v>
          </cell>
        </row>
        <row r="5">
          <cell r="E5">
            <v>5.5609999999999999</v>
          </cell>
          <cell r="G5">
            <v>1.5068493150684932</v>
          </cell>
        </row>
        <row r="6">
          <cell r="E6">
            <v>6.8639999999999999</v>
          </cell>
          <cell r="G6">
            <v>2.3698630136986303</v>
          </cell>
        </row>
        <row r="7">
          <cell r="E7">
            <v>6.5049999999999999</v>
          </cell>
          <cell r="G7">
            <v>2.6547945205479451</v>
          </cell>
        </row>
        <row r="8">
          <cell r="E8">
            <v>7.2370000000000001</v>
          </cell>
          <cell r="G8">
            <v>3.0356164383561643</v>
          </cell>
        </row>
        <row r="9">
          <cell r="E9">
            <v>27.02</v>
          </cell>
          <cell r="G9">
            <v>3.5397260273972604</v>
          </cell>
        </row>
        <row r="10">
          <cell r="E10">
            <v>8.5050000000000008</v>
          </cell>
          <cell r="G10">
            <v>4.0356164383561648</v>
          </cell>
        </row>
        <row r="11">
          <cell r="E11">
            <v>8.01</v>
          </cell>
          <cell r="G11">
            <v>4.3698630136986303</v>
          </cell>
        </row>
        <row r="12">
          <cell r="E12">
            <v>22.696000000000002</v>
          </cell>
          <cell r="G12">
            <v>4.6575342465753424</v>
          </cell>
        </row>
        <row r="13">
          <cell r="E13">
            <v>8.1259999999999994</v>
          </cell>
          <cell r="G13">
            <v>4.8712328767123285</v>
          </cell>
        </row>
        <row r="14">
          <cell r="E14">
            <v>7.556</v>
          </cell>
          <cell r="G14">
            <v>5.0383561643835613</v>
          </cell>
        </row>
        <row r="15">
          <cell r="E15">
            <v>8.8719999999999999</v>
          </cell>
          <cell r="G15">
            <v>5.5424657534246577</v>
          </cell>
        </row>
        <row r="16">
          <cell r="E16">
            <v>9.3480000000000008</v>
          </cell>
          <cell r="G16">
            <v>5.7424657534246579</v>
          </cell>
        </row>
        <row r="17">
          <cell r="E17">
            <v>11.714</v>
          </cell>
          <cell r="G17">
            <v>5.8712328767123285</v>
          </cell>
        </row>
        <row r="18">
          <cell r="E18">
            <v>11.714</v>
          </cell>
          <cell r="G18">
            <v>5.8712328767123285</v>
          </cell>
        </row>
        <row r="19">
          <cell r="E19">
            <v>8.8030000000000008</v>
          </cell>
          <cell r="G19">
            <v>6.0767123287671234</v>
          </cell>
        </row>
        <row r="20">
          <cell r="E20">
            <v>8.0030000000000001</v>
          </cell>
          <cell r="G20">
            <v>6.5095890410958903</v>
          </cell>
        </row>
        <row r="21">
          <cell r="E21">
            <v>9.18</v>
          </cell>
          <cell r="G21">
            <v>6.6438356164383565</v>
          </cell>
        </row>
        <row r="22">
          <cell r="E22">
            <v>9.4779999999999998</v>
          </cell>
          <cell r="G22">
            <v>6.9534246575342467</v>
          </cell>
        </row>
        <row r="23">
          <cell r="E23">
            <v>9.4339999999999993</v>
          </cell>
          <cell r="G23">
            <v>7.5424657534246577</v>
          </cell>
        </row>
        <row r="24">
          <cell r="E24">
            <v>8.6</v>
          </cell>
          <cell r="G24">
            <v>9.1643835616438363</v>
          </cell>
        </row>
        <row r="25">
          <cell r="E25">
            <v>8.7859999999999996</v>
          </cell>
          <cell r="G25">
            <v>11.246575342465754</v>
          </cell>
        </row>
        <row r="26">
          <cell r="E26">
            <v>8.8780000000000001</v>
          </cell>
          <cell r="G26">
            <v>13.663013698630136</v>
          </cell>
        </row>
        <row r="27">
          <cell r="E27">
            <v>8.7479999999999993</v>
          </cell>
          <cell r="G27">
            <v>15.586301369863014</v>
          </cell>
        </row>
        <row r="28">
          <cell r="E28">
            <v>8.8930000000000007</v>
          </cell>
          <cell r="G28">
            <v>19.589041095890412</v>
          </cell>
        </row>
        <row r="29">
          <cell r="E29">
            <v>8.5429999999999993</v>
          </cell>
          <cell r="G29">
            <v>24.339726027397262</v>
          </cell>
        </row>
        <row r="30">
          <cell r="E30">
            <v>10.374000000000001</v>
          </cell>
          <cell r="G30">
            <v>39.602739726027394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2&amp;cll=0&amp;cpl=-1.000000&amp;cpu=-1.000000&amp;mtl=-1&amp;mtu=-1&amp;pr=0&amp;rl=7&amp;ru=7&amp;sf=m&amp;so=a&amp;stt=-&amp;tc=1&amp;yl=-1.000000&amp;ytl=-1.000000&amp;ytu=-1.000000&amp;yu=-1.000000" connectionId="2" xr16:uid="{2AB81E6C-0611-44A1-AF11-4B511E6C626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1&amp;so=a&amp;sf=m&amp;tc=1&amp;stt=-&amp;pr=0&amp;cpl=-1&amp;cpu=-1&amp;yl=-1&amp;yu=-1&amp;ytl=-1&amp;ytu=-1&amp;mtl=-1&amp;mtu=-1&amp;rl=7&amp;ru=7&amp;cll=0" connectionId="1" xr16:uid="{1DB83417-B4F5-4A48-B874-963234FCAE6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1&amp;so=a&amp;sf=m&amp;tc=1&amp;stt=-&amp;pr=0&amp;cpl=-1&amp;cpu=-1&amp;yl=-1&amp;yu=-1&amp;ytl=-1&amp;ytu=-1&amp;mtl=-1&amp;mtu=-1&amp;rl=7&amp;ru=7&amp;cll=0" connectionId="4" xr16:uid="{823FC823-0F4F-42D6-B13F-99652F772D9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2&amp;cll=0&amp;cpl=-1.000000&amp;cpu=-1.000000&amp;mtl=-1&amp;mtu=-1&amp;pr=0&amp;rl=7&amp;ru=7&amp;sf=m&amp;so=a&amp;stt=-&amp;tc=1&amp;yl=-1.000000&amp;ytl=-1.000000&amp;ytu=-1.000000&amp;yu=-1.000000" connectionId="3" xr16:uid="{4C65FAE1-0F44-48AA-81AA-DAECD563EF1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R34" sqref="R3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1A817-51AB-464E-811D-0D0E4B19E3DF}">
  <sheetPr codeName="Sheet2"/>
  <dimension ref="A1:H30"/>
  <sheetViews>
    <sheetView workbookViewId="0">
      <selection activeCell="E14" sqref="E14"/>
    </sheetView>
  </sheetViews>
  <sheetFormatPr defaultRowHeight="13.2" x14ac:dyDescent="0.25"/>
  <cols>
    <col min="1" max="1" width="31.109375" style="2" bestFit="1" customWidth="1"/>
    <col min="2" max="6" width="10.6640625" style="2" customWidth="1"/>
    <col min="7" max="256" width="8.88671875" style="2"/>
    <col min="257" max="257" width="31.109375" style="2" bestFit="1" customWidth="1"/>
    <col min="258" max="262" width="10.6640625" style="2" customWidth="1"/>
    <col min="263" max="512" width="8.88671875" style="2"/>
    <col min="513" max="513" width="31.109375" style="2" bestFit="1" customWidth="1"/>
    <col min="514" max="518" width="10.6640625" style="2" customWidth="1"/>
    <col min="519" max="768" width="8.88671875" style="2"/>
    <col min="769" max="769" width="31.109375" style="2" bestFit="1" customWidth="1"/>
    <col min="770" max="774" width="10.6640625" style="2" customWidth="1"/>
    <col min="775" max="1024" width="8.88671875" style="2"/>
    <col min="1025" max="1025" width="31.109375" style="2" bestFit="1" customWidth="1"/>
    <col min="1026" max="1030" width="10.6640625" style="2" customWidth="1"/>
    <col min="1031" max="1280" width="8.88671875" style="2"/>
    <col min="1281" max="1281" width="31.109375" style="2" bestFit="1" customWidth="1"/>
    <col min="1282" max="1286" width="10.6640625" style="2" customWidth="1"/>
    <col min="1287" max="1536" width="8.88671875" style="2"/>
    <col min="1537" max="1537" width="31.109375" style="2" bestFit="1" customWidth="1"/>
    <col min="1538" max="1542" width="10.6640625" style="2" customWidth="1"/>
    <col min="1543" max="1792" width="8.88671875" style="2"/>
    <col min="1793" max="1793" width="31.109375" style="2" bestFit="1" customWidth="1"/>
    <col min="1794" max="1798" width="10.6640625" style="2" customWidth="1"/>
    <col min="1799" max="2048" width="8.88671875" style="2"/>
    <col min="2049" max="2049" width="31.109375" style="2" bestFit="1" customWidth="1"/>
    <col min="2050" max="2054" width="10.6640625" style="2" customWidth="1"/>
    <col min="2055" max="2304" width="8.88671875" style="2"/>
    <col min="2305" max="2305" width="31.109375" style="2" bestFit="1" customWidth="1"/>
    <col min="2306" max="2310" width="10.6640625" style="2" customWidth="1"/>
    <col min="2311" max="2560" width="8.88671875" style="2"/>
    <col min="2561" max="2561" width="31.109375" style="2" bestFit="1" customWidth="1"/>
    <col min="2562" max="2566" width="10.6640625" style="2" customWidth="1"/>
    <col min="2567" max="2816" width="8.88671875" style="2"/>
    <col min="2817" max="2817" width="31.109375" style="2" bestFit="1" customWidth="1"/>
    <col min="2818" max="2822" width="10.6640625" style="2" customWidth="1"/>
    <col min="2823" max="3072" width="8.88671875" style="2"/>
    <col min="3073" max="3073" width="31.109375" style="2" bestFit="1" customWidth="1"/>
    <col min="3074" max="3078" width="10.6640625" style="2" customWidth="1"/>
    <col min="3079" max="3328" width="8.88671875" style="2"/>
    <col min="3329" max="3329" width="31.109375" style="2" bestFit="1" customWidth="1"/>
    <col min="3330" max="3334" width="10.6640625" style="2" customWidth="1"/>
    <col min="3335" max="3584" width="8.88671875" style="2"/>
    <col min="3585" max="3585" width="31.109375" style="2" bestFit="1" customWidth="1"/>
    <col min="3586" max="3590" width="10.6640625" style="2" customWidth="1"/>
    <col min="3591" max="3840" width="8.88671875" style="2"/>
    <col min="3841" max="3841" width="31.109375" style="2" bestFit="1" customWidth="1"/>
    <col min="3842" max="3846" width="10.6640625" style="2" customWidth="1"/>
    <col min="3847" max="4096" width="8.88671875" style="2"/>
    <col min="4097" max="4097" width="31.109375" style="2" bestFit="1" customWidth="1"/>
    <col min="4098" max="4102" width="10.6640625" style="2" customWidth="1"/>
    <col min="4103" max="4352" width="8.88671875" style="2"/>
    <col min="4353" max="4353" width="31.109375" style="2" bestFit="1" customWidth="1"/>
    <col min="4354" max="4358" width="10.6640625" style="2" customWidth="1"/>
    <col min="4359" max="4608" width="8.88671875" style="2"/>
    <col min="4609" max="4609" width="31.109375" style="2" bestFit="1" customWidth="1"/>
    <col min="4610" max="4614" width="10.6640625" style="2" customWidth="1"/>
    <col min="4615" max="4864" width="8.88671875" style="2"/>
    <col min="4865" max="4865" width="31.109375" style="2" bestFit="1" customWidth="1"/>
    <col min="4866" max="4870" width="10.6640625" style="2" customWidth="1"/>
    <col min="4871" max="5120" width="8.88671875" style="2"/>
    <col min="5121" max="5121" width="31.109375" style="2" bestFit="1" customWidth="1"/>
    <col min="5122" max="5126" width="10.6640625" style="2" customWidth="1"/>
    <col min="5127" max="5376" width="8.88671875" style="2"/>
    <col min="5377" max="5377" width="31.109375" style="2" bestFit="1" customWidth="1"/>
    <col min="5378" max="5382" width="10.6640625" style="2" customWidth="1"/>
    <col min="5383" max="5632" width="8.88671875" style="2"/>
    <col min="5633" max="5633" width="31.109375" style="2" bestFit="1" customWidth="1"/>
    <col min="5634" max="5638" width="10.6640625" style="2" customWidth="1"/>
    <col min="5639" max="5888" width="8.88671875" style="2"/>
    <col min="5889" max="5889" width="31.109375" style="2" bestFit="1" customWidth="1"/>
    <col min="5890" max="5894" width="10.6640625" style="2" customWidth="1"/>
    <col min="5895" max="6144" width="8.88671875" style="2"/>
    <col min="6145" max="6145" width="31.109375" style="2" bestFit="1" customWidth="1"/>
    <col min="6146" max="6150" width="10.6640625" style="2" customWidth="1"/>
    <col min="6151" max="6400" width="8.88671875" style="2"/>
    <col min="6401" max="6401" width="31.109375" style="2" bestFit="1" customWidth="1"/>
    <col min="6402" max="6406" width="10.6640625" style="2" customWidth="1"/>
    <col min="6407" max="6656" width="8.88671875" style="2"/>
    <col min="6657" max="6657" width="31.109375" style="2" bestFit="1" customWidth="1"/>
    <col min="6658" max="6662" width="10.6640625" style="2" customWidth="1"/>
    <col min="6663" max="6912" width="8.88671875" style="2"/>
    <col min="6913" max="6913" width="31.109375" style="2" bestFit="1" customWidth="1"/>
    <col min="6914" max="6918" width="10.6640625" style="2" customWidth="1"/>
    <col min="6919" max="7168" width="8.88671875" style="2"/>
    <col min="7169" max="7169" width="31.109375" style="2" bestFit="1" customWidth="1"/>
    <col min="7170" max="7174" width="10.6640625" style="2" customWidth="1"/>
    <col min="7175" max="7424" width="8.88671875" style="2"/>
    <col min="7425" max="7425" width="31.109375" style="2" bestFit="1" customWidth="1"/>
    <col min="7426" max="7430" width="10.6640625" style="2" customWidth="1"/>
    <col min="7431" max="7680" width="8.88671875" style="2"/>
    <col min="7681" max="7681" width="31.109375" style="2" bestFit="1" customWidth="1"/>
    <col min="7682" max="7686" width="10.6640625" style="2" customWidth="1"/>
    <col min="7687" max="7936" width="8.88671875" style="2"/>
    <col min="7937" max="7937" width="31.109375" style="2" bestFit="1" customWidth="1"/>
    <col min="7938" max="7942" width="10.6640625" style="2" customWidth="1"/>
    <col min="7943" max="8192" width="8.88671875" style="2"/>
    <col min="8193" max="8193" width="31.109375" style="2" bestFit="1" customWidth="1"/>
    <col min="8194" max="8198" width="10.6640625" style="2" customWidth="1"/>
    <col min="8199" max="8448" width="8.88671875" style="2"/>
    <col min="8449" max="8449" width="31.109375" style="2" bestFit="1" customWidth="1"/>
    <col min="8450" max="8454" width="10.6640625" style="2" customWidth="1"/>
    <col min="8455" max="8704" width="8.88671875" style="2"/>
    <col min="8705" max="8705" width="31.109375" style="2" bestFit="1" customWidth="1"/>
    <col min="8706" max="8710" width="10.6640625" style="2" customWidth="1"/>
    <col min="8711" max="8960" width="8.88671875" style="2"/>
    <col min="8961" max="8961" width="31.109375" style="2" bestFit="1" customWidth="1"/>
    <col min="8962" max="8966" width="10.6640625" style="2" customWidth="1"/>
    <col min="8967" max="9216" width="8.88671875" style="2"/>
    <col min="9217" max="9217" width="31.109375" style="2" bestFit="1" customWidth="1"/>
    <col min="9218" max="9222" width="10.6640625" style="2" customWidth="1"/>
    <col min="9223" max="9472" width="8.88671875" style="2"/>
    <col min="9473" max="9473" width="31.109375" style="2" bestFit="1" customWidth="1"/>
    <col min="9474" max="9478" width="10.6640625" style="2" customWidth="1"/>
    <col min="9479" max="9728" width="8.88671875" style="2"/>
    <col min="9729" max="9729" width="31.109375" style="2" bestFit="1" customWidth="1"/>
    <col min="9730" max="9734" width="10.6640625" style="2" customWidth="1"/>
    <col min="9735" max="9984" width="8.88671875" style="2"/>
    <col min="9985" max="9985" width="31.109375" style="2" bestFit="1" customWidth="1"/>
    <col min="9986" max="9990" width="10.6640625" style="2" customWidth="1"/>
    <col min="9991" max="10240" width="8.88671875" style="2"/>
    <col min="10241" max="10241" width="31.109375" style="2" bestFit="1" customWidth="1"/>
    <col min="10242" max="10246" width="10.6640625" style="2" customWidth="1"/>
    <col min="10247" max="10496" width="8.88671875" style="2"/>
    <col min="10497" max="10497" width="31.109375" style="2" bestFit="1" customWidth="1"/>
    <col min="10498" max="10502" width="10.6640625" style="2" customWidth="1"/>
    <col min="10503" max="10752" width="8.88671875" style="2"/>
    <col min="10753" max="10753" width="31.109375" style="2" bestFit="1" customWidth="1"/>
    <col min="10754" max="10758" width="10.6640625" style="2" customWidth="1"/>
    <col min="10759" max="11008" width="8.88671875" style="2"/>
    <col min="11009" max="11009" width="31.109375" style="2" bestFit="1" customWidth="1"/>
    <col min="11010" max="11014" width="10.6640625" style="2" customWidth="1"/>
    <col min="11015" max="11264" width="8.88671875" style="2"/>
    <col min="11265" max="11265" width="31.109375" style="2" bestFit="1" customWidth="1"/>
    <col min="11266" max="11270" width="10.6640625" style="2" customWidth="1"/>
    <col min="11271" max="11520" width="8.88671875" style="2"/>
    <col min="11521" max="11521" width="31.109375" style="2" bestFit="1" customWidth="1"/>
    <col min="11522" max="11526" width="10.6640625" style="2" customWidth="1"/>
    <col min="11527" max="11776" width="8.88671875" style="2"/>
    <col min="11777" max="11777" width="31.109375" style="2" bestFit="1" customWidth="1"/>
    <col min="11778" max="11782" width="10.6640625" style="2" customWidth="1"/>
    <col min="11783" max="12032" width="8.88671875" style="2"/>
    <col min="12033" max="12033" width="31.109375" style="2" bestFit="1" customWidth="1"/>
    <col min="12034" max="12038" width="10.6640625" style="2" customWidth="1"/>
    <col min="12039" max="12288" width="8.88671875" style="2"/>
    <col min="12289" max="12289" width="31.109375" style="2" bestFit="1" customWidth="1"/>
    <col min="12290" max="12294" width="10.6640625" style="2" customWidth="1"/>
    <col min="12295" max="12544" width="8.88671875" style="2"/>
    <col min="12545" max="12545" width="31.109375" style="2" bestFit="1" customWidth="1"/>
    <col min="12546" max="12550" width="10.6640625" style="2" customWidth="1"/>
    <col min="12551" max="12800" width="8.88671875" style="2"/>
    <col min="12801" max="12801" width="31.109375" style="2" bestFit="1" customWidth="1"/>
    <col min="12802" max="12806" width="10.6640625" style="2" customWidth="1"/>
    <col min="12807" max="13056" width="8.88671875" style="2"/>
    <col min="13057" max="13057" width="31.109375" style="2" bestFit="1" customWidth="1"/>
    <col min="13058" max="13062" width="10.6640625" style="2" customWidth="1"/>
    <col min="13063" max="13312" width="8.88671875" style="2"/>
    <col min="13313" max="13313" width="31.109375" style="2" bestFit="1" customWidth="1"/>
    <col min="13314" max="13318" width="10.6640625" style="2" customWidth="1"/>
    <col min="13319" max="13568" width="8.88671875" style="2"/>
    <col min="13569" max="13569" width="31.109375" style="2" bestFit="1" customWidth="1"/>
    <col min="13570" max="13574" width="10.6640625" style="2" customWidth="1"/>
    <col min="13575" max="13824" width="8.88671875" style="2"/>
    <col min="13825" max="13825" width="31.109375" style="2" bestFit="1" customWidth="1"/>
    <col min="13826" max="13830" width="10.6640625" style="2" customWidth="1"/>
    <col min="13831" max="14080" width="8.88671875" style="2"/>
    <col min="14081" max="14081" width="31.109375" style="2" bestFit="1" customWidth="1"/>
    <col min="14082" max="14086" width="10.6640625" style="2" customWidth="1"/>
    <col min="14087" max="14336" width="8.88671875" style="2"/>
    <col min="14337" max="14337" width="31.109375" style="2" bestFit="1" customWidth="1"/>
    <col min="14338" max="14342" width="10.6640625" style="2" customWidth="1"/>
    <col min="14343" max="14592" width="8.88671875" style="2"/>
    <col min="14593" max="14593" width="31.109375" style="2" bestFit="1" customWidth="1"/>
    <col min="14594" max="14598" width="10.6640625" style="2" customWidth="1"/>
    <col min="14599" max="14848" width="8.88671875" style="2"/>
    <col min="14849" max="14849" width="31.109375" style="2" bestFit="1" customWidth="1"/>
    <col min="14850" max="14854" width="10.6640625" style="2" customWidth="1"/>
    <col min="14855" max="15104" width="8.88671875" style="2"/>
    <col min="15105" max="15105" width="31.109375" style="2" bestFit="1" customWidth="1"/>
    <col min="15106" max="15110" width="10.6640625" style="2" customWidth="1"/>
    <col min="15111" max="15360" width="8.88671875" style="2"/>
    <col min="15361" max="15361" width="31.109375" style="2" bestFit="1" customWidth="1"/>
    <col min="15362" max="15366" width="10.6640625" style="2" customWidth="1"/>
    <col min="15367" max="15616" width="8.88671875" style="2"/>
    <col min="15617" max="15617" width="31.109375" style="2" bestFit="1" customWidth="1"/>
    <col min="15618" max="15622" width="10.6640625" style="2" customWidth="1"/>
    <col min="15623" max="15872" width="8.88671875" style="2"/>
    <col min="15873" max="15873" width="31.109375" style="2" bestFit="1" customWidth="1"/>
    <col min="15874" max="15878" width="10.6640625" style="2" customWidth="1"/>
    <col min="15879" max="16128" width="8.88671875" style="2"/>
    <col min="16129" max="16129" width="31.109375" style="2" bestFit="1" customWidth="1"/>
    <col min="16130" max="16134" width="10.6640625" style="2" customWidth="1"/>
    <col min="16135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</row>
    <row r="2" spans="1:8" ht="26.4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</row>
    <row r="3" spans="1:8" x14ac:dyDescent="0.25">
      <c r="A3" s="2" t="s">
        <v>7</v>
      </c>
      <c r="B3" s="4">
        <v>105.5</v>
      </c>
      <c r="C3" s="4">
        <v>11</v>
      </c>
      <c r="D3" s="5">
        <v>39522</v>
      </c>
      <c r="E3" s="6">
        <v>3.1339999999999999</v>
      </c>
      <c r="F3" s="7" t="s">
        <v>8</v>
      </c>
    </row>
    <row r="4" spans="1:8" x14ac:dyDescent="0.25">
      <c r="A4" s="2" t="s">
        <v>9</v>
      </c>
      <c r="B4" s="4">
        <v>102.5</v>
      </c>
      <c r="C4" s="4">
        <v>7.25</v>
      </c>
      <c r="D4" s="5">
        <v>39722</v>
      </c>
      <c r="E4" s="6">
        <v>5.1630000000000003</v>
      </c>
      <c r="F4" s="7" t="s">
        <v>8</v>
      </c>
    </row>
    <row r="5" spans="1:8" x14ac:dyDescent="0.25">
      <c r="A5" s="2" t="s">
        <v>10</v>
      </c>
      <c r="B5" s="4">
        <v>101.75</v>
      </c>
      <c r="C5" s="4">
        <v>6.75</v>
      </c>
      <c r="D5" s="5">
        <v>39833</v>
      </c>
      <c r="E5" s="6">
        <v>5.5609999999999999</v>
      </c>
      <c r="F5" s="7" t="s">
        <v>8</v>
      </c>
    </row>
    <row r="6" spans="1:8" x14ac:dyDescent="0.25">
      <c r="A6" s="2" t="s">
        <v>11</v>
      </c>
      <c r="B6" s="4">
        <v>88.75</v>
      </c>
      <c r="C6" s="4">
        <v>1.75</v>
      </c>
      <c r="D6" s="5">
        <v>40148</v>
      </c>
      <c r="E6" s="6">
        <v>6.8639999999999999</v>
      </c>
      <c r="F6" s="7" t="s">
        <v>8</v>
      </c>
    </row>
    <row r="7" spans="1:8" x14ac:dyDescent="0.25">
      <c r="A7" s="2" t="s">
        <v>7</v>
      </c>
      <c r="B7" s="4">
        <v>98.75</v>
      </c>
      <c r="C7" s="4">
        <v>6</v>
      </c>
      <c r="D7" s="5">
        <v>40252</v>
      </c>
      <c r="E7" s="6">
        <v>6.5049999999999999</v>
      </c>
      <c r="F7" s="7" t="s">
        <v>8</v>
      </c>
      <c r="H7" s="8" t="s">
        <v>12</v>
      </c>
    </row>
    <row r="8" spans="1:8" x14ac:dyDescent="0.25">
      <c r="A8" s="2" t="s">
        <v>13</v>
      </c>
      <c r="B8" s="4">
        <v>102.75</v>
      </c>
      <c r="C8" s="4">
        <v>8.25</v>
      </c>
      <c r="D8" s="5">
        <v>40391</v>
      </c>
      <c r="E8" s="6">
        <v>7.2370000000000001</v>
      </c>
      <c r="F8" s="7" t="s">
        <v>8</v>
      </c>
    </row>
    <row r="9" spans="1:8" x14ac:dyDescent="0.25">
      <c r="A9" s="2" t="s">
        <v>14</v>
      </c>
      <c r="B9" s="4">
        <v>59</v>
      </c>
      <c r="C9" s="4">
        <v>8.5</v>
      </c>
      <c r="D9" s="5">
        <v>40575</v>
      </c>
      <c r="E9" s="6">
        <v>27.02</v>
      </c>
      <c r="F9" s="7" t="s">
        <v>8</v>
      </c>
    </row>
    <row r="10" spans="1:8" x14ac:dyDescent="0.25">
      <c r="A10" s="2" t="s">
        <v>15</v>
      </c>
      <c r="B10" s="4">
        <v>97</v>
      </c>
      <c r="C10" s="4">
        <v>7.625</v>
      </c>
      <c r="D10" s="5">
        <v>40756</v>
      </c>
      <c r="E10" s="6">
        <v>8.5050000000000008</v>
      </c>
      <c r="F10" s="7" t="s">
        <v>8</v>
      </c>
    </row>
    <row r="11" spans="1:8" x14ac:dyDescent="0.25">
      <c r="A11" s="2" t="s">
        <v>16</v>
      </c>
      <c r="B11" s="4">
        <v>94</v>
      </c>
      <c r="C11" s="4">
        <v>6.375</v>
      </c>
      <c r="D11" s="5">
        <v>40878</v>
      </c>
      <c r="E11" s="6">
        <v>8.01</v>
      </c>
      <c r="F11" s="7" t="s">
        <v>8</v>
      </c>
    </row>
    <row r="12" spans="1:8" x14ac:dyDescent="0.25">
      <c r="A12" s="2" t="s">
        <v>14</v>
      </c>
      <c r="B12" s="4">
        <v>58</v>
      </c>
      <c r="C12" s="4">
        <v>7.75</v>
      </c>
      <c r="D12" s="5">
        <v>40983</v>
      </c>
      <c r="E12" s="6">
        <v>22.696000000000002</v>
      </c>
      <c r="F12" s="7" t="s">
        <v>8</v>
      </c>
    </row>
    <row r="13" spans="1:8" x14ac:dyDescent="0.25">
      <c r="A13" s="2" t="s">
        <v>16</v>
      </c>
      <c r="B13" s="4">
        <v>93.5</v>
      </c>
      <c r="C13" s="4">
        <v>6.5</v>
      </c>
      <c r="D13" s="5">
        <v>41061</v>
      </c>
      <c r="E13" s="6">
        <v>8.1259999999999994</v>
      </c>
      <c r="F13" s="7" t="s">
        <v>8</v>
      </c>
    </row>
    <row r="14" spans="1:8" x14ac:dyDescent="0.25">
      <c r="A14" s="2" t="s">
        <v>17</v>
      </c>
      <c r="B14" s="4">
        <v>106</v>
      </c>
      <c r="C14" s="4">
        <v>9</v>
      </c>
      <c r="D14" s="5">
        <v>41122</v>
      </c>
      <c r="E14" s="6">
        <v>7.556</v>
      </c>
      <c r="F14" s="7" t="s">
        <v>8</v>
      </c>
    </row>
    <row r="15" spans="1:8" x14ac:dyDescent="0.25">
      <c r="A15" s="2" t="s">
        <v>16</v>
      </c>
      <c r="B15" s="4">
        <v>93.5</v>
      </c>
      <c r="C15" s="4">
        <v>7.375</v>
      </c>
      <c r="D15" s="5">
        <v>41306</v>
      </c>
      <c r="E15" s="6">
        <v>8.8719999999999999</v>
      </c>
      <c r="F15" s="7" t="s">
        <v>8</v>
      </c>
    </row>
    <row r="16" spans="1:8" x14ac:dyDescent="0.25">
      <c r="A16" s="2" t="s">
        <v>15</v>
      </c>
      <c r="B16" s="4">
        <v>93.5</v>
      </c>
      <c r="C16" s="4">
        <v>7.875</v>
      </c>
      <c r="D16" s="5">
        <v>41379</v>
      </c>
      <c r="E16" s="6">
        <v>9.3480000000000008</v>
      </c>
      <c r="F16" s="7" t="s">
        <v>8</v>
      </c>
    </row>
    <row r="17" spans="1:6" x14ac:dyDescent="0.25">
      <c r="A17" s="2" t="s">
        <v>18</v>
      </c>
      <c r="B17" s="4">
        <v>86</v>
      </c>
      <c r="C17" s="4">
        <v>8.375</v>
      </c>
      <c r="D17" s="5">
        <v>41426</v>
      </c>
      <c r="E17" s="6">
        <v>11.714</v>
      </c>
      <c r="F17" s="7" t="s">
        <v>8</v>
      </c>
    </row>
    <row r="18" spans="1:6" x14ac:dyDescent="0.25">
      <c r="A18" s="2" t="s">
        <v>18</v>
      </c>
      <c r="B18" s="4">
        <v>86</v>
      </c>
      <c r="C18" s="4">
        <v>8.375</v>
      </c>
      <c r="D18" s="5">
        <v>41426</v>
      </c>
      <c r="E18" s="6">
        <v>11.714</v>
      </c>
      <c r="F18" s="7" t="s">
        <v>8</v>
      </c>
    </row>
    <row r="19" spans="1:6" x14ac:dyDescent="0.25">
      <c r="A19" s="2" t="s">
        <v>19</v>
      </c>
      <c r="B19" s="4">
        <v>91</v>
      </c>
      <c r="C19" s="4">
        <v>6.875</v>
      </c>
      <c r="D19" s="5">
        <v>41501</v>
      </c>
      <c r="E19" s="6">
        <v>8.8030000000000008</v>
      </c>
      <c r="F19" s="7" t="s">
        <v>8</v>
      </c>
    </row>
    <row r="20" spans="1:6" x14ac:dyDescent="0.25">
      <c r="A20" s="2" t="s">
        <v>20</v>
      </c>
      <c r="B20" s="4">
        <v>95.5</v>
      </c>
      <c r="C20" s="4">
        <v>7.11</v>
      </c>
      <c r="D20" s="5">
        <v>41659</v>
      </c>
      <c r="E20" s="6">
        <v>8.0030000000000001</v>
      </c>
      <c r="F20" s="7" t="s">
        <v>8</v>
      </c>
    </row>
    <row r="21" spans="1:6" x14ac:dyDescent="0.25">
      <c r="A21" s="2" t="s">
        <v>13</v>
      </c>
      <c r="B21" s="4">
        <v>89.25</v>
      </c>
      <c r="C21" s="4">
        <v>7</v>
      </c>
      <c r="D21" s="5">
        <v>41708</v>
      </c>
      <c r="E21" s="6">
        <v>9.18</v>
      </c>
      <c r="F21" s="7" t="s">
        <v>8</v>
      </c>
    </row>
    <row r="22" spans="1:6" x14ac:dyDescent="0.25">
      <c r="A22" s="2" t="s">
        <v>16</v>
      </c>
      <c r="B22" s="4">
        <v>102</v>
      </c>
      <c r="C22" s="4">
        <v>9.875</v>
      </c>
      <c r="D22" s="5">
        <v>41821</v>
      </c>
      <c r="E22" s="6">
        <v>9.4779999999999998</v>
      </c>
      <c r="F22" s="7" t="s">
        <v>8</v>
      </c>
    </row>
    <row r="23" spans="1:6" x14ac:dyDescent="0.25">
      <c r="A23" s="2" t="s">
        <v>16</v>
      </c>
      <c r="B23" s="4">
        <v>99</v>
      </c>
      <c r="C23" s="4">
        <v>9.25</v>
      </c>
      <c r="D23" s="5">
        <v>42036</v>
      </c>
      <c r="E23" s="6">
        <v>9.4339999999999993</v>
      </c>
      <c r="F23" s="7" t="s">
        <v>8</v>
      </c>
    </row>
    <row r="24" spans="1:6" x14ac:dyDescent="0.25">
      <c r="A24" s="2" t="s">
        <v>17</v>
      </c>
      <c r="B24" s="4">
        <v>102.49</v>
      </c>
      <c r="C24" s="4">
        <v>9</v>
      </c>
      <c r="D24" s="5">
        <v>42628</v>
      </c>
      <c r="E24" s="6">
        <v>8.6</v>
      </c>
      <c r="F24" s="7" t="s">
        <v>8</v>
      </c>
    </row>
    <row r="25" spans="1:6" x14ac:dyDescent="0.25">
      <c r="A25" s="2" t="s">
        <v>15</v>
      </c>
      <c r="B25" s="4">
        <v>90</v>
      </c>
      <c r="C25" s="4">
        <v>7.375</v>
      </c>
      <c r="D25" s="5">
        <v>43388</v>
      </c>
      <c r="E25" s="6">
        <v>8.7859999999999996</v>
      </c>
      <c r="F25" s="7" t="s">
        <v>8</v>
      </c>
    </row>
    <row r="26" spans="1:6" x14ac:dyDescent="0.25">
      <c r="A26" s="2" t="s">
        <v>21</v>
      </c>
      <c r="B26" s="4">
        <v>102.5</v>
      </c>
      <c r="C26" s="4">
        <v>9.1999999999999993</v>
      </c>
      <c r="D26" s="5">
        <v>44270</v>
      </c>
      <c r="E26" s="6">
        <v>8.8780000000000001</v>
      </c>
      <c r="F26" s="7" t="s">
        <v>8</v>
      </c>
    </row>
    <row r="27" spans="1:6" x14ac:dyDescent="0.25">
      <c r="A27" s="2" t="s">
        <v>21</v>
      </c>
      <c r="B27" s="4">
        <v>92.62</v>
      </c>
      <c r="C27" s="4">
        <v>7.875</v>
      </c>
      <c r="D27" s="5">
        <v>44972</v>
      </c>
      <c r="E27" s="6">
        <v>8.7479999999999993</v>
      </c>
      <c r="F27" s="7" t="s">
        <v>8</v>
      </c>
    </row>
    <row r="28" spans="1:6" x14ac:dyDescent="0.25">
      <c r="A28" s="2" t="s">
        <v>19</v>
      </c>
      <c r="B28" s="4">
        <v>89</v>
      </c>
      <c r="C28" s="4">
        <v>7.7</v>
      </c>
      <c r="D28" s="5">
        <v>46433</v>
      </c>
      <c r="E28" s="6">
        <v>8.8930000000000007</v>
      </c>
      <c r="F28" s="7" t="s">
        <v>8</v>
      </c>
    </row>
    <row r="29" spans="1:6" x14ac:dyDescent="0.25">
      <c r="A29" s="2" t="s">
        <v>16</v>
      </c>
      <c r="B29" s="4">
        <v>83</v>
      </c>
      <c r="C29" s="4">
        <v>6.875</v>
      </c>
      <c r="D29" s="5">
        <v>48167</v>
      </c>
      <c r="E29" s="6">
        <v>8.5429999999999993</v>
      </c>
      <c r="F29" s="7" t="s">
        <v>8</v>
      </c>
    </row>
    <row r="30" spans="1:6" x14ac:dyDescent="0.25">
      <c r="A30" s="2" t="s">
        <v>9</v>
      </c>
      <c r="B30" s="4">
        <v>96.25</v>
      </c>
      <c r="C30" s="4">
        <v>9.98</v>
      </c>
      <c r="D30" s="5">
        <v>53738</v>
      </c>
      <c r="E30" s="6">
        <v>10.374000000000001</v>
      </c>
      <c r="F30" s="7" t="s">
        <v>8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FFAD1-4FC3-4A52-9731-FE44FAFDD953}">
  <sheetPr codeName="Sheet3"/>
  <dimension ref="A1:H30"/>
  <sheetViews>
    <sheetView tabSelected="1" workbookViewId="0">
      <selection activeCell="H40" sqref="H40"/>
    </sheetView>
  </sheetViews>
  <sheetFormatPr defaultRowHeight="13.2" x14ac:dyDescent="0.25"/>
  <cols>
    <col min="1" max="1" width="31.109375" style="2" bestFit="1" customWidth="1"/>
    <col min="2" max="2" width="7" style="2" bestFit="1" customWidth="1"/>
    <col min="3" max="3" width="10.109375" style="2" bestFit="1" customWidth="1"/>
    <col min="4" max="4" width="10.88671875" style="2" bestFit="1" customWidth="1"/>
    <col min="5" max="5" width="7.6640625" style="2" bestFit="1" customWidth="1"/>
    <col min="6" max="6" width="12" style="2" bestFit="1" customWidth="1"/>
    <col min="7" max="7" width="8.88671875" style="2"/>
    <col min="8" max="8" width="27.88671875" style="2" bestFit="1" customWidth="1"/>
    <col min="9" max="256" width="8.88671875" style="2"/>
    <col min="257" max="257" width="31.109375" style="2" bestFit="1" customWidth="1"/>
    <col min="258" max="258" width="7" style="2" bestFit="1" customWidth="1"/>
    <col min="259" max="259" width="10.109375" style="2" bestFit="1" customWidth="1"/>
    <col min="260" max="260" width="10.88671875" style="2" bestFit="1" customWidth="1"/>
    <col min="261" max="261" width="7.6640625" style="2" bestFit="1" customWidth="1"/>
    <col min="262" max="262" width="12" style="2" bestFit="1" customWidth="1"/>
    <col min="263" max="263" width="8.88671875" style="2"/>
    <col min="264" max="264" width="27.88671875" style="2" bestFit="1" customWidth="1"/>
    <col min="265" max="512" width="8.88671875" style="2"/>
    <col min="513" max="513" width="31.109375" style="2" bestFit="1" customWidth="1"/>
    <col min="514" max="514" width="7" style="2" bestFit="1" customWidth="1"/>
    <col min="515" max="515" width="10.109375" style="2" bestFit="1" customWidth="1"/>
    <col min="516" max="516" width="10.88671875" style="2" bestFit="1" customWidth="1"/>
    <col min="517" max="517" width="7.6640625" style="2" bestFit="1" customWidth="1"/>
    <col min="518" max="518" width="12" style="2" bestFit="1" customWidth="1"/>
    <col min="519" max="519" width="8.88671875" style="2"/>
    <col min="520" max="520" width="27.88671875" style="2" bestFit="1" customWidth="1"/>
    <col min="521" max="768" width="8.88671875" style="2"/>
    <col min="769" max="769" width="31.109375" style="2" bestFit="1" customWidth="1"/>
    <col min="770" max="770" width="7" style="2" bestFit="1" customWidth="1"/>
    <col min="771" max="771" width="10.109375" style="2" bestFit="1" customWidth="1"/>
    <col min="772" max="772" width="10.88671875" style="2" bestFit="1" customWidth="1"/>
    <col min="773" max="773" width="7.6640625" style="2" bestFit="1" customWidth="1"/>
    <col min="774" max="774" width="12" style="2" bestFit="1" customWidth="1"/>
    <col min="775" max="775" width="8.88671875" style="2"/>
    <col min="776" max="776" width="27.88671875" style="2" bestFit="1" customWidth="1"/>
    <col min="777" max="1024" width="8.88671875" style="2"/>
    <col min="1025" max="1025" width="31.109375" style="2" bestFit="1" customWidth="1"/>
    <col min="1026" max="1026" width="7" style="2" bestFit="1" customWidth="1"/>
    <col min="1027" max="1027" width="10.109375" style="2" bestFit="1" customWidth="1"/>
    <col min="1028" max="1028" width="10.88671875" style="2" bestFit="1" customWidth="1"/>
    <col min="1029" max="1029" width="7.6640625" style="2" bestFit="1" customWidth="1"/>
    <col min="1030" max="1030" width="12" style="2" bestFit="1" customWidth="1"/>
    <col min="1031" max="1031" width="8.88671875" style="2"/>
    <col min="1032" max="1032" width="27.88671875" style="2" bestFit="1" customWidth="1"/>
    <col min="1033" max="1280" width="8.88671875" style="2"/>
    <col min="1281" max="1281" width="31.109375" style="2" bestFit="1" customWidth="1"/>
    <col min="1282" max="1282" width="7" style="2" bestFit="1" customWidth="1"/>
    <col min="1283" max="1283" width="10.109375" style="2" bestFit="1" customWidth="1"/>
    <col min="1284" max="1284" width="10.88671875" style="2" bestFit="1" customWidth="1"/>
    <col min="1285" max="1285" width="7.6640625" style="2" bestFit="1" customWidth="1"/>
    <col min="1286" max="1286" width="12" style="2" bestFit="1" customWidth="1"/>
    <col min="1287" max="1287" width="8.88671875" style="2"/>
    <col min="1288" max="1288" width="27.88671875" style="2" bestFit="1" customWidth="1"/>
    <col min="1289" max="1536" width="8.88671875" style="2"/>
    <col min="1537" max="1537" width="31.109375" style="2" bestFit="1" customWidth="1"/>
    <col min="1538" max="1538" width="7" style="2" bestFit="1" customWidth="1"/>
    <col min="1539" max="1539" width="10.109375" style="2" bestFit="1" customWidth="1"/>
    <col min="1540" max="1540" width="10.88671875" style="2" bestFit="1" customWidth="1"/>
    <col min="1541" max="1541" width="7.6640625" style="2" bestFit="1" customWidth="1"/>
    <col min="1542" max="1542" width="12" style="2" bestFit="1" customWidth="1"/>
    <col min="1543" max="1543" width="8.88671875" style="2"/>
    <col min="1544" max="1544" width="27.88671875" style="2" bestFit="1" customWidth="1"/>
    <col min="1545" max="1792" width="8.88671875" style="2"/>
    <col min="1793" max="1793" width="31.109375" style="2" bestFit="1" customWidth="1"/>
    <col min="1794" max="1794" width="7" style="2" bestFit="1" customWidth="1"/>
    <col min="1795" max="1795" width="10.109375" style="2" bestFit="1" customWidth="1"/>
    <col min="1796" max="1796" width="10.88671875" style="2" bestFit="1" customWidth="1"/>
    <col min="1797" max="1797" width="7.6640625" style="2" bestFit="1" customWidth="1"/>
    <col min="1798" max="1798" width="12" style="2" bestFit="1" customWidth="1"/>
    <col min="1799" max="1799" width="8.88671875" style="2"/>
    <col min="1800" max="1800" width="27.88671875" style="2" bestFit="1" customWidth="1"/>
    <col min="1801" max="2048" width="8.88671875" style="2"/>
    <col min="2049" max="2049" width="31.109375" style="2" bestFit="1" customWidth="1"/>
    <col min="2050" max="2050" width="7" style="2" bestFit="1" customWidth="1"/>
    <col min="2051" max="2051" width="10.109375" style="2" bestFit="1" customWidth="1"/>
    <col min="2052" max="2052" width="10.88671875" style="2" bestFit="1" customWidth="1"/>
    <col min="2053" max="2053" width="7.6640625" style="2" bestFit="1" customWidth="1"/>
    <col min="2054" max="2054" width="12" style="2" bestFit="1" customWidth="1"/>
    <col min="2055" max="2055" width="8.88671875" style="2"/>
    <col min="2056" max="2056" width="27.88671875" style="2" bestFit="1" customWidth="1"/>
    <col min="2057" max="2304" width="8.88671875" style="2"/>
    <col min="2305" max="2305" width="31.109375" style="2" bestFit="1" customWidth="1"/>
    <col min="2306" max="2306" width="7" style="2" bestFit="1" customWidth="1"/>
    <col min="2307" max="2307" width="10.109375" style="2" bestFit="1" customWidth="1"/>
    <col min="2308" max="2308" width="10.88671875" style="2" bestFit="1" customWidth="1"/>
    <col min="2309" max="2309" width="7.6640625" style="2" bestFit="1" customWidth="1"/>
    <col min="2310" max="2310" width="12" style="2" bestFit="1" customWidth="1"/>
    <col min="2311" max="2311" width="8.88671875" style="2"/>
    <col min="2312" max="2312" width="27.88671875" style="2" bestFit="1" customWidth="1"/>
    <col min="2313" max="2560" width="8.88671875" style="2"/>
    <col min="2561" max="2561" width="31.109375" style="2" bestFit="1" customWidth="1"/>
    <col min="2562" max="2562" width="7" style="2" bestFit="1" customWidth="1"/>
    <col min="2563" max="2563" width="10.109375" style="2" bestFit="1" customWidth="1"/>
    <col min="2564" max="2564" width="10.88671875" style="2" bestFit="1" customWidth="1"/>
    <col min="2565" max="2565" width="7.6640625" style="2" bestFit="1" customWidth="1"/>
    <col min="2566" max="2566" width="12" style="2" bestFit="1" customWidth="1"/>
    <col min="2567" max="2567" width="8.88671875" style="2"/>
    <col min="2568" max="2568" width="27.88671875" style="2" bestFit="1" customWidth="1"/>
    <col min="2569" max="2816" width="8.88671875" style="2"/>
    <col min="2817" max="2817" width="31.109375" style="2" bestFit="1" customWidth="1"/>
    <col min="2818" max="2818" width="7" style="2" bestFit="1" customWidth="1"/>
    <col min="2819" max="2819" width="10.109375" style="2" bestFit="1" customWidth="1"/>
    <col min="2820" max="2820" width="10.88671875" style="2" bestFit="1" customWidth="1"/>
    <col min="2821" max="2821" width="7.6640625" style="2" bestFit="1" customWidth="1"/>
    <col min="2822" max="2822" width="12" style="2" bestFit="1" customWidth="1"/>
    <col min="2823" max="2823" width="8.88671875" style="2"/>
    <col min="2824" max="2824" width="27.88671875" style="2" bestFit="1" customWidth="1"/>
    <col min="2825" max="3072" width="8.88671875" style="2"/>
    <col min="3073" max="3073" width="31.109375" style="2" bestFit="1" customWidth="1"/>
    <col min="3074" max="3074" width="7" style="2" bestFit="1" customWidth="1"/>
    <col min="3075" max="3075" width="10.109375" style="2" bestFit="1" customWidth="1"/>
    <col min="3076" max="3076" width="10.88671875" style="2" bestFit="1" customWidth="1"/>
    <col min="3077" max="3077" width="7.6640625" style="2" bestFit="1" customWidth="1"/>
    <col min="3078" max="3078" width="12" style="2" bestFit="1" customWidth="1"/>
    <col min="3079" max="3079" width="8.88671875" style="2"/>
    <col min="3080" max="3080" width="27.88671875" style="2" bestFit="1" customWidth="1"/>
    <col min="3081" max="3328" width="8.88671875" style="2"/>
    <col min="3329" max="3329" width="31.109375" style="2" bestFit="1" customWidth="1"/>
    <col min="3330" max="3330" width="7" style="2" bestFit="1" customWidth="1"/>
    <col min="3331" max="3331" width="10.109375" style="2" bestFit="1" customWidth="1"/>
    <col min="3332" max="3332" width="10.88671875" style="2" bestFit="1" customWidth="1"/>
    <col min="3333" max="3333" width="7.6640625" style="2" bestFit="1" customWidth="1"/>
    <col min="3334" max="3334" width="12" style="2" bestFit="1" customWidth="1"/>
    <col min="3335" max="3335" width="8.88671875" style="2"/>
    <col min="3336" max="3336" width="27.88671875" style="2" bestFit="1" customWidth="1"/>
    <col min="3337" max="3584" width="8.88671875" style="2"/>
    <col min="3585" max="3585" width="31.109375" style="2" bestFit="1" customWidth="1"/>
    <col min="3586" max="3586" width="7" style="2" bestFit="1" customWidth="1"/>
    <col min="3587" max="3587" width="10.109375" style="2" bestFit="1" customWidth="1"/>
    <col min="3588" max="3588" width="10.88671875" style="2" bestFit="1" customWidth="1"/>
    <col min="3589" max="3589" width="7.6640625" style="2" bestFit="1" customWidth="1"/>
    <col min="3590" max="3590" width="12" style="2" bestFit="1" customWidth="1"/>
    <col min="3591" max="3591" width="8.88671875" style="2"/>
    <col min="3592" max="3592" width="27.88671875" style="2" bestFit="1" customWidth="1"/>
    <col min="3593" max="3840" width="8.88671875" style="2"/>
    <col min="3841" max="3841" width="31.109375" style="2" bestFit="1" customWidth="1"/>
    <col min="3842" max="3842" width="7" style="2" bestFit="1" customWidth="1"/>
    <col min="3843" max="3843" width="10.109375" style="2" bestFit="1" customWidth="1"/>
    <col min="3844" max="3844" width="10.88671875" style="2" bestFit="1" customWidth="1"/>
    <col min="3845" max="3845" width="7.6640625" style="2" bestFit="1" customWidth="1"/>
    <col min="3846" max="3846" width="12" style="2" bestFit="1" customWidth="1"/>
    <col min="3847" max="3847" width="8.88671875" style="2"/>
    <col min="3848" max="3848" width="27.88671875" style="2" bestFit="1" customWidth="1"/>
    <col min="3849" max="4096" width="8.88671875" style="2"/>
    <col min="4097" max="4097" width="31.109375" style="2" bestFit="1" customWidth="1"/>
    <col min="4098" max="4098" width="7" style="2" bestFit="1" customWidth="1"/>
    <col min="4099" max="4099" width="10.109375" style="2" bestFit="1" customWidth="1"/>
    <col min="4100" max="4100" width="10.88671875" style="2" bestFit="1" customWidth="1"/>
    <col min="4101" max="4101" width="7.6640625" style="2" bestFit="1" customWidth="1"/>
    <col min="4102" max="4102" width="12" style="2" bestFit="1" customWidth="1"/>
    <col min="4103" max="4103" width="8.88671875" style="2"/>
    <col min="4104" max="4104" width="27.88671875" style="2" bestFit="1" customWidth="1"/>
    <col min="4105" max="4352" width="8.88671875" style="2"/>
    <col min="4353" max="4353" width="31.109375" style="2" bestFit="1" customWidth="1"/>
    <col min="4354" max="4354" width="7" style="2" bestFit="1" customWidth="1"/>
    <col min="4355" max="4355" width="10.109375" style="2" bestFit="1" customWidth="1"/>
    <col min="4356" max="4356" width="10.88671875" style="2" bestFit="1" customWidth="1"/>
    <col min="4357" max="4357" width="7.6640625" style="2" bestFit="1" customWidth="1"/>
    <col min="4358" max="4358" width="12" style="2" bestFit="1" customWidth="1"/>
    <col min="4359" max="4359" width="8.88671875" style="2"/>
    <col min="4360" max="4360" width="27.88671875" style="2" bestFit="1" customWidth="1"/>
    <col min="4361" max="4608" width="8.88671875" style="2"/>
    <col min="4609" max="4609" width="31.109375" style="2" bestFit="1" customWidth="1"/>
    <col min="4610" max="4610" width="7" style="2" bestFit="1" customWidth="1"/>
    <col min="4611" max="4611" width="10.109375" style="2" bestFit="1" customWidth="1"/>
    <col min="4612" max="4612" width="10.88671875" style="2" bestFit="1" customWidth="1"/>
    <col min="4613" max="4613" width="7.6640625" style="2" bestFit="1" customWidth="1"/>
    <col min="4614" max="4614" width="12" style="2" bestFit="1" customWidth="1"/>
    <col min="4615" max="4615" width="8.88671875" style="2"/>
    <col min="4616" max="4616" width="27.88671875" style="2" bestFit="1" customWidth="1"/>
    <col min="4617" max="4864" width="8.88671875" style="2"/>
    <col min="4865" max="4865" width="31.109375" style="2" bestFit="1" customWidth="1"/>
    <col min="4866" max="4866" width="7" style="2" bestFit="1" customWidth="1"/>
    <col min="4867" max="4867" width="10.109375" style="2" bestFit="1" customWidth="1"/>
    <col min="4868" max="4868" width="10.88671875" style="2" bestFit="1" customWidth="1"/>
    <col min="4869" max="4869" width="7.6640625" style="2" bestFit="1" customWidth="1"/>
    <col min="4870" max="4870" width="12" style="2" bestFit="1" customWidth="1"/>
    <col min="4871" max="4871" width="8.88671875" style="2"/>
    <col min="4872" max="4872" width="27.88671875" style="2" bestFit="1" customWidth="1"/>
    <col min="4873" max="5120" width="8.88671875" style="2"/>
    <col min="5121" max="5121" width="31.109375" style="2" bestFit="1" customWidth="1"/>
    <col min="5122" max="5122" width="7" style="2" bestFit="1" customWidth="1"/>
    <col min="5123" max="5123" width="10.109375" style="2" bestFit="1" customWidth="1"/>
    <col min="5124" max="5124" width="10.88671875" style="2" bestFit="1" customWidth="1"/>
    <col min="5125" max="5125" width="7.6640625" style="2" bestFit="1" customWidth="1"/>
    <col min="5126" max="5126" width="12" style="2" bestFit="1" customWidth="1"/>
    <col min="5127" max="5127" width="8.88671875" style="2"/>
    <col min="5128" max="5128" width="27.88671875" style="2" bestFit="1" customWidth="1"/>
    <col min="5129" max="5376" width="8.88671875" style="2"/>
    <col min="5377" max="5377" width="31.109375" style="2" bestFit="1" customWidth="1"/>
    <col min="5378" max="5378" width="7" style="2" bestFit="1" customWidth="1"/>
    <col min="5379" max="5379" width="10.109375" style="2" bestFit="1" customWidth="1"/>
    <col min="5380" max="5380" width="10.88671875" style="2" bestFit="1" customWidth="1"/>
    <col min="5381" max="5381" width="7.6640625" style="2" bestFit="1" customWidth="1"/>
    <col min="5382" max="5382" width="12" style="2" bestFit="1" customWidth="1"/>
    <col min="5383" max="5383" width="8.88671875" style="2"/>
    <col min="5384" max="5384" width="27.88671875" style="2" bestFit="1" customWidth="1"/>
    <col min="5385" max="5632" width="8.88671875" style="2"/>
    <col min="5633" max="5633" width="31.109375" style="2" bestFit="1" customWidth="1"/>
    <col min="5634" max="5634" width="7" style="2" bestFit="1" customWidth="1"/>
    <col min="5635" max="5635" width="10.109375" style="2" bestFit="1" customWidth="1"/>
    <col min="5636" max="5636" width="10.88671875" style="2" bestFit="1" customWidth="1"/>
    <col min="5637" max="5637" width="7.6640625" style="2" bestFit="1" customWidth="1"/>
    <col min="5638" max="5638" width="12" style="2" bestFit="1" customWidth="1"/>
    <col min="5639" max="5639" width="8.88671875" style="2"/>
    <col min="5640" max="5640" width="27.88671875" style="2" bestFit="1" customWidth="1"/>
    <col min="5641" max="5888" width="8.88671875" style="2"/>
    <col min="5889" max="5889" width="31.109375" style="2" bestFit="1" customWidth="1"/>
    <col min="5890" max="5890" width="7" style="2" bestFit="1" customWidth="1"/>
    <col min="5891" max="5891" width="10.109375" style="2" bestFit="1" customWidth="1"/>
    <col min="5892" max="5892" width="10.88671875" style="2" bestFit="1" customWidth="1"/>
    <col min="5893" max="5893" width="7.6640625" style="2" bestFit="1" customWidth="1"/>
    <col min="5894" max="5894" width="12" style="2" bestFit="1" customWidth="1"/>
    <col min="5895" max="5895" width="8.88671875" style="2"/>
    <col min="5896" max="5896" width="27.88671875" style="2" bestFit="1" customWidth="1"/>
    <col min="5897" max="6144" width="8.88671875" style="2"/>
    <col min="6145" max="6145" width="31.109375" style="2" bestFit="1" customWidth="1"/>
    <col min="6146" max="6146" width="7" style="2" bestFit="1" customWidth="1"/>
    <col min="6147" max="6147" width="10.109375" style="2" bestFit="1" customWidth="1"/>
    <col min="6148" max="6148" width="10.88671875" style="2" bestFit="1" customWidth="1"/>
    <col min="6149" max="6149" width="7.6640625" style="2" bestFit="1" customWidth="1"/>
    <col min="6150" max="6150" width="12" style="2" bestFit="1" customWidth="1"/>
    <col min="6151" max="6151" width="8.88671875" style="2"/>
    <col min="6152" max="6152" width="27.88671875" style="2" bestFit="1" customWidth="1"/>
    <col min="6153" max="6400" width="8.88671875" style="2"/>
    <col min="6401" max="6401" width="31.109375" style="2" bestFit="1" customWidth="1"/>
    <col min="6402" max="6402" width="7" style="2" bestFit="1" customWidth="1"/>
    <col min="6403" max="6403" width="10.109375" style="2" bestFit="1" customWidth="1"/>
    <col min="6404" max="6404" width="10.88671875" style="2" bestFit="1" customWidth="1"/>
    <col min="6405" max="6405" width="7.6640625" style="2" bestFit="1" customWidth="1"/>
    <col min="6406" max="6406" width="12" style="2" bestFit="1" customWidth="1"/>
    <col min="6407" max="6407" width="8.88671875" style="2"/>
    <col min="6408" max="6408" width="27.88671875" style="2" bestFit="1" customWidth="1"/>
    <col min="6409" max="6656" width="8.88671875" style="2"/>
    <col min="6657" max="6657" width="31.109375" style="2" bestFit="1" customWidth="1"/>
    <col min="6658" max="6658" width="7" style="2" bestFit="1" customWidth="1"/>
    <col min="6659" max="6659" width="10.109375" style="2" bestFit="1" customWidth="1"/>
    <col min="6660" max="6660" width="10.88671875" style="2" bestFit="1" customWidth="1"/>
    <col min="6661" max="6661" width="7.6640625" style="2" bestFit="1" customWidth="1"/>
    <col min="6662" max="6662" width="12" style="2" bestFit="1" customWidth="1"/>
    <col min="6663" max="6663" width="8.88671875" style="2"/>
    <col min="6664" max="6664" width="27.88671875" style="2" bestFit="1" customWidth="1"/>
    <col min="6665" max="6912" width="8.88671875" style="2"/>
    <col min="6913" max="6913" width="31.109375" style="2" bestFit="1" customWidth="1"/>
    <col min="6914" max="6914" width="7" style="2" bestFit="1" customWidth="1"/>
    <col min="6915" max="6915" width="10.109375" style="2" bestFit="1" customWidth="1"/>
    <col min="6916" max="6916" width="10.88671875" style="2" bestFit="1" customWidth="1"/>
    <col min="6917" max="6917" width="7.6640625" style="2" bestFit="1" customWidth="1"/>
    <col min="6918" max="6918" width="12" style="2" bestFit="1" customWidth="1"/>
    <col min="6919" max="6919" width="8.88671875" style="2"/>
    <col min="6920" max="6920" width="27.88671875" style="2" bestFit="1" customWidth="1"/>
    <col min="6921" max="7168" width="8.88671875" style="2"/>
    <col min="7169" max="7169" width="31.109375" style="2" bestFit="1" customWidth="1"/>
    <col min="7170" max="7170" width="7" style="2" bestFit="1" customWidth="1"/>
    <col min="7171" max="7171" width="10.109375" style="2" bestFit="1" customWidth="1"/>
    <col min="7172" max="7172" width="10.88671875" style="2" bestFit="1" customWidth="1"/>
    <col min="7173" max="7173" width="7.6640625" style="2" bestFit="1" customWidth="1"/>
    <col min="7174" max="7174" width="12" style="2" bestFit="1" customWidth="1"/>
    <col min="7175" max="7175" width="8.88671875" style="2"/>
    <col min="7176" max="7176" width="27.88671875" style="2" bestFit="1" customWidth="1"/>
    <col min="7177" max="7424" width="8.88671875" style="2"/>
    <col min="7425" max="7425" width="31.109375" style="2" bestFit="1" customWidth="1"/>
    <col min="7426" max="7426" width="7" style="2" bestFit="1" customWidth="1"/>
    <col min="7427" max="7427" width="10.109375" style="2" bestFit="1" customWidth="1"/>
    <col min="7428" max="7428" width="10.88671875" style="2" bestFit="1" customWidth="1"/>
    <col min="7429" max="7429" width="7.6640625" style="2" bestFit="1" customWidth="1"/>
    <col min="7430" max="7430" width="12" style="2" bestFit="1" customWidth="1"/>
    <col min="7431" max="7431" width="8.88671875" style="2"/>
    <col min="7432" max="7432" width="27.88671875" style="2" bestFit="1" customWidth="1"/>
    <col min="7433" max="7680" width="8.88671875" style="2"/>
    <col min="7681" max="7681" width="31.109375" style="2" bestFit="1" customWidth="1"/>
    <col min="7682" max="7682" width="7" style="2" bestFit="1" customWidth="1"/>
    <col min="7683" max="7683" width="10.109375" style="2" bestFit="1" customWidth="1"/>
    <col min="7684" max="7684" width="10.88671875" style="2" bestFit="1" customWidth="1"/>
    <col min="7685" max="7685" width="7.6640625" style="2" bestFit="1" customWidth="1"/>
    <col min="7686" max="7686" width="12" style="2" bestFit="1" customWidth="1"/>
    <col min="7687" max="7687" width="8.88671875" style="2"/>
    <col min="7688" max="7688" width="27.88671875" style="2" bestFit="1" customWidth="1"/>
    <col min="7689" max="7936" width="8.88671875" style="2"/>
    <col min="7937" max="7937" width="31.109375" style="2" bestFit="1" customWidth="1"/>
    <col min="7938" max="7938" width="7" style="2" bestFit="1" customWidth="1"/>
    <col min="7939" max="7939" width="10.109375" style="2" bestFit="1" customWidth="1"/>
    <col min="7940" max="7940" width="10.88671875" style="2" bestFit="1" customWidth="1"/>
    <col min="7941" max="7941" width="7.6640625" style="2" bestFit="1" customWidth="1"/>
    <col min="7942" max="7942" width="12" style="2" bestFit="1" customWidth="1"/>
    <col min="7943" max="7943" width="8.88671875" style="2"/>
    <col min="7944" max="7944" width="27.88671875" style="2" bestFit="1" customWidth="1"/>
    <col min="7945" max="8192" width="8.88671875" style="2"/>
    <col min="8193" max="8193" width="31.109375" style="2" bestFit="1" customWidth="1"/>
    <col min="8194" max="8194" width="7" style="2" bestFit="1" customWidth="1"/>
    <col min="8195" max="8195" width="10.109375" style="2" bestFit="1" customWidth="1"/>
    <col min="8196" max="8196" width="10.88671875" style="2" bestFit="1" customWidth="1"/>
    <col min="8197" max="8197" width="7.6640625" style="2" bestFit="1" customWidth="1"/>
    <col min="8198" max="8198" width="12" style="2" bestFit="1" customWidth="1"/>
    <col min="8199" max="8199" width="8.88671875" style="2"/>
    <col min="8200" max="8200" width="27.88671875" style="2" bestFit="1" customWidth="1"/>
    <col min="8201" max="8448" width="8.88671875" style="2"/>
    <col min="8449" max="8449" width="31.109375" style="2" bestFit="1" customWidth="1"/>
    <col min="8450" max="8450" width="7" style="2" bestFit="1" customWidth="1"/>
    <col min="8451" max="8451" width="10.109375" style="2" bestFit="1" customWidth="1"/>
    <col min="8452" max="8452" width="10.88671875" style="2" bestFit="1" customWidth="1"/>
    <col min="8453" max="8453" width="7.6640625" style="2" bestFit="1" customWidth="1"/>
    <col min="8454" max="8454" width="12" style="2" bestFit="1" customWidth="1"/>
    <col min="8455" max="8455" width="8.88671875" style="2"/>
    <col min="8456" max="8456" width="27.88671875" style="2" bestFit="1" customWidth="1"/>
    <col min="8457" max="8704" width="8.88671875" style="2"/>
    <col min="8705" max="8705" width="31.109375" style="2" bestFit="1" customWidth="1"/>
    <col min="8706" max="8706" width="7" style="2" bestFit="1" customWidth="1"/>
    <col min="8707" max="8707" width="10.109375" style="2" bestFit="1" customWidth="1"/>
    <col min="8708" max="8708" width="10.88671875" style="2" bestFit="1" customWidth="1"/>
    <col min="8709" max="8709" width="7.6640625" style="2" bestFit="1" customWidth="1"/>
    <col min="8710" max="8710" width="12" style="2" bestFit="1" customWidth="1"/>
    <col min="8711" max="8711" width="8.88671875" style="2"/>
    <col min="8712" max="8712" width="27.88671875" style="2" bestFit="1" customWidth="1"/>
    <col min="8713" max="8960" width="8.88671875" style="2"/>
    <col min="8961" max="8961" width="31.109375" style="2" bestFit="1" customWidth="1"/>
    <col min="8962" max="8962" width="7" style="2" bestFit="1" customWidth="1"/>
    <col min="8963" max="8963" width="10.109375" style="2" bestFit="1" customWidth="1"/>
    <col min="8964" max="8964" width="10.88671875" style="2" bestFit="1" customWidth="1"/>
    <col min="8965" max="8965" width="7.6640625" style="2" bestFit="1" customWidth="1"/>
    <col min="8966" max="8966" width="12" style="2" bestFit="1" customWidth="1"/>
    <col min="8967" max="8967" width="8.88671875" style="2"/>
    <col min="8968" max="8968" width="27.88671875" style="2" bestFit="1" customWidth="1"/>
    <col min="8969" max="9216" width="8.88671875" style="2"/>
    <col min="9217" max="9217" width="31.109375" style="2" bestFit="1" customWidth="1"/>
    <col min="9218" max="9218" width="7" style="2" bestFit="1" customWidth="1"/>
    <col min="9219" max="9219" width="10.109375" style="2" bestFit="1" customWidth="1"/>
    <col min="9220" max="9220" width="10.88671875" style="2" bestFit="1" customWidth="1"/>
    <col min="9221" max="9221" width="7.6640625" style="2" bestFit="1" customWidth="1"/>
    <col min="9222" max="9222" width="12" style="2" bestFit="1" customWidth="1"/>
    <col min="9223" max="9223" width="8.88671875" style="2"/>
    <col min="9224" max="9224" width="27.88671875" style="2" bestFit="1" customWidth="1"/>
    <col min="9225" max="9472" width="8.88671875" style="2"/>
    <col min="9473" max="9473" width="31.109375" style="2" bestFit="1" customWidth="1"/>
    <col min="9474" max="9474" width="7" style="2" bestFit="1" customWidth="1"/>
    <col min="9475" max="9475" width="10.109375" style="2" bestFit="1" customWidth="1"/>
    <col min="9476" max="9476" width="10.88671875" style="2" bestFit="1" customWidth="1"/>
    <col min="9477" max="9477" width="7.6640625" style="2" bestFit="1" customWidth="1"/>
    <col min="9478" max="9478" width="12" style="2" bestFit="1" customWidth="1"/>
    <col min="9479" max="9479" width="8.88671875" style="2"/>
    <col min="9480" max="9480" width="27.88671875" style="2" bestFit="1" customWidth="1"/>
    <col min="9481" max="9728" width="8.88671875" style="2"/>
    <col min="9729" max="9729" width="31.109375" style="2" bestFit="1" customWidth="1"/>
    <col min="9730" max="9730" width="7" style="2" bestFit="1" customWidth="1"/>
    <col min="9731" max="9731" width="10.109375" style="2" bestFit="1" customWidth="1"/>
    <col min="9732" max="9732" width="10.88671875" style="2" bestFit="1" customWidth="1"/>
    <col min="9733" max="9733" width="7.6640625" style="2" bestFit="1" customWidth="1"/>
    <col min="9734" max="9734" width="12" style="2" bestFit="1" customWidth="1"/>
    <col min="9735" max="9735" width="8.88671875" style="2"/>
    <col min="9736" max="9736" width="27.88671875" style="2" bestFit="1" customWidth="1"/>
    <col min="9737" max="9984" width="8.88671875" style="2"/>
    <col min="9985" max="9985" width="31.109375" style="2" bestFit="1" customWidth="1"/>
    <col min="9986" max="9986" width="7" style="2" bestFit="1" customWidth="1"/>
    <col min="9987" max="9987" width="10.109375" style="2" bestFit="1" customWidth="1"/>
    <col min="9988" max="9988" width="10.88671875" style="2" bestFit="1" customWidth="1"/>
    <col min="9989" max="9989" width="7.6640625" style="2" bestFit="1" customWidth="1"/>
    <col min="9990" max="9990" width="12" style="2" bestFit="1" customWidth="1"/>
    <col min="9991" max="9991" width="8.88671875" style="2"/>
    <col min="9992" max="9992" width="27.88671875" style="2" bestFit="1" customWidth="1"/>
    <col min="9993" max="10240" width="8.88671875" style="2"/>
    <col min="10241" max="10241" width="31.109375" style="2" bestFit="1" customWidth="1"/>
    <col min="10242" max="10242" width="7" style="2" bestFit="1" customWidth="1"/>
    <col min="10243" max="10243" width="10.109375" style="2" bestFit="1" customWidth="1"/>
    <col min="10244" max="10244" width="10.88671875" style="2" bestFit="1" customWidth="1"/>
    <col min="10245" max="10245" width="7.6640625" style="2" bestFit="1" customWidth="1"/>
    <col min="10246" max="10246" width="12" style="2" bestFit="1" customWidth="1"/>
    <col min="10247" max="10247" width="8.88671875" style="2"/>
    <col min="10248" max="10248" width="27.88671875" style="2" bestFit="1" customWidth="1"/>
    <col min="10249" max="10496" width="8.88671875" style="2"/>
    <col min="10497" max="10497" width="31.109375" style="2" bestFit="1" customWidth="1"/>
    <col min="10498" max="10498" width="7" style="2" bestFit="1" customWidth="1"/>
    <col min="10499" max="10499" width="10.109375" style="2" bestFit="1" customWidth="1"/>
    <col min="10500" max="10500" width="10.88671875" style="2" bestFit="1" customWidth="1"/>
    <col min="10501" max="10501" width="7.6640625" style="2" bestFit="1" customWidth="1"/>
    <col min="10502" max="10502" width="12" style="2" bestFit="1" customWidth="1"/>
    <col min="10503" max="10503" width="8.88671875" style="2"/>
    <col min="10504" max="10504" width="27.88671875" style="2" bestFit="1" customWidth="1"/>
    <col min="10505" max="10752" width="8.88671875" style="2"/>
    <col min="10753" max="10753" width="31.109375" style="2" bestFit="1" customWidth="1"/>
    <col min="10754" max="10754" width="7" style="2" bestFit="1" customWidth="1"/>
    <col min="10755" max="10755" width="10.109375" style="2" bestFit="1" customWidth="1"/>
    <col min="10756" max="10756" width="10.88671875" style="2" bestFit="1" customWidth="1"/>
    <col min="10757" max="10757" width="7.6640625" style="2" bestFit="1" customWidth="1"/>
    <col min="10758" max="10758" width="12" style="2" bestFit="1" customWidth="1"/>
    <col min="10759" max="10759" width="8.88671875" style="2"/>
    <col min="10760" max="10760" width="27.88671875" style="2" bestFit="1" customWidth="1"/>
    <col min="10761" max="11008" width="8.88671875" style="2"/>
    <col min="11009" max="11009" width="31.109375" style="2" bestFit="1" customWidth="1"/>
    <col min="11010" max="11010" width="7" style="2" bestFit="1" customWidth="1"/>
    <col min="11011" max="11011" width="10.109375" style="2" bestFit="1" customWidth="1"/>
    <col min="11012" max="11012" width="10.88671875" style="2" bestFit="1" customWidth="1"/>
    <col min="11013" max="11013" width="7.6640625" style="2" bestFit="1" customWidth="1"/>
    <col min="11014" max="11014" width="12" style="2" bestFit="1" customWidth="1"/>
    <col min="11015" max="11015" width="8.88671875" style="2"/>
    <col min="11016" max="11016" width="27.88671875" style="2" bestFit="1" customWidth="1"/>
    <col min="11017" max="11264" width="8.88671875" style="2"/>
    <col min="11265" max="11265" width="31.109375" style="2" bestFit="1" customWidth="1"/>
    <col min="11266" max="11266" width="7" style="2" bestFit="1" customWidth="1"/>
    <col min="11267" max="11267" width="10.109375" style="2" bestFit="1" customWidth="1"/>
    <col min="11268" max="11268" width="10.88671875" style="2" bestFit="1" customWidth="1"/>
    <col min="11269" max="11269" width="7.6640625" style="2" bestFit="1" customWidth="1"/>
    <col min="11270" max="11270" width="12" style="2" bestFit="1" customWidth="1"/>
    <col min="11271" max="11271" width="8.88671875" style="2"/>
    <col min="11272" max="11272" width="27.88671875" style="2" bestFit="1" customWidth="1"/>
    <col min="11273" max="11520" width="8.88671875" style="2"/>
    <col min="11521" max="11521" width="31.109375" style="2" bestFit="1" customWidth="1"/>
    <col min="11522" max="11522" width="7" style="2" bestFit="1" customWidth="1"/>
    <col min="11523" max="11523" width="10.109375" style="2" bestFit="1" customWidth="1"/>
    <col min="11524" max="11524" width="10.88671875" style="2" bestFit="1" customWidth="1"/>
    <col min="11525" max="11525" width="7.6640625" style="2" bestFit="1" customWidth="1"/>
    <col min="11526" max="11526" width="12" style="2" bestFit="1" customWidth="1"/>
    <col min="11527" max="11527" width="8.88671875" style="2"/>
    <col min="11528" max="11528" width="27.88671875" style="2" bestFit="1" customWidth="1"/>
    <col min="11529" max="11776" width="8.88671875" style="2"/>
    <col min="11777" max="11777" width="31.109375" style="2" bestFit="1" customWidth="1"/>
    <col min="11778" max="11778" width="7" style="2" bestFit="1" customWidth="1"/>
    <col min="11779" max="11779" width="10.109375" style="2" bestFit="1" customWidth="1"/>
    <col min="11780" max="11780" width="10.88671875" style="2" bestFit="1" customWidth="1"/>
    <col min="11781" max="11781" width="7.6640625" style="2" bestFit="1" customWidth="1"/>
    <col min="11782" max="11782" width="12" style="2" bestFit="1" customWidth="1"/>
    <col min="11783" max="11783" width="8.88671875" style="2"/>
    <col min="11784" max="11784" width="27.88671875" style="2" bestFit="1" customWidth="1"/>
    <col min="11785" max="12032" width="8.88671875" style="2"/>
    <col min="12033" max="12033" width="31.109375" style="2" bestFit="1" customWidth="1"/>
    <col min="12034" max="12034" width="7" style="2" bestFit="1" customWidth="1"/>
    <col min="12035" max="12035" width="10.109375" style="2" bestFit="1" customWidth="1"/>
    <col min="12036" max="12036" width="10.88671875" style="2" bestFit="1" customWidth="1"/>
    <col min="12037" max="12037" width="7.6640625" style="2" bestFit="1" customWidth="1"/>
    <col min="12038" max="12038" width="12" style="2" bestFit="1" customWidth="1"/>
    <col min="12039" max="12039" width="8.88671875" style="2"/>
    <col min="12040" max="12040" width="27.88671875" style="2" bestFit="1" customWidth="1"/>
    <col min="12041" max="12288" width="8.88671875" style="2"/>
    <col min="12289" max="12289" width="31.109375" style="2" bestFit="1" customWidth="1"/>
    <col min="12290" max="12290" width="7" style="2" bestFit="1" customWidth="1"/>
    <col min="12291" max="12291" width="10.109375" style="2" bestFit="1" customWidth="1"/>
    <col min="12292" max="12292" width="10.88671875" style="2" bestFit="1" customWidth="1"/>
    <col min="12293" max="12293" width="7.6640625" style="2" bestFit="1" customWidth="1"/>
    <col min="12294" max="12294" width="12" style="2" bestFit="1" customWidth="1"/>
    <col min="12295" max="12295" width="8.88671875" style="2"/>
    <col min="12296" max="12296" width="27.88671875" style="2" bestFit="1" customWidth="1"/>
    <col min="12297" max="12544" width="8.88671875" style="2"/>
    <col min="12545" max="12545" width="31.109375" style="2" bestFit="1" customWidth="1"/>
    <col min="12546" max="12546" width="7" style="2" bestFit="1" customWidth="1"/>
    <col min="12547" max="12547" width="10.109375" style="2" bestFit="1" customWidth="1"/>
    <col min="12548" max="12548" width="10.88671875" style="2" bestFit="1" customWidth="1"/>
    <col min="12549" max="12549" width="7.6640625" style="2" bestFit="1" customWidth="1"/>
    <col min="12550" max="12550" width="12" style="2" bestFit="1" customWidth="1"/>
    <col min="12551" max="12551" width="8.88671875" style="2"/>
    <col min="12552" max="12552" width="27.88671875" style="2" bestFit="1" customWidth="1"/>
    <col min="12553" max="12800" width="8.88671875" style="2"/>
    <col min="12801" max="12801" width="31.109375" style="2" bestFit="1" customWidth="1"/>
    <col min="12802" max="12802" width="7" style="2" bestFit="1" customWidth="1"/>
    <col min="12803" max="12803" width="10.109375" style="2" bestFit="1" customWidth="1"/>
    <col min="12804" max="12804" width="10.88671875" style="2" bestFit="1" customWidth="1"/>
    <col min="12805" max="12805" width="7.6640625" style="2" bestFit="1" customWidth="1"/>
    <col min="12806" max="12806" width="12" style="2" bestFit="1" customWidth="1"/>
    <col min="12807" max="12807" width="8.88671875" style="2"/>
    <col min="12808" max="12808" width="27.88671875" style="2" bestFit="1" customWidth="1"/>
    <col min="12809" max="13056" width="8.88671875" style="2"/>
    <col min="13057" max="13057" width="31.109375" style="2" bestFit="1" customWidth="1"/>
    <col min="13058" max="13058" width="7" style="2" bestFit="1" customWidth="1"/>
    <col min="13059" max="13059" width="10.109375" style="2" bestFit="1" customWidth="1"/>
    <col min="13060" max="13060" width="10.88671875" style="2" bestFit="1" customWidth="1"/>
    <col min="13061" max="13061" width="7.6640625" style="2" bestFit="1" customWidth="1"/>
    <col min="13062" max="13062" width="12" style="2" bestFit="1" customWidth="1"/>
    <col min="13063" max="13063" width="8.88671875" style="2"/>
    <col min="13064" max="13064" width="27.88671875" style="2" bestFit="1" customWidth="1"/>
    <col min="13065" max="13312" width="8.88671875" style="2"/>
    <col min="13313" max="13313" width="31.109375" style="2" bestFit="1" customWidth="1"/>
    <col min="13314" max="13314" width="7" style="2" bestFit="1" customWidth="1"/>
    <col min="13315" max="13315" width="10.109375" style="2" bestFit="1" customWidth="1"/>
    <col min="13316" max="13316" width="10.88671875" style="2" bestFit="1" customWidth="1"/>
    <col min="13317" max="13317" width="7.6640625" style="2" bestFit="1" customWidth="1"/>
    <col min="13318" max="13318" width="12" style="2" bestFit="1" customWidth="1"/>
    <col min="13319" max="13319" width="8.88671875" style="2"/>
    <col min="13320" max="13320" width="27.88671875" style="2" bestFit="1" customWidth="1"/>
    <col min="13321" max="13568" width="8.88671875" style="2"/>
    <col min="13569" max="13569" width="31.109375" style="2" bestFit="1" customWidth="1"/>
    <col min="13570" max="13570" width="7" style="2" bestFit="1" customWidth="1"/>
    <col min="13571" max="13571" width="10.109375" style="2" bestFit="1" customWidth="1"/>
    <col min="13572" max="13572" width="10.88671875" style="2" bestFit="1" customWidth="1"/>
    <col min="13573" max="13573" width="7.6640625" style="2" bestFit="1" customWidth="1"/>
    <col min="13574" max="13574" width="12" style="2" bestFit="1" customWidth="1"/>
    <col min="13575" max="13575" width="8.88671875" style="2"/>
    <col min="13576" max="13576" width="27.88671875" style="2" bestFit="1" customWidth="1"/>
    <col min="13577" max="13824" width="8.88671875" style="2"/>
    <col min="13825" max="13825" width="31.109375" style="2" bestFit="1" customWidth="1"/>
    <col min="13826" max="13826" width="7" style="2" bestFit="1" customWidth="1"/>
    <col min="13827" max="13827" width="10.109375" style="2" bestFit="1" customWidth="1"/>
    <col min="13828" max="13828" width="10.88671875" style="2" bestFit="1" customWidth="1"/>
    <col min="13829" max="13829" width="7.6640625" style="2" bestFit="1" customWidth="1"/>
    <col min="13830" max="13830" width="12" style="2" bestFit="1" customWidth="1"/>
    <col min="13831" max="13831" width="8.88671875" style="2"/>
    <col min="13832" max="13832" width="27.88671875" style="2" bestFit="1" customWidth="1"/>
    <col min="13833" max="14080" width="8.88671875" style="2"/>
    <col min="14081" max="14081" width="31.109375" style="2" bestFit="1" customWidth="1"/>
    <col min="14082" max="14082" width="7" style="2" bestFit="1" customWidth="1"/>
    <col min="14083" max="14083" width="10.109375" style="2" bestFit="1" customWidth="1"/>
    <col min="14084" max="14084" width="10.88671875" style="2" bestFit="1" customWidth="1"/>
    <col min="14085" max="14085" width="7.6640625" style="2" bestFit="1" customWidth="1"/>
    <col min="14086" max="14086" width="12" style="2" bestFit="1" customWidth="1"/>
    <col min="14087" max="14087" width="8.88671875" style="2"/>
    <col min="14088" max="14088" width="27.88671875" style="2" bestFit="1" customWidth="1"/>
    <col min="14089" max="14336" width="8.88671875" style="2"/>
    <col min="14337" max="14337" width="31.109375" style="2" bestFit="1" customWidth="1"/>
    <col min="14338" max="14338" width="7" style="2" bestFit="1" customWidth="1"/>
    <col min="14339" max="14339" width="10.109375" style="2" bestFit="1" customWidth="1"/>
    <col min="14340" max="14340" width="10.88671875" style="2" bestFit="1" customWidth="1"/>
    <col min="14341" max="14341" width="7.6640625" style="2" bestFit="1" customWidth="1"/>
    <col min="14342" max="14342" width="12" style="2" bestFit="1" customWidth="1"/>
    <col min="14343" max="14343" width="8.88671875" style="2"/>
    <col min="14344" max="14344" width="27.88671875" style="2" bestFit="1" customWidth="1"/>
    <col min="14345" max="14592" width="8.88671875" style="2"/>
    <col min="14593" max="14593" width="31.109375" style="2" bestFit="1" customWidth="1"/>
    <col min="14594" max="14594" width="7" style="2" bestFit="1" customWidth="1"/>
    <col min="14595" max="14595" width="10.109375" style="2" bestFit="1" customWidth="1"/>
    <col min="14596" max="14596" width="10.88671875" style="2" bestFit="1" customWidth="1"/>
    <col min="14597" max="14597" width="7.6640625" style="2" bestFit="1" customWidth="1"/>
    <col min="14598" max="14598" width="12" style="2" bestFit="1" customWidth="1"/>
    <col min="14599" max="14599" width="8.88671875" style="2"/>
    <col min="14600" max="14600" width="27.88671875" style="2" bestFit="1" customWidth="1"/>
    <col min="14601" max="14848" width="8.88671875" style="2"/>
    <col min="14849" max="14849" width="31.109375" style="2" bestFit="1" customWidth="1"/>
    <col min="14850" max="14850" width="7" style="2" bestFit="1" customWidth="1"/>
    <col min="14851" max="14851" width="10.109375" style="2" bestFit="1" customWidth="1"/>
    <col min="14852" max="14852" width="10.88671875" style="2" bestFit="1" customWidth="1"/>
    <col min="14853" max="14853" width="7.6640625" style="2" bestFit="1" customWidth="1"/>
    <col min="14854" max="14854" width="12" style="2" bestFit="1" customWidth="1"/>
    <col min="14855" max="14855" width="8.88671875" style="2"/>
    <col min="14856" max="14856" width="27.88671875" style="2" bestFit="1" customWidth="1"/>
    <col min="14857" max="15104" width="8.88671875" style="2"/>
    <col min="15105" max="15105" width="31.109375" style="2" bestFit="1" customWidth="1"/>
    <col min="15106" max="15106" width="7" style="2" bestFit="1" customWidth="1"/>
    <col min="15107" max="15107" width="10.109375" style="2" bestFit="1" customWidth="1"/>
    <col min="15108" max="15108" width="10.88671875" style="2" bestFit="1" customWidth="1"/>
    <col min="15109" max="15109" width="7.6640625" style="2" bestFit="1" customWidth="1"/>
    <col min="15110" max="15110" width="12" style="2" bestFit="1" customWidth="1"/>
    <col min="15111" max="15111" width="8.88671875" style="2"/>
    <col min="15112" max="15112" width="27.88671875" style="2" bestFit="1" customWidth="1"/>
    <col min="15113" max="15360" width="8.88671875" style="2"/>
    <col min="15361" max="15361" width="31.109375" style="2" bestFit="1" customWidth="1"/>
    <col min="15362" max="15362" width="7" style="2" bestFit="1" customWidth="1"/>
    <col min="15363" max="15363" width="10.109375" style="2" bestFit="1" customWidth="1"/>
    <col min="15364" max="15364" width="10.88671875" style="2" bestFit="1" customWidth="1"/>
    <col min="15365" max="15365" width="7.6640625" style="2" bestFit="1" customWidth="1"/>
    <col min="15366" max="15366" width="12" style="2" bestFit="1" customWidth="1"/>
    <col min="15367" max="15367" width="8.88671875" style="2"/>
    <col min="15368" max="15368" width="27.88671875" style="2" bestFit="1" customWidth="1"/>
    <col min="15369" max="15616" width="8.88671875" style="2"/>
    <col min="15617" max="15617" width="31.109375" style="2" bestFit="1" customWidth="1"/>
    <col min="15618" max="15618" width="7" style="2" bestFit="1" customWidth="1"/>
    <col min="15619" max="15619" width="10.109375" style="2" bestFit="1" customWidth="1"/>
    <col min="15620" max="15620" width="10.88671875" style="2" bestFit="1" customWidth="1"/>
    <col min="15621" max="15621" width="7.6640625" style="2" bestFit="1" customWidth="1"/>
    <col min="15622" max="15622" width="12" style="2" bestFit="1" customWidth="1"/>
    <col min="15623" max="15623" width="8.88671875" style="2"/>
    <col min="15624" max="15624" width="27.88671875" style="2" bestFit="1" customWidth="1"/>
    <col min="15625" max="15872" width="8.88671875" style="2"/>
    <col min="15873" max="15873" width="31.109375" style="2" bestFit="1" customWidth="1"/>
    <col min="15874" max="15874" width="7" style="2" bestFit="1" customWidth="1"/>
    <col min="15875" max="15875" width="10.109375" style="2" bestFit="1" customWidth="1"/>
    <col min="15876" max="15876" width="10.88671875" style="2" bestFit="1" customWidth="1"/>
    <col min="15877" max="15877" width="7.6640625" style="2" bestFit="1" customWidth="1"/>
    <col min="15878" max="15878" width="12" style="2" bestFit="1" customWidth="1"/>
    <col min="15879" max="15879" width="8.88671875" style="2"/>
    <col min="15880" max="15880" width="27.88671875" style="2" bestFit="1" customWidth="1"/>
    <col min="15881" max="16128" width="8.88671875" style="2"/>
    <col min="16129" max="16129" width="31.109375" style="2" bestFit="1" customWidth="1"/>
    <col min="16130" max="16130" width="7" style="2" bestFit="1" customWidth="1"/>
    <col min="16131" max="16131" width="10.109375" style="2" bestFit="1" customWidth="1"/>
    <col min="16132" max="16132" width="10.88671875" style="2" bestFit="1" customWidth="1"/>
    <col min="16133" max="16133" width="7.6640625" style="2" bestFit="1" customWidth="1"/>
    <col min="16134" max="16134" width="12" style="2" bestFit="1" customWidth="1"/>
    <col min="16135" max="16135" width="8.88671875" style="2"/>
    <col min="16136" max="16136" width="27.88671875" style="2" bestFit="1" customWidth="1"/>
    <col min="16137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</row>
    <row r="2" spans="1:8" ht="39.6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9" t="s">
        <v>22</v>
      </c>
    </row>
    <row r="3" spans="1:8" x14ac:dyDescent="0.25">
      <c r="A3" s="2" t="s">
        <v>7</v>
      </c>
      <c r="B3" s="4">
        <v>105.5</v>
      </c>
      <c r="C3" s="4">
        <v>11</v>
      </c>
      <c r="D3" s="5">
        <v>39522</v>
      </c>
      <c r="E3" s="6">
        <v>3.1339999999999999</v>
      </c>
      <c r="F3" s="7" t="s">
        <v>8</v>
      </c>
      <c r="G3" s="10">
        <f>(D3-DATE(2007,7,20))/365</f>
        <v>0.65479452054794518</v>
      </c>
      <c r="H3" s="2" t="str">
        <f ca="1">[2]!getformula(G3)</f>
        <v>&lt;--  =(D3-DATE(2007,7,20))/365</v>
      </c>
    </row>
    <row r="4" spans="1:8" x14ac:dyDescent="0.25">
      <c r="A4" s="2" t="s">
        <v>9</v>
      </c>
      <c r="B4" s="4">
        <v>102.5</v>
      </c>
      <c r="C4" s="4">
        <v>7.25</v>
      </c>
      <c r="D4" s="5">
        <v>39722</v>
      </c>
      <c r="E4" s="6">
        <v>5.1630000000000003</v>
      </c>
      <c r="F4" s="7" t="s">
        <v>8</v>
      </c>
      <c r="G4" s="10">
        <f t="shared" ref="G4:G30" si="0">(D4-DATE(2007,7,20))/365</f>
        <v>1.2027397260273973</v>
      </c>
    </row>
    <row r="5" spans="1:8" x14ac:dyDescent="0.25">
      <c r="A5" s="2" t="s">
        <v>10</v>
      </c>
      <c r="B5" s="4">
        <v>101.75</v>
      </c>
      <c r="C5" s="4">
        <v>6.75</v>
      </c>
      <c r="D5" s="5">
        <v>39833</v>
      </c>
      <c r="E5" s="6">
        <v>5.5609999999999999</v>
      </c>
      <c r="F5" s="7" t="s">
        <v>8</v>
      </c>
      <c r="G5" s="10">
        <f t="shared" si="0"/>
        <v>1.5068493150684932</v>
      </c>
    </row>
    <row r="6" spans="1:8" x14ac:dyDescent="0.25">
      <c r="A6" s="2" t="s">
        <v>11</v>
      </c>
      <c r="B6" s="4">
        <v>88.75</v>
      </c>
      <c r="C6" s="4">
        <v>1.75</v>
      </c>
      <c r="D6" s="5">
        <v>40148</v>
      </c>
      <c r="E6" s="6">
        <v>6.8639999999999999</v>
      </c>
      <c r="F6" s="7" t="s">
        <v>8</v>
      </c>
      <c r="G6" s="10">
        <f t="shared" si="0"/>
        <v>2.3698630136986303</v>
      </c>
    </row>
    <row r="7" spans="1:8" x14ac:dyDescent="0.25">
      <c r="A7" s="2" t="s">
        <v>7</v>
      </c>
      <c r="B7" s="4">
        <v>98.75</v>
      </c>
      <c r="C7" s="4">
        <v>6</v>
      </c>
      <c r="D7" s="5">
        <v>40252</v>
      </c>
      <c r="E7" s="6">
        <v>6.5049999999999999</v>
      </c>
      <c r="F7" s="7" t="s">
        <v>8</v>
      </c>
      <c r="G7" s="10">
        <f t="shared" si="0"/>
        <v>2.6547945205479451</v>
      </c>
    </row>
    <row r="8" spans="1:8" x14ac:dyDescent="0.25">
      <c r="A8" s="2" t="s">
        <v>13</v>
      </c>
      <c r="B8" s="4">
        <v>102.75</v>
      </c>
      <c r="C8" s="4">
        <v>8.25</v>
      </c>
      <c r="D8" s="5">
        <v>40391</v>
      </c>
      <c r="E8" s="6">
        <v>7.2370000000000001</v>
      </c>
      <c r="F8" s="7" t="s">
        <v>8</v>
      </c>
      <c r="G8" s="10">
        <f t="shared" si="0"/>
        <v>3.0356164383561643</v>
      </c>
    </row>
    <row r="9" spans="1:8" x14ac:dyDescent="0.25">
      <c r="A9" s="2" t="s">
        <v>14</v>
      </c>
      <c r="B9" s="4">
        <v>59</v>
      </c>
      <c r="C9" s="4">
        <v>8.5</v>
      </c>
      <c r="D9" s="5">
        <v>40575</v>
      </c>
      <c r="E9" s="6">
        <v>27.02</v>
      </c>
      <c r="F9" s="7" t="s">
        <v>8</v>
      </c>
      <c r="G9" s="10">
        <f t="shared" si="0"/>
        <v>3.5397260273972604</v>
      </c>
    </row>
    <row r="10" spans="1:8" x14ac:dyDescent="0.25">
      <c r="A10" s="2" t="s">
        <v>15</v>
      </c>
      <c r="B10" s="4">
        <v>97</v>
      </c>
      <c r="C10" s="4">
        <v>7.625</v>
      </c>
      <c r="D10" s="5">
        <v>40756</v>
      </c>
      <c r="E10" s="6">
        <v>8.5050000000000008</v>
      </c>
      <c r="F10" s="7" t="s">
        <v>8</v>
      </c>
      <c r="G10" s="10">
        <f t="shared" si="0"/>
        <v>4.0356164383561648</v>
      </c>
    </row>
    <row r="11" spans="1:8" x14ac:dyDescent="0.25">
      <c r="A11" s="2" t="s">
        <v>16</v>
      </c>
      <c r="B11" s="4">
        <v>94</v>
      </c>
      <c r="C11" s="4">
        <v>6.375</v>
      </c>
      <c r="D11" s="5">
        <v>40878</v>
      </c>
      <c r="E11" s="6">
        <v>8.01</v>
      </c>
      <c r="F11" s="7" t="s">
        <v>8</v>
      </c>
      <c r="G11" s="10">
        <f t="shared" si="0"/>
        <v>4.3698630136986303</v>
      </c>
    </row>
    <row r="12" spans="1:8" x14ac:dyDescent="0.25">
      <c r="A12" s="2" t="s">
        <v>14</v>
      </c>
      <c r="B12" s="4">
        <v>58</v>
      </c>
      <c r="C12" s="4">
        <v>7.75</v>
      </c>
      <c r="D12" s="5">
        <v>40983</v>
      </c>
      <c r="E12" s="6">
        <v>22.696000000000002</v>
      </c>
      <c r="F12" s="7" t="s">
        <v>8</v>
      </c>
      <c r="G12" s="10">
        <f t="shared" si="0"/>
        <v>4.6575342465753424</v>
      </c>
    </row>
    <row r="13" spans="1:8" x14ac:dyDescent="0.25">
      <c r="A13" s="2" t="s">
        <v>16</v>
      </c>
      <c r="B13" s="4">
        <v>93.5</v>
      </c>
      <c r="C13" s="4">
        <v>6.5</v>
      </c>
      <c r="D13" s="5">
        <v>41061</v>
      </c>
      <c r="E13" s="6">
        <v>8.1259999999999994</v>
      </c>
      <c r="F13" s="7" t="s">
        <v>8</v>
      </c>
      <c r="G13" s="10">
        <f t="shared" si="0"/>
        <v>4.8712328767123285</v>
      </c>
    </row>
    <row r="14" spans="1:8" x14ac:dyDescent="0.25">
      <c r="A14" s="2" t="s">
        <v>17</v>
      </c>
      <c r="B14" s="4">
        <v>106</v>
      </c>
      <c r="C14" s="4">
        <v>9</v>
      </c>
      <c r="D14" s="5">
        <v>41122</v>
      </c>
      <c r="E14" s="6">
        <v>7.556</v>
      </c>
      <c r="F14" s="7" t="s">
        <v>8</v>
      </c>
      <c r="G14" s="10">
        <f t="shared" si="0"/>
        <v>5.0383561643835613</v>
      </c>
    </row>
    <row r="15" spans="1:8" x14ac:dyDescent="0.25">
      <c r="A15" s="2" t="s">
        <v>16</v>
      </c>
      <c r="B15" s="4">
        <v>93.5</v>
      </c>
      <c r="C15" s="4">
        <v>7.375</v>
      </c>
      <c r="D15" s="5">
        <v>41306</v>
      </c>
      <c r="E15" s="6">
        <v>8.8719999999999999</v>
      </c>
      <c r="F15" s="7" t="s">
        <v>8</v>
      </c>
      <c r="G15" s="10">
        <f t="shared" si="0"/>
        <v>5.5424657534246577</v>
      </c>
    </row>
    <row r="16" spans="1:8" x14ac:dyDescent="0.25">
      <c r="A16" s="2" t="s">
        <v>15</v>
      </c>
      <c r="B16" s="4">
        <v>93.5</v>
      </c>
      <c r="C16" s="4">
        <v>7.875</v>
      </c>
      <c r="D16" s="5">
        <v>41379</v>
      </c>
      <c r="E16" s="6">
        <v>9.3480000000000008</v>
      </c>
      <c r="F16" s="7" t="s">
        <v>8</v>
      </c>
      <c r="G16" s="10">
        <f t="shared" si="0"/>
        <v>5.7424657534246579</v>
      </c>
    </row>
    <row r="17" spans="1:7" x14ac:dyDescent="0.25">
      <c r="A17" s="2" t="s">
        <v>18</v>
      </c>
      <c r="B17" s="4">
        <v>86</v>
      </c>
      <c r="C17" s="4">
        <v>8.375</v>
      </c>
      <c r="D17" s="5">
        <v>41426</v>
      </c>
      <c r="E17" s="6">
        <v>11.714</v>
      </c>
      <c r="F17" s="7" t="s">
        <v>8</v>
      </c>
      <c r="G17" s="10">
        <f t="shared" si="0"/>
        <v>5.8712328767123285</v>
      </c>
    </row>
    <row r="18" spans="1:7" x14ac:dyDescent="0.25">
      <c r="A18" s="2" t="s">
        <v>18</v>
      </c>
      <c r="B18" s="4">
        <v>86</v>
      </c>
      <c r="C18" s="4">
        <v>8.375</v>
      </c>
      <c r="D18" s="5">
        <v>41426</v>
      </c>
      <c r="E18" s="6">
        <v>11.714</v>
      </c>
      <c r="F18" s="7" t="s">
        <v>8</v>
      </c>
      <c r="G18" s="10">
        <f t="shared" si="0"/>
        <v>5.8712328767123285</v>
      </c>
    </row>
    <row r="19" spans="1:7" x14ac:dyDescent="0.25">
      <c r="A19" s="2" t="s">
        <v>19</v>
      </c>
      <c r="B19" s="4">
        <v>91</v>
      </c>
      <c r="C19" s="4">
        <v>6.875</v>
      </c>
      <c r="D19" s="5">
        <v>41501</v>
      </c>
      <c r="E19" s="6">
        <v>8.8030000000000008</v>
      </c>
      <c r="F19" s="7" t="s">
        <v>8</v>
      </c>
      <c r="G19" s="10">
        <f t="shared" si="0"/>
        <v>6.0767123287671234</v>
      </c>
    </row>
    <row r="20" spans="1:7" x14ac:dyDescent="0.25">
      <c r="A20" s="2" t="s">
        <v>20</v>
      </c>
      <c r="B20" s="4">
        <v>95.5</v>
      </c>
      <c r="C20" s="4">
        <v>7.11</v>
      </c>
      <c r="D20" s="5">
        <v>41659</v>
      </c>
      <c r="E20" s="6">
        <v>8.0030000000000001</v>
      </c>
      <c r="F20" s="7" t="s">
        <v>8</v>
      </c>
      <c r="G20" s="10">
        <f t="shared" si="0"/>
        <v>6.5095890410958903</v>
      </c>
    </row>
    <row r="21" spans="1:7" x14ac:dyDescent="0.25">
      <c r="A21" s="2" t="s">
        <v>13</v>
      </c>
      <c r="B21" s="4">
        <v>89.25</v>
      </c>
      <c r="C21" s="4">
        <v>7</v>
      </c>
      <c r="D21" s="5">
        <v>41708</v>
      </c>
      <c r="E21" s="6">
        <v>9.18</v>
      </c>
      <c r="F21" s="7" t="s">
        <v>8</v>
      </c>
      <c r="G21" s="10">
        <f t="shared" si="0"/>
        <v>6.6438356164383565</v>
      </c>
    </row>
    <row r="22" spans="1:7" x14ac:dyDescent="0.25">
      <c r="A22" s="2" t="s">
        <v>16</v>
      </c>
      <c r="B22" s="4">
        <v>102</v>
      </c>
      <c r="C22" s="4">
        <v>9.875</v>
      </c>
      <c r="D22" s="5">
        <v>41821</v>
      </c>
      <c r="E22" s="6">
        <v>9.4779999999999998</v>
      </c>
      <c r="F22" s="7" t="s">
        <v>8</v>
      </c>
      <c r="G22" s="10">
        <f t="shared" si="0"/>
        <v>6.9534246575342467</v>
      </c>
    </row>
    <row r="23" spans="1:7" x14ac:dyDescent="0.25">
      <c r="A23" s="2" t="s">
        <v>16</v>
      </c>
      <c r="B23" s="4">
        <v>99</v>
      </c>
      <c r="C23" s="4">
        <v>9.25</v>
      </c>
      <c r="D23" s="5">
        <v>42036</v>
      </c>
      <c r="E23" s="6">
        <v>9.4339999999999993</v>
      </c>
      <c r="F23" s="7" t="s">
        <v>8</v>
      </c>
      <c r="G23" s="10">
        <f t="shared" si="0"/>
        <v>7.5424657534246577</v>
      </c>
    </row>
    <row r="24" spans="1:7" x14ac:dyDescent="0.25">
      <c r="A24" s="2" t="s">
        <v>17</v>
      </c>
      <c r="B24" s="4">
        <v>102.49</v>
      </c>
      <c r="C24" s="4">
        <v>9</v>
      </c>
      <c r="D24" s="5">
        <v>42628</v>
      </c>
      <c r="E24" s="6">
        <v>8.6</v>
      </c>
      <c r="F24" s="7" t="s">
        <v>8</v>
      </c>
      <c r="G24" s="10">
        <f t="shared" si="0"/>
        <v>9.1643835616438363</v>
      </c>
    </row>
    <row r="25" spans="1:7" x14ac:dyDescent="0.25">
      <c r="A25" s="2" t="s">
        <v>15</v>
      </c>
      <c r="B25" s="4">
        <v>90</v>
      </c>
      <c r="C25" s="4">
        <v>7.375</v>
      </c>
      <c r="D25" s="5">
        <v>43388</v>
      </c>
      <c r="E25" s="6">
        <v>8.7859999999999996</v>
      </c>
      <c r="F25" s="7" t="s">
        <v>8</v>
      </c>
      <c r="G25" s="10">
        <f t="shared" si="0"/>
        <v>11.246575342465754</v>
      </c>
    </row>
    <row r="26" spans="1:7" x14ac:dyDescent="0.25">
      <c r="A26" s="2" t="s">
        <v>21</v>
      </c>
      <c r="B26" s="4">
        <v>102.5</v>
      </c>
      <c r="C26" s="4">
        <v>9.1999999999999993</v>
      </c>
      <c r="D26" s="5">
        <v>44270</v>
      </c>
      <c r="E26" s="6">
        <v>8.8780000000000001</v>
      </c>
      <c r="F26" s="7" t="s">
        <v>8</v>
      </c>
      <c r="G26" s="10">
        <f t="shared" si="0"/>
        <v>13.663013698630136</v>
      </c>
    </row>
    <row r="27" spans="1:7" x14ac:dyDescent="0.25">
      <c r="A27" s="2" t="s">
        <v>21</v>
      </c>
      <c r="B27" s="4">
        <v>92.62</v>
      </c>
      <c r="C27" s="4">
        <v>7.875</v>
      </c>
      <c r="D27" s="5">
        <v>44972</v>
      </c>
      <c r="E27" s="6">
        <v>8.7479999999999993</v>
      </c>
      <c r="F27" s="7" t="s">
        <v>8</v>
      </c>
      <c r="G27" s="10">
        <f t="shared" si="0"/>
        <v>15.586301369863014</v>
      </c>
    </row>
    <row r="28" spans="1:7" x14ac:dyDescent="0.25">
      <c r="A28" s="2" t="s">
        <v>19</v>
      </c>
      <c r="B28" s="4">
        <v>89</v>
      </c>
      <c r="C28" s="4">
        <v>7.7</v>
      </c>
      <c r="D28" s="5">
        <v>46433</v>
      </c>
      <c r="E28" s="6">
        <v>8.8930000000000007</v>
      </c>
      <c r="F28" s="7" t="s">
        <v>8</v>
      </c>
      <c r="G28" s="10">
        <f t="shared" si="0"/>
        <v>19.589041095890412</v>
      </c>
    </row>
    <row r="29" spans="1:7" x14ac:dyDescent="0.25">
      <c r="A29" s="2" t="s">
        <v>16</v>
      </c>
      <c r="B29" s="4">
        <v>83</v>
      </c>
      <c r="C29" s="4">
        <v>6.875</v>
      </c>
      <c r="D29" s="5">
        <v>48167</v>
      </c>
      <c r="E29" s="6">
        <v>8.5429999999999993</v>
      </c>
      <c r="F29" s="7" t="s">
        <v>8</v>
      </c>
      <c r="G29" s="10">
        <f t="shared" si="0"/>
        <v>24.339726027397262</v>
      </c>
    </row>
    <row r="30" spans="1:7" x14ac:dyDescent="0.25">
      <c r="A30" s="2" t="s">
        <v>9</v>
      </c>
      <c r="B30" s="4">
        <v>96.25</v>
      </c>
      <c r="C30" s="4">
        <v>9.98</v>
      </c>
      <c r="D30" s="5">
        <v>53738</v>
      </c>
      <c r="E30" s="6">
        <v>10.374000000000001</v>
      </c>
      <c r="F30" s="7" t="s">
        <v>8</v>
      </c>
      <c r="G30" s="10">
        <f t="shared" si="0"/>
        <v>39.602739726027394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Sheet1</vt:lpstr>
      <vt:lpstr>CCC bonds, data</vt:lpstr>
      <vt:lpstr>Exercise 1</vt:lpstr>
      <vt:lpstr>'CCC bonds, data'!z1?b_1_so_a_sf_m_tc_1_stt___pr_0_cpl__1_cpu__1_yl__1_yu__1_ytl__1_ytu__1_mtl__1_mtu__1_rl_7_ru_7_cll_0</vt:lpstr>
      <vt:lpstr>'Exercise 1'!z1?b_1_so_a_sf_m_tc_1_stt___pr_0_cpl__1_cpu__1_yl__1_yu__1_ytl__1_ytu__1_mtl__1_mtu__1_rl_7_ru_7_cll_0</vt:lpstr>
      <vt:lpstr>'CCC bonds, data'!z1?b_2_cll_0_cpl__1.000000_cpu__1.000000_mtl__1_mtu__1_pr_0_rl_7_ru_7_sf_m_so_a_stt___tc_1_yl__1.000000_ytl__1.000000_ytu__1.000000_yu__1.000000</vt:lpstr>
      <vt:lpstr>'Exercise 1'!z1?b_2_cll_0_cpl__1.000000_cpu__1.000000_mtl__1_mtu__1_pr_0_rl_7_ru_7_sf_m_so_a_stt___tc_1_yl__1.000000_ytl__1.000000_ytu__1.000000_yu__1.000000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2024-12-18T08:25:58Z</dcterms:modified>
</cp:coreProperties>
</file>