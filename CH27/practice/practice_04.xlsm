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practice\"/>
    </mc:Choice>
  </mc:AlternateContent>
  <xr:revisionPtr revIDLastSave="0" documentId="13_ncr:1_{0E31233B-5C02-42B3-A1CA-9DB39B9BC3B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9" i="2" l="1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<sst xmlns="http://schemas.openxmlformats.org/spreadsheetml/2006/main" count="483" uniqueCount="110">
  <si>
    <t>BB CORPORATE BONDS, NON-CALLABLE, 20 JULY 2007</t>
  </si>
  <si>
    <t>Type</t>
  </si>
  <si>
    <t>Price</t>
  </si>
  <si>
    <t>Coupon(%)</t>
  </si>
  <si>
    <t>Maturity</t>
  </si>
  <si>
    <t>YTM(%)</t>
  </si>
  <si>
    <t>Fitch 
rating</t>
  </si>
  <si>
    <t>Time to
maturity (years)</t>
  </si>
  <si>
    <t>GENERAL MTRS ACCEP CPSMARTNBE</t>
  </si>
  <si>
    <t>BB</t>
  </si>
  <si>
    <t>NORTHWEST PIPELINE CORP</t>
  </si>
  <si>
    <t>EL PASO ENERGY CORP MTN BE</t>
  </si>
  <si>
    <t>BROWNING FERRIS INDS</t>
  </si>
  <si>
    <t>PANAMSAT CORP NEW</t>
  </si>
  <si>
    <t>SPIEKER PPTYS L P</t>
  </si>
  <si>
    <t>MIRAGE RESORTS INC</t>
  </si>
  <si>
    <t>CONSTELLATION BRANDS INC</t>
  </si>
  <si>
    <t>DILLARDS INC</t>
  </si>
  <si>
    <t>PSEG ENERGY HLDGS INC</t>
  </si>
  <si>
    <t>SEARS ROEBUCK ACCEP CORP INTER</t>
  </si>
  <si>
    <t>SMITHFIELD FOODS INC</t>
  </si>
  <si>
    <t>EOP OPER LTD PARTNERSHIP EOP</t>
  </si>
  <si>
    <t>TENNECO INC</t>
  </si>
  <si>
    <t>COMPUTER ASSOC INTL INC</t>
  </si>
  <si>
    <t>FAIRFAX FINL HLDGS LTD</t>
  </si>
  <si>
    <t>SEARS ROEBUCK ACCEP CORP MTNBE</t>
  </si>
  <si>
    <t>GMAC LLC</t>
  </si>
  <si>
    <t>HILTON HOTELS CORP</t>
  </si>
  <si>
    <t>AUTONATION INC</t>
  </si>
  <si>
    <t>ECHOSTAR DBS CORP</t>
  </si>
  <si>
    <t>STANDARD PAC CORP NEW</t>
  </si>
  <si>
    <t>TRIBUNE CO MTN BK MONT TR CO</t>
  </si>
  <si>
    <t>UNIVISION COMMUNICATIONS INC</t>
  </si>
  <si>
    <t>Benninga note:  I eliminate all the negative YTMs, also one extremely large YTM, also the very long bond (the last one)</t>
  </si>
  <si>
    <t>QWEST COMMUNICATIONS INTL INC</t>
  </si>
  <si>
    <t>GENERAL MTRS ACCEP CPSMARTNTBE</t>
  </si>
  <si>
    <t>LUCENT TECHNOLOGIES INC</t>
  </si>
  <si>
    <t>CMS ENERGY CORP</t>
  </si>
  <si>
    <t>EQUISTAR CHEMICALS LP / EQUIST</t>
  </si>
  <si>
    <t>NOVA CHEMICALS CORP MTN BE</t>
  </si>
  <si>
    <t>GENERAL MTRS ACCEP CORP</t>
  </si>
  <si>
    <t>ROUSE CO</t>
  </si>
  <si>
    <t>EL PASO ENERGY CORP DEL</t>
  </si>
  <si>
    <t>CASE NEW HOLLAND INC</t>
  </si>
  <si>
    <t>GREAT LAKES CHEM CORP</t>
  </si>
  <si>
    <t>LIBERTY MEDIA CORP</t>
  </si>
  <si>
    <t>LIBERTY MEDIA CORP NEW</t>
  </si>
  <si>
    <t>MOHEGAN TRIBAL GAMING AUTH</t>
  </si>
  <si>
    <t>MANDALAY RESORT GROUP</t>
  </si>
  <si>
    <t>BOISE CASCADE CORP</t>
  </si>
  <si>
    <t>PARK PL ENTMT CORP</t>
  </si>
  <si>
    <t>SHAW COMMUNICATIONS INC</t>
  </si>
  <si>
    <t>AFFILIATED COMPUTER SERVICES</t>
  </si>
  <si>
    <t>DOLLAR GEN CORP</t>
  </si>
  <si>
    <t>EL PASO CORP</t>
  </si>
  <si>
    <t>TECO ENERGY INC</t>
  </si>
  <si>
    <t>TRIBUNE CO NEW</t>
  </si>
  <si>
    <t>MGM MIRAGE</t>
  </si>
  <si>
    <t>EOP OPER LTD PARTNERSHIP</t>
  </si>
  <si>
    <t>ALLIED WASTE NORTH AMER INC</t>
  </si>
  <si>
    <t>DELTA AIR LINES</t>
  </si>
  <si>
    <t>SEARS ROEBUCK ACCEP CORP</t>
  </si>
  <si>
    <t>NEWFIELD EXPL CO</t>
  </si>
  <si>
    <t>UNUM GROUP</t>
  </si>
  <si>
    <t>BRIGGS &amp; STRATTON CORP</t>
  </si>
  <si>
    <t>CITIZENS COMMUNICATIONS CO</t>
  </si>
  <si>
    <t>RADIOSHACK CORP</t>
  </si>
  <si>
    <t>KNIGHT RIDDER INC</t>
  </si>
  <si>
    <t>DILLARD DEPT STORES INC</t>
  </si>
  <si>
    <t>INTERPUBLIC GROUP COS INC</t>
  </si>
  <si>
    <t>KB HOME</t>
  </si>
  <si>
    <t>SEAGATE TECHNOLOGY HDD HLDGS</t>
  </si>
  <si>
    <t>TYSON FOODS INC</t>
  </si>
  <si>
    <t>NOVA CHEMICALS CORP</t>
  </si>
  <si>
    <t>M/I HOMES INC</t>
  </si>
  <si>
    <t>MARRIOTT CORP</t>
  </si>
  <si>
    <t>REYNOLDS R J TOB HLDGS INC</t>
  </si>
  <si>
    <t>KINDER MORGAN INC</t>
  </si>
  <si>
    <t>TESORO CORP</t>
  </si>
  <si>
    <t>DELUXE CORP</t>
  </si>
  <si>
    <t>SANDISK CORP</t>
  </si>
  <si>
    <t>LEUCADIA NATL CORP</t>
  </si>
  <si>
    <t>HOVNANIAN K ENTERPRISES INC</t>
  </si>
  <si>
    <t>AMERICAN AXLE &amp; MFG INC</t>
  </si>
  <si>
    <t>TRW AUTOMOTIVE INC</t>
  </si>
  <si>
    <t>BOMBARDIER INC</t>
  </si>
  <si>
    <t>WENDYS INTL INC</t>
  </si>
  <si>
    <t>SERVICE CORP INTL</t>
  </si>
  <si>
    <t>TXU CORP</t>
  </si>
  <si>
    <t>GEORGIA PAC CORP</t>
  </si>
  <si>
    <t>KINDER MORGAN FINANCE CORP ULC</t>
  </si>
  <si>
    <t>CASE CORP</t>
  </si>
  <si>
    <t>CHEMTURA CORP</t>
  </si>
  <si>
    <t>BEAZER HOMES USA INC</t>
  </si>
  <si>
    <t>PIONEER NAT RES CO</t>
  </si>
  <si>
    <t>CHESAPEAKE ENERGY CORP</t>
  </si>
  <si>
    <t>PROVIDENT COS INC</t>
  </si>
  <si>
    <t>WILLIAMS COS INC DEL</t>
  </si>
  <si>
    <t>TIMES MIRROR CO NEW</t>
  </si>
  <si>
    <t>FORT JAMES CORP</t>
  </si>
  <si>
    <t>HANOVER INS GROUP INC</t>
  </si>
  <si>
    <t>CITIZENS UTILS CO DEL</t>
  </si>
  <si>
    <t>IKON OFFICE SOLUTIONS INC</t>
  </si>
  <si>
    <t>EQUISTAR CHEMICALS L P</t>
  </si>
  <si>
    <t>AFC CAP TR I</t>
  </si>
  <si>
    <t>KN ENERGY INC</t>
  </si>
  <si>
    <t>BAUSCH &amp; LOMB INC</t>
  </si>
  <si>
    <t>AHOLD FIN U S A INC</t>
  </si>
  <si>
    <t>PHELPS DODGE CORP</t>
  </si>
  <si>
    <t>CIRCUS CIRCUS ENTERPRISES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</si>
</sst>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wrapText="1"/>
    </xf>
    <xf numFmtId="2" fontId="2" fillId="0" borderId="0" xfId="1" applyNumberFormat="1" applyAlignment="1">
      <alignment horizontal="right" wrapText="1"/>
    </xf>
    <xf numFmtId="176" fontId="2" fillId="0" borderId="0" xfId="1" applyNumberFormat="1" applyAlignment="1">
      <alignment horizontal="right" wrapText="1"/>
    </xf>
    <xf numFmtId="15" fontId="2" fillId="0" borderId="0" xfId="1" applyNumberFormat="1" applyAlignment="1">
      <alignment horizontal="right" wrapText="1"/>
    </xf>
    <xf numFmtId="0" fontId="2" fillId="0" borderId="0" xfId="1" applyAlignment="1">
      <alignment horizontal="center" wrapText="1"/>
    </xf>
    <xf numFmtId="177" fontId="2" fillId="0" borderId="0" xfId="1" applyNumberFormat="1"/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46435681-D75C-4464-9D1F-DF31416229E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XY Scatter Plot of YTM vs Maturity
Data cleaned up somewhat</a:t>
            </a:r>
          </a:p>
        </c:rich>
      </c:tx>
      <c:layout>
        <c:manualLayout>
          <c:xMode val="edge"/>
          <c:yMode val="edge"/>
          <c:x val="0.3438397219453681"/>
          <c:y val="3.20151689518333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392595994447736E-2"/>
          <c:y val="0.16760882568900984"/>
          <c:w val="0.87679129096068864"/>
          <c:h val="0.709983452637715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7737158434807987E-2"/>
                  <c:y val="0.4185358742261643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xVal>
            <c:numRef>
              <c:f>'Exercise 4'!$G$3:$G$239</c:f>
              <c:numCache>
                <c:formatCode>0.0000</c:formatCode>
                <c:ptCount val="237"/>
                <c:pt idx="0">
                  <c:v>0.32328767123287672</c:v>
                </c:pt>
                <c:pt idx="1">
                  <c:v>0.36712328767123287</c:v>
                </c:pt>
                <c:pt idx="2">
                  <c:v>0.40547945205479452</c:v>
                </c:pt>
                <c:pt idx="3">
                  <c:v>0.49041095890410957</c:v>
                </c:pt>
                <c:pt idx="4">
                  <c:v>0.49041095890410957</c:v>
                </c:pt>
                <c:pt idx="5">
                  <c:v>0.49041095890410957</c:v>
                </c:pt>
                <c:pt idx="6">
                  <c:v>0.53698630136986303</c:v>
                </c:pt>
                <c:pt idx="7">
                  <c:v>0.57534246575342463</c:v>
                </c:pt>
                <c:pt idx="8">
                  <c:v>0.57534246575342463</c:v>
                </c:pt>
                <c:pt idx="9">
                  <c:v>0.57534246575342463</c:v>
                </c:pt>
                <c:pt idx="10">
                  <c:v>0.57534246575342463</c:v>
                </c:pt>
                <c:pt idx="11">
                  <c:v>0.57534246575342463</c:v>
                </c:pt>
                <c:pt idx="12">
                  <c:v>0.57534246575342463</c:v>
                </c:pt>
                <c:pt idx="13">
                  <c:v>0.57534246575342463</c:v>
                </c:pt>
                <c:pt idx="14">
                  <c:v>0.57534246575342463</c:v>
                </c:pt>
                <c:pt idx="15">
                  <c:v>0.65479452054794518</c:v>
                </c:pt>
                <c:pt idx="16">
                  <c:v>0.65479452054794518</c:v>
                </c:pt>
                <c:pt idx="17">
                  <c:v>0.65479452054794518</c:v>
                </c:pt>
                <c:pt idx="18">
                  <c:v>0.65479452054794518</c:v>
                </c:pt>
                <c:pt idx="19">
                  <c:v>0.73972602739726023</c:v>
                </c:pt>
                <c:pt idx="20">
                  <c:v>0.73972602739726023</c:v>
                </c:pt>
                <c:pt idx="21">
                  <c:v>0.73972602739726023</c:v>
                </c:pt>
                <c:pt idx="22">
                  <c:v>0.78356164383561644</c:v>
                </c:pt>
                <c:pt idx="23">
                  <c:v>0.80547945205479454</c:v>
                </c:pt>
                <c:pt idx="24">
                  <c:v>0.82191780821917804</c:v>
                </c:pt>
                <c:pt idx="25">
                  <c:v>0.9068493150684932</c:v>
                </c:pt>
                <c:pt idx="26">
                  <c:v>0.98630136986301364</c:v>
                </c:pt>
                <c:pt idx="27">
                  <c:v>1.0356164383561643</c:v>
                </c:pt>
                <c:pt idx="28">
                  <c:v>1.2027397260273973</c:v>
                </c:pt>
                <c:pt idx="29">
                  <c:v>1.2027397260273973</c:v>
                </c:pt>
                <c:pt idx="30">
                  <c:v>1.2164383561643837</c:v>
                </c:pt>
                <c:pt idx="31">
                  <c:v>1.2410958904109588</c:v>
                </c:pt>
                <c:pt idx="32">
                  <c:v>1.2410958904109588</c:v>
                </c:pt>
                <c:pt idx="33">
                  <c:v>1.2876712328767124</c:v>
                </c:pt>
                <c:pt idx="34">
                  <c:v>1.3260273972602741</c:v>
                </c:pt>
                <c:pt idx="35">
                  <c:v>1.3260273972602741</c:v>
                </c:pt>
                <c:pt idx="36">
                  <c:v>1.3260273972602741</c:v>
                </c:pt>
                <c:pt idx="37">
                  <c:v>1.3397260273972602</c:v>
                </c:pt>
                <c:pt idx="38">
                  <c:v>1.4931506849315068</c:v>
                </c:pt>
                <c:pt idx="39">
                  <c:v>1.5780821917808219</c:v>
                </c:pt>
                <c:pt idx="40">
                  <c:v>1.7013698630136986</c:v>
                </c:pt>
                <c:pt idx="41">
                  <c:v>1.7397260273972603</c:v>
                </c:pt>
                <c:pt idx="42">
                  <c:v>1.7808219178082192</c:v>
                </c:pt>
                <c:pt idx="43">
                  <c:v>1.821917808219178</c:v>
                </c:pt>
                <c:pt idx="44">
                  <c:v>1.821917808219178</c:v>
                </c:pt>
                <c:pt idx="45">
                  <c:v>1.821917808219178</c:v>
                </c:pt>
                <c:pt idx="46">
                  <c:v>1.821917808219178</c:v>
                </c:pt>
                <c:pt idx="47">
                  <c:v>1.8684931506849316</c:v>
                </c:pt>
                <c:pt idx="48">
                  <c:v>1.9068493150684931</c:v>
                </c:pt>
                <c:pt idx="49">
                  <c:v>1.821917808219178</c:v>
                </c:pt>
                <c:pt idx="50">
                  <c:v>1.821917808219178</c:v>
                </c:pt>
                <c:pt idx="51">
                  <c:v>1.821917808219178</c:v>
                </c:pt>
                <c:pt idx="52">
                  <c:v>1.821917808219178</c:v>
                </c:pt>
                <c:pt idx="53">
                  <c:v>1.8684931506849316</c:v>
                </c:pt>
                <c:pt idx="54">
                  <c:v>1.9068493150684931</c:v>
                </c:pt>
                <c:pt idx="55">
                  <c:v>1.989041095890411</c:v>
                </c:pt>
                <c:pt idx="56">
                  <c:v>1.989041095890411</c:v>
                </c:pt>
                <c:pt idx="57">
                  <c:v>1.989041095890411</c:v>
                </c:pt>
                <c:pt idx="58">
                  <c:v>1.989041095890411</c:v>
                </c:pt>
                <c:pt idx="59">
                  <c:v>1.989041095890411</c:v>
                </c:pt>
                <c:pt idx="60">
                  <c:v>1.989041095890411</c:v>
                </c:pt>
                <c:pt idx="61">
                  <c:v>2.032876712328767</c:v>
                </c:pt>
                <c:pt idx="62">
                  <c:v>2.0739726027397261</c:v>
                </c:pt>
                <c:pt idx="63">
                  <c:v>2.0739726027397261</c:v>
                </c:pt>
                <c:pt idx="64">
                  <c:v>2.2027397260273971</c:v>
                </c:pt>
                <c:pt idx="65">
                  <c:v>2.2410958904109588</c:v>
                </c:pt>
                <c:pt idx="66">
                  <c:v>2.2410958904109588</c:v>
                </c:pt>
                <c:pt idx="67">
                  <c:v>2.2410958904109588</c:v>
                </c:pt>
                <c:pt idx="68">
                  <c:v>2.2410958904109588</c:v>
                </c:pt>
                <c:pt idx="69">
                  <c:v>2.2876712328767121</c:v>
                </c:pt>
                <c:pt idx="70">
                  <c:v>2.3260273972602739</c:v>
                </c:pt>
                <c:pt idx="71">
                  <c:v>2.3260273972602739</c:v>
                </c:pt>
                <c:pt idx="72">
                  <c:v>2.3260273972602739</c:v>
                </c:pt>
                <c:pt idx="73">
                  <c:v>2.408219178082192</c:v>
                </c:pt>
                <c:pt idx="74">
                  <c:v>2.504109589041096</c:v>
                </c:pt>
                <c:pt idx="75">
                  <c:v>2.6547945205479451</c:v>
                </c:pt>
                <c:pt idx="76">
                  <c:v>2.7287671232876711</c:v>
                </c:pt>
                <c:pt idx="77">
                  <c:v>2.8684931506849316</c:v>
                </c:pt>
                <c:pt idx="78">
                  <c:v>2.8684931506849316</c:v>
                </c:pt>
                <c:pt idx="79">
                  <c:v>2.9068493150684933</c:v>
                </c:pt>
                <c:pt idx="80">
                  <c:v>2.9068493150684933</c:v>
                </c:pt>
                <c:pt idx="81">
                  <c:v>2.9068493150684933</c:v>
                </c:pt>
                <c:pt idx="82">
                  <c:v>2.9068493150684933</c:v>
                </c:pt>
                <c:pt idx="83">
                  <c:v>2.989041095890411</c:v>
                </c:pt>
                <c:pt idx="84">
                  <c:v>3.0739726027397261</c:v>
                </c:pt>
                <c:pt idx="85">
                  <c:v>3.0739726027397261</c:v>
                </c:pt>
                <c:pt idx="86">
                  <c:v>3.1589041095890411</c:v>
                </c:pt>
                <c:pt idx="87">
                  <c:v>3.2027397260273971</c:v>
                </c:pt>
                <c:pt idx="88">
                  <c:v>3.3260273972602739</c:v>
                </c:pt>
                <c:pt idx="89">
                  <c:v>3.3342465753424659</c:v>
                </c:pt>
                <c:pt idx="90">
                  <c:v>3.493150684931507</c:v>
                </c:pt>
                <c:pt idx="91">
                  <c:v>3.5397260273972604</c:v>
                </c:pt>
                <c:pt idx="92">
                  <c:v>3.5780821917808221</c:v>
                </c:pt>
                <c:pt idx="93">
                  <c:v>3.5780821917808221</c:v>
                </c:pt>
                <c:pt idx="94">
                  <c:v>3.6164383561643834</c:v>
                </c:pt>
                <c:pt idx="95">
                  <c:v>3.6164383561643834</c:v>
                </c:pt>
                <c:pt idx="96">
                  <c:v>3.6191780821917807</c:v>
                </c:pt>
                <c:pt idx="97">
                  <c:v>3.6547945205479451</c:v>
                </c:pt>
                <c:pt idx="98">
                  <c:v>3.7397260273972601</c:v>
                </c:pt>
                <c:pt idx="99">
                  <c:v>3.7835616438356166</c:v>
                </c:pt>
                <c:pt idx="100">
                  <c:v>3.8219178082191783</c:v>
                </c:pt>
                <c:pt idx="101">
                  <c:v>3.8219178082191783</c:v>
                </c:pt>
                <c:pt idx="102">
                  <c:v>3.8219178082191783</c:v>
                </c:pt>
                <c:pt idx="103">
                  <c:v>3.8684931506849316</c:v>
                </c:pt>
                <c:pt idx="104">
                  <c:v>3.9068493150684933</c:v>
                </c:pt>
                <c:pt idx="105">
                  <c:v>4.0356164383561648</c:v>
                </c:pt>
                <c:pt idx="106">
                  <c:v>4.0356164383561648</c:v>
                </c:pt>
                <c:pt idx="107">
                  <c:v>4.0739726027397261</c:v>
                </c:pt>
                <c:pt idx="108">
                  <c:v>4.0739726027397261</c:v>
                </c:pt>
                <c:pt idx="109">
                  <c:v>4.0356164383561648</c:v>
                </c:pt>
                <c:pt idx="110">
                  <c:v>4.0739726027397261</c:v>
                </c:pt>
                <c:pt idx="111">
                  <c:v>4.0739726027397261</c:v>
                </c:pt>
                <c:pt idx="112">
                  <c:v>4.0739726027397261</c:v>
                </c:pt>
                <c:pt idx="113">
                  <c:v>4.1589041095890407</c:v>
                </c:pt>
                <c:pt idx="114">
                  <c:v>4.2027397260273975</c:v>
                </c:pt>
                <c:pt idx="115">
                  <c:v>4.2027397260273975</c:v>
                </c:pt>
                <c:pt idx="116">
                  <c:v>4.2027397260273975</c:v>
                </c:pt>
                <c:pt idx="117">
                  <c:v>4.4082191780821915</c:v>
                </c:pt>
                <c:pt idx="118">
                  <c:v>4.4082191780821915</c:v>
                </c:pt>
                <c:pt idx="119">
                  <c:v>4.493150684931507</c:v>
                </c:pt>
                <c:pt idx="120">
                  <c:v>4.5397260273972604</c:v>
                </c:pt>
                <c:pt idx="121">
                  <c:v>4.5397260273972604</c:v>
                </c:pt>
                <c:pt idx="122">
                  <c:v>4.7041095890410958</c:v>
                </c:pt>
                <c:pt idx="123">
                  <c:v>4.7424657534246579</c:v>
                </c:pt>
                <c:pt idx="124">
                  <c:v>4.7726027397260271</c:v>
                </c:pt>
                <c:pt idx="125">
                  <c:v>4.7863013698630139</c:v>
                </c:pt>
                <c:pt idx="126">
                  <c:v>4.8246575342465752</c:v>
                </c:pt>
                <c:pt idx="127">
                  <c:v>4.8712328767123285</c:v>
                </c:pt>
                <c:pt idx="128">
                  <c:v>5.1123287671232873</c:v>
                </c:pt>
                <c:pt idx="129">
                  <c:v>5.1232876712328768</c:v>
                </c:pt>
                <c:pt idx="130">
                  <c:v>5.1232876712328768</c:v>
                </c:pt>
                <c:pt idx="131">
                  <c:v>5.2054794520547949</c:v>
                </c:pt>
                <c:pt idx="132">
                  <c:v>5.2904109589041095</c:v>
                </c:pt>
                <c:pt idx="133">
                  <c:v>5.3726027397260276</c:v>
                </c:pt>
                <c:pt idx="134">
                  <c:v>5.4109589041095889</c:v>
                </c:pt>
                <c:pt idx="135">
                  <c:v>5.4109589041095889</c:v>
                </c:pt>
                <c:pt idx="136">
                  <c:v>5.4958904109589044</c:v>
                </c:pt>
                <c:pt idx="137">
                  <c:v>5.4958904109589044</c:v>
                </c:pt>
                <c:pt idx="138">
                  <c:v>5.8246575342465752</c:v>
                </c:pt>
                <c:pt idx="139">
                  <c:v>5.8246575342465752</c:v>
                </c:pt>
                <c:pt idx="140">
                  <c:v>5.8246575342465752</c:v>
                </c:pt>
                <c:pt idx="141">
                  <c:v>6.0767123287671234</c:v>
                </c:pt>
                <c:pt idx="142">
                  <c:v>6.0767123287671234</c:v>
                </c:pt>
                <c:pt idx="143">
                  <c:v>6.0767123287671234</c:v>
                </c:pt>
                <c:pt idx="144">
                  <c:v>6.4958904109589044</c:v>
                </c:pt>
                <c:pt idx="145">
                  <c:v>6.5424657534246577</c:v>
                </c:pt>
                <c:pt idx="146">
                  <c:v>6.5698630136986305</c:v>
                </c:pt>
                <c:pt idx="147">
                  <c:v>6.6136986301369864</c:v>
                </c:pt>
                <c:pt idx="148">
                  <c:v>6.6575342465753424</c:v>
                </c:pt>
                <c:pt idx="149">
                  <c:v>6.6575342465753424</c:v>
                </c:pt>
                <c:pt idx="150">
                  <c:v>6.7041095890410958</c:v>
                </c:pt>
                <c:pt idx="151">
                  <c:v>6.7863013698630139</c:v>
                </c:pt>
                <c:pt idx="152">
                  <c:v>6.9095890410958907</c:v>
                </c:pt>
                <c:pt idx="153">
                  <c:v>7.2054794520547949</c:v>
                </c:pt>
                <c:pt idx="154">
                  <c:v>7.2054794520547949</c:v>
                </c:pt>
                <c:pt idx="155">
                  <c:v>7.2054794520547949</c:v>
                </c:pt>
                <c:pt idx="156">
                  <c:v>7.3287671232876717</c:v>
                </c:pt>
                <c:pt idx="157">
                  <c:v>7.3287671232876717</c:v>
                </c:pt>
                <c:pt idx="158">
                  <c:v>7.3726027397260276</c:v>
                </c:pt>
                <c:pt idx="159">
                  <c:v>7.4109589041095889</c:v>
                </c:pt>
                <c:pt idx="160">
                  <c:v>7.4958904109589044</c:v>
                </c:pt>
                <c:pt idx="161">
                  <c:v>7.4958904109589044</c:v>
                </c:pt>
                <c:pt idx="162">
                  <c:v>7.4958904109589044</c:v>
                </c:pt>
                <c:pt idx="163">
                  <c:v>7.6191780821917812</c:v>
                </c:pt>
                <c:pt idx="164">
                  <c:v>7.9095890410958907</c:v>
                </c:pt>
                <c:pt idx="165">
                  <c:v>7.9917808219178079</c:v>
                </c:pt>
                <c:pt idx="166">
                  <c:v>8.0767123287671225</c:v>
                </c:pt>
                <c:pt idx="167">
                  <c:v>8.0767123287671225</c:v>
                </c:pt>
                <c:pt idx="168">
                  <c:v>8.205479452054794</c:v>
                </c:pt>
                <c:pt idx="169">
                  <c:v>8.4684931506849317</c:v>
                </c:pt>
                <c:pt idx="170">
                  <c:v>8.4958904109589035</c:v>
                </c:pt>
                <c:pt idx="171">
                  <c:v>8.4958904109589035</c:v>
                </c:pt>
                <c:pt idx="172">
                  <c:v>8.5424657534246577</c:v>
                </c:pt>
                <c:pt idx="173">
                  <c:v>8.706849315068494</c:v>
                </c:pt>
                <c:pt idx="174">
                  <c:v>8.706849315068494</c:v>
                </c:pt>
                <c:pt idx="175">
                  <c:v>8.8273972602739725</c:v>
                </c:pt>
                <c:pt idx="176">
                  <c:v>8.8739726027397268</c:v>
                </c:pt>
                <c:pt idx="177">
                  <c:v>8.8739726027397268</c:v>
                </c:pt>
                <c:pt idx="178">
                  <c:v>8.912328767123288</c:v>
                </c:pt>
                <c:pt idx="179">
                  <c:v>8.9945205479452053</c:v>
                </c:pt>
                <c:pt idx="180">
                  <c:v>9.1260273972602732</c:v>
                </c:pt>
                <c:pt idx="181">
                  <c:v>9.2082191780821923</c:v>
                </c:pt>
                <c:pt idx="182">
                  <c:v>9.4986301369863018</c:v>
                </c:pt>
                <c:pt idx="183">
                  <c:v>9.4986301369863018</c:v>
                </c:pt>
                <c:pt idx="184">
                  <c:v>9.6602739726027398</c:v>
                </c:pt>
                <c:pt idx="185">
                  <c:v>9.6602739726027398</c:v>
                </c:pt>
                <c:pt idx="186">
                  <c:v>9.8273972602739725</c:v>
                </c:pt>
                <c:pt idx="187">
                  <c:v>9.912328767123288</c:v>
                </c:pt>
                <c:pt idx="188">
                  <c:v>10.04109589041096</c:v>
                </c:pt>
                <c:pt idx="189">
                  <c:v>10.079452054794521</c:v>
                </c:pt>
                <c:pt idx="190">
                  <c:v>10.246575342465754</c:v>
                </c:pt>
                <c:pt idx="191">
                  <c:v>10.498630136986302</c:v>
                </c:pt>
                <c:pt idx="192">
                  <c:v>10.745205479452055</c:v>
                </c:pt>
                <c:pt idx="193">
                  <c:v>10.912328767123288</c:v>
                </c:pt>
                <c:pt idx="194">
                  <c:v>10.994520547945205</c:v>
                </c:pt>
                <c:pt idx="195">
                  <c:v>11.04109589041096</c:v>
                </c:pt>
                <c:pt idx="196">
                  <c:v>11.208219178082192</c:v>
                </c:pt>
                <c:pt idx="197">
                  <c:v>11.994520547945205</c:v>
                </c:pt>
                <c:pt idx="198">
                  <c:v>13.334246575342465</c:v>
                </c:pt>
                <c:pt idx="199">
                  <c:v>15.463013698630137</c:v>
                </c:pt>
                <c:pt idx="200">
                  <c:v>15.95890410958904</c:v>
                </c:pt>
                <c:pt idx="201">
                  <c:v>16.334246575342465</c:v>
                </c:pt>
                <c:pt idx="202">
                  <c:v>17.336986301369862</c:v>
                </c:pt>
                <c:pt idx="203">
                  <c:v>18.252054794520546</c:v>
                </c:pt>
                <c:pt idx="204">
                  <c:v>18.298630136986301</c:v>
                </c:pt>
                <c:pt idx="205">
                  <c:v>18.38082191780822</c:v>
                </c:pt>
                <c:pt idx="206">
                  <c:v>18.419178082191781</c:v>
                </c:pt>
                <c:pt idx="207">
                  <c:v>18.589041095890412</c:v>
                </c:pt>
                <c:pt idx="208">
                  <c:v>19.556164383561644</c:v>
                </c:pt>
                <c:pt idx="209">
                  <c:v>19.832876712328765</c:v>
                </c:pt>
                <c:pt idx="210">
                  <c:v>20.298630136986301</c:v>
                </c:pt>
                <c:pt idx="211">
                  <c:v>20.504109589041096</c:v>
                </c:pt>
                <c:pt idx="212">
                  <c:v>20.504109589041096</c:v>
                </c:pt>
                <c:pt idx="213">
                  <c:v>21.049315068493151</c:v>
                </c:pt>
                <c:pt idx="214">
                  <c:v>21.668493150684931</c:v>
                </c:pt>
                <c:pt idx="215">
                  <c:v>21.668493150684931</c:v>
                </c:pt>
                <c:pt idx="216">
                  <c:v>21.797260273972604</c:v>
                </c:pt>
                <c:pt idx="217">
                  <c:v>22.002739726027396</c:v>
                </c:pt>
                <c:pt idx="218">
                  <c:v>22.553424657534247</c:v>
                </c:pt>
                <c:pt idx="219">
                  <c:v>23.506849315068493</c:v>
                </c:pt>
                <c:pt idx="220">
                  <c:v>24.087671232876712</c:v>
                </c:pt>
                <c:pt idx="221">
                  <c:v>24.301369863013697</c:v>
                </c:pt>
                <c:pt idx="222">
                  <c:v>24.671232876712327</c:v>
                </c:pt>
                <c:pt idx="223">
                  <c:v>24.884931506849316</c:v>
                </c:pt>
                <c:pt idx="224">
                  <c:v>24.923287671232877</c:v>
                </c:pt>
                <c:pt idx="225">
                  <c:v>26.671232876712327</c:v>
                </c:pt>
                <c:pt idx="226">
                  <c:v>27.967123287671232</c:v>
                </c:pt>
                <c:pt idx="227">
                  <c:v>28.482191780821918</c:v>
                </c:pt>
                <c:pt idx="228">
                  <c:v>24.884931506849316</c:v>
                </c:pt>
                <c:pt idx="229">
                  <c:v>24.923287671232877</c:v>
                </c:pt>
                <c:pt idx="230">
                  <c:v>26.671232876712327</c:v>
                </c:pt>
                <c:pt idx="231">
                  <c:v>27.342465753424658</c:v>
                </c:pt>
                <c:pt idx="232">
                  <c:v>27.967123287671232</c:v>
                </c:pt>
                <c:pt idx="233">
                  <c:v>28.175342465753424</c:v>
                </c:pt>
                <c:pt idx="234">
                  <c:v>28.482191780821918</c:v>
                </c:pt>
                <c:pt idx="235">
                  <c:v>29.345205479452055</c:v>
                </c:pt>
                <c:pt idx="236">
                  <c:v>30.008219178082193</c:v>
                </c:pt>
              </c:numCache>
            </c:numRef>
          </c:xVal>
          <c:yVal>
            <c:numRef>
              <c:f>'Exercise 4'!$E$3:$E$239</c:f>
              <c:numCache>
                <c:formatCode>0.000</c:formatCode>
                <c:ptCount val="237"/>
                <c:pt idx="0">
                  <c:v>0.76800000000000002</c:v>
                </c:pt>
                <c:pt idx="1">
                  <c:v>0.72099999999999997</c:v>
                </c:pt>
                <c:pt idx="2">
                  <c:v>1.595</c:v>
                </c:pt>
                <c:pt idx="3">
                  <c:v>1.3129999999999999</c:v>
                </c:pt>
                <c:pt idx="4">
                  <c:v>1.7390000000000001</c:v>
                </c:pt>
                <c:pt idx="5">
                  <c:v>1.748</c:v>
                </c:pt>
                <c:pt idx="6">
                  <c:v>1.1930000000000001</c:v>
                </c:pt>
                <c:pt idx="7">
                  <c:v>1.5669999999999999</c:v>
                </c:pt>
                <c:pt idx="8">
                  <c:v>0.70099999999999996</c:v>
                </c:pt>
                <c:pt idx="9">
                  <c:v>2.7669999999999999</c:v>
                </c:pt>
                <c:pt idx="10">
                  <c:v>2.5569999999999999</c:v>
                </c:pt>
                <c:pt idx="11">
                  <c:v>2.9540000000000002</c:v>
                </c:pt>
                <c:pt idx="12">
                  <c:v>3.1739999999999999</c:v>
                </c:pt>
                <c:pt idx="13">
                  <c:v>2.7839999999999998</c:v>
                </c:pt>
                <c:pt idx="14">
                  <c:v>1.982</c:v>
                </c:pt>
                <c:pt idx="15">
                  <c:v>3.464</c:v>
                </c:pt>
                <c:pt idx="16">
                  <c:v>3.3769999999999998</c:v>
                </c:pt>
                <c:pt idx="17">
                  <c:v>3.6549999999999998</c:v>
                </c:pt>
                <c:pt idx="18">
                  <c:v>2.89</c:v>
                </c:pt>
                <c:pt idx="19">
                  <c:v>3.069</c:v>
                </c:pt>
                <c:pt idx="20">
                  <c:v>4.1280000000000001</c:v>
                </c:pt>
                <c:pt idx="21">
                  <c:v>3.3420000000000001</c:v>
                </c:pt>
                <c:pt idx="22">
                  <c:v>3.3559999999999999</c:v>
                </c:pt>
                <c:pt idx="23">
                  <c:v>3.7829999999999999</c:v>
                </c:pt>
                <c:pt idx="24">
                  <c:v>2.4239999999999999</c:v>
                </c:pt>
                <c:pt idx="25">
                  <c:v>4.3769999999999998</c:v>
                </c:pt>
                <c:pt idx="26">
                  <c:v>4.3129999999999997</c:v>
                </c:pt>
                <c:pt idx="27">
                  <c:v>3.351</c:v>
                </c:pt>
                <c:pt idx="28">
                  <c:v>3.6930000000000001</c:v>
                </c:pt>
                <c:pt idx="29">
                  <c:v>5.2439999999999998</c:v>
                </c:pt>
                <c:pt idx="30">
                  <c:v>4.4779999999999998</c:v>
                </c:pt>
                <c:pt idx="31">
                  <c:v>4.8330000000000002</c:v>
                </c:pt>
                <c:pt idx="32">
                  <c:v>4.2709999999999999</c:v>
                </c:pt>
                <c:pt idx="33">
                  <c:v>4.391</c:v>
                </c:pt>
                <c:pt idx="34">
                  <c:v>3.6240000000000001</c:v>
                </c:pt>
                <c:pt idx="35">
                  <c:v>4.9450000000000003</c:v>
                </c:pt>
                <c:pt idx="36">
                  <c:v>4.5510000000000002</c:v>
                </c:pt>
                <c:pt idx="37">
                  <c:v>4.6989999999999998</c:v>
                </c:pt>
                <c:pt idx="38">
                  <c:v>4.7839999999999998</c:v>
                </c:pt>
                <c:pt idx="39">
                  <c:v>4.4080000000000004</c:v>
                </c:pt>
                <c:pt idx="40">
                  <c:v>4.843</c:v>
                </c:pt>
                <c:pt idx="41">
                  <c:v>5.4009999999999998</c:v>
                </c:pt>
                <c:pt idx="42">
                  <c:v>4.8319999999999999</c:v>
                </c:pt>
                <c:pt idx="43">
                  <c:v>4.7779999999999996</c:v>
                </c:pt>
                <c:pt idx="44">
                  <c:v>5.3380000000000001</c:v>
                </c:pt>
                <c:pt idx="45">
                  <c:v>5.5960000000000001</c:v>
                </c:pt>
                <c:pt idx="46">
                  <c:v>5.681</c:v>
                </c:pt>
                <c:pt idx="47">
                  <c:v>4.76</c:v>
                </c:pt>
                <c:pt idx="48">
                  <c:v>5.8029999999999999</c:v>
                </c:pt>
                <c:pt idx="49">
                  <c:v>4.7750000000000004</c:v>
                </c:pt>
                <c:pt idx="50">
                  <c:v>5.3380000000000001</c:v>
                </c:pt>
                <c:pt idx="51">
                  <c:v>5.5940000000000003</c:v>
                </c:pt>
                <c:pt idx="52">
                  <c:v>5.681</c:v>
                </c:pt>
                <c:pt idx="53">
                  <c:v>4.7590000000000003</c:v>
                </c:pt>
                <c:pt idx="54">
                  <c:v>5.8019999999999996</c:v>
                </c:pt>
                <c:pt idx="55">
                  <c:v>5.7709999999999999</c:v>
                </c:pt>
                <c:pt idx="56">
                  <c:v>5.51</c:v>
                </c:pt>
                <c:pt idx="57">
                  <c:v>4.665</c:v>
                </c:pt>
                <c:pt idx="58">
                  <c:v>4.758</c:v>
                </c:pt>
                <c:pt idx="59">
                  <c:v>4.6379999999999999</c:v>
                </c:pt>
                <c:pt idx="60">
                  <c:v>5.0709999999999997</c:v>
                </c:pt>
                <c:pt idx="61">
                  <c:v>4.8410000000000002</c:v>
                </c:pt>
                <c:pt idx="62">
                  <c:v>5.7779999999999996</c:v>
                </c:pt>
                <c:pt idx="63">
                  <c:v>5.5780000000000003</c:v>
                </c:pt>
                <c:pt idx="64">
                  <c:v>4.9059999999999997</c:v>
                </c:pt>
                <c:pt idx="65">
                  <c:v>5.9409999999999998</c:v>
                </c:pt>
                <c:pt idx="66">
                  <c:v>5.8869999999999996</c:v>
                </c:pt>
                <c:pt idx="67">
                  <c:v>5.8869999999999996</c:v>
                </c:pt>
                <c:pt idx="68">
                  <c:v>5.19</c:v>
                </c:pt>
                <c:pt idx="69">
                  <c:v>5.4240000000000004</c:v>
                </c:pt>
                <c:pt idx="70">
                  <c:v>5.8680000000000003</c:v>
                </c:pt>
                <c:pt idx="71">
                  <c:v>5.9039999999999999</c:v>
                </c:pt>
                <c:pt idx="72">
                  <c:v>5.9320000000000004</c:v>
                </c:pt>
                <c:pt idx="73">
                  <c:v>6.0229999999999997</c:v>
                </c:pt>
                <c:pt idx="74">
                  <c:v>5.8289999999999997</c:v>
                </c:pt>
                <c:pt idx="75">
                  <c:v>4.9809999999999999</c:v>
                </c:pt>
                <c:pt idx="76">
                  <c:v>5.1269999999999998</c:v>
                </c:pt>
                <c:pt idx="77">
                  <c:v>4.6989999999999998</c:v>
                </c:pt>
                <c:pt idx="78">
                  <c:v>4.9710000000000001</c:v>
                </c:pt>
                <c:pt idx="79">
                  <c:v>4.782</c:v>
                </c:pt>
                <c:pt idx="80">
                  <c:v>5.5709999999999997</c:v>
                </c:pt>
                <c:pt idx="81">
                  <c:v>6.2850000000000001</c:v>
                </c:pt>
                <c:pt idx="82">
                  <c:v>4.4080000000000004</c:v>
                </c:pt>
                <c:pt idx="83">
                  <c:v>6.5289999999999999</c:v>
                </c:pt>
                <c:pt idx="84">
                  <c:v>7.4050000000000002</c:v>
                </c:pt>
                <c:pt idx="85">
                  <c:v>6.665</c:v>
                </c:pt>
                <c:pt idx="86">
                  <c:v>5.6520000000000001</c:v>
                </c:pt>
                <c:pt idx="87">
                  <c:v>4.3159999999999998</c:v>
                </c:pt>
                <c:pt idx="88">
                  <c:v>5.6769999999999996</c:v>
                </c:pt>
                <c:pt idx="89">
                  <c:v>6.58</c:v>
                </c:pt>
                <c:pt idx="90">
                  <c:v>6.5039999999999996</c:v>
                </c:pt>
                <c:pt idx="91">
                  <c:v>5.7939999999999996</c:v>
                </c:pt>
                <c:pt idx="92">
                  <c:v>5.7480000000000002</c:v>
                </c:pt>
                <c:pt idx="93">
                  <c:v>5.625</c:v>
                </c:pt>
                <c:pt idx="94">
                  <c:v>5.9329999999999998</c:v>
                </c:pt>
                <c:pt idx="95">
                  <c:v>5.5529999999999999</c:v>
                </c:pt>
                <c:pt idx="96">
                  <c:v>6.319</c:v>
                </c:pt>
                <c:pt idx="97">
                  <c:v>5.8360000000000003</c:v>
                </c:pt>
                <c:pt idx="98">
                  <c:v>5.9249999999999998</c:v>
                </c:pt>
                <c:pt idx="99">
                  <c:v>5.4450000000000003</c:v>
                </c:pt>
                <c:pt idx="100">
                  <c:v>5.8879999999999999</c:v>
                </c:pt>
                <c:pt idx="101">
                  <c:v>5.63</c:v>
                </c:pt>
                <c:pt idx="102">
                  <c:v>7.6280000000000001</c:v>
                </c:pt>
                <c:pt idx="103">
                  <c:v>5.1319999999999997</c:v>
                </c:pt>
                <c:pt idx="104">
                  <c:v>5.9180000000000001</c:v>
                </c:pt>
                <c:pt idx="105">
                  <c:v>5.0220000000000002</c:v>
                </c:pt>
                <c:pt idx="106">
                  <c:v>6.3639999999999999</c:v>
                </c:pt>
                <c:pt idx="107">
                  <c:v>6.2039999999999997</c:v>
                </c:pt>
                <c:pt idx="108">
                  <c:v>6.6529999999999996</c:v>
                </c:pt>
                <c:pt idx="109">
                  <c:v>6.3639999999999999</c:v>
                </c:pt>
                <c:pt idx="110">
                  <c:v>6.2030000000000003</c:v>
                </c:pt>
                <c:pt idx="111">
                  <c:v>6.9379999999999997</c:v>
                </c:pt>
                <c:pt idx="112">
                  <c:v>5.9119999999999999</c:v>
                </c:pt>
                <c:pt idx="113">
                  <c:v>6.5270000000000001</c:v>
                </c:pt>
                <c:pt idx="114">
                  <c:v>5.968</c:v>
                </c:pt>
                <c:pt idx="115">
                  <c:v>6.0339999999999998</c:v>
                </c:pt>
                <c:pt idx="116">
                  <c:v>5.407</c:v>
                </c:pt>
                <c:pt idx="117">
                  <c:v>5.5419999999999998</c:v>
                </c:pt>
                <c:pt idx="118">
                  <c:v>5.5350000000000001</c:v>
                </c:pt>
                <c:pt idx="119">
                  <c:v>7.2859999999999996</c:v>
                </c:pt>
                <c:pt idx="120">
                  <c:v>5.61</c:v>
                </c:pt>
                <c:pt idx="121">
                  <c:v>6.6630000000000003</c:v>
                </c:pt>
                <c:pt idx="122">
                  <c:v>8.0280000000000005</c:v>
                </c:pt>
                <c:pt idx="123">
                  <c:v>5.9779999999999998</c:v>
                </c:pt>
                <c:pt idx="124">
                  <c:v>7.0339999999999998</c:v>
                </c:pt>
                <c:pt idx="125">
                  <c:v>5.6749999999999998</c:v>
                </c:pt>
                <c:pt idx="126">
                  <c:v>6.5620000000000003</c:v>
                </c:pt>
                <c:pt idx="127">
                  <c:v>6.0579999999999998</c:v>
                </c:pt>
                <c:pt idx="128">
                  <c:v>6.71</c:v>
                </c:pt>
                <c:pt idx="129">
                  <c:v>5.8890000000000002</c:v>
                </c:pt>
                <c:pt idx="130">
                  <c:v>6.7469999999999999</c:v>
                </c:pt>
                <c:pt idx="131">
                  <c:v>6.702</c:v>
                </c:pt>
                <c:pt idx="132">
                  <c:v>5.9160000000000004</c:v>
                </c:pt>
                <c:pt idx="133">
                  <c:v>6.3</c:v>
                </c:pt>
                <c:pt idx="134">
                  <c:v>6.7759999999999998</c:v>
                </c:pt>
                <c:pt idx="135">
                  <c:v>5.9619999999999997</c:v>
                </c:pt>
                <c:pt idx="136">
                  <c:v>6.3579999999999997</c:v>
                </c:pt>
                <c:pt idx="137">
                  <c:v>6.4130000000000003</c:v>
                </c:pt>
                <c:pt idx="138">
                  <c:v>6.5819999999999999</c:v>
                </c:pt>
                <c:pt idx="139">
                  <c:v>2.859</c:v>
                </c:pt>
                <c:pt idx="140">
                  <c:v>6.7549999999999999</c:v>
                </c:pt>
                <c:pt idx="141">
                  <c:v>6.4470000000000001</c:v>
                </c:pt>
                <c:pt idx="142">
                  <c:v>6.6459999999999999</c:v>
                </c:pt>
                <c:pt idx="143">
                  <c:v>6.9610000000000003</c:v>
                </c:pt>
                <c:pt idx="144">
                  <c:v>8.2029999999999994</c:v>
                </c:pt>
                <c:pt idx="145">
                  <c:v>7.1970000000000001</c:v>
                </c:pt>
                <c:pt idx="146">
                  <c:v>7.07</c:v>
                </c:pt>
                <c:pt idx="147">
                  <c:v>6.9660000000000002</c:v>
                </c:pt>
                <c:pt idx="148">
                  <c:v>6.37</c:v>
                </c:pt>
                <c:pt idx="149">
                  <c:v>6.9509999999999996</c:v>
                </c:pt>
                <c:pt idx="150">
                  <c:v>7.59</c:v>
                </c:pt>
                <c:pt idx="151">
                  <c:v>6.3890000000000002</c:v>
                </c:pt>
                <c:pt idx="152">
                  <c:v>6.6539999999999999</c:v>
                </c:pt>
                <c:pt idx="153">
                  <c:v>6.992</c:v>
                </c:pt>
                <c:pt idx="154">
                  <c:v>6.7110000000000003</c:v>
                </c:pt>
                <c:pt idx="155">
                  <c:v>6.7539999999999996</c:v>
                </c:pt>
                <c:pt idx="156">
                  <c:v>7.1310000000000002</c:v>
                </c:pt>
                <c:pt idx="157">
                  <c:v>7.5650000000000004</c:v>
                </c:pt>
                <c:pt idx="158">
                  <c:v>6.8360000000000003</c:v>
                </c:pt>
                <c:pt idx="159">
                  <c:v>8.0950000000000006</c:v>
                </c:pt>
                <c:pt idx="160">
                  <c:v>6.827</c:v>
                </c:pt>
                <c:pt idx="161">
                  <c:v>8.1379999999999999</c:v>
                </c:pt>
                <c:pt idx="162">
                  <c:v>7.3620000000000001</c:v>
                </c:pt>
                <c:pt idx="163">
                  <c:v>6.4779999999999998</c:v>
                </c:pt>
                <c:pt idx="164">
                  <c:v>7.43</c:v>
                </c:pt>
                <c:pt idx="165">
                  <c:v>7.3330000000000002</c:v>
                </c:pt>
                <c:pt idx="166">
                  <c:v>7.9279999999999999</c:v>
                </c:pt>
                <c:pt idx="167">
                  <c:v>8.1489999999999991</c:v>
                </c:pt>
                <c:pt idx="168">
                  <c:v>7.5860000000000003</c:v>
                </c:pt>
                <c:pt idx="169">
                  <c:v>6.51</c:v>
                </c:pt>
                <c:pt idx="170">
                  <c:v>6.4779999999999998</c:v>
                </c:pt>
                <c:pt idx="171">
                  <c:v>8.0540000000000003</c:v>
                </c:pt>
                <c:pt idx="172">
                  <c:v>6.8120000000000003</c:v>
                </c:pt>
                <c:pt idx="173">
                  <c:v>7.4630000000000001</c:v>
                </c:pt>
                <c:pt idx="174">
                  <c:v>7.0579999999999998</c:v>
                </c:pt>
                <c:pt idx="175">
                  <c:v>8.3049999999999997</c:v>
                </c:pt>
                <c:pt idx="176">
                  <c:v>7.3380000000000001</c:v>
                </c:pt>
                <c:pt idx="177">
                  <c:v>7.6539999999999999</c:v>
                </c:pt>
                <c:pt idx="178">
                  <c:v>7.6559999999999997</c:v>
                </c:pt>
                <c:pt idx="179">
                  <c:v>6.9290000000000003</c:v>
                </c:pt>
                <c:pt idx="180">
                  <c:v>7.0979999999999999</c:v>
                </c:pt>
                <c:pt idx="181">
                  <c:v>6.798</c:v>
                </c:pt>
                <c:pt idx="182">
                  <c:v>8.6240000000000006</c:v>
                </c:pt>
                <c:pt idx="183">
                  <c:v>7.6239999999999997</c:v>
                </c:pt>
                <c:pt idx="184">
                  <c:v>6.9340000000000002</c:v>
                </c:pt>
                <c:pt idx="185">
                  <c:v>7.2480000000000002</c:v>
                </c:pt>
                <c:pt idx="186">
                  <c:v>7.141</c:v>
                </c:pt>
                <c:pt idx="187">
                  <c:v>7.2130000000000001</c:v>
                </c:pt>
                <c:pt idx="188">
                  <c:v>6.5629999999999997</c:v>
                </c:pt>
                <c:pt idx="189">
                  <c:v>6.4989999999999997</c:v>
                </c:pt>
                <c:pt idx="190">
                  <c:v>6.5389999999999997</c:v>
                </c:pt>
                <c:pt idx="191">
                  <c:v>6.6909999999999998</c:v>
                </c:pt>
                <c:pt idx="192">
                  <c:v>7.3730000000000002</c:v>
                </c:pt>
                <c:pt idx="193">
                  <c:v>7.5890000000000004</c:v>
                </c:pt>
                <c:pt idx="194">
                  <c:v>5.9390000000000001</c:v>
                </c:pt>
                <c:pt idx="195">
                  <c:v>6.5519999999999996</c:v>
                </c:pt>
                <c:pt idx="196">
                  <c:v>6.85</c:v>
                </c:pt>
                <c:pt idx="197">
                  <c:v>6.2240000000000002</c:v>
                </c:pt>
                <c:pt idx="198">
                  <c:v>6.2069999999999999</c:v>
                </c:pt>
                <c:pt idx="199">
                  <c:v>7.5430000000000001</c:v>
                </c:pt>
                <c:pt idx="200">
                  <c:v>9.0530000000000008</c:v>
                </c:pt>
                <c:pt idx="201">
                  <c:v>7.5469999999999997</c:v>
                </c:pt>
                <c:pt idx="202">
                  <c:v>7.8559999999999999</c:v>
                </c:pt>
                <c:pt idx="203">
                  <c:v>6.8780000000000001</c:v>
                </c:pt>
                <c:pt idx="204">
                  <c:v>7.1689999999999996</c:v>
                </c:pt>
                <c:pt idx="205">
                  <c:v>7.3490000000000002</c:v>
                </c:pt>
                <c:pt idx="206">
                  <c:v>7.5439999999999996</c:v>
                </c:pt>
                <c:pt idx="207">
                  <c:v>7.8049999999999997</c:v>
                </c:pt>
                <c:pt idx="208">
                  <c:v>7.5170000000000003</c:v>
                </c:pt>
                <c:pt idx="209">
                  <c:v>7.5529999999999999</c:v>
                </c:pt>
                <c:pt idx="210">
                  <c:v>6.5570000000000004</c:v>
                </c:pt>
                <c:pt idx="211">
                  <c:v>7.1059999999999999</c:v>
                </c:pt>
                <c:pt idx="212">
                  <c:v>7.4630000000000001</c:v>
                </c:pt>
                <c:pt idx="213">
                  <c:v>7.01</c:v>
                </c:pt>
                <c:pt idx="214">
                  <c:v>7.7359999999999998</c:v>
                </c:pt>
                <c:pt idx="215">
                  <c:v>7.085</c:v>
                </c:pt>
                <c:pt idx="216">
                  <c:v>6.444</c:v>
                </c:pt>
                <c:pt idx="217">
                  <c:v>8.1590000000000007</c:v>
                </c:pt>
                <c:pt idx="218">
                  <c:v>8.1999999999999993</c:v>
                </c:pt>
                <c:pt idx="219">
                  <c:v>6.6920000000000002</c:v>
                </c:pt>
                <c:pt idx="220">
                  <c:v>8.1630000000000003</c:v>
                </c:pt>
                <c:pt idx="221">
                  <c:v>7.3330000000000002</c:v>
                </c:pt>
                <c:pt idx="222">
                  <c:v>6.9569999999999999</c:v>
                </c:pt>
                <c:pt idx="223">
                  <c:v>7.218</c:v>
                </c:pt>
                <c:pt idx="224">
                  <c:v>7.0140000000000002</c:v>
                </c:pt>
                <c:pt idx="225">
                  <c:v>6.4039999999999999</c:v>
                </c:pt>
                <c:pt idx="226">
                  <c:v>7.9889999999999999</c:v>
                </c:pt>
                <c:pt idx="227">
                  <c:v>6.9039999999999999</c:v>
                </c:pt>
                <c:pt idx="228">
                  <c:v>7.3289999999999997</c:v>
                </c:pt>
                <c:pt idx="229">
                  <c:v>7.0620000000000003</c:v>
                </c:pt>
                <c:pt idx="230">
                  <c:v>6.4039999999999999</c:v>
                </c:pt>
                <c:pt idx="231">
                  <c:v>7.8949999999999996</c:v>
                </c:pt>
                <c:pt idx="232">
                  <c:v>7.8490000000000002</c:v>
                </c:pt>
                <c:pt idx="233">
                  <c:v>7.4409999999999998</c:v>
                </c:pt>
                <c:pt idx="234">
                  <c:v>6.9509999999999996</c:v>
                </c:pt>
                <c:pt idx="235">
                  <c:v>6.6109999999999998</c:v>
                </c:pt>
                <c:pt idx="236">
                  <c:v>7.7060000000000004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32-4FA3-92D4-00622F2E1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579960"/>
        <c:axId val="1"/>
      </c:scatterChart>
      <c:valAx>
        <c:axId val="820579960"/>
        <c:scaling>
          <c:orientation val="minMax"/>
          <c:max val="3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49140426928025521"/>
              <c:y val="0.928439899603166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YTM</a:t>
                </a:r>
              </a:p>
            </c:rich>
          </c:tx>
          <c:layout>
            <c:manualLayout>
              <c:xMode val="edge"/>
              <c:yMode val="edge"/>
              <c:x val="2.7220644654008308E-2"/>
              <c:y val="0.495293496137186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05799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60960</xdr:colOff>
      <xdr:row>2</xdr:row>
      <xdr:rowOff>0</xdr:rowOff>
    </xdr:from>
    <xdr:to>
      <xdr:col>15</xdr:col>
      <xdr:colOff>388620</xdr:colOff>
      <xdr:row>31</xdr:row>
      <xdr:rowOff>83820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8C40BFA-27F8-4CF5-824B-E3DD541F01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B bonds, data"/>
      <sheetName val="CCC bonds, data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E3">
            <v>-19.559000000000001</v>
          </cell>
        </row>
      </sheetData>
      <sheetData sheetId="7" refreshError="1"/>
      <sheetData sheetId="8">
        <row r="3">
          <cell r="E3">
            <v>0.76800000000000002</v>
          </cell>
          <cell r="G3">
            <v>0.32328767123287672</v>
          </cell>
        </row>
        <row r="4">
          <cell r="E4">
            <v>0.72099999999999997</v>
          </cell>
          <cell r="G4">
            <v>0.36712328767123287</v>
          </cell>
        </row>
        <row r="5">
          <cell r="E5">
            <v>1.595</v>
          </cell>
          <cell r="G5">
            <v>0.40547945205479452</v>
          </cell>
        </row>
        <row r="6">
          <cell r="E6">
            <v>1.3129999999999999</v>
          </cell>
          <cell r="G6">
            <v>0.49041095890410957</v>
          </cell>
        </row>
        <row r="7">
          <cell r="E7">
            <v>1.7390000000000001</v>
          </cell>
          <cell r="G7">
            <v>0.49041095890410957</v>
          </cell>
        </row>
        <row r="8">
          <cell r="E8">
            <v>1.748</v>
          </cell>
          <cell r="G8">
            <v>0.49041095890410957</v>
          </cell>
        </row>
        <row r="9">
          <cell r="E9">
            <v>1.1930000000000001</v>
          </cell>
          <cell r="G9">
            <v>0.53698630136986303</v>
          </cell>
        </row>
        <row r="10">
          <cell r="E10">
            <v>1.5669999999999999</v>
          </cell>
          <cell r="G10">
            <v>0.57534246575342463</v>
          </cell>
        </row>
        <row r="11">
          <cell r="E11">
            <v>0.70099999999999996</v>
          </cell>
          <cell r="G11">
            <v>0.57534246575342463</v>
          </cell>
        </row>
        <row r="12">
          <cell r="E12">
            <v>2.7669999999999999</v>
          </cell>
          <cell r="G12">
            <v>0.57534246575342463</v>
          </cell>
        </row>
        <row r="13">
          <cell r="E13">
            <v>2.5569999999999999</v>
          </cell>
          <cell r="G13">
            <v>0.57534246575342463</v>
          </cell>
        </row>
        <row r="14">
          <cell r="E14">
            <v>2.9540000000000002</v>
          </cell>
          <cell r="G14">
            <v>0.57534246575342463</v>
          </cell>
        </row>
        <row r="15">
          <cell r="E15">
            <v>3.1739999999999999</v>
          </cell>
          <cell r="G15">
            <v>0.57534246575342463</v>
          </cell>
        </row>
        <row r="16">
          <cell r="E16">
            <v>2.7839999999999998</v>
          </cell>
          <cell r="G16">
            <v>0.57534246575342463</v>
          </cell>
        </row>
        <row r="17">
          <cell r="E17">
            <v>1.982</v>
          </cell>
          <cell r="G17">
            <v>0.57534246575342463</v>
          </cell>
        </row>
        <row r="18">
          <cell r="E18">
            <v>3.464</v>
          </cell>
          <cell r="G18">
            <v>0.65479452054794518</v>
          </cell>
        </row>
        <row r="19">
          <cell r="E19">
            <v>3.3769999999999998</v>
          </cell>
          <cell r="G19">
            <v>0.65479452054794518</v>
          </cell>
        </row>
        <row r="20">
          <cell r="E20">
            <v>3.6549999999999998</v>
          </cell>
          <cell r="G20">
            <v>0.65479452054794518</v>
          </cell>
        </row>
        <row r="21">
          <cell r="E21">
            <v>2.89</v>
          </cell>
          <cell r="G21">
            <v>0.65479452054794518</v>
          </cell>
        </row>
        <row r="22">
          <cell r="E22">
            <v>3.069</v>
          </cell>
          <cell r="G22">
            <v>0.73972602739726023</v>
          </cell>
        </row>
        <row r="23">
          <cell r="E23">
            <v>4.1280000000000001</v>
          </cell>
          <cell r="G23">
            <v>0.73972602739726023</v>
          </cell>
        </row>
        <row r="24">
          <cell r="E24">
            <v>3.3420000000000001</v>
          </cell>
          <cell r="G24">
            <v>0.73972602739726023</v>
          </cell>
        </row>
        <row r="25">
          <cell r="E25">
            <v>3.3559999999999999</v>
          </cell>
          <cell r="G25">
            <v>0.78356164383561644</v>
          </cell>
        </row>
        <row r="26">
          <cell r="E26">
            <v>3.7829999999999999</v>
          </cell>
          <cell r="G26">
            <v>0.80547945205479454</v>
          </cell>
        </row>
        <row r="27">
          <cell r="E27">
            <v>2.4239999999999999</v>
          </cell>
          <cell r="G27">
            <v>0.82191780821917804</v>
          </cell>
        </row>
        <row r="28">
          <cell r="E28">
            <v>4.3769999999999998</v>
          </cell>
          <cell r="G28">
            <v>0.9068493150684932</v>
          </cell>
        </row>
        <row r="29">
          <cell r="E29">
            <v>4.3129999999999997</v>
          </cell>
          <cell r="G29">
            <v>0.98630136986301364</v>
          </cell>
        </row>
        <row r="30">
          <cell r="E30">
            <v>3.351</v>
          </cell>
          <cell r="G30">
            <v>1.0356164383561643</v>
          </cell>
        </row>
        <row r="31">
          <cell r="E31">
            <v>3.6930000000000001</v>
          </cell>
          <cell r="G31">
            <v>1.2027397260273973</v>
          </cell>
        </row>
        <row r="32">
          <cell r="E32">
            <v>5.2439999999999998</v>
          </cell>
          <cell r="G32">
            <v>1.2027397260273973</v>
          </cell>
        </row>
        <row r="33">
          <cell r="E33">
            <v>4.4779999999999998</v>
          </cell>
          <cell r="G33">
            <v>1.2164383561643837</v>
          </cell>
        </row>
        <row r="34">
          <cell r="E34">
            <v>4.8330000000000002</v>
          </cell>
          <cell r="G34">
            <v>1.2410958904109588</v>
          </cell>
        </row>
        <row r="35">
          <cell r="E35">
            <v>4.2709999999999999</v>
          </cell>
          <cell r="G35">
            <v>1.2410958904109588</v>
          </cell>
        </row>
        <row r="36">
          <cell r="E36">
            <v>4.391</v>
          </cell>
          <cell r="G36">
            <v>1.2876712328767124</v>
          </cell>
        </row>
        <row r="37">
          <cell r="E37">
            <v>3.6240000000000001</v>
          </cell>
          <cell r="G37">
            <v>1.3260273972602741</v>
          </cell>
        </row>
        <row r="38">
          <cell r="E38">
            <v>4.9450000000000003</v>
          </cell>
          <cell r="G38">
            <v>1.3260273972602741</v>
          </cell>
        </row>
        <row r="39">
          <cell r="E39">
            <v>4.5510000000000002</v>
          </cell>
          <cell r="G39">
            <v>1.3260273972602741</v>
          </cell>
        </row>
        <row r="40">
          <cell r="E40">
            <v>4.6989999999999998</v>
          </cell>
          <cell r="G40">
            <v>1.3397260273972602</v>
          </cell>
        </row>
        <row r="41">
          <cell r="E41">
            <v>4.7839999999999998</v>
          </cell>
          <cell r="G41">
            <v>1.4931506849315068</v>
          </cell>
        </row>
        <row r="42">
          <cell r="E42">
            <v>4.4080000000000004</v>
          </cell>
          <cell r="G42">
            <v>1.5780821917808219</v>
          </cell>
        </row>
        <row r="43">
          <cell r="E43">
            <v>4.843</v>
          </cell>
          <cell r="G43">
            <v>1.7013698630136986</v>
          </cell>
        </row>
        <row r="44">
          <cell r="E44">
            <v>5.4009999999999998</v>
          </cell>
          <cell r="G44">
            <v>1.7397260273972603</v>
          </cell>
        </row>
        <row r="45">
          <cell r="E45">
            <v>4.8319999999999999</v>
          </cell>
          <cell r="G45">
            <v>1.7808219178082192</v>
          </cell>
        </row>
        <row r="46">
          <cell r="E46">
            <v>4.7779999999999996</v>
          </cell>
          <cell r="G46">
            <v>1.821917808219178</v>
          </cell>
        </row>
        <row r="47">
          <cell r="E47">
            <v>5.3380000000000001</v>
          </cell>
          <cell r="G47">
            <v>1.821917808219178</v>
          </cell>
        </row>
        <row r="48">
          <cell r="E48">
            <v>5.5960000000000001</v>
          </cell>
          <cell r="G48">
            <v>1.821917808219178</v>
          </cell>
        </row>
        <row r="49">
          <cell r="E49">
            <v>5.681</v>
          </cell>
          <cell r="G49">
            <v>1.821917808219178</v>
          </cell>
        </row>
        <row r="50">
          <cell r="E50">
            <v>4.76</v>
          </cell>
          <cell r="G50">
            <v>1.8684931506849316</v>
          </cell>
        </row>
        <row r="51">
          <cell r="E51">
            <v>5.8029999999999999</v>
          </cell>
          <cell r="G51">
            <v>1.9068493150684931</v>
          </cell>
        </row>
        <row r="52">
          <cell r="E52">
            <v>4.7750000000000004</v>
          </cell>
          <cell r="G52">
            <v>1.821917808219178</v>
          </cell>
        </row>
        <row r="53">
          <cell r="E53">
            <v>5.3380000000000001</v>
          </cell>
          <cell r="G53">
            <v>1.821917808219178</v>
          </cell>
        </row>
        <row r="54">
          <cell r="E54">
            <v>5.5940000000000003</v>
          </cell>
          <cell r="G54">
            <v>1.821917808219178</v>
          </cell>
        </row>
        <row r="55">
          <cell r="E55">
            <v>5.681</v>
          </cell>
          <cell r="G55">
            <v>1.821917808219178</v>
          </cell>
        </row>
        <row r="56">
          <cell r="E56">
            <v>4.7590000000000003</v>
          </cell>
          <cell r="G56">
            <v>1.8684931506849316</v>
          </cell>
        </row>
        <row r="57">
          <cell r="E57">
            <v>5.8019999999999996</v>
          </cell>
          <cell r="G57">
            <v>1.9068493150684931</v>
          </cell>
        </row>
        <row r="58">
          <cell r="E58">
            <v>5.7709999999999999</v>
          </cell>
          <cell r="G58">
            <v>1.989041095890411</v>
          </cell>
        </row>
        <row r="59">
          <cell r="E59">
            <v>5.51</v>
          </cell>
          <cell r="G59">
            <v>1.989041095890411</v>
          </cell>
        </row>
        <row r="60">
          <cell r="E60">
            <v>4.665</v>
          </cell>
          <cell r="G60">
            <v>1.989041095890411</v>
          </cell>
        </row>
        <row r="61">
          <cell r="E61">
            <v>4.758</v>
          </cell>
          <cell r="G61">
            <v>1.989041095890411</v>
          </cell>
        </row>
        <row r="62">
          <cell r="E62">
            <v>4.6379999999999999</v>
          </cell>
          <cell r="G62">
            <v>1.989041095890411</v>
          </cell>
        </row>
        <row r="63">
          <cell r="E63">
            <v>5.0709999999999997</v>
          </cell>
          <cell r="G63">
            <v>1.989041095890411</v>
          </cell>
        </row>
        <row r="64">
          <cell r="E64">
            <v>4.8410000000000002</v>
          </cell>
          <cell r="G64">
            <v>2.032876712328767</v>
          </cell>
        </row>
        <row r="65">
          <cell r="E65">
            <v>5.7779999999999996</v>
          </cell>
          <cell r="G65">
            <v>2.0739726027397261</v>
          </cell>
        </row>
        <row r="66">
          <cell r="E66">
            <v>5.5780000000000003</v>
          </cell>
          <cell r="G66">
            <v>2.0739726027397261</v>
          </cell>
        </row>
        <row r="67">
          <cell r="E67">
            <v>4.9059999999999997</v>
          </cell>
          <cell r="G67">
            <v>2.2027397260273971</v>
          </cell>
        </row>
        <row r="68">
          <cell r="E68">
            <v>5.9409999999999998</v>
          </cell>
          <cell r="G68">
            <v>2.2410958904109588</v>
          </cell>
        </row>
        <row r="69">
          <cell r="E69">
            <v>5.8869999999999996</v>
          </cell>
          <cell r="G69">
            <v>2.2410958904109588</v>
          </cell>
        </row>
        <row r="70">
          <cell r="E70">
            <v>5.8869999999999996</v>
          </cell>
          <cell r="G70">
            <v>2.2410958904109588</v>
          </cell>
        </row>
        <row r="71">
          <cell r="E71">
            <v>5.19</v>
          </cell>
          <cell r="G71">
            <v>2.2410958904109588</v>
          </cell>
        </row>
        <row r="72">
          <cell r="E72">
            <v>5.4240000000000004</v>
          </cell>
          <cell r="G72">
            <v>2.2876712328767121</v>
          </cell>
        </row>
        <row r="73">
          <cell r="E73">
            <v>5.8680000000000003</v>
          </cell>
          <cell r="G73">
            <v>2.3260273972602739</v>
          </cell>
        </row>
        <row r="74">
          <cell r="E74">
            <v>5.9039999999999999</v>
          </cell>
          <cell r="G74">
            <v>2.3260273972602739</v>
          </cell>
        </row>
        <row r="75">
          <cell r="E75">
            <v>5.9320000000000004</v>
          </cell>
          <cell r="G75">
            <v>2.3260273972602739</v>
          </cell>
        </row>
        <row r="76">
          <cell r="E76">
            <v>6.0229999999999997</v>
          </cell>
          <cell r="G76">
            <v>2.408219178082192</v>
          </cell>
        </row>
        <row r="77">
          <cell r="E77">
            <v>5.8289999999999997</v>
          </cell>
          <cell r="G77">
            <v>2.504109589041096</v>
          </cell>
        </row>
        <row r="78">
          <cell r="E78">
            <v>4.9809999999999999</v>
          </cell>
          <cell r="G78">
            <v>2.6547945205479451</v>
          </cell>
        </row>
        <row r="79">
          <cell r="E79">
            <v>5.1269999999999998</v>
          </cell>
          <cell r="G79">
            <v>2.7287671232876711</v>
          </cell>
        </row>
        <row r="80">
          <cell r="E80">
            <v>4.6989999999999998</v>
          </cell>
          <cell r="G80">
            <v>2.8684931506849316</v>
          </cell>
        </row>
        <row r="81">
          <cell r="E81">
            <v>4.9710000000000001</v>
          </cell>
          <cell r="G81">
            <v>2.8684931506849316</v>
          </cell>
        </row>
        <row r="82">
          <cell r="E82">
            <v>4.782</v>
          </cell>
          <cell r="G82">
            <v>2.9068493150684933</v>
          </cell>
        </row>
        <row r="83">
          <cell r="E83">
            <v>5.5709999999999997</v>
          </cell>
          <cell r="G83">
            <v>2.9068493150684933</v>
          </cell>
        </row>
        <row r="84">
          <cell r="E84">
            <v>6.2850000000000001</v>
          </cell>
          <cell r="G84">
            <v>2.9068493150684933</v>
          </cell>
        </row>
        <row r="85">
          <cell r="E85">
            <v>4.4080000000000004</v>
          </cell>
          <cell r="G85">
            <v>2.9068493150684933</v>
          </cell>
        </row>
        <row r="86">
          <cell r="E86">
            <v>6.5289999999999999</v>
          </cell>
          <cell r="G86">
            <v>2.989041095890411</v>
          </cell>
        </row>
        <row r="87">
          <cell r="E87">
            <v>7.4050000000000002</v>
          </cell>
          <cell r="G87">
            <v>3.0739726027397261</v>
          </cell>
        </row>
        <row r="88">
          <cell r="E88">
            <v>6.665</v>
          </cell>
          <cell r="G88">
            <v>3.0739726027397261</v>
          </cell>
        </row>
        <row r="89">
          <cell r="E89">
            <v>5.6520000000000001</v>
          </cell>
          <cell r="G89">
            <v>3.1589041095890411</v>
          </cell>
        </row>
        <row r="90">
          <cell r="E90">
            <v>4.3159999999999998</v>
          </cell>
          <cell r="G90">
            <v>3.2027397260273971</v>
          </cell>
        </row>
        <row r="91">
          <cell r="E91">
            <v>5.6769999999999996</v>
          </cell>
          <cell r="G91">
            <v>3.3260273972602739</v>
          </cell>
        </row>
        <row r="92">
          <cell r="E92">
            <v>6.58</v>
          </cell>
          <cell r="G92">
            <v>3.3342465753424659</v>
          </cell>
        </row>
        <row r="93">
          <cell r="E93">
            <v>6.5039999999999996</v>
          </cell>
          <cell r="G93">
            <v>3.493150684931507</v>
          </cell>
        </row>
        <row r="94">
          <cell r="E94">
            <v>5.7939999999999996</v>
          </cell>
          <cell r="G94">
            <v>3.5397260273972604</v>
          </cell>
        </row>
        <row r="95">
          <cell r="E95">
            <v>5.7480000000000002</v>
          </cell>
          <cell r="G95">
            <v>3.5780821917808221</v>
          </cell>
        </row>
        <row r="96">
          <cell r="E96">
            <v>5.625</v>
          </cell>
          <cell r="G96">
            <v>3.5780821917808221</v>
          </cell>
        </row>
        <row r="97">
          <cell r="E97">
            <v>5.9329999999999998</v>
          </cell>
          <cell r="G97">
            <v>3.6164383561643834</v>
          </cell>
        </row>
        <row r="98">
          <cell r="E98">
            <v>5.5529999999999999</v>
          </cell>
          <cell r="G98">
            <v>3.6164383561643834</v>
          </cell>
        </row>
        <row r="99">
          <cell r="E99">
            <v>6.319</v>
          </cell>
          <cell r="G99">
            <v>3.6191780821917807</v>
          </cell>
        </row>
        <row r="100">
          <cell r="E100">
            <v>5.8360000000000003</v>
          </cell>
          <cell r="G100">
            <v>3.6547945205479451</v>
          </cell>
        </row>
        <row r="101">
          <cell r="E101">
            <v>5.9249999999999998</v>
          </cell>
          <cell r="G101">
            <v>3.7397260273972601</v>
          </cell>
        </row>
        <row r="102">
          <cell r="E102">
            <v>5.4450000000000003</v>
          </cell>
          <cell r="G102">
            <v>3.7835616438356166</v>
          </cell>
        </row>
        <row r="103">
          <cell r="E103">
            <v>5.8879999999999999</v>
          </cell>
          <cell r="G103">
            <v>3.8219178082191783</v>
          </cell>
        </row>
        <row r="104">
          <cell r="E104">
            <v>5.63</v>
          </cell>
          <cell r="G104">
            <v>3.8219178082191783</v>
          </cell>
        </row>
        <row r="105">
          <cell r="E105">
            <v>7.6280000000000001</v>
          </cell>
          <cell r="G105">
            <v>3.8219178082191783</v>
          </cell>
        </row>
        <row r="106">
          <cell r="E106">
            <v>5.1319999999999997</v>
          </cell>
          <cell r="G106">
            <v>3.8684931506849316</v>
          </cell>
        </row>
        <row r="107">
          <cell r="E107">
            <v>5.9180000000000001</v>
          </cell>
          <cell r="G107">
            <v>3.9068493150684933</v>
          </cell>
        </row>
        <row r="108">
          <cell r="E108">
            <v>5.0220000000000002</v>
          </cell>
          <cell r="G108">
            <v>4.0356164383561648</v>
          </cell>
        </row>
        <row r="109">
          <cell r="E109">
            <v>6.3639999999999999</v>
          </cell>
          <cell r="G109">
            <v>4.0356164383561648</v>
          </cell>
        </row>
        <row r="110">
          <cell r="E110">
            <v>6.2039999999999997</v>
          </cell>
          <cell r="G110">
            <v>4.0739726027397261</v>
          </cell>
        </row>
        <row r="111">
          <cell r="E111">
            <v>6.6529999999999996</v>
          </cell>
          <cell r="G111">
            <v>4.0739726027397261</v>
          </cell>
        </row>
        <row r="112">
          <cell r="E112">
            <v>6.3639999999999999</v>
          </cell>
          <cell r="G112">
            <v>4.0356164383561648</v>
          </cell>
        </row>
        <row r="113">
          <cell r="E113">
            <v>6.2030000000000003</v>
          </cell>
          <cell r="G113">
            <v>4.0739726027397261</v>
          </cell>
        </row>
        <row r="114">
          <cell r="E114">
            <v>6.9379999999999997</v>
          </cell>
          <cell r="G114">
            <v>4.0739726027397261</v>
          </cell>
        </row>
        <row r="115">
          <cell r="E115">
            <v>5.9119999999999999</v>
          </cell>
          <cell r="G115">
            <v>4.0739726027397261</v>
          </cell>
        </row>
        <row r="116">
          <cell r="E116">
            <v>6.5270000000000001</v>
          </cell>
          <cell r="G116">
            <v>4.1589041095890407</v>
          </cell>
        </row>
        <row r="117">
          <cell r="E117">
            <v>5.968</v>
          </cell>
          <cell r="G117">
            <v>4.2027397260273975</v>
          </cell>
        </row>
        <row r="118">
          <cell r="E118">
            <v>6.0339999999999998</v>
          </cell>
          <cell r="G118">
            <v>4.2027397260273975</v>
          </cell>
        </row>
        <row r="119">
          <cell r="E119">
            <v>5.407</v>
          </cell>
          <cell r="G119">
            <v>4.2027397260273975</v>
          </cell>
        </row>
        <row r="120">
          <cell r="E120">
            <v>5.5419999999999998</v>
          </cell>
          <cell r="G120">
            <v>4.4082191780821915</v>
          </cell>
        </row>
        <row r="121">
          <cell r="E121">
            <v>5.5350000000000001</v>
          </cell>
          <cell r="G121">
            <v>4.4082191780821915</v>
          </cell>
        </row>
        <row r="122">
          <cell r="E122">
            <v>7.2859999999999996</v>
          </cell>
          <cell r="G122">
            <v>4.493150684931507</v>
          </cell>
        </row>
        <row r="123">
          <cell r="E123">
            <v>5.61</v>
          </cell>
          <cell r="G123">
            <v>4.5397260273972604</v>
          </cell>
        </row>
        <row r="124">
          <cell r="E124">
            <v>6.6630000000000003</v>
          </cell>
          <cell r="G124">
            <v>4.5397260273972604</v>
          </cell>
        </row>
        <row r="125">
          <cell r="E125">
            <v>8.0280000000000005</v>
          </cell>
          <cell r="G125">
            <v>4.7041095890410958</v>
          </cell>
        </row>
        <row r="126">
          <cell r="E126">
            <v>5.9779999999999998</v>
          </cell>
          <cell r="G126">
            <v>4.7424657534246579</v>
          </cell>
        </row>
        <row r="127">
          <cell r="E127">
            <v>7.0339999999999998</v>
          </cell>
          <cell r="G127">
            <v>4.7726027397260271</v>
          </cell>
        </row>
        <row r="128">
          <cell r="E128">
            <v>5.6749999999999998</v>
          </cell>
          <cell r="G128">
            <v>4.7863013698630139</v>
          </cell>
        </row>
        <row r="129">
          <cell r="E129">
            <v>6.5620000000000003</v>
          </cell>
          <cell r="G129">
            <v>4.8246575342465752</v>
          </cell>
        </row>
        <row r="130">
          <cell r="E130">
            <v>6.0579999999999998</v>
          </cell>
          <cell r="G130">
            <v>4.8712328767123285</v>
          </cell>
        </row>
        <row r="131">
          <cell r="E131">
            <v>6.71</v>
          </cell>
          <cell r="G131">
            <v>5.1123287671232873</v>
          </cell>
        </row>
        <row r="132">
          <cell r="E132">
            <v>5.8890000000000002</v>
          </cell>
          <cell r="G132">
            <v>5.1232876712328768</v>
          </cell>
        </row>
        <row r="133">
          <cell r="E133">
            <v>6.7469999999999999</v>
          </cell>
          <cell r="G133">
            <v>5.1232876712328768</v>
          </cell>
        </row>
        <row r="134">
          <cell r="E134">
            <v>6.702</v>
          </cell>
          <cell r="G134">
            <v>5.2054794520547949</v>
          </cell>
        </row>
        <row r="135">
          <cell r="E135">
            <v>5.9160000000000004</v>
          </cell>
          <cell r="G135">
            <v>5.2904109589041095</v>
          </cell>
        </row>
        <row r="136">
          <cell r="E136">
            <v>6.3</v>
          </cell>
          <cell r="G136">
            <v>5.3726027397260276</v>
          </cell>
        </row>
        <row r="137">
          <cell r="E137">
            <v>6.7759999999999998</v>
          </cell>
          <cell r="G137">
            <v>5.4109589041095889</v>
          </cell>
        </row>
        <row r="138">
          <cell r="E138">
            <v>5.9619999999999997</v>
          </cell>
          <cell r="G138">
            <v>5.4109589041095889</v>
          </cell>
        </row>
        <row r="139">
          <cell r="E139">
            <v>6.3579999999999997</v>
          </cell>
          <cell r="G139">
            <v>5.4958904109589044</v>
          </cell>
        </row>
        <row r="140">
          <cell r="E140">
            <v>6.4130000000000003</v>
          </cell>
          <cell r="G140">
            <v>5.4958904109589044</v>
          </cell>
        </row>
        <row r="141">
          <cell r="E141">
            <v>6.5819999999999999</v>
          </cell>
          <cell r="G141">
            <v>5.8246575342465752</v>
          </cell>
        </row>
        <row r="142">
          <cell r="E142">
            <v>2.859</v>
          </cell>
          <cell r="G142">
            <v>5.8246575342465752</v>
          </cell>
        </row>
        <row r="143">
          <cell r="E143">
            <v>6.7549999999999999</v>
          </cell>
          <cell r="G143">
            <v>5.8246575342465752</v>
          </cell>
        </row>
        <row r="144">
          <cell r="E144">
            <v>6.4470000000000001</v>
          </cell>
          <cell r="G144">
            <v>6.0767123287671234</v>
          </cell>
        </row>
        <row r="145">
          <cell r="E145">
            <v>6.6459999999999999</v>
          </cell>
          <cell r="G145">
            <v>6.0767123287671234</v>
          </cell>
        </row>
        <row r="146">
          <cell r="E146">
            <v>6.9610000000000003</v>
          </cell>
          <cell r="G146">
            <v>6.0767123287671234</v>
          </cell>
        </row>
        <row r="147">
          <cell r="E147">
            <v>8.2029999999999994</v>
          </cell>
          <cell r="G147">
            <v>6.4958904109589044</v>
          </cell>
        </row>
        <row r="148">
          <cell r="E148">
            <v>7.1970000000000001</v>
          </cell>
          <cell r="G148">
            <v>6.5424657534246577</v>
          </cell>
        </row>
        <row r="149">
          <cell r="E149">
            <v>7.07</v>
          </cell>
          <cell r="G149">
            <v>6.5698630136986305</v>
          </cell>
        </row>
        <row r="150">
          <cell r="E150">
            <v>6.9660000000000002</v>
          </cell>
          <cell r="G150">
            <v>6.6136986301369864</v>
          </cell>
        </row>
        <row r="151">
          <cell r="E151">
            <v>6.37</v>
          </cell>
          <cell r="G151">
            <v>6.6575342465753424</v>
          </cell>
        </row>
        <row r="152">
          <cell r="E152">
            <v>6.9509999999999996</v>
          </cell>
          <cell r="G152">
            <v>6.6575342465753424</v>
          </cell>
        </row>
        <row r="153">
          <cell r="E153">
            <v>7.59</v>
          </cell>
          <cell r="G153">
            <v>6.7041095890410958</v>
          </cell>
        </row>
        <row r="154">
          <cell r="E154">
            <v>6.3890000000000002</v>
          </cell>
          <cell r="G154">
            <v>6.7863013698630139</v>
          </cell>
        </row>
        <row r="155">
          <cell r="E155">
            <v>6.6539999999999999</v>
          </cell>
          <cell r="G155">
            <v>6.9095890410958907</v>
          </cell>
        </row>
        <row r="156">
          <cell r="E156">
            <v>6.992</v>
          </cell>
          <cell r="G156">
            <v>7.2054794520547949</v>
          </cell>
        </row>
        <row r="157">
          <cell r="E157">
            <v>6.7110000000000003</v>
          </cell>
          <cell r="G157">
            <v>7.2054794520547949</v>
          </cell>
        </row>
        <row r="158">
          <cell r="E158">
            <v>6.7539999999999996</v>
          </cell>
          <cell r="G158">
            <v>7.2054794520547949</v>
          </cell>
        </row>
        <row r="159">
          <cell r="E159">
            <v>7.1310000000000002</v>
          </cell>
          <cell r="G159">
            <v>7.3287671232876717</v>
          </cell>
        </row>
        <row r="160">
          <cell r="E160">
            <v>7.5650000000000004</v>
          </cell>
          <cell r="G160">
            <v>7.3287671232876717</v>
          </cell>
        </row>
        <row r="161">
          <cell r="E161">
            <v>6.8360000000000003</v>
          </cell>
          <cell r="G161">
            <v>7.3726027397260276</v>
          </cell>
        </row>
        <row r="162">
          <cell r="E162">
            <v>8.0950000000000006</v>
          </cell>
          <cell r="G162">
            <v>7.4109589041095889</v>
          </cell>
        </row>
        <row r="163">
          <cell r="E163">
            <v>6.827</v>
          </cell>
          <cell r="G163">
            <v>7.4958904109589044</v>
          </cell>
        </row>
        <row r="164">
          <cell r="E164">
            <v>8.1379999999999999</v>
          </cell>
          <cell r="G164">
            <v>7.4958904109589044</v>
          </cell>
        </row>
        <row r="165">
          <cell r="E165">
            <v>7.3620000000000001</v>
          </cell>
          <cell r="G165">
            <v>7.4958904109589044</v>
          </cell>
        </row>
        <row r="166">
          <cell r="E166">
            <v>6.4779999999999998</v>
          </cell>
          <cell r="G166">
            <v>7.6191780821917812</v>
          </cell>
        </row>
        <row r="167">
          <cell r="E167">
            <v>7.43</v>
          </cell>
          <cell r="G167">
            <v>7.9095890410958907</v>
          </cell>
        </row>
        <row r="168">
          <cell r="E168">
            <v>7.3330000000000002</v>
          </cell>
          <cell r="G168">
            <v>7.9917808219178079</v>
          </cell>
        </row>
        <row r="169">
          <cell r="E169">
            <v>7.9279999999999999</v>
          </cell>
          <cell r="G169">
            <v>8.0767123287671225</v>
          </cell>
        </row>
        <row r="170">
          <cell r="E170">
            <v>8.1489999999999991</v>
          </cell>
          <cell r="G170">
            <v>8.0767123287671225</v>
          </cell>
        </row>
        <row r="171">
          <cell r="E171">
            <v>7.5860000000000003</v>
          </cell>
          <cell r="G171">
            <v>8.205479452054794</v>
          </cell>
        </row>
        <row r="172">
          <cell r="E172">
            <v>6.51</v>
          </cell>
          <cell r="G172">
            <v>8.4684931506849317</v>
          </cell>
        </row>
        <row r="173">
          <cell r="E173">
            <v>6.4779999999999998</v>
          </cell>
          <cell r="G173">
            <v>8.4958904109589035</v>
          </cell>
        </row>
        <row r="174">
          <cell r="E174">
            <v>8.0540000000000003</v>
          </cell>
          <cell r="G174">
            <v>8.4958904109589035</v>
          </cell>
        </row>
        <row r="175">
          <cell r="E175">
            <v>6.8120000000000003</v>
          </cell>
          <cell r="G175">
            <v>8.5424657534246577</v>
          </cell>
        </row>
        <row r="176">
          <cell r="E176">
            <v>7.4630000000000001</v>
          </cell>
          <cell r="G176">
            <v>8.706849315068494</v>
          </cell>
        </row>
        <row r="177">
          <cell r="E177">
            <v>7.0579999999999998</v>
          </cell>
          <cell r="G177">
            <v>8.706849315068494</v>
          </cell>
        </row>
        <row r="178">
          <cell r="E178">
            <v>8.3049999999999997</v>
          </cell>
          <cell r="G178">
            <v>8.8273972602739725</v>
          </cell>
        </row>
        <row r="179">
          <cell r="E179">
            <v>7.3380000000000001</v>
          </cell>
          <cell r="G179">
            <v>8.8739726027397268</v>
          </cell>
        </row>
        <row r="180">
          <cell r="E180">
            <v>7.6539999999999999</v>
          </cell>
          <cell r="G180">
            <v>8.8739726027397268</v>
          </cell>
        </row>
        <row r="181">
          <cell r="E181">
            <v>7.6559999999999997</v>
          </cell>
          <cell r="G181">
            <v>8.912328767123288</v>
          </cell>
        </row>
        <row r="182">
          <cell r="E182">
            <v>6.9290000000000003</v>
          </cell>
          <cell r="G182">
            <v>8.9945205479452053</v>
          </cell>
        </row>
        <row r="183">
          <cell r="E183">
            <v>7.0979999999999999</v>
          </cell>
          <cell r="G183">
            <v>9.1260273972602732</v>
          </cell>
        </row>
        <row r="184">
          <cell r="E184">
            <v>6.798</v>
          </cell>
          <cell r="G184">
            <v>9.2082191780821923</v>
          </cell>
        </row>
        <row r="185">
          <cell r="E185">
            <v>8.6240000000000006</v>
          </cell>
          <cell r="G185">
            <v>9.4986301369863018</v>
          </cell>
        </row>
        <row r="186">
          <cell r="E186">
            <v>7.6239999999999997</v>
          </cell>
          <cell r="G186">
            <v>9.4986301369863018</v>
          </cell>
        </row>
        <row r="187">
          <cell r="E187">
            <v>6.9340000000000002</v>
          </cell>
          <cell r="G187">
            <v>9.6602739726027398</v>
          </cell>
        </row>
        <row r="188">
          <cell r="E188">
            <v>7.2480000000000002</v>
          </cell>
          <cell r="G188">
            <v>9.6602739726027398</v>
          </cell>
        </row>
        <row r="189">
          <cell r="E189">
            <v>7.141</v>
          </cell>
          <cell r="G189">
            <v>9.8273972602739725</v>
          </cell>
        </row>
        <row r="190">
          <cell r="E190">
            <v>7.2130000000000001</v>
          </cell>
          <cell r="G190">
            <v>9.912328767123288</v>
          </cell>
        </row>
        <row r="191">
          <cell r="E191">
            <v>6.5629999999999997</v>
          </cell>
          <cell r="G191">
            <v>10.04109589041096</v>
          </cell>
        </row>
        <row r="192">
          <cell r="E192">
            <v>6.4989999999999997</v>
          </cell>
          <cell r="G192">
            <v>10.079452054794521</v>
          </cell>
        </row>
        <row r="193">
          <cell r="E193">
            <v>6.5389999999999997</v>
          </cell>
          <cell r="G193">
            <v>10.246575342465754</v>
          </cell>
        </row>
        <row r="194">
          <cell r="E194">
            <v>6.6909999999999998</v>
          </cell>
          <cell r="G194">
            <v>10.498630136986302</v>
          </cell>
        </row>
        <row r="195">
          <cell r="E195">
            <v>7.3730000000000002</v>
          </cell>
          <cell r="G195">
            <v>10.745205479452055</v>
          </cell>
        </row>
        <row r="196">
          <cell r="E196">
            <v>7.5890000000000004</v>
          </cell>
          <cell r="G196">
            <v>10.912328767123288</v>
          </cell>
        </row>
        <row r="197">
          <cell r="E197">
            <v>5.9390000000000001</v>
          </cell>
          <cell r="G197">
            <v>10.994520547945205</v>
          </cell>
        </row>
        <row r="198">
          <cell r="E198">
            <v>6.5519999999999996</v>
          </cell>
          <cell r="G198">
            <v>11.04109589041096</v>
          </cell>
        </row>
        <row r="199">
          <cell r="E199">
            <v>6.85</v>
          </cell>
          <cell r="G199">
            <v>11.208219178082192</v>
          </cell>
        </row>
        <row r="200">
          <cell r="E200">
            <v>6.2240000000000002</v>
          </cell>
          <cell r="G200">
            <v>11.994520547945205</v>
          </cell>
        </row>
        <row r="201">
          <cell r="E201">
            <v>6.2069999999999999</v>
          </cell>
          <cell r="G201">
            <v>13.334246575342465</v>
          </cell>
        </row>
        <row r="202">
          <cell r="E202">
            <v>7.5430000000000001</v>
          </cell>
          <cell r="G202">
            <v>15.463013698630137</v>
          </cell>
        </row>
        <row r="203">
          <cell r="E203">
            <v>9.0530000000000008</v>
          </cell>
          <cell r="G203">
            <v>15.95890410958904</v>
          </cell>
        </row>
        <row r="204">
          <cell r="E204">
            <v>7.5469999999999997</v>
          </cell>
          <cell r="G204">
            <v>16.334246575342465</v>
          </cell>
        </row>
        <row r="205">
          <cell r="E205">
            <v>7.8559999999999999</v>
          </cell>
          <cell r="G205">
            <v>17.336986301369862</v>
          </cell>
        </row>
        <row r="206">
          <cell r="E206">
            <v>6.8780000000000001</v>
          </cell>
          <cell r="G206">
            <v>18.252054794520546</v>
          </cell>
        </row>
        <row r="207">
          <cell r="E207">
            <v>7.1689999999999996</v>
          </cell>
          <cell r="G207">
            <v>18.298630136986301</v>
          </cell>
        </row>
        <row r="208">
          <cell r="E208">
            <v>7.3490000000000002</v>
          </cell>
          <cell r="G208">
            <v>18.38082191780822</v>
          </cell>
        </row>
        <row r="209">
          <cell r="E209">
            <v>7.5439999999999996</v>
          </cell>
          <cell r="G209">
            <v>18.419178082191781</v>
          </cell>
        </row>
        <row r="210">
          <cell r="E210">
            <v>7.8049999999999997</v>
          </cell>
          <cell r="G210">
            <v>18.589041095890412</v>
          </cell>
        </row>
        <row r="211">
          <cell r="E211">
            <v>7.5170000000000003</v>
          </cell>
          <cell r="G211">
            <v>19.556164383561644</v>
          </cell>
        </row>
        <row r="212">
          <cell r="E212">
            <v>7.5529999999999999</v>
          </cell>
          <cell r="G212">
            <v>19.832876712328765</v>
          </cell>
        </row>
        <row r="213">
          <cell r="E213">
            <v>6.5570000000000004</v>
          </cell>
          <cell r="G213">
            <v>20.298630136986301</v>
          </cell>
        </row>
        <row r="214">
          <cell r="E214">
            <v>7.1059999999999999</v>
          </cell>
          <cell r="G214">
            <v>20.504109589041096</v>
          </cell>
        </row>
        <row r="215">
          <cell r="E215">
            <v>7.4630000000000001</v>
          </cell>
          <cell r="G215">
            <v>20.504109589041096</v>
          </cell>
        </row>
        <row r="216">
          <cell r="E216">
            <v>7.01</v>
          </cell>
          <cell r="G216">
            <v>21.049315068493151</v>
          </cell>
        </row>
        <row r="217">
          <cell r="E217">
            <v>7.7359999999999998</v>
          </cell>
          <cell r="G217">
            <v>21.668493150684931</v>
          </cell>
        </row>
        <row r="218">
          <cell r="E218">
            <v>7.085</v>
          </cell>
          <cell r="G218">
            <v>21.668493150684931</v>
          </cell>
        </row>
        <row r="219">
          <cell r="E219">
            <v>6.444</v>
          </cell>
          <cell r="G219">
            <v>21.797260273972604</v>
          </cell>
        </row>
        <row r="220">
          <cell r="E220">
            <v>8.1590000000000007</v>
          </cell>
          <cell r="G220">
            <v>22.002739726027396</v>
          </cell>
        </row>
        <row r="221">
          <cell r="E221">
            <v>8.1999999999999993</v>
          </cell>
          <cell r="G221">
            <v>22.553424657534247</v>
          </cell>
        </row>
        <row r="222">
          <cell r="E222">
            <v>6.6920000000000002</v>
          </cell>
          <cell r="G222">
            <v>23.506849315068493</v>
          </cell>
        </row>
        <row r="223">
          <cell r="E223">
            <v>8.1630000000000003</v>
          </cell>
          <cell r="G223">
            <v>24.087671232876712</v>
          </cell>
        </row>
        <row r="224">
          <cell r="E224">
            <v>7.3330000000000002</v>
          </cell>
          <cell r="G224">
            <v>24.301369863013697</v>
          </cell>
        </row>
        <row r="225">
          <cell r="E225">
            <v>6.9569999999999999</v>
          </cell>
          <cell r="G225">
            <v>24.671232876712327</v>
          </cell>
        </row>
        <row r="226">
          <cell r="E226">
            <v>7.218</v>
          </cell>
          <cell r="G226">
            <v>24.884931506849316</v>
          </cell>
        </row>
        <row r="227">
          <cell r="E227">
            <v>7.0140000000000002</v>
          </cell>
          <cell r="G227">
            <v>24.923287671232877</v>
          </cell>
        </row>
        <row r="228">
          <cell r="E228">
            <v>6.4039999999999999</v>
          </cell>
          <cell r="G228">
            <v>26.671232876712327</v>
          </cell>
        </row>
        <row r="229">
          <cell r="E229">
            <v>7.9889999999999999</v>
          </cell>
          <cell r="G229">
            <v>27.967123287671232</v>
          </cell>
        </row>
        <row r="230">
          <cell r="E230">
            <v>6.9039999999999999</v>
          </cell>
          <cell r="G230">
            <v>28.482191780821918</v>
          </cell>
        </row>
        <row r="231">
          <cell r="E231">
            <v>7.3289999999999997</v>
          </cell>
          <cell r="G231">
            <v>24.884931506849316</v>
          </cell>
        </row>
        <row r="232">
          <cell r="E232">
            <v>7.0620000000000003</v>
          </cell>
          <cell r="G232">
            <v>24.923287671232877</v>
          </cell>
        </row>
        <row r="233">
          <cell r="E233">
            <v>6.4039999999999999</v>
          </cell>
          <cell r="G233">
            <v>26.671232876712327</v>
          </cell>
        </row>
        <row r="234">
          <cell r="E234">
            <v>7.8949999999999996</v>
          </cell>
          <cell r="G234">
            <v>27.342465753424658</v>
          </cell>
        </row>
        <row r="235">
          <cell r="E235">
            <v>7.8490000000000002</v>
          </cell>
          <cell r="G235">
            <v>27.967123287671232</v>
          </cell>
        </row>
        <row r="236">
          <cell r="E236">
            <v>7.4409999999999998</v>
          </cell>
          <cell r="G236">
            <v>28.175342465753424</v>
          </cell>
        </row>
        <row r="237">
          <cell r="E237">
            <v>6.9509999999999996</v>
          </cell>
          <cell r="G237">
            <v>28.482191780821918</v>
          </cell>
        </row>
        <row r="238">
          <cell r="E238">
            <v>6.6109999999999998</v>
          </cell>
          <cell r="G238">
            <v>29.345205479452055</v>
          </cell>
        </row>
        <row r="239">
          <cell r="E239">
            <v>7.7060000000000004</v>
          </cell>
          <cell r="G239">
            <v>30.008219178082193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F3258-8D80-4AAD-97BF-EDEE9A59832B}">
  <dimension ref="A1:P239"/>
  <sheetViews>
    <sheetView tabSelected="1" workbookViewId="0">
      <selection activeCell="W20" sqref="W20"/>
    </sheetView>
  </sheetViews>
  <sheetFormatPr defaultColWidth="9.109375" defaultRowHeight="13.2" x14ac:dyDescent="0.25"/>
  <cols>
    <col min="1" max="1" width="38" style="2" bestFit="1" customWidth="1"/>
    <col min="2" max="2" width="9.109375" style="2"/>
    <col min="3" max="3" width="13.109375" style="2" customWidth="1"/>
    <col min="4" max="4" width="11.5546875" style="2" customWidth="1"/>
    <col min="5" max="7" width="9.109375" style="2"/>
    <col min="8" max="8" width="27.88671875" style="2" bestFit="1" customWidth="1"/>
    <col min="9" max="256" width="9.109375" style="2"/>
    <col min="257" max="257" width="38" style="2" bestFit="1" customWidth="1"/>
    <col min="258" max="258" width="9.109375" style="2"/>
    <col min="259" max="259" width="13.109375" style="2" customWidth="1"/>
    <col min="260" max="260" width="11.5546875" style="2" customWidth="1"/>
    <col min="261" max="263" width="9.109375" style="2"/>
    <col min="264" max="264" width="27.88671875" style="2" bestFit="1" customWidth="1"/>
    <col min="265" max="512" width="9.109375" style="2"/>
    <col min="513" max="513" width="38" style="2" bestFit="1" customWidth="1"/>
    <col min="514" max="514" width="9.109375" style="2"/>
    <col min="515" max="515" width="13.109375" style="2" customWidth="1"/>
    <col min="516" max="516" width="11.5546875" style="2" customWidth="1"/>
    <col min="517" max="519" width="9.109375" style="2"/>
    <col min="520" max="520" width="27.88671875" style="2" bestFit="1" customWidth="1"/>
    <col min="521" max="768" width="9.109375" style="2"/>
    <col min="769" max="769" width="38" style="2" bestFit="1" customWidth="1"/>
    <col min="770" max="770" width="9.109375" style="2"/>
    <col min="771" max="771" width="13.109375" style="2" customWidth="1"/>
    <col min="772" max="772" width="11.5546875" style="2" customWidth="1"/>
    <col min="773" max="775" width="9.109375" style="2"/>
    <col min="776" max="776" width="27.88671875" style="2" bestFit="1" customWidth="1"/>
    <col min="777" max="1024" width="9.109375" style="2"/>
    <col min="1025" max="1025" width="38" style="2" bestFit="1" customWidth="1"/>
    <col min="1026" max="1026" width="9.109375" style="2"/>
    <col min="1027" max="1027" width="13.109375" style="2" customWidth="1"/>
    <col min="1028" max="1028" width="11.5546875" style="2" customWidth="1"/>
    <col min="1029" max="1031" width="9.109375" style="2"/>
    <col min="1032" max="1032" width="27.88671875" style="2" bestFit="1" customWidth="1"/>
    <col min="1033" max="1280" width="9.109375" style="2"/>
    <col min="1281" max="1281" width="38" style="2" bestFit="1" customWidth="1"/>
    <col min="1282" max="1282" width="9.109375" style="2"/>
    <col min="1283" max="1283" width="13.109375" style="2" customWidth="1"/>
    <col min="1284" max="1284" width="11.5546875" style="2" customWidth="1"/>
    <col min="1285" max="1287" width="9.109375" style="2"/>
    <col min="1288" max="1288" width="27.88671875" style="2" bestFit="1" customWidth="1"/>
    <col min="1289" max="1536" width="9.109375" style="2"/>
    <col min="1537" max="1537" width="38" style="2" bestFit="1" customWidth="1"/>
    <col min="1538" max="1538" width="9.109375" style="2"/>
    <col min="1539" max="1539" width="13.109375" style="2" customWidth="1"/>
    <col min="1540" max="1540" width="11.5546875" style="2" customWidth="1"/>
    <col min="1541" max="1543" width="9.109375" style="2"/>
    <col min="1544" max="1544" width="27.88671875" style="2" bestFit="1" customWidth="1"/>
    <col min="1545" max="1792" width="9.109375" style="2"/>
    <col min="1793" max="1793" width="38" style="2" bestFit="1" customWidth="1"/>
    <col min="1794" max="1794" width="9.109375" style="2"/>
    <col min="1795" max="1795" width="13.109375" style="2" customWidth="1"/>
    <col min="1796" max="1796" width="11.5546875" style="2" customWidth="1"/>
    <col min="1797" max="1799" width="9.109375" style="2"/>
    <col min="1800" max="1800" width="27.88671875" style="2" bestFit="1" customWidth="1"/>
    <col min="1801" max="2048" width="9.109375" style="2"/>
    <col min="2049" max="2049" width="38" style="2" bestFit="1" customWidth="1"/>
    <col min="2050" max="2050" width="9.109375" style="2"/>
    <col min="2051" max="2051" width="13.109375" style="2" customWidth="1"/>
    <col min="2052" max="2052" width="11.5546875" style="2" customWidth="1"/>
    <col min="2053" max="2055" width="9.109375" style="2"/>
    <col min="2056" max="2056" width="27.88671875" style="2" bestFit="1" customWidth="1"/>
    <col min="2057" max="2304" width="9.109375" style="2"/>
    <col min="2305" max="2305" width="38" style="2" bestFit="1" customWidth="1"/>
    <col min="2306" max="2306" width="9.109375" style="2"/>
    <col min="2307" max="2307" width="13.109375" style="2" customWidth="1"/>
    <col min="2308" max="2308" width="11.5546875" style="2" customWidth="1"/>
    <col min="2309" max="2311" width="9.109375" style="2"/>
    <col min="2312" max="2312" width="27.88671875" style="2" bestFit="1" customWidth="1"/>
    <col min="2313" max="2560" width="9.109375" style="2"/>
    <col min="2561" max="2561" width="38" style="2" bestFit="1" customWidth="1"/>
    <col min="2562" max="2562" width="9.109375" style="2"/>
    <col min="2563" max="2563" width="13.109375" style="2" customWidth="1"/>
    <col min="2564" max="2564" width="11.5546875" style="2" customWidth="1"/>
    <col min="2565" max="2567" width="9.109375" style="2"/>
    <col min="2568" max="2568" width="27.88671875" style="2" bestFit="1" customWidth="1"/>
    <col min="2569" max="2816" width="9.109375" style="2"/>
    <col min="2817" max="2817" width="38" style="2" bestFit="1" customWidth="1"/>
    <col min="2818" max="2818" width="9.109375" style="2"/>
    <col min="2819" max="2819" width="13.109375" style="2" customWidth="1"/>
    <col min="2820" max="2820" width="11.5546875" style="2" customWidth="1"/>
    <col min="2821" max="2823" width="9.109375" style="2"/>
    <col min="2824" max="2824" width="27.88671875" style="2" bestFit="1" customWidth="1"/>
    <col min="2825" max="3072" width="9.109375" style="2"/>
    <col min="3073" max="3073" width="38" style="2" bestFit="1" customWidth="1"/>
    <col min="3074" max="3074" width="9.109375" style="2"/>
    <col min="3075" max="3075" width="13.109375" style="2" customWidth="1"/>
    <col min="3076" max="3076" width="11.5546875" style="2" customWidth="1"/>
    <col min="3077" max="3079" width="9.109375" style="2"/>
    <col min="3080" max="3080" width="27.88671875" style="2" bestFit="1" customWidth="1"/>
    <col min="3081" max="3328" width="9.109375" style="2"/>
    <col min="3329" max="3329" width="38" style="2" bestFit="1" customWidth="1"/>
    <col min="3330" max="3330" width="9.109375" style="2"/>
    <col min="3331" max="3331" width="13.109375" style="2" customWidth="1"/>
    <col min="3332" max="3332" width="11.5546875" style="2" customWidth="1"/>
    <col min="3333" max="3335" width="9.109375" style="2"/>
    <col min="3336" max="3336" width="27.88671875" style="2" bestFit="1" customWidth="1"/>
    <col min="3337" max="3584" width="9.109375" style="2"/>
    <col min="3585" max="3585" width="38" style="2" bestFit="1" customWidth="1"/>
    <col min="3586" max="3586" width="9.109375" style="2"/>
    <col min="3587" max="3587" width="13.109375" style="2" customWidth="1"/>
    <col min="3588" max="3588" width="11.5546875" style="2" customWidth="1"/>
    <col min="3589" max="3591" width="9.109375" style="2"/>
    <col min="3592" max="3592" width="27.88671875" style="2" bestFit="1" customWidth="1"/>
    <col min="3593" max="3840" width="9.109375" style="2"/>
    <col min="3841" max="3841" width="38" style="2" bestFit="1" customWidth="1"/>
    <col min="3842" max="3842" width="9.109375" style="2"/>
    <col min="3843" max="3843" width="13.109375" style="2" customWidth="1"/>
    <col min="3844" max="3844" width="11.5546875" style="2" customWidth="1"/>
    <col min="3845" max="3847" width="9.109375" style="2"/>
    <col min="3848" max="3848" width="27.88671875" style="2" bestFit="1" customWidth="1"/>
    <col min="3849" max="4096" width="9.109375" style="2"/>
    <col min="4097" max="4097" width="38" style="2" bestFit="1" customWidth="1"/>
    <col min="4098" max="4098" width="9.109375" style="2"/>
    <col min="4099" max="4099" width="13.109375" style="2" customWidth="1"/>
    <col min="4100" max="4100" width="11.5546875" style="2" customWidth="1"/>
    <col min="4101" max="4103" width="9.109375" style="2"/>
    <col min="4104" max="4104" width="27.88671875" style="2" bestFit="1" customWidth="1"/>
    <col min="4105" max="4352" width="9.109375" style="2"/>
    <col min="4353" max="4353" width="38" style="2" bestFit="1" customWidth="1"/>
    <col min="4354" max="4354" width="9.109375" style="2"/>
    <col min="4355" max="4355" width="13.109375" style="2" customWidth="1"/>
    <col min="4356" max="4356" width="11.5546875" style="2" customWidth="1"/>
    <col min="4357" max="4359" width="9.109375" style="2"/>
    <col min="4360" max="4360" width="27.88671875" style="2" bestFit="1" customWidth="1"/>
    <col min="4361" max="4608" width="9.109375" style="2"/>
    <col min="4609" max="4609" width="38" style="2" bestFit="1" customWidth="1"/>
    <col min="4610" max="4610" width="9.109375" style="2"/>
    <col min="4611" max="4611" width="13.109375" style="2" customWidth="1"/>
    <col min="4612" max="4612" width="11.5546875" style="2" customWidth="1"/>
    <col min="4613" max="4615" width="9.109375" style="2"/>
    <col min="4616" max="4616" width="27.88671875" style="2" bestFit="1" customWidth="1"/>
    <col min="4617" max="4864" width="9.109375" style="2"/>
    <col min="4865" max="4865" width="38" style="2" bestFit="1" customWidth="1"/>
    <col min="4866" max="4866" width="9.109375" style="2"/>
    <col min="4867" max="4867" width="13.109375" style="2" customWidth="1"/>
    <col min="4868" max="4868" width="11.5546875" style="2" customWidth="1"/>
    <col min="4869" max="4871" width="9.109375" style="2"/>
    <col min="4872" max="4872" width="27.88671875" style="2" bestFit="1" customWidth="1"/>
    <col min="4873" max="5120" width="9.109375" style="2"/>
    <col min="5121" max="5121" width="38" style="2" bestFit="1" customWidth="1"/>
    <col min="5122" max="5122" width="9.109375" style="2"/>
    <col min="5123" max="5123" width="13.109375" style="2" customWidth="1"/>
    <col min="5124" max="5124" width="11.5546875" style="2" customWidth="1"/>
    <col min="5125" max="5127" width="9.109375" style="2"/>
    <col min="5128" max="5128" width="27.88671875" style="2" bestFit="1" customWidth="1"/>
    <col min="5129" max="5376" width="9.109375" style="2"/>
    <col min="5377" max="5377" width="38" style="2" bestFit="1" customWidth="1"/>
    <col min="5378" max="5378" width="9.109375" style="2"/>
    <col min="5379" max="5379" width="13.109375" style="2" customWidth="1"/>
    <col min="5380" max="5380" width="11.5546875" style="2" customWidth="1"/>
    <col min="5381" max="5383" width="9.109375" style="2"/>
    <col min="5384" max="5384" width="27.88671875" style="2" bestFit="1" customWidth="1"/>
    <col min="5385" max="5632" width="9.109375" style="2"/>
    <col min="5633" max="5633" width="38" style="2" bestFit="1" customWidth="1"/>
    <col min="5634" max="5634" width="9.109375" style="2"/>
    <col min="5635" max="5635" width="13.109375" style="2" customWidth="1"/>
    <col min="5636" max="5636" width="11.5546875" style="2" customWidth="1"/>
    <col min="5637" max="5639" width="9.109375" style="2"/>
    <col min="5640" max="5640" width="27.88671875" style="2" bestFit="1" customWidth="1"/>
    <col min="5641" max="5888" width="9.109375" style="2"/>
    <col min="5889" max="5889" width="38" style="2" bestFit="1" customWidth="1"/>
    <col min="5890" max="5890" width="9.109375" style="2"/>
    <col min="5891" max="5891" width="13.109375" style="2" customWidth="1"/>
    <col min="5892" max="5892" width="11.5546875" style="2" customWidth="1"/>
    <col min="5893" max="5895" width="9.109375" style="2"/>
    <col min="5896" max="5896" width="27.88671875" style="2" bestFit="1" customWidth="1"/>
    <col min="5897" max="6144" width="9.109375" style="2"/>
    <col min="6145" max="6145" width="38" style="2" bestFit="1" customWidth="1"/>
    <col min="6146" max="6146" width="9.109375" style="2"/>
    <col min="6147" max="6147" width="13.109375" style="2" customWidth="1"/>
    <col min="6148" max="6148" width="11.5546875" style="2" customWidth="1"/>
    <col min="6149" max="6151" width="9.109375" style="2"/>
    <col min="6152" max="6152" width="27.88671875" style="2" bestFit="1" customWidth="1"/>
    <col min="6153" max="6400" width="9.109375" style="2"/>
    <col min="6401" max="6401" width="38" style="2" bestFit="1" customWidth="1"/>
    <col min="6402" max="6402" width="9.109375" style="2"/>
    <col min="6403" max="6403" width="13.109375" style="2" customWidth="1"/>
    <col min="6404" max="6404" width="11.5546875" style="2" customWidth="1"/>
    <col min="6405" max="6407" width="9.109375" style="2"/>
    <col min="6408" max="6408" width="27.88671875" style="2" bestFit="1" customWidth="1"/>
    <col min="6409" max="6656" width="9.109375" style="2"/>
    <col min="6657" max="6657" width="38" style="2" bestFit="1" customWidth="1"/>
    <col min="6658" max="6658" width="9.109375" style="2"/>
    <col min="6659" max="6659" width="13.109375" style="2" customWidth="1"/>
    <col min="6660" max="6660" width="11.5546875" style="2" customWidth="1"/>
    <col min="6661" max="6663" width="9.109375" style="2"/>
    <col min="6664" max="6664" width="27.88671875" style="2" bestFit="1" customWidth="1"/>
    <col min="6665" max="6912" width="9.109375" style="2"/>
    <col min="6913" max="6913" width="38" style="2" bestFit="1" customWidth="1"/>
    <col min="6914" max="6914" width="9.109375" style="2"/>
    <col min="6915" max="6915" width="13.109375" style="2" customWidth="1"/>
    <col min="6916" max="6916" width="11.5546875" style="2" customWidth="1"/>
    <col min="6917" max="6919" width="9.109375" style="2"/>
    <col min="6920" max="6920" width="27.88671875" style="2" bestFit="1" customWidth="1"/>
    <col min="6921" max="7168" width="9.109375" style="2"/>
    <col min="7169" max="7169" width="38" style="2" bestFit="1" customWidth="1"/>
    <col min="7170" max="7170" width="9.109375" style="2"/>
    <col min="7171" max="7171" width="13.109375" style="2" customWidth="1"/>
    <col min="7172" max="7172" width="11.5546875" style="2" customWidth="1"/>
    <col min="7173" max="7175" width="9.109375" style="2"/>
    <col min="7176" max="7176" width="27.88671875" style="2" bestFit="1" customWidth="1"/>
    <col min="7177" max="7424" width="9.109375" style="2"/>
    <col min="7425" max="7425" width="38" style="2" bestFit="1" customWidth="1"/>
    <col min="7426" max="7426" width="9.109375" style="2"/>
    <col min="7427" max="7427" width="13.109375" style="2" customWidth="1"/>
    <col min="7428" max="7428" width="11.5546875" style="2" customWidth="1"/>
    <col min="7429" max="7431" width="9.109375" style="2"/>
    <col min="7432" max="7432" width="27.88671875" style="2" bestFit="1" customWidth="1"/>
    <col min="7433" max="7680" width="9.109375" style="2"/>
    <col min="7681" max="7681" width="38" style="2" bestFit="1" customWidth="1"/>
    <col min="7682" max="7682" width="9.109375" style="2"/>
    <col min="7683" max="7683" width="13.109375" style="2" customWidth="1"/>
    <col min="7684" max="7684" width="11.5546875" style="2" customWidth="1"/>
    <col min="7685" max="7687" width="9.109375" style="2"/>
    <col min="7688" max="7688" width="27.88671875" style="2" bestFit="1" customWidth="1"/>
    <col min="7689" max="7936" width="9.109375" style="2"/>
    <col min="7937" max="7937" width="38" style="2" bestFit="1" customWidth="1"/>
    <col min="7938" max="7938" width="9.109375" style="2"/>
    <col min="7939" max="7939" width="13.109375" style="2" customWidth="1"/>
    <col min="7940" max="7940" width="11.5546875" style="2" customWidth="1"/>
    <col min="7941" max="7943" width="9.109375" style="2"/>
    <col min="7944" max="7944" width="27.88671875" style="2" bestFit="1" customWidth="1"/>
    <col min="7945" max="8192" width="9.109375" style="2"/>
    <col min="8193" max="8193" width="38" style="2" bestFit="1" customWidth="1"/>
    <col min="8194" max="8194" width="9.109375" style="2"/>
    <col min="8195" max="8195" width="13.109375" style="2" customWidth="1"/>
    <col min="8196" max="8196" width="11.5546875" style="2" customWidth="1"/>
    <col min="8197" max="8199" width="9.109375" style="2"/>
    <col min="8200" max="8200" width="27.88671875" style="2" bestFit="1" customWidth="1"/>
    <col min="8201" max="8448" width="9.109375" style="2"/>
    <col min="8449" max="8449" width="38" style="2" bestFit="1" customWidth="1"/>
    <col min="8450" max="8450" width="9.109375" style="2"/>
    <col min="8451" max="8451" width="13.109375" style="2" customWidth="1"/>
    <col min="8452" max="8452" width="11.5546875" style="2" customWidth="1"/>
    <col min="8453" max="8455" width="9.109375" style="2"/>
    <col min="8456" max="8456" width="27.88671875" style="2" bestFit="1" customWidth="1"/>
    <col min="8457" max="8704" width="9.109375" style="2"/>
    <col min="8705" max="8705" width="38" style="2" bestFit="1" customWidth="1"/>
    <col min="8706" max="8706" width="9.109375" style="2"/>
    <col min="8707" max="8707" width="13.109375" style="2" customWidth="1"/>
    <col min="8708" max="8708" width="11.5546875" style="2" customWidth="1"/>
    <col min="8709" max="8711" width="9.109375" style="2"/>
    <col min="8712" max="8712" width="27.88671875" style="2" bestFit="1" customWidth="1"/>
    <col min="8713" max="8960" width="9.109375" style="2"/>
    <col min="8961" max="8961" width="38" style="2" bestFit="1" customWidth="1"/>
    <col min="8962" max="8962" width="9.109375" style="2"/>
    <col min="8963" max="8963" width="13.109375" style="2" customWidth="1"/>
    <col min="8964" max="8964" width="11.5546875" style="2" customWidth="1"/>
    <col min="8965" max="8967" width="9.109375" style="2"/>
    <col min="8968" max="8968" width="27.88671875" style="2" bestFit="1" customWidth="1"/>
    <col min="8969" max="9216" width="9.109375" style="2"/>
    <col min="9217" max="9217" width="38" style="2" bestFit="1" customWidth="1"/>
    <col min="9218" max="9218" width="9.109375" style="2"/>
    <col min="9219" max="9219" width="13.109375" style="2" customWidth="1"/>
    <col min="9220" max="9220" width="11.5546875" style="2" customWidth="1"/>
    <col min="9221" max="9223" width="9.109375" style="2"/>
    <col min="9224" max="9224" width="27.88671875" style="2" bestFit="1" customWidth="1"/>
    <col min="9225" max="9472" width="9.109375" style="2"/>
    <col min="9473" max="9473" width="38" style="2" bestFit="1" customWidth="1"/>
    <col min="9474" max="9474" width="9.109375" style="2"/>
    <col min="9475" max="9475" width="13.109375" style="2" customWidth="1"/>
    <col min="9476" max="9476" width="11.5546875" style="2" customWidth="1"/>
    <col min="9477" max="9479" width="9.109375" style="2"/>
    <col min="9480" max="9480" width="27.88671875" style="2" bestFit="1" customWidth="1"/>
    <col min="9481" max="9728" width="9.109375" style="2"/>
    <col min="9729" max="9729" width="38" style="2" bestFit="1" customWidth="1"/>
    <col min="9730" max="9730" width="9.109375" style="2"/>
    <col min="9731" max="9731" width="13.109375" style="2" customWidth="1"/>
    <col min="9732" max="9732" width="11.5546875" style="2" customWidth="1"/>
    <col min="9733" max="9735" width="9.109375" style="2"/>
    <col min="9736" max="9736" width="27.88671875" style="2" bestFit="1" customWidth="1"/>
    <col min="9737" max="9984" width="9.109375" style="2"/>
    <col min="9985" max="9985" width="38" style="2" bestFit="1" customWidth="1"/>
    <col min="9986" max="9986" width="9.109375" style="2"/>
    <col min="9987" max="9987" width="13.109375" style="2" customWidth="1"/>
    <col min="9988" max="9988" width="11.5546875" style="2" customWidth="1"/>
    <col min="9989" max="9991" width="9.109375" style="2"/>
    <col min="9992" max="9992" width="27.88671875" style="2" bestFit="1" customWidth="1"/>
    <col min="9993" max="10240" width="9.109375" style="2"/>
    <col min="10241" max="10241" width="38" style="2" bestFit="1" customWidth="1"/>
    <col min="10242" max="10242" width="9.109375" style="2"/>
    <col min="10243" max="10243" width="13.109375" style="2" customWidth="1"/>
    <col min="10244" max="10244" width="11.5546875" style="2" customWidth="1"/>
    <col min="10245" max="10247" width="9.109375" style="2"/>
    <col min="10248" max="10248" width="27.88671875" style="2" bestFit="1" customWidth="1"/>
    <col min="10249" max="10496" width="9.109375" style="2"/>
    <col min="10497" max="10497" width="38" style="2" bestFit="1" customWidth="1"/>
    <col min="10498" max="10498" width="9.109375" style="2"/>
    <col min="10499" max="10499" width="13.109375" style="2" customWidth="1"/>
    <col min="10500" max="10500" width="11.5546875" style="2" customWidth="1"/>
    <col min="10501" max="10503" width="9.109375" style="2"/>
    <col min="10504" max="10504" width="27.88671875" style="2" bestFit="1" customWidth="1"/>
    <col min="10505" max="10752" width="9.109375" style="2"/>
    <col min="10753" max="10753" width="38" style="2" bestFit="1" customWidth="1"/>
    <col min="10754" max="10754" width="9.109375" style="2"/>
    <col min="10755" max="10755" width="13.109375" style="2" customWidth="1"/>
    <col min="10756" max="10756" width="11.5546875" style="2" customWidth="1"/>
    <col min="10757" max="10759" width="9.109375" style="2"/>
    <col min="10760" max="10760" width="27.88671875" style="2" bestFit="1" customWidth="1"/>
    <col min="10761" max="11008" width="9.109375" style="2"/>
    <col min="11009" max="11009" width="38" style="2" bestFit="1" customWidth="1"/>
    <col min="11010" max="11010" width="9.109375" style="2"/>
    <col min="11011" max="11011" width="13.109375" style="2" customWidth="1"/>
    <col min="11012" max="11012" width="11.5546875" style="2" customWidth="1"/>
    <col min="11013" max="11015" width="9.109375" style="2"/>
    <col min="11016" max="11016" width="27.88671875" style="2" bestFit="1" customWidth="1"/>
    <col min="11017" max="11264" width="9.109375" style="2"/>
    <col min="11265" max="11265" width="38" style="2" bestFit="1" customWidth="1"/>
    <col min="11266" max="11266" width="9.109375" style="2"/>
    <col min="11267" max="11267" width="13.109375" style="2" customWidth="1"/>
    <col min="11268" max="11268" width="11.5546875" style="2" customWidth="1"/>
    <col min="11269" max="11271" width="9.109375" style="2"/>
    <col min="11272" max="11272" width="27.88671875" style="2" bestFit="1" customWidth="1"/>
    <col min="11273" max="11520" width="9.109375" style="2"/>
    <col min="11521" max="11521" width="38" style="2" bestFit="1" customWidth="1"/>
    <col min="11522" max="11522" width="9.109375" style="2"/>
    <col min="11523" max="11523" width="13.109375" style="2" customWidth="1"/>
    <col min="11524" max="11524" width="11.5546875" style="2" customWidth="1"/>
    <col min="11525" max="11527" width="9.109375" style="2"/>
    <col min="11528" max="11528" width="27.88671875" style="2" bestFit="1" customWidth="1"/>
    <col min="11529" max="11776" width="9.109375" style="2"/>
    <col min="11777" max="11777" width="38" style="2" bestFit="1" customWidth="1"/>
    <col min="11778" max="11778" width="9.109375" style="2"/>
    <col min="11779" max="11779" width="13.109375" style="2" customWidth="1"/>
    <col min="11780" max="11780" width="11.5546875" style="2" customWidth="1"/>
    <col min="11781" max="11783" width="9.109375" style="2"/>
    <col min="11784" max="11784" width="27.88671875" style="2" bestFit="1" customWidth="1"/>
    <col min="11785" max="12032" width="9.109375" style="2"/>
    <col min="12033" max="12033" width="38" style="2" bestFit="1" customWidth="1"/>
    <col min="12034" max="12034" width="9.109375" style="2"/>
    <col min="12035" max="12035" width="13.109375" style="2" customWidth="1"/>
    <col min="12036" max="12036" width="11.5546875" style="2" customWidth="1"/>
    <col min="12037" max="12039" width="9.109375" style="2"/>
    <col min="12040" max="12040" width="27.88671875" style="2" bestFit="1" customWidth="1"/>
    <col min="12041" max="12288" width="9.109375" style="2"/>
    <col min="12289" max="12289" width="38" style="2" bestFit="1" customWidth="1"/>
    <col min="12290" max="12290" width="9.109375" style="2"/>
    <col min="12291" max="12291" width="13.109375" style="2" customWidth="1"/>
    <col min="12292" max="12292" width="11.5546875" style="2" customWidth="1"/>
    <col min="12293" max="12295" width="9.109375" style="2"/>
    <col min="12296" max="12296" width="27.88671875" style="2" bestFit="1" customWidth="1"/>
    <col min="12297" max="12544" width="9.109375" style="2"/>
    <col min="12545" max="12545" width="38" style="2" bestFit="1" customWidth="1"/>
    <col min="12546" max="12546" width="9.109375" style="2"/>
    <col min="12547" max="12547" width="13.109375" style="2" customWidth="1"/>
    <col min="12548" max="12548" width="11.5546875" style="2" customWidth="1"/>
    <col min="12549" max="12551" width="9.109375" style="2"/>
    <col min="12552" max="12552" width="27.88671875" style="2" bestFit="1" customWidth="1"/>
    <col min="12553" max="12800" width="9.109375" style="2"/>
    <col min="12801" max="12801" width="38" style="2" bestFit="1" customWidth="1"/>
    <col min="12802" max="12802" width="9.109375" style="2"/>
    <col min="12803" max="12803" width="13.109375" style="2" customWidth="1"/>
    <col min="12804" max="12804" width="11.5546875" style="2" customWidth="1"/>
    <col min="12805" max="12807" width="9.109375" style="2"/>
    <col min="12808" max="12808" width="27.88671875" style="2" bestFit="1" customWidth="1"/>
    <col min="12809" max="13056" width="9.109375" style="2"/>
    <col min="13057" max="13057" width="38" style="2" bestFit="1" customWidth="1"/>
    <col min="13058" max="13058" width="9.109375" style="2"/>
    <col min="13059" max="13059" width="13.109375" style="2" customWidth="1"/>
    <col min="13060" max="13060" width="11.5546875" style="2" customWidth="1"/>
    <col min="13061" max="13063" width="9.109375" style="2"/>
    <col min="13064" max="13064" width="27.88671875" style="2" bestFit="1" customWidth="1"/>
    <col min="13065" max="13312" width="9.109375" style="2"/>
    <col min="13313" max="13313" width="38" style="2" bestFit="1" customWidth="1"/>
    <col min="13314" max="13314" width="9.109375" style="2"/>
    <col min="13315" max="13315" width="13.109375" style="2" customWidth="1"/>
    <col min="13316" max="13316" width="11.5546875" style="2" customWidth="1"/>
    <col min="13317" max="13319" width="9.109375" style="2"/>
    <col min="13320" max="13320" width="27.88671875" style="2" bestFit="1" customWidth="1"/>
    <col min="13321" max="13568" width="9.109375" style="2"/>
    <col min="13569" max="13569" width="38" style="2" bestFit="1" customWidth="1"/>
    <col min="13570" max="13570" width="9.109375" style="2"/>
    <col min="13571" max="13571" width="13.109375" style="2" customWidth="1"/>
    <col min="13572" max="13572" width="11.5546875" style="2" customWidth="1"/>
    <col min="13573" max="13575" width="9.109375" style="2"/>
    <col min="13576" max="13576" width="27.88671875" style="2" bestFit="1" customWidth="1"/>
    <col min="13577" max="13824" width="9.109375" style="2"/>
    <col min="13825" max="13825" width="38" style="2" bestFit="1" customWidth="1"/>
    <col min="13826" max="13826" width="9.109375" style="2"/>
    <col min="13827" max="13827" width="13.109375" style="2" customWidth="1"/>
    <col min="13828" max="13828" width="11.5546875" style="2" customWidth="1"/>
    <col min="13829" max="13831" width="9.109375" style="2"/>
    <col min="13832" max="13832" width="27.88671875" style="2" bestFit="1" customWidth="1"/>
    <col min="13833" max="14080" width="9.109375" style="2"/>
    <col min="14081" max="14081" width="38" style="2" bestFit="1" customWidth="1"/>
    <col min="14082" max="14082" width="9.109375" style="2"/>
    <col min="14083" max="14083" width="13.109375" style="2" customWidth="1"/>
    <col min="14084" max="14084" width="11.5546875" style="2" customWidth="1"/>
    <col min="14085" max="14087" width="9.109375" style="2"/>
    <col min="14088" max="14088" width="27.88671875" style="2" bestFit="1" customWidth="1"/>
    <col min="14089" max="14336" width="9.109375" style="2"/>
    <col min="14337" max="14337" width="38" style="2" bestFit="1" customWidth="1"/>
    <col min="14338" max="14338" width="9.109375" style="2"/>
    <col min="14339" max="14339" width="13.109375" style="2" customWidth="1"/>
    <col min="14340" max="14340" width="11.5546875" style="2" customWidth="1"/>
    <col min="14341" max="14343" width="9.109375" style="2"/>
    <col min="14344" max="14344" width="27.88671875" style="2" bestFit="1" customWidth="1"/>
    <col min="14345" max="14592" width="9.109375" style="2"/>
    <col min="14593" max="14593" width="38" style="2" bestFit="1" customWidth="1"/>
    <col min="14594" max="14594" width="9.109375" style="2"/>
    <col min="14595" max="14595" width="13.109375" style="2" customWidth="1"/>
    <col min="14596" max="14596" width="11.5546875" style="2" customWidth="1"/>
    <col min="14597" max="14599" width="9.109375" style="2"/>
    <col min="14600" max="14600" width="27.88671875" style="2" bestFit="1" customWidth="1"/>
    <col min="14601" max="14848" width="9.109375" style="2"/>
    <col min="14849" max="14849" width="38" style="2" bestFit="1" customWidth="1"/>
    <col min="14850" max="14850" width="9.109375" style="2"/>
    <col min="14851" max="14851" width="13.109375" style="2" customWidth="1"/>
    <col min="14852" max="14852" width="11.5546875" style="2" customWidth="1"/>
    <col min="14853" max="14855" width="9.109375" style="2"/>
    <col min="14856" max="14856" width="27.88671875" style="2" bestFit="1" customWidth="1"/>
    <col min="14857" max="15104" width="9.109375" style="2"/>
    <col min="15105" max="15105" width="38" style="2" bestFit="1" customWidth="1"/>
    <col min="15106" max="15106" width="9.109375" style="2"/>
    <col min="15107" max="15107" width="13.109375" style="2" customWidth="1"/>
    <col min="15108" max="15108" width="11.5546875" style="2" customWidth="1"/>
    <col min="15109" max="15111" width="9.109375" style="2"/>
    <col min="15112" max="15112" width="27.88671875" style="2" bestFit="1" customWidth="1"/>
    <col min="15113" max="15360" width="9.109375" style="2"/>
    <col min="15361" max="15361" width="38" style="2" bestFit="1" customWidth="1"/>
    <col min="15362" max="15362" width="9.109375" style="2"/>
    <col min="15363" max="15363" width="13.109375" style="2" customWidth="1"/>
    <col min="15364" max="15364" width="11.5546875" style="2" customWidth="1"/>
    <col min="15365" max="15367" width="9.109375" style="2"/>
    <col min="15368" max="15368" width="27.88671875" style="2" bestFit="1" customWidth="1"/>
    <col min="15369" max="15616" width="9.109375" style="2"/>
    <col min="15617" max="15617" width="38" style="2" bestFit="1" customWidth="1"/>
    <col min="15618" max="15618" width="9.109375" style="2"/>
    <col min="15619" max="15619" width="13.109375" style="2" customWidth="1"/>
    <col min="15620" max="15620" width="11.5546875" style="2" customWidth="1"/>
    <col min="15621" max="15623" width="9.109375" style="2"/>
    <col min="15624" max="15624" width="27.88671875" style="2" bestFit="1" customWidth="1"/>
    <col min="15625" max="15872" width="9.109375" style="2"/>
    <col min="15873" max="15873" width="38" style="2" bestFit="1" customWidth="1"/>
    <col min="15874" max="15874" width="9.109375" style="2"/>
    <col min="15875" max="15875" width="13.109375" style="2" customWidth="1"/>
    <col min="15876" max="15876" width="11.5546875" style="2" customWidth="1"/>
    <col min="15877" max="15879" width="9.109375" style="2"/>
    <col min="15880" max="15880" width="27.88671875" style="2" bestFit="1" customWidth="1"/>
    <col min="15881" max="16128" width="9.109375" style="2"/>
    <col min="16129" max="16129" width="38" style="2" bestFit="1" customWidth="1"/>
    <col min="16130" max="16130" width="9.109375" style="2"/>
    <col min="16131" max="16131" width="13.109375" style="2" customWidth="1"/>
    <col min="16132" max="16132" width="11.5546875" style="2" customWidth="1"/>
    <col min="16133" max="16135" width="9.109375" style="2"/>
    <col min="16136" max="16136" width="27.88671875" style="2" bestFit="1" customWidth="1"/>
    <col min="16137" max="16384" width="9.1093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</row>
    <row r="2" spans="1:7" ht="39.6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4" t="s">
        <v>7</v>
      </c>
    </row>
    <row r="3" spans="1:7" x14ac:dyDescent="0.25">
      <c r="A3" s="2" t="s">
        <v>8</v>
      </c>
      <c r="B3" s="5">
        <v>101.98</v>
      </c>
      <c r="C3" s="6">
        <v>6</v>
      </c>
      <c r="D3" s="7">
        <v>39401</v>
      </c>
      <c r="E3" s="6">
        <v>0.76800000000000002</v>
      </c>
      <c r="F3" s="8" t="s">
        <v>9</v>
      </c>
      <c r="G3" s="9">
        <f t="shared" ref="G3:G66" si="0">(D3-DATE(2007,7,20))/365</f>
        <v>0.32328767123287672</v>
      </c>
    </row>
    <row r="4" spans="1:7" x14ac:dyDescent="0.25">
      <c r="A4" s="2" t="s">
        <v>10</v>
      </c>
      <c r="B4" s="5">
        <v>102.5</v>
      </c>
      <c r="C4" s="6">
        <v>6.625</v>
      </c>
      <c r="D4" s="7">
        <v>39417</v>
      </c>
      <c r="E4" s="6">
        <v>0.72099999999999997</v>
      </c>
      <c r="F4" s="8" t="s">
        <v>9</v>
      </c>
      <c r="G4" s="9">
        <f t="shared" si="0"/>
        <v>0.36712328767123287</v>
      </c>
    </row>
    <row r="5" spans="1:7" x14ac:dyDescent="0.25">
      <c r="A5" s="2" t="s">
        <v>11</v>
      </c>
      <c r="B5" s="5">
        <v>102.46</v>
      </c>
      <c r="C5" s="6">
        <v>6.95</v>
      </c>
      <c r="D5" s="7">
        <v>39431</v>
      </c>
      <c r="E5" s="6">
        <v>1.595</v>
      </c>
      <c r="F5" s="8" t="s">
        <v>9</v>
      </c>
      <c r="G5" s="9">
        <f t="shared" si="0"/>
        <v>0.40547945205479452</v>
      </c>
    </row>
    <row r="6" spans="1:7" x14ac:dyDescent="0.25">
      <c r="A6" s="2" t="s">
        <v>12</v>
      </c>
      <c r="B6" s="5">
        <v>102.75</v>
      </c>
      <c r="C6" s="6">
        <v>6.375</v>
      </c>
      <c r="D6" s="7">
        <v>39462</v>
      </c>
      <c r="E6" s="6">
        <v>1.3129999999999999</v>
      </c>
      <c r="F6" s="8" t="s">
        <v>9</v>
      </c>
      <c r="G6" s="9">
        <f t="shared" si="0"/>
        <v>0.49041095890410957</v>
      </c>
    </row>
    <row r="7" spans="1:7" x14ac:dyDescent="0.25">
      <c r="A7" s="2" t="s">
        <v>13</v>
      </c>
      <c r="B7" s="5">
        <v>102.5</v>
      </c>
      <c r="C7" s="6">
        <v>6.375</v>
      </c>
      <c r="D7" s="7">
        <v>39462</v>
      </c>
      <c r="E7" s="6">
        <v>1.7390000000000001</v>
      </c>
      <c r="F7" s="8" t="s">
        <v>9</v>
      </c>
      <c r="G7" s="9">
        <f t="shared" si="0"/>
        <v>0.49041095890410957</v>
      </c>
    </row>
    <row r="8" spans="1:7" x14ac:dyDescent="0.25">
      <c r="A8" s="2" t="s">
        <v>14</v>
      </c>
      <c r="B8" s="5">
        <v>102.7</v>
      </c>
      <c r="C8" s="6">
        <v>6.75</v>
      </c>
      <c r="D8" s="7">
        <v>39462</v>
      </c>
      <c r="E8" s="6">
        <v>1.748</v>
      </c>
      <c r="F8" s="8" t="s">
        <v>9</v>
      </c>
      <c r="G8" s="9">
        <f t="shared" si="0"/>
        <v>0.49041095890410957</v>
      </c>
    </row>
    <row r="9" spans="1:7" x14ac:dyDescent="0.25">
      <c r="A9" s="2" t="s">
        <v>15</v>
      </c>
      <c r="B9" s="5">
        <v>103.25</v>
      </c>
      <c r="C9" s="6">
        <v>6.75</v>
      </c>
      <c r="D9" s="7">
        <v>39479</v>
      </c>
      <c r="E9" s="6">
        <v>1.1930000000000001</v>
      </c>
      <c r="F9" s="8" t="s">
        <v>9</v>
      </c>
      <c r="G9" s="9">
        <f t="shared" si="0"/>
        <v>0.53698630136986303</v>
      </c>
    </row>
    <row r="10" spans="1:7" x14ac:dyDescent="0.25">
      <c r="A10" s="2" t="s">
        <v>16</v>
      </c>
      <c r="B10" s="5">
        <v>104</v>
      </c>
      <c r="C10" s="6">
        <v>8</v>
      </c>
      <c r="D10" s="7">
        <v>39493</v>
      </c>
      <c r="E10" s="6">
        <v>1.5669999999999999</v>
      </c>
      <c r="F10" s="8" t="s">
        <v>9</v>
      </c>
      <c r="G10" s="9">
        <f t="shared" si="0"/>
        <v>0.57534246575342463</v>
      </c>
    </row>
    <row r="11" spans="1:7" x14ac:dyDescent="0.25">
      <c r="A11" s="2" t="s">
        <v>17</v>
      </c>
      <c r="B11" s="5">
        <v>103.5</v>
      </c>
      <c r="C11" s="6">
        <v>6.3</v>
      </c>
      <c r="D11" s="7">
        <v>39493</v>
      </c>
      <c r="E11" s="6">
        <v>0.70099999999999996</v>
      </c>
      <c r="F11" s="8" t="s">
        <v>9</v>
      </c>
      <c r="G11" s="9">
        <f t="shared" si="0"/>
        <v>0.57534246575342463</v>
      </c>
    </row>
    <row r="12" spans="1:7" x14ac:dyDescent="0.25">
      <c r="A12" s="2" t="s">
        <v>8</v>
      </c>
      <c r="B12" s="5">
        <v>101.54</v>
      </c>
      <c r="C12" s="6">
        <v>5.25</v>
      </c>
      <c r="D12" s="7">
        <v>39493</v>
      </c>
      <c r="E12" s="6">
        <v>2.7669999999999999</v>
      </c>
      <c r="F12" s="8" t="s">
        <v>9</v>
      </c>
      <c r="G12" s="9">
        <f t="shared" si="0"/>
        <v>0.57534246575342463</v>
      </c>
    </row>
    <row r="13" spans="1:7" x14ac:dyDescent="0.25">
      <c r="A13" s="2" t="s">
        <v>18</v>
      </c>
      <c r="B13" s="5">
        <v>103.75</v>
      </c>
      <c r="C13" s="6">
        <v>8.625</v>
      </c>
      <c r="D13" s="7">
        <v>39493</v>
      </c>
      <c r="E13" s="6">
        <v>2.5569999999999999</v>
      </c>
      <c r="F13" s="8" t="s">
        <v>9</v>
      </c>
      <c r="G13" s="9">
        <f t="shared" si="0"/>
        <v>0.57534246575342463</v>
      </c>
    </row>
    <row r="14" spans="1:7" x14ac:dyDescent="0.25">
      <c r="A14" s="2" t="s">
        <v>19</v>
      </c>
      <c r="B14" s="5">
        <v>102</v>
      </c>
      <c r="C14" s="6">
        <v>6.2</v>
      </c>
      <c r="D14" s="7">
        <v>39493</v>
      </c>
      <c r="E14" s="6">
        <v>2.9540000000000002</v>
      </c>
      <c r="F14" s="8" t="s">
        <v>9</v>
      </c>
      <c r="G14" s="9">
        <f t="shared" si="0"/>
        <v>0.57534246575342463</v>
      </c>
    </row>
    <row r="15" spans="1:7" x14ac:dyDescent="0.25">
      <c r="A15" s="2" t="s">
        <v>19</v>
      </c>
      <c r="B15" s="5">
        <v>101.8</v>
      </c>
      <c r="C15" s="6">
        <v>6.1</v>
      </c>
      <c r="D15" s="7">
        <v>39493</v>
      </c>
      <c r="E15" s="6">
        <v>3.1739999999999999</v>
      </c>
      <c r="F15" s="8" t="s">
        <v>9</v>
      </c>
      <c r="G15" s="9">
        <f t="shared" si="0"/>
        <v>0.57534246575342463</v>
      </c>
    </row>
    <row r="16" spans="1:7" x14ac:dyDescent="0.25">
      <c r="A16" s="2" t="s">
        <v>19</v>
      </c>
      <c r="B16" s="5">
        <v>102.39</v>
      </c>
      <c r="C16" s="6">
        <v>6.65</v>
      </c>
      <c r="D16" s="7">
        <v>39493</v>
      </c>
      <c r="E16" s="6">
        <v>2.7839999999999998</v>
      </c>
      <c r="F16" s="8" t="s">
        <v>9</v>
      </c>
      <c r="G16" s="9">
        <f t="shared" si="0"/>
        <v>0.57534246575342463</v>
      </c>
    </row>
    <row r="17" spans="1:7" x14ac:dyDescent="0.25">
      <c r="A17" s="2" t="s">
        <v>20</v>
      </c>
      <c r="B17" s="5">
        <v>103.5</v>
      </c>
      <c r="C17" s="6">
        <v>7.625</v>
      </c>
      <c r="D17" s="7">
        <v>39493</v>
      </c>
      <c r="E17" s="6">
        <v>1.982</v>
      </c>
      <c r="F17" s="8" t="s">
        <v>9</v>
      </c>
      <c r="G17" s="9">
        <f t="shared" si="0"/>
        <v>0.57534246575342463</v>
      </c>
    </row>
    <row r="18" spans="1:7" x14ac:dyDescent="0.25">
      <c r="A18" s="2" t="s">
        <v>21</v>
      </c>
      <c r="B18" s="5">
        <v>100.65</v>
      </c>
      <c r="C18" s="6">
        <v>4.4000000000000004</v>
      </c>
      <c r="D18" s="7">
        <v>39522</v>
      </c>
      <c r="E18" s="6">
        <v>3.464</v>
      </c>
      <c r="F18" s="8" t="s">
        <v>9</v>
      </c>
      <c r="G18" s="9">
        <f t="shared" si="0"/>
        <v>0.65479452054794518</v>
      </c>
    </row>
    <row r="19" spans="1:7" x14ac:dyDescent="0.25">
      <c r="A19" s="2" t="s">
        <v>8</v>
      </c>
      <c r="B19" s="5">
        <v>101.2</v>
      </c>
      <c r="C19" s="6">
        <v>5.0999999999999996</v>
      </c>
      <c r="D19" s="7">
        <v>39522</v>
      </c>
      <c r="E19" s="6">
        <v>3.3769999999999998</v>
      </c>
      <c r="F19" s="8" t="s">
        <v>9</v>
      </c>
      <c r="G19" s="9">
        <f t="shared" si="0"/>
        <v>0.65479452054794518</v>
      </c>
    </row>
    <row r="20" spans="1:7" x14ac:dyDescent="0.25">
      <c r="A20" s="2" t="s">
        <v>19</v>
      </c>
      <c r="B20" s="5">
        <v>101.62</v>
      </c>
      <c r="C20" s="6">
        <v>6</v>
      </c>
      <c r="D20" s="7">
        <v>39522</v>
      </c>
      <c r="E20" s="6">
        <v>3.6549999999999998</v>
      </c>
      <c r="F20" s="8" t="s">
        <v>9</v>
      </c>
      <c r="G20" s="9">
        <f t="shared" si="0"/>
        <v>0.65479452054794518</v>
      </c>
    </row>
    <row r="21" spans="1:7" x14ac:dyDescent="0.25">
      <c r="A21" s="2" t="s">
        <v>22</v>
      </c>
      <c r="B21" s="5">
        <v>104.96</v>
      </c>
      <c r="C21" s="6">
        <v>10</v>
      </c>
      <c r="D21" s="7">
        <v>39522</v>
      </c>
      <c r="E21" s="6">
        <v>2.89</v>
      </c>
      <c r="F21" s="8" t="s">
        <v>9</v>
      </c>
      <c r="G21" s="9">
        <f t="shared" si="0"/>
        <v>0.65479452054794518</v>
      </c>
    </row>
    <row r="22" spans="1:7" x14ac:dyDescent="0.25">
      <c r="A22" s="2" t="s">
        <v>23</v>
      </c>
      <c r="B22" s="5">
        <v>102.68</v>
      </c>
      <c r="C22" s="6">
        <v>6.5</v>
      </c>
      <c r="D22" s="7">
        <v>39553</v>
      </c>
      <c r="E22" s="6">
        <v>3.069</v>
      </c>
      <c r="F22" s="8" t="s">
        <v>9</v>
      </c>
      <c r="G22" s="9">
        <f t="shared" si="0"/>
        <v>0.73972602739726023</v>
      </c>
    </row>
    <row r="23" spans="1:7" x14ac:dyDescent="0.25">
      <c r="A23" s="2" t="s">
        <v>21</v>
      </c>
      <c r="B23" s="5">
        <v>100.25</v>
      </c>
      <c r="C23" s="6">
        <v>4.45</v>
      </c>
      <c r="D23" s="7">
        <v>39553</v>
      </c>
      <c r="E23" s="6">
        <v>4.1280000000000001</v>
      </c>
      <c r="F23" s="8" t="s">
        <v>9</v>
      </c>
      <c r="G23" s="9">
        <f t="shared" si="0"/>
        <v>0.73972602739726023</v>
      </c>
    </row>
    <row r="24" spans="1:7" x14ac:dyDescent="0.25">
      <c r="A24" s="2" t="s">
        <v>24</v>
      </c>
      <c r="B24" s="5">
        <v>102.75</v>
      </c>
      <c r="C24" s="6">
        <v>6.875</v>
      </c>
      <c r="D24" s="7">
        <v>39553</v>
      </c>
      <c r="E24" s="6">
        <v>3.3420000000000001</v>
      </c>
      <c r="F24" s="8" t="s">
        <v>9</v>
      </c>
      <c r="G24" s="9">
        <f t="shared" si="0"/>
        <v>0.73972602739726023</v>
      </c>
    </row>
    <row r="25" spans="1:7" x14ac:dyDescent="0.25">
      <c r="A25" s="2" t="s">
        <v>25</v>
      </c>
      <c r="B25" s="5">
        <v>102.38</v>
      </c>
      <c r="C25" s="6">
        <v>6.24</v>
      </c>
      <c r="D25" s="7">
        <v>39569</v>
      </c>
      <c r="E25" s="6">
        <v>3.3559999999999999</v>
      </c>
      <c r="F25" s="8" t="s">
        <v>9</v>
      </c>
      <c r="G25" s="9">
        <f t="shared" si="0"/>
        <v>0.78356164383561644</v>
      </c>
    </row>
    <row r="26" spans="1:7" x14ac:dyDescent="0.25">
      <c r="A26" s="2" t="s">
        <v>26</v>
      </c>
      <c r="B26" s="5">
        <v>101.12</v>
      </c>
      <c r="C26" s="6">
        <v>5.125</v>
      </c>
      <c r="D26" s="7">
        <v>39577</v>
      </c>
      <c r="E26" s="6">
        <v>3.7829999999999999</v>
      </c>
      <c r="F26" s="8" t="s">
        <v>9</v>
      </c>
      <c r="G26" s="9">
        <f t="shared" si="0"/>
        <v>0.80547945205479454</v>
      </c>
    </row>
    <row r="27" spans="1:7" x14ac:dyDescent="0.25">
      <c r="A27" s="2" t="s">
        <v>27</v>
      </c>
      <c r="B27" s="5">
        <v>104.5</v>
      </c>
      <c r="C27" s="6">
        <v>7.625</v>
      </c>
      <c r="D27" s="7">
        <v>39583</v>
      </c>
      <c r="E27" s="6">
        <v>2.4239999999999999</v>
      </c>
      <c r="F27" s="8" t="s">
        <v>9</v>
      </c>
      <c r="G27" s="9">
        <f t="shared" si="0"/>
        <v>0.82191780821917804</v>
      </c>
    </row>
    <row r="28" spans="1:7" x14ac:dyDescent="0.25">
      <c r="A28" s="2" t="s">
        <v>8</v>
      </c>
      <c r="B28" s="5">
        <v>101.7</v>
      </c>
      <c r="C28" s="6">
        <v>6.2</v>
      </c>
      <c r="D28" s="7">
        <v>39614</v>
      </c>
      <c r="E28" s="6">
        <v>4.3769999999999998</v>
      </c>
      <c r="F28" s="8" t="s">
        <v>9</v>
      </c>
      <c r="G28" s="9">
        <f t="shared" si="0"/>
        <v>0.9068493150684932</v>
      </c>
    </row>
    <row r="29" spans="1:7" x14ac:dyDescent="0.25">
      <c r="A29" s="2" t="s">
        <v>25</v>
      </c>
      <c r="B29" s="5">
        <v>101.88</v>
      </c>
      <c r="C29" s="6">
        <v>6.17</v>
      </c>
      <c r="D29" s="7">
        <v>39643</v>
      </c>
      <c r="E29" s="6">
        <v>4.3129999999999997</v>
      </c>
      <c r="F29" s="8" t="s">
        <v>9</v>
      </c>
      <c r="G29" s="9">
        <f t="shared" si="0"/>
        <v>0.98630136986301364</v>
      </c>
    </row>
    <row r="30" spans="1:7" x14ac:dyDescent="0.25">
      <c r="A30" s="2" t="s">
        <v>28</v>
      </c>
      <c r="B30" s="5">
        <v>106</v>
      </c>
      <c r="C30" s="6">
        <v>9</v>
      </c>
      <c r="D30" s="7">
        <v>39661</v>
      </c>
      <c r="E30" s="6">
        <v>3.351</v>
      </c>
      <c r="F30" s="8" t="s">
        <v>9</v>
      </c>
      <c r="G30" s="9">
        <f t="shared" si="0"/>
        <v>1.0356164383561643</v>
      </c>
    </row>
    <row r="31" spans="1:7" x14ac:dyDescent="0.25">
      <c r="A31" s="2" t="s">
        <v>29</v>
      </c>
      <c r="B31" s="5">
        <v>102.5</v>
      </c>
      <c r="C31" s="6">
        <v>5.75</v>
      </c>
      <c r="D31" s="7">
        <v>39722</v>
      </c>
      <c r="E31" s="6">
        <v>3.6930000000000001</v>
      </c>
      <c r="F31" s="8" t="s">
        <v>9</v>
      </c>
      <c r="G31" s="9">
        <f t="shared" si="0"/>
        <v>1.2027397260273973</v>
      </c>
    </row>
    <row r="32" spans="1:7" x14ac:dyDescent="0.25">
      <c r="A32" s="2" t="s">
        <v>30</v>
      </c>
      <c r="B32" s="5">
        <v>101.5</v>
      </c>
      <c r="C32" s="6">
        <v>6.5</v>
      </c>
      <c r="D32" s="7">
        <v>39722</v>
      </c>
      <c r="E32" s="6">
        <v>5.2439999999999998</v>
      </c>
      <c r="F32" s="8" t="s">
        <v>9</v>
      </c>
      <c r="G32" s="9">
        <f t="shared" si="0"/>
        <v>1.2027397260273973</v>
      </c>
    </row>
    <row r="33" spans="1:16" x14ac:dyDescent="0.25">
      <c r="A33" s="2" t="s">
        <v>31</v>
      </c>
      <c r="B33" s="5">
        <v>101.25</v>
      </c>
      <c r="C33" s="6">
        <v>5.5</v>
      </c>
      <c r="D33" s="7">
        <v>39727</v>
      </c>
      <c r="E33" s="6">
        <v>4.4779999999999998</v>
      </c>
      <c r="F33" s="8" t="s">
        <v>9</v>
      </c>
      <c r="G33" s="9">
        <f t="shared" si="0"/>
        <v>1.2164383561643837</v>
      </c>
    </row>
    <row r="34" spans="1:16" x14ac:dyDescent="0.25">
      <c r="A34" s="2" t="s">
        <v>8</v>
      </c>
      <c r="B34" s="5">
        <v>102</v>
      </c>
      <c r="C34" s="6">
        <v>6.45</v>
      </c>
      <c r="D34" s="7">
        <v>39736</v>
      </c>
      <c r="E34" s="6">
        <v>4.8330000000000002</v>
      </c>
      <c r="F34" s="8" t="s">
        <v>9</v>
      </c>
      <c r="G34" s="9">
        <f t="shared" si="0"/>
        <v>1.2410958904109588</v>
      </c>
    </row>
    <row r="35" spans="1:16" x14ac:dyDescent="0.25">
      <c r="A35" s="2" t="s">
        <v>32</v>
      </c>
      <c r="B35" s="5">
        <v>99.5</v>
      </c>
      <c r="C35" s="6">
        <v>3.875</v>
      </c>
      <c r="D35" s="7">
        <v>39736</v>
      </c>
      <c r="E35" s="6">
        <v>4.2709999999999999</v>
      </c>
      <c r="F35" s="8" t="s">
        <v>9</v>
      </c>
      <c r="G35" s="9">
        <f t="shared" si="0"/>
        <v>1.2410958904109588</v>
      </c>
      <c r="H35" s="10" t="s">
        <v>33</v>
      </c>
      <c r="I35" s="10"/>
      <c r="J35" s="10"/>
      <c r="K35" s="10"/>
      <c r="L35" s="10"/>
      <c r="M35" s="10"/>
      <c r="N35" s="10"/>
      <c r="O35" s="10"/>
      <c r="P35" s="10"/>
    </row>
    <row r="36" spans="1:16" x14ac:dyDescent="0.25">
      <c r="A36" s="2" t="s">
        <v>34</v>
      </c>
      <c r="B36" s="5">
        <v>104</v>
      </c>
      <c r="C36" s="6">
        <v>7.5</v>
      </c>
      <c r="D36" s="7">
        <v>39753</v>
      </c>
      <c r="E36" s="6">
        <v>4.391</v>
      </c>
      <c r="F36" s="8" t="s">
        <v>9</v>
      </c>
      <c r="G36" s="9">
        <f t="shared" si="0"/>
        <v>1.2876712328767124</v>
      </c>
    </row>
    <row r="37" spans="1:16" x14ac:dyDescent="0.25">
      <c r="A37" s="2" t="s">
        <v>17</v>
      </c>
      <c r="B37" s="5">
        <v>104</v>
      </c>
      <c r="C37" s="6">
        <v>6.625</v>
      </c>
      <c r="D37" s="7">
        <v>39767</v>
      </c>
      <c r="E37" s="6">
        <v>3.6240000000000001</v>
      </c>
      <c r="F37" s="8" t="s">
        <v>9</v>
      </c>
      <c r="G37" s="9">
        <f t="shared" si="0"/>
        <v>1.3260273972602741</v>
      </c>
    </row>
    <row r="38" spans="1:16" x14ac:dyDescent="0.25">
      <c r="A38" s="2" t="s">
        <v>35</v>
      </c>
      <c r="B38" s="5">
        <v>101.57</v>
      </c>
      <c r="C38" s="6">
        <v>6.125</v>
      </c>
      <c r="D38" s="7">
        <v>39767</v>
      </c>
      <c r="E38" s="6">
        <v>4.9450000000000003</v>
      </c>
      <c r="F38" s="8" t="s">
        <v>9</v>
      </c>
      <c r="G38" s="9">
        <f t="shared" si="0"/>
        <v>1.3260273972602741</v>
      </c>
    </row>
    <row r="39" spans="1:16" x14ac:dyDescent="0.25">
      <c r="A39" s="2" t="s">
        <v>36</v>
      </c>
      <c r="B39" s="5">
        <v>101.25</v>
      </c>
      <c r="C39" s="6">
        <v>5.5</v>
      </c>
      <c r="D39" s="7">
        <v>39767</v>
      </c>
      <c r="E39" s="6">
        <v>4.5510000000000002</v>
      </c>
      <c r="F39" s="8" t="s">
        <v>9</v>
      </c>
      <c r="G39" s="9">
        <f t="shared" si="0"/>
        <v>1.3260273972602741</v>
      </c>
    </row>
    <row r="40" spans="1:16" x14ac:dyDescent="0.25">
      <c r="A40" s="2" t="s">
        <v>25</v>
      </c>
      <c r="B40" s="5">
        <v>101.74</v>
      </c>
      <c r="C40" s="6">
        <v>6</v>
      </c>
      <c r="D40" s="7">
        <v>39772</v>
      </c>
      <c r="E40" s="6">
        <v>4.6989999999999998</v>
      </c>
      <c r="F40" s="8" t="s">
        <v>9</v>
      </c>
      <c r="G40" s="9">
        <f t="shared" si="0"/>
        <v>1.3397260273972602</v>
      </c>
    </row>
    <row r="41" spans="1:16" x14ac:dyDescent="0.25">
      <c r="A41" s="2" t="s">
        <v>37</v>
      </c>
      <c r="B41" s="5">
        <v>104</v>
      </c>
      <c r="C41" s="6">
        <v>7.5</v>
      </c>
      <c r="D41" s="7">
        <v>39828</v>
      </c>
      <c r="E41" s="6">
        <v>4.7839999999999998</v>
      </c>
      <c r="F41" s="8" t="s">
        <v>9</v>
      </c>
      <c r="G41" s="9">
        <f t="shared" si="0"/>
        <v>1.4931506849315068</v>
      </c>
    </row>
    <row r="42" spans="1:16" x14ac:dyDescent="0.25">
      <c r="A42" s="2" t="s">
        <v>38</v>
      </c>
      <c r="B42" s="5">
        <v>106.75</v>
      </c>
      <c r="C42" s="6">
        <v>8.75</v>
      </c>
      <c r="D42" s="7">
        <v>39859</v>
      </c>
      <c r="E42" s="6">
        <v>4.4080000000000004</v>
      </c>
      <c r="F42" s="8" t="s">
        <v>9</v>
      </c>
      <c r="G42" s="9">
        <f t="shared" si="0"/>
        <v>1.5780821917808219</v>
      </c>
    </row>
    <row r="43" spans="1:16" x14ac:dyDescent="0.25">
      <c r="A43" s="2" t="s">
        <v>39</v>
      </c>
      <c r="B43" s="5">
        <v>104.25</v>
      </c>
      <c r="C43" s="6">
        <v>7.4</v>
      </c>
      <c r="D43" s="7">
        <v>39904</v>
      </c>
      <c r="E43" s="6">
        <v>4.843</v>
      </c>
      <c r="F43" s="8" t="s">
        <v>9</v>
      </c>
      <c r="G43" s="9">
        <f t="shared" si="0"/>
        <v>1.7013698630136986</v>
      </c>
    </row>
    <row r="44" spans="1:16" x14ac:dyDescent="0.25">
      <c r="A44" s="2" t="s">
        <v>40</v>
      </c>
      <c r="B44" s="5">
        <v>98.64</v>
      </c>
      <c r="C44" s="6">
        <v>4.5999999999999996</v>
      </c>
      <c r="D44" s="7">
        <v>39918</v>
      </c>
      <c r="E44" s="6">
        <v>5.4009999999999998</v>
      </c>
      <c r="F44" s="8" t="s">
        <v>9</v>
      </c>
      <c r="G44" s="9">
        <f t="shared" si="0"/>
        <v>1.7397260273972603</v>
      </c>
    </row>
    <row r="45" spans="1:16" x14ac:dyDescent="0.25">
      <c r="A45" s="2" t="s">
        <v>41</v>
      </c>
      <c r="B45" s="5">
        <v>105.5</v>
      </c>
      <c r="C45" s="6">
        <v>8</v>
      </c>
      <c r="D45" s="7">
        <v>39933</v>
      </c>
      <c r="E45" s="6">
        <v>4.8319999999999999</v>
      </c>
      <c r="F45" s="8" t="s">
        <v>9</v>
      </c>
      <c r="G45" s="9">
        <f t="shared" si="0"/>
        <v>1.7808219178082192</v>
      </c>
    </row>
    <row r="46" spans="1:16" x14ac:dyDescent="0.25">
      <c r="A46" s="2" t="s">
        <v>42</v>
      </c>
      <c r="B46" s="5">
        <v>103.5</v>
      </c>
      <c r="C46" s="6">
        <v>6.75</v>
      </c>
      <c r="D46" s="7">
        <v>39948</v>
      </c>
      <c r="E46" s="6">
        <v>4.7779999999999996</v>
      </c>
      <c r="F46" s="8" t="s">
        <v>9</v>
      </c>
      <c r="G46" s="9">
        <f t="shared" si="0"/>
        <v>1.821917808219178</v>
      </c>
    </row>
    <row r="47" spans="1:16" x14ac:dyDescent="0.25">
      <c r="A47" s="2" t="s">
        <v>26</v>
      </c>
      <c r="B47" s="5">
        <v>100.5</v>
      </c>
      <c r="C47" s="6">
        <v>5.625</v>
      </c>
      <c r="D47" s="7">
        <v>39948</v>
      </c>
      <c r="E47" s="6">
        <v>5.3380000000000001</v>
      </c>
      <c r="F47" s="8" t="s">
        <v>9</v>
      </c>
      <c r="G47" s="9">
        <f t="shared" si="0"/>
        <v>1.821917808219178</v>
      </c>
    </row>
    <row r="48" spans="1:16" x14ac:dyDescent="0.25">
      <c r="A48" s="2" t="s">
        <v>40</v>
      </c>
      <c r="B48" s="5">
        <v>99.38</v>
      </c>
      <c r="C48" s="6">
        <v>5.25</v>
      </c>
      <c r="D48" s="7">
        <v>39948</v>
      </c>
      <c r="E48" s="6">
        <v>5.5960000000000001</v>
      </c>
      <c r="F48" s="8" t="s">
        <v>9</v>
      </c>
      <c r="G48" s="9">
        <f t="shared" si="0"/>
        <v>1.821917808219178</v>
      </c>
    </row>
    <row r="49" spans="1:7" x14ac:dyDescent="0.25">
      <c r="A49" s="2" t="s">
        <v>40</v>
      </c>
      <c r="B49" s="5">
        <v>99.5</v>
      </c>
      <c r="C49" s="6">
        <v>5.4</v>
      </c>
      <c r="D49" s="7">
        <v>39948</v>
      </c>
      <c r="E49" s="6">
        <v>5.681</v>
      </c>
      <c r="F49" s="8" t="s">
        <v>9</v>
      </c>
      <c r="G49" s="9">
        <f t="shared" si="0"/>
        <v>1.821917808219178</v>
      </c>
    </row>
    <row r="50" spans="1:7" x14ac:dyDescent="0.25">
      <c r="A50" s="2" t="s">
        <v>43</v>
      </c>
      <c r="B50" s="5">
        <v>102.25</v>
      </c>
      <c r="C50" s="6">
        <v>6</v>
      </c>
      <c r="D50" s="7">
        <v>39965</v>
      </c>
      <c r="E50" s="6">
        <v>4.76</v>
      </c>
      <c r="F50" s="8" t="s">
        <v>9</v>
      </c>
      <c r="G50" s="9">
        <f t="shared" si="0"/>
        <v>1.8684931506849316</v>
      </c>
    </row>
    <row r="51" spans="1:7" x14ac:dyDescent="0.25">
      <c r="A51" s="2" t="s">
        <v>35</v>
      </c>
      <c r="B51" s="5">
        <v>101.27</v>
      </c>
      <c r="C51" s="6">
        <v>6.5</v>
      </c>
      <c r="D51" s="7">
        <v>39979</v>
      </c>
      <c r="E51" s="6">
        <v>5.8029999999999999</v>
      </c>
      <c r="F51" s="8" t="s">
        <v>9</v>
      </c>
      <c r="G51" s="9">
        <f t="shared" si="0"/>
        <v>1.9068493150684931</v>
      </c>
    </row>
    <row r="52" spans="1:7" x14ac:dyDescent="0.25">
      <c r="A52" s="2" t="s">
        <v>42</v>
      </c>
      <c r="B52" s="5">
        <v>103.5</v>
      </c>
      <c r="C52" s="6">
        <v>6.75</v>
      </c>
      <c r="D52" s="7">
        <v>39948</v>
      </c>
      <c r="E52" s="6">
        <v>4.7750000000000004</v>
      </c>
      <c r="F52" s="8" t="s">
        <v>9</v>
      </c>
      <c r="G52" s="9">
        <f t="shared" si="0"/>
        <v>1.821917808219178</v>
      </c>
    </row>
    <row r="53" spans="1:7" x14ac:dyDescent="0.25">
      <c r="A53" s="2" t="s">
        <v>26</v>
      </c>
      <c r="B53" s="5">
        <v>100.5</v>
      </c>
      <c r="C53" s="6">
        <v>5.625</v>
      </c>
      <c r="D53" s="7">
        <v>39948</v>
      </c>
      <c r="E53" s="6">
        <v>5.3380000000000001</v>
      </c>
      <c r="F53" s="8" t="s">
        <v>9</v>
      </c>
      <c r="G53" s="9">
        <f t="shared" si="0"/>
        <v>1.821917808219178</v>
      </c>
    </row>
    <row r="54" spans="1:7" x14ac:dyDescent="0.25">
      <c r="A54" s="2" t="s">
        <v>40</v>
      </c>
      <c r="B54" s="5">
        <v>99.39</v>
      </c>
      <c r="C54" s="6">
        <v>5.25</v>
      </c>
      <c r="D54" s="7">
        <v>39948</v>
      </c>
      <c r="E54" s="6">
        <v>5.5940000000000003</v>
      </c>
      <c r="F54" s="8" t="s">
        <v>9</v>
      </c>
      <c r="G54" s="9">
        <f t="shared" si="0"/>
        <v>1.821917808219178</v>
      </c>
    </row>
    <row r="55" spans="1:7" x14ac:dyDescent="0.25">
      <c r="A55" s="2" t="s">
        <v>40</v>
      </c>
      <c r="B55" s="5">
        <v>99.5</v>
      </c>
      <c r="C55" s="6">
        <v>5.4</v>
      </c>
      <c r="D55" s="7">
        <v>39948</v>
      </c>
      <c r="E55" s="6">
        <v>5.681</v>
      </c>
      <c r="F55" s="8" t="s">
        <v>9</v>
      </c>
      <c r="G55" s="9">
        <f t="shared" si="0"/>
        <v>1.821917808219178</v>
      </c>
    </row>
    <row r="56" spans="1:7" x14ac:dyDescent="0.25">
      <c r="A56" s="2" t="s">
        <v>43</v>
      </c>
      <c r="B56" s="5">
        <v>102.25</v>
      </c>
      <c r="C56" s="6">
        <v>6</v>
      </c>
      <c r="D56" s="7">
        <v>39965</v>
      </c>
      <c r="E56" s="6">
        <v>4.7590000000000003</v>
      </c>
      <c r="F56" s="8" t="s">
        <v>9</v>
      </c>
      <c r="G56" s="9">
        <f t="shared" si="0"/>
        <v>1.8684931506849316</v>
      </c>
    </row>
    <row r="57" spans="1:7" x14ac:dyDescent="0.25">
      <c r="A57" s="2" t="s">
        <v>35</v>
      </c>
      <c r="B57" s="5">
        <v>101.27</v>
      </c>
      <c r="C57" s="6">
        <v>6.5</v>
      </c>
      <c r="D57" s="7">
        <v>39979</v>
      </c>
      <c r="E57" s="6">
        <v>5.8019999999999996</v>
      </c>
      <c r="F57" s="8" t="s">
        <v>9</v>
      </c>
      <c r="G57" s="9">
        <f t="shared" si="0"/>
        <v>1.9068493150684931</v>
      </c>
    </row>
    <row r="58" spans="1:7" x14ac:dyDescent="0.25">
      <c r="A58" s="2" t="s">
        <v>40</v>
      </c>
      <c r="B58" s="5">
        <v>99</v>
      </c>
      <c r="C58" s="6">
        <v>5.25</v>
      </c>
      <c r="D58" s="7">
        <v>40009</v>
      </c>
      <c r="E58" s="6">
        <v>5.7709999999999999</v>
      </c>
      <c r="F58" s="8" t="s">
        <v>9</v>
      </c>
      <c r="G58" s="9">
        <f t="shared" si="0"/>
        <v>1.989041095890411</v>
      </c>
    </row>
    <row r="59" spans="1:7" x14ac:dyDescent="0.25">
      <c r="A59" s="2" t="s">
        <v>40</v>
      </c>
      <c r="B59" s="5">
        <v>99.5</v>
      </c>
      <c r="C59" s="6">
        <v>5.25</v>
      </c>
      <c r="D59" s="7">
        <v>40009</v>
      </c>
      <c r="E59" s="6">
        <v>5.51</v>
      </c>
      <c r="F59" s="8" t="s">
        <v>9</v>
      </c>
      <c r="G59" s="9">
        <f t="shared" si="0"/>
        <v>1.989041095890411</v>
      </c>
    </row>
    <row r="60" spans="1:7" x14ac:dyDescent="0.25">
      <c r="A60" s="2" t="s">
        <v>44</v>
      </c>
      <c r="B60" s="5">
        <v>104.5</v>
      </c>
      <c r="C60" s="6">
        <v>7</v>
      </c>
      <c r="D60" s="7">
        <v>40009</v>
      </c>
      <c r="E60" s="6">
        <v>4.665</v>
      </c>
      <c r="F60" s="8" t="s">
        <v>9</v>
      </c>
      <c r="G60" s="9">
        <f t="shared" si="0"/>
        <v>1.989041095890411</v>
      </c>
    </row>
    <row r="61" spans="1:7" x14ac:dyDescent="0.25">
      <c r="A61" s="2" t="s">
        <v>45</v>
      </c>
      <c r="B61" s="5">
        <v>106</v>
      </c>
      <c r="C61" s="6">
        <v>7.875</v>
      </c>
      <c r="D61" s="7">
        <v>40009</v>
      </c>
      <c r="E61" s="6">
        <v>4.758</v>
      </c>
      <c r="F61" s="8" t="s">
        <v>9</v>
      </c>
      <c r="G61" s="9">
        <f t="shared" si="0"/>
        <v>1.989041095890411</v>
      </c>
    </row>
    <row r="62" spans="1:7" x14ac:dyDescent="0.25">
      <c r="A62" s="2" t="s">
        <v>46</v>
      </c>
      <c r="B62" s="5">
        <v>106</v>
      </c>
      <c r="C62" s="6">
        <v>7.75</v>
      </c>
      <c r="D62" s="7">
        <v>40009</v>
      </c>
      <c r="E62" s="6">
        <v>4.6379999999999999</v>
      </c>
      <c r="F62" s="8" t="s">
        <v>9</v>
      </c>
      <c r="G62" s="9">
        <f t="shared" si="0"/>
        <v>1.989041095890411</v>
      </c>
    </row>
    <row r="63" spans="1:7" x14ac:dyDescent="0.25">
      <c r="A63" s="2" t="s">
        <v>47</v>
      </c>
      <c r="B63" s="5">
        <v>102.5</v>
      </c>
      <c r="C63" s="6">
        <v>6.375</v>
      </c>
      <c r="D63" s="7">
        <v>40009</v>
      </c>
      <c r="E63" s="6">
        <v>5.0709999999999997</v>
      </c>
      <c r="F63" s="8" t="s">
        <v>9</v>
      </c>
      <c r="G63" s="9">
        <f t="shared" si="0"/>
        <v>1.989041095890411</v>
      </c>
    </row>
    <row r="64" spans="1:7" x14ac:dyDescent="0.25">
      <c r="A64" s="2" t="s">
        <v>48</v>
      </c>
      <c r="B64" s="5">
        <v>103.25</v>
      </c>
      <c r="C64" s="6">
        <v>6.5</v>
      </c>
      <c r="D64" s="7">
        <v>40025</v>
      </c>
      <c r="E64" s="6">
        <v>4.8410000000000002</v>
      </c>
      <c r="F64" s="8" t="s">
        <v>9</v>
      </c>
      <c r="G64" s="9">
        <f t="shared" si="0"/>
        <v>2.032876712328767</v>
      </c>
    </row>
    <row r="65" spans="1:7" x14ac:dyDescent="0.25">
      <c r="A65" s="2" t="s">
        <v>40</v>
      </c>
      <c r="B65" s="5">
        <v>98.95</v>
      </c>
      <c r="C65" s="6">
        <v>5.25</v>
      </c>
      <c r="D65" s="7">
        <v>40040</v>
      </c>
      <c r="E65" s="6">
        <v>5.7779999999999996</v>
      </c>
      <c r="F65" s="8" t="s">
        <v>9</v>
      </c>
      <c r="G65" s="9">
        <f t="shared" si="0"/>
        <v>2.0739726027397261</v>
      </c>
    </row>
    <row r="66" spans="1:7" x14ac:dyDescent="0.25">
      <c r="A66" s="2" t="s">
        <v>40</v>
      </c>
      <c r="B66" s="5">
        <v>98.85</v>
      </c>
      <c r="C66" s="6">
        <v>5</v>
      </c>
      <c r="D66" s="7">
        <v>40040</v>
      </c>
      <c r="E66" s="6">
        <v>5.5780000000000003</v>
      </c>
      <c r="F66" s="8" t="s">
        <v>9</v>
      </c>
      <c r="G66" s="9">
        <f t="shared" si="0"/>
        <v>2.0739726027397261</v>
      </c>
    </row>
    <row r="67" spans="1:7" x14ac:dyDescent="0.25">
      <c r="A67" s="2" t="s">
        <v>18</v>
      </c>
      <c r="B67" s="5">
        <v>110.75</v>
      </c>
      <c r="C67" s="6">
        <v>10</v>
      </c>
      <c r="D67" s="7">
        <v>40087</v>
      </c>
      <c r="E67" s="6">
        <v>4.9059999999999997</v>
      </c>
      <c r="F67" s="8" t="s">
        <v>9</v>
      </c>
      <c r="G67" s="9">
        <f t="shared" ref="G67:G130" si="1">(D67-DATE(2007,7,20))/365</f>
        <v>2.2027397260273971</v>
      </c>
    </row>
    <row r="68" spans="1:7" x14ac:dyDescent="0.25">
      <c r="A68" s="2" t="s">
        <v>40</v>
      </c>
      <c r="B68" s="5">
        <v>97.79</v>
      </c>
      <c r="C68" s="6">
        <v>4.9000000000000004</v>
      </c>
      <c r="D68" s="7">
        <v>40101</v>
      </c>
      <c r="E68" s="6">
        <v>5.9409999999999998</v>
      </c>
      <c r="F68" s="8" t="s">
        <v>9</v>
      </c>
      <c r="G68" s="9">
        <f t="shared" si="1"/>
        <v>2.2410958904109588</v>
      </c>
    </row>
    <row r="69" spans="1:7" x14ac:dyDescent="0.25">
      <c r="A69" s="2" t="s">
        <v>40</v>
      </c>
      <c r="B69" s="5">
        <v>98</v>
      </c>
      <c r="C69" s="6">
        <v>4.95</v>
      </c>
      <c r="D69" s="7">
        <v>40101</v>
      </c>
      <c r="E69" s="6">
        <v>5.8869999999999996</v>
      </c>
      <c r="F69" s="8" t="s">
        <v>9</v>
      </c>
      <c r="G69" s="9">
        <f t="shared" si="1"/>
        <v>2.2410958904109588</v>
      </c>
    </row>
    <row r="70" spans="1:7" x14ac:dyDescent="0.25">
      <c r="A70" s="2" t="s">
        <v>40</v>
      </c>
      <c r="B70" s="5">
        <v>97.9</v>
      </c>
      <c r="C70" s="6">
        <v>4.9000000000000004</v>
      </c>
      <c r="D70" s="7">
        <v>40101</v>
      </c>
      <c r="E70" s="6">
        <v>5.8869999999999996</v>
      </c>
      <c r="F70" s="8" t="s">
        <v>9</v>
      </c>
      <c r="G70" s="9">
        <f t="shared" si="1"/>
        <v>2.2410958904109588</v>
      </c>
    </row>
    <row r="71" spans="1:7" x14ac:dyDescent="0.25">
      <c r="A71" s="2" t="s">
        <v>20</v>
      </c>
      <c r="B71" s="5">
        <v>106</v>
      </c>
      <c r="C71" s="6">
        <v>8</v>
      </c>
      <c r="D71" s="7">
        <v>40101</v>
      </c>
      <c r="E71" s="6">
        <v>5.19</v>
      </c>
      <c r="F71" s="8" t="s">
        <v>9</v>
      </c>
      <c r="G71" s="9">
        <f t="shared" si="1"/>
        <v>2.2410958904109588</v>
      </c>
    </row>
    <row r="72" spans="1:7" x14ac:dyDescent="0.25">
      <c r="A72" s="2" t="s">
        <v>49</v>
      </c>
      <c r="B72" s="5">
        <v>108.73</v>
      </c>
      <c r="C72" s="6">
        <v>9.4499999999999993</v>
      </c>
      <c r="D72" s="7">
        <v>40118</v>
      </c>
      <c r="E72" s="6">
        <v>5.4240000000000004</v>
      </c>
      <c r="F72" s="8" t="s">
        <v>9</v>
      </c>
      <c r="G72" s="9">
        <f t="shared" si="1"/>
        <v>2.2876712328767121</v>
      </c>
    </row>
    <row r="73" spans="1:7" x14ac:dyDescent="0.25">
      <c r="A73" s="2" t="s">
        <v>40</v>
      </c>
      <c r="B73" s="5">
        <v>98.64</v>
      </c>
      <c r="C73" s="6">
        <v>5.25</v>
      </c>
      <c r="D73" s="7">
        <v>40132</v>
      </c>
      <c r="E73" s="6">
        <v>5.8680000000000003</v>
      </c>
      <c r="F73" s="8" t="s">
        <v>9</v>
      </c>
      <c r="G73" s="9">
        <f t="shared" si="1"/>
        <v>2.3260273972602739</v>
      </c>
    </row>
    <row r="74" spans="1:7" x14ac:dyDescent="0.25">
      <c r="A74" s="2" t="s">
        <v>40</v>
      </c>
      <c r="B74" s="5">
        <v>98.45</v>
      </c>
      <c r="C74" s="6">
        <v>5.2</v>
      </c>
      <c r="D74" s="7">
        <v>40132</v>
      </c>
      <c r="E74" s="6">
        <v>5.9039999999999999</v>
      </c>
      <c r="F74" s="8" t="s">
        <v>9</v>
      </c>
      <c r="G74" s="9">
        <f t="shared" si="1"/>
        <v>2.3260273972602739</v>
      </c>
    </row>
    <row r="75" spans="1:7" x14ac:dyDescent="0.25">
      <c r="A75" s="2" t="s">
        <v>40</v>
      </c>
      <c r="B75" s="5">
        <v>98.5</v>
      </c>
      <c r="C75" s="6">
        <v>5.25</v>
      </c>
      <c r="D75" s="7">
        <v>40132</v>
      </c>
      <c r="E75" s="6">
        <v>5.9320000000000004</v>
      </c>
      <c r="F75" s="8" t="s">
        <v>9</v>
      </c>
      <c r="G75" s="9">
        <f t="shared" si="1"/>
        <v>2.3260273972602739</v>
      </c>
    </row>
    <row r="76" spans="1:7" x14ac:dyDescent="0.25">
      <c r="A76" s="2" t="s">
        <v>40</v>
      </c>
      <c r="B76" s="5">
        <v>98.47</v>
      </c>
      <c r="C76" s="6">
        <v>5.35</v>
      </c>
      <c r="D76" s="7">
        <v>40162</v>
      </c>
      <c r="E76" s="6">
        <v>6.0229999999999997</v>
      </c>
      <c r="F76" s="8" t="s">
        <v>9</v>
      </c>
      <c r="G76" s="9">
        <f t="shared" si="1"/>
        <v>2.408219178082192</v>
      </c>
    </row>
    <row r="77" spans="1:7" x14ac:dyDescent="0.25">
      <c r="A77" s="2" t="s">
        <v>26</v>
      </c>
      <c r="B77" s="5">
        <v>104.5</v>
      </c>
      <c r="C77" s="6">
        <v>7.75</v>
      </c>
      <c r="D77" s="7">
        <v>40197</v>
      </c>
      <c r="E77" s="6">
        <v>5.8289999999999997</v>
      </c>
      <c r="F77" s="8" t="s">
        <v>9</v>
      </c>
      <c r="G77" s="9">
        <f t="shared" si="1"/>
        <v>2.504109589041096</v>
      </c>
    </row>
    <row r="78" spans="1:7" x14ac:dyDescent="0.25">
      <c r="A78" s="2" t="s">
        <v>50</v>
      </c>
      <c r="B78" s="5">
        <v>107.25</v>
      </c>
      <c r="C78" s="6">
        <v>7.875</v>
      </c>
      <c r="D78" s="7">
        <v>40252</v>
      </c>
      <c r="E78" s="6">
        <v>4.9809999999999999</v>
      </c>
      <c r="F78" s="8" t="s">
        <v>9</v>
      </c>
      <c r="G78" s="9">
        <f t="shared" si="1"/>
        <v>2.6547945205479451</v>
      </c>
    </row>
    <row r="79" spans="1:7" x14ac:dyDescent="0.25">
      <c r="A79" s="2" t="s">
        <v>51</v>
      </c>
      <c r="B79" s="5">
        <v>108</v>
      </c>
      <c r="C79" s="6">
        <v>8.25</v>
      </c>
      <c r="D79" s="7">
        <v>40279</v>
      </c>
      <c r="E79" s="6">
        <v>5.1269999999999998</v>
      </c>
      <c r="F79" s="8" t="s">
        <v>9</v>
      </c>
      <c r="G79" s="9">
        <f t="shared" si="1"/>
        <v>2.7287671232876711</v>
      </c>
    </row>
    <row r="80" spans="1:7" x14ac:dyDescent="0.25">
      <c r="A80" s="2" t="s">
        <v>52</v>
      </c>
      <c r="B80" s="5">
        <v>100</v>
      </c>
      <c r="C80" s="6">
        <v>4.7</v>
      </c>
      <c r="D80" s="7">
        <v>40330</v>
      </c>
      <c r="E80" s="6">
        <v>4.6989999999999998</v>
      </c>
      <c r="F80" s="8" t="s">
        <v>9</v>
      </c>
      <c r="G80" s="9">
        <f t="shared" si="1"/>
        <v>2.8684931506849316</v>
      </c>
    </row>
    <row r="81" spans="1:7" x14ac:dyDescent="0.25">
      <c r="A81" s="2" t="s">
        <v>26</v>
      </c>
      <c r="B81" s="5">
        <v>110.5</v>
      </c>
      <c r="C81" s="6">
        <v>8.875</v>
      </c>
      <c r="D81" s="7">
        <v>40330</v>
      </c>
      <c r="E81" s="6">
        <v>4.9710000000000001</v>
      </c>
      <c r="F81" s="8" t="s">
        <v>9</v>
      </c>
      <c r="G81" s="9">
        <f t="shared" si="1"/>
        <v>2.8684931506849316</v>
      </c>
    </row>
    <row r="82" spans="1:7" x14ac:dyDescent="0.25">
      <c r="A82" s="2" t="s">
        <v>53</v>
      </c>
      <c r="B82" s="5">
        <v>110.5</v>
      </c>
      <c r="C82" s="6">
        <v>8.625</v>
      </c>
      <c r="D82" s="7">
        <v>40344</v>
      </c>
      <c r="E82" s="6">
        <v>4.782</v>
      </c>
      <c r="F82" s="8" t="s">
        <v>9</v>
      </c>
      <c r="G82" s="9">
        <f t="shared" si="1"/>
        <v>2.9068493150684933</v>
      </c>
    </row>
    <row r="83" spans="1:7" x14ac:dyDescent="0.25">
      <c r="A83" s="2" t="s">
        <v>54</v>
      </c>
      <c r="B83" s="5">
        <v>105.88</v>
      </c>
      <c r="C83" s="6">
        <v>7.75</v>
      </c>
      <c r="D83" s="7">
        <v>40344</v>
      </c>
      <c r="E83" s="6">
        <v>5.5709999999999997</v>
      </c>
      <c r="F83" s="8" t="s">
        <v>9</v>
      </c>
      <c r="G83" s="9">
        <f t="shared" si="1"/>
        <v>2.9068493150684933</v>
      </c>
    </row>
    <row r="84" spans="1:7" x14ac:dyDescent="0.25">
      <c r="A84" s="2" t="s">
        <v>40</v>
      </c>
      <c r="B84" s="5">
        <v>104.62</v>
      </c>
      <c r="C84" s="6">
        <v>8</v>
      </c>
      <c r="D84" s="7">
        <v>40344</v>
      </c>
      <c r="E84" s="6">
        <v>6.2850000000000001</v>
      </c>
      <c r="F84" s="8" t="s">
        <v>9</v>
      </c>
      <c r="G84" s="9">
        <f t="shared" si="1"/>
        <v>2.9068493150684933</v>
      </c>
    </row>
    <row r="85" spans="1:7" x14ac:dyDescent="0.25">
      <c r="A85" s="2" t="s">
        <v>55</v>
      </c>
      <c r="B85" s="5">
        <v>108.5</v>
      </c>
      <c r="C85" s="6">
        <v>7.5</v>
      </c>
      <c r="D85" s="7">
        <v>40344</v>
      </c>
      <c r="E85" s="6">
        <v>4.4080000000000004</v>
      </c>
      <c r="F85" s="8" t="s">
        <v>9</v>
      </c>
      <c r="G85" s="9">
        <f t="shared" si="1"/>
        <v>2.9068493150684933</v>
      </c>
    </row>
    <row r="86" spans="1:7" x14ac:dyDescent="0.25">
      <c r="A86" s="2" t="s">
        <v>40</v>
      </c>
      <c r="B86" s="5">
        <v>104</v>
      </c>
      <c r="C86" s="6">
        <v>8</v>
      </c>
      <c r="D86" s="7">
        <v>40374</v>
      </c>
      <c r="E86" s="6">
        <v>6.5289999999999999</v>
      </c>
      <c r="F86" s="8" t="s">
        <v>9</v>
      </c>
      <c r="G86" s="9">
        <f t="shared" si="1"/>
        <v>2.989041095890411</v>
      </c>
    </row>
    <row r="87" spans="1:7" x14ac:dyDescent="0.25">
      <c r="A87" s="2" t="s">
        <v>30</v>
      </c>
      <c r="B87" s="5">
        <v>97.5</v>
      </c>
      <c r="C87" s="6">
        <v>6.5</v>
      </c>
      <c r="D87" s="7">
        <v>40405</v>
      </c>
      <c r="E87" s="6">
        <v>7.4050000000000002</v>
      </c>
      <c r="F87" s="8" t="s">
        <v>9</v>
      </c>
      <c r="G87" s="9">
        <f t="shared" si="1"/>
        <v>3.0739726027397261</v>
      </c>
    </row>
    <row r="88" spans="1:7" x14ac:dyDescent="0.25">
      <c r="A88" s="2" t="s">
        <v>56</v>
      </c>
      <c r="B88" s="5">
        <v>95.01</v>
      </c>
      <c r="C88" s="6">
        <v>4.875</v>
      </c>
      <c r="D88" s="7">
        <v>40405</v>
      </c>
      <c r="E88" s="6">
        <v>6.665</v>
      </c>
      <c r="F88" s="8" t="s">
        <v>9</v>
      </c>
      <c r="G88" s="9">
        <f t="shared" si="1"/>
        <v>3.0739726027397261</v>
      </c>
    </row>
    <row r="89" spans="1:7" x14ac:dyDescent="0.25">
      <c r="A89" s="2" t="s">
        <v>57</v>
      </c>
      <c r="B89" s="5">
        <v>108.25</v>
      </c>
      <c r="C89" s="6">
        <v>8.5</v>
      </c>
      <c r="D89" s="7">
        <v>40436</v>
      </c>
      <c r="E89" s="6">
        <v>5.6520000000000001</v>
      </c>
      <c r="F89" s="8" t="s">
        <v>9</v>
      </c>
      <c r="G89" s="9">
        <f t="shared" si="1"/>
        <v>3.1589041095890411</v>
      </c>
    </row>
    <row r="90" spans="1:7" x14ac:dyDescent="0.25">
      <c r="A90" s="2" t="s">
        <v>58</v>
      </c>
      <c r="B90" s="5">
        <v>101</v>
      </c>
      <c r="C90" s="6">
        <v>4.6500000000000004</v>
      </c>
      <c r="D90" s="7">
        <v>40452</v>
      </c>
      <c r="E90" s="6">
        <v>4.3159999999999998</v>
      </c>
      <c r="F90" s="8" t="s">
        <v>9</v>
      </c>
      <c r="G90" s="9">
        <f t="shared" si="1"/>
        <v>3.2027397260273971</v>
      </c>
    </row>
    <row r="91" spans="1:7" x14ac:dyDescent="0.25">
      <c r="A91" s="2" t="s">
        <v>59</v>
      </c>
      <c r="B91" s="5">
        <v>102.5</v>
      </c>
      <c r="C91" s="6">
        <v>6.5</v>
      </c>
      <c r="D91" s="7">
        <v>40497</v>
      </c>
      <c r="E91" s="6">
        <v>5.6769999999999996</v>
      </c>
      <c r="F91" s="8" t="s">
        <v>9</v>
      </c>
      <c r="G91" s="9">
        <f t="shared" si="1"/>
        <v>3.3260273972602739</v>
      </c>
    </row>
    <row r="92" spans="1:7" x14ac:dyDescent="0.25">
      <c r="A92" s="2" t="s">
        <v>60</v>
      </c>
      <c r="B92" s="5">
        <v>104</v>
      </c>
      <c r="C92" s="6">
        <v>7.92</v>
      </c>
      <c r="D92" s="7">
        <v>40500</v>
      </c>
      <c r="E92" s="6">
        <v>6.58</v>
      </c>
      <c r="F92" s="8" t="s">
        <v>9</v>
      </c>
      <c r="G92" s="9">
        <f t="shared" si="1"/>
        <v>3.3342465753424659</v>
      </c>
    </row>
    <row r="93" spans="1:7" x14ac:dyDescent="0.25">
      <c r="A93" s="2" t="s">
        <v>21</v>
      </c>
      <c r="B93" s="5">
        <v>95.3</v>
      </c>
      <c r="C93" s="6">
        <v>5</v>
      </c>
      <c r="D93" s="7">
        <v>40558</v>
      </c>
      <c r="E93" s="6">
        <v>6.5039999999999996</v>
      </c>
      <c r="F93" s="8" t="s">
        <v>9</v>
      </c>
      <c r="G93" s="9">
        <f t="shared" si="1"/>
        <v>3.493150684931507</v>
      </c>
    </row>
    <row r="94" spans="1:7" x14ac:dyDescent="0.25">
      <c r="A94" s="2" t="s">
        <v>61</v>
      </c>
      <c r="B94" s="5">
        <v>103.85</v>
      </c>
      <c r="C94" s="6">
        <v>7</v>
      </c>
      <c r="D94" s="7">
        <v>40575</v>
      </c>
      <c r="E94" s="6">
        <v>5.7939999999999996</v>
      </c>
      <c r="F94" s="8" t="s">
        <v>9</v>
      </c>
      <c r="G94" s="9">
        <f t="shared" si="1"/>
        <v>3.5397260273972604</v>
      </c>
    </row>
    <row r="95" spans="1:7" x14ac:dyDescent="0.25">
      <c r="A95" s="2" t="s">
        <v>59</v>
      </c>
      <c r="B95" s="5">
        <v>100</v>
      </c>
      <c r="C95" s="6">
        <v>5.75</v>
      </c>
      <c r="D95" s="7">
        <v>40589</v>
      </c>
      <c r="E95" s="6">
        <v>5.7480000000000002</v>
      </c>
      <c r="F95" s="8" t="s">
        <v>9</v>
      </c>
      <c r="G95" s="9">
        <f t="shared" si="1"/>
        <v>3.5780821917808221</v>
      </c>
    </row>
    <row r="96" spans="1:7" x14ac:dyDescent="0.25">
      <c r="A96" s="2" t="s">
        <v>27</v>
      </c>
      <c r="B96" s="5">
        <v>108.5</v>
      </c>
      <c r="C96" s="6">
        <v>8.25</v>
      </c>
      <c r="D96" s="7">
        <v>40589</v>
      </c>
      <c r="E96" s="6">
        <v>5.625</v>
      </c>
      <c r="F96" s="8" t="s">
        <v>9</v>
      </c>
      <c r="G96" s="9">
        <f t="shared" si="1"/>
        <v>3.5780821917808221</v>
      </c>
    </row>
    <row r="97" spans="1:7" x14ac:dyDescent="0.25">
      <c r="A97" s="2" t="s">
        <v>62</v>
      </c>
      <c r="B97" s="5">
        <v>105.5</v>
      </c>
      <c r="C97" s="6">
        <v>7.625</v>
      </c>
      <c r="D97" s="7">
        <v>40603</v>
      </c>
      <c r="E97" s="6">
        <v>5.9329999999999998</v>
      </c>
      <c r="F97" s="8" t="s">
        <v>9</v>
      </c>
      <c r="G97" s="9">
        <f t="shared" si="1"/>
        <v>3.6164383561643834</v>
      </c>
    </row>
    <row r="98" spans="1:7" x14ac:dyDescent="0.25">
      <c r="A98" s="2" t="s">
        <v>63</v>
      </c>
      <c r="B98" s="5">
        <v>106.79</v>
      </c>
      <c r="C98" s="6">
        <v>7.625</v>
      </c>
      <c r="D98" s="7">
        <v>40603</v>
      </c>
      <c r="E98" s="6">
        <v>5.5529999999999999</v>
      </c>
      <c r="F98" s="8" t="s">
        <v>9</v>
      </c>
      <c r="G98" s="9">
        <f t="shared" si="1"/>
        <v>3.6164383561643834</v>
      </c>
    </row>
    <row r="99" spans="1:7" x14ac:dyDescent="0.25">
      <c r="A99" s="2" t="s">
        <v>26</v>
      </c>
      <c r="B99" s="5">
        <v>103</v>
      </c>
      <c r="C99" s="6">
        <v>7.25</v>
      </c>
      <c r="D99" s="7">
        <v>40604</v>
      </c>
      <c r="E99" s="6">
        <v>6.319</v>
      </c>
      <c r="F99" s="8" t="s">
        <v>9</v>
      </c>
      <c r="G99" s="9">
        <f t="shared" si="1"/>
        <v>3.6191780821917807</v>
      </c>
    </row>
    <row r="100" spans="1:7" x14ac:dyDescent="0.25">
      <c r="A100" s="2" t="s">
        <v>64</v>
      </c>
      <c r="B100" s="5">
        <v>110</v>
      </c>
      <c r="C100" s="6">
        <v>8.875</v>
      </c>
      <c r="D100" s="7">
        <v>40617</v>
      </c>
      <c r="E100" s="6">
        <v>5.8360000000000003</v>
      </c>
      <c r="F100" s="8" t="s">
        <v>9</v>
      </c>
      <c r="G100" s="9">
        <f t="shared" si="1"/>
        <v>3.6547945205479451</v>
      </c>
    </row>
    <row r="101" spans="1:7" x14ac:dyDescent="0.25">
      <c r="A101" s="2" t="s">
        <v>59</v>
      </c>
      <c r="B101" s="5">
        <v>101.5</v>
      </c>
      <c r="C101" s="6">
        <v>6.375</v>
      </c>
      <c r="D101" s="7">
        <v>40648</v>
      </c>
      <c r="E101" s="6">
        <v>5.9249999999999998</v>
      </c>
      <c r="F101" s="8" t="s">
        <v>9</v>
      </c>
      <c r="G101" s="9">
        <f t="shared" si="1"/>
        <v>3.7397260273972601</v>
      </c>
    </row>
    <row r="102" spans="1:7" x14ac:dyDescent="0.25">
      <c r="A102" s="2" t="s">
        <v>55</v>
      </c>
      <c r="B102" s="5">
        <v>106</v>
      </c>
      <c r="C102" s="6">
        <v>7.2</v>
      </c>
      <c r="D102" s="7">
        <v>40664</v>
      </c>
      <c r="E102" s="6">
        <v>5.4450000000000003</v>
      </c>
      <c r="F102" s="8" t="s">
        <v>9</v>
      </c>
      <c r="G102" s="9">
        <f t="shared" si="1"/>
        <v>3.7835616438356166</v>
      </c>
    </row>
    <row r="103" spans="1:7" x14ac:dyDescent="0.25">
      <c r="A103" s="2" t="s">
        <v>65</v>
      </c>
      <c r="B103" s="5">
        <v>111.5</v>
      </c>
      <c r="C103" s="6">
        <v>9.25</v>
      </c>
      <c r="D103" s="7">
        <v>40678</v>
      </c>
      <c r="E103" s="6">
        <v>5.8879999999999999</v>
      </c>
      <c r="F103" s="8" t="s">
        <v>9</v>
      </c>
      <c r="G103" s="9">
        <f t="shared" si="1"/>
        <v>3.8219178082191783</v>
      </c>
    </row>
    <row r="104" spans="1:7" x14ac:dyDescent="0.25">
      <c r="A104" s="2" t="s">
        <v>66</v>
      </c>
      <c r="B104" s="5">
        <v>106</v>
      </c>
      <c r="C104" s="6">
        <v>7.375</v>
      </c>
      <c r="D104" s="7">
        <v>40678</v>
      </c>
      <c r="E104" s="6">
        <v>5.63</v>
      </c>
      <c r="F104" s="8" t="s">
        <v>9</v>
      </c>
      <c r="G104" s="9">
        <f t="shared" si="1"/>
        <v>3.8219178082191783</v>
      </c>
    </row>
    <row r="105" spans="1:7" x14ac:dyDescent="0.25">
      <c r="A105" s="2" t="s">
        <v>30</v>
      </c>
      <c r="B105" s="5">
        <v>97.5</v>
      </c>
      <c r="C105" s="6">
        <v>6.875</v>
      </c>
      <c r="D105" s="7">
        <v>40678</v>
      </c>
      <c r="E105" s="6">
        <v>7.6280000000000001</v>
      </c>
      <c r="F105" s="8" t="s">
        <v>9</v>
      </c>
      <c r="G105" s="9">
        <f t="shared" si="1"/>
        <v>3.8219178082191783</v>
      </c>
    </row>
    <row r="106" spans="1:7" x14ac:dyDescent="0.25">
      <c r="A106" s="2" t="s">
        <v>67</v>
      </c>
      <c r="B106" s="5">
        <v>107</v>
      </c>
      <c r="C106" s="6">
        <v>7.125</v>
      </c>
      <c r="D106" s="7">
        <v>40695</v>
      </c>
      <c r="E106" s="6">
        <v>5.1319999999999997</v>
      </c>
      <c r="F106" s="8" t="s">
        <v>9</v>
      </c>
      <c r="G106" s="9">
        <f t="shared" si="1"/>
        <v>3.8684931506849316</v>
      </c>
    </row>
    <row r="107" spans="1:7" x14ac:dyDescent="0.25">
      <c r="A107" s="2" t="s">
        <v>18</v>
      </c>
      <c r="B107" s="5">
        <v>109</v>
      </c>
      <c r="C107" s="6">
        <v>8.5</v>
      </c>
      <c r="D107" s="7">
        <v>40709</v>
      </c>
      <c r="E107" s="6">
        <v>5.9180000000000001</v>
      </c>
      <c r="F107" s="8" t="s">
        <v>9</v>
      </c>
      <c r="G107" s="9">
        <f t="shared" si="1"/>
        <v>3.9068493150684933</v>
      </c>
    </row>
    <row r="108" spans="1:7" x14ac:dyDescent="0.25">
      <c r="A108" s="2" t="s">
        <v>68</v>
      </c>
      <c r="B108" s="5">
        <v>115</v>
      </c>
      <c r="C108" s="6">
        <v>9.125</v>
      </c>
      <c r="D108" s="7">
        <v>40756</v>
      </c>
      <c r="E108" s="6">
        <v>5.0220000000000002</v>
      </c>
      <c r="F108" s="8" t="s">
        <v>9</v>
      </c>
      <c r="G108" s="9">
        <f t="shared" si="1"/>
        <v>4.0356164383561648</v>
      </c>
    </row>
    <row r="109" spans="1:7" x14ac:dyDescent="0.25">
      <c r="A109" s="2" t="s">
        <v>20</v>
      </c>
      <c r="B109" s="5">
        <v>102.25</v>
      </c>
      <c r="C109" s="6">
        <v>7</v>
      </c>
      <c r="D109" s="7">
        <v>40756</v>
      </c>
      <c r="E109" s="6">
        <v>6.3639999999999999</v>
      </c>
      <c r="F109" s="8" t="s">
        <v>9</v>
      </c>
      <c r="G109" s="9">
        <f t="shared" si="1"/>
        <v>4.0356164383561648</v>
      </c>
    </row>
    <row r="110" spans="1:7" x14ac:dyDescent="0.25">
      <c r="A110" s="2" t="s">
        <v>69</v>
      </c>
      <c r="B110" s="5">
        <v>103.75</v>
      </c>
      <c r="C110" s="6">
        <v>7.25</v>
      </c>
      <c r="D110" s="7">
        <v>40770</v>
      </c>
      <c r="E110" s="6">
        <v>6.2039999999999997</v>
      </c>
      <c r="F110" s="8" t="s">
        <v>9</v>
      </c>
      <c r="G110" s="9">
        <f t="shared" si="1"/>
        <v>4.0739726027397261</v>
      </c>
    </row>
    <row r="111" spans="1:7" x14ac:dyDescent="0.25">
      <c r="A111" s="2" t="s">
        <v>70</v>
      </c>
      <c r="B111" s="5">
        <v>99</v>
      </c>
      <c r="C111" s="6">
        <v>6.375</v>
      </c>
      <c r="D111" s="7">
        <v>40770</v>
      </c>
      <c r="E111" s="6">
        <v>6.6529999999999996</v>
      </c>
      <c r="F111" s="8" t="s">
        <v>9</v>
      </c>
      <c r="G111" s="9">
        <f t="shared" si="1"/>
        <v>4.0739726027397261</v>
      </c>
    </row>
    <row r="112" spans="1:7" x14ac:dyDescent="0.25">
      <c r="A112" s="2" t="s">
        <v>20</v>
      </c>
      <c r="B112" s="5">
        <v>102.25</v>
      </c>
      <c r="C112" s="6">
        <v>7</v>
      </c>
      <c r="D112" s="7">
        <v>40756</v>
      </c>
      <c r="E112" s="6">
        <v>6.3639999999999999</v>
      </c>
      <c r="F112" s="8" t="s">
        <v>9</v>
      </c>
      <c r="G112" s="9">
        <f t="shared" si="1"/>
        <v>4.0356164383561648</v>
      </c>
    </row>
    <row r="113" spans="1:7" x14ac:dyDescent="0.25">
      <c r="A113" s="2" t="s">
        <v>69</v>
      </c>
      <c r="B113" s="5">
        <v>103.75</v>
      </c>
      <c r="C113" s="6">
        <v>7.25</v>
      </c>
      <c r="D113" s="7">
        <v>40770</v>
      </c>
      <c r="E113" s="6">
        <v>6.2030000000000003</v>
      </c>
      <c r="F113" s="8" t="s">
        <v>9</v>
      </c>
      <c r="G113" s="9">
        <f t="shared" si="1"/>
        <v>4.0739726027397261</v>
      </c>
    </row>
    <row r="114" spans="1:7" x14ac:dyDescent="0.25">
      <c r="A114" s="2" t="s">
        <v>70</v>
      </c>
      <c r="B114" s="5">
        <v>98</v>
      </c>
      <c r="C114" s="6">
        <v>6.375</v>
      </c>
      <c r="D114" s="7">
        <v>40770</v>
      </c>
      <c r="E114" s="6">
        <v>6.9379999999999997</v>
      </c>
      <c r="F114" s="8" t="s">
        <v>9</v>
      </c>
      <c r="G114" s="9">
        <f t="shared" si="1"/>
        <v>4.0739726027397261</v>
      </c>
    </row>
    <row r="115" spans="1:7" x14ac:dyDescent="0.25">
      <c r="A115" s="2" t="s">
        <v>61</v>
      </c>
      <c r="B115" s="5">
        <v>103.02</v>
      </c>
      <c r="C115" s="6">
        <v>6.75</v>
      </c>
      <c r="D115" s="7">
        <v>40770</v>
      </c>
      <c r="E115" s="6">
        <v>5.9119999999999999</v>
      </c>
      <c r="F115" s="8" t="s">
        <v>9</v>
      </c>
      <c r="G115" s="9">
        <f t="shared" si="1"/>
        <v>4.0739726027397261</v>
      </c>
    </row>
    <row r="116" spans="1:7" x14ac:dyDescent="0.25">
      <c r="A116" s="2" t="s">
        <v>26</v>
      </c>
      <c r="B116" s="5">
        <v>101.25</v>
      </c>
      <c r="C116" s="6">
        <v>6.875</v>
      </c>
      <c r="D116" s="7">
        <v>40801</v>
      </c>
      <c r="E116" s="6">
        <v>6.5270000000000001</v>
      </c>
      <c r="F116" s="8" t="s">
        <v>9</v>
      </c>
      <c r="G116" s="9">
        <f t="shared" si="1"/>
        <v>4.1589041095890407</v>
      </c>
    </row>
    <row r="117" spans="1:7" x14ac:dyDescent="0.25">
      <c r="A117" s="2" t="s">
        <v>29</v>
      </c>
      <c r="B117" s="5">
        <v>101.5</v>
      </c>
      <c r="C117" s="6">
        <v>6.375</v>
      </c>
      <c r="D117" s="7">
        <v>40817</v>
      </c>
      <c r="E117" s="6">
        <v>5.968</v>
      </c>
      <c r="F117" s="8" t="s">
        <v>9</v>
      </c>
      <c r="G117" s="9">
        <f t="shared" si="1"/>
        <v>4.2027397260273975</v>
      </c>
    </row>
    <row r="118" spans="1:7" x14ac:dyDescent="0.25">
      <c r="A118" s="2" t="s">
        <v>71</v>
      </c>
      <c r="B118" s="5">
        <v>101.25</v>
      </c>
      <c r="C118" s="6">
        <v>6.375</v>
      </c>
      <c r="D118" s="7">
        <v>40817</v>
      </c>
      <c r="E118" s="6">
        <v>6.0339999999999998</v>
      </c>
      <c r="F118" s="8" t="s">
        <v>9</v>
      </c>
      <c r="G118" s="9">
        <f t="shared" si="1"/>
        <v>4.2027397260273975</v>
      </c>
    </row>
    <row r="119" spans="1:7" x14ac:dyDescent="0.25">
      <c r="A119" s="2" t="s">
        <v>72</v>
      </c>
      <c r="B119" s="5">
        <v>110.67</v>
      </c>
      <c r="C119" s="6">
        <v>8.25</v>
      </c>
      <c r="D119" s="7">
        <v>40817</v>
      </c>
      <c r="E119" s="6">
        <v>5.407</v>
      </c>
      <c r="F119" s="8" t="s">
        <v>9</v>
      </c>
      <c r="G119" s="9">
        <f t="shared" si="1"/>
        <v>4.2027397260273975</v>
      </c>
    </row>
    <row r="120" spans="1:7" x14ac:dyDescent="0.25">
      <c r="A120" s="2" t="s">
        <v>48</v>
      </c>
      <c r="B120" s="5">
        <v>103.25</v>
      </c>
      <c r="C120" s="6">
        <v>6.375</v>
      </c>
      <c r="D120" s="7">
        <v>40892</v>
      </c>
      <c r="E120" s="6">
        <v>5.5419999999999998</v>
      </c>
      <c r="F120" s="8" t="s">
        <v>9</v>
      </c>
      <c r="G120" s="9">
        <f t="shared" si="1"/>
        <v>4.4082191780821915</v>
      </c>
    </row>
    <row r="121" spans="1:7" x14ac:dyDescent="0.25">
      <c r="A121" s="2" t="s">
        <v>51</v>
      </c>
      <c r="B121" s="5">
        <v>106.5</v>
      </c>
      <c r="C121" s="6">
        <v>7.2</v>
      </c>
      <c r="D121" s="7">
        <v>40892</v>
      </c>
      <c r="E121" s="6">
        <v>5.5350000000000001</v>
      </c>
      <c r="F121" s="8" t="s">
        <v>9</v>
      </c>
      <c r="G121" s="9">
        <f t="shared" si="1"/>
        <v>4.4082191780821915</v>
      </c>
    </row>
    <row r="122" spans="1:7" x14ac:dyDescent="0.25">
      <c r="A122" s="2" t="s">
        <v>73</v>
      </c>
      <c r="B122" s="5">
        <v>97</v>
      </c>
      <c r="C122" s="6">
        <v>6.5</v>
      </c>
      <c r="D122" s="7">
        <v>40923</v>
      </c>
      <c r="E122" s="6">
        <v>7.2859999999999996</v>
      </c>
      <c r="F122" s="8" t="s">
        <v>9</v>
      </c>
      <c r="G122" s="9">
        <f t="shared" si="1"/>
        <v>4.493150684931507</v>
      </c>
    </row>
    <row r="123" spans="1:7" x14ac:dyDescent="0.25">
      <c r="A123" s="2" t="s">
        <v>37</v>
      </c>
      <c r="B123" s="5">
        <v>102.75</v>
      </c>
      <c r="C123" s="6">
        <v>6.3</v>
      </c>
      <c r="D123" s="7">
        <v>40940</v>
      </c>
      <c r="E123" s="6">
        <v>5.61</v>
      </c>
      <c r="F123" s="8" t="s">
        <v>9</v>
      </c>
      <c r="G123" s="9">
        <f t="shared" si="1"/>
        <v>4.5397260273972604</v>
      </c>
    </row>
    <row r="124" spans="1:7" x14ac:dyDescent="0.25">
      <c r="A124" s="2" t="s">
        <v>26</v>
      </c>
      <c r="B124" s="5">
        <v>101.31</v>
      </c>
      <c r="C124" s="6">
        <v>7</v>
      </c>
      <c r="D124" s="7">
        <v>40940</v>
      </c>
      <c r="E124" s="6">
        <v>6.6630000000000003</v>
      </c>
      <c r="F124" s="8" t="s">
        <v>9</v>
      </c>
      <c r="G124" s="9">
        <f t="shared" si="1"/>
        <v>4.5397260273972604</v>
      </c>
    </row>
    <row r="125" spans="1:7" x14ac:dyDescent="0.25">
      <c r="A125" s="2" t="s">
        <v>74</v>
      </c>
      <c r="B125" s="5">
        <v>95.5</v>
      </c>
      <c r="C125" s="6">
        <v>6.875</v>
      </c>
      <c r="D125" s="7">
        <v>41000</v>
      </c>
      <c r="E125" s="6">
        <v>8.0280000000000005</v>
      </c>
      <c r="F125" s="8" t="s">
        <v>9</v>
      </c>
      <c r="G125" s="9">
        <f t="shared" si="1"/>
        <v>4.7041095890410958</v>
      </c>
    </row>
    <row r="126" spans="1:7" x14ac:dyDescent="0.25">
      <c r="A126" s="2" t="s">
        <v>61</v>
      </c>
      <c r="B126" s="5">
        <v>102.96</v>
      </c>
      <c r="C126" s="6">
        <v>6.7</v>
      </c>
      <c r="D126" s="7">
        <v>41014</v>
      </c>
      <c r="E126" s="6">
        <v>5.9779999999999998</v>
      </c>
      <c r="F126" s="8" t="s">
        <v>9</v>
      </c>
      <c r="G126" s="9">
        <f t="shared" si="1"/>
        <v>4.7424657534246579</v>
      </c>
    </row>
    <row r="127" spans="1:7" x14ac:dyDescent="0.25">
      <c r="A127" s="2" t="s">
        <v>24</v>
      </c>
      <c r="B127" s="5">
        <v>102.88</v>
      </c>
      <c r="C127" s="6">
        <v>7.75</v>
      </c>
      <c r="D127" s="7">
        <v>41025</v>
      </c>
      <c r="E127" s="6">
        <v>7.0339999999999998</v>
      </c>
      <c r="F127" s="8" t="s">
        <v>9</v>
      </c>
      <c r="G127" s="9">
        <f t="shared" si="1"/>
        <v>4.7726027397260271</v>
      </c>
    </row>
    <row r="128" spans="1:7" x14ac:dyDescent="0.25">
      <c r="A128" s="2" t="s">
        <v>75</v>
      </c>
      <c r="B128" s="5">
        <v>118.06</v>
      </c>
      <c r="C128" s="6">
        <v>10</v>
      </c>
      <c r="D128" s="7">
        <v>41030</v>
      </c>
      <c r="E128" s="6">
        <v>5.6749999999999998</v>
      </c>
      <c r="F128" s="8" t="s">
        <v>9</v>
      </c>
      <c r="G128" s="9">
        <f t="shared" si="1"/>
        <v>4.7863013698630139</v>
      </c>
    </row>
    <row r="129" spans="1:7" x14ac:dyDescent="0.25">
      <c r="A129" s="2" t="s">
        <v>26</v>
      </c>
      <c r="B129" s="5">
        <v>100.25</v>
      </c>
      <c r="C129" s="6">
        <v>6.625</v>
      </c>
      <c r="D129" s="7">
        <v>41044</v>
      </c>
      <c r="E129" s="6">
        <v>6.5620000000000003</v>
      </c>
      <c r="F129" s="8" t="s">
        <v>9</v>
      </c>
      <c r="G129" s="9">
        <f t="shared" si="1"/>
        <v>4.8246575342465752</v>
      </c>
    </row>
    <row r="130" spans="1:7" x14ac:dyDescent="0.25">
      <c r="A130" s="2" t="s">
        <v>76</v>
      </c>
      <c r="B130" s="5">
        <v>105</v>
      </c>
      <c r="C130" s="6">
        <v>7.25</v>
      </c>
      <c r="D130" s="7">
        <v>41061</v>
      </c>
      <c r="E130" s="6">
        <v>6.0579999999999998</v>
      </c>
      <c r="F130" s="8" t="s">
        <v>9</v>
      </c>
      <c r="G130" s="9">
        <f t="shared" si="1"/>
        <v>4.8712328767123285</v>
      </c>
    </row>
    <row r="131" spans="1:7" x14ac:dyDescent="0.25">
      <c r="A131" s="2" t="s">
        <v>26</v>
      </c>
      <c r="B131" s="5">
        <v>100.7</v>
      </c>
      <c r="C131" s="6">
        <v>6.875</v>
      </c>
      <c r="D131" s="7">
        <v>41149</v>
      </c>
      <c r="E131" s="6">
        <v>6.71</v>
      </c>
      <c r="F131" s="8" t="s">
        <v>9</v>
      </c>
      <c r="G131" s="9">
        <f t="shared" ref="G131:G194" si="2">(D131-DATE(2007,7,20))/365</f>
        <v>5.1123287671232873</v>
      </c>
    </row>
    <row r="132" spans="1:7" x14ac:dyDescent="0.25">
      <c r="A132" s="2" t="s">
        <v>77</v>
      </c>
      <c r="B132" s="5">
        <v>102.68</v>
      </c>
      <c r="C132" s="6">
        <v>6.5</v>
      </c>
      <c r="D132" s="7">
        <v>41153</v>
      </c>
      <c r="E132" s="6">
        <v>5.8890000000000002</v>
      </c>
      <c r="F132" s="8" t="s">
        <v>9</v>
      </c>
      <c r="G132" s="9">
        <f t="shared" si="2"/>
        <v>5.1232876712328768</v>
      </c>
    </row>
    <row r="133" spans="1:7" x14ac:dyDescent="0.25">
      <c r="A133" s="2" t="s">
        <v>57</v>
      </c>
      <c r="B133" s="5">
        <v>100</v>
      </c>
      <c r="C133" s="6">
        <v>6.75</v>
      </c>
      <c r="D133" s="7">
        <v>41153</v>
      </c>
      <c r="E133" s="6">
        <v>6.7469999999999999</v>
      </c>
      <c r="F133" s="8" t="s">
        <v>9</v>
      </c>
      <c r="G133" s="9">
        <f t="shared" si="2"/>
        <v>5.1232876712328768</v>
      </c>
    </row>
    <row r="134" spans="1:7" x14ac:dyDescent="0.25">
      <c r="A134" s="2" t="s">
        <v>68</v>
      </c>
      <c r="B134" s="5">
        <v>105</v>
      </c>
      <c r="C134" s="6">
        <v>7.85</v>
      </c>
      <c r="D134" s="7">
        <v>41183</v>
      </c>
      <c r="E134" s="6">
        <v>6.702</v>
      </c>
      <c r="F134" s="8" t="s">
        <v>9</v>
      </c>
      <c r="G134" s="9">
        <f t="shared" si="2"/>
        <v>5.2054794520547949</v>
      </c>
    </row>
    <row r="135" spans="1:7" x14ac:dyDescent="0.25">
      <c r="A135" s="2" t="s">
        <v>78</v>
      </c>
      <c r="B135" s="5">
        <v>101.5</v>
      </c>
      <c r="C135" s="6">
        <v>6.25</v>
      </c>
      <c r="D135" s="7">
        <v>41214</v>
      </c>
      <c r="E135" s="6">
        <v>5.9160000000000004</v>
      </c>
      <c r="F135" s="8" t="s">
        <v>9</v>
      </c>
      <c r="G135" s="9">
        <f t="shared" si="2"/>
        <v>5.2904109589041095</v>
      </c>
    </row>
    <row r="136" spans="1:7" x14ac:dyDescent="0.25">
      <c r="A136" s="2" t="s">
        <v>27</v>
      </c>
      <c r="B136" s="5">
        <v>106</v>
      </c>
      <c r="C136" s="6">
        <v>7.625</v>
      </c>
      <c r="D136" s="7">
        <v>41244</v>
      </c>
      <c r="E136" s="6">
        <v>6.3</v>
      </c>
      <c r="F136" s="8" t="s">
        <v>9</v>
      </c>
      <c r="G136" s="9">
        <f t="shared" si="2"/>
        <v>5.3726027397260276</v>
      </c>
    </row>
    <row r="137" spans="1:7" x14ac:dyDescent="0.25">
      <c r="A137" s="2" t="s">
        <v>79</v>
      </c>
      <c r="B137" s="5">
        <v>92</v>
      </c>
      <c r="C137" s="6">
        <v>5</v>
      </c>
      <c r="D137" s="7">
        <v>41258</v>
      </c>
      <c r="E137" s="6">
        <v>6.7759999999999998</v>
      </c>
      <c r="F137" s="8" t="s">
        <v>9</v>
      </c>
      <c r="G137" s="9">
        <f t="shared" si="2"/>
        <v>5.4109589041095889</v>
      </c>
    </row>
    <row r="138" spans="1:7" x14ac:dyDescent="0.25">
      <c r="A138" s="2" t="s">
        <v>11</v>
      </c>
      <c r="B138" s="5">
        <v>106.5</v>
      </c>
      <c r="C138" s="6">
        <v>7.375</v>
      </c>
      <c r="D138" s="7">
        <v>41258</v>
      </c>
      <c r="E138" s="6">
        <v>5.9619999999999997</v>
      </c>
      <c r="F138" s="8" t="s">
        <v>9</v>
      </c>
      <c r="G138" s="9">
        <f t="shared" si="2"/>
        <v>5.4109589041095889</v>
      </c>
    </row>
    <row r="139" spans="1:7" x14ac:dyDescent="0.25">
      <c r="A139" s="2" t="s">
        <v>65</v>
      </c>
      <c r="B139" s="5">
        <v>99.5</v>
      </c>
      <c r="C139" s="6">
        <v>6.25</v>
      </c>
      <c r="D139" s="7">
        <v>41289</v>
      </c>
      <c r="E139" s="6">
        <v>6.3579999999999997</v>
      </c>
      <c r="F139" s="8" t="s">
        <v>9</v>
      </c>
      <c r="G139" s="9">
        <f t="shared" si="2"/>
        <v>5.4958904109589044</v>
      </c>
    </row>
    <row r="140" spans="1:7" x14ac:dyDescent="0.25">
      <c r="A140" s="2" t="s">
        <v>19</v>
      </c>
      <c r="B140" s="5">
        <v>105</v>
      </c>
      <c r="C140" s="6">
        <v>7.5</v>
      </c>
      <c r="D140" s="7">
        <v>41289</v>
      </c>
      <c r="E140" s="6">
        <v>6.4130000000000003</v>
      </c>
      <c r="F140" s="8" t="s">
        <v>9</v>
      </c>
      <c r="G140" s="9">
        <f t="shared" si="2"/>
        <v>5.4958904109589044</v>
      </c>
    </row>
    <row r="141" spans="1:7" x14ac:dyDescent="0.25">
      <c r="A141" s="2" t="s">
        <v>46</v>
      </c>
      <c r="B141" s="5">
        <v>95.75</v>
      </c>
      <c r="C141" s="6">
        <v>5.7</v>
      </c>
      <c r="D141" s="7">
        <v>41409</v>
      </c>
      <c r="E141" s="6">
        <v>6.5819999999999999</v>
      </c>
      <c r="F141" s="8" t="s">
        <v>9</v>
      </c>
      <c r="G141" s="9">
        <f t="shared" si="2"/>
        <v>5.8246575342465752</v>
      </c>
    </row>
    <row r="142" spans="1:7" x14ac:dyDescent="0.25">
      <c r="A142" s="2" t="s">
        <v>80</v>
      </c>
      <c r="B142" s="5">
        <v>90</v>
      </c>
      <c r="C142" s="6">
        <v>1</v>
      </c>
      <c r="D142" s="7">
        <v>41409</v>
      </c>
      <c r="E142" s="6">
        <v>2.859</v>
      </c>
      <c r="F142" s="8" t="s">
        <v>9</v>
      </c>
      <c r="G142" s="9">
        <f t="shared" si="2"/>
        <v>5.8246575342465752</v>
      </c>
    </row>
    <row r="143" spans="1:7" x14ac:dyDescent="0.25">
      <c r="A143" s="2" t="s">
        <v>20</v>
      </c>
      <c r="B143" s="5">
        <v>104.75</v>
      </c>
      <c r="C143" s="6">
        <v>7.75</v>
      </c>
      <c r="D143" s="7">
        <v>41409</v>
      </c>
      <c r="E143" s="6">
        <v>6.7549999999999999</v>
      </c>
      <c r="F143" s="8" t="s">
        <v>9</v>
      </c>
      <c r="G143" s="9">
        <f t="shared" si="2"/>
        <v>5.8246575342465752</v>
      </c>
    </row>
    <row r="144" spans="1:7" x14ac:dyDescent="0.25">
      <c r="A144" s="2" t="s">
        <v>81</v>
      </c>
      <c r="B144" s="5">
        <v>106.5</v>
      </c>
      <c r="C144" s="6">
        <v>7.75</v>
      </c>
      <c r="D144" s="7">
        <v>41501</v>
      </c>
      <c r="E144" s="6">
        <v>6.4470000000000001</v>
      </c>
      <c r="F144" s="8" t="s">
        <v>9</v>
      </c>
      <c r="G144" s="9">
        <f t="shared" si="2"/>
        <v>6.0767123287671234</v>
      </c>
    </row>
    <row r="145" spans="1:7" x14ac:dyDescent="0.25">
      <c r="A145" s="2" t="s">
        <v>81</v>
      </c>
      <c r="B145" s="5">
        <v>101.75</v>
      </c>
      <c r="C145" s="6">
        <v>7</v>
      </c>
      <c r="D145" s="7">
        <v>41501</v>
      </c>
      <c r="E145" s="6">
        <v>6.6459999999999999</v>
      </c>
      <c r="F145" s="8" t="s">
        <v>9</v>
      </c>
      <c r="G145" s="9">
        <f t="shared" si="2"/>
        <v>6.0767123287671234</v>
      </c>
    </row>
    <row r="146" spans="1:7" x14ac:dyDescent="0.25">
      <c r="A146" s="2" t="s">
        <v>76</v>
      </c>
      <c r="B146" s="5">
        <v>111.25</v>
      </c>
      <c r="C146" s="6">
        <v>9.25</v>
      </c>
      <c r="D146" s="7">
        <v>41501</v>
      </c>
      <c r="E146" s="6">
        <v>6.9610000000000003</v>
      </c>
      <c r="F146" s="8" t="s">
        <v>9</v>
      </c>
      <c r="G146" s="9">
        <f t="shared" si="2"/>
        <v>6.0767123287671234</v>
      </c>
    </row>
    <row r="147" spans="1:7" x14ac:dyDescent="0.25">
      <c r="A147" s="2" t="s">
        <v>82</v>
      </c>
      <c r="B147" s="5">
        <v>91.5</v>
      </c>
      <c r="C147" s="6">
        <v>6.5</v>
      </c>
      <c r="D147" s="7">
        <v>41654</v>
      </c>
      <c r="E147" s="6">
        <v>8.2029999999999994</v>
      </c>
      <c r="F147" s="8" t="s">
        <v>9</v>
      </c>
      <c r="G147" s="9">
        <f t="shared" si="2"/>
        <v>6.4958904109589044</v>
      </c>
    </row>
    <row r="148" spans="1:7" x14ac:dyDescent="0.25">
      <c r="A148" s="2" t="s">
        <v>70</v>
      </c>
      <c r="B148" s="5">
        <v>92.5</v>
      </c>
      <c r="C148" s="6">
        <v>5.75</v>
      </c>
      <c r="D148" s="7">
        <v>41671</v>
      </c>
      <c r="E148" s="6">
        <v>7.1970000000000001</v>
      </c>
      <c r="F148" s="8" t="s">
        <v>9</v>
      </c>
      <c r="G148" s="9">
        <f t="shared" si="2"/>
        <v>6.5424657534246577</v>
      </c>
    </row>
    <row r="149" spans="1:7" x14ac:dyDescent="0.25">
      <c r="A149" s="2" t="s">
        <v>83</v>
      </c>
      <c r="B149" s="5">
        <v>90.5</v>
      </c>
      <c r="C149" s="6">
        <v>5.25</v>
      </c>
      <c r="D149" s="7">
        <v>41681</v>
      </c>
      <c r="E149" s="6">
        <v>7.07</v>
      </c>
      <c r="F149" s="8" t="s">
        <v>9</v>
      </c>
      <c r="G149" s="9">
        <f t="shared" si="2"/>
        <v>6.5698630136986305</v>
      </c>
    </row>
    <row r="150" spans="1:7" x14ac:dyDescent="0.25">
      <c r="A150" s="2" t="s">
        <v>57</v>
      </c>
      <c r="B150" s="5">
        <v>94.25</v>
      </c>
      <c r="C150" s="6">
        <v>5.875</v>
      </c>
      <c r="D150" s="7">
        <v>41697</v>
      </c>
      <c r="E150" s="6">
        <v>6.9660000000000002</v>
      </c>
      <c r="F150" s="8" t="s">
        <v>9</v>
      </c>
      <c r="G150" s="9">
        <f t="shared" si="2"/>
        <v>6.6136986301369864</v>
      </c>
    </row>
    <row r="151" spans="1:7" x14ac:dyDescent="0.25">
      <c r="A151" s="2" t="s">
        <v>58</v>
      </c>
      <c r="B151" s="5">
        <v>91.25</v>
      </c>
      <c r="C151" s="6">
        <v>4.75</v>
      </c>
      <c r="D151" s="7">
        <v>41713</v>
      </c>
      <c r="E151" s="6">
        <v>6.37</v>
      </c>
      <c r="F151" s="8" t="s">
        <v>9</v>
      </c>
      <c r="G151" s="9">
        <f t="shared" si="2"/>
        <v>6.6575342465753424</v>
      </c>
    </row>
    <row r="152" spans="1:7" x14ac:dyDescent="0.25">
      <c r="A152" s="2" t="s">
        <v>84</v>
      </c>
      <c r="B152" s="5">
        <v>100.25</v>
      </c>
      <c r="C152" s="6">
        <v>7</v>
      </c>
      <c r="D152" s="7">
        <v>41713</v>
      </c>
      <c r="E152" s="6">
        <v>6.9509999999999996</v>
      </c>
      <c r="F152" s="8" t="s">
        <v>9</v>
      </c>
      <c r="G152" s="9">
        <f t="shared" si="2"/>
        <v>6.6575342465753424</v>
      </c>
    </row>
    <row r="153" spans="1:7" x14ac:dyDescent="0.25">
      <c r="A153" s="2" t="s">
        <v>30</v>
      </c>
      <c r="B153" s="5">
        <v>93</v>
      </c>
      <c r="C153" s="6">
        <v>6.25</v>
      </c>
      <c r="D153" s="7">
        <v>41730</v>
      </c>
      <c r="E153" s="6">
        <v>7.59</v>
      </c>
      <c r="F153" s="8" t="s">
        <v>9</v>
      </c>
      <c r="G153" s="9">
        <f t="shared" si="2"/>
        <v>6.7041095890410958</v>
      </c>
    </row>
    <row r="154" spans="1:7" x14ac:dyDescent="0.25">
      <c r="A154" s="2" t="s">
        <v>85</v>
      </c>
      <c r="B154" s="5">
        <v>99.5</v>
      </c>
      <c r="C154" s="6">
        <v>6.3</v>
      </c>
      <c r="D154" s="7">
        <v>41760</v>
      </c>
      <c r="E154" s="6">
        <v>6.3890000000000002</v>
      </c>
      <c r="F154" s="8" t="s">
        <v>9</v>
      </c>
      <c r="G154" s="9">
        <f t="shared" si="2"/>
        <v>6.7863013698630139</v>
      </c>
    </row>
    <row r="155" spans="1:7" x14ac:dyDescent="0.25">
      <c r="A155" s="2" t="s">
        <v>86</v>
      </c>
      <c r="B155" s="5">
        <v>97.5</v>
      </c>
      <c r="C155" s="6">
        <v>6.2</v>
      </c>
      <c r="D155" s="7">
        <v>41805</v>
      </c>
      <c r="E155" s="6">
        <v>6.6539999999999999</v>
      </c>
      <c r="F155" s="8" t="s">
        <v>9</v>
      </c>
      <c r="G155" s="9">
        <f t="shared" si="2"/>
        <v>6.9095890410958907</v>
      </c>
    </row>
    <row r="156" spans="1:7" x14ac:dyDescent="0.25">
      <c r="A156" s="2" t="s">
        <v>79</v>
      </c>
      <c r="B156" s="5">
        <v>89.5</v>
      </c>
      <c r="C156" s="6">
        <v>5.125</v>
      </c>
      <c r="D156" s="7">
        <v>41913</v>
      </c>
      <c r="E156" s="6">
        <v>6.992</v>
      </c>
      <c r="F156" s="8" t="s">
        <v>9</v>
      </c>
      <c r="G156" s="9">
        <f t="shared" si="2"/>
        <v>7.2054794520547949</v>
      </c>
    </row>
    <row r="157" spans="1:7" x14ac:dyDescent="0.25">
      <c r="A157" s="2" t="s">
        <v>29</v>
      </c>
      <c r="B157" s="5">
        <v>99.5</v>
      </c>
      <c r="C157" s="6">
        <v>6.625</v>
      </c>
      <c r="D157" s="7">
        <v>41913</v>
      </c>
      <c r="E157" s="6">
        <v>6.7110000000000003</v>
      </c>
      <c r="F157" s="8" t="s">
        <v>9</v>
      </c>
      <c r="G157" s="9">
        <f t="shared" si="2"/>
        <v>7.2054794520547949</v>
      </c>
    </row>
    <row r="158" spans="1:7" x14ac:dyDescent="0.25">
      <c r="A158" s="2" t="s">
        <v>87</v>
      </c>
      <c r="B158" s="5">
        <v>103.5</v>
      </c>
      <c r="C158" s="6">
        <v>7.375</v>
      </c>
      <c r="D158" s="7">
        <v>41913</v>
      </c>
      <c r="E158" s="6">
        <v>6.7539999999999996</v>
      </c>
      <c r="F158" s="8" t="s">
        <v>9</v>
      </c>
      <c r="G158" s="9">
        <f t="shared" si="2"/>
        <v>7.2054794520547949</v>
      </c>
    </row>
    <row r="159" spans="1:7" x14ac:dyDescent="0.25">
      <c r="A159" s="2" t="s">
        <v>69</v>
      </c>
      <c r="B159" s="5">
        <v>95</v>
      </c>
      <c r="C159" s="6">
        <v>6.25</v>
      </c>
      <c r="D159" s="7">
        <v>41958</v>
      </c>
      <c r="E159" s="6">
        <v>7.1310000000000002</v>
      </c>
      <c r="F159" s="8" t="s">
        <v>9</v>
      </c>
      <c r="G159" s="9">
        <f t="shared" si="2"/>
        <v>7.3287671232876717</v>
      </c>
    </row>
    <row r="160" spans="1:7" x14ac:dyDescent="0.25">
      <c r="A160" s="2" t="s">
        <v>88</v>
      </c>
      <c r="B160" s="5">
        <v>88.75</v>
      </c>
      <c r="C160" s="6">
        <v>5.55</v>
      </c>
      <c r="D160" s="7">
        <v>41958</v>
      </c>
      <c r="E160" s="6">
        <v>7.5650000000000004</v>
      </c>
      <c r="F160" s="8" t="s">
        <v>9</v>
      </c>
      <c r="G160" s="9">
        <f t="shared" si="2"/>
        <v>7.3287671232876717</v>
      </c>
    </row>
    <row r="161" spans="1:7" x14ac:dyDescent="0.25">
      <c r="A161" s="2" t="s">
        <v>26</v>
      </c>
      <c r="B161" s="5">
        <v>99.5</v>
      </c>
      <c r="C161" s="6">
        <v>6.75</v>
      </c>
      <c r="D161" s="7">
        <v>41974</v>
      </c>
      <c r="E161" s="6">
        <v>6.8360000000000003</v>
      </c>
      <c r="F161" s="8" t="s">
        <v>9</v>
      </c>
      <c r="G161" s="9">
        <f t="shared" si="2"/>
        <v>7.3726027397260276</v>
      </c>
    </row>
    <row r="162" spans="1:7" x14ac:dyDescent="0.25">
      <c r="A162" s="2" t="s">
        <v>82</v>
      </c>
      <c r="B162" s="5">
        <v>90.5</v>
      </c>
      <c r="C162" s="6">
        <v>6.375</v>
      </c>
      <c r="D162" s="7">
        <v>41988</v>
      </c>
      <c r="E162" s="6">
        <v>8.0950000000000006</v>
      </c>
      <c r="F162" s="8" t="s">
        <v>9</v>
      </c>
      <c r="G162" s="9">
        <f t="shared" si="2"/>
        <v>7.4109589041095889</v>
      </c>
    </row>
    <row r="163" spans="1:7" x14ac:dyDescent="0.25">
      <c r="A163" s="2" t="s">
        <v>89</v>
      </c>
      <c r="B163" s="5">
        <v>101</v>
      </c>
      <c r="C163" s="6">
        <v>7</v>
      </c>
      <c r="D163" s="7">
        <v>42019</v>
      </c>
      <c r="E163" s="6">
        <v>6.827</v>
      </c>
      <c r="F163" s="8" t="s">
        <v>9</v>
      </c>
      <c r="G163" s="9">
        <f t="shared" si="2"/>
        <v>7.4958904109589044</v>
      </c>
    </row>
    <row r="164" spans="1:7" x14ac:dyDescent="0.25">
      <c r="A164" s="2" t="s">
        <v>82</v>
      </c>
      <c r="B164" s="5">
        <v>89.5</v>
      </c>
      <c r="C164" s="6">
        <v>6.25</v>
      </c>
      <c r="D164" s="7">
        <v>42019</v>
      </c>
      <c r="E164" s="6">
        <v>8.1379999999999999</v>
      </c>
      <c r="F164" s="8" t="s">
        <v>9</v>
      </c>
      <c r="G164" s="9">
        <f t="shared" si="2"/>
        <v>7.4958904109589044</v>
      </c>
    </row>
    <row r="165" spans="1:7" x14ac:dyDescent="0.25">
      <c r="A165" s="2" t="s">
        <v>70</v>
      </c>
      <c r="B165" s="5">
        <v>91.5</v>
      </c>
      <c r="C165" s="6">
        <v>5.875</v>
      </c>
      <c r="D165" s="7">
        <v>42019</v>
      </c>
      <c r="E165" s="6">
        <v>7.3620000000000001</v>
      </c>
      <c r="F165" s="8" t="s">
        <v>9</v>
      </c>
      <c r="G165" s="9">
        <f t="shared" si="2"/>
        <v>7.4958904109589044</v>
      </c>
    </row>
    <row r="166" spans="1:7" x14ac:dyDescent="0.25">
      <c r="A166" s="2" t="s">
        <v>77</v>
      </c>
      <c r="B166" s="5">
        <v>92.06</v>
      </c>
      <c r="C166" s="6">
        <v>5.15</v>
      </c>
      <c r="D166" s="7">
        <v>42064</v>
      </c>
      <c r="E166" s="6">
        <v>6.4779999999999998</v>
      </c>
      <c r="F166" s="8" t="s">
        <v>9</v>
      </c>
      <c r="G166" s="9">
        <f t="shared" si="2"/>
        <v>7.6191780821917812</v>
      </c>
    </row>
    <row r="167" spans="1:7" x14ac:dyDescent="0.25">
      <c r="A167" s="2" t="s">
        <v>70</v>
      </c>
      <c r="B167" s="5">
        <v>93</v>
      </c>
      <c r="C167" s="6">
        <v>6.25</v>
      </c>
      <c r="D167" s="7">
        <v>42170</v>
      </c>
      <c r="E167" s="6">
        <v>7.43</v>
      </c>
      <c r="F167" s="8" t="s">
        <v>9</v>
      </c>
      <c r="G167" s="9">
        <f t="shared" si="2"/>
        <v>7.9095890410958907</v>
      </c>
    </row>
    <row r="168" spans="1:7" x14ac:dyDescent="0.25">
      <c r="A168" s="2" t="s">
        <v>57</v>
      </c>
      <c r="B168" s="5">
        <v>95.75</v>
      </c>
      <c r="C168" s="6">
        <v>6.625</v>
      </c>
      <c r="D168" s="7">
        <v>42200</v>
      </c>
      <c r="E168" s="6">
        <v>7.3330000000000002</v>
      </c>
      <c r="F168" s="8" t="s">
        <v>9</v>
      </c>
      <c r="G168" s="9">
        <f t="shared" si="2"/>
        <v>7.9917808219178079</v>
      </c>
    </row>
    <row r="169" spans="1:7" x14ac:dyDescent="0.25">
      <c r="A169" s="2" t="s">
        <v>30</v>
      </c>
      <c r="B169" s="5">
        <v>94.5</v>
      </c>
      <c r="C169" s="6">
        <v>7</v>
      </c>
      <c r="D169" s="7">
        <v>42231</v>
      </c>
      <c r="E169" s="6">
        <v>7.9279999999999999</v>
      </c>
      <c r="F169" s="8" t="s">
        <v>9</v>
      </c>
      <c r="G169" s="9">
        <f t="shared" si="2"/>
        <v>8.0767123287671225</v>
      </c>
    </row>
    <row r="170" spans="1:7" x14ac:dyDescent="0.25">
      <c r="A170" s="2" t="s">
        <v>56</v>
      </c>
      <c r="B170" s="5">
        <v>83</v>
      </c>
      <c r="C170" s="6">
        <v>5.25</v>
      </c>
      <c r="D170" s="7">
        <v>42231</v>
      </c>
      <c r="E170" s="6">
        <v>8.1489999999999991</v>
      </c>
      <c r="F170" s="8" t="s">
        <v>9</v>
      </c>
      <c r="G170" s="9">
        <f t="shared" si="2"/>
        <v>8.0767123287671225</v>
      </c>
    </row>
    <row r="171" spans="1:7" x14ac:dyDescent="0.25">
      <c r="A171" s="2" t="s">
        <v>24</v>
      </c>
      <c r="B171" s="5">
        <v>104</v>
      </c>
      <c r="C171" s="6">
        <v>8.25</v>
      </c>
      <c r="D171" s="7">
        <v>42278</v>
      </c>
      <c r="E171" s="6">
        <v>7.5860000000000003</v>
      </c>
      <c r="F171" s="8" t="s">
        <v>9</v>
      </c>
      <c r="G171" s="9">
        <f t="shared" si="2"/>
        <v>8.205479452054794</v>
      </c>
    </row>
    <row r="172" spans="1:7" x14ac:dyDescent="0.25">
      <c r="A172" s="2" t="s">
        <v>90</v>
      </c>
      <c r="B172" s="5">
        <v>94.77</v>
      </c>
      <c r="C172" s="6">
        <v>5.7</v>
      </c>
      <c r="D172" s="7">
        <v>42374</v>
      </c>
      <c r="E172" s="6">
        <v>6.51</v>
      </c>
      <c r="F172" s="8" t="s">
        <v>9</v>
      </c>
      <c r="G172" s="9">
        <f t="shared" si="2"/>
        <v>8.4684931506849317</v>
      </c>
    </row>
    <row r="173" spans="1:7" x14ac:dyDescent="0.25">
      <c r="A173" s="2" t="s">
        <v>91</v>
      </c>
      <c r="B173" s="5">
        <v>105</v>
      </c>
      <c r="C173" s="6">
        <v>7.25</v>
      </c>
      <c r="D173" s="7">
        <v>42384</v>
      </c>
      <c r="E173" s="6">
        <v>6.4779999999999998</v>
      </c>
      <c r="F173" s="8" t="s">
        <v>9</v>
      </c>
      <c r="G173" s="9">
        <f t="shared" si="2"/>
        <v>8.4958904109589035</v>
      </c>
    </row>
    <row r="174" spans="1:7" x14ac:dyDescent="0.25">
      <c r="A174" s="2" t="s">
        <v>82</v>
      </c>
      <c r="B174" s="5">
        <v>89</v>
      </c>
      <c r="C174" s="6">
        <v>6.25</v>
      </c>
      <c r="D174" s="7">
        <v>42384</v>
      </c>
      <c r="E174" s="6">
        <v>8.0540000000000003</v>
      </c>
      <c r="F174" s="8" t="s">
        <v>9</v>
      </c>
      <c r="G174" s="9">
        <f t="shared" si="2"/>
        <v>8.4958904109589035</v>
      </c>
    </row>
    <row r="175" spans="1:7" x14ac:dyDescent="0.25">
      <c r="A175" s="2" t="s">
        <v>29</v>
      </c>
      <c r="B175" s="5">
        <v>102</v>
      </c>
      <c r="C175" s="6">
        <v>7.125</v>
      </c>
      <c r="D175" s="7">
        <v>42401</v>
      </c>
      <c r="E175" s="6">
        <v>6.8120000000000003</v>
      </c>
      <c r="F175" s="8" t="s">
        <v>9</v>
      </c>
      <c r="G175" s="9">
        <f t="shared" si="2"/>
        <v>8.5424657534246577</v>
      </c>
    </row>
    <row r="176" spans="1:7" x14ac:dyDescent="0.25">
      <c r="A176" s="2" t="s">
        <v>57</v>
      </c>
      <c r="B176" s="5">
        <v>96.25</v>
      </c>
      <c r="C176" s="6">
        <v>6.875</v>
      </c>
      <c r="D176" s="7">
        <v>42461</v>
      </c>
      <c r="E176" s="6">
        <v>7.4630000000000001</v>
      </c>
      <c r="F176" s="8" t="s">
        <v>9</v>
      </c>
      <c r="G176" s="9">
        <f t="shared" si="2"/>
        <v>8.706849315068494</v>
      </c>
    </row>
    <row r="177" spans="1:7" x14ac:dyDescent="0.25">
      <c r="A177" s="2" t="s">
        <v>87</v>
      </c>
      <c r="B177" s="5">
        <v>98</v>
      </c>
      <c r="C177" s="6">
        <v>6.75</v>
      </c>
      <c r="D177" s="7">
        <v>42461</v>
      </c>
      <c r="E177" s="6">
        <v>7.0579999999999998</v>
      </c>
      <c r="F177" s="8" t="s">
        <v>9</v>
      </c>
      <c r="G177" s="9">
        <f t="shared" si="2"/>
        <v>8.706849315068494</v>
      </c>
    </row>
    <row r="178" spans="1:7" x14ac:dyDescent="0.25">
      <c r="A178" s="2" t="s">
        <v>82</v>
      </c>
      <c r="B178" s="5">
        <v>95</v>
      </c>
      <c r="C178" s="6">
        <v>7.5</v>
      </c>
      <c r="D178" s="7">
        <v>42505</v>
      </c>
      <c r="E178" s="6">
        <v>8.3049999999999997</v>
      </c>
      <c r="F178" s="8" t="s">
        <v>9</v>
      </c>
      <c r="G178" s="9">
        <f t="shared" si="2"/>
        <v>8.8273972602739725</v>
      </c>
    </row>
    <row r="179" spans="1:7" x14ac:dyDescent="0.25">
      <c r="A179" s="2" t="s">
        <v>92</v>
      </c>
      <c r="B179" s="5">
        <v>97</v>
      </c>
      <c r="C179" s="6">
        <v>6.875</v>
      </c>
      <c r="D179" s="7">
        <v>42522</v>
      </c>
      <c r="E179" s="6">
        <v>7.3380000000000001</v>
      </c>
      <c r="F179" s="8" t="s">
        <v>9</v>
      </c>
      <c r="G179" s="9">
        <f t="shared" si="2"/>
        <v>8.8739726027397268</v>
      </c>
    </row>
    <row r="180" spans="1:7" x14ac:dyDescent="0.25">
      <c r="A180" s="2" t="s">
        <v>57</v>
      </c>
      <c r="B180" s="5">
        <v>99</v>
      </c>
      <c r="C180" s="6">
        <v>7.5</v>
      </c>
      <c r="D180" s="7">
        <v>42522</v>
      </c>
      <c r="E180" s="6">
        <v>7.6539999999999999</v>
      </c>
      <c r="F180" s="8" t="s">
        <v>9</v>
      </c>
      <c r="G180" s="9">
        <f t="shared" si="2"/>
        <v>8.8739726027397268</v>
      </c>
    </row>
    <row r="181" spans="1:7" x14ac:dyDescent="0.25">
      <c r="A181" s="2" t="s">
        <v>93</v>
      </c>
      <c r="B181" s="5">
        <v>103</v>
      </c>
      <c r="C181" s="6">
        <v>8.125</v>
      </c>
      <c r="D181" s="7">
        <v>42536</v>
      </c>
      <c r="E181" s="6">
        <v>7.6559999999999997</v>
      </c>
      <c r="F181" s="8" t="s">
        <v>9</v>
      </c>
      <c r="G181" s="9">
        <f t="shared" si="2"/>
        <v>8.912328767123288</v>
      </c>
    </row>
    <row r="182" spans="1:7" x14ac:dyDescent="0.25">
      <c r="A182" s="2" t="s">
        <v>94</v>
      </c>
      <c r="B182" s="5">
        <v>93</v>
      </c>
      <c r="C182" s="6">
        <v>5.875</v>
      </c>
      <c r="D182" s="7">
        <v>42566</v>
      </c>
      <c r="E182" s="6">
        <v>6.9290000000000003</v>
      </c>
      <c r="F182" s="8" t="s">
        <v>9</v>
      </c>
      <c r="G182" s="9">
        <f t="shared" si="2"/>
        <v>8.9945205479452053</v>
      </c>
    </row>
    <row r="183" spans="1:7" x14ac:dyDescent="0.25">
      <c r="A183" s="2" t="s">
        <v>16</v>
      </c>
      <c r="B183" s="5">
        <v>101</v>
      </c>
      <c r="C183" s="6">
        <v>7.25</v>
      </c>
      <c r="D183" s="7">
        <v>42614</v>
      </c>
      <c r="E183" s="6">
        <v>7.0979999999999999</v>
      </c>
      <c r="F183" s="8" t="s">
        <v>9</v>
      </c>
      <c r="G183" s="9">
        <f t="shared" si="2"/>
        <v>9.1260273972602732</v>
      </c>
    </row>
    <row r="184" spans="1:7" x14ac:dyDescent="0.25">
      <c r="A184" s="2" t="s">
        <v>71</v>
      </c>
      <c r="B184" s="5">
        <v>100</v>
      </c>
      <c r="C184" s="6">
        <v>6.8</v>
      </c>
      <c r="D184" s="7">
        <v>42644</v>
      </c>
      <c r="E184" s="6">
        <v>6.798</v>
      </c>
      <c r="F184" s="8" t="s">
        <v>9</v>
      </c>
      <c r="G184" s="9">
        <f t="shared" si="2"/>
        <v>9.2082191780821923</v>
      </c>
    </row>
    <row r="185" spans="1:7" x14ac:dyDescent="0.25">
      <c r="A185" s="2" t="s">
        <v>82</v>
      </c>
      <c r="B185" s="5">
        <v>100</v>
      </c>
      <c r="C185" s="6">
        <v>8.625</v>
      </c>
      <c r="D185" s="7">
        <v>42750</v>
      </c>
      <c r="E185" s="6">
        <v>8.6240000000000006</v>
      </c>
      <c r="F185" s="8" t="s">
        <v>9</v>
      </c>
      <c r="G185" s="9">
        <f t="shared" si="2"/>
        <v>9.4986301369863018</v>
      </c>
    </row>
    <row r="186" spans="1:7" x14ac:dyDescent="0.25">
      <c r="A186" s="2" t="s">
        <v>57</v>
      </c>
      <c r="B186" s="5">
        <v>100</v>
      </c>
      <c r="C186" s="6">
        <v>7.625</v>
      </c>
      <c r="D186" s="7">
        <v>42750</v>
      </c>
      <c r="E186" s="6">
        <v>7.6239999999999997</v>
      </c>
      <c r="F186" s="8" t="s">
        <v>9</v>
      </c>
      <c r="G186" s="9">
        <f t="shared" si="2"/>
        <v>9.4986301369863018</v>
      </c>
    </row>
    <row r="187" spans="1:7" x14ac:dyDescent="0.25">
      <c r="A187" s="2" t="s">
        <v>94</v>
      </c>
      <c r="B187" s="5">
        <v>98</v>
      </c>
      <c r="C187" s="6">
        <v>6.65</v>
      </c>
      <c r="D187" s="7">
        <v>42809</v>
      </c>
      <c r="E187" s="6">
        <v>6.9340000000000002</v>
      </c>
      <c r="F187" s="8" t="s">
        <v>9</v>
      </c>
      <c r="G187" s="9">
        <f t="shared" si="2"/>
        <v>9.6602739726027398</v>
      </c>
    </row>
    <row r="188" spans="1:7" x14ac:dyDescent="0.25">
      <c r="A188" s="2" t="s">
        <v>84</v>
      </c>
      <c r="B188" s="5">
        <v>100</v>
      </c>
      <c r="C188" s="6">
        <v>7.25</v>
      </c>
      <c r="D188" s="7">
        <v>42809</v>
      </c>
      <c r="E188" s="6">
        <v>7.2480000000000002</v>
      </c>
      <c r="F188" s="8" t="s">
        <v>9</v>
      </c>
      <c r="G188" s="9">
        <f t="shared" si="2"/>
        <v>9.6602739726027398</v>
      </c>
    </row>
    <row r="189" spans="1:7" x14ac:dyDescent="0.25">
      <c r="A189" s="2" t="s">
        <v>16</v>
      </c>
      <c r="B189" s="5">
        <v>100.75</v>
      </c>
      <c r="C189" s="6">
        <v>7.25</v>
      </c>
      <c r="D189" s="7">
        <v>42870</v>
      </c>
      <c r="E189" s="6">
        <v>7.141</v>
      </c>
      <c r="F189" s="8" t="s">
        <v>9</v>
      </c>
      <c r="G189" s="9">
        <f t="shared" si="2"/>
        <v>9.8273972602739725</v>
      </c>
    </row>
    <row r="190" spans="1:7" x14ac:dyDescent="0.25">
      <c r="A190" s="2" t="s">
        <v>87</v>
      </c>
      <c r="B190" s="5">
        <v>98.5</v>
      </c>
      <c r="C190" s="6">
        <v>7</v>
      </c>
      <c r="D190" s="7">
        <v>42901</v>
      </c>
      <c r="E190" s="6">
        <v>7.2130000000000001</v>
      </c>
      <c r="F190" s="8" t="s">
        <v>9</v>
      </c>
      <c r="G190" s="9">
        <f t="shared" si="2"/>
        <v>9.912328767123288</v>
      </c>
    </row>
    <row r="191" spans="1:7" x14ac:dyDescent="0.25">
      <c r="A191" s="2" t="s">
        <v>15</v>
      </c>
      <c r="B191" s="5">
        <v>105</v>
      </c>
      <c r="C191" s="6">
        <v>7.25</v>
      </c>
      <c r="D191" s="7">
        <v>42948</v>
      </c>
      <c r="E191" s="6">
        <v>6.5629999999999997</v>
      </c>
      <c r="F191" s="8" t="s">
        <v>9</v>
      </c>
      <c r="G191" s="9">
        <f t="shared" si="2"/>
        <v>10.04109589041096</v>
      </c>
    </row>
    <row r="192" spans="1:7" x14ac:dyDescent="0.25">
      <c r="A192" s="2" t="s">
        <v>95</v>
      </c>
      <c r="B192" s="5">
        <v>100</v>
      </c>
      <c r="C192" s="6">
        <v>6.5</v>
      </c>
      <c r="D192" s="7">
        <v>42962</v>
      </c>
      <c r="E192" s="6">
        <v>6.4989999999999997</v>
      </c>
      <c r="F192" s="8" t="s">
        <v>9</v>
      </c>
      <c r="G192" s="9">
        <f t="shared" si="2"/>
        <v>10.079452054794521</v>
      </c>
    </row>
    <row r="193" spans="1:7" x14ac:dyDescent="0.25">
      <c r="A193" s="2" t="s">
        <v>61</v>
      </c>
      <c r="B193" s="5">
        <v>102.48</v>
      </c>
      <c r="C193" s="6">
        <v>6.875</v>
      </c>
      <c r="D193" s="7">
        <v>43023</v>
      </c>
      <c r="E193" s="6">
        <v>6.5389999999999997</v>
      </c>
      <c r="F193" s="8" t="s">
        <v>9</v>
      </c>
      <c r="G193" s="9">
        <f t="shared" si="2"/>
        <v>10.246575342465754</v>
      </c>
    </row>
    <row r="194" spans="1:7" x14ac:dyDescent="0.25">
      <c r="A194" s="2" t="s">
        <v>68</v>
      </c>
      <c r="B194" s="5">
        <v>99.5</v>
      </c>
      <c r="C194" s="6">
        <v>6.625</v>
      </c>
      <c r="D194" s="7">
        <v>43115</v>
      </c>
      <c r="E194" s="6">
        <v>6.6909999999999998</v>
      </c>
      <c r="F194" s="8" t="s">
        <v>9</v>
      </c>
      <c r="G194" s="9">
        <f t="shared" si="2"/>
        <v>10.498630136986302</v>
      </c>
    </row>
    <row r="195" spans="1:7" x14ac:dyDescent="0.25">
      <c r="A195" s="2" t="s">
        <v>24</v>
      </c>
      <c r="B195" s="5">
        <v>100</v>
      </c>
      <c r="C195" s="6">
        <v>7.375</v>
      </c>
      <c r="D195" s="7">
        <v>43205</v>
      </c>
      <c r="E195" s="6">
        <v>7.3730000000000002</v>
      </c>
      <c r="F195" s="8" t="s">
        <v>9</v>
      </c>
      <c r="G195" s="9">
        <f t="shared" ref="G195:G250" si="3">(D195-DATE(2007,7,20))/365</f>
        <v>10.745205479452055</v>
      </c>
    </row>
    <row r="196" spans="1:7" x14ac:dyDescent="0.25">
      <c r="A196" s="2" t="s">
        <v>70</v>
      </c>
      <c r="B196" s="5">
        <v>97.5</v>
      </c>
      <c r="C196" s="6">
        <v>7.25</v>
      </c>
      <c r="D196" s="7">
        <v>43266</v>
      </c>
      <c r="E196" s="6">
        <v>7.5890000000000004</v>
      </c>
      <c r="F196" s="8" t="s">
        <v>9</v>
      </c>
      <c r="G196" s="9">
        <f t="shared" si="3"/>
        <v>10.912328767123288</v>
      </c>
    </row>
    <row r="197" spans="1:7" x14ac:dyDescent="0.25">
      <c r="A197" s="2" t="s">
        <v>96</v>
      </c>
      <c r="B197" s="5">
        <v>108.5</v>
      </c>
      <c r="C197" s="6">
        <v>7</v>
      </c>
      <c r="D197" s="7">
        <v>43296</v>
      </c>
      <c r="E197" s="6">
        <v>5.9390000000000001</v>
      </c>
      <c r="F197" s="8" t="s">
        <v>9</v>
      </c>
      <c r="G197" s="9">
        <f t="shared" si="3"/>
        <v>10.994520547945205</v>
      </c>
    </row>
    <row r="198" spans="1:7" x14ac:dyDescent="0.25">
      <c r="A198" s="2" t="s">
        <v>17</v>
      </c>
      <c r="B198" s="5">
        <v>104.5</v>
      </c>
      <c r="C198" s="6">
        <v>7.13</v>
      </c>
      <c r="D198" s="7">
        <v>43313</v>
      </c>
      <c r="E198" s="6">
        <v>6.5519999999999996</v>
      </c>
      <c r="F198" s="8" t="s">
        <v>9</v>
      </c>
      <c r="G198" s="9">
        <f t="shared" si="3"/>
        <v>11.04109589041096</v>
      </c>
    </row>
    <row r="199" spans="1:7" x14ac:dyDescent="0.25">
      <c r="A199" s="2" t="s">
        <v>87</v>
      </c>
      <c r="B199" s="5">
        <v>106</v>
      </c>
      <c r="C199" s="6">
        <v>7.625</v>
      </c>
      <c r="D199" s="7">
        <v>43374</v>
      </c>
      <c r="E199" s="6">
        <v>6.85</v>
      </c>
      <c r="F199" s="8" t="s">
        <v>9</v>
      </c>
      <c r="G199" s="9">
        <f t="shared" si="3"/>
        <v>11.208219178082192</v>
      </c>
    </row>
    <row r="200" spans="1:7" x14ac:dyDescent="0.25">
      <c r="A200" s="2" t="s">
        <v>97</v>
      </c>
      <c r="B200" s="5">
        <v>111.75</v>
      </c>
      <c r="C200" s="6">
        <v>7.625</v>
      </c>
      <c r="D200" s="7">
        <v>43661</v>
      </c>
      <c r="E200" s="6">
        <v>6.2240000000000002</v>
      </c>
      <c r="F200" s="8" t="s">
        <v>9</v>
      </c>
      <c r="G200" s="9">
        <f t="shared" si="3"/>
        <v>11.994520547945205</v>
      </c>
    </row>
    <row r="201" spans="1:7" x14ac:dyDescent="0.25">
      <c r="A201" s="2" t="s">
        <v>95</v>
      </c>
      <c r="B201" s="5">
        <v>106</v>
      </c>
      <c r="C201" s="6">
        <v>6.875</v>
      </c>
      <c r="D201" s="7">
        <v>44150</v>
      </c>
      <c r="E201" s="6">
        <v>6.2069999999999999</v>
      </c>
      <c r="F201" s="8" t="s">
        <v>9</v>
      </c>
      <c r="G201" s="9">
        <f t="shared" si="3"/>
        <v>13.334246575342465</v>
      </c>
    </row>
    <row r="202" spans="1:7" x14ac:dyDescent="0.25">
      <c r="A202" s="2" t="s">
        <v>68</v>
      </c>
      <c r="B202" s="5">
        <v>103</v>
      </c>
      <c r="C202" s="6">
        <v>7.875</v>
      </c>
      <c r="D202" s="7">
        <v>44927</v>
      </c>
      <c r="E202" s="6">
        <v>7.5430000000000001</v>
      </c>
      <c r="F202" s="8" t="s">
        <v>9</v>
      </c>
      <c r="G202" s="9">
        <f t="shared" si="3"/>
        <v>15.463013698630137</v>
      </c>
    </row>
    <row r="203" spans="1:7" x14ac:dyDescent="0.25">
      <c r="A203" s="2" t="s">
        <v>98</v>
      </c>
      <c r="B203" s="5">
        <v>87</v>
      </c>
      <c r="C203" s="6">
        <v>7.5</v>
      </c>
      <c r="D203" s="7">
        <v>45108</v>
      </c>
      <c r="E203" s="6">
        <v>9.0530000000000008</v>
      </c>
      <c r="F203" s="8" t="s">
        <v>9</v>
      </c>
      <c r="G203" s="9">
        <f t="shared" si="3"/>
        <v>15.95890410958904</v>
      </c>
    </row>
    <row r="204" spans="1:7" x14ac:dyDescent="0.25">
      <c r="A204" s="2" t="s">
        <v>99</v>
      </c>
      <c r="B204" s="5">
        <v>101.88</v>
      </c>
      <c r="C204" s="6">
        <v>7.75</v>
      </c>
      <c r="D204" s="7">
        <v>45245</v>
      </c>
      <c r="E204" s="6">
        <v>7.5469999999999997</v>
      </c>
      <c r="F204" s="8" t="s">
        <v>9</v>
      </c>
      <c r="G204" s="9">
        <f t="shared" si="3"/>
        <v>16.334246575342465</v>
      </c>
    </row>
    <row r="205" spans="1:7" x14ac:dyDescent="0.25">
      <c r="A205" s="2" t="s">
        <v>88</v>
      </c>
      <c r="B205" s="5">
        <v>87.25</v>
      </c>
      <c r="C205" s="6">
        <v>6.5</v>
      </c>
      <c r="D205" s="7">
        <v>45611</v>
      </c>
      <c r="E205" s="6">
        <v>7.8559999999999999</v>
      </c>
      <c r="F205" s="8" t="s">
        <v>9</v>
      </c>
      <c r="G205" s="9">
        <f t="shared" si="3"/>
        <v>17.336986301369862</v>
      </c>
    </row>
    <row r="206" spans="1:7" x14ac:dyDescent="0.25">
      <c r="A206" s="2" t="s">
        <v>100</v>
      </c>
      <c r="B206" s="5">
        <v>107.69</v>
      </c>
      <c r="C206" s="6">
        <v>7.625</v>
      </c>
      <c r="D206" s="7">
        <v>45945</v>
      </c>
      <c r="E206" s="6">
        <v>6.8780000000000001</v>
      </c>
      <c r="F206" s="8" t="s">
        <v>9</v>
      </c>
      <c r="G206" s="9">
        <f t="shared" si="3"/>
        <v>18.252054794520546</v>
      </c>
    </row>
    <row r="207" spans="1:7" x14ac:dyDescent="0.25">
      <c r="A207" s="2" t="s">
        <v>101</v>
      </c>
      <c r="B207" s="5">
        <v>98.28</v>
      </c>
      <c r="C207" s="6">
        <v>7</v>
      </c>
      <c r="D207" s="7">
        <v>45962</v>
      </c>
      <c r="E207" s="6">
        <v>7.1689999999999996</v>
      </c>
      <c r="F207" s="8" t="s">
        <v>9</v>
      </c>
      <c r="G207" s="9">
        <f t="shared" si="3"/>
        <v>18.298630136986301</v>
      </c>
    </row>
    <row r="208" spans="1:7" x14ac:dyDescent="0.25">
      <c r="A208" s="2" t="s">
        <v>102</v>
      </c>
      <c r="B208" s="5">
        <v>94</v>
      </c>
      <c r="C208" s="6">
        <v>6.75</v>
      </c>
      <c r="D208" s="7">
        <v>45992</v>
      </c>
      <c r="E208" s="6">
        <v>7.3490000000000002</v>
      </c>
      <c r="F208" s="8" t="s">
        <v>9</v>
      </c>
      <c r="G208" s="9">
        <f t="shared" si="3"/>
        <v>18.38082191780822</v>
      </c>
    </row>
    <row r="209" spans="1:7" x14ac:dyDescent="0.25">
      <c r="A209" s="2" t="s">
        <v>86</v>
      </c>
      <c r="B209" s="5">
        <v>94.62</v>
      </c>
      <c r="C209" s="6">
        <v>7</v>
      </c>
      <c r="D209" s="7">
        <v>46006</v>
      </c>
      <c r="E209" s="6">
        <v>7.5439999999999996</v>
      </c>
      <c r="F209" s="8" t="s">
        <v>9</v>
      </c>
      <c r="G209" s="9">
        <f t="shared" si="3"/>
        <v>18.419178082191781</v>
      </c>
    </row>
    <row r="210" spans="1:7" x14ac:dyDescent="0.25">
      <c r="A210" s="2" t="s">
        <v>103</v>
      </c>
      <c r="B210" s="5">
        <v>97.5</v>
      </c>
      <c r="C210" s="6">
        <v>7.55</v>
      </c>
      <c r="D210" s="7">
        <v>46068</v>
      </c>
      <c r="E210" s="6">
        <v>7.8049999999999997</v>
      </c>
      <c r="F210" s="8" t="s">
        <v>9</v>
      </c>
      <c r="G210" s="9">
        <f t="shared" si="3"/>
        <v>18.589041095890412</v>
      </c>
    </row>
    <row r="211" spans="1:7" x14ac:dyDescent="0.25">
      <c r="A211" s="2" t="s">
        <v>104</v>
      </c>
      <c r="B211" s="5">
        <v>107</v>
      </c>
      <c r="C211" s="6">
        <v>8.2070000000000007</v>
      </c>
      <c r="D211" s="7">
        <v>46421</v>
      </c>
      <c r="E211" s="6">
        <v>7.5170000000000003</v>
      </c>
      <c r="F211" s="8" t="s">
        <v>9</v>
      </c>
      <c r="G211" s="9">
        <f t="shared" si="3"/>
        <v>19.556164383561644</v>
      </c>
    </row>
    <row r="212" spans="1:7" x14ac:dyDescent="0.25">
      <c r="A212" s="2" t="s">
        <v>68</v>
      </c>
      <c r="B212" s="5">
        <v>102</v>
      </c>
      <c r="C212" s="6">
        <v>7.75</v>
      </c>
      <c r="D212" s="7">
        <v>46522</v>
      </c>
      <c r="E212" s="6">
        <v>7.5529999999999999</v>
      </c>
      <c r="F212" s="8" t="s">
        <v>9</v>
      </c>
      <c r="G212" s="9">
        <f t="shared" si="3"/>
        <v>19.832876712328765</v>
      </c>
    </row>
    <row r="213" spans="1:7" x14ac:dyDescent="0.25">
      <c r="A213" s="2" t="s">
        <v>105</v>
      </c>
      <c r="B213" s="5">
        <v>101.25</v>
      </c>
      <c r="C213" s="6">
        <v>6.67</v>
      </c>
      <c r="D213" s="7">
        <v>46692</v>
      </c>
      <c r="E213" s="6">
        <v>6.5570000000000004</v>
      </c>
      <c r="F213" s="8" t="s">
        <v>9</v>
      </c>
      <c r="G213" s="9">
        <f t="shared" si="3"/>
        <v>20.298630136986301</v>
      </c>
    </row>
    <row r="214" spans="1:7" x14ac:dyDescent="0.25">
      <c r="A214" s="2" t="s">
        <v>36</v>
      </c>
      <c r="B214" s="5">
        <v>93.5</v>
      </c>
      <c r="C214" s="6">
        <v>6.5</v>
      </c>
      <c r="D214" s="7">
        <v>46767</v>
      </c>
      <c r="E214" s="6">
        <v>7.1059999999999999</v>
      </c>
      <c r="F214" s="8" t="s">
        <v>9</v>
      </c>
      <c r="G214" s="9">
        <f t="shared" si="3"/>
        <v>20.504109589041096</v>
      </c>
    </row>
    <row r="215" spans="1:7" x14ac:dyDescent="0.25">
      <c r="A215" s="2" t="s">
        <v>94</v>
      </c>
      <c r="B215" s="5">
        <v>97.25</v>
      </c>
      <c r="C215" s="6">
        <v>7.2</v>
      </c>
      <c r="D215" s="7">
        <v>46767</v>
      </c>
      <c r="E215" s="6">
        <v>7.4630000000000001</v>
      </c>
      <c r="F215" s="8" t="s">
        <v>9</v>
      </c>
      <c r="G215" s="9">
        <f t="shared" si="3"/>
        <v>20.504109589041096</v>
      </c>
    </row>
    <row r="216" spans="1:7" x14ac:dyDescent="0.25">
      <c r="A216" s="2" t="s">
        <v>106</v>
      </c>
      <c r="B216" s="5">
        <v>101.25</v>
      </c>
      <c r="C216" s="6">
        <v>7.125</v>
      </c>
      <c r="D216" s="7">
        <v>46966</v>
      </c>
      <c r="E216" s="6">
        <v>7.01</v>
      </c>
      <c r="F216" s="8" t="s">
        <v>9</v>
      </c>
      <c r="G216" s="9">
        <f t="shared" si="3"/>
        <v>21.049315068493151</v>
      </c>
    </row>
    <row r="217" spans="1:7" x14ac:dyDescent="0.25">
      <c r="A217" s="2" t="s">
        <v>67</v>
      </c>
      <c r="B217" s="5">
        <v>91</v>
      </c>
      <c r="C217" s="6">
        <v>6.875</v>
      </c>
      <c r="D217" s="7">
        <v>47192</v>
      </c>
      <c r="E217" s="6">
        <v>7.7359999999999998</v>
      </c>
      <c r="F217" s="8" t="s">
        <v>9</v>
      </c>
      <c r="G217" s="9">
        <f t="shared" si="3"/>
        <v>21.668493150684931</v>
      </c>
    </row>
    <row r="218" spans="1:7" x14ac:dyDescent="0.25">
      <c r="A218" s="2" t="s">
        <v>36</v>
      </c>
      <c r="B218" s="5">
        <v>93</v>
      </c>
      <c r="C218" s="6">
        <v>6.45</v>
      </c>
      <c r="D218" s="7">
        <v>47192</v>
      </c>
      <c r="E218" s="6">
        <v>7.085</v>
      </c>
      <c r="F218" s="8" t="s">
        <v>9</v>
      </c>
      <c r="G218" s="9">
        <f t="shared" si="3"/>
        <v>21.668493150684931</v>
      </c>
    </row>
    <row r="219" spans="1:7" x14ac:dyDescent="0.25">
      <c r="A219" s="2" t="s">
        <v>107</v>
      </c>
      <c r="B219" s="5">
        <v>105</v>
      </c>
      <c r="C219" s="6">
        <v>6.875</v>
      </c>
      <c r="D219" s="7">
        <v>47239</v>
      </c>
      <c r="E219" s="6">
        <v>6.444</v>
      </c>
      <c r="F219" s="8" t="s">
        <v>9</v>
      </c>
      <c r="G219" s="9">
        <f t="shared" si="3"/>
        <v>21.797260273972604</v>
      </c>
    </row>
    <row r="220" spans="1:7" x14ac:dyDescent="0.25">
      <c r="A220" s="2" t="s">
        <v>45</v>
      </c>
      <c r="B220" s="5">
        <v>103.45</v>
      </c>
      <c r="C220" s="6">
        <v>8.5</v>
      </c>
      <c r="D220" s="7">
        <v>47314</v>
      </c>
      <c r="E220" s="6">
        <v>8.1590000000000007</v>
      </c>
      <c r="F220" s="8" t="s">
        <v>9</v>
      </c>
      <c r="G220" s="9">
        <f t="shared" si="3"/>
        <v>22.002739726027396</v>
      </c>
    </row>
    <row r="221" spans="1:7" x14ac:dyDescent="0.25">
      <c r="A221" s="2" t="s">
        <v>45</v>
      </c>
      <c r="B221" s="5">
        <v>100.5</v>
      </c>
      <c r="C221" s="6">
        <v>8.25</v>
      </c>
      <c r="D221" s="7">
        <v>47515</v>
      </c>
      <c r="E221" s="6">
        <v>8.1999999999999993</v>
      </c>
      <c r="F221" s="8" t="s">
        <v>9</v>
      </c>
      <c r="G221" s="9">
        <f t="shared" si="3"/>
        <v>22.553424657534247</v>
      </c>
    </row>
    <row r="222" spans="1:7" x14ac:dyDescent="0.25">
      <c r="A222" s="2" t="s">
        <v>97</v>
      </c>
      <c r="B222" s="5">
        <v>109.5</v>
      </c>
      <c r="C222" s="6">
        <v>7.5</v>
      </c>
      <c r="D222" s="7">
        <v>47863</v>
      </c>
      <c r="E222" s="6">
        <v>6.6920000000000002</v>
      </c>
      <c r="F222" s="8" t="s">
        <v>9</v>
      </c>
      <c r="G222" s="9">
        <f t="shared" si="3"/>
        <v>23.506849315068493</v>
      </c>
    </row>
    <row r="223" spans="1:7" x14ac:dyDescent="0.25">
      <c r="A223" s="2" t="s">
        <v>65</v>
      </c>
      <c r="B223" s="5">
        <v>108.75</v>
      </c>
      <c r="C223" s="6">
        <v>9</v>
      </c>
      <c r="D223" s="7">
        <v>48075</v>
      </c>
      <c r="E223" s="6">
        <v>8.1630000000000003</v>
      </c>
      <c r="F223" s="8" t="s">
        <v>9</v>
      </c>
      <c r="G223" s="9">
        <f t="shared" si="3"/>
        <v>24.087671232876712</v>
      </c>
    </row>
    <row r="224" spans="1:7" x14ac:dyDescent="0.25">
      <c r="A224" s="2" t="s">
        <v>26</v>
      </c>
      <c r="B224" s="5">
        <v>107.5</v>
      </c>
      <c r="C224" s="6">
        <v>8</v>
      </c>
      <c r="D224" s="7">
        <v>48153</v>
      </c>
      <c r="E224" s="6">
        <v>7.3330000000000002</v>
      </c>
      <c r="F224" s="8" t="s">
        <v>9</v>
      </c>
      <c r="G224" s="9">
        <f t="shared" si="3"/>
        <v>24.301369863013697</v>
      </c>
    </row>
    <row r="225" spans="1:7" x14ac:dyDescent="0.25">
      <c r="A225" s="2" t="s">
        <v>97</v>
      </c>
      <c r="B225" s="5">
        <v>121</v>
      </c>
      <c r="C225" s="6">
        <v>8.75</v>
      </c>
      <c r="D225" s="7">
        <v>48288</v>
      </c>
      <c r="E225" s="6">
        <v>6.9569999999999999</v>
      </c>
      <c r="F225" s="8" t="s">
        <v>9</v>
      </c>
      <c r="G225" s="9">
        <f t="shared" si="3"/>
        <v>24.671232876712327</v>
      </c>
    </row>
    <row r="226" spans="1:7" x14ac:dyDescent="0.25">
      <c r="A226" s="2" t="s">
        <v>61</v>
      </c>
      <c r="B226" s="5">
        <v>97.48</v>
      </c>
      <c r="C226" s="6">
        <v>7</v>
      </c>
      <c r="D226" s="7">
        <v>48366</v>
      </c>
      <c r="E226" s="6">
        <v>7.218</v>
      </c>
      <c r="F226" s="8" t="s">
        <v>9</v>
      </c>
      <c r="G226" s="9">
        <f t="shared" si="3"/>
        <v>24.884931506849316</v>
      </c>
    </row>
    <row r="227" spans="1:7" x14ac:dyDescent="0.25">
      <c r="A227" s="2" t="s">
        <v>63</v>
      </c>
      <c r="B227" s="5">
        <v>104.22</v>
      </c>
      <c r="C227" s="6">
        <v>7.375</v>
      </c>
      <c r="D227" s="7">
        <v>48380</v>
      </c>
      <c r="E227" s="6">
        <v>7.0140000000000002</v>
      </c>
      <c r="F227" s="8" t="s">
        <v>9</v>
      </c>
      <c r="G227" s="9">
        <f t="shared" si="3"/>
        <v>24.923287671232877</v>
      </c>
    </row>
    <row r="228" spans="1:7" x14ac:dyDescent="0.25">
      <c r="A228" s="2" t="s">
        <v>108</v>
      </c>
      <c r="B228" s="5">
        <v>96.44</v>
      </c>
      <c r="C228" s="6">
        <v>6.125</v>
      </c>
      <c r="D228" s="7">
        <v>49018</v>
      </c>
      <c r="E228" s="6">
        <v>6.4039999999999999</v>
      </c>
      <c r="F228" s="8" t="s">
        <v>9</v>
      </c>
      <c r="G228" s="9">
        <f t="shared" si="3"/>
        <v>26.671232876712327</v>
      </c>
    </row>
    <row r="229" spans="1:7" x14ac:dyDescent="0.25">
      <c r="A229" s="2" t="s">
        <v>101</v>
      </c>
      <c r="B229" s="5">
        <v>94</v>
      </c>
      <c r="C229" s="6">
        <v>7.45</v>
      </c>
      <c r="D229" s="7">
        <v>49491</v>
      </c>
      <c r="E229" s="6">
        <v>7.9889999999999999</v>
      </c>
      <c r="F229" s="8" t="s">
        <v>9</v>
      </c>
      <c r="G229" s="9">
        <f t="shared" si="3"/>
        <v>27.967123287671232</v>
      </c>
    </row>
    <row r="230" spans="1:7" x14ac:dyDescent="0.25">
      <c r="A230" s="2" t="s">
        <v>90</v>
      </c>
      <c r="B230" s="5">
        <v>93.76</v>
      </c>
      <c r="C230" s="6">
        <v>6.4</v>
      </c>
      <c r="D230" s="7">
        <v>49679</v>
      </c>
      <c r="E230" s="6">
        <v>6.9039999999999999</v>
      </c>
      <c r="F230" s="8" t="s">
        <v>9</v>
      </c>
      <c r="G230" s="9">
        <f t="shared" si="3"/>
        <v>28.482191780821918</v>
      </c>
    </row>
    <row r="231" spans="1:7" x14ac:dyDescent="0.25">
      <c r="A231" s="2" t="s">
        <v>61</v>
      </c>
      <c r="B231" s="5">
        <v>96.25</v>
      </c>
      <c r="C231" s="6">
        <v>7</v>
      </c>
      <c r="D231" s="7">
        <v>48366</v>
      </c>
      <c r="E231" s="6">
        <v>7.3289999999999997</v>
      </c>
      <c r="F231" s="8" t="s">
        <v>9</v>
      </c>
      <c r="G231" s="9">
        <f t="shared" si="3"/>
        <v>24.884931506849316</v>
      </c>
    </row>
    <row r="232" spans="1:7" x14ac:dyDescent="0.25">
      <c r="A232" s="2" t="s">
        <v>63</v>
      </c>
      <c r="B232" s="5">
        <v>103.64</v>
      </c>
      <c r="C232" s="6">
        <v>7.375</v>
      </c>
      <c r="D232" s="7">
        <v>48380</v>
      </c>
      <c r="E232" s="6">
        <v>7.0620000000000003</v>
      </c>
      <c r="F232" s="8" t="s">
        <v>9</v>
      </c>
      <c r="G232" s="9">
        <f t="shared" si="3"/>
        <v>24.923287671232877</v>
      </c>
    </row>
    <row r="233" spans="1:7" x14ac:dyDescent="0.25">
      <c r="A233" s="2" t="s">
        <v>108</v>
      </c>
      <c r="B233" s="5">
        <v>96.44</v>
      </c>
      <c r="C233" s="6">
        <v>6.125</v>
      </c>
      <c r="D233" s="7">
        <v>49018</v>
      </c>
      <c r="E233" s="6">
        <v>6.4039999999999999</v>
      </c>
      <c r="F233" s="8" t="s">
        <v>9</v>
      </c>
      <c r="G233" s="9">
        <f t="shared" si="3"/>
        <v>26.671232876712327</v>
      </c>
    </row>
    <row r="234" spans="1:7" x14ac:dyDescent="0.25">
      <c r="A234" s="2" t="s">
        <v>88</v>
      </c>
      <c r="B234" s="5">
        <v>85</v>
      </c>
      <c r="C234" s="6">
        <v>6.55</v>
      </c>
      <c r="D234" s="7">
        <v>49263</v>
      </c>
      <c r="E234" s="6">
        <v>7.8949999999999996</v>
      </c>
      <c r="F234" s="8" t="s">
        <v>9</v>
      </c>
      <c r="G234" s="9">
        <f t="shared" si="3"/>
        <v>27.342465753424658</v>
      </c>
    </row>
    <row r="235" spans="1:7" x14ac:dyDescent="0.25">
      <c r="A235" s="2" t="s">
        <v>101</v>
      </c>
      <c r="B235" s="5">
        <v>95.5</v>
      </c>
      <c r="C235" s="6">
        <v>7.45</v>
      </c>
      <c r="D235" s="7">
        <v>49491</v>
      </c>
      <c r="E235" s="6">
        <v>7.8490000000000002</v>
      </c>
      <c r="F235" s="8" t="s">
        <v>9</v>
      </c>
      <c r="G235" s="9">
        <f t="shared" si="3"/>
        <v>27.967123287671232</v>
      </c>
    </row>
    <row r="236" spans="1:7" x14ac:dyDescent="0.25">
      <c r="A236" s="2" t="s">
        <v>12</v>
      </c>
      <c r="B236" s="5">
        <v>99.5</v>
      </c>
      <c r="C236" s="6">
        <v>7.4</v>
      </c>
      <c r="D236" s="7">
        <v>49567</v>
      </c>
      <c r="E236" s="6">
        <v>7.4409999999999998</v>
      </c>
      <c r="F236" s="8" t="s">
        <v>9</v>
      </c>
      <c r="G236" s="9">
        <f t="shared" si="3"/>
        <v>28.175342465753424</v>
      </c>
    </row>
    <row r="237" spans="1:7" x14ac:dyDescent="0.25">
      <c r="A237" s="2" t="s">
        <v>90</v>
      </c>
      <c r="B237" s="5">
        <v>93.2</v>
      </c>
      <c r="C237" s="6">
        <v>6.4</v>
      </c>
      <c r="D237" s="7">
        <v>49679</v>
      </c>
      <c r="E237" s="6">
        <v>6.9509999999999996</v>
      </c>
      <c r="F237" s="8" t="s">
        <v>9</v>
      </c>
      <c r="G237" s="9">
        <f t="shared" si="3"/>
        <v>28.482191780821918</v>
      </c>
    </row>
    <row r="238" spans="1:7" x14ac:dyDescent="0.25">
      <c r="A238" s="2" t="s">
        <v>109</v>
      </c>
      <c r="B238" s="5">
        <v>105</v>
      </c>
      <c r="C238" s="6">
        <v>7</v>
      </c>
      <c r="D238" s="7">
        <v>49994</v>
      </c>
      <c r="E238" s="6">
        <v>6.6109999999999998</v>
      </c>
      <c r="F238" s="8" t="s">
        <v>9</v>
      </c>
      <c r="G238" s="9">
        <f t="shared" si="3"/>
        <v>29.345205479452055</v>
      </c>
    </row>
    <row r="239" spans="1:7" x14ac:dyDescent="0.25">
      <c r="A239" s="2" t="s">
        <v>24</v>
      </c>
      <c r="B239" s="5">
        <v>100.5</v>
      </c>
      <c r="C239" s="6">
        <v>7.75</v>
      </c>
      <c r="D239" s="7">
        <v>50236</v>
      </c>
      <c r="E239" s="6">
        <v>7.7060000000000004</v>
      </c>
      <c r="F239" s="8" t="s">
        <v>9</v>
      </c>
      <c r="G239" s="9">
        <f t="shared" si="3"/>
        <v>30.008219178082193</v>
      </c>
    </row>
  </sheetData>
  <mergeCells count="2">
    <mergeCell ref="A1:F1"/>
    <mergeCell ref="H35:P35"/>
  </mergeCells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R32" sqref="R3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2024-12-18T08:33:05Z</dcterms:modified>
</cp:coreProperties>
</file>