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practice\"/>
    </mc:Choice>
  </mc:AlternateContent>
  <xr:revisionPtr revIDLastSave="0" documentId="13_ncr:1_{359B1D7B-A6FD-45AE-BCA1-52B6FF8C1B7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6" sheetId="2" r:id="rId1"/>
    <sheet name="Sheet1" sheetId="1" r:id="rId2"/>
  </sheets>
  <externalReferences>
    <externalReference r:id="rId3"/>
    <externalReference r:id="rId4"/>
  </externalReferences>
  <definedNames>
    <definedName name="_xlnm.Print_Area" localSheetId="0">'Exercise 6'!$A$1:$P$42</definedName>
    <definedName name="z1?b_2_cll_0_cpl__1.000000_cpu__1.000000_mtl__1_mtu__1_pr_0_rl_7_ru_7_sf_m_so_a_stt___tc_1_yl__1.000000_ytl__1.000000_ytu__1.000000_yu__1.000000" localSheetId="0">'Exercise 6'!$A$256:$G$268</definedName>
  </definedNam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2" l="1"/>
  <c r="E41" i="2" s="1"/>
  <c r="B41" i="2"/>
  <c r="C40" i="2"/>
  <c r="E40" i="2" s="1"/>
  <c r="B40" i="2"/>
  <c r="C39" i="2"/>
  <c r="E39" i="2" s="1"/>
  <c r="B39" i="2"/>
  <c r="C38" i="2"/>
  <c r="E38" i="2" s="1"/>
  <c r="B38" i="2"/>
  <c r="C37" i="2"/>
  <c r="E37" i="2" s="1"/>
  <c r="B37" i="2"/>
  <c r="C36" i="2"/>
  <c r="E36" i="2" s="1"/>
  <c r="B36" i="2"/>
  <c r="C35" i="2"/>
  <c r="E35" i="2" s="1"/>
  <c r="B35" i="2"/>
  <c r="E34" i="2"/>
  <c r="C34" i="2"/>
  <c r="B34" i="2"/>
  <c r="C33" i="2"/>
  <c r="E33" i="2" s="1"/>
  <c r="B33" i="2"/>
  <c r="C32" i="2"/>
  <c r="E32" i="2" s="1"/>
  <c r="B32" i="2"/>
  <c r="C31" i="2"/>
  <c r="E31" i="2" s="1"/>
  <c r="B31" i="2"/>
  <c r="C30" i="2"/>
  <c r="E30" i="2" s="1"/>
  <c r="B30" i="2"/>
  <c r="C29" i="2"/>
  <c r="E29" i="2" s="1"/>
  <c r="B29" i="2"/>
  <c r="C28" i="2"/>
  <c r="E28" i="2" s="1"/>
  <c r="B28" i="2"/>
  <c r="C27" i="2"/>
  <c r="E27" i="2" s="1"/>
  <c r="B27" i="2"/>
  <c r="C26" i="2"/>
  <c r="E26" i="2" s="1"/>
  <c r="B26" i="2"/>
  <c r="C25" i="2"/>
  <c r="E25" i="2" s="1"/>
  <c r="B25" i="2"/>
  <c r="E24" i="2"/>
  <c r="C24" i="2"/>
  <c r="B24" i="2"/>
  <c r="C23" i="2"/>
  <c r="E23" i="2" s="1"/>
  <c r="B23" i="2"/>
  <c r="C22" i="2"/>
  <c r="E22" i="2" s="1"/>
  <c r="B22" i="2"/>
  <c r="C21" i="2"/>
  <c r="E21" i="2" s="1"/>
  <c r="B21" i="2"/>
  <c r="E20" i="2"/>
  <c r="C20" i="2"/>
  <c r="B20" i="2"/>
  <c r="C19" i="2"/>
  <c r="E19" i="2" s="1"/>
  <c r="B19" i="2"/>
  <c r="E18" i="2"/>
  <c r="C18" i="2"/>
  <c r="B18" i="2"/>
  <c r="C17" i="2"/>
  <c r="E17" i="2" s="1"/>
  <c r="B17" i="2"/>
  <c r="C16" i="2"/>
  <c r="E16" i="2" s="1"/>
  <c r="B16" i="2"/>
  <c r="C15" i="2"/>
  <c r="E15" i="2" s="1"/>
  <c r="B15" i="2"/>
  <c r="C14" i="2"/>
  <c r="E14" i="2" s="1"/>
  <c r="B14" i="2"/>
  <c r="C13" i="2"/>
  <c r="E13" i="2" s="1"/>
  <c r="B13" i="2"/>
  <c r="C12" i="2"/>
  <c r="E12" i="2" s="1"/>
  <c r="B12" i="2"/>
  <c r="C11" i="2"/>
  <c r="E11" i="2" s="1"/>
  <c r="B11" i="2"/>
  <c r="D11" i="2"/>
</calcChain>
</file>

<file path=xl/sharedStrings.xml><?xml version="1.0" encoding="utf-8"?>
<sst xmlns="http://schemas.openxmlformats.org/spreadsheetml/2006/main" count="12" uniqueCount="12">
  <si>
    <r>
      <t xml:space="preserve">REGRESSIONS OF YTM ON MATURITY
</t>
    </r>
    <r>
      <rPr>
        <b/>
        <sz val="12"/>
        <rFont val="Arial"/>
        <family val="2"/>
      </rPr>
      <t>I simply copied the regression equations from Exercises 2 and 4</t>
    </r>
  </si>
  <si>
    <t>BB</t>
  </si>
  <si>
    <t>CCC</t>
  </si>
  <si>
    <t>Intercept</t>
  </si>
  <si>
    <t>x-coeff.</t>
  </si>
  <si>
    <r>
      <t>x</t>
    </r>
    <r>
      <rPr>
        <vertAlign val="super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 - coeff.</t>
    </r>
  </si>
  <si>
    <r>
      <t>x</t>
    </r>
    <r>
      <rPr>
        <vertAlign val="superscript"/>
        <sz val="10"/>
        <rFont val="Arial"/>
        <family val="2"/>
      </rPr>
      <t>3</t>
    </r>
    <r>
      <rPr>
        <sz val="11"/>
        <color theme="1"/>
        <rFont val="等线"/>
        <family val="2"/>
        <charset val="134"/>
        <scheme val="minor"/>
      </rPr>
      <t xml:space="preserve"> - coeff</t>
    </r>
  </si>
  <si>
    <t>Table of maturity vs YTM, following regression</t>
  </si>
  <si>
    <t>Maturity in years</t>
  </si>
  <si>
    <t>BB
yield</t>
  </si>
  <si>
    <t>CCC
yield</t>
  </si>
  <si>
    <t>Spread:
CCC-BB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</si>
</sst>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vertical="center"/>
    </xf>
    <xf numFmtId="0" fontId="2" fillId="0" borderId="0" xfId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vertical="center"/>
    </xf>
    <xf numFmtId="0" fontId="2" fillId="0" borderId="0" xfId="1"/>
    <xf numFmtId="0" fontId="2" fillId="0" borderId="0" xfId="1" applyAlignment="1">
      <alignment horizontal="center"/>
    </xf>
    <xf numFmtId="15" fontId="2" fillId="0" borderId="0" xfId="1" applyNumberFormat="1" applyAlignment="1">
      <alignment vertical="center"/>
    </xf>
    <xf numFmtId="176" fontId="2" fillId="0" borderId="0" xfId="1" applyNumberFormat="1" applyAlignment="1">
      <alignment vertical="center"/>
    </xf>
    <xf numFmtId="177" fontId="2" fillId="0" borderId="0" xfId="1" applyNumberFormat="1" applyAlignment="1">
      <alignment vertical="center"/>
    </xf>
    <xf numFmtId="2" fontId="2" fillId="0" borderId="0" xfId="1" applyNumberFormat="1" applyAlignment="1">
      <alignment horizontal="right" wrapText="1"/>
    </xf>
    <xf numFmtId="176" fontId="2" fillId="0" borderId="0" xfId="1" applyNumberFormat="1" applyAlignment="1">
      <alignment horizontal="right" wrapText="1"/>
    </xf>
    <xf numFmtId="0" fontId="4" fillId="2" borderId="0" xfId="1" applyFont="1" applyFill="1" applyAlignment="1">
      <alignment horizontal="center"/>
    </xf>
    <xf numFmtId="2" fontId="2" fillId="0" borderId="0" xfId="1" applyNumberFormat="1" applyAlignment="1">
      <alignment horizontal="center" wrapText="1"/>
    </xf>
    <xf numFmtId="176" fontId="5" fillId="0" borderId="0" xfId="1" applyNumberFormat="1" applyFont="1" applyAlignment="1">
      <alignment horizontal="center" vertical="center" wrapText="1"/>
    </xf>
    <xf numFmtId="2" fontId="2" fillId="0" borderId="0" xfId="1" applyNumberFormat="1"/>
  </cellXfs>
  <cellStyles count="2">
    <cellStyle name="常规" xfId="0" builtinId="0"/>
    <cellStyle name="常规 2" xfId="1" xr:uid="{3F2D4835-6C30-4FAF-8352-FCD190AF8E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CCC - BB Spread
Based on polynomial regressions</a:t>
            </a:r>
          </a:p>
        </c:rich>
      </c:tx>
      <c:layout>
        <c:manualLayout>
          <c:xMode val="edge"/>
          <c:yMode val="edge"/>
          <c:x val="0.34850718783919954"/>
          <c:y val="3.623193747396050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065700543659"/>
          <c:y val="7.0048412449656969E-2"/>
          <c:w val="0.83926220744950097"/>
          <c:h val="0.7971026244271310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6'!$A$11:$A$41</c:f>
              <c:numCache>
                <c:formatCode>General</c:formatCode>
                <c:ptCount val="3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15</c:v>
                </c:pt>
                <c:pt idx="20">
                  <c:v>16</c:v>
                </c:pt>
                <c:pt idx="21">
                  <c:v>17</c:v>
                </c:pt>
                <c:pt idx="22">
                  <c:v>18</c:v>
                </c:pt>
                <c:pt idx="23">
                  <c:v>19</c:v>
                </c:pt>
                <c:pt idx="24">
                  <c:v>20</c:v>
                </c:pt>
                <c:pt idx="25">
                  <c:v>21</c:v>
                </c:pt>
                <c:pt idx="26">
                  <c:v>22</c:v>
                </c:pt>
                <c:pt idx="27">
                  <c:v>23</c:v>
                </c:pt>
                <c:pt idx="28">
                  <c:v>24</c:v>
                </c:pt>
                <c:pt idx="29">
                  <c:v>25</c:v>
                </c:pt>
                <c:pt idx="30">
                  <c:v>30</c:v>
                </c:pt>
              </c:numCache>
            </c:numRef>
          </c:xVal>
          <c:yVal>
            <c:numRef>
              <c:f>'Exercise 6'!$E$11:$E$41</c:f>
              <c:numCache>
                <c:formatCode>0.000</c:formatCode>
                <c:ptCount val="31"/>
                <c:pt idx="0">
                  <c:v>1.1272000000000002</c:v>
                </c:pt>
                <c:pt idx="1">
                  <c:v>1.1721239999999997</c:v>
                </c:pt>
                <c:pt idx="2">
                  <c:v>1.2162160000000006</c:v>
                </c:pt>
                <c:pt idx="3">
                  <c:v>1.2594760000000003</c:v>
                </c:pt>
                <c:pt idx="4">
                  <c:v>1.3019040000000004</c:v>
                </c:pt>
                <c:pt idx="5">
                  <c:v>1.3435000000000006</c:v>
                </c:pt>
                <c:pt idx="6">
                  <c:v>1.5390000000000006</c:v>
                </c:pt>
                <c:pt idx="7">
                  <c:v>1.7136999999999993</c:v>
                </c:pt>
                <c:pt idx="8">
                  <c:v>1.8675999999999995</c:v>
                </c:pt>
                <c:pt idx="9">
                  <c:v>2.0006999999999993</c:v>
                </c:pt>
                <c:pt idx="10">
                  <c:v>2.1130000000000004</c:v>
                </c:pt>
                <c:pt idx="11">
                  <c:v>2.2045000000000012</c:v>
                </c:pt>
                <c:pt idx="12">
                  <c:v>2.2752000000000008</c:v>
                </c:pt>
                <c:pt idx="13">
                  <c:v>2.3250999999999991</c:v>
                </c:pt>
                <c:pt idx="14">
                  <c:v>2.3542000000000005</c:v>
                </c:pt>
                <c:pt idx="15">
                  <c:v>2.3625000000000016</c:v>
                </c:pt>
                <c:pt idx="16">
                  <c:v>2.3500000000000014</c:v>
                </c:pt>
                <c:pt idx="17">
                  <c:v>2.3167000000000026</c:v>
                </c:pt>
                <c:pt idx="18">
                  <c:v>2.2626000000000044</c:v>
                </c:pt>
                <c:pt idx="19">
                  <c:v>2.1877000000000049</c:v>
                </c:pt>
                <c:pt idx="20">
                  <c:v>2.0920000000000032</c:v>
                </c:pt>
                <c:pt idx="21">
                  <c:v>1.9755000000000029</c:v>
                </c:pt>
                <c:pt idx="22">
                  <c:v>1.8382000000000005</c:v>
                </c:pt>
                <c:pt idx="23">
                  <c:v>1.680100000000003</c:v>
                </c:pt>
                <c:pt idx="24">
                  <c:v>1.5012000000000043</c:v>
                </c:pt>
                <c:pt idx="25">
                  <c:v>1.3015000000000008</c:v>
                </c:pt>
                <c:pt idx="26">
                  <c:v>1.0810000000000031</c:v>
                </c:pt>
                <c:pt idx="27">
                  <c:v>0.83970000000000411</c:v>
                </c:pt>
                <c:pt idx="28">
                  <c:v>0.57760000000000389</c:v>
                </c:pt>
                <c:pt idx="29">
                  <c:v>0.29470000000000596</c:v>
                </c:pt>
                <c:pt idx="30">
                  <c:v>-1.431799999999992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C-47AE-A3AB-18BC0EC3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575280"/>
        <c:axId val="1"/>
      </c:scatterChart>
      <c:valAx>
        <c:axId val="8205752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76387085661081688"/>
              <c:y val="0.642513024538232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YTM</a:t>
                </a:r>
              </a:p>
            </c:rich>
          </c:tx>
          <c:layout>
            <c:manualLayout>
              <c:xMode val="edge"/>
              <c:yMode val="edge"/>
              <c:x val="3.9829392895908519E-2"/>
              <c:y val="0.4347832496875260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05752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220980</xdr:colOff>
      <xdr:row>5</xdr:row>
      <xdr:rowOff>76200</xdr:rowOff>
    </xdr:from>
    <xdr:to>
      <xdr:col>16</xdr:col>
      <xdr:colOff>0</xdr:colOff>
      <xdr:row>27</xdr:row>
      <xdr:rowOff>0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7F57ED4F-93DC-4A59-9D6D-309E8FE07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B bonds, data"/>
      <sheetName val="CCC bonds, data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1">
          <cell r="A11">
            <v>0</v>
          </cell>
          <cell r="E11">
            <v>1.1272000000000002</v>
          </cell>
        </row>
        <row r="12">
          <cell r="A12">
            <v>0.2</v>
          </cell>
          <cell r="E12">
            <v>1.1721239999999997</v>
          </cell>
        </row>
        <row r="13">
          <cell r="A13">
            <v>0.4</v>
          </cell>
          <cell r="E13">
            <v>1.2162160000000006</v>
          </cell>
        </row>
        <row r="14">
          <cell r="A14">
            <v>0.6</v>
          </cell>
          <cell r="E14">
            <v>1.2594760000000003</v>
          </cell>
        </row>
        <row r="15">
          <cell r="A15">
            <v>0.8</v>
          </cell>
          <cell r="E15">
            <v>1.3019040000000004</v>
          </cell>
        </row>
        <row r="16">
          <cell r="A16">
            <v>1</v>
          </cell>
          <cell r="E16">
            <v>1.3435000000000006</v>
          </cell>
        </row>
        <row r="17">
          <cell r="A17">
            <v>2</v>
          </cell>
          <cell r="E17">
            <v>1.5390000000000006</v>
          </cell>
        </row>
        <row r="18">
          <cell r="A18">
            <v>3</v>
          </cell>
          <cell r="E18">
            <v>1.7136999999999993</v>
          </cell>
        </row>
        <row r="19">
          <cell r="A19">
            <v>4</v>
          </cell>
          <cell r="E19">
            <v>1.8675999999999995</v>
          </cell>
        </row>
        <row r="20">
          <cell r="A20">
            <v>5</v>
          </cell>
          <cell r="E20">
            <v>2.0006999999999993</v>
          </cell>
        </row>
        <row r="21">
          <cell r="A21">
            <v>6</v>
          </cell>
          <cell r="E21">
            <v>2.1130000000000004</v>
          </cell>
        </row>
        <row r="22">
          <cell r="A22">
            <v>7</v>
          </cell>
          <cell r="E22">
            <v>2.2045000000000012</v>
          </cell>
        </row>
        <row r="23">
          <cell r="A23">
            <v>8</v>
          </cell>
          <cell r="E23">
            <v>2.2752000000000008</v>
          </cell>
        </row>
        <row r="24">
          <cell r="A24">
            <v>9</v>
          </cell>
          <cell r="E24">
            <v>2.3250999999999991</v>
          </cell>
        </row>
        <row r="25">
          <cell r="A25">
            <v>10</v>
          </cell>
          <cell r="E25">
            <v>2.3542000000000005</v>
          </cell>
        </row>
        <row r="26">
          <cell r="A26">
            <v>11</v>
          </cell>
          <cell r="E26">
            <v>2.3625000000000016</v>
          </cell>
        </row>
        <row r="27">
          <cell r="A27">
            <v>12</v>
          </cell>
          <cell r="E27">
            <v>2.3500000000000014</v>
          </cell>
        </row>
        <row r="28">
          <cell r="A28">
            <v>13</v>
          </cell>
          <cell r="E28">
            <v>2.3167000000000026</v>
          </cell>
        </row>
        <row r="29">
          <cell r="A29">
            <v>14</v>
          </cell>
          <cell r="E29">
            <v>2.2626000000000044</v>
          </cell>
        </row>
        <row r="30">
          <cell r="A30">
            <v>15</v>
          </cell>
          <cell r="E30">
            <v>2.1877000000000049</v>
          </cell>
        </row>
        <row r="31">
          <cell r="A31">
            <v>16</v>
          </cell>
          <cell r="E31">
            <v>2.0920000000000032</v>
          </cell>
        </row>
        <row r="32">
          <cell r="A32">
            <v>17</v>
          </cell>
          <cell r="E32">
            <v>1.9755000000000029</v>
          </cell>
        </row>
        <row r="33">
          <cell r="A33">
            <v>18</v>
          </cell>
          <cell r="E33">
            <v>1.8382000000000005</v>
          </cell>
        </row>
        <row r="34">
          <cell r="A34">
            <v>19</v>
          </cell>
          <cell r="E34">
            <v>1.680100000000003</v>
          </cell>
        </row>
        <row r="35">
          <cell r="A35">
            <v>20</v>
          </cell>
          <cell r="E35">
            <v>1.5012000000000043</v>
          </cell>
        </row>
        <row r="36">
          <cell r="A36">
            <v>21</v>
          </cell>
          <cell r="E36">
            <v>1.3015000000000008</v>
          </cell>
        </row>
        <row r="37">
          <cell r="A37">
            <v>22</v>
          </cell>
          <cell r="E37">
            <v>1.0810000000000031</v>
          </cell>
        </row>
        <row r="38">
          <cell r="A38">
            <v>23</v>
          </cell>
          <cell r="E38">
            <v>0.83970000000000411</v>
          </cell>
        </row>
        <row r="39">
          <cell r="A39">
            <v>24</v>
          </cell>
          <cell r="E39">
            <v>0.57760000000000389</v>
          </cell>
        </row>
        <row r="40">
          <cell r="A40">
            <v>25</v>
          </cell>
          <cell r="E40">
            <v>0.29470000000000596</v>
          </cell>
        </row>
        <row r="41">
          <cell r="A41">
            <v>30</v>
          </cell>
          <cell r="E41">
            <v>-1.431799999999992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D356F-C65B-4E65-A71A-73E4F251006C}">
  <sheetPr>
    <pageSetUpPr fitToPage="1"/>
  </sheetPr>
  <dimension ref="A1:R268"/>
  <sheetViews>
    <sheetView tabSelected="1" workbookViewId="0">
      <selection activeCell="J35" sqref="J35"/>
    </sheetView>
  </sheetViews>
  <sheetFormatPr defaultRowHeight="13.2" x14ac:dyDescent="0.25"/>
  <cols>
    <col min="1" max="1" width="21.33203125" style="6" customWidth="1"/>
    <col min="2" max="3" width="8.88671875" style="6"/>
    <col min="4" max="4" width="41.5546875" style="2" bestFit="1" customWidth="1"/>
    <col min="5" max="18" width="9.109375" style="2" customWidth="1"/>
    <col min="19" max="256" width="8.88671875" style="6"/>
    <col min="257" max="257" width="21.33203125" style="6" customWidth="1"/>
    <col min="258" max="259" width="8.88671875" style="6"/>
    <col min="260" max="260" width="41.5546875" style="6" bestFit="1" customWidth="1"/>
    <col min="261" max="274" width="9.109375" style="6" customWidth="1"/>
    <col min="275" max="512" width="8.88671875" style="6"/>
    <col min="513" max="513" width="21.33203125" style="6" customWidth="1"/>
    <col min="514" max="515" width="8.88671875" style="6"/>
    <col min="516" max="516" width="41.5546875" style="6" bestFit="1" customWidth="1"/>
    <col min="517" max="530" width="9.109375" style="6" customWidth="1"/>
    <col min="531" max="768" width="8.88671875" style="6"/>
    <col min="769" max="769" width="21.33203125" style="6" customWidth="1"/>
    <col min="770" max="771" width="8.88671875" style="6"/>
    <col min="772" max="772" width="41.5546875" style="6" bestFit="1" customWidth="1"/>
    <col min="773" max="786" width="9.109375" style="6" customWidth="1"/>
    <col min="787" max="1024" width="8.88671875" style="6"/>
    <col min="1025" max="1025" width="21.33203125" style="6" customWidth="1"/>
    <col min="1026" max="1027" width="8.88671875" style="6"/>
    <col min="1028" max="1028" width="41.5546875" style="6" bestFit="1" customWidth="1"/>
    <col min="1029" max="1042" width="9.109375" style="6" customWidth="1"/>
    <col min="1043" max="1280" width="8.88671875" style="6"/>
    <col min="1281" max="1281" width="21.33203125" style="6" customWidth="1"/>
    <col min="1282" max="1283" width="8.88671875" style="6"/>
    <col min="1284" max="1284" width="41.5546875" style="6" bestFit="1" customWidth="1"/>
    <col min="1285" max="1298" width="9.109375" style="6" customWidth="1"/>
    <col min="1299" max="1536" width="8.88671875" style="6"/>
    <col min="1537" max="1537" width="21.33203125" style="6" customWidth="1"/>
    <col min="1538" max="1539" width="8.88671875" style="6"/>
    <col min="1540" max="1540" width="41.5546875" style="6" bestFit="1" customWidth="1"/>
    <col min="1541" max="1554" width="9.109375" style="6" customWidth="1"/>
    <col min="1555" max="1792" width="8.88671875" style="6"/>
    <col min="1793" max="1793" width="21.33203125" style="6" customWidth="1"/>
    <col min="1794" max="1795" width="8.88671875" style="6"/>
    <col min="1796" max="1796" width="41.5546875" style="6" bestFit="1" customWidth="1"/>
    <col min="1797" max="1810" width="9.109375" style="6" customWidth="1"/>
    <col min="1811" max="2048" width="8.88671875" style="6"/>
    <col min="2049" max="2049" width="21.33203125" style="6" customWidth="1"/>
    <col min="2050" max="2051" width="8.88671875" style="6"/>
    <col min="2052" max="2052" width="41.5546875" style="6" bestFit="1" customWidth="1"/>
    <col min="2053" max="2066" width="9.109375" style="6" customWidth="1"/>
    <col min="2067" max="2304" width="8.88671875" style="6"/>
    <col min="2305" max="2305" width="21.33203125" style="6" customWidth="1"/>
    <col min="2306" max="2307" width="8.88671875" style="6"/>
    <col min="2308" max="2308" width="41.5546875" style="6" bestFit="1" customWidth="1"/>
    <col min="2309" max="2322" width="9.109375" style="6" customWidth="1"/>
    <col min="2323" max="2560" width="8.88671875" style="6"/>
    <col min="2561" max="2561" width="21.33203125" style="6" customWidth="1"/>
    <col min="2562" max="2563" width="8.88671875" style="6"/>
    <col min="2564" max="2564" width="41.5546875" style="6" bestFit="1" customWidth="1"/>
    <col min="2565" max="2578" width="9.109375" style="6" customWidth="1"/>
    <col min="2579" max="2816" width="8.88671875" style="6"/>
    <col min="2817" max="2817" width="21.33203125" style="6" customWidth="1"/>
    <col min="2818" max="2819" width="8.88671875" style="6"/>
    <col min="2820" max="2820" width="41.5546875" style="6" bestFit="1" customWidth="1"/>
    <col min="2821" max="2834" width="9.109375" style="6" customWidth="1"/>
    <col min="2835" max="3072" width="8.88671875" style="6"/>
    <col min="3073" max="3073" width="21.33203125" style="6" customWidth="1"/>
    <col min="3074" max="3075" width="8.88671875" style="6"/>
    <col min="3076" max="3076" width="41.5546875" style="6" bestFit="1" customWidth="1"/>
    <col min="3077" max="3090" width="9.109375" style="6" customWidth="1"/>
    <col min="3091" max="3328" width="8.88671875" style="6"/>
    <col min="3329" max="3329" width="21.33203125" style="6" customWidth="1"/>
    <col min="3330" max="3331" width="8.88671875" style="6"/>
    <col min="3332" max="3332" width="41.5546875" style="6" bestFit="1" customWidth="1"/>
    <col min="3333" max="3346" width="9.109375" style="6" customWidth="1"/>
    <col min="3347" max="3584" width="8.88671875" style="6"/>
    <col min="3585" max="3585" width="21.33203125" style="6" customWidth="1"/>
    <col min="3586" max="3587" width="8.88671875" style="6"/>
    <col min="3588" max="3588" width="41.5546875" style="6" bestFit="1" customWidth="1"/>
    <col min="3589" max="3602" width="9.109375" style="6" customWidth="1"/>
    <col min="3603" max="3840" width="8.88671875" style="6"/>
    <col min="3841" max="3841" width="21.33203125" style="6" customWidth="1"/>
    <col min="3842" max="3843" width="8.88671875" style="6"/>
    <col min="3844" max="3844" width="41.5546875" style="6" bestFit="1" customWidth="1"/>
    <col min="3845" max="3858" width="9.109375" style="6" customWidth="1"/>
    <col min="3859" max="4096" width="8.88671875" style="6"/>
    <col min="4097" max="4097" width="21.33203125" style="6" customWidth="1"/>
    <col min="4098" max="4099" width="8.88671875" style="6"/>
    <col min="4100" max="4100" width="41.5546875" style="6" bestFit="1" customWidth="1"/>
    <col min="4101" max="4114" width="9.109375" style="6" customWidth="1"/>
    <col min="4115" max="4352" width="8.88671875" style="6"/>
    <col min="4353" max="4353" width="21.33203125" style="6" customWidth="1"/>
    <col min="4354" max="4355" width="8.88671875" style="6"/>
    <col min="4356" max="4356" width="41.5546875" style="6" bestFit="1" customWidth="1"/>
    <col min="4357" max="4370" width="9.109375" style="6" customWidth="1"/>
    <col min="4371" max="4608" width="8.88671875" style="6"/>
    <col min="4609" max="4609" width="21.33203125" style="6" customWidth="1"/>
    <col min="4610" max="4611" width="8.88671875" style="6"/>
    <col min="4612" max="4612" width="41.5546875" style="6" bestFit="1" customWidth="1"/>
    <col min="4613" max="4626" width="9.109375" style="6" customWidth="1"/>
    <col min="4627" max="4864" width="8.88671875" style="6"/>
    <col min="4865" max="4865" width="21.33203125" style="6" customWidth="1"/>
    <col min="4866" max="4867" width="8.88671875" style="6"/>
    <col min="4868" max="4868" width="41.5546875" style="6" bestFit="1" customWidth="1"/>
    <col min="4869" max="4882" width="9.109375" style="6" customWidth="1"/>
    <col min="4883" max="5120" width="8.88671875" style="6"/>
    <col min="5121" max="5121" width="21.33203125" style="6" customWidth="1"/>
    <col min="5122" max="5123" width="8.88671875" style="6"/>
    <col min="5124" max="5124" width="41.5546875" style="6" bestFit="1" customWidth="1"/>
    <col min="5125" max="5138" width="9.109375" style="6" customWidth="1"/>
    <col min="5139" max="5376" width="8.88671875" style="6"/>
    <col min="5377" max="5377" width="21.33203125" style="6" customWidth="1"/>
    <col min="5378" max="5379" width="8.88671875" style="6"/>
    <col min="5380" max="5380" width="41.5546875" style="6" bestFit="1" customWidth="1"/>
    <col min="5381" max="5394" width="9.109375" style="6" customWidth="1"/>
    <col min="5395" max="5632" width="8.88671875" style="6"/>
    <col min="5633" max="5633" width="21.33203125" style="6" customWidth="1"/>
    <col min="5634" max="5635" width="8.88671875" style="6"/>
    <col min="5636" max="5636" width="41.5546875" style="6" bestFit="1" customWidth="1"/>
    <col min="5637" max="5650" width="9.109375" style="6" customWidth="1"/>
    <col min="5651" max="5888" width="8.88671875" style="6"/>
    <col min="5889" max="5889" width="21.33203125" style="6" customWidth="1"/>
    <col min="5890" max="5891" width="8.88671875" style="6"/>
    <col min="5892" max="5892" width="41.5546875" style="6" bestFit="1" customWidth="1"/>
    <col min="5893" max="5906" width="9.109375" style="6" customWidth="1"/>
    <col min="5907" max="6144" width="8.88671875" style="6"/>
    <col min="6145" max="6145" width="21.33203125" style="6" customWidth="1"/>
    <col min="6146" max="6147" width="8.88671875" style="6"/>
    <col min="6148" max="6148" width="41.5546875" style="6" bestFit="1" customWidth="1"/>
    <col min="6149" max="6162" width="9.109375" style="6" customWidth="1"/>
    <col min="6163" max="6400" width="8.88671875" style="6"/>
    <col min="6401" max="6401" width="21.33203125" style="6" customWidth="1"/>
    <col min="6402" max="6403" width="8.88671875" style="6"/>
    <col min="6404" max="6404" width="41.5546875" style="6" bestFit="1" customWidth="1"/>
    <col min="6405" max="6418" width="9.109375" style="6" customWidth="1"/>
    <col min="6419" max="6656" width="8.88671875" style="6"/>
    <col min="6657" max="6657" width="21.33203125" style="6" customWidth="1"/>
    <col min="6658" max="6659" width="8.88671875" style="6"/>
    <col min="6660" max="6660" width="41.5546875" style="6" bestFit="1" customWidth="1"/>
    <col min="6661" max="6674" width="9.109375" style="6" customWidth="1"/>
    <col min="6675" max="6912" width="8.88671875" style="6"/>
    <col min="6913" max="6913" width="21.33203125" style="6" customWidth="1"/>
    <col min="6914" max="6915" width="8.88671875" style="6"/>
    <col min="6916" max="6916" width="41.5546875" style="6" bestFit="1" customWidth="1"/>
    <col min="6917" max="6930" width="9.109375" style="6" customWidth="1"/>
    <col min="6931" max="7168" width="8.88671875" style="6"/>
    <col min="7169" max="7169" width="21.33203125" style="6" customWidth="1"/>
    <col min="7170" max="7171" width="8.88671875" style="6"/>
    <col min="7172" max="7172" width="41.5546875" style="6" bestFit="1" customWidth="1"/>
    <col min="7173" max="7186" width="9.109375" style="6" customWidth="1"/>
    <col min="7187" max="7424" width="8.88671875" style="6"/>
    <col min="7425" max="7425" width="21.33203125" style="6" customWidth="1"/>
    <col min="7426" max="7427" width="8.88671875" style="6"/>
    <col min="7428" max="7428" width="41.5546875" style="6" bestFit="1" customWidth="1"/>
    <col min="7429" max="7442" width="9.109375" style="6" customWidth="1"/>
    <col min="7443" max="7680" width="8.88671875" style="6"/>
    <col min="7681" max="7681" width="21.33203125" style="6" customWidth="1"/>
    <col min="7682" max="7683" width="8.88671875" style="6"/>
    <col min="7684" max="7684" width="41.5546875" style="6" bestFit="1" customWidth="1"/>
    <col min="7685" max="7698" width="9.109375" style="6" customWidth="1"/>
    <col min="7699" max="7936" width="8.88671875" style="6"/>
    <col min="7937" max="7937" width="21.33203125" style="6" customWidth="1"/>
    <col min="7938" max="7939" width="8.88671875" style="6"/>
    <col min="7940" max="7940" width="41.5546875" style="6" bestFit="1" customWidth="1"/>
    <col min="7941" max="7954" width="9.109375" style="6" customWidth="1"/>
    <col min="7955" max="8192" width="8.88671875" style="6"/>
    <col min="8193" max="8193" width="21.33203125" style="6" customWidth="1"/>
    <col min="8194" max="8195" width="8.88671875" style="6"/>
    <col min="8196" max="8196" width="41.5546875" style="6" bestFit="1" customWidth="1"/>
    <col min="8197" max="8210" width="9.109375" style="6" customWidth="1"/>
    <col min="8211" max="8448" width="8.88671875" style="6"/>
    <col min="8449" max="8449" width="21.33203125" style="6" customWidth="1"/>
    <col min="8450" max="8451" width="8.88671875" style="6"/>
    <col min="8452" max="8452" width="41.5546875" style="6" bestFit="1" customWidth="1"/>
    <col min="8453" max="8466" width="9.109375" style="6" customWidth="1"/>
    <col min="8467" max="8704" width="8.88671875" style="6"/>
    <col min="8705" max="8705" width="21.33203125" style="6" customWidth="1"/>
    <col min="8706" max="8707" width="8.88671875" style="6"/>
    <col min="8708" max="8708" width="41.5546875" style="6" bestFit="1" customWidth="1"/>
    <col min="8709" max="8722" width="9.109375" style="6" customWidth="1"/>
    <col min="8723" max="8960" width="8.88671875" style="6"/>
    <col min="8961" max="8961" width="21.33203125" style="6" customWidth="1"/>
    <col min="8962" max="8963" width="8.88671875" style="6"/>
    <col min="8964" max="8964" width="41.5546875" style="6" bestFit="1" customWidth="1"/>
    <col min="8965" max="8978" width="9.109375" style="6" customWidth="1"/>
    <col min="8979" max="9216" width="8.88671875" style="6"/>
    <col min="9217" max="9217" width="21.33203125" style="6" customWidth="1"/>
    <col min="9218" max="9219" width="8.88671875" style="6"/>
    <col min="9220" max="9220" width="41.5546875" style="6" bestFit="1" customWidth="1"/>
    <col min="9221" max="9234" width="9.109375" style="6" customWidth="1"/>
    <col min="9235" max="9472" width="8.88671875" style="6"/>
    <col min="9473" max="9473" width="21.33203125" style="6" customWidth="1"/>
    <col min="9474" max="9475" width="8.88671875" style="6"/>
    <col min="9476" max="9476" width="41.5546875" style="6" bestFit="1" customWidth="1"/>
    <col min="9477" max="9490" width="9.109375" style="6" customWidth="1"/>
    <col min="9491" max="9728" width="8.88671875" style="6"/>
    <col min="9729" max="9729" width="21.33203125" style="6" customWidth="1"/>
    <col min="9730" max="9731" width="8.88671875" style="6"/>
    <col min="9732" max="9732" width="41.5546875" style="6" bestFit="1" customWidth="1"/>
    <col min="9733" max="9746" width="9.109375" style="6" customWidth="1"/>
    <col min="9747" max="9984" width="8.88671875" style="6"/>
    <col min="9985" max="9985" width="21.33203125" style="6" customWidth="1"/>
    <col min="9986" max="9987" width="8.88671875" style="6"/>
    <col min="9988" max="9988" width="41.5546875" style="6" bestFit="1" customWidth="1"/>
    <col min="9989" max="10002" width="9.109375" style="6" customWidth="1"/>
    <col min="10003" max="10240" width="8.88671875" style="6"/>
    <col min="10241" max="10241" width="21.33203125" style="6" customWidth="1"/>
    <col min="10242" max="10243" width="8.88671875" style="6"/>
    <col min="10244" max="10244" width="41.5546875" style="6" bestFit="1" customWidth="1"/>
    <col min="10245" max="10258" width="9.109375" style="6" customWidth="1"/>
    <col min="10259" max="10496" width="8.88671875" style="6"/>
    <col min="10497" max="10497" width="21.33203125" style="6" customWidth="1"/>
    <col min="10498" max="10499" width="8.88671875" style="6"/>
    <col min="10500" max="10500" width="41.5546875" style="6" bestFit="1" customWidth="1"/>
    <col min="10501" max="10514" width="9.109375" style="6" customWidth="1"/>
    <col min="10515" max="10752" width="8.88671875" style="6"/>
    <col min="10753" max="10753" width="21.33203125" style="6" customWidth="1"/>
    <col min="10754" max="10755" width="8.88671875" style="6"/>
    <col min="10756" max="10756" width="41.5546875" style="6" bestFit="1" customWidth="1"/>
    <col min="10757" max="10770" width="9.109375" style="6" customWidth="1"/>
    <col min="10771" max="11008" width="8.88671875" style="6"/>
    <col min="11009" max="11009" width="21.33203125" style="6" customWidth="1"/>
    <col min="11010" max="11011" width="8.88671875" style="6"/>
    <col min="11012" max="11012" width="41.5546875" style="6" bestFit="1" customWidth="1"/>
    <col min="11013" max="11026" width="9.109375" style="6" customWidth="1"/>
    <col min="11027" max="11264" width="8.88671875" style="6"/>
    <col min="11265" max="11265" width="21.33203125" style="6" customWidth="1"/>
    <col min="11266" max="11267" width="8.88671875" style="6"/>
    <col min="11268" max="11268" width="41.5546875" style="6" bestFit="1" customWidth="1"/>
    <col min="11269" max="11282" width="9.109375" style="6" customWidth="1"/>
    <col min="11283" max="11520" width="8.88671875" style="6"/>
    <col min="11521" max="11521" width="21.33203125" style="6" customWidth="1"/>
    <col min="11522" max="11523" width="8.88671875" style="6"/>
    <col min="11524" max="11524" width="41.5546875" style="6" bestFit="1" customWidth="1"/>
    <col min="11525" max="11538" width="9.109375" style="6" customWidth="1"/>
    <col min="11539" max="11776" width="8.88671875" style="6"/>
    <col min="11777" max="11777" width="21.33203125" style="6" customWidth="1"/>
    <col min="11778" max="11779" width="8.88671875" style="6"/>
    <col min="11780" max="11780" width="41.5546875" style="6" bestFit="1" customWidth="1"/>
    <col min="11781" max="11794" width="9.109375" style="6" customWidth="1"/>
    <col min="11795" max="12032" width="8.88671875" style="6"/>
    <col min="12033" max="12033" width="21.33203125" style="6" customWidth="1"/>
    <col min="12034" max="12035" width="8.88671875" style="6"/>
    <col min="12036" max="12036" width="41.5546875" style="6" bestFit="1" customWidth="1"/>
    <col min="12037" max="12050" width="9.109375" style="6" customWidth="1"/>
    <col min="12051" max="12288" width="8.88671875" style="6"/>
    <col min="12289" max="12289" width="21.33203125" style="6" customWidth="1"/>
    <col min="12290" max="12291" width="8.88671875" style="6"/>
    <col min="12292" max="12292" width="41.5546875" style="6" bestFit="1" customWidth="1"/>
    <col min="12293" max="12306" width="9.109375" style="6" customWidth="1"/>
    <col min="12307" max="12544" width="8.88671875" style="6"/>
    <col min="12545" max="12545" width="21.33203125" style="6" customWidth="1"/>
    <col min="12546" max="12547" width="8.88671875" style="6"/>
    <col min="12548" max="12548" width="41.5546875" style="6" bestFit="1" customWidth="1"/>
    <col min="12549" max="12562" width="9.109375" style="6" customWidth="1"/>
    <col min="12563" max="12800" width="8.88671875" style="6"/>
    <col min="12801" max="12801" width="21.33203125" style="6" customWidth="1"/>
    <col min="12802" max="12803" width="8.88671875" style="6"/>
    <col min="12804" max="12804" width="41.5546875" style="6" bestFit="1" customWidth="1"/>
    <col min="12805" max="12818" width="9.109375" style="6" customWidth="1"/>
    <col min="12819" max="13056" width="8.88671875" style="6"/>
    <col min="13057" max="13057" width="21.33203125" style="6" customWidth="1"/>
    <col min="13058" max="13059" width="8.88671875" style="6"/>
    <col min="13060" max="13060" width="41.5546875" style="6" bestFit="1" customWidth="1"/>
    <col min="13061" max="13074" width="9.109375" style="6" customWidth="1"/>
    <col min="13075" max="13312" width="8.88671875" style="6"/>
    <col min="13313" max="13313" width="21.33203125" style="6" customWidth="1"/>
    <col min="13314" max="13315" width="8.88671875" style="6"/>
    <col min="13316" max="13316" width="41.5546875" style="6" bestFit="1" customWidth="1"/>
    <col min="13317" max="13330" width="9.109375" style="6" customWidth="1"/>
    <col min="13331" max="13568" width="8.88671875" style="6"/>
    <col min="13569" max="13569" width="21.33203125" style="6" customWidth="1"/>
    <col min="13570" max="13571" width="8.88671875" style="6"/>
    <col min="13572" max="13572" width="41.5546875" style="6" bestFit="1" customWidth="1"/>
    <col min="13573" max="13586" width="9.109375" style="6" customWidth="1"/>
    <col min="13587" max="13824" width="8.88671875" style="6"/>
    <col min="13825" max="13825" width="21.33203125" style="6" customWidth="1"/>
    <col min="13826" max="13827" width="8.88671875" style="6"/>
    <col min="13828" max="13828" width="41.5546875" style="6" bestFit="1" customWidth="1"/>
    <col min="13829" max="13842" width="9.109375" style="6" customWidth="1"/>
    <col min="13843" max="14080" width="8.88671875" style="6"/>
    <col min="14081" max="14081" width="21.33203125" style="6" customWidth="1"/>
    <col min="14082" max="14083" width="8.88671875" style="6"/>
    <col min="14084" max="14084" width="41.5546875" style="6" bestFit="1" customWidth="1"/>
    <col min="14085" max="14098" width="9.109375" style="6" customWidth="1"/>
    <col min="14099" max="14336" width="8.88671875" style="6"/>
    <col min="14337" max="14337" width="21.33203125" style="6" customWidth="1"/>
    <col min="14338" max="14339" width="8.88671875" style="6"/>
    <col min="14340" max="14340" width="41.5546875" style="6" bestFit="1" customWidth="1"/>
    <col min="14341" max="14354" width="9.109375" style="6" customWidth="1"/>
    <col min="14355" max="14592" width="8.88671875" style="6"/>
    <col min="14593" max="14593" width="21.33203125" style="6" customWidth="1"/>
    <col min="14594" max="14595" width="8.88671875" style="6"/>
    <col min="14596" max="14596" width="41.5546875" style="6" bestFit="1" customWidth="1"/>
    <col min="14597" max="14610" width="9.109375" style="6" customWidth="1"/>
    <col min="14611" max="14848" width="8.88671875" style="6"/>
    <col min="14849" max="14849" width="21.33203125" style="6" customWidth="1"/>
    <col min="14850" max="14851" width="8.88671875" style="6"/>
    <col min="14852" max="14852" width="41.5546875" style="6" bestFit="1" customWidth="1"/>
    <col min="14853" max="14866" width="9.109375" style="6" customWidth="1"/>
    <col min="14867" max="15104" width="8.88671875" style="6"/>
    <col min="15105" max="15105" width="21.33203125" style="6" customWidth="1"/>
    <col min="15106" max="15107" width="8.88671875" style="6"/>
    <col min="15108" max="15108" width="41.5546875" style="6" bestFit="1" customWidth="1"/>
    <col min="15109" max="15122" width="9.109375" style="6" customWidth="1"/>
    <col min="15123" max="15360" width="8.88671875" style="6"/>
    <col min="15361" max="15361" width="21.33203125" style="6" customWidth="1"/>
    <col min="15362" max="15363" width="8.88671875" style="6"/>
    <col min="15364" max="15364" width="41.5546875" style="6" bestFit="1" customWidth="1"/>
    <col min="15365" max="15378" width="9.109375" style="6" customWidth="1"/>
    <col min="15379" max="15616" width="8.88671875" style="6"/>
    <col min="15617" max="15617" width="21.33203125" style="6" customWidth="1"/>
    <col min="15618" max="15619" width="8.88671875" style="6"/>
    <col min="15620" max="15620" width="41.5546875" style="6" bestFit="1" customWidth="1"/>
    <col min="15621" max="15634" width="9.109375" style="6" customWidth="1"/>
    <col min="15635" max="15872" width="8.88671875" style="6"/>
    <col min="15873" max="15873" width="21.33203125" style="6" customWidth="1"/>
    <col min="15874" max="15875" width="8.88671875" style="6"/>
    <col min="15876" max="15876" width="41.5546875" style="6" bestFit="1" customWidth="1"/>
    <col min="15877" max="15890" width="9.109375" style="6" customWidth="1"/>
    <col min="15891" max="16128" width="8.88671875" style="6"/>
    <col min="16129" max="16129" width="21.33203125" style="6" customWidth="1"/>
    <col min="16130" max="16131" width="8.88671875" style="6"/>
    <col min="16132" max="16132" width="41.5546875" style="6" bestFit="1" customWidth="1"/>
    <col min="16133" max="16146" width="9.109375" style="6" customWidth="1"/>
    <col min="16147" max="16384" width="8.88671875" style="6"/>
  </cols>
  <sheetData>
    <row r="1" spans="1:8" ht="38.25" customHeight="1" x14ac:dyDescent="0.25">
      <c r="A1" s="1" t="s">
        <v>0</v>
      </c>
      <c r="B1" s="1"/>
      <c r="C1" s="1"/>
      <c r="D1" s="1"/>
    </row>
    <row r="2" spans="1:8" x14ac:dyDescent="0.25">
      <c r="A2" s="3"/>
      <c r="B2" s="4"/>
      <c r="C2" s="4"/>
      <c r="D2" s="5"/>
      <c r="E2" s="5"/>
      <c r="F2" s="5"/>
      <c r="G2" s="5"/>
      <c r="H2" s="5"/>
    </row>
    <row r="3" spans="1:8" x14ac:dyDescent="0.25">
      <c r="B3" s="7" t="s">
        <v>1</v>
      </c>
      <c r="C3" s="7" t="s">
        <v>2</v>
      </c>
      <c r="D3" s="8"/>
      <c r="E3" s="9"/>
      <c r="H3" s="10"/>
    </row>
    <row r="4" spans="1:8" x14ac:dyDescent="0.25">
      <c r="A4" s="6" t="s">
        <v>3</v>
      </c>
      <c r="B4" s="6">
        <v>2.9619</v>
      </c>
      <c r="C4" s="6">
        <v>4.0891000000000002</v>
      </c>
      <c r="D4" s="8"/>
      <c r="E4" s="9"/>
      <c r="H4" s="10"/>
    </row>
    <row r="5" spans="1:8" x14ac:dyDescent="0.25">
      <c r="A5" s="6" t="s">
        <v>4</v>
      </c>
      <c r="B5" s="6">
        <v>0.95930000000000004</v>
      </c>
      <c r="C5" s="6">
        <v>1.1859999999999999</v>
      </c>
      <c r="D5" s="8"/>
      <c r="E5" s="9"/>
      <c r="H5" s="10"/>
    </row>
    <row r="6" spans="1:8" ht="15.6" x14ac:dyDescent="0.25">
      <c r="A6" s="6" t="s">
        <v>5</v>
      </c>
      <c r="B6" s="6">
        <v>-6.0600000000000001E-2</v>
      </c>
      <c r="C6" s="6">
        <v>-7.0999999999999994E-2</v>
      </c>
      <c r="D6" s="8"/>
      <c r="E6" s="9"/>
      <c r="H6" s="10"/>
    </row>
    <row r="7" spans="1:8" ht="15.6" x14ac:dyDescent="0.25">
      <c r="A7" s="6" t="s">
        <v>6</v>
      </c>
      <c r="B7" s="6">
        <v>1.1000000000000001E-3</v>
      </c>
      <c r="C7" s="6">
        <v>1.1000000000000001E-3</v>
      </c>
      <c r="D7" s="8"/>
      <c r="E7" s="9"/>
      <c r="H7" s="10"/>
    </row>
    <row r="8" spans="1:8" x14ac:dyDescent="0.25">
      <c r="B8" s="11"/>
      <c r="C8" s="12"/>
      <c r="D8" s="8"/>
      <c r="E8" s="9"/>
      <c r="H8" s="10"/>
    </row>
    <row r="9" spans="1:8" ht="15.6" x14ac:dyDescent="0.3">
      <c r="A9" s="13" t="s">
        <v>7</v>
      </c>
      <c r="B9" s="13"/>
      <c r="C9" s="13"/>
      <c r="D9" s="13"/>
      <c r="E9" s="9"/>
      <c r="H9" s="10"/>
    </row>
    <row r="10" spans="1:8" ht="26.4" x14ac:dyDescent="0.25">
      <c r="A10" s="6" t="s">
        <v>8</v>
      </c>
      <c r="B10" s="14" t="s">
        <v>9</v>
      </c>
      <c r="C10" s="14" t="s">
        <v>10</v>
      </c>
      <c r="D10" s="8"/>
      <c r="E10" s="15" t="s">
        <v>11</v>
      </c>
      <c r="H10" s="10"/>
    </row>
    <row r="11" spans="1:8" x14ac:dyDescent="0.25">
      <c r="A11" s="7">
        <v>0</v>
      </c>
      <c r="B11" s="11">
        <f>B$4+B$5*$A11+B$6*$A11^2+B$7*$A11^3</f>
        <v>2.9619</v>
      </c>
      <c r="C11" s="11">
        <f>C$4+C$5*$A11+C$6*$A11^2+C$7*$A11^3</f>
        <v>4.0891000000000002</v>
      </c>
      <c r="D11" s="8" t="str">
        <f ca="1">[2]!getformula(C11)</f>
        <v>&lt;--  =C$4+C$5*$A11+C$6*$A11^2+C$7*$A11^3</v>
      </c>
      <c r="E11" s="9">
        <f>C11-B11</f>
        <v>1.1272000000000002</v>
      </c>
      <c r="H11" s="10"/>
    </row>
    <row r="12" spans="1:8" x14ac:dyDescent="0.25">
      <c r="A12" s="7">
        <v>0.2</v>
      </c>
      <c r="B12" s="11">
        <f t="shared" ref="B12:C41" si="0">B$4+B$5*$A12+B$6*$A12^2+B$7*$A12^3</f>
        <v>3.1513447999999999</v>
      </c>
      <c r="C12" s="11">
        <f t="shared" si="0"/>
        <v>4.3234687999999997</v>
      </c>
      <c r="D12" s="8"/>
      <c r="E12" s="9">
        <f t="shared" ref="E12:E41" si="1">C12-B12</f>
        <v>1.1721239999999997</v>
      </c>
      <c r="H12" s="10"/>
    </row>
    <row r="13" spans="1:8" x14ac:dyDescent="0.25">
      <c r="A13" s="7">
        <v>0.4</v>
      </c>
      <c r="B13" s="11">
        <f t="shared" si="0"/>
        <v>3.3359944000000001</v>
      </c>
      <c r="C13" s="11">
        <f t="shared" si="0"/>
        <v>4.5522104000000008</v>
      </c>
      <c r="D13" s="8"/>
      <c r="E13" s="9">
        <f t="shared" si="1"/>
        <v>1.2162160000000006</v>
      </c>
      <c r="H13" s="10"/>
    </row>
    <row r="14" spans="1:8" x14ac:dyDescent="0.25">
      <c r="A14" s="7">
        <v>0.6</v>
      </c>
      <c r="B14" s="11">
        <f t="shared" si="0"/>
        <v>3.5159016000000003</v>
      </c>
      <c r="C14" s="11">
        <f t="shared" si="0"/>
        <v>4.7753776000000006</v>
      </c>
      <c r="D14" s="8"/>
      <c r="E14" s="9">
        <f t="shared" si="1"/>
        <v>1.2594760000000003</v>
      </c>
      <c r="H14" s="10"/>
    </row>
    <row r="15" spans="1:8" x14ac:dyDescent="0.25">
      <c r="A15" s="7">
        <v>0.8</v>
      </c>
      <c r="B15" s="11">
        <f t="shared" si="0"/>
        <v>3.6911192000000002</v>
      </c>
      <c r="C15" s="11">
        <f t="shared" si="0"/>
        <v>4.9930232000000005</v>
      </c>
      <c r="D15" s="8"/>
      <c r="E15" s="9">
        <f t="shared" si="1"/>
        <v>1.3019040000000004</v>
      </c>
      <c r="H15" s="10"/>
    </row>
    <row r="16" spans="1:8" x14ac:dyDescent="0.25">
      <c r="A16" s="7">
        <v>1</v>
      </c>
      <c r="B16" s="11">
        <f t="shared" si="0"/>
        <v>3.8616999999999999</v>
      </c>
      <c r="C16" s="11">
        <f t="shared" si="0"/>
        <v>5.2052000000000005</v>
      </c>
      <c r="D16" s="8"/>
      <c r="E16" s="9">
        <f t="shared" si="1"/>
        <v>1.3435000000000006</v>
      </c>
      <c r="H16" s="10"/>
    </row>
    <row r="17" spans="1:8" x14ac:dyDescent="0.25">
      <c r="A17" s="7">
        <v>2</v>
      </c>
      <c r="B17" s="11">
        <f t="shared" si="0"/>
        <v>4.6468999999999996</v>
      </c>
      <c r="C17" s="11">
        <f t="shared" si="0"/>
        <v>6.1859000000000002</v>
      </c>
      <c r="D17" s="8"/>
      <c r="E17" s="9">
        <f t="shared" si="1"/>
        <v>1.5390000000000006</v>
      </c>
      <c r="H17" s="10"/>
    </row>
    <row r="18" spans="1:8" x14ac:dyDescent="0.25">
      <c r="A18" s="7">
        <v>3</v>
      </c>
      <c r="B18" s="11">
        <f t="shared" si="0"/>
        <v>5.3241000000000005</v>
      </c>
      <c r="C18" s="11">
        <f t="shared" si="0"/>
        <v>7.0377999999999998</v>
      </c>
      <c r="D18" s="8"/>
      <c r="E18" s="9">
        <f t="shared" si="1"/>
        <v>1.7136999999999993</v>
      </c>
      <c r="H18" s="10"/>
    </row>
    <row r="19" spans="1:8" x14ac:dyDescent="0.25">
      <c r="A19" s="7">
        <v>4</v>
      </c>
      <c r="B19" s="11">
        <f t="shared" si="0"/>
        <v>5.8999000000000006</v>
      </c>
      <c r="C19" s="11">
        <f t="shared" si="0"/>
        <v>7.7675000000000001</v>
      </c>
      <c r="D19" s="8"/>
      <c r="E19" s="9">
        <f t="shared" si="1"/>
        <v>1.8675999999999995</v>
      </c>
      <c r="H19" s="10"/>
    </row>
    <row r="20" spans="1:8" x14ac:dyDescent="0.25">
      <c r="A20" s="7">
        <v>5</v>
      </c>
      <c r="B20" s="11">
        <f t="shared" si="0"/>
        <v>6.3808999999999996</v>
      </c>
      <c r="C20" s="11">
        <f t="shared" si="0"/>
        <v>8.3815999999999988</v>
      </c>
      <c r="D20" s="8"/>
      <c r="E20" s="9">
        <f t="shared" si="1"/>
        <v>2.0006999999999993</v>
      </c>
      <c r="H20" s="10"/>
    </row>
    <row r="21" spans="1:8" x14ac:dyDescent="0.25">
      <c r="A21" s="7">
        <v>6</v>
      </c>
      <c r="B21" s="11">
        <f t="shared" si="0"/>
        <v>6.7737000000000007</v>
      </c>
      <c r="C21" s="11">
        <f t="shared" si="0"/>
        <v>8.8867000000000012</v>
      </c>
      <c r="D21" s="8"/>
      <c r="E21" s="9">
        <f t="shared" si="1"/>
        <v>2.1130000000000004</v>
      </c>
      <c r="H21" s="10"/>
    </row>
    <row r="22" spans="1:8" x14ac:dyDescent="0.25">
      <c r="A22" s="7">
        <v>7</v>
      </c>
      <c r="B22" s="11">
        <f t="shared" si="0"/>
        <v>7.0848999999999993</v>
      </c>
      <c r="C22" s="11">
        <f t="shared" si="0"/>
        <v>9.2894000000000005</v>
      </c>
      <c r="D22" s="8"/>
      <c r="E22" s="9">
        <f t="shared" si="1"/>
        <v>2.2045000000000012</v>
      </c>
      <c r="H22" s="10"/>
    </row>
    <row r="23" spans="1:8" x14ac:dyDescent="0.25">
      <c r="A23" s="7">
        <v>8</v>
      </c>
      <c r="B23" s="11">
        <f t="shared" si="0"/>
        <v>7.3211000000000004</v>
      </c>
      <c r="C23" s="11">
        <f t="shared" si="0"/>
        <v>9.5963000000000012</v>
      </c>
      <c r="D23" s="8"/>
      <c r="E23" s="9">
        <f t="shared" si="1"/>
        <v>2.2752000000000008</v>
      </c>
      <c r="H23" s="10"/>
    </row>
    <row r="24" spans="1:8" x14ac:dyDescent="0.25">
      <c r="A24" s="7">
        <v>9</v>
      </c>
      <c r="B24" s="11">
        <f t="shared" si="0"/>
        <v>7.488900000000001</v>
      </c>
      <c r="C24" s="11">
        <f t="shared" si="0"/>
        <v>9.8140000000000001</v>
      </c>
      <c r="D24" s="8"/>
      <c r="E24" s="9">
        <f t="shared" si="1"/>
        <v>2.3250999999999991</v>
      </c>
      <c r="H24" s="10"/>
    </row>
    <row r="25" spans="1:8" x14ac:dyDescent="0.25">
      <c r="A25" s="7">
        <v>10</v>
      </c>
      <c r="B25" s="11">
        <f t="shared" si="0"/>
        <v>7.5948999999999991</v>
      </c>
      <c r="C25" s="11">
        <f t="shared" si="0"/>
        <v>9.9490999999999996</v>
      </c>
      <c r="D25" s="8"/>
      <c r="E25" s="9">
        <f t="shared" si="1"/>
        <v>2.3542000000000005</v>
      </c>
      <c r="H25" s="10"/>
    </row>
    <row r="26" spans="1:8" x14ac:dyDescent="0.25">
      <c r="A26" s="7">
        <v>11</v>
      </c>
      <c r="B26" s="11">
        <f t="shared" si="0"/>
        <v>7.6457000000000006</v>
      </c>
      <c r="C26" s="11">
        <f t="shared" si="0"/>
        <v>10.008200000000002</v>
      </c>
      <c r="D26" s="8"/>
      <c r="E26" s="9">
        <f t="shared" si="1"/>
        <v>2.3625000000000016</v>
      </c>
      <c r="H26" s="10"/>
    </row>
    <row r="27" spans="1:8" x14ac:dyDescent="0.25">
      <c r="A27" s="7">
        <v>12</v>
      </c>
      <c r="B27" s="11">
        <f t="shared" si="0"/>
        <v>7.6479000000000017</v>
      </c>
      <c r="C27" s="11">
        <f t="shared" si="0"/>
        <v>9.9979000000000031</v>
      </c>
      <c r="D27" s="8"/>
      <c r="E27" s="9">
        <f t="shared" si="1"/>
        <v>2.3500000000000014</v>
      </c>
      <c r="H27" s="10"/>
    </row>
    <row r="28" spans="1:8" x14ac:dyDescent="0.25">
      <c r="A28" s="7">
        <v>13</v>
      </c>
      <c r="B28" s="11">
        <f t="shared" si="0"/>
        <v>7.6081000000000003</v>
      </c>
      <c r="C28" s="11">
        <f t="shared" si="0"/>
        <v>9.924800000000003</v>
      </c>
      <c r="D28" s="8"/>
      <c r="E28" s="9">
        <f t="shared" si="1"/>
        <v>2.3167000000000026</v>
      </c>
      <c r="H28" s="10"/>
    </row>
    <row r="29" spans="1:8" x14ac:dyDescent="0.25">
      <c r="A29" s="7">
        <v>14</v>
      </c>
      <c r="B29" s="11">
        <f t="shared" si="0"/>
        <v>7.5328999999999979</v>
      </c>
      <c r="C29" s="11">
        <f t="shared" si="0"/>
        <v>9.7955000000000023</v>
      </c>
      <c r="D29" s="8"/>
      <c r="E29" s="9">
        <f t="shared" si="1"/>
        <v>2.2626000000000044</v>
      </c>
      <c r="H29" s="10"/>
    </row>
    <row r="30" spans="1:8" x14ac:dyDescent="0.25">
      <c r="A30" s="7">
        <v>15</v>
      </c>
      <c r="B30" s="11">
        <f t="shared" si="0"/>
        <v>7.4288999999999987</v>
      </c>
      <c r="C30" s="11">
        <f t="shared" si="0"/>
        <v>9.6166000000000036</v>
      </c>
      <c r="D30" s="8"/>
      <c r="E30" s="9">
        <f t="shared" si="1"/>
        <v>2.1877000000000049</v>
      </c>
      <c r="H30" s="10"/>
    </row>
    <row r="31" spans="1:8" x14ac:dyDescent="0.25">
      <c r="A31" s="7">
        <v>16</v>
      </c>
      <c r="B31" s="11">
        <f t="shared" si="0"/>
        <v>7.3027000000000006</v>
      </c>
      <c r="C31" s="11">
        <f t="shared" si="0"/>
        <v>9.3947000000000038</v>
      </c>
      <c r="D31" s="8"/>
      <c r="E31" s="9">
        <f t="shared" si="1"/>
        <v>2.0920000000000032</v>
      </c>
      <c r="H31" s="10"/>
    </row>
    <row r="32" spans="1:8" x14ac:dyDescent="0.25">
      <c r="A32" s="7">
        <v>17</v>
      </c>
      <c r="B32" s="11">
        <f t="shared" si="0"/>
        <v>7.1608999999999989</v>
      </c>
      <c r="C32" s="11">
        <f t="shared" si="0"/>
        <v>9.1364000000000019</v>
      </c>
      <c r="D32" s="8"/>
      <c r="E32" s="9">
        <f t="shared" si="1"/>
        <v>1.9755000000000029</v>
      </c>
      <c r="H32" s="10"/>
    </row>
    <row r="33" spans="1:8" x14ac:dyDescent="0.25">
      <c r="A33" s="7">
        <v>18</v>
      </c>
      <c r="B33" s="11">
        <f t="shared" si="0"/>
        <v>7.0101000000000031</v>
      </c>
      <c r="C33" s="11">
        <f t="shared" si="0"/>
        <v>8.8483000000000036</v>
      </c>
      <c r="D33" s="8"/>
      <c r="E33" s="9">
        <f t="shared" si="1"/>
        <v>1.8382000000000005</v>
      </c>
      <c r="H33" s="10"/>
    </row>
    <row r="34" spans="1:8" x14ac:dyDescent="0.25">
      <c r="A34" s="7">
        <v>19</v>
      </c>
      <c r="B34" s="11">
        <f t="shared" si="0"/>
        <v>6.8569000000000013</v>
      </c>
      <c r="C34" s="11">
        <f t="shared" si="0"/>
        <v>8.5370000000000044</v>
      </c>
      <c r="D34" s="8"/>
      <c r="E34" s="9">
        <f t="shared" si="1"/>
        <v>1.680100000000003</v>
      </c>
      <c r="H34" s="10"/>
    </row>
    <row r="35" spans="1:8" x14ac:dyDescent="0.25">
      <c r="A35" s="7">
        <v>20</v>
      </c>
      <c r="B35" s="11">
        <f t="shared" si="0"/>
        <v>6.7078999999999986</v>
      </c>
      <c r="C35" s="11">
        <f t="shared" si="0"/>
        <v>8.209100000000003</v>
      </c>
      <c r="D35" s="8"/>
      <c r="E35" s="9">
        <f t="shared" si="1"/>
        <v>1.5012000000000043</v>
      </c>
      <c r="H35" s="10"/>
    </row>
    <row r="36" spans="1:8" x14ac:dyDescent="0.25">
      <c r="A36" s="7">
        <v>21</v>
      </c>
      <c r="B36" s="11">
        <f t="shared" si="0"/>
        <v>6.5697000000000045</v>
      </c>
      <c r="C36" s="11">
        <f t="shared" si="0"/>
        <v>7.8712000000000053</v>
      </c>
      <c r="D36" s="8"/>
      <c r="E36" s="9">
        <f t="shared" si="1"/>
        <v>1.3015000000000008</v>
      </c>
      <c r="H36" s="10"/>
    </row>
    <row r="37" spans="1:8" x14ac:dyDescent="0.25">
      <c r="A37" s="7">
        <v>22</v>
      </c>
      <c r="B37" s="11">
        <f t="shared" si="0"/>
        <v>6.4489000000000019</v>
      </c>
      <c r="C37" s="11">
        <f t="shared" si="0"/>
        <v>7.5299000000000049</v>
      </c>
      <c r="D37" s="8"/>
      <c r="E37" s="9">
        <f t="shared" si="1"/>
        <v>1.0810000000000031</v>
      </c>
      <c r="H37" s="10"/>
    </row>
    <row r="38" spans="1:8" x14ac:dyDescent="0.25">
      <c r="A38" s="7">
        <v>23</v>
      </c>
      <c r="B38" s="11">
        <f t="shared" si="0"/>
        <v>6.3521000000000001</v>
      </c>
      <c r="C38" s="11">
        <f t="shared" si="0"/>
        <v>7.1918000000000042</v>
      </c>
      <c r="D38" s="8"/>
      <c r="E38" s="9">
        <f t="shared" si="1"/>
        <v>0.83970000000000411</v>
      </c>
      <c r="H38" s="10"/>
    </row>
    <row r="39" spans="1:8" x14ac:dyDescent="0.25">
      <c r="A39" s="7">
        <v>24</v>
      </c>
      <c r="B39" s="11">
        <f t="shared" si="0"/>
        <v>6.2859000000000034</v>
      </c>
      <c r="C39" s="11">
        <f t="shared" si="0"/>
        <v>6.8635000000000073</v>
      </c>
      <c r="D39" s="8"/>
      <c r="E39" s="9">
        <f t="shared" si="1"/>
        <v>0.57760000000000389</v>
      </c>
      <c r="H39" s="10"/>
    </row>
    <row r="40" spans="1:8" x14ac:dyDescent="0.25">
      <c r="A40" s="7">
        <v>25</v>
      </c>
      <c r="B40" s="11">
        <f t="shared" si="0"/>
        <v>6.2569000000000017</v>
      </c>
      <c r="C40" s="11">
        <f t="shared" si="0"/>
        <v>6.5516000000000076</v>
      </c>
      <c r="D40" s="8"/>
      <c r="E40" s="9">
        <f t="shared" si="1"/>
        <v>0.29470000000000596</v>
      </c>
      <c r="H40" s="10"/>
    </row>
    <row r="41" spans="1:8" x14ac:dyDescent="0.25">
      <c r="A41" s="7">
        <v>30</v>
      </c>
      <c r="B41" s="11">
        <f t="shared" si="0"/>
        <v>6.9009000000000036</v>
      </c>
      <c r="C41" s="11">
        <f t="shared" si="0"/>
        <v>5.4691000000000116</v>
      </c>
      <c r="D41" s="8"/>
      <c r="E41" s="9">
        <f t="shared" si="1"/>
        <v>-1.431799999999992</v>
      </c>
      <c r="H41" s="10"/>
    </row>
    <row r="42" spans="1:8" x14ac:dyDescent="0.25">
      <c r="B42" s="11"/>
      <c r="C42" s="12"/>
      <c r="D42" s="8"/>
      <c r="E42" s="9"/>
      <c r="H42" s="10"/>
    </row>
    <row r="43" spans="1:8" x14ac:dyDescent="0.25">
      <c r="B43" s="11"/>
      <c r="C43" s="12"/>
      <c r="D43" s="8"/>
      <c r="E43" s="9"/>
      <c r="H43" s="10"/>
    </row>
    <row r="44" spans="1:8" x14ac:dyDescent="0.25">
      <c r="B44" s="11"/>
      <c r="C44" s="12"/>
      <c r="D44" s="8"/>
      <c r="E44" s="9"/>
      <c r="H44" s="10"/>
    </row>
    <row r="45" spans="1:8" x14ac:dyDescent="0.25">
      <c r="B45" s="11"/>
      <c r="C45" s="12"/>
      <c r="D45" s="8"/>
      <c r="E45" s="9"/>
      <c r="H45" s="10"/>
    </row>
    <row r="46" spans="1:8" x14ac:dyDescent="0.25">
      <c r="B46" s="11"/>
      <c r="C46" s="12"/>
      <c r="D46" s="8"/>
      <c r="E46" s="9"/>
      <c r="H46" s="10"/>
    </row>
    <row r="47" spans="1:8" x14ac:dyDescent="0.25">
      <c r="B47" s="11"/>
      <c r="C47" s="12"/>
      <c r="D47" s="8"/>
      <c r="E47" s="9"/>
      <c r="H47" s="10"/>
    </row>
    <row r="48" spans="1:8" x14ac:dyDescent="0.25">
      <c r="B48" s="11"/>
      <c r="C48" s="12"/>
      <c r="D48" s="8"/>
      <c r="E48" s="9"/>
      <c r="H48" s="10"/>
    </row>
    <row r="49" spans="2:8" x14ac:dyDescent="0.25">
      <c r="B49" s="11"/>
      <c r="C49" s="12"/>
      <c r="D49" s="8"/>
      <c r="E49" s="9"/>
      <c r="H49" s="10"/>
    </row>
    <row r="50" spans="2:8" x14ac:dyDescent="0.25">
      <c r="B50" s="11"/>
      <c r="C50" s="12"/>
      <c r="D50" s="8"/>
      <c r="E50" s="9"/>
      <c r="H50" s="10"/>
    </row>
    <row r="51" spans="2:8" x14ac:dyDescent="0.25">
      <c r="B51" s="11"/>
      <c r="C51" s="12"/>
      <c r="D51" s="8"/>
      <c r="E51" s="9"/>
      <c r="H51" s="10"/>
    </row>
    <row r="52" spans="2:8" x14ac:dyDescent="0.25">
      <c r="B52" s="11"/>
      <c r="C52" s="12"/>
      <c r="D52" s="8"/>
      <c r="E52" s="9"/>
      <c r="H52" s="10"/>
    </row>
    <row r="53" spans="2:8" x14ac:dyDescent="0.25">
      <c r="B53" s="11"/>
      <c r="C53" s="12"/>
      <c r="D53" s="8"/>
      <c r="E53" s="9"/>
      <c r="H53" s="10"/>
    </row>
    <row r="54" spans="2:8" x14ac:dyDescent="0.25">
      <c r="B54" s="11"/>
      <c r="C54" s="12"/>
      <c r="D54" s="8"/>
      <c r="E54" s="9"/>
      <c r="H54" s="10"/>
    </row>
    <row r="55" spans="2:8" x14ac:dyDescent="0.25">
      <c r="B55" s="11"/>
      <c r="C55" s="12"/>
      <c r="D55" s="8"/>
      <c r="E55" s="9"/>
      <c r="H55" s="10"/>
    </row>
    <row r="56" spans="2:8" x14ac:dyDescent="0.25">
      <c r="B56" s="11"/>
      <c r="C56" s="12"/>
      <c r="D56" s="8"/>
      <c r="E56" s="9"/>
      <c r="H56" s="10"/>
    </row>
    <row r="57" spans="2:8" x14ac:dyDescent="0.25">
      <c r="B57" s="11"/>
      <c r="C57" s="12"/>
      <c r="D57" s="8"/>
      <c r="E57" s="9"/>
      <c r="H57" s="10"/>
    </row>
    <row r="58" spans="2:8" x14ac:dyDescent="0.25">
      <c r="B58" s="11"/>
      <c r="C58" s="12"/>
      <c r="D58" s="8"/>
      <c r="E58" s="9"/>
      <c r="H58" s="10"/>
    </row>
    <row r="59" spans="2:8" x14ac:dyDescent="0.25">
      <c r="B59" s="11"/>
      <c r="C59" s="12"/>
      <c r="D59" s="8"/>
      <c r="E59" s="9"/>
      <c r="H59" s="10"/>
    </row>
    <row r="60" spans="2:8" x14ac:dyDescent="0.25">
      <c r="B60" s="11"/>
      <c r="C60" s="12"/>
      <c r="D60" s="8"/>
      <c r="E60" s="9"/>
      <c r="H60" s="10"/>
    </row>
    <row r="61" spans="2:8" x14ac:dyDescent="0.25">
      <c r="B61" s="11"/>
      <c r="C61" s="12"/>
      <c r="D61" s="8"/>
      <c r="E61" s="9"/>
      <c r="H61" s="10"/>
    </row>
    <row r="62" spans="2:8" x14ac:dyDescent="0.25">
      <c r="B62" s="11"/>
      <c r="C62" s="12"/>
      <c r="D62" s="8"/>
      <c r="E62" s="9"/>
      <c r="H62" s="10"/>
    </row>
    <row r="63" spans="2:8" x14ac:dyDescent="0.25">
      <c r="B63" s="11"/>
      <c r="C63" s="12"/>
      <c r="D63" s="8"/>
      <c r="E63" s="9"/>
      <c r="H63" s="10"/>
    </row>
    <row r="64" spans="2:8" x14ac:dyDescent="0.25">
      <c r="B64" s="11"/>
      <c r="C64" s="12"/>
      <c r="D64" s="8"/>
      <c r="E64" s="9"/>
      <c r="H64" s="10"/>
    </row>
    <row r="65" spans="2:8" x14ac:dyDescent="0.25">
      <c r="B65" s="11"/>
      <c r="C65" s="12"/>
      <c r="D65" s="8"/>
      <c r="E65" s="9"/>
      <c r="H65" s="10"/>
    </row>
    <row r="66" spans="2:8" x14ac:dyDescent="0.25">
      <c r="B66" s="11"/>
      <c r="C66" s="12"/>
      <c r="D66" s="8"/>
      <c r="E66" s="9"/>
      <c r="H66" s="10"/>
    </row>
    <row r="67" spans="2:8" x14ac:dyDescent="0.25">
      <c r="B67" s="11"/>
      <c r="C67" s="12"/>
      <c r="D67" s="8"/>
      <c r="E67" s="9"/>
      <c r="H67" s="10"/>
    </row>
    <row r="68" spans="2:8" x14ac:dyDescent="0.25">
      <c r="B68" s="11"/>
      <c r="C68" s="12"/>
      <c r="D68" s="8"/>
      <c r="E68" s="9"/>
      <c r="H68" s="10"/>
    </row>
    <row r="69" spans="2:8" x14ac:dyDescent="0.25">
      <c r="B69" s="11"/>
      <c r="C69" s="12"/>
      <c r="D69" s="8"/>
      <c r="E69" s="9"/>
      <c r="H69" s="10"/>
    </row>
    <row r="70" spans="2:8" x14ac:dyDescent="0.25">
      <c r="B70" s="11"/>
      <c r="C70" s="12"/>
      <c r="D70" s="8"/>
      <c r="E70" s="9"/>
      <c r="H70" s="10"/>
    </row>
    <row r="71" spans="2:8" x14ac:dyDescent="0.25">
      <c r="B71" s="11"/>
      <c r="C71" s="12"/>
      <c r="D71" s="8"/>
      <c r="E71" s="9"/>
      <c r="H71" s="10"/>
    </row>
    <row r="72" spans="2:8" x14ac:dyDescent="0.25">
      <c r="B72" s="11"/>
      <c r="C72" s="12"/>
      <c r="D72" s="8"/>
      <c r="E72" s="9"/>
      <c r="H72" s="10"/>
    </row>
    <row r="73" spans="2:8" x14ac:dyDescent="0.25">
      <c r="B73" s="11"/>
      <c r="C73" s="12"/>
      <c r="D73" s="8"/>
      <c r="E73" s="9"/>
      <c r="H73" s="10"/>
    </row>
    <row r="74" spans="2:8" x14ac:dyDescent="0.25">
      <c r="B74" s="11"/>
      <c r="C74" s="12"/>
      <c r="D74" s="8"/>
      <c r="E74" s="9"/>
      <c r="H74" s="10"/>
    </row>
    <row r="75" spans="2:8" x14ac:dyDescent="0.25">
      <c r="B75" s="11"/>
      <c r="C75" s="12"/>
      <c r="D75" s="8"/>
      <c r="E75" s="9"/>
      <c r="H75" s="10"/>
    </row>
    <row r="76" spans="2:8" x14ac:dyDescent="0.25">
      <c r="B76" s="11"/>
      <c r="C76" s="12"/>
      <c r="D76" s="8"/>
      <c r="E76" s="9"/>
      <c r="H76" s="10"/>
    </row>
    <row r="77" spans="2:8" x14ac:dyDescent="0.25">
      <c r="B77" s="11"/>
      <c r="C77" s="12"/>
      <c r="D77" s="8"/>
      <c r="E77" s="9"/>
      <c r="H77" s="10"/>
    </row>
    <row r="78" spans="2:8" x14ac:dyDescent="0.25">
      <c r="B78" s="11"/>
      <c r="C78" s="12"/>
      <c r="D78" s="8"/>
      <c r="E78" s="9"/>
      <c r="H78" s="10"/>
    </row>
    <row r="79" spans="2:8" x14ac:dyDescent="0.25">
      <c r="B79" s="11"/>
      <c r="C79" s="12"/>
      <c r="D79" s="8"/>
      <c r="E79" s="9"/>
      <c r="H79" s="10"/>
    </row>
    <row r="80" spans="2:8" x14ac:dyDescent="0.25">
      <c r="B80" s="11"/>
      <c r="C80" s="12"/>
      <c r="D80" s="8"/>
      <c r="E80" s="9"/>
      <c r="H80" s="10"/>
    </row>
    <row r="81" spans="2:8" x14ac:dyDescent="0.25">
      <c r="B81" s="11"/>
      <c r="C81" s="12"/>
      <c r="D81" s="8"/>
      <c r="E81" s="9"/>
      <c r="H81" s="10"/>
    </row>
    <row r="82" spans="2:8" x14ac:dyDescent="0.25">
      <c r="B82" s="11"/>
      <c r="C82" s="12"/>
      <c r="D82" s="8"/>
      <c r="E82" s="9"/>
      <c r="H82" s="10"/>
    </row>
    <row r="83" spans="2:8" x14ac:dyDescent="0.25">
      <c r="B83" s="11"/>
      <c r="C83" s="12"/>
      <c r="D83" s="8"/>
      <c r="E83" s="9"/>
      <c r="H83" s="10"/>
    </row>
    <row r="84" spans="2:8" x14ac:dyDescent="0.25">
      <c r="B84" s="11"/>
      <c r="C84" s="12"/>
      <c r="D84" s="8"/>
      <c r="E84" s="9"/>
      <c r="H84" s="10"/>
    </row>
    <row r="85" spans="2:8" x14ac:dyDescent="0.25">
      <c r="B85" s="11"/>
      <c r="C85" s="12"/>
      <c r="D85" s="8"/>
      <c r="E85" s="9"/>
      <c r="H85" s="10"/>
    </row>
    <row r="86" spans="2:8" x14ac:dyDescent="0.25">
      <c r="B86" s="11"/>
      <c r="C86" s="12"/>
      <c r="D86" s="8"/>
      <c r="E86" s="9"/>
      <c r="H86" s="10"/>
    </row>
    <row r="87" spans="2:8" x14ac:dyDescent="0.25">
      <c r="B87" s="11"/>
      <c r="C87" s="12"/>
      <c r="D87" s="8"/>
      <c r="E87" s="9"/>
      <c r="H87" s="10"/>
    </row>
    <row r="88" spans="2:8" x14ac:dyDescent="0.25">
      <c r="B88" s="11"/>
      <c r="C88" s="12"/>
      <c r="D88" s="8"/>
      <c r="E88" s="9"/>
      <c r="H88" s="10"/>
    </row>
    <row r="89" spans="2:8" x14ac:dyDescent="0.25">
      <c r="B89" s="11"/>
      <c r="C89" s="12"/>
      <c r="D89" s="8"/>
      <c r="E89" s="9"/>
      <c r="H89" s="10"/>
    </row>
    <row r="90" spans="2:8" x14ac:dyDescent="0.25">
      <c r="B90" s="11"/>
      <c r="C90" s="12"/>
      <c r="D90" s="8"/>
      <c r="E90" s="9"/>
      <c r="H90" s="10"/>
    </row>
    <row r="91" spans="2:8" x14ac:dyDescent="0.25">
      <c r="B91" s="11"/>
      <c r="C91" s="12"/>
      <c r="D91" s="8"/>
      <c r="E91" s="9"/>
      <c r="H91" s="10"/>
    </row>
    <row r="92" spans="2:8" x14ac:dyDescent="0.25">
      <c r="B92" s="11"/>
      <c r="C92" s="12"/>
      <c r="D92" s="8"/>
      <c r="E92" s="9"/>
      <c r="H92" s="10"/>
    </row>
    <row r="93" spans="2:8" x14ac:dyDescent="0.25">
      <c r="B93" s="11"/>
      <c r="C93" s="12"/>
      <c r="D93" s="8"/>
      <c r="E93" s="9"/>
      <c r="H93" s="10"/>
    </row>
    <row r="94" spans="2:8" x14ac:dyDescent="0.25">
      <c r="B94" s="11"/>
      <c r="C94" s="12"/>
      <c r="D94" s="8"/>
      <c r="E94" s="9"/>
      <c r="H94" s="10"/>
    </row>
    <row r="95" spans="2:8" x14ac:dyDescent="0.25">
      <c r="B95" s="11"/>
      <c r="C95" s="12"/>
      <c r="D95" s="8"/>
      <c r="E95" s="9"/>
      <c r="H95" s="10"/>
    </row>
    <row r="96" spans="2:8" x14ac:dyDescent="0.25">
      <c r="B96" s="11"/>
      <c r="C96" s="12"/>
      <c r="D96" s="8"/>
      <c r="E96" s="9"/>
      <c r="H96" s="10"/>
    </row>
    <row r="97" spans="2:8" x14ac:dyDescent="0.25">
      <c r="B97" s="11"/>
      <c r="C97" s="12"/>
      <c r="D97" s="8"/>
      <c r="E97" s="9"/>
      <c r="H97" s="10"/>
    </row>
    <row r="98" spans="2:8" x14ac:dyDescent="0.25">
      <c r="B98" s="11"/>
      <c r="C98" s="12"/>
      <c r="D98" s="8"/>
      <c r="E98" s="9"/>
      <c r="H98" s="10"/>
    </row>
    <row r="99" spans="2:8" x14ac:dyDescent="0.25">
      <c r="B99" s="11"/>
      <c r="C99" s="12"/>
      <c r="D99" s="8"/>
      <c r="E99" s="9"/>
      <c r="H99" s="10"/>
    </row>
    <row r="100" spans="2:8" x14ac:dyDescent="0.25">
      <c r="B100" s="11"/>
      <c r="C100" s="12"/>
      <c r="D100" s="8"/>
      <c r="E100" s="9"/>
      <c r="H100" s="10"/>
    </row>
    <row r="101" spans="2:8" x14ac:dyDescent="0.25">
      <c r="B101" s="11"/>
      <c r="C101" s="12"/>
      <c r="D101" s="8"/>
      <c r="E101" s="9"/>
      <c r="H101" s="10"/>
    </row>
    <row r="102" spans="2:8" x14ac:dyDescent="0.25">
      <c r="B102" s="11"/>
      <c r="C102" s="12"/>
      <c r="D102" s="8"/>
      <c r="E102" s="9"/>
      <c r="H102" s="10"/>
    </row>
    <row r="103" spans="2:8" x14ac:dyDescent="0.25">
      <c r="B103" s="11"/>
      <c r="C103" s="12"/>
      <c r="D103" s="8"/>
      <c r="E103" s="9"/>
      <c r="H103" s="10"/>
    </row>
    <row r="104" spans="2:8" x14ac:dyDescent="0.25">
      <c r="B104" s="11"/>
      <c r="C104" s="12"/>
      <c r="D104" s="8"/>
      <c r="E104" s="9"/>
      <c r="H104" s="10"/>
    </row>
    <row r="105" spans="2:8" x14ac:dyDescent="0.25">
      <c r="B105" s="11"/>
      <c r="C105" s="12"/>
      <c r="D105" s="8"/>
      <c r="E105" s="9"/>
      <c r="H105" s="10"/>
    </row>
    <row r="106" spans="2:8" x14ac:dyDescent="0.25">
      <c r="B106" s="11"/>
      <c r="C106" s="12"/>
      <c r="D106" s="8"/>
      <c r="E106" s="9"/>
      <c r="H106" s="10"/>
    </row>
    <row r="107" spans="2:8" x14ac:dyDescent="0.25">
      <c r="B107" s="11"/>
      <c r="C107" s="12"/>
      <c r="D107" s="8"/>
      <c r="E107" s="9"/>
      <c r="H107" s="10"/>
    </row>
    <row r="108" spans="2:8" x14ac:dyDescent="0.25">
      <c r="B108" s="11"/>
      <c r="C108" s="12"/>
      <c r="D108" s="8"/>
      <c r="E108" s="9"/>
      <c r="H108" s="10"/>
    </row>
    <row r="109" spans="2:8" x14ac:dyDescent="0.25">
      <c r="B109" s="11"/>
      <c r="C109" s="12"/>
      <c r="D109" s="8"/>
      <c r="E109" s="9"/>
      <c r="H109" s="10"/>
    </row>
    <row r="110" spans="2:8" x14ac:dyDescent="0.25">
      <c r="B110" s="11"/>
      <c r="C110" s="12"/>
      <c r="D110" s="8"/>
      <c r="E110" s="9"/>
      <c r="H110" s="10"/>
    </row>
    <row r="111" spans="2:8" x14ac:dyDescent="0.25">
      <c r="B111" s="11"/>
      <c r="C111" s="12"/>
      <c r="D111" s="8"/>
      <c r="E111" s="9"/>
      <c r="H111" s="10"/>
    </row>
    <row r="112" spans="2:8" x14ac:dyDescent="0.25">
      <c r="B112" s="11"/>
      <c r="C112" s="12"/>
      <c r="D112" s="8"/>
      <c r="E112" s="9"/>
      <c r="H112" s="10"/>
    </row>
    <row r="113" spans="2:8" x14ac:dyDescent="0.25">
      <c r="B113" s="11"/>
      <c r="C113" s="12"/>
      <c r="D113" s="8"/>
      <c r="E113" s="9"/>
      <c r="H113" s="10"/>
    </row>
    <row r="114" spans="2:8" x14ac:dyDescent="0.25">
      <c r="B114" s="11"/>
      <c r="C114" s="12"/>
      <c r="D114" s="8"/>
      <c r="E114" s="9"/>
      <c r="H114" s="10"/>
    </row>
    <row r="115" spans="2:8" x14ac:dyDescent="0.25">
      <c r="B115" s="11"/>
      <c r="C115" s="12"/>
      <c r="D115" s="8"/>
      <c r="E115" s="9"/>
      <c r="H115" s="10"/>
    </row>
    <row r="116" spans="2:8" x14ac:dyDescent="0.25">
      <c r="B116" s="11"/>
      <c r="C116" s="12"/>
      <c r="D116" s="8"/>
      <c r="E116" s="9"/>
      <c r="H116" s="10"/>
    </row>
    <row r="117" spans="2:8" x14ac:dyDescent="0.25">
      <c r="B117" s="11"/>
      <c r="C117" s="12"/>
      <c r="D117" s="8"/>
      <c r="E117" s="9"/>
      <c r="H117" s="10"/>
    </row>
    <row r="118" spans="2:8" x14ac:dyDescent="0.25">
      <c r="B118" s="11"/>
      <c r="C118" s="12"/>
      <c r="D118" s="8"/>
      <c r="E118" s="9"/>
      <c r="H118" s="10"/>
    </row>
    <row r="119" spans="2:8" x14ac:dyDescent="0.25">
      <c r="B119" s="11"/>
      <c r="C119" s="12"/>
      <c r="D119" s="8"/>
      <c r="E119" s="9"/>
      <c r="H119" s="10"/>
    </row>
    <row r="120" spans="2:8" x14ac:dyDescent="0.25">
      <c r="B120" s="11"/>
      <c r="C120" s="12"/>
      <c r="D120" s="8"/>
      <c r="E120" s="9"/>
      <c r="H120" s="10"/>
    </row>
    <row r="121" spans="2:8" x14ac:dyDescent="0.25">
      <c r="B121" s="11"/>
      <c r="C121" s="12"/>
      <c r="D121" s="8"/>
      <c r="E121" s="9"/>
      <c r="H121" s="10"/>
    </row>
    <row r="122" spans="2:8" x14ac:dyDescent="0.25">
      <c r="B122" s="11"/>
      <c r="C122" s="12"/>
      <c r="D122" s="8"/>
      <c r="E122" s="9"/>
      <c r="H122" s="10"/>
    </row>
    <row r="123" spans="2:8" x14ac:dyDescent="0.25">
      <c r="B123" s="11"/>
      <c r="C123" s="12"/>
      <c r="D123" s="8"/>
      <c r="E123" s="9"/>
      <c r="H123" s="10"/>
    </row>
    <row r="124" spans="2:8" x14ac:dyDescent="0.25">
      <c r="B124" s="11"/>
      <c r="C124" s="12"/>
      <c r="D124" s="8"/>
      <c r="E124" s="9"/>
      <c r="H124" s="10"/>
    </row>
    <row r="125" spans="2:8" x14ac:dyDescent="0.25">
      <c r="B125" s="11"/>
      <c r="C125" s="12"/>
      <c r="D125" s="8"/>
      <c r="E125" s="9"/>
      <c r="H125" s="10"/>
    </row>
    <row r="126" spans="2:8" x14ac:dyDescent="0.25">
      <c r="B126" s="11"/>
      <c r="C126" s="12"/>
      <c r="D126" s="8"/>
      <c r="E126" s="9"/>
      <c r="H126" s="10"/>
    </row>
    <row r="127" spans="2:8" x14ac:dyDescent="0.25">
      <c r="B127" s="11"/>
      <c r="C127" s="12"/>
      <c r="D127" s="8"/>
      <c r="E127" s="9"/>
      <c r="H127" s="10"/>
    </row>
    <row r="128" spans="2:8" x14ac:dyDescent="0.25">
      <c r="B128" s="11"/>
      <c r="C128" s="12"/>
      <c r="D128" s="8"/>
      <c r="E128" s="9"/>
      <c r="H128" s="10"/>
    </row>
    <row r="129" spans="2:8" x14ac:dyDescent="0.25">
      <c r="B129" s="11"/>
      <c r="C129" s="12"/>
      <c r="D129" s="8"/>
      <c r="E129" s="9"/>
      <c r="H129" s="10"/>
    </row>
    <row r="130" spans="2:8" x14ac:dyDescent="0.25">
      <c r="B130" s="11"/>
      <c r="C130" s="12"/>
      <c r="D130" s="8"/>
      <c r="E130" s="9"/>
      <c r="H130" s="10"/>
    </row>
    <row r="131" spans="2:8" x14ac:dyDescent="0.25">
      <c r="B131" s="11"/>
      <c r="C131" s="12"/>
      <c r="D131" s="8"/>
      <c r="E131" s="9"/>
      <c r="H131" s="10"/>
    </row>
    <row r="132" spans="2:8" x14ac:dyDescent="0.25">
      <c r="B132" s="11"/>
      <c r="C132" s="12"/>
      <c r="D132" s="8"/>
      <c r="E132" s="9"/>
      <c r="H132" s="10"/>
    </row>
    <row r="133" spans="2:8" x14ac:dyDescent="0.25">
      <c r="B133" s="11"/>
      <c r="C133" s="12"/>
      <c r="D133" s="8"/>
      <c r="E133" s="9"/>
      <c r="H133" s="10"/>
    </row>
    <row r="134" spans="2:8" x14ac:dyDescent="0.25">
      <c r="B134" s="11"/>
      <c r="C134" s="12"/>
      <c r="D134" s="8"/>
      <c r="E134" s="9"/>
      <c r="H134" s="10"/>
    </row>
    <row r="135" spans="2:8" x14ac:dyDescent="0.25">
      <c r="B135" s="11"/>
      <c r="C135" s="12"/>
      <c r="D135" s="8"/>
      <c r="E135" s="9"/>
      <c r="H135" s="10"/>
    </row>
    <row r="136" spans="2:8" x14ac:dyDescent="0.25">
      <c r="B136" s="11"/>
      <c r="C136" s="12"/>
      <c r="D136" s="8"/>
      <c r="E136" s="9"/>
      <c r="H136" s="10"/>
    </row>
    <row r="137" spans="2:8" x14ac:dyDescent="0.25">
      <c r="B137" s="11"/>
      <c r="C137" s="12"/>
      <c r="D137" s="8"/>
      <c r="E137" s="9"/>
      <c r="H137" s="10"/>
    </row>
    <row r="138" spans="2:8" x14ac:dyDescent="0.25">
      <c r="B138" s="11"/>
      <c r="C138" s="12"/>
      <c r="D138" s="8"/>
      <c r="E138" s="9"/>
      <c r="H138" s="10"/>
    </row>
    <row r="139" spans="2:8" x14ac:dyDescent="0.25">
      <c r="B139" s="11"/>
      <c r="C139" s="12"/>
      <c r="D139" s="8"/>
      <c r="E139" s="9"/>
      <c r="H139" s="10"/>
    </row>
    <row r="140" spans="2:8" x14ac:dyDescent="0.25">
      <c r="B140" s="11"/>
      <c r="C140" s="12"/>
      <c r="D140" s="8"/>
      <c r="E140" s="9"/>
      <c r="H140" s="10"/>
    </row>
    <row r="141" spans="2:8" x14ac:dyDescent="0.25">
      <c r="B141" s="11"/>
      <c r="C141" s="12"/>
      <c r="D141" s="8"/>
      <c r="E141" s="9"/>
      <c r="H141" s="10"/>
    </row>
    <row r="142" spans="2:8" x14ac:dyDescent="0.25">
      <c r="B142" s="11"/>
      <c r="C142" s="12"/>
      <c r="D142" s="8"/>
      <c r="E142" s="9"/>
      <c r="H142" s="10"/>
    </row>
    <row r="143" spans="2:8" x14ac:dyDescent="0.25">
      <c r="B143" s="11"/>
      <c r="C143" s="12"/>
      <c r="D143" s="8"/>
      <c r="E143" s="9"/>
      <c r="H143" s="10"/>
    </row>
    <row r="144" spans="2:8" x14ac:dyDescent="0.25">
      <c r="B144" s="11"/>
      <c r="C144" s="12"/>
      <c r="D144" s="8"/>
      <c r="E144" s="9"/>
      <c r="H144" s="10"/>
    </row>
    <row r="145" spans="2:8" x14ac:dyDescent="0.25">
      <c r="B145" s="11"/>
      <c r="C145" s="12"/>
      <c r="D145" s="8"/>
      <c r="E145" s="9"/>
      <c r="H145" s="10"/>
    </row>
    <row r="146" spans="2:8" x14ac:dyDescent="0.25">
      <c r="B146" s="11"/>
      <c r="C146" s="12"/>
      <c r="D146" s="8"/>
      <c r="E146" s="9"/>
      <c r="H146" s="10"/>
    </row>
    <row r="147" spans="2:8" x14ac:dyDescent="0.25">
      <c r="B147" s="11"/>
      <c r="C147" s="12"/>
      <c r="D147" s="8"/>
      <c r="E147" s="9"/>
      <c r="H147" s="10"/>
    </row>
    <row r="148" spans="2:8" x14ac:dyDescent="0.25">
      <c r="B148" s="11"/>
      <c r="C148" s="12"/>
      <c r="D148" s="8"/>
      <c r="E148" s="9"/>
      <c r="H148" s="10"/>
    </row>
    <row r="149" spans="2:8" x14ac:dyDescent="0.25">
      <c r="B149" s="11"/>
      <c r="C149" s="12"/>
      <c r="D149" s="8"/>
      <c r="E149" s="9"/>
      <c r="H149" s="10"/>
    </row>
    <row r="150" spans="2:8" x14ac:dyDescent="0.25">
      <c r="B150" s="11"/>
      <c r="C150" s="12"/>
      <c r="D150" s="8"/>
      <c r="E150" s="9"/>
      <c r="H150" s="10"/>
    </row>
    <row r="151" spans="2:8" x14ac:dyDescent="0.25">
      <c r="B151" s="11"/>
      <c r="C151" s="12"/>
      <c r="D151" s="8"/>
      <c r="E151" s="9"/>
      <c r="H151" s="10"/>
    </row>
    <row r="152" spans="2:8" x14ac:dyDescent="0.25">
      <c r="B152" s="11"/>
      <c r="C152" s="12"/>
      <c r="D152" s="8"/>
      <c r="E152" s="9"/>
      <c r="H152" s="10"/>
    </row>
    <row r="153" spans="2:8" x14ac:dyDescent="0.25">
      <c r="B153" s="11"/>
      <c r="C153" s="12"/>
      <c r="D153" s="8"/>
      <c r="E153" s="9"/>
      <c r="H153" s="10"/>
    </row>
    <row r="154" spans="2:8" x14ac:dyDescent="0.25">
      <c r="B154" s="11"/>
      <c r="C154" s="12"/>
      <c r="D154" s="8"/>
      <c r="E154" s="9"/>
      <c r="H154" s="10"/>
    </row>
    <row r="155" spans="2:8" x14ac:dyDescent="0.25">
      <c r="B155" s="11"/>
      <c r="C155" s="12"/>
      <c r="D155" s="8"/>
      <c r="E155" s="9"/>
      <c r="H155" s="10"/>
    </row>
    <row r="156" spans="2:8" x14ac:dyDescent="0.25">
      <c r="B156" s="11"/>
      <c r="C156" s="12"/>
      <c r="D156" s="8"/>
      <c r="E156" s="9"/>
      <c r="H156" s="10"/>
    </row>
    <row r="157" spans="2:8" x14ac:dyDescent="0.25">
      <c r="B157" s="11"/>
      <c r="C157" s="12"/>
      <c r="D157" s="8"/>
      <c r="E157" s="9"/>
      <c r="H157" s="10"/>
    </row>
    <row r="158" spans="2:8" x14ac:dyDescent="0.25">
      <c r="B158" s="11"/>
      <c r="C158" s="12"/>
      <c r="D158" s="8"/>
      <c r="E158" s="9"/>
      <c r="H158" s="10"/>
    </row>
    <row r="159" spans="2:8" x14ac:dyDescent="0.25">
      <c r="B159" s="11"/>
      <c r="C159" s="12"/>
      <c r="D159" s="8"/>
      <c r="E159" s="9"/>
      <c r="H159" s="10"/>
    </row>
    <row r="160" spans="2:8" x14ac:dyDescent="0.25">
      <c r="B160" s="11"/>
      <c r="C160" s="12"/>
      <c r="D160" s="8"/>
      <c r="E160" s="9"/>
      <c r="H160" s="10"/>
    </row>
    <row r="161" spans="2:8" x14ac:dyDescent="0.25">
      <c r="B161" s="11"/>
      <c r="C161" s="12"/>
      <c r="D161" s="8"/>
      <c r="E161" s="9"/>
      <c r="H161" s="10"/>
    </row>
    <row r="162" spans="2:8" x14ac:dyDescent="0.25">
      <c r="B162" s="11"/>
      <c r="C162" s="12"/>
      <c r="D162" s="8"/>
      <c r="E162" s="9"/>
      <c r="H162" s="10"/>
    </row>
    <row r="163" spans="2:8" x14ac:dyDescent="0.25">
      <c r="B163" s="11"/>
      <c r="C163" s="12"/>
      <c r="D163" s="8"/>
      <c r="E163" s="9"/>
      <c r="H163" s="10"/>
    </row>
    <row r="164" spans="2:8" x14ac:dyDescent="0.25">
      <c r="B164" s="11"/>
      <c r="C164" s="12"/>
      <c r="D164" s="8"/>
      <c r="E164" s="9"/>
      <c r="H164" s="10"/>
    </row>
    <row r="165" spans="2:8" x14ac:dyDescent="0.25">
      <c r="B165" s="11"/>
      <c r="C165" s="12"/>
      <c r="D165" s="8"/>
      <c r="E165" s="9"/>
      <c r="H165" s="10"/>
    </row>
    <row r="166" spans="2:8" x14ac:dyDescent="0.25">
      <c r="B166" s="11"/>
      <c r="C166" s="12"/>
      <c r="D166" s="8"/>
      <c r="E166" s="9"/>
      <c r="H166" s="10"/>
    </row>
    <row r="167" spans="2:8" x14ac:dyDescent="0.25">
      <c r="B167" s="11"/>
      <c r="C167" s="12"/>
      <c r="D167" s="8"/>
      <c r="E167" s="9"/>
      <c r="H167" s="10"/>
    </row>
    <row r="168" spans="2:8" x14ac:dyDescent="0.25">
      <c r="B168" s="11"/>
      <c r="C168" s="12"/>
      <c r="D168" s="8"/>
      <c r="E168" s="9"/>
      <c r="H168" s="10"/>
    </row>
    <row r="169" spans="2:8" x14ac:dyDescent="0.25">
      <c r="B169" s="11"/>
      <c r="C169" s="12"/>
      <c r="D169" s="8"/>
      <c r="E169" s="9"/>
      <c r="H169" s="10"/>
    </row>
    <row r="170" spans="2:8" x14ac:dyDescent="0.25">
      <c r="B170" s="11"/>
      <c r="C170" s="12"/>
      <c r="D170" s="8"/>
      <c r="E170" s="9"/>
      <c r="H170" s="10"/>
    </row>
    <row r="171" spans="2:8" x14ac:dyDescent="0.25">
      <c r="B171" s="11"/>
      <c r="C171" s="12"/>
      <c r="D171" s="8"/>
      <c r="E171" s="9"/>
      <c r="H171" s="10"/>
    </row>
    <row r="172" spans="2:8" x14ac:dyDescent="0.25">
      <c r="B172" s="11"/>
      <c r="C172" s="12"/>
      <c r="D172" s="8"/>
      <c r="E172" s="9"/>
      <c r="H172" s="10"/>
    </row>
    <row r="173" spans="2:8" x14ac:dyDescent="0.25">
      <c r="B173" s="11"/>
      <c r="C173" s="12"/>
      <c r="D173" s="8"/>
      <c r="E173" s="9"/>
      <c r="H173" s="10"/>
    </row>
    <row r="174" spans="2:8" x14ac:dyDescent="0.25">
      <c r="B174" s="11"/>
      <c r="C174" s="12"/>
      <c r="D174" s="8"/>
      <c r="E174" s="9"/>
      <c r="H174" s="10"/>
    </row>
    <row r="175" spans="2:8" x14ac:dyDescent="0.25">
      <c r="B175" s="11"/>
      <c r="C175" s="12"/>
      <c r="D175" s="8"/>
      <c r="E175" s="9"/>
      <c r="H175" s="10"/>
    </row>
    <row r="176" spans="2:8" x14ac:dyDescent="0.25">
      <c r="B176" s="11"/>
      <c r="C176" s="12"/>
      <c r="D176" s="8"/>
      <c r="E176" s="9"/>
      <c r="H176" s="10"/>
    </row>
    <row r="177" spans="2:8" x14ac:dyDescent="0.25">
      <c r="B177" s="11"/>
      <c r="C177" s="12"/>
      <c r="D177" s="8"/>
      <c r="E177" s="9"/>
      <c r="H177" s="10"/>
    </row>
    <row r="178" spans="2:8" x14ac:dyDescent="0.25">
      <c r="B178" s="11"/>
      <c r="C178" s="12"/>
      <c r="D178" s="8"/>
      <c r="E178" s="9"/>
      <c r="H178" s="10"/>
    </row>
    <row r="179" spans="2:8" x14ac:dyDescent="0.25">
      <c r="B179" s="11"/>
      <c r="C179" s="12"/>
      <c r="D179" s="8"/>
      <c r="E179" s="9"/>
      <c r="H179" s="10"/>
    </row>
    <row r="180" spans="2:8" x14ac:dyDescent="0.25">
      <c r="B180" s="11"/>
      <c r="C180" s="12"/>
      <c r="D180" s="8"/>
      <c r="E180" s="9"/>
      <c r="H180" s="10"/>
    </row>
    <row r="181" spans="2:8" x14ac:dyDescent="0.25">
      <c r="B181" s="11"/>
      <c r="C181" s="12"/>
      <c r="D181" s="8"/>
      <c r="E181" s="9"/>
      <c r="H181" s="10"/>
    </row>
    <row r="182" spans="2:8" x14ac:dyDescent="0.25">
      <c r="B182" s="11"/>
      <c r="C182" s="12"/>
      <c r="D182" s="8"/>
      <c r="E182" s="9"/>
      <c r="H182" s="10"/>
    </row>
    <row r="183" spans="2:8" x14ac:dyDescent="0.25">
      <c r="B183" s="11"/>
      <c r="C183" s="12"/>
      <c r="D183" s="8"/>
      <c r="E183" s="9"/>
      <c r="H183" s="10"/>
    </row>
    <row r="184" spans="2:8" x14ac:dyDescent="0.25">
      <c r="B184" s="11"/>
      <c r="C184" s="12"/>
      <c r="D184" s="8"/>
      <c r="E184" s="9"/>
      <c r="H184" s="10"/>
    </row>
    <row r="185" spans="2:8" x14ac:dyDescent="0.25">
      <c r="B185" s="11"/>
      <c r="C185" s="12"/>
      <c r="D185" s="8"/>
      <c r="E185" s="9"/>
      <c r="H185" s="10"/>
    </row>
    <row r="186" spans="2:8" x14ac:dyDescent="0.25">
      <c r="B186" s="11"/>
      <c r="C186" s="12"/>
      <c r="D186" s="8"/>
      <c r="E186" s="9"/>
      <c r="H186" s="10"/>
    </row>
    <row r="187" spans="2:8" x14ac:dyDescent="0.25">
      <c r="B187" s="11"/>
      <c r="C187" s="12"/>
      <c r="D187" s="8"/>
      <c r="E187" s="9"/>
      <c r="H187" s="10"/>
    </row>
    <row r="188" spans="2:8" x14ac:dyDescent="0.25">
      <c r="B188" s="11"/>
      <c r="C188" s="12"/>
      <c r="D188" s="8"/>
      <c r="E188" s="9"/>
      <c r="H188" s="10"/>
    </row>
    <row r="189" spans="2:8" x14ac:dyDescent="0.25">
      <c r="B189" s="11"/>
      <c r="C189" s="12"/>
      <c r="D189" s="8"/>
      <c r="E189" s="9"/>
      <c r="H189" s="10"/>
    </row>
    <row r="190" spans="2:8" x14ac:dyDescent="0.25">
      <c r="B190" s="11"/>
      <c r="C190" s="12"/>
      <c r="D190" s="8"/>
      <c r="E190" s="9"/>
      <c r="H190" s="10"/>
    </row>
    <row r="191" spans="2:8" x14ac:dyDescent="0.25">
      <c r="B191" s="11"/>
      <c r="C191" s="12"/>
      <c r="D191" s="8"/>
      <c r="E191" s="9"/>
      <c r="H191" s="10"/>
    </row>
    <row r="192" spans="2:8" x14ac:dyDescent="0.25">
      <c r="B192" s="11"/>
      <c r="C192" s="12"/>
      <c r="D192" s="8"/>
      <c r="E192" s="9"/>
      <c r="H192" s="10"/>
    </row>
    <row r="193" spans="2:8" x14ac:dyDescent="0.25">
      <c r="B193" s="11"/>
      <c r="C193" s="12"/>
      <c r="D193" s="8"/>
      <c r="E193" s="9"/>
      <c r="H193" s="10"/>
    </row>
    <row r="194" spans="2:8" x14ac:dyDescent="0.25">
      <c r="B194" s="11"/>
      <c r="C194" s="12"/>
      <c r="D194" s="8"/>
      <c r="E194" s="9"/>
      <c r="H194" s="10"/>
    </row>
    <row r="195" spans="2:8" x14ac:dyDescent="0.25">
      <c r="B195" s="11"/>
      <c r="C195" s="12"/>
      <c r="D195" s="8"/>
      <c r="E195" s="9"/>
      <c r="H195" s="10"/>
    </row>
    <row r="196" spans="2:8" x14ac:dyDescent="0.25">
      <c r="B196" s="11"/>
      <c r="C196" s="12"/>
      <c r="D196" s="8"/>
      <c r="E196" s="9"/>
      <c r="H196" s="10"/>
    </row>
    <row r="197" spans="2:8" x14ac:dyDescent="0.25">
      <c r="B197" s="11"/>
      <c r="C197" s="12"/>
      <c r="D197" s="8"/>
      <c r="E197" s="9"/>
      <c r="H197" s="10"/>
    </row>
    <row r="198" spans="2:8" x14ac:dyDescent="0.25">
      <c r="B198" s="11"/>
      <c r="C198" s="12"/>
      <c r="D198" s="8"/>
      <c r="E198" s="9"/>
      <c r="H198" s="10"/>
    </row>
    <row r="199" spans="2:8" x14ac:dyDescent="0.25">
      <c r="B199" s="11"/>
      <c r="C199" s="12"/>
      <c r="D199" s="8"/>
      <c r="E199" s="9"/>
      <c r="H199" s="10"/>
    </row>
    <row r="200" spans="2:8" x14ac:dyDescent="0.25">
      <c r="B200" s="11"/>
      <c r="C200" s="12"/>
      <c r="D200" s="8"/>
      <c r="E200" s="9"/>
      <c r="H200" s="10"/>
    </row>
    <row r="201" spans="2:8" x14ac:dyDescent="0.25">
      <c r="B201" s="11"/>
      <c r="C201" s="12"/>
      <c r="D201" s="8"/>
      <c r="E201" s="9"/>
      <c r="H201" s="10"/>
    </row>
    <row r="202" spans="2:8" x14ac:dyDescent="0.25">
      <c r="B202" s="11"/>
      <c r="C202" s="12"/>
      <c r="D202" s="8"/>
      <c r="E202" s="9"/>
      <c r="H202" s="10"/>
    </row>
    <row r="203" spans="2:8" x14ac:dyDescent="0.25">
      <c r="B203" s="11"/>
      <c r="C203" s="12"/>
      <c r="D203" s="8"/>
      <c r="E203" s="9"/>
      <c r="H203" s="10"/>
    </row>
    <row r="204" spans="2:8" x14ac:dyDescent="0.25">
      <c r="B204" s="11"/>
      <c r="C204" s="12"/>
      <c r="D204" s="8"/>
      <c r="E204" s="9"/>
      <c r="H204" s="10"/>
    </row>
    <row r="205" spans="2:8" x14ac:dyDescent="0.25">
      <c r="B205" s="11"/>
      <c r="C205" s="12"/>
      <c r="D205" s="8"/>
      <c r="E205" s="9"/>
      <c r="H205" s="10"/>
    </row>
    <row r="206" spans="2:8" x14ac:dyDescent="0.25">
      <c r="B206" s="11"/>
      <c r="C206" s="12"/>
      <c r="D206" s="8"/>
      <c r="E206" s="9"/>
      <c r="H206" s="10"/>
    </row>
    <row r="207" spans="2:8" x14ac:dyDescent="0.25">
      <c r="B207" s="11"/>
      <c r="C207" s="12"/>
      <c r="D207" s="8"/>
      <c r="E207" s="9"/>
      <c r="H207" s="10"/>
    </row>
    <row r="208" spans="2:8" x14ac:dyDescent="0.25">
      <c r="B208" s="11"/>
      <c r="C208" s="12"/>
      <c r="D208" s="8"/>
      <c r="E208" s="9"/>
      <c r="H208" s="10"/>
    </row>
    <row r="209" spans="2:8" x14ac:dyDescent="0.25">
      <c r="B209" s="11"/>
      <c r="C209" s="12"/>
      <c r="D209" s="8"/>
      <c r="E209" s="9"/>
      <c r="H209" s="10"/>
    </row>
    <row r="210" spans="2:8" x14ac:dyDescent="0.25">
      <c r="B210" s="11"/>
      <c r="C210" s="12"/>
      <c r="D210" s="8"/>
      <c r="E210" s="9"/>
      <c r="H210" s="10"/>
    </row>
    <row r="211" spans="2:8" x14ac:dyDescent="0.25">
      <c r="B211" s="11"/>
      <c r="C211" s="12"/>
      <c r="D211" s="8"/>
      <c r="E211" s="9"/>
      <c r="H211" s="10"/>
    </row>
    <row r="212" spans="2:8" x14ac:dyDescent="0.25">
      <c r="B212" s="11"/>
      <c r="C212" s="12"/>
      <c r="D212" s="8"/>
      <c r="E212" s="9"/>
      <c r="H212" s="10"/>
    </row>
    <row r="213" spans="2:8" x14ac:dyDescent="0.25">
      <c r="B213" s="11"/>
      <c r="C213" s="12"/>
      <c r="D213" s="8"/>
      <c r="E213" s="9"/>
      <c r="H213" s="10"/>
    </row>
    <row r="214" spans="2:8" x14ac:dyDescent="0.25">
      <c r="B214" s="11"/>
      <c r="C214" s="12"/>
      <c r="D214" s="8"/>
      <c r="E214" s="9"/>
      <c r="H214" s="10"/>
    </row>
    <row r="215" spans="2:8" x14ac:dyDescent="0.25">
      <c r="B215" s="11"/>
      <c r="C215" s="12"/>
      <c r="D215" s="8"/>
      <c r="E215" s="9"/>
      <c r="H215" s="10"/>
    </row>
    <row r="216" spans="2:8" x14ac:dyDescent="0.25">
      <c r="B216" s="11"/>
      <c r="C216" s="12"/>
      <c r="D216" s="8"/>
      <c r="E216" s="9"/>
      <c r="H216" s="10"/>
    </row>
    <row r="217" spans="2:8" x14ac:dyDescent="0.25">
      <c r="B217" s="11"/>
      <c r="C217" s="12"/>
      <c r="D217" s="8"/>
      <c r="E217" s="9"/>
      <c r="H217" s="10"/>
    </row>
    <row r="218" spans="2:8" x14ac:dyDescent="0.25">
      <c r="B218" s="11"/>
      <c r="C218" s="12"/>
      <c r="D218" s="8"/>
      <c r="E218" s="9"/>
      <c r="H218" s="10"/>
    </row>
    <row r="219" spans="2:8" x14ac:dyDescent="0.25">
      <c r="B219" s="11"/>
      <c r="C219" s="12"/>
      <c r="D219" s="8"/>
      <c r="E219" s="9"/>
      <c r="H219" s="10"/>
    </row>
    <row r="220" spans="2:8" x14ac:dyDescent="0.25">
      <c r="B220" s="11"/>
      <c r="C220" s="12"/>
      <c r="D220" s="8"/>
      <c r="E220" s="9"/>
      <c r="H220" s="10"/>
    </row>
    <row r="221" spans="2:8" x14ac:dyDescent="0.25">
      <c r="B221" s="11"/>
      <c r="C221" s="12"/>
      <c r="D221" s="8"/>
      <c r="E221" s="9"/>
      <c r="H221" s="10"/>
    </row>
    <row r="222" spans="2:8" x14ac:dyDescent="0.25">
      <c r="B222" s="11"/>
      <c r="C222" s="12"/>
      <c r="D222" s="8"/>
      <c r="E222" s="9"/>
      <c r="H222" s="10"/>
    </row>
    <row r="223" spans="2:8" x14ac:dyDescent="0.25">
      <c r="B223" s="11"/>
      <c r="C223" s="12"/>
      <c r="D223" s="8"/>
      <c r="E223" s="9"/>
      <c r="H223" s="10"/>
    </row>
    <row r="224" spans="2:8" x14ac:dyDescent="0.25">
      <c r="B224" s="11"/>
      <c r="C224" s="12"/>
      <c r="D224" s="8"/>
      <c r="E224" s="9"/>
      <c r="H224" s="10"/>
    </row>
    <row r="225" spans="2:8" x14ac:dyDescent="0.25">
      <c r="B225" s="11"/>
      <c r="C225" s="12"/>
      <c r="D225" s="8"/>
      <c r="E225" s="9"/>
      <c r="H225" s="10"/>
    </row>
    <row r="226" spans="2:8" x14ac:dyDescent="0.25">
      <c r="B226" s="11"/>
      <c r="C226" s="12"/>
      <c r="D226" s="8"/>
      <c r="E226" s="9"/>
      <c r="H226" s="10"/>
    </row>
    <row r="227" spans="2:8" x14ac:dyDescent="0.25">
      <c r="B227" s="11"/>
      <c r="C227" s="12"/>
      <c r="D227" s="8"/>
      <c r="E227" s="9"/>
      <c r="H227" s="10"/>
    </row>
    <row r="228" spans="2:8" x14ac:dyDescent="0.25">
      <c r="B228" s="11"/>
      <c r="C228" s="12"/>
      <c r="D228" s="8"/>
      <c r="E228" s="9"/>
      <c r="H228" s="10"/>
    </row>
    <row r="229" spans="2:8" x14ac:dyDescent="0.25">
      <c r="B229" s="11"/>
      <c r="C229" s="12"/>
      <c r="D229" s="8"/>
      <c r="E229" s="9"/>
      <c r="H229" s="10"/>
    </row>
    <row r="230" spans="2:8" x14ac:dyDescent="0.25">
      <c r="B230" s="11"/>
      <c r="C230" s="12"/>
      <c r="D230" s="8"/>
      <c r="E230" s="9"/>
      <c r="H230" s="10"/>
    </row>
    <row r="231" spans="2:8" x14ac:dyDescent="0.25">
      <c r="B231" s="11"/>
      <c r="C231" s="12"/>
      <c r="D231" s="8"/>
      <c r="E231" s="9"/>
      <c r="H231" s="10"/>
    </row>
    <row r="232" spans="2:8" x14ac:dyDescent="0.25">
      <c r="B232" s="11"/>
      <c r="C232" s="12"/>
      <c r="D232" s="8"/>
      <c r="E232" s="9"/>
      <c r="H232" s="10"/>
    </row>
    <row r="233" spans="2:8" x14ac:dyDescent="0.25">
      <c r="B233" s="11"/>
      <c r="C233" s="12"/>
      <c r="D233" s="8"/>
      <c r="E233" s="9"/>
      <c r="H233" s="10"/>
    </row>
    <row r="234" spans="2:8" x14ac:dyDescent="0.25">
      <c r="B234" s="11"/>
      <c r="C234" s="12"/>
      <c r="D234" s="8"/>
      <c r="E234" s="9"/>
      <c r="H234" s="10"/>
    </row>
    <row r="235" spans="2:8" x14ac:dyDescent="0.25">
      <c r="B235" s="11"/>
      <c r="C235" s="12"/>
      <c r="D235" s="8"/>
      <c r="E235" s="9"/>
      <c r="H235" s="10"/>
    </row>
    <row r="236" spans="2:8" x14ac:dyDescent="0.25">
      <c r="B236" s="11"/>
      <c r="C236" s="12"/>
      <c r="D236" s="8"/>
      <c r="E236" s="9"/>
      <c r="H236" s="10"/>
    </row>
    <row r="237" spans="2:8" x14ac:dyDescent="0.25">
      <c r="B237" s="11"/>
      <c r="C237" s="12"/>
      <c r="D237" s="8"/>
      <c r="E237" s="9"/>
      <c r="H237" s="10"/>
    </row>
    <row r="238" spans="2:8" x14ac:dyDescent="0.25">
      <c r="B238" s="11"/>
      <c r="C238" s="12"/>
      <c r="D238" s="8"/>
      <c r="E238" s="9"/>
      <c r="H238" s="10"/>
    </row>
    <row r="239" spans="2:8" x14ac:dyDescent="0.25">
      <c r="B239" s="11"/>
      <c r="C239" s="12"/>
      <c r="D239" s="8"/>
      <c r="E239" s="9"/>
      <c r="H239" s="10"/>
    </row>
    <row r="240" spans="2:8" x14ac:dyDescent="0.25">
      <c r="B240" s="11"/>
      <c r="C240" s="12"/>
      <c r="D240" s="8"/>
      <c r="E240" s="9"/>
      <c r="H240" s="10"/>
    </row>
    <row r="241" spans="2:8" x14ac:dyDescent="0.25">
      <c r="B241" s="16"/>
      <c r="C241" s="16"/>
      <c r="D241" s="8"/>
      <c r="F241" s="9"/>
      <c r="H241" s="10"/>
    </row>
    <row r="242" spans="2:8" x14ac:dyDescent="0.25">
      <c r="B242" s="16"/>
      <c r="C242" s="16"/>
      <c r="D242" s="8"/>
      <c r="F242" s="9"/>
      <c r="H242" s="10"/>
    </row>
    <row r="243" spans="2:8" x14ac:dyDescent="0.25">
      <c r="B243" s="16"/>
      <c r="C243" s="16"/>
      <c r="D243" s="8"/>
      <c r="F243" s="9"/>
      <c r="H243" s="10"/>
    </row>
    <row r="244" spans="2:8" x14ac:dyDescent="0.25">
      <c r="B244" s="16"/>
      <c r="C244" s="16"/>
      <c r="D244" s="8"/>
      <c r="F244" s="9"/>
      <c r="H244" s="10"/>
    </row>
    <row r="245" spans="2:8" x14ac:dyDescent="0.25">
      <c r="B245" s="16"/>
      <c r="C245" s="16"/>
      <c r="D245" s="8"/>
      <c r="F245" s="9"/>
      <c r="H245" s="10"/>
    </row>
    <row r="246" spans="2:8" x14ac:dyDescent="0.25">
      <c r="B246" s="16"/>
      <c r="C246" s="16"/>
      <c r="D246" s="8"/>
      <c r="F246" s="9"/>
      <c r="H246" s="10"/>
    </row>
    <row r="247" spans="2:8" x14ac:dyDescent="0.25">
      <c r="B247" s="16"/>
      <c r="C247" s="16"/>
      <c r="D247" s="8"/>
      <c r="F247" s="9"/>
      <c r="H247" s="10"/>
    </row>
    <row r="248" spans="2:8" x14ac:dyDescent="0.25">
      <c r="B248" s="16"/>
      <c r="C248" s="16"/>
      <c r="D248" s="8"/>
      <c r="F248" s="9"/>
      <c r="H248" s="10"/>
    </row>
    <row r="249" spans="2:8" x14ac:dyDescent="0.25">
      <c r="B249" s="16"/>
      <c r="C249" s="16"/>
      <c r="D249" s="8"/>
      <c r="F249" s="9"/>
      <c r="H249" s="10"/>
    </row>
    <row r="250" spans="2:8" x14ac:dyDescent="0.25">
      <c r="B250" s="16"/>
      <c r="C250" s="16"/>
      <c r="D250" s="8"/>
      <c r="F250" s="9"/>
      <c r="H250" s="10"/>
    </row>
    <row r="251" spans="2:8" x14ac:dyDescent="0.25">
      <c r="B251" s="16"/>
      <c r="C251" s="16"/>
      <c r="D251" s="8"/>
      <c r="F251" s="9"/>
      <c r="H251" s="10"/>
    </row>
    <row r="252" spans="2:8" x14ac:dyDescent="0.25">
      <c r="B252" s="16"/>
      <c r="C252" s="16"/>
      <c r="D252" s="8"/>
      <c r="F252" s="9"/>
      <c r="H252" s="10"/>
    </row>
    <row r="253" spans="2:8" x14ac:dyDescent="0.25">
      <c r="B253" s="16"/>
      <c r="C253" s="16"/>
      <c r="D253" s="8"/>
      <c r="F253" s="9"/>
      <c r="H253" s="10"/>
    </row>
    <row r="254" spans="2:8" x14ac:dyDescent="0.25">
      <c r="B254" s="16"/>
      <c r="C254" s="16"/>
      <c r="D254" s="8"/>
      <c r="F254" s="9"/>
      <c r="H254" s="10"/>
    </row>
    <row r="255" spans="2:8" x14ac:dyDescent="0.25">
      <c r="B255" s="16"/>
      <c r="C255" s="16"/>
      <c r="D255" s="8"/>
      <c r="F255" s="9"/>
      <c r="H255" s="10"/>
    </row>
    <row r="256" spans="2:8" x14ac:dyDescent="0.25">
      <c r="B256" s="16"/>
      <c r="C256" s="16"/>
      <c r="D256" s="8"/>
      <c r="F256" s="9"/>
      <c r="H256" s="10"/>
    </row>
    <row r="257" spans="2:8" x14ac:dyDescent="0.25">
      <c r="B257" s="16"/>
      <c r="C257" s="16"/>
      <c r="D257" s="8"/>
      <c r="F257" s="9"/>
      <c r="H257" s="10"/>
    </row>
    <row r="258" spans="2:8" x14ac:dyDescent="0.25">
      <c r="B258" s="16"/>
      <c r="C258" s="16"/>
      <c r="D258" s="8"/>
      <c r="F258" s="9"/>
      <c r="H258" s="10"/>
    </row>
    <row r="259" spans="2:8" x14ac:dyDescent="0.25">
      <c r="B259" s="16"/>
      <c r="C259" s="16"/>
      <c r="D259" s="8"/>
      <c r="F259" s="9"/>
      <c r="H259" s="10"/>
    </row>
    <row r="260" spans="2:8" x14ac:dyDescent="0.25">
      <c r="B260" s="16"/>
      <c r="C260" s="16"/>
      <c r="D260" s="8"/>
      <c r="F260" s="9"/>
      <c r="H260" s="10"/>
    </row>
    <row r="261" spans="2:8" x14ac:dyDescent="0.25">
      <c r="B261" s="16"/>
      <c r="C261" s="16"/>
      <c r="D261" s="8"/>
      <c r="F261" s="9"/>
      <c r="H261" s="10"/>
    </row>
    <row r="262" spans="2:8" x14ac:dyDescent="0.25">
      <c r="B262" s="16"/>
      <c r="C262" s="16"/>
      <c r="D262" s="8"/>
      <c r="F262" s="9"/>
      <c r="H262" s="10"/>
    </row>
    <row r="263" spans="2:8" x14ac:dyDescent="0.25">
      <c r="B263" s="16"/>
      <c r="C263" s="16"/>
      <c r="D263" s="8"/>
      <c r="F263" s="9"/>
      <c r="H263" s="10"/>
    </row>
    <row r="264" spans="2:8" x14ac:dyDescent="0.25">
      <c r="B264" s="16"/>
      <c r="C264" s="16"/>
      <c r="D264" s="8"/>
      <c r="F264" s="9"/>
      <c r="H264" s="10"/>
    </row>
    <row r="265" spans="2:8" x14ac:dyDescent="0.25">
      <c r="B265" s="16"/>
      <c r="C265" s="16"/>
      <c r="D265" s="8"/>
      <c r="F265" s="9"/>
      <c r="H265" s="10"/>
    </row>
    <row r="266" spans="2:8" x14ac:dyDescent="0.25">
      <c r="B266" s="16"/>
      <c r="C266" s="16"/>
      <c r="D266" s="8"/>
      <c r="F266" s="9"/>
      <c r="H266" s="10"/>
    </row>
    <row r="267" spans="2:8" x14ac:dyDescent="0.25">
      <c r="B267" s="16"/>
      <c r="C267" s="16"/>
      <c r="D267" s="8"/>
      <c r="F267" s="9"/>
      <c r="H267" s="10"/>
    </row>
    <row r="268" spans="2:8" x14ac:dyDescent="0.25">
      <c r="B268" s="16"/>
      <c r="C268" s="16"/>
      <c r="D268" s="8"/>
      <c r="F268" s="9"/>
      <c r="H268" s="10"/>
    </row>
  </sheetData>
  <mergeCells count="2">
    <mergeCell ref="A1:D1"/>
    <mergeCell ref="A9:D9"/>
  </mergeCells>
  <phoneticPr fontId="1" type="noConversion"/>
  <printOptions horizontalCentered="1"/>
  <pageMargins left="0.74803149606299213" right="0.74803149606299213" top="0.98425196850393704" bottom="0.98425196850393704" header="0.51181102362204722" footer="0.51181102362204722"/>
  <pageSetup scale="6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Exercise 6</vt:lpstr>
      <vt:lpstr>Sheet1</vt:lpstr>
      <vt:lpstr>'Exercise 6'!Print_Area</vt:lpstr>
      <vt:lpstr>'Exercise 6'!z1?b_2_cll_0_cpl__1.000000_cpu__1.000000_mtl__1_mtu__1_pr_0_rl_7_ru_7_sf_m_so_a_stt___tc_1_yl__1.000000_ytl__1.000000_ytu__1.000000_yu__1.000000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2024-12-18T08:32:54Z</cp:lastPrinted>
  <dcterms:created xsi:type="dcterms:W3CDTF">2024-10-05T13:27:14Z</dcterms:created>
  <dcterms:modified xsi:type="dcterms:W3CDTF">2024-12-18T08:32:55Z</dcterms:modified>
</cp:coreProperties>
</file>