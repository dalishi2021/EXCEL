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EEA068C2-C798-40A9-9EB5-E10B95B3452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10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2" l="1"/>
  <c r="K21" i="2"/>
  <c r="K20" i="2"/>
  <c r="K17" i="2"/>
  <c r="K16" i="2"/>
  <c r="K14" i="2"/>
  <c r="K13" i="2"/>
  <c r="K12" i="2"/>
  <c r="K4" i="2" a="1"/>
  <c r="K4" i="2" s="1"/>
  <c r="H238" i="2"/>
  <c r="F238" i="2"/>
  <c r="E238" i="2"/>
  <c r="G238" i="2" s="1"/>
  <c r="H237" i="2"/>
  <c r="E237" i="2"/>
  <c r="G237" i="2" s="1"/>
  <c r="H236" i="2"/>
  <c r="E236" i="2"/>
  <c r="G236" i="2" s="1"/>
  <c r="H235" i="2"/>
  <c r="G235" i="2"/>
  <c r="E235" i="2"/>
  <c r="F235" i="2" s="1"/>
  <c r="H234" i="2"/>
  <c r="E234" i="2"/>
  <c r="F234" i="2" s="1"/>
  <c r="H233" i="2"/>
  <c r="E233" i="2"/>
  <c r="G233" i="2" s="1"/>
  <c r="H232" i="2"/>
  <c r="E232" i="2"/>
  <c r="F232" i="2" s="1"/>
  <c r="H231" i="2"/>
  <c r="E231" i="2"/>
  <c r="G231" i="2" s="1"/>
  <c r="H230" i="2"/>
  <c r="F230" i="2"/>
  <c r="E230" i="2"/>
  <c r="G230" i="2" s="1"/>
  <c r="H229" i="2"/>
  <c r="E229" i="2"/>
  <c r="G229" i="2" s="1"/>
  <c r="H228" i="2"/>
  <c r="F228" i="2"/>
  <c r="E228" i="2"/>
  <c r="G228" i="2" s="1"/>
  <c r="H227" i="2"/>
  <c r="G227" i="2"/>
  <c r="E227" i="2"/>
  <c r="F227" i="2" s="1"/>
  <c r="H226" i="2"/>
  <c r="E226" i="2"/>
  <c r="G226" i="2" s="1"/>
  <c r="H225" i="2"/>
  <c r="E225" i="2"/>
  <c r="F225" i="2" s="1"/>
  <c r="H224" i="2"/>
  <c r="E224" i="2"/>
  <c r="G224" i="2" s="1"/>
  <c r="H223" i="2"/>
  <c r="E223" i="2"/>
  <c r="G223" i="2" s="1"/>
  <c r="H222" i="2"/>
  <c r="E222" i="2"/>
  <c r="G222" i="2" s="1"/>
  <c r="H221" i="2"/>
  <c r="E221" i="2"/>
  <c r="G221" i="2" s="1"/>
  <c r="H220" i="2"/>
  <c r="F220" i="2"/>
  <c r="E220" i="2"/>
  <c r="G220" i="2" s="1"/>
  <c r="H219" i="2"/>
  <c r="G219" i="2"/>
  <c r="E219" i="2"/>
  <c r="F219" i="2" s="1"/>
  <c r="H218" i="2"/>
  <c r="E218" i="2"/>
  <c r="F218" i="2" s="1"/>
  <c r="H217" i="2"/>
  <c r="E217" i="2"/>
  <c r="G217" i="2" s="1"/>
  <c r="H216" i="2"/>
  <c r="E216" i="2"/>
  <c r="G216" i="2" s="1"/>
  <c r="H215" i="2"/>
  <c r="E215" i="2"/>
  <c r="F215" i="2" s="1"/>
  <c r="H214" i="2"/>
  <c r="F214" i="2"/>
  <c r="E214" i="2"/>
  <c r="G214" i="2" s="1"/>
  <c r="H213" i="2"/>
  <c r="E213" i="2"/>
  <c r="G213" i="2" s="1"/>
  <c r="H212" i="2"/>
  <c r="F212" i="2"/>
  <c r="E212" i="2"/>
  <c r="G212" i="2" s="1"/>
  <c r="H211" i="2"/>
  <c r="G211" i="2"/>
  <c r="E211" i="2"/>
  <c r="F211" i="2" s="1"/>
  <c r="H210" i="2"/>
  <c r="E210" i="2"/>
  <c r="F210" i="2" s="1"/>
  <c r="H209" i="2"/>
  <c r="E209" i="2"/>
  <c r="G209" i="2" s="1"/>
  <c r="H208" i="2"/>
  <c r="E208" i="2"/>
  <c r="G208" i="2" s="1"/>
  <c r="H207" i="2"/>
  <c r="E207" i="2"/>
  <c r="F207" i="2" s="1"/>
  <c r="H206" i="2"/>
  <c r="E206" i="2"/>
  <c r="G206" i="2" s="1"/>
  <c r="H205" i="2"/>
  <c r="E205" i="2"/>
  <c r="G205" i="2" s="1"/>
  <c r="H204" i="2"/>
  <c r="F204" i="2"/>
  <c r="E204" i="2"/>
  <c r="G204" i="2" s="1"/>
  <c r="H203" i="2"/>
  <c r="G203" i="2"/>
  <c r="E203" i="2"/>
  <c r="F203" i="2" s="1"/>
  <c r="H202" i="2"/>
  <c r="E202" i="2"/>
  <c r="F202" i="2" s="1"/>
  <c r="H201" i="2"/>
  <c r="E201" i="2"/>
  <c r="G201" i="2" s="1"/>
  <c r="H200" i="2"/>
  <c r="E200" i="2"/>
  <c r="F200" i="2" s="1"/>
  <c r="H199" i="2"/>
  <c r="E199" i="2"/>
  <c r="G199" i="2" s="1"/>
  <c r="H198" i="2"/>
  <c r="E198" i="2"/>
  <c r="G198" i="2" s="1"/>
  <c r="H197" i="2"/>
  <c r="E197" i="2"/>
  <c r="G197" i="2" s="1"/>
  <c r="H196" i="2"/>
  <c r="F196" i="2"/>
  <c r="E196" i="2"/>
  <c r="G196" i="2" s="1"/>
  <c r="H195" i="2"/>
  <c r="G195" i="2"/>
  <c r="E195" i="2"/>
  <c r="F195" i="2" s="1"/>
  <c r="H194" i="2"/>
  <c r="E194" i="2"/>
  <c r="F194" i="2" s="1"/>
  <c r="H193" i="2"/>
  <c r="E193" i="2"/>
  <c r="F193" i="2" s="1"/>
  <c r="H192" i="2"/>
  <c r="E192" i="2"/>
  <c r="F192" i="2" s="1"/>
  <c r="H191" i="2"/>
  <c r="E191" i="2"/>
  <c r="G191" i="2" s="1"/>
  <c r="H190" i="2"/>
  <c r="E190" i="2"/>
  <c r="G190" i="2" s="1"/>
  <c r="H189" i="2"/>
  <c r="E189" i="2"/>
  <c r="G189" i="2" s="1"/>
  <c r="H188" i="2"/>
  <c r="F188" i="2"/>
  <c r="E188" i="2"/>
  <c r="G188" i="2" s="1"/>
  <c r="H187" i="2"/>
  <c r="G187" i="2"/>
  <c r="E187" i="2"/>
  <c r="F187" i="2" s="1"/>
  <c r="H186" i="2"/>
  <c r="E186" i="2"/>
  <c r="G186" i="2" s="1"/>
  <c r="H185" i="2"/>
  <c r="E185" i="2"/>
  <c r="G185" i="2" s="1"/>
  <c r="H184" i="2"/>
  <c r="E184" i="2"/>
  <c r="F184" i="2" s="1"/>
  <c r="H183" i="2"/>
  <c r="E183" i="2"/>
  <c r="G183" i="2" s="1"/>
  <c r="H182" i="2"/>
  <c r="E182" i="2"/>
  <c r="G182" i="2" s="1"/>
  <c r="H181" i="2"/>
  <c r="E181" i="2"/>
  <c r="G181" i="2" s="1"/>
  <c r="H180" i="2"/>
  <c r="F180" i="2"/>
  <c r="E180" i="2"/>
  <c r="G180" i="2" s="1"/>
  <c r="H179" i="2"/>
  <c r="G179" i="2"/>
  <c r="E179" i="2"/>
  <c r="F179" i="2" s="1"/>
  <c r="H178" i="2"/>
  <c r="E178" i="2"/>
  <c r="G178" i="2" s="1"/>
  <c r="H177" i="2"/>
  <c r="E177" i="2"/>
  <c r="F177" i="2" s="1"/>
  <c r="H176" i="2"/>
  <c r="E176" i="2"/>
  <c r="F176" i="2" s="1"/>
  <c r="H175" i="2"/>
  <c r="E175" i="2"/>
  <c r="G175" i="2" s="1"/>
  <c r="H174" i="2"/>
  <c r="E174" i="2"/>
  <c r="G174" i="2" s="1"/>
  <c r="H173" i="2"/>
  <c r="E173" i="2"/>
  <c r="G173" i="2" s="1"/>
  <c r="H172" i="2"/>
  <c r="F172" i="2"/>
  <c r="E172" i="2"/>
  <c r="G172" i="2" s="1"/>
  <c r="H171" i="2"/>
  <c r="G171" i="2"/>
  <c r="E171" i="2"/>
  <c r="F171" i="2" s="1"/>
  <c r="H170" i="2"/>
  <c r="E170" i="2"/>
  <c r="F170" i="2" s="1"/>
  <c r="H169" i="2"/>
  <c r="E169" i="2"/>
  <c r="G169" i="2" s="1"/>
  <c r="H168" i="2"/>
  <c r="E168" i="2"/>
  <c r="G168" i="2" s="1"/>
  <c r="H167" i="2"/>
  <c r="E167" i="2"/>
  <c r="F167" i="2" s="1"/>
  <c r="H166" i="2"/>
  <c r="E166" i="2"/>
  <c r="G166" i="2" s="1"/>
  <c r="H165" i="2"/>
  <c r="E165" i="2"/>
  <c r="G165" i="2" s="1"/>
  <c r="H164" i="2"/>
  <c r="E164" i="2"/>
  <c r="G164" i="2" s="1"/>
  <c r="H163" i="2"/>
  <c r="G163" i="2"/>
  <c r="E163" i="2"/>
  <c r="F163" i="2" s="1"/>
  <c r="H162" i="2"/>
  <c r="E162" i="2"/>
  <c r="F162" i="2" s="1"/>
  <c r="H161" i="2"/>
  <c r="E161" i="2"/>
  <c r="G161" i="2" s="1"/>
  <c r="H160" i="2"/>
  <c r="E160" i="2"/>
  <c r="F160" i="2" s="1"/>
  <c r="H159" i="2"/>
  <c r="E159" i="2"/>
  <c r="F159" i="2" s="1"/>
  <c r="H158" i="2"/>
  <c r="E158" i="2"/>
  <c r="G158" i="2" s="1"/>
  <c r="H157" i="2"/>
  <c r="E157" i="2"/>
  <c r="G157" i="2" s="1"/>
  <c r="H156" i="2"/>
  <c r="E156" i="2"/>
  <c r="G156" i="2" s="1"/>
  <c r="H155" i="2"/>
  <c r="G155" i="2"/>
  <c r="E155" i="2"/>
  <c r="F155" i="2" s="1"/>
  <c r="H154" i="2"/>
  <c r="E154" i="2"/>
  <c r="G154" i="2" s="1"/>
  <c r="H153" i="2"/>
  <c r="E153" i="2"/>
  <c r="F153" i="2" s="1"/>
  <c r="H152" i="2"/>
  <c r="E152" i="2"/>
  <c r="G152" i="2" s="1"/>
  <c r="H151" i="2"/>
  <c r="E151" i="2"/>
  <c r="G151" i="2" s="1"/>
  <c r="H150" i="2"/>
  <c r="E150" i="2"/>
  <c r="G150" i="2" s="1"/>
  <c r="H149" i="2"/>
  <c r="E149" i="2"/>
  <c r="G149" i="2" s="1"/>
  <c r="H148" i="2"/>
  <c r="E148" i="2"/>
  <c r="G148" i="2" s="1"/>
  <c r="H147" i="2"/>
  <c r="G147" i="2"/>
  <c r="E147" i="2"/>
  <c r="F147" i="2" s="1"/>
  <c r="H146" i="2"/>
  <c r="E146" i="2"/>
  <c r="F146" i="2" s="1"/>
  <c r="H145" i="2"/>
  <c r="E145" i="2"/>
  <c r="G145" i="2" s="1"/>
  <c r="H144" i="2"/>
  <c r="E144" i="2"/>
  <c r="G144" i="2" s="1"/>
  <c r="H143" i="2"/>
  <c r="E143" i="2"/>
  <c r="F143" i="2" s="1"/>
  <c r="H142" i="2"/>
  <c r="E142" i="2"/>
  <c r="G142" i="2" s="1"/>
  <c r="H141" i="2"/>
  <c r="E141" i="2"/>
  <c r="G141" i="2" s="1"/>
  <c r="H140" i="2"/>
  <c r="E140" i="2"/>
  <c r="G140" i="2" s="1"/>
  <c r="H139" i="2"/>
  <c r="G139" i="2"/>
  <c r="E139" i="2"/>
  <c r="F139" i="2" s="1"/>
  <c r="H138" i="2"/>
  <c r="E138" i="2"/>
  <c r="F138" i="2" s="1"/>
  <c r="H137" i="2"/>
  <c r="E137" i="2"/>
  <c r="G137" i="2" s="1"/>
  <c r="H136" i="2"/>
  <c r="E136" i="2"/>
  <c r="F136" i="2" s="1"/>
  <c r="H135" i="2"/>
  <c r="E135" i="2"/>
  <c r="G135" i="2" s="1"/>
  <c r="H134" i="2"/>
  <c r="E134" i="2"/>
  <c r="G134" i="2" s="1"/>
  <c r="H133" i="2"/>
  <c r="E133" i="2"/>
  <c r="G133" i="2" s="1"/>
  <c r="H132" i="2"/>
  <c r="E132" i="2"/>
  <c r="G132" i="2" s="1"/>
  <c r="H131" i="2"/>
  <c r="G131" i="2"/>
  <c r="E131" i="2"/>
  <c r="F131" i="2" s="1"/>
  <c r="H130" i="2"/>
  <c r="E130" i="2"/>
  <c r="F130" i="2" s="1"/>
  <c r="H129" i="2"/>
  <c r="E129" i="2"/>
  <c r="F129" i="2" s="1"/>
  <c r="H128" i="2"/>
  <c r="E128" i="2"/>
  <c r="F128" i="2" s="1"/>
  <c r="H127" i="2"/>
  <c r="E127" i="2"/>
  <c r="G127" i="2" s="1"/>
  <c r="H126" i="2"/>
  <c r="E126" i="2"/>
  <c r="G126" i="2" s="1"/>
  <c r="H125" i="2"/>
  <c r="E125" i="2"/>
  <c r="G125" i="2" s="1"/>
  <c r="H124" i="2"/>
  <c r="E124" i="2"/>
  <c r="G124" i="2" s="1"/>
  <c r="H123" i="2"/>
  <c r="E123" i="2"/>
  <c r="F123" i="2" s="1"/>
  <c r="H122" i="2"/>
  <c r="E122" i="2"/>
  <c r="F122" i="2" s="1"/>
  <c r="H121" i="2"/>
  <c r="E121" i="2"/>
  <c r="G121" i="2" s="1"/>
  <c r="H120" i="2"/>
  <c r="E120" i="2"/>
  <c r="G120" i="2" s="1"/>
  <c r="H119" i="2"/>
  <c r="E119" i="2"/>
  <c r="F119" i="2" s="1"/>
  <c r="H118" i="2"/>
  <c r="E118" i="2"/>
  <c r="G118" i="2" s="1"/>
  <c r="H117" i="2"/>
  <c r="E117" i="2"/>
  <c r="G117" i="2" s="1"/>
  <c r="H116" i="2"/>
  <c r="E116" i="2"/>
  <c r="G116" i="2" s="1"/>
  <c r="H115" i="2"/>
  <c r="E115" i="2"/>
  <c r="F115" i="2" s="1"/>
  <c r="H114" i="2"/>
  <c r="E114" i="2"/>
  <c r="F114" i="2" s="1"/>
  <c r="H113" i="2"/>
  <c r="E113" i="2"/>
  <c r="F113" i="2" s="1"/>
  <c r="H112" i="2"/>
  <c r="E112" i="2"/>
  <c r="G112" i="2" s="1"/>
  <c r="H111" i="2"/>
  <c r="E111" i="2"/>
  <c r="G111" i="2" s="1"/>
  <c r="H110" i="2"/>
  <c r="E110" i="2"/>
  <c r="G110" i="2" s="1"/>
  <c r="H109" i="2"/>
  <c r="E109" i="2"/>
  <c r="G109" i="2" s="1"/>
  <c r="H108" i="2"/>
  <c r="E108" i="2"/>
  <c r="G108" i="2" s="1"/>
  <c r="H107" i="2"/>
  <c r="G107" i="2"/>
  <c r="E107" i="2"/>
  <c r="F107" i="2" s="1"/>
  <c r="H106" i="2"/>
  <c r="E106" i="2"/>
  <c r="F106" i="2" s="1"/>
  <c r="H105" i="2"/>
  <c r="E105" i="2"/>
  <c r="F105" i="2" s="1"/>
  <c r="H104" i="2"/>
  <c r="E104" i="2"/>
  <c r="F104" i="2" s="1"/>
  <c r="H103" i="2"/>
  <c r="E103" i="2"/>
  <c r="G103" i="2" s="1"/>
  <c r="H102" i="2"/>
  <c r="E102" i="2"/>
  <c r="G102" i="2" s="1"/>
  <c r="H101" i="2"/>
  <c r="E101" i="2"/>
  <c r="G101" i="2" s="1"/>
  <c r="H100" i="2"/>
  <c r="E100" i="2"/>
  <c r="G100" i="2" s="1"/>
  <c r="H99" i="2"/>
  <c r="G99" i="2"/>
  <c r="E99" i="2"/>
  <c r="F99" i="2" s="1"/>
  <c r="H98" i="2"/>
  <c r="E98" i="2"/>
  <c r="G98" i="2" s="1"/>
  <c r="H97" i="2"/>
  <c r="E97" i="2"/>
  <c r="F97" i="2" s="1"/>
  <c r="H96" i="2"/>
  <c r="E96" i="2"/>
  <c r="G96" i="2" s="1"/>
  <c r="H95" i="2"/>
  <c r="E95" i="2"/>
  <c r="G95" i="2" s="1"/>
  <c r="H94" i="2"/>
  <c r="E94" i="2"/>
  <c r="G94" i="2" s="1"/>
  <c r="H93" i="2"/>
  <c r="E93" i="2"/>
  <c r="G93" i="2" s="1"/>
  <c r="H92" i="2"/>
  <c r="E92" i="2"/>
  <c r="G92" i="2" s="1"/>
  <c r="H91" i="2"/>
  <c r="G91" i="2"/>
  <c r="E91" i="2"/>
  <c r="F91" i="2" s="1"/>
  <c r="H90" i="2"/>
  <c r="E90" i="2"/>
  <c r="F90" i="2" s="1"/>
  <c r="H89" i="2"/>
  <c r="E89" i="2"/>
  <c r="G89" i="2" s="1"/>
  <c r="H88" i="2"/>
  <c r="E88" i="2"/>
  <c r="F88" i="2" s="1"/>
  <c r="H87" i="2"/>
  <c r="E87" i="2"/>
  <c r="F87" i="2" s="1"/>
  <c r="H86" i="2"/>
  <c r="E86" i="2"/>
  <c r="G86" i="2" s="1"/>
  <c r="H85" i="2"/>
  <c r="E85" i="2"/>
  <c r="G85" i="2" s="1"/>
  <c r="H84" i="2"/>
  <c r="E84" i="2"/>
  <c r="G84" i="2" s="1"/>
  <c r="H83" i="2"/>
  <c r="G83" i="2"/>
  <c r="E83" i="2"/>
  <c r="F83" i="2" s="1"/>
  <c r="H82" i="2"/>
  <c r="E82" i="2"/>
  <c r="F82" i="2" s="1"/>
  <c r="H81" i="2"/>
  <c r="E81" i="2"/>
  <c r="F81" i="2" s="1"/>
  <c r="H80" i="2"/>
  <c r="E80" i="2"/>
  <c r="F80" i="2" s="1"/>
  <c r="H79" i="2"/>
  <c r="E79" i="2"/>
  <c r="F79" i="2" s="1"/>
  <c r="H78" i="2"/>
  <c r="E78" i="2"/>
  <c r="G78" i="2" s="1"/>
  <c r="H77" i="2"/>
  <c r="E77" i="2"/>
  <c r="G77" i="2" s="1"/>
  <c r="H76" i="2"/>
  <c r="E76" i="2"/>
  <c r="G76" i="2" s="1"/>
  <c r="H75" i="2"/>
  <c r="G75" i="2"/>
  <c r="E75" i="2"/>
  <c r="F75" i="2" s="1"/>
  <c r="H74" i="2"/>
  <c r="E74" i="2"/>
  <c r="F74" i="2" s="1"/>
  <c r="H73" i="2"/>
  <c r="E73" i="2"/>
  <c r="F73" i="2" s="1"/>
  <c r="H72" i="2"/>
  <c r="E72" i="2"/>
  <c r="G72" i="2" s="1"/>
  <c r="H71" i="2"/>
  <c r="E71" i="2"/>
  <c r="G71" i="2" s="1"/>
  <c r="H70" i="2"/>
  <c r="E70" i="2"/>
  <c r="G70" i="2" s="1"/>
  <c r="H69" i="2"/>
  <c r="E69" i="2"/>
  <c r="G69" i="2" s="1"/>
  <c r="H68" i="2"/>
  <c r="E68" i="2"/>
  <c r="G68" i="2" s="1"/>
  <c r="H67" i="2"/>
  <c r="G67" i="2"/>
  <c r="E67" i="2"/>
  <c r="F67" i="2" s="1"/>
  <c r="H66" i="2"/>
  <c r="E66" i="2"/>
  <c r="F66" i="2" s="1"/>
  <c r="H65" i="2"/>
  <c r="E65" i="2"/>
  <c r="F65" i="2" s="1"/>
  <c r="H64" i="2"/>
  <c r="E64" i="2"/>
  <c r="F64" i="2" s="1"/>
  <c r="H63" i="2"/>
  <c r="E63" i="2"/>
  <c r="F63" i="2" s="1"/>
  <c r="H62" i="2"/>
  <c r="E62" i="2"/>
  <c r="G62" i="2" s="1"/>
  <c r="H61" i="2"/>
  <c r="E61" i="2"/>
  <c r="G61" i="2" s="1"/>
  <c r="H60" i="2"/>
  <c r="E60" i="2"/>
  <c r="G60" i="2" s="1"/>
  <c r="H59" i="2"/>
  <c r="G59" i="2"/>
  <c r="E59" i="2"/>
  <c r="F59" i="2" s="1"/>
  <c r="H58" i="2"/>
  <c r="E58" i="2"/>
  <c r="F58" i="2" s="1"/>
  <c r="H57" i="2"/>
  <c r="E57" i="2"/>
  <c r="G57" i="2" s="1"/>
  <c r="H56" i="2"/>
  <c r="E56" i="2"/>
  <c r="G56" i="2" s="1"/>
  <c r="H55" i="2"/>
  <c r="E55" i="2"/>
  <c r="G55" i="2" s="1"/>
  <c r="H54" i="2"/>
  <c r="E54" i="2"/>
  <c r="G54" i="2" s="1"/>
  <c r="H53" i="2"/>
  <c r="E53" i="2"/>
  <c r="G53" i="2" s="1"/>
  <c r="H52" i="2"/>
  <c r="E52" i="2"/>
  <c r="G52" i="2" s="1"/>
  <c r="H51" i="2"/>
  <c r="E51" i="2"/>
  <c r="F51" i="2" s="1"/>
  <c r="H50" i="2"/>
  <c r="E50" i="2"/>
  <c r="F50" i="2" s="1"/>
  <c r="H49" i="2"/>
  <c r="E49" i="2"/>
  <c r="F49" i="2" s="1"/>
  <c r="H48" i="2"/>
  <c r="E48" i="2"/>
  <c r="F48" i="2" s="1"/>
  <c r="H47" i="2"/>
  <c r="E47" i="2"/>
  <c r="G47" i="2" s="1"/>
  <c r="H46" i="2"/>
  <c r="E46" i="2"/>
  <c r="G46" i="2" s="1"/>
  <c r="H45" i="2"/>
  <c r="E45" i="2"/>
  <c r="G45" i="2" s="1"/>
  <c r="H44" i="2"/>
  <c r="E44" i="2"/>
  <c r="G44" i="2" s="1"/>
  <c r="H43" i="2"/>
  <c r="G43" i="2"/>
  <c r="E43" i="2"/>
  <c r="F43" i="2" s="1"/>
  <c r="H42" i="2"/>
  <c r="E42" i="2"/>
  <c r="F42" i="2" s="1"/>
  <c r="H41" i="2"/>
  <c r="E41" i="2"/>
  <c r="F41" i="2" s="1"/>
  <c r="H40" i="2"/>
  <c r="E40" i="2"/>
  <c r="F40" i="2" s="1"/>
  <c r="H39" i="2"/>
  <c r="E39" i="2"/>
  <c r="G39" i="2" s="1"/>
  <c r="H38" i="2"/>
  <c r="E38" i="2"/>
  <c r="G38" i="2" s="1"/>
  <c r="H37" i="2"/>
  <c r="E37" i="2"/>
  <c r="G37" i="2" s="1"/>
  <c r="H36" i="2"/>
  <c r="E36" i="2"/>
  <c r="G36" i="2" s="1"/>
  <c r="H35" i="2"/>
  <c r="E35" i="2"/>
  <c r="F35" i="2" s="1"/>
  <c r="H34" i="2"/>
  <c r="E34" i="2"/>
  <c r="F34" i="2" s="1"/>
  <c r="H33" i="2"/>
  <c r="E33" i="2"/>
  <c r="F33" i="2" s="1"/>
  <c r="H32" i="2"/>
  <c r="E32" i="2"/>
  <c r="G32" i="2" s="1"/>
  <c r="H31" i="2"/>
  <c r="E31" i="2"/>
  <c r="F31" i="2" s="1"/>
  <c r="H30" i="2"/>
  <c r="E30" i="2"/>
  <c r="G30" i="2" s="1"/>
  <c r="H29" i="2"/>
  <c r="E29" i="2"/>
  <c r="G29" i="2" s="1"/>
  <c r="H28" i="2"/>
  <c r="E28" i="2"/>
  <c r="G28" i="2" s="1"/>
  <c r="H27" i="2"/>
  <c r="G27" i="2"/>
  <c r="E27" i="2"/>
  <c r="F27" i="2" s="1"/>
  <c r="H26" i="2"/>
  <c r="E26" i="2"/>
  <c r="F26" i="2" s="1"/>
  <c r="H25" i="2"/>
  <c r="E25" i="2"/>
  <c r="F25" i="2" s="1"/>
  <c r="H24" i="2"/>
  <c r="E24" i="2"/>
  <c r="G24" i="2" s="1"/>
  <c r="H23" i="2"/>
  <c r="E23" i="2"/>
  <c r="G23" i="2" s="1"/>
  <c r="H22" i="2"/>
  <c r="G22" i="2"/>
  <c r="E22" i="2"/>
  <c r="F22" i="2" s="1"/>
  <c r="H21" i="2"/>
  <c r="E21" i="2"/>
  <c r="G21" i="2" s="1"/>
  <c r="H20" i="2"/>
  <c r="E20" i="2"/>
  <c r="G20" i="2" s="1"/>
  <c r="H19" i="2"/>
  <c r="E19" i="2"/>
  <c r="F19" i="2" s="1"/>
  <c r="H18" i="2"/>
  <c r="E18" i="2"/>
  <c r="G18" i="2" s="1"/>
  <c r="H17" i="2"/>
  <c r="E17" i="2"/>
  <c r="F17" i="2" s="1"/>
  <c r="H16" i="2"/>
  <c r="E16" i="2"/>
  <c r="G16" i="2" s="1"/>
  <c r="H15" i="2"/>
  <c r="E15" i="2"/>
  <c r="G15" i="2" s="1"/>
  <c r="H14" i="2"/>
  <c r="E14" i="2"/>
  <c r="F14" i="2" s="1"/>
  <c r="H13" i="2"/>
  <c r="E13" i="2"/>
  <c r="F13" i="2" s="1"/>
  <c r="H12" i="2"/>
  <c r="E12" i="2"/>
  <c r="G12" i="2" s="1"/>
  <c r="H11" i="2"/>
  <c r="E11" i="2"/>
  <c r="G11" i="2" s="1"/>
  <c r="H10" i="2"/>
  <c r="E10" i="2"/>
  <c r="G10" i="2" s="1"/>
  <c r="H9" i="2"/>
  <c r="E9" i="2"/>
  <c r="G9" i="2" s="1"/>
  <c r="H8" i="2"/>
  <c r="E8" i="2"/>
  <c r="G8" i="2" s="1"/>
  <c r="H7" i="2"/>
  <c r="E7" i="2"/>
  <c r="F7" i="2" s="1"/>
  <c r="H6" i="2"/>
  <c r="E6" i="2"/>
  <c r="G6" i="2" s="1"/>
  <c r="H5" i="2"/>
  <c r="E5" i="2"/>
  <c r="F5" i="2" s="1"/>
  <c r="H4" i="2"/>
  <c r="E4" i="2"/>
  <c r="G4" i="2" s="1"/>
  <c r="H3" i="2"/>
  <c r="E3" i="2"/>
  <c r="J2" i="2"/>
  <c r="N8" i="2" l="1"/>
  <c r="L8" i="2"/>
  <c r="K8" i="2"/>
  <c r="N7" i="2"/>
  <c r="M7" i="2"/>
  <c r="L7" i="2"/>
  <c r="M8" i="2"/>
  <c r="M6" i="2"/>
  <c r="L6" i="2"/>
  <c r="N6" i="2"/>
  <c r="K6" i="2"/>
  <c r="K7" i="2"/>
  <c r="N5" i="2"/>
  <c r="M5" i="2"/>
  <c r="L5" i="2"/>
  <c r="K5" i="2"/>
  <c r="N4" i="2"/>
  <c r="M4" i="2"/>
  <c r="L4" i="2"/>
  <c r="F21" i="2"/>
  <c r="G35" i="2"/>
  <c r="G115" i="2"/>
  <c r="G51" i="2"/>
  <c r="F15" i="2"/>
  <c r="F16" i="2"/>
  <c r="F10" i="2"/>
  <c r="G14" i="2"/>
  <c r="G7" i="2"/>
  <c r="F8" i="2"/>
  <c r="G123" i="2"/>
  <c r="F9" i="2"/>
  <c r="F168" i="2"/>
  <c r="F185" i="2"/>
  <c r="F186" i="2"/>
  <c r="F11" i="2"/>
  <c r="F103" i="2"/>
  <c r="F199" i="2"/>
  <c r="G17" i="2"/>
  <c r="G63" i="2"/>
  <c r="G119" i="2"/>
  <c r="G159" i="2"/>
  <c r="G207" i="2"/>
  <c r="F169" i="2"/>
  <c r="G5" i="2"/>
  <c r="G33" i="2"/>
  <c r="G225" i="2"/>
  <c r="F178" i="2"/>
  <c r="G26" i="2"/>
  <c r="G34" i="2"/>
  <c r="G42" i="2"/>
  <c r="G50" i="2"/>
  <c r="G58" i="2"/>
  <c r="G66" i="2"/>
  <c r="G74" i="2"/>
  <c r="G82" i="2"/>
  <c r="G90" i="2"/>
  <c r="G106" i="2"/>
  <c r="G114" i="2"/>
  <c r="G122" i="2"/>
  <c r="G130" i="2"/>
  <c r="G138" i="2"/>
  <c r="G146" i="2"/>
  <c r="G170" i="2"/>
  <c r="G194" i="2"/>
  <c r="G202" i="2"/>
  <c r="G218" i="2"/>
  <c r="G234" i="2"/>
  <c r="F20" i="2"/>
  <c r="F4" i="2"/>
  <c r="F47" i="2"/>
  <c r="F135" i="2"/>
  <c r="G31" i="2"/>
  <c r="G87" i="2"/>
  <c r="G143" i="2"/>
  <c r="G215" i="2"/>
  <c r="F24" i="2"/>
  <c r="F96" i="2"/>
  <c r="F152" i="2"/>
  <c r="F208" i="2"/>
  <c r="G40" i="2"/>
  <c r="G80" i="2"/>
  <c r="G104" i="2"/>
  <c r="G136" i="2"/>
  <c r="G160" i="2"/>
  <c r="G184" i="2"/>
  <c r="G232" i="2"/>
  <c r="F57" i="2"/>
  <c r="F89" i="2"/>
  <c r="F121" i="2"/>
  <c r="F137" i="2"/>
  <c r="F145" i="2"/>
  <c r="F161" i="2"/>
  <c r="F233" i="2"/>
  <c r="G25" i="2"/>
  <c r="G41" i="2"/>
  <c r="G49" i="2"/>
  <c r="G65" i="2"/>
  <c r="G73" i="2"/>
  <c r="G81" i="2"/>
  <c r="G97" i="2"/>
  <c r="G105" i="2"/>
  <c r="G113" i="2"/>
  <c r="G129" i="2"/>
  <c r="G153" i="2"/>
  <c r="G177" i="2"/>
  <c r="F3" i="2"/>
  <c r="F6" i="2"/>
  <c r="G162" i="2"/>
  <c r="F217" i="2"/>
  <c r="F72" i="2"/>
  <c r="F144" i="2"/>
  <c r="F224" i="2"/>
  <c r="G48" i="2"/>
  <c r="G88" i="2"/>
  <c r="G128" i="2"/>
  <c r="F18" i="2"/>
  <c r="G193" i="2"/>
  <c r="G13" i="2"/>
  <c r="F226" i="2"/>
  <c r="F28" i="2"/>
  <c r="F36" i="2"/>
  <c r="F44" i="2"/>
  <c r="F52" i="2"/>
  <c r="F60" i="2"/>
  <c r="F68" i="2"/>
  <c r="F76" i="2"/>
  <c r="F84" i="2"/>
  <c r="F92" i="2"/>
  <c r="F100" i="2"/>
  <c r="F108" i="2"/>
  <c r="F116" i="2"/>
  <c r="F124" i="2"/>
  <c r="F132" i="2"/>
  <c r="F140" i="2"/>
  <c r="F148" i="2"/>
  <c r="F156" i="2"/>
  <c r="F164" i="2"/>
  <c r="F236" i="2"/>
  <c r="F23" i="2"/>
  <c r="F71" i="2"/>
  <c r="F111" i="2"/>
  <c r="F151" i="2"/>
  <c r="F231" i="2"/>
  <c r="G79" i="2"/>
  <c r="G19" i="2"/>
  <c r="F154" i="2"/>
  <c r="F56" i="2"/>
  <c r="F120" i="2"/>
  <c r="F216" i="2"/>
  <c r="G64" i="2"/>
  <c r="F55" i="2"/>
  <c r="F175" i="2"/>
  <c r="G192" i="2"/>
  <c r="F209" i="2"/>
  <c r="F39" i="2"/>
  <c r="F95" i="2"/>
  <c r="F127" i="2"/>
  <c r="F223" i="2"/>
  <c r="G167" i="2"/>
  <c r="F12" i="2"/>
  <c r="F112" i="2"/>
  <c r="G200" i="2"/>
  <c r="F201" i="2"/>
  <c r="G3" i="2"/>
  <c r="F98" i="2"/>
  <c r="G210" i="2"/>
  <c r="F29" i="2"/>
  <c r="F37" i="2"/>
  <c r="F45" i="2"/>
  <c r="F53" i="2"/>
  <c r="F61" i="2"/>
  <c r="F69" i="2"/>
  <c r="F77" i="2"/>
  <c r="F85" i="2"/>
  <c r="F93" i="2"/>
  <c r="F101" i="2"/>
  <c r="F109" i="2"/>
  <c r="F117" i="2"/>
  <c r="F125" i="2"/>
  <c r="F133" i="2"/>
  <c r="F141" i="2"/>
  <c r="F149" i="2"/>
  <c r="F157" i="2"/>
  <c r="F165" i="2"/>
  <c r="F173" i="2"/>
  <c r="F181" i="2"/>
  <c r="F189" i="2"/>
  <c r="F197" i="2"/>
  <c r="F205" i="2"/>
  <c r="F213" i="2"/>
  <c r="F221" i="2"/>
  <c r="F229" i="2"/>
  <c r="F237" i="2"/>
  <c r="F183" i="2"/>
  <c r="F32" i="2"/>
  <c r="G176" i="2"/>
  <c r="F191" i="2"/>
  <c r="F30" i="2"/>
  <c r="F38" i="2"/>
  <c r="F46" i="2"/>
  <c r="F54" i="2"/>
  <c r="F62" i="2"/>
  <c r="F70" i="2"/>
  <c r="F78" i="2"/>
  <c r="F86" i="2"/>
  <c r="F94" i="2"/>
  <c r="F102" i="2"/>
  <c r="F110" i="2"/>
  <c r="F118" i="2"/>
  <c r="F126" i="2"/>
  <c r="F134" i="2"/>
  <c r="F142" i="2"/>
  <c r="F150" i="2"/>
  <c r="F158" i="2"/>
  <c r="F166" i="2"/>
  <c r="F174" i="2"/>
  <c r="F182" i="2"/>
  <c r="F190" i="2"/>
  <c r="F198" i="2"/>
  <c r="F206" i="2"/>
  <c r="F222" i="2"/>
</calcChain>
</file>

<file path=xl/sharedStrings.xml><?xml version="1.0" encoding="utf-8"?>
<sst xmlns="http://schemas.openxmlformats.org/spreadsheetml/2006/main" count="264" uniqueCount="119">
  <si>
    <t>USING LINEST TO ESTIMATE THE REGRESSION</t>
  </si>
  <si>
    <t>Issuer</t>
  </si>
  <si>
    <t>Price</t>
  </si>
  <si>
    <t>Coupon</t>
  </si>
  <si>
    <t>Maturity
date</t>
  </si>
  <si>
    <t>Maturity in
years</t>
  </si>
  <si>
    <r>
      <t>Maturity</t>
    </r>
    <r>
      <rPr>
        <b/>
        <vertAlign val="superscript"/>
        <sz val="10"/>
        <rFont val="Arial"/>
        <family val="2"/>
      </rPr>
      <t>2</t>
    </r>
  </si>
  <si>
    <r>
      <t>Maturity</t>
    </r>
    <r>
      <rPr>
        <b/>
        <vertAlign val="superscript"/>
        <sz val="10"/>
        <rFont val="Arial"/>
        <family val="2"/>
      </rPr>
      <t>3</t>
    </r>
  </si>
  <si>
    <t>Yield</t>
  </si>
  <si>
    <t>U S BANCORP MTNS BK ENT</t>
  </si>
  <si>
    <r>
      <t>time</t>
    </r>
    <r>
      <rPr>
        <vertAlign val="superscript"/>
        <sz val="10"/>
        <rFont val="Arial"/>
        <family val="2"/>
      </rPr>
      <t>3</t>
    </r>
  </si>
  <si>
    <r>
      <t>time</t>
    </r>
    <r>
      <rPr>
        <vertAlign val="superscript"/>
        <sz val="10"/>
        <rFont val="Arial"/>
        <family val="2"/>
      </rPr>
      <t>2</t>
    </r>
  </si>
  <si>
    <t>time</t>
  </si>
  <si>
    <t>intercept</t>
  </si>
  <si>
    <t>BANK NEW YORK MTN BK ENT</t>
  </si>
  <si>
    <t>Slope</t>
  </si>
  <si>
    <t>BANK ONE CORP</t>
  </si>
  <si>
    <t>Standard error</t>
  </si>
  <si>
    <t>SUNAMERICA INC</t>
  </si>
  <si>
    <r>
      <t>R</t>
    </r>
    <r>
      <rPr>
        <vertAlign val="superscript"/>
        <sz val="10"/>
        <rFont val="Arial"/>
        <family val="2"/>
      </rPr>
      <t>2</t>
    </r>
  </si>
  <si>
    <t>BANKAMERICA CORP</t>
  </si>
  <si>
    <t>F statistic</t>
  </si>
  <si>
    <t>HOUSEHOLD FIN CORP INT NT BE</t>
  </si>
  <si>
    <r>
      <t>SS</t>
    </r>
    <r>
      <rPr>
        <vertAlign val="subscript"/>
        <sz val="10"/>
        <rFont val="Arial"/>
        <family val="2"/>
      </rPr>
      <t>xy</t>
    </r>
  </si>
  <si>
    <t>INTERNATIONAL LEASE FIN CORP</t>
  </si>
  <si>
    <t>MERRILL LYNCH CO INC MTN BE</t>
  </si>
  <si>
    <t>MERRILL LYNCH &amp; CO INC</t>
  </si>
  <si>
    <t>Coefficients</t>
  </si>
  <si>
    <t>BANKBOSTON N A</t>
  </si>
  <si>
    <t>BANK ONE CHICAGO ILL MTN BE</t>
  </si>
  <si>
    <t>GOLDMAN SACHS GROUP INC</t>
  </si>
  <si>
    <t>BANK NEW YORK NY MEDTERM NT BE</t>
  </si>
  <si>
    <t>CITIGROUP INC</t>
  </si>
  <si>
    <t>Intercept</t>
  </si>
  <si>
    <t>CHEVRONTEXACO CAP CO</t>
  </si>
  <si>
    <t>R-squared</t>
  </si>
  <si>
    <t>WELLS FARGO &amp; CO NEW</t>
  </si>
  <si>
    <t>ABBOTT LABS</t>
  </si>
  <si>
    <t>Coefficient t-statistic</t>
  </si>
  <si>
    <t>GILLETTE CO</t>
  </si>
  <si>
    <t>LILLY ELI &amp; CO</t>
  </si>
  <si>
    <t>MBNA AMER BK NA SUB MTN 144A</t>
  </si>
  <si>
    <t>MERRILL LYNCH &amp; CO INC MERRILL</t>
  </si>
  <si>
    <t>US BK NATL ASSN MINNEAPOLISMTN</t>
  </si>
  <si>
    <t>BANKBOSTON NA SUB BK MTN</t>
  </si>
  <si>
    <t>FLEET FINL GROUP INC NEW</t>
  </si>
  <si>
    <t>AMERICAN EXPRESS CR CORP</t>
  </si>
  <si>
    <t>FLORIDA PWR &amp; LT CO</t>
  </si>
  <si>
    <t>INTERNATIONAL LEASE FIN MTN BE</t>
  </si>
  <si>
    <t>MORGAN STANLEY</t>
  </si>
  <si>
    <t>HOUSEHOLD FIN CORP</t>
  </si>
  <si>
    <t>BANK OF AMERICA CORPORATION</t>
  </si>
  <si>
    <t>CHEMICAL BK NY NY</t>
  </si>
  <si>
    <t>PROCTER &amp; GAMBLE CO</t>
  </si>
  <si>
    <t>MANITOBA PROV CDA</t>
  </si>
  <si>
    <t>WAL MART STORES INC</t>
  </si>
  <si>
    <t>SUNTRUST BKS INC</t>
  </si>
  <si>
    <t>ASSOCIATES CORP NORTH AMER</t>
  </si>
  <si>
    <t>CITICORP MTN SUB BE</t>
  </si>
  <si>
    <t>FLEET NATL BK PROV RI MTN BE</t>
  </si>
  <si>
    <t>WACHOVIA CORP 2ND NEW</t>
  </si>
  <si>
    <t>BANQUE PARIBAS</t>
  </si>
  <si>
    <t>ILLINOIS TOOL WKS INC</t>
  </si>
  <si>
    <t>ATLANTIC RICHFIELD CO</t>
  </si>
  <si>
    <t>ROYAL BK CDA MONTREAL QUE</t>
  </si>
  <si>
    <t>WORLD SVGS BK FSB</t>
  </si>
  <si>
    <t>NORWEST FINL INC</t>
  </si>
  <si>
    <t>AMERICAN EXPRESS CENTURION MTN</t>
  </si>
  <si>
    <t>HSBC BK USA GLBL MEDIUM TM SR</t>
  </si>
  <si>
    <t>NCNB CORP</t>
  </si>
  <si>
    <t>NATIONAL WESTMINSTER BK PLC</t>
  </si>
  <si>
    <t>PROTECTIVE LIFE SECD TRS SECD</t>
  </si>
  <si>
    <t>NATL CITY BK CLEVE SR MTN BE</t>
  </si>
  <si>
    <t>ALLSTATE LIFE GLOBAL FDG SECD</t>
  </si>
  <si>
    <t>PROTECTIVE LIFE SECD TRS</t>
  </si>
  <si>
    <t>PAINE WEBB GROUP INC SR MTN BE</t>
  </si>
  <si>
    <t>MORGAN STANLEY &amp; CO INC</t>
  </si>
  <si>
    <t>NATIONSBANK CORP</t>
  </si>
  <si>
    <t>WELLS FARGO BK N A</t>
  </si>
  <si>
    <t>AMERICAN GENERAL CORP</t>
  </si>
  <si>
    <t>HOME DEPOT INC</t>
  </si>
  <si>
    <t>1ST UN NATL BK CHARLOTTE MTNBE</t>
  </si>
  <si>
    <t>HSBC FINANCE CORP</t>
  </si>
  <si>
    <t>CREDIT SUISSE USA INC</t>
  </si>
  <si>
    <t>WASHINGTON MUT FIN CORP</t>
  </si>
  <si>
    <t>HSBC FIN CORP HSBC FIN</t>
  </si>
  <si>
    <t>BANK AMER CORP SR INTNOTES BE</t>
  </si>
  <si>
    <t>US BK NATL ASSN MINN SUB MTNBE</t>
  </si>
  <si>
    <t>CITICORP</t>
  </si>
  <si>
    <t>BANK AMER CORP SUB INTNTS BE</t>
  </si>
  <si>
    <t>MBNA CORP SR MTN BE</t>
  </si>
  <si>
    <t>COLGATE PALMOLIVE CO MTNS BE</t>
  </si>
  <si>
    <t>BOTTLING GROUP LLC</t>
  </si>
  <si>
    <t>MERCK &amp; CO INC</t>
  </si>
  <si>
    <t>ENGELHARD CORP</t>
  </si>
  <si>
    <t>NORFOLK SOUTHN RY CO</t>
  </si>
  <si>
    <t>PITNEY BOWES INC GLBL MTNS BE</t>
  </si>
  <si>
    <t>SALOMON SMITH BARNEY HLDGS INC</t>
  </si>
  <si>
    <t>AETNA INC</t>
  </si>
  <si>
    <t>CITIGROUP GLOBAL MKTS HLDGS</t>
  </si>
  <si>
    <t>HSBC BK USA NEW YORK NY</t>
  </si>
  <si>
    <t>GLAXOSMITHKLINE CAP INC</t>
  </si>
  <si>
    <t>ASTRAZENECA PLC</t>
  </si>
  <si>
    <t>ROYAL BK SCOTLAND GROUP PLC</t>
  </si>
  <si>
    <t>JP MORGAN CHASE &amp; CO</t>
  </si>
  <si>
    <t>WESTLB AG NEW YORK BRH</t>
  </si>
  <si>
    <t>KIMBERLY CLARK CORP</t>
  </si>
  <si>
    <t>SUNTRUST BK ATLANTA MDTMSBNTBE</t>
  </si>
  <si>
    <t>AMERICAN EXPRESS CR CORP MTNBE</t>
  </si>
  <si>
    <t>DEAN WITTER DISCOVER &amp; CO</t>
  </si>
  <si>
    <t>JPMORGAN CHASE BK NEW YORK N Y</t>
  </si>
  <si>
    <t>AMERICAN INTL GROUP INC MTN BE</t>
  </si>
  <si>
    <t>FIFTH THIRD BK CIN OHIO MTN BE</t>
  </si>
  <si>
    <t>SUNAMERICA INC MTN BE</t>
  </si>
  <si>
    <t>HYDRO-QUEBEC</t>
  </si>
  <si>
    <t>NORTHERN ILL GAS CO</t>
  </si>
  <si>
    <t>HSBC HLDGS PLC</t>
  </si>
  <si>
    <t>BAC CAPITAL TRUST XI</t>
  </si>
  <si>
    <t>WACHOVIA BK NATL ASSN MTN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</si>
</sst>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"/>
    <numFmt numFmtId="177" formatCode="0.00000"/>
    <numFmt numFmtId="178" formatCode="0.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11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2" fillId="0" borderId="0" xfId="1" applyNumberFormat="1"/>
    <xf numFmtId="10" fontId="2" fillId="0" borderId="0" xfId="2" applyNumberFormat="1" applyFont="1" applyAlignment="1"/>
    <xf numFmtId="15" fontId="2" fillId="0" borderId="0" xfId="1" applyNumberFormat="1"/>
    <xf numFmtId="10" fontId="2" fillId="0" borderId="0" xfId="2" applyNumberFormat="1" applyFont="1" applyAlignment="1">
      <alignment horizontal="center"/>
    </xf>
    <xf numFmtId="0" fontId="2" fillId="0" borderId="0" xfId="1" applyAlignment="1">
      <alignment horizontal="center"/>
    </xf>
    <xf numFmtId="176" fontId="2" fillId="0" borderId="0" xfId="2" applyNumberFormat="1" applyFont="1" applyAlignment="1"/>
    <xf numFmtId="177" fontId="2" fillId="0" borderId="0" xfId="1" applyNumberFormat="1"/>
    <xf numFmtId="178" fontId="2" fillId="0" borderId="0" xfId="1" applyNumberFormat="1"/>
    <xf numFmtId="177" fontId="2" fillId="0" borderId="0" xfId="2" applyNumberFormat="1" applyFont="1" applyAlignment="1"/>
    <xf numFmtId="0" fontId="4" fillId="0" borderId="0" xfId="1" applyFont="1"/>
    <xf numFmtId="0" fontId="2" fillId="0" borderId="0" xfId="1" applyAlignment="1">
      <alignment horizontal="left" indent="1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10" fontId="2" fillId="0" borderId="0" xfId="3" applyNumberFormat="1" applyFont="1" applyAlignment="1"/>
  </cellXfs>
  <cellStyles count="4">
    <cellStyle name="百分比" xfId="3" builtinId="5"/>
    <cellStyle name="百分比 2" xfId="2" xr:uid="{89D0AAF4-C764-4013-A65C-533532FA5636}"/>
    <cellStyle name="常规" xfId="0" builtinId="0"/>
    <cellStyle name="常规 2" xfId="1" xr:uid="{63F7ED00-2167-41B5-B42A-6F4B61BE67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83820</xdr:colOff>
      <xdr:row>11</xdr:row>
      <xdr:rowOff>150495</xdr:rowOff>
    </xdr:from>
    <xdr:to>
      <xdr:col>30</xdr:col>
      <xdr:colOff>97220</xdr:colOff>
      <xdr:row>49</xdr:row>
      <xdr:rowOff>56154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0CF6208-17F6-A4B5-D2DC-187662E83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3945" y="2455545"/>
          <a:ext cx="14119925" cy="652553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9553C-D6E7-4EFD-8D65-7E9C05A1C2EE}">
  <sheetPr codeName="Sheet8"/>
  <dimension ref="A1:P238"/>
  <sheetViews>
    <sheetView tabSelected="1" workbookViewId="0">
      <selection activeCell="K25" sqref="K25"/>
    </sheetView>
  </sheetViews>
  <sheetFormatPr defaultColWidth="9.109375" defaultRowHeight="13.2" x14ac:dyDescent="0.25"/>
  <cols>
    <col min="1" max="1" width="23.109375" style="1" customWidth="1"/>
    <col min="2" max="2" width="7" style="1" bestFit="1" customWidth="1"/>
    <col min="3" max="3" width="8" style="1" bestFit="1" customWidth="1"/>
    <col min="4" max="4" width="11" style="1" customWidth="1"/>
    <col min="5" max="5" width="10.44140625" style="1" customWidth="1"/>
    <col min="6" max="6" width="9" style="1" bestFit="1" customWidth="1"/>
    <col min="7" max="7" width="10.33203125" style="1" customWidth="1"/>
    <col min="8" max="8" width="7.5546875" style="1" customWidth="1"/>
    <col min="9" max="9" width="5.88671875" style="1" customWidth="1"/>
    <col min="10" max="10" width="12.6640625" style="1" bestFit="1" customWidth="1"/>
    <col min="11" max="11" width="10.88671875" style="1" bestFit="1" customWidth="1"/>
    <col min="12" max="12" width="10.109375" style="1" bestFit="1" customWidth="1"/>
    <col min="13" max="14" width="9.5546875" style="1" bestFit="1" customWidth="1"/>
    <col min="15" max="15" width="9.33203125" style="1" bestFit="1" customWidth="1"/>
    <col min="16" max="16" width="48.88671875" style="1" customWidth="1"/>
    <col min="17" max="256" width="9.109375" style="1"/>
    <col min="257" max="257" width="23.109375" style="1" customWidth="1"/>
    <col min="258" max="258" width="7" style="1" bestFit="1" customWidth="1"/>
    <col min="259" max="259" width="8" style="1" bestFit="1" customWidth="1"/>
    <col min="260" max="260" width="11" style="1" customWidth="1"/>
    <col min="261" max="261" width="10.44140625" style="1" customWidth="1"/>
    <col min="262" max="262" width="9" style="1" bestFit="1" customWidth="1"/>
    <col min="263" max="263" width="10.33203125" style="1" customWidth="1"/>
    <col min="264" max="264" width="7.5546875" style="1" customWidth="1"/>
    <col min="265" max="265" width="5.88671875" style="1" customWidth="1"/>
    <col min="266" max="266" width="12.6640625" style="1" bestFit="1" customWidth="1"/>
    <col min="267" max="267" width="10.44140625" style="1" bestFit="1" customWidth="1"/>
    <col min="268" max="268" width="9.5546875" style="1" bestFit="1" customWidth="1"/>
    <col min="269" max="270" width="9.44140625" style="1" bestFit="1" customWidth="1"/>
    <col min="271" max="271" width="9.33203125" style="1" bestFit="1" customWidth="1"/>
    <col min="272" max="272" width="48.88671875" style="1" customWidth="1"/>
    <col min="273" max="512" width="9.109375" style="1"/>
    <col min="513" max="513" width="23.109375" style="1" customWidth="1"/>
    <col min="514" max="514" width="7" style="1" bestFit="1" customWidth="1"/>
    <col min="515" max="515" width="8" style="1" bestFit="1" customWidth="1"/>
    <col min="516" max="516" width="11" style="1" customWidth="1"/>
    <col min="517" max="517" width="10.44140625" style="1" customWidth="1"/>
    <col min="518" max="518" width="9" style="1" bestFit="1" customWidth="1"/>
    <col min="519" max="519" width="10.33203125" style="1" customWidth="1"/>
    <col min="520" max="520" width="7.5546875" style="1" customWidth="1"/>
    <col min="521" max="521" width="5.88671875" style="1" customWidth="1"/>
    <col min="522" max="522" width="12.6640625" style="1" bestFit="1" customWidth="1"/>
    <col min="523" max="523" width="10.44140625" style="1" bestFit="1" customWidth="1"/>
    <col min="524" max="524" width="9.5546875" style="1" bestFit="1" customWidth="1"/>
    <col min="525" max="526" width="9.44140625" style="1" bestFit="1" customWidth="1"/>
    <col min="527" max="527" width="9.33203125" style="1" bestFit="1" customWidth="1"/>
    <col min="528" max="528" width="48.88671875" style="1" customWidth="1"/>
    <col min="529" max="768" width="9.109375" style="1"/>
    <col min="769" max="769" width="23.109375" style="1" customWidth="1"/>
    <col min="770" max="770" width="7" style="1" bestFit="1" customWidth="1"/>
    <col min="771" max="771" width="8" style="1" bestFit="1" customWidth="1"/>
    <col min="772" max="772" width="11" style="1" customWidth="1"/>
    <col min="773" max="773" width="10.44140625" style="1" customWidth="1"/>
    <col min="774" max="774" width="9" style="1" bestFit="1" customWidth="1"/>
    <col min="775" max="775" width="10.33203125" style="1" customWidth="1"/>
    <col min="776" max="776" width="7.5546875" style="1" customWidth="1"/>
    <col min="777" max="777" width="5.88671875" style="1" customWidth="1"/>
    <col min="778" max="778" width="12.6640625" style="1" bestFit="1" customWidth="1"/>
    <col min="779" max="779" width="10.44140625" style="1" bestFit="1" customWidth="1"/>
    <col min="780" max="780" width="9.5546875" style="1" bestFit="1" customWidth="1"/>
    <col min="781" max="782" width="9.44140625" style="1" bestFit="1" customWidth="1"/>
    <col min="783" max="783" width="9.33203125" style="1" bestFit="1" customWidth="1"/>
    <col min="784" max="784" width="48.88671875" style="1" customWidth="1"/>
    <col min="785" max="1024" width="9.109375" style="1"/>
    <col min="1025" max="1025" width="23.109375" style="1" customWidth="1"/>
    <col min="1026" max="1026" width="7" style="1" bestFit="1" customWidth="1"/>
    <col min="1027" max="1027" width="8" style="1" bestFit="1" customWidth="1"/>
    <col min="1028" max="1028" width="11" style="1" customWidth="1"/>
    <col min="1029" max="1029" width="10.44140625" style="1" customWidth="1"/>
    <col min="1030" max="1030" width="9" style="1" bestFit="1" customWidth="1"/>
    <col min="1031" max="1031" width="10.33203125" style="1" customWidth="1"/>
    <col min="1032" max="1032" width="7.5546875" style="1" customWidth="1"/>
    <col min="1033" max="1033" width="5.88671875" style="1" customWidth="1"/>
    <col min="1034" max="1034" width="12.6640625" style="1" bestFit="1" customWidth="1"/>
    <col min="1035" max="1035" width="10.44140625" style="1" bestFit="1" customWidth="1"/>
    <col min="1036" max="1036" width="9.5546875" style="1" bestFit="1" customWidth="1"/>
    <col min="1037" max="1038" width="9.44140625" style="1" bestFit="1" customWidth="1"/>
    <col min="1039" max="1039" width="9.33203125" style="1" bestFit="1" customWidth="1"/>
    <col min="1040" max="1040" width="48.88671875" style="1" customWidth="1"/>
    <col min="1041" max="1280" width="9.109375" style="1"/>
    <col min="1281" max="1281" width="23.109375" style="1" customWidth="1"/>
    <col min="1282" max="1282" width="7" style="1" bestFit="1" customWidth="1"/>
    <col min="1283" max="1283" width="8" style="1" bestFit="1" customWidth="1"/>
    <col min="1284" max="1284" width="11" style="1" customWidth="1"/>
    <col min="1285" max="1285" width="10.44140625" style="1" customWidth="1"/>
    <col min="1286" max="1286" width="9" style="1" bestFit="1" customWidth="1"/>
    <col min="1287" max="1287" width="10.33203125" style="1" customWidth="1"/>
    <col min="1288" max="1288" width="7.5546875" style="1" customWidth="1"/>
    <col min="1289" max="1289" width="5.88671875" style="1" customWidth="1"/>
    <col min="1290" max="1290" width="12.6640625" style="1" bestFit="1" customWidth="1"/>
    <col min="1291" max="1291" width="10.44140625" style="1" bestFit="1" customWidth="1"/>
    <col min="1292" max="1292" width="9.5546875" style="1" bestFit="1" customWidth="1"/>
    <col min="1293" max="1294" width="9.44140625" style="1" bestFit="1" customWidth="1"/>
    <col min="1295" max="1295" width="9.33203125" style="1" bestFit="1" customWidth="1"/>
    <col min="1296" max="1296" width="48.88671875" style="1" customWidth="1"/>
    <col min="1297" max="1536" width="9.109375" style="1"/>
    <col min="1537" max="1537" width="23.109375" style="1" customWidth="1"/>
    <col min="1538" max="1538" width="7" style="1" bestFit="1" customWidth="1"/>
    <col min="1539" max="1539" width="8" style="1" bestFit="1" customWidth="1"/>
    <col min="1540" max="1540" width="11" style="1" customWidth="1"/>
    <col min="1541" max="1541" width="10.44140625" style="1" customWidth="1"/>
    <col min="1542" max="1542" width="9" style="1" bestFit="1" customWidth="1"/>
    <col min="1543" max="1543" width="10.33203125" style="1" customWidth="1"/>
    <col min="1544" max="1544" width="7.5546875" style="1" customWidth="1"/>
    <col min="1545" max="1545" width="5.88671875" style="1" customWidth="1"/>
    <col min="1546" max="1546" width="12.6640625" style="1" bestFit="1" customWidth="1"/>
    <col min="1547" max="1547" width="10.44140625" style="1" bestFit="1" customWidth="1"/>
    <col min="1548" max="1548" width="9.5546875" style="1" bestFit="1" customWidth="1"/>
    <col min="1549" max="1550" width="9.44140625" style="1" bestFit="1" customWidth="1"/>
    <col min="1551" max="1551" width="9.33203125" style="1" bestFit="1" customWidth="1"/>
    <col min="1552" max="1552" width="48.88671875" style="1" customWidth="1"/>
    <col min="1553" max="1792" width="9.109375" style="1"/>
    <col min="1793" max="1793" width="23.109375" style="1" customWidth="1"/>
    <col min="1794" max="1794" width="7" style="1" bestFit="1" customWidth="1"/>
    <col min="1795" max="1795" width="8" style="1" bestFit="1" customWidth="1"/>
    <col min="1796" max="1796" width="11" style="1" customWidth="1"/>
    <col min="1797" max="1797" width="10.44140625" style="1" customWidth="1"/>
    <col min="1798" max="1798" width="9" style="1" bestFit="1" customWidth="1"/>
    <col min="1799" max="1799" width="10.33203125" style="1" customWidth="1"/>
    <col min="1800" max="1800" width="7.5546875" style="1" customWidth="1"/>
    <col min="1801" max="1801" width="5.88671875" style="1" customWidth="1"/>
    <col min="1802" max="1802" width="12.6640625" style="1" bestFit="1" customWidth="1"/>
    <col min="1803" max="1803" width="10.44140625" style="1" bestFit="1" customWidth="1"/>
    <col min="1804" max="1804" width="9.5546875" style="1" bestFit="1" customWidth="1"/>
    <col min="1805" max="1806" width="9.44140625" style="1" bestFit="1" customWidth="1"/>
    <col min="1807" max="1807" width="9.33203125" style="1" bestFit="1" customWidth="1"/>
    <col min="1808" max="1808" width="48.88671875" style="1" customWidth="1"/>
    <col min="1809" max="2048" width="9.109375" style="1"/>
    <col min="2049" max="2049" width="23.109375" style="1" customWidth="1"/>
    <col min="2050" max="2050" width="7" style="1" bestFit="1" customWidth="1"/>
    <col min="2051" max="2051" width="8" style="1" bestFit="1" customWidth="1"/>
    <col min="2052" max="2052" width="11" style="1" customWidth="1"/>
    <col min="2053" max="2053" width="10.44140625" style="1" customWidth="1"/>
    <col min="2054" max="2054" width="9" style="1" bestFit="1" customWidth="1"/>
    <col min="2055" max="2055" width="10.33203125" style="1" customWidth="1"/>
    <col min="2056" max="2056" width="7.5546875" style="1" customWidth="1"/>
    <col min="2057" max="2057" width="5.88671875" style="1" customWidth="1"/>
    <col min="2058" max="2058" width="12.6640625" style="1" bestFit="1" customWidth="1"/>
    <col min="2059" max="2059" width="10.44140625" style="1" bestFit="1" customWidth="1"/>
    <col min="2060" max="2060" width="9.5546875" style="1" bestFit="1" customWidth="1"/>
    <col min="2061" max="2062" width="9.44140625" style="1" bestFit="1" customWidth="1"/>
    <col min="2063" max="2063" width="9.33203125" style="1" bestFit="1" customWidth="1"/>
    <col min="2064" max="2064" width="48.88671875" style="1" customWidth="1"/>
    <col min="2065" max="2304" width="9.109375" style="1"/>
    <col min="2305" max="2305" width="23.109375" style="1" customWidth="1"/>
    <col min="2306" max="2306" width="7" style="1" bestFit="1" customWidth="1"/>
    <col min="2307" max="2307" width="8" style="1" bestFit="1" customWidth="1"/>
    <col min="2308" max="2308" width="11" style="1" customWidth="1"/>
    <col min="2309" max="2309" width="10.44140625" style="1" customWidth="1"/>
    <col min="2310" max="2310" width="9" style="1" bestFit="1" customWidth="1"/>
    <col min="2311" max="2311" width="10.33203125" style="1" customWidth="1"/>
    <col min="2312" max="2312" width="7.5546875" style="1" customWidth="1"/>
    <col min="2313" max="2313" width="5.88671875" style="1" customWidth="1"/>
    <col min="2314" max="2314" width="12.6640625" style="1" bestFit="1" customWidth="1"/>
    <col min="2315" max="2315" width="10.44140625" style="1" bestFit="1" customWidth="1"/>
    <col min="2316" max="2316" width="9.5546875" style="1" bestFit="1" customWidth="1"/>
    <col min="2317" max="2318" width="9.44140625" style="1" bestFit="1" customWidth="1"/>
    <col min="2319" max="2319" width="9.33203125" style="1" bestFit="1" customWidth="1"/>
    <col min="2320" max="2320" width="48.88671875" style="1" customWidth="1"/>
    <col min="2321" max="2560" width="9.109375" style="1"/>
    <col min="2561" max="2561" width="23.109375" style="1" customWidth="1"/>
    <col min="2562" max="2562" width="7" style="1" bestFit="1" customWidth="1"/>
    <col min="2563" max="2563" width="8" style="1" bestFit="1" customWidth="1"/>
    <col min="2564" max="2564" width="11" style="1" customWidth="1"/>
    <col min="2565" max="2565" width="10.44140625" style="1" customWidth="1"/>
    <col min="2566" max="2566" width="9" style="1" bestFit="1" customWidth="1"/>
    <col min="2567" max="2567" width="10.33203125" style="1" customWidth="1"/>
    <col min="2568" max="2568" width="7.5546875" style="1" customWidth="1"/>
    <col min="2569" max="2569" width="5.88671875" style="1" customWidth="1"/>
    <col min="2570" max="2570" width="12.6640625" style="1" bestFit="1" customWidth="1"/>
    <col min="2571" max="2571" width="10.44140625" style="1" bestFit="1" customWidth="1"/>
    <col min="2572" max="2572" width="9.5546875" style="1" bestFit="1" customWidth="1"/>
    <col min="2573" max="2574" width="9.44140625" style="1" bestFit="1" customWidth="1"/>
    <col min="2575" max="2575" width="9.33203125" style="1" bestFit="1" customWidth="1"/>
    <col min="2576" max="2576" width="48.88671875" style="1" customWidth="1"/>
    <col min="2577" max="2816" width="9.109375" style="1"/>
    <col min="2817" max="2817" width="23.109375" style="1" customWidth="1"/>
    <col min="2818" max="2818" width="7" style="1" bestFit="1" customWidth="1"/>
    <col min="2819" max="2819" width="8" style="1" bestFit="1" customWidth="1"/>
    <col min="2820" max="2820" width="11" style="1" customWidth="1"/>
    <col min="2821" max="2821" width="10.44140625" style="1" customWidth="1"/>
    <col min="2822" max="2822" width="9" style="1" bestFit="1" customWidth="1"/>
    <col min="2823" max="2823" width="10.33203125" style="1" customWidth="1"/>
    <col min="2824" max="2824" width="7.5546875" style="1" customWidth="1"/>
    <col min="2825" max="2825" width="5.88671875" style="1" customWidth="1"/>
    <col min="2826" max="2826" width="12.6640625" style="1" bestFit="1" customWidth="1"/>
    <col min="2827" max="2827" width="10.44140625" style="1" bestFit="1" customWidth="1"/>
    <col min="2828" max="2828" width="9.5546875" style="1" bestFit="1" customWidth="1"/>
    <col min="2829" max="2830" width="9.44140625" style="1" bestFit="1" customWidth="1"/>
    <col min="2831" max="2831" width="9.33203125" style="1" bestFit="1" customWidth="1"/>
    <col min="2832" max="2832" width="48.88671875" style="1" customWidth="1"/>
    <col min="2833" max="3072" width="9.109375" style="1"/>
    <col min="3073" max="3073" width="23.109375" style="1" customWidth="1"/>
    <col min="3074" max="3074" width="7" style="1" bestFit="1" customWidth="1"/>
    <col min="3075" max="3075" width="8" style="1" bestFit="1" customWidth="1"/>
    <col min="3076" max="3076" width="11" style="1" customWidth="1"/>
    <col min="3077" max="3077" width="10.44140625" style="1" customWidth="1"/>
    <col min="3078" max="3078" width="9" style="1" bestFit="1" customWidth="1"/>
    <col min="3079" max="3079" width="10.33203125" style="1" customWidth="1"/>
    <col min="3080" max="3080" width="7.5546875" style="1" customWidth="1"/>
    <col min="3081" max="3081" width="5.88671875" style="1" customWidth="1"/>
    <col min="3082" max="3082" width="12.6640625" style="1" bestFit="1" customWidth="1"/>
    <col min="3083" max="3083" width="10.44140625" style="1" bestFit="1" customWidth="1"/>
    <col min="3084" max="3084" width="9.5546875" style="1" bestFit="1" customWidth="1"/>
    <col min="3085" max="3086" width="9.44140625" style="1" bestFit="1" customWidth="1"/>
    <col min="3087" max="3087" width="9.33203125" style="1" bestFit="1" customWidth="1"/>
    <col min="3088" max="3088" width="48.88671875" style="1" customWidth="1"/>
    <col min="3089" max="3328" width="9.109375" style="1"/>
    <col min="3329" max="3329" width="23.109375" style="1" customWidth="1"/>
    <col min="3330" max="3330" width="7" style="1" bestFit="1" customWidth="1"/>
    <col min="3331" max="3331" width="8" style="1" bestFit="1" customWidth="1"/>
    <col min="3332" max="3332" width="11" style="1" customWidth="1"/>
    <col min="3333" max="3333" width="10.44140625" style="1" customWidth="1"/>
    <col min="3334" max="3334" width="9" style="1" bestFit="1" customWidth="1"/>
    <col min="3335" max="3335" width="10.33203125" style="1" customWidth="1"/>
    <col min="3336" max="3336" width="7.5546875" style="1" customWidth="1"/>
    <col min="3337" max="3337" width="5.88671875" style="1" customWidth="1"/>
    <col min="3338" max="3338" width="12.6640625" style="1" bestFit="1" customWidth="1"/>
    <col min="3339" max="3339" width="10.44140625" style="1" bestFit="1" customWidth="1"/>
    <col min="3340" max="3340" width="9.5546875" style="1" bestFit="1" customWidth="1"/>
    <col min="3341" max="3342" width="9.44140625" style="1" bestFit="1" customWidth="1"/>
    <col min="3343" max="3343" width="9.33203125" style="1" bestFit="1" customWidth="1"/>
    <col min="3344" max="3344" width="48.88671875" style="1" customWidth="1"/>
    <col min="3345" max="3584" width="9.109375" style="1"/>
    <col min="3585" max="3585" width="23.109375" style="1" customWidth="1"/>
    <col min="3586" max="3586" width="7" style="1" bestFit="1" customWidth="1"/>
    <col min="3587" max="3587" width="8" style="1" bestFit="1" customWidth="1"/>
    <col min="3588" max="3588" width="11" style="1" customWidth="1"/>
    <col min="3589" max="3589" width="10.44140625" style="1" customWidth="1"/>
    <col min="3590" max="3590" width="9" style="1" bestFit="1" customWidth="1"/>
    <col min="3591" max="3591" width="10.33203125" style="1" customWidth="1"/>
    <col min="3592" max="3592" width="7.5546875" style="1" customWidth="1"/>
    <col min="3593" max="3593" width="5.88671875" style="1" customWidth="1"/>
    <col min="3594" max="3594" width="12.6640625" style="1" bestFit="1" customWidth="1"/>
    <col min="3595" max="3595" width="10.44140625" style="1" bestFit="1" customWidth="1"/>
    <col min="3596" max="3596" width="9.5546875" style="1" bestFit="1" customWidth="1"/>
    <col min="3597" max="3598" width="9.44140625" style="1" bestFit="1" customWidth="1"/>
    <col min="3599" max="3599" width="9.33203125" style="1" bestFit="1" customWidth="1"/>
    <col min="3600" max="3600" width="48.88671875" style="1" customWidth="1"/>
    <col min="3601" max="3840" width="9.109375" style="1"/>
    <col min="3841" max="3841" width="23.109375" style="1" customWidth="1"/>
    <col min="3842" max="3842" width="7" style="1" bestFit="1" customWidth="1"/>
    <col min="3843" max="3843" width="8" style="1" bestFit="1" customWidth="1"/>
    <col min="3844" max="3844" width="11" style="1" customWidth="1"/>
    <col min="3845" max="3845" width="10.44140625" style="1" customWidth="1"/>
    <col min="3846" max="3846" width="9" style="1" bestFit="1" customWidth="1"/>
    <col min="3847" max="3847" width="10.33203125" style="1" customWidth="1"/>
    <col min="3848" max="3848" width="7.5546875" style="1" customWidth="1"/>
    <col min="3849" max="3849" width="5.88671875" style="1" customWidth="1"/>
    <col min="3850" max="3850" width="12.6640625" style="1" bestFit="1" customWidth="1"/>
    <col min="3851" max="3851" width="10.44140625" style="1" bestFit="1" customWidth="1"/>
    <col min="3852" max="3852" width="9.5546875" style="1" bestFit="1" customWidth="1"/>
    <col min="3853" max="3854" width="9.44140625" style="1" bestFit="1" customWidth="1"/>
    <col min="3855" max="3855" width="9.33203125" style="1" bestFit="1" customWidth="1"/>
    <col min="3856" max="3856" width="48.88671875" style="1" customWidth="1"/>
    <col min="3857" max="4096" width="9.109375" style="1"/>
    <col min="4097" max="4097" width="23.109375" style="1" customWidth="1"/>
    <col min="4098" max="4098" width="7" style="1" bestFit="1" customWidth="1"/>
    <col min="4099" max="4099" width="8" style="1" bestFit="1" customWidth="1"/>
    <col min="4100" max="4100" width="11" style="1" customWidth="1"/>
    <col min="4101" max="4101" width="10.44140625" style="1" customWidth="1"/>
    <col min="4102" max="4102" width="9" style="1" bestFit="1" customWidth="1"/>
    <col min="4103" max="4103" width="10.33203125" style="1" customWidth="1"/>
    <col min="4104" max="4104" width="7.5546875" style="1" customWidth="1"/>
    <col min="4105" max="4105" width="5.88671875" style="1" customWidth="1"/>
    <col min="4106" max="4106" width="12.6640625" style="1" bestFit="1" customWidth="1"/>
    <col min="4107" max="4107" width="10.44140625" style="1" bestFit="1" customWidth="1"/>
    <col min="4108" max="4108" width="9.5546875" style="1" bestFit="1" customWidth="1"/>
    <col min="4109" max="4110" width="9.44140625" style="1" bestFit="1" customWidth="1"/>
    <col min="4111" max="4111" width="9.33203125" style="1" bestFit="1" customWidth="1"/>
    <col min="4112" max="4112" width="48.88671875" style="1" customWidth="1"/>
    <col min="4113" max="4352" width="9.109375" style="1"/>
    <col min="4353" max="4353" width="23.109375" style="1" customWidth="1"/>
    <col min="4354" max="4354" width="7" style="1" bestFit="1" customWidth="1"/>
    <col min="4355" max="4355" width="8" style="1" bestFit="1" customWidth="1"/>
    <col min="4356" max="4356" width="11" style="1" customWidth="1"/>
    <col min="4357" max="4357" width="10.44140625" style="1" customWidth="1"/>
    <col min="4358" max="4358" width="9" style="1" bestFit="1" customWidth="1"/>
    <col min="4359" max="4359" width="10.33203125" style="1" customWidth="1"/>
    <col min="4360" max="4360" width="7.5546875" style="1" customWidth="1"/>
    <col min="4361" max="4361" width="5.88671875" style="1" customWidth="1"/>
    <col min="4362" max="4362" width="12.6640625" style="1" bestFit="1" customWidth="1"/>
    <col min="4363" max="4363" width="10.44140625" style="1" bestFit="1" customWidth="1"/>
    <col min="4364" max="4364" width="9.5546875" style="1" bestFit="1" customWidth="1"/>
    <col min="4365" max="4366" width="9.44140625" style="1" bestFit="1" customWidth="1"/>
    <col min="4367" max="4367" width="9.33203125" style="1" bestFit="1" customWidth="1"/>
    <col min="4368" max="4368" width="48.88671875" style="1" customWidth="1"/>
    <col min="4369" max="4608" width="9.109375" style="1"/>
    <col min="4609" max="4609" width="23.109375" style="1" customWidth="1"/>
    <col min="4610" max="4610" width="7" style="1" bestFit="1" customWidth="1"/>
    <col min="4611" max="4611" width="8" style="1" bestFit="1" customWidth="1"/>
    <col min="4612" max="4612" width="11" style="1" customWidth="1"/>
    <col min="4613" max="4613" width="10.44140625" style="1" customWidth="1"/>
    <col min="4614" max="4614" width="9" style="1" bestFit="1" customWidth="1"/>
    <col min="4615" max="4615" width="10.33203125" style="1" customWidth="1"/>
    <col min="4616" max="4616" width="7.5546875" style="1" customWidth="1"/>
    <col min="4617" max="4617" width="5.88671875" style="1" customWidth="1"/>
    <col min="4618" max="4618" width="12.6640625" style="1" bestFit="1" customWidth="1"/>
    <col min="4619" max="4619" width="10.44140625" style="1" bestFit="1" customWidth="1"/>
    <col min="4620" max="4620" width="9.5546875" style="1" bestFit="1" customWidth="1"/>
    <col min="4621" max="4622" width="9.44140625" style="1" bestFit="1" customWidth="1"/>
    <col min="4623" max="4623" width="9.33203125" style="1" bestFit="1" customWidth="1"/>
    <col min="4624" max="4624" width="48.88671875" style="1" customWidth="1"/>
    <col min="4625" max="4864" width="9.109375" style="1"/>
    <col min="4865" max="4865" width="23.109375" style="1" customWidth="1"/>
    <col min="4866" max="4866" width="7" style="1" bestFit="1" customWidth="1"/>
    <col min="4867" max="4867" width="8" style="1" bestFit="1" customWidth="1"/>
    <col min="4868" max="4868" width="11" style="1" customWidth="1"/>
    <col min="4869" max="4869" width="10.44140625" style="1" customWidth="1"/>
    <col min="4870" max="4870" width="9" style="1" bestFit="1" customWidth="1"/>
    <col min="4871" max="4871" width="10.33203125" style="1" customWidth="1"/>
    <col min="4872" max="4872" width="7.5546875" style="1" customWidth="1"/>
    <col min="4873" max="4873" width="5.88671875" style="1" customWidth="1"/>
    <col min="4874" max="4874" width="12.6640625" style="1" bestFit="1" customWidth="1"/>
    <col min="4875" max="4875" width="10.44140625" style="1" bestFit="1" customWidth="1"/>
    <col min="4876" max="4876" width="9.5546875" style="1" bestFit="1" customWidth="1"/>
    <col min="4877" max="4878" width="9.44140625" style="1" bestFit="1" customWidth="1"/>
    <col min="4879" max="4879" width="9.33203125" style="1" bestFit="1" customWidth="1"/>
    <col min="4880" max="4880" width="48.88671875" style="1" customWidth="1"/>
    <col min="4881" max="5120" width="9.109375" style="1"/>
    <col min="5121" max="5121" width="23.109375" style="1" customWidth="1"/>
    <col min="5122" max="5122" width="7" style="1" bestFit="1" customWidth="1"/>
    <col min="5123" max="5123" width="8" style="1" bestFit="1" customWidth="1"/>
    <col min="5124" max="5124" width="11" style="1" customWidth="1"/>
    <col min="5125" max="5125" width="10.44140625" style="1" customWidth="1"/>
    <col min="5126" max="5126" width="9" style="1" bestFit="1" customWidth="1"/>
    <col min="5127" max="5127" width="10.33203125" style="1" customWidth="1"/>
    <col min="5128" max="5128" width="7.5546875" style="1" customWidth="1"/>
    <col min="5129" max="5129" width="5.88671875" style="1" customWidth="1"/>
    <col min="5130" max="5130" width="12.6640625" style="1" bestFit="1" customWidth="1"/>
    <col min="5131" max="5131" width="10.44140625" style="1" bestFit="1" customWidth="1"/>
    <col min="5132" max="5132" width="9.5546875" style="1" bestFit="1" customWidth="1"/>
    <col min="5133" max="5134" width="9.44140625" style="1" bestFit="1" customWidth="1"/>
    <col min="5135" max="5135" width="9.33203125" style="1" bestFit="1" customWidth="1"/>
    <col min="5136" max="5136" width="48.88671875" style="1" customWidth="1"/>
    <col min="5137" max="5376" width="9.109375" style="1"/>
    <col min="5377" max="5377" width="23.109375" style="1" customWidth="1"/>
    <col min="5378" max="5378" width="7" style="1" bestFit="1" customWidth="1"/>
    <col min="5379" max="5379" width="8" style="1" bestFit="1" customWidth="1"/>
    <col min="5380" max="5380" width="11" style="1" customWidth="1"/>
    <col min="5381" max="5381" width="10.44140625" style="1" customWidth="1"/>
    <col min="5382" max="5382" width="9" style="1" bestFit="1" customWidth="1"/>
    <col min="5383" max="5383" width="10.33203125" style="1" customWidth="1"/>
    <col min="5384" max="5384" width="7.5546875" style="1" customWidth="1"/>
    <col min="5385" max="5385" width="5.88671875" style="1" customWidth="1"/>
    <col min="5386" max="5386" width="12.6640625" style="1" bestFit="1" customWidth="1"/>
    <col min="5387" max="5387" width="10.44140625" style="1" bestFit="1" customWidth="1"/>
    <col min="5388" max="5388" width="9.5546875" style="1" bestFit="1" customWidth="1"/>
    <col min="5389" max="5390" width="9.44140625" style="1" bestFit="1" customWidth="1"/>
    <col min="5391" max="5391" width="9.33203125" style="1" bestFit="1" customWidth="1"/>
    <col min="5392" max="5392" width="48.88671875" style="1" customWidth="1"/>
    <col min="5393" max="5632" width="9.109375" style="1"/>
    <col min="5633" max="5633" width="23.109375" style="1" customWidth="1"/>
    <col min="5634" max="5634" width="7" style="1" bestFit="1" customWidth="1"/>
    <col min="5635" max="5635" width="8" style="1" bestFit="1" customWidth="1"/>
    <col min="5636" max="5636" width="11" style="1" customWidth="1"/>
    <col min="5637" max="5637" width="10.44140625" style="1" customWidth="1"/>
    <col min="5638" max="5638" width="9" style="1" bestFit="1" customWidth="1"/>
    <col min="5639" max="5639" width="10.33203125" style="1" customWidth="1"/>
    <col min="5640" max="5640" width="7.5546875" style="1" customWidth="1"/>
    <col min="5641" max="5641" width="5.88671875" style="1" customWidth="1"/>
    <col min="5642" max="5642" width="12.6640625" style="1" bestFit="1" customWidth="1"/>
    <col min="5643" max="5643" width="10.44140625" style="1" bestFit="1" customWidth="1"/>
    <col min="5644" max="5644" width="9.5546875" style="1" bestFit="1" customWidth="1"/>
    <col min="5645" max="5646" width="9.44140625" style="1" bestFit="1" customWidth="1"/>
    <col min="5647" max="5647" width="9.33203125" style="1" bestFit="1" customWidth="1"/>
    <col min="5648" max="5648" width="48.88671875" style="1" customWidth="1"/>
    <col min="5649" max="5888" width="9.109375" style="1"/>
    <col min="5889" max="5889" width="23.109375" style="1" customWidth="1"/>
    <col min="5890" max="5890" width="7" style="1" bestFit="1" customWidth="1"/>
    <col min="5891" max="5891" width="8" style="1" bestFit="1" customWidth="1"/>
    <col min="5892" max="5892" width="11" style="1" customWidth="1"/>
    <col min="5893" max="5893" width="10.44140625" style="1" customWidth="1"/>
    <col min="5894" max="5894" width="9" style="1" bestFit="1" customWidth="1"/>
    <col min="5895" max="5895" width="10.33203125" style="1" customWidth="1"/>
    <col min="5896" max="5896" width="7.5546875" style="1" customWidth="1"/>
    <col min="5897" max="5897" width="5.88671875" style="1" customWidth="1"/>
    <col min="5898" max="5898" width="12.6640625" style="1" bestFit="1" customWidth="1"/>
    <col min="5899" max="5899" width="10.44140625" style="1" bestFit="1" customWidth="1"/>
    <col min="5900" max="5900" width="9.5546875" style="1" bestFit="1" customWidth="1"/>
    <col min="5901" max="5902" width="9.44140625" style="1" bestFit="1" customWidth="1"/>
    <col min="5903" max="5903" width="9.33203125" style="1" bestFit="1" customWidth="1"/>
    <col min="5904" max="5904" width="48.88671875" style="1" customWidth="1"/>
    <col min="5905" max="6144" width="9.109375" style="1"/>
    <col min="6145" max="6145" width="23.109375" style="1" customWidth="1"/>
    <col min="6146" max="6146" width="7" style="1" bestFit="1" customWidth="1"/>
    <col min="6147" max="6147" width="8" style="1" bestFit="1" customWidth="1"/>
    <col min="6148" max="6148" width="11" style="1" customWidth="1"/>
    <col min="6149" max="6149" width="10.44140625" style="1" customWidth="1"/>
    <col min="6150" max="6150" width="9" style="1" bestFit="1" customWidth="1"/>
    <col min="6151" max="6151" width="10.33203125" style="1" customWidth="1"/>
    <col min="6152" max="6152" width="7.5546875" style="1" customWidth="1"/>
    <col min="6153" max="6153" width="5.88671875" style="1" customWidth="1"/>
    <col min="6154" max="6154" width="12.6640625" style="1" bestFit="1" customWidth="1"/>
    <col min="6155" max="6155" width="10.44140625" style="1" bestFit="1" customWidth="1"/>
    <col min="6156" max="6156" width="9.5546875" style="1" bestFit="1" customWidth="1"/>
    <col min="6157" max="6158" width="9.44140625" style="1" bestFit="1" customWidth="1"/>
    <col min="6159" max="6159" width="9.33203125" style="1" bestFit="1" customWidth="1"/>
    <col min="6160" max="6160" width="48.88671875" style="1" customWidth="1"/>
    <col min="6161" max="6400" width="9.109375" style="1"/>
    <col min="6401" max="6401" width="23.109375" style="1" customWidth="1"/>
    <col min="6402" max="6402" width="7" style="1" bestFit="1" customWidth="1"/>
    <col min="6403" max="6403" width="8" style="1" bestFit="1" customWidth="1"/>
    <col min="6404" max="6404" width="11" style="1" customWidth="1"/>
    <col min="6405" max="6405" width="10.44140625" style="1" customWidth="1"/>
    <col min="6406" max="6406" width="9" style="1" bestFit="1" customWidth="1"/>
    <col min="6407" max="6407" width="10.33203125" style="1" customWidth="1"/>
    <col min="6408" max="6408" width="7.5546875" style="1" customWidth="1"/>
    <col min="6409" max="6409" width="5.88671875" style="1" customWidth="1"/>
    <col min="6410" max="6410" width="12.6640625" style="1" bestFit="1" customWidth="1"/>
    <col min="6411" max="6411" width="10.44140625" style="1" bestFit="1" customWidth="1"/>
    <col min="6412" max="6412" width="9.5546875" style="1" bestFit="1" customWidth="1"/>
    <col min="6413" max="6414" width="9.44140625" style="1" bestFit="1" customWidth="1"/>
    <col min="6415" max="6415" width="9.33203125" style="1" bestFit="1" customWidth="1"/>
    <col min="6416" max="6416" width="48.88671875" style="1" customWidth="1"/>
    <col min="6417" max="6656" width="9.109375" style="1"/>
    <col min="6657" max="6657" width="23.109375" style="1" customWidth="1"/>
    <col min="6658" max="6658" width="7" style="1" bestFit="1" customWidth="1"/>
    <col min="6659" max="6659" width="8" style="1" bestFit="1" customWidth="1"/>
    <col min="6660" max="6660" width="11" style="1" customWidth="1"/>
    <col min="6661" max="6661" width="10.44140625" style="1" customWidth="1"/>
    <col min="6662" max="6662" width="9" style="1" bestFit="1" customWidth="1"/>
    <col min="6663" max="6663" width="10.33203125" style="1" customWidth="1"/>
    <col min="6664" max="6664" width="7.5546875" style="1" customWidth="1"/>
    <col min="6665" max="6665" width="5.88671875" style="1" customWidth="1"/>
    <col min="6666" max="6666" width="12.6640625" style="1" bestFit="1" customWidth="1"/>
    <col min="6667" max="6667" width="10.44140625" style="1" bestFit="1" customWidth="1"/>
    <col min="6668" max="6668" width="9.5546875" style="1" bestFit="1" customWidth="1"/>
    <col min="6669" max="6670" width="9.44140625" style="1" bestFit="1" customWidth="1"/>
    <col min="6671" max="6671" width="9.33203125" style="1" bestFit="1" customWidth="1"/>
    <col min="6672" max="6672" width="48.88671875" style="1" customWidth="1"/>
    <col min="6673" max="6912" width="9.109375" style="1"/>
    <col min="6913" max="6913" width="23.109375" style="1" customWidth="1"/>
    <col min="6914" max="6914" width="7" style="1" bestFit="1" customWidth="1"/>
    <col min="6915" max="6915" width="8" style="1" bestFit="1" customWidth="1"/>
    <col min="6916" max="6916" width="11" style="1" customWidth="1"/>
    <col min="6917" max="6917" width="10.44140625" style="1" customWidth="1"/>
    <col min="6918" max="6918" width="9" style="1" bestFit="1" customWidth="1"/>
    <col min="6919" max="6919" width="10.33203125" style="1" customWidth="1"/>
    <col min="6920" max="6920" width="7.5546875" style="1" customWidth="1"/>
    <col min="6921" max="6921" width="5.88671875" style="1" customWidth="1"/>
    <col min="6922" max="6922" width="12.6640625" style="1" bestFit="1" customWidth="1"/>
    <col min="6923" max="6923" width="10.44140625" style="1" bestFit="1" customWidth="1"/>
    <col min="6924" max="6924" width="9.5546875" style="1" bestFit="1" customWidth="1"/>
    <col min="6925" max="6926" width="9.44140625" style="1" bestFit="1" customWidth="1"/>
    <col min="6927" max="6927" width="9.33203125" style="1" bestFit="1" customWidth="1"/>
    <col min="6928" max="6928" width="48.88671875" style="1" customWidth="1"/>
    <col min="6929" max="7168" width="9.109375" style="1"/>
    <col min="7169" max="7169" width="23.109375" style="1" customWidth="1"/>
    <col min="7170" max="7170" width="7" style="1" bestFit="1" customWidth="1"/>
    <col min="7171" max="7171" width="8" style="1" bestFit="1" customWidth="1"/>
    <col min="7172" max="7172" width="11" style="1" customWidth="1"/>
    <col min="7173" max="7173" width="10.44140625" style="1" customWidth="1"/>
    <col min="7174" max="7174" width="9" style="1" bestFit="1" customWidth="1"/>
    <col min="7175" max="7175" width="10.33203125" style="1" customWidth="1"/>
    <col min="7176" max="7176" width="7.5546875" style="1" customWidth="1"/>
    <col min="7177" max="7177" width="5.88671875" style="1" customWidth="1"/>
    <col min="7178" max="7178" width="12.6640625" style="1" bestFit="1" customWidth="1"/>
    <col min="7179" max="7179" width="10.44140625" style="1" bestFit="1" customWidth="1"/>
    <col min="7180" max="7180" width="9.5546875" style="1" bestFit="1" customWidth="1"/>
    <col min="7181" max="7182" width="9.44140625" style="1" bestFit="1" customWidth="1"/>
    <col min="7183" max="7183" width="9.33203125" style="1" bestFit="1" customWidth="1"/>
    <col min="7184" max="7184" width="48.88671875" style="1" customWidth="1"/>
    <col min="7185" max="7424" width="9.109375" style="1"/>
    <col min="7425" max="7425" width="23.109375" style="1" customWidth="1"/>
    <col min="7426" max="7426" width="7" style="1" bestFit="1" customWidth="1"/>
    <col min="7427" max="7427" width="8" style="1" bestFit="1" customWidth="1"/>
    <col min="7428" max="7428" width="11" style="1" customWidth="1"/>
    <col min="7429" max="7429" width="10.44140625" style="1" customWidth="1"/>
    <col min="7430" max="7430" width="9" style="1" bestFit="1" customWidth="1"/>
    <col min="7431" max="7431" width="10.33203125" style="1" customWidth="1"/>
    <col min="7432" max="7432" width="7.5546875" style="1" customWidth="1"/>
    <col min="7433" max="7433" width="5.88671875" style="1" customWidth="1"/>
    <col min="7434" max="7434" width="12.6640625" style="1" bestFit="1" customWidth="1"/>
    <col min="7435" max="7435" width="10.44140625" style="1" bestFit="1" customWidth="1"/>
    <col min="7436" max="7436" width="9.5546875" style="1" bestFit="1" customWidth="1"/>
    <col min="7437" max="7438" width="9.44140625" style="1" bestFit="1" customWidth="1"/>
    <col min="7439" max="7439" width="9.33203125" style="1" bestFit="1" customWidth="1"/>
    <col min="7440" max="7440" width="48.88671875" style="1" customWidth="1"/>
    <col min="7441" max="7680" width="9.109375" style="1"/>
    <col min="7681" max="7681" width="23.109375" style="1" customWidth="1"/>
    <col min="7682" max="7682" width="7" style="1" bestFit="1" customWidth="1"/>
    <col min="7683" max="7683" width="8" style="1" bestFit="1" customWidth="1"/>
    <col min="7684" max="7684" width="11" style="1" customWidth="1"/>
    <col min="7685" max="7685" width="10.44140625" style="1" customWidth="1"/>
    <col min="7686" max="7686" width="9" style="1" bestFit="1" customWidth="1"/>
    <col min="7687" max="7687" width="10.33203125" style="1" customWidth="1"/>
    <col min="7688" max="7688" width="7.5546875" style="1" customWidth="1"/>
    <col min="7689" max="7689" width="5.88671875" style="1" customWidth="1"/>
    <col min="7690" max="7690" width="12.6640625" style="1" bestFit="1" customWidth="1"/>
    <col min="7691" max="7691" width="10.44140625" style="1" bestFit="1" customWidth="1"/>
    <col min="7692" max="7692" width="9.5546875" style="1" bestFit="1" customWidth="1"/>
    <col min="7693" max="7694" width="9.44140625" style="1" bestFit="1" customWidth="1"/>
    <col min="7695" max="7695" width="9.33203125" style="1" bestFit="1" customWidth="1"/>
    <col min="7696" max="7696" width="48.88671875" style="1" customWidth="1"/>
    <col min="7697" max="7936" width="9.109375" style="1"/>
    <col min="7937" max="7937" width="23.109375" style="1" customWidth="1"/>
    <col min="7938" max="7938" width="7" style="1" bestFit="1" customWidth="1"/>
    <col min="7939" max="7939" width="8" style="1" bestFit="1" customWidth="1"/>
    <col min="7940" max="7940" width="11" style="1" customWidth="1"/>
    <col min="7941" max="7941" width="10.44140625" style="1" customWidth="1"/>
    <col min="7942" max="7942" width="9" style="1" bestFit="1" customWidth="1"/>
    <col min="7943" max="7943" width="10.33203125" style="1" customWidth="1"/>
    <col min="7944" max="7944" width="7.5546875" style="1" customWidth="1"/>
    <col min="7945" max="7945" width="5.88671875" style="1" customWidth="1"/>
    <col min="7946" max="7946" width="12.6640625" style="1" bestFit="1" customWidth="1"/>
    <col min="7947" max="7947" width="10.44140625" style="1" bestFit="1" customWidth="1"/>
    <col min="7948" max="7948" width="9.5546875" style="1" bestFit="1" customWidth="1"/>
    <col min="7949" max="7950" width="9.44140625" style="1" bestFit="1" customWidth="1"/>
    <col min="7951" max="7951" width="9.33203125" style="1" bestFit="1" customWidth="1"/>
    <col min="7952" max="7952" width="48.88671875" style="1" customWidth="1"/>
    <col min="7953" max="8192" width="9.109375" style="1"/>
    <col min="8193" max="8193" width="23.109375" style="1" customWidth="1"/>
    <col min="8194" max="8194" width="7" style="1" bestFit="1" customWidth="1"/>
    <col min="8195" max="8195" width="8" style="1" bestFit="1" customWidth="1"/>
    <col min="8196" max="8196" width="11" style="1" customWidth="1"/>
    <col min="8197" max="8197" width="10.44140625" style="1" customWidth="1"/>
    <col min="8198" max="8198" width="9" style="1" bestFit="1" customWidth="1"/>
    <col min="8199" max="8199" width="10.33203125" style="1" customWidth="1"/>
    <col min="8200" max="8200" width="7.5546875" style="1" customWidth="1"/>
    <col min="8201" max="8201" width="5.88671875" style="1" customWidth="1"/>
    <col min="8202" max="8202" width="12.6640625" style="1" bestFit="1" customWidth="1"/>
    <col min="8203" max="8203" width="10.44140625" style="1" bestFit="1" customWidth="1"/>
    <col min="8204" max="8204" width="9.5546875" style="1" bestFit="1" customWidth="1"/>
    <col min="8205" max="8206" width="9.44140625" style="1" bestFit="1" customWidth="1"/>
    <col min="8207" max="8207" width="9.33203125" style="1" bestFit="1" customWidth="1"/>
    <col min="8208" max="8208" width="48.88671875" style="1" customWidth="1"/>
    <col min="8209" max="8448" width="9.109375" style="1"/>
    <col min="8449" max="8449" width="23.109375" style="1" customWidth="1"/>
    <col min="8450" max="8450" width="7" style="1" bestFit="1" customWidth="1"/>
    <col min="8451" max="8451" width="8" style="1" bestFit="1" customWidth="1"/>
    <col min="8452" max="8452" width="11" style="1" customWidth="1"/>
    <col min="8453" max="8453" width="10.44140625" style="1" customWidth="1"/>
    <col min="8454" max="8454" width="9" style="1" bestFit="1" customWidth="1"/>
    <col min="8455" max="8455" width="10.33203125" style="1" customWidth="1"/>
    <col min="8456" max="8456" width="7.5546875" style="1" customWidth="1"/>
    <col min="8457" max="8457" width="5.88671875" style="1" customWidth="1"/>
    <col min="8458" max="8458" width="12.6640625" style="1" bestFit="1" customWidth="1"/>
    <col min="8459" max="8459" width="10.44140625" style="1" bestFit="1" customWidth="1"/>
    <col min="8460" max="8460" width="9.5546875" style="1" bestFit="1" customWidth="1"/>
    <col min="8461" max="8462" width="9.44140625" style="1" bestFit="1" customWidth="1"/>
    <col min="8463" max="8463" width="9.33203125" style="1" bestFit="1" customWidth="1"/>
    <col min="8464" max="8464" width="48.88671875" style="1" customWidth="1"/>
    <col min="8465" max="8704" width="9.109375" style="1"/>
    <col min="8705" max="8705" width="23.109375" style="1" customWidth="1"/>
    <col min="8706" max="8706" width="7" style="1" bestFit="1" customWidth="1"/>
    <col min="8707" max="8707" width="8" style="1" bestFit="1" customWidth="1"/>
    <col min="8708" max="8708" width="11" style="1" customWidth="1"/>
    <col min="8709" max="8709" width="10.44140625" style="1" customWidth="1"/>
    <col min="8710" max="8710" width="9" style="1" bestFit="1" customWidth="1"/>
    <col min="8711" max="8711" width="10.33203125" style="1" customWidth="1"/>
    <col min="8712" max="8712" width="7.5546875" style="1" customWidth="1"/>
    <col min="8713" max="8713" width="5.88671875" style="1" customWidth="1"/>
    <col min="8714" max="8714" width="12.6640625" style="1" bestFit="1" customWidth="1"/>
    <col min="8715" max="8715" width="10.44140625" style="1" bestFit="1" customWidth="1"/>
    <col min="8716" max="8716" width="9.5546875" style="1" bestFit="1" customWidth="1"/>
    <col min="8717" max="8718" width="9.44140625" style="1" bestFit="1" customWidth="1"/>
    <col min="8719" max="8719" width="9.33203125" style="1" bestFit="1" customWidth="1"/>
    <col min="8720" max="8720" width="48.88671875" style="1" customWidth="1"/>
    <col min="8721" max="8960" width="9.109375" style="1"/>
    <col min="8961" max="8961" width="23.109375" style="1" customWidth="1"/>
    <col min="8962" max="8962" width="7" style="1" bestFit="1" customWidth="1"/>
    <col min="8963" max="8963" width="8" style="1" bestFit="1" customWidth="1"/>
    <col min="8964" max="8964" width="11" style="1" customWidth="1"/>
    <col min="8965" max="8965" width="10.44140625" style="1" customWidth="1"/>
    <col min="8966" max="8966" width="9" style="1" bestFit="1" customWidth="1"/>
    <col min="8967" max="8967" width="10.33203125" style="1" customWidth="1"/>
    <col min="8968" max="8968" width="7.5546875" style="1" customWidth="1"/>
    <col min="8969" max="8969" width="5.88671875" style="1" customWidth="1"/>
    <col min="8970" max="8970" width="12.6640625" style="1" bestFit="1" customWidth="1"/>
    <col min="8971" max="8971" width="10.44140625" style="1" bestFit="1" customWidth="1"/>
    <col min="8972" max="8972" width="9.5546875" style="1" bestFit="1" customWidth="1"/>
    <col min="8973" max="8974" width="9.44140625" style="1" bestFit="1" customWidth="1"/>
    <col min="8975" max="8975" width="9.33203125" style="1" bestFit="1" customWidth="1"/>
    <col min="8976" max="8976" width="48.88671875" style="1" customWidth="1"/>
    <col min="8977" max="9216" width="9.109375" style="1"/>
    <col min="9217" max="9217" width="23.109375" style="1" customWidth="1"/>
    <col min="9218" max="9218" width="7" style="1" bestFit="1" customWidth="1"/>
    <col min="9219" max="9219" width="8" style="1" bestFit="1" customWidth="1"/>
    <col min="9220" max="9220" width="11" style="1" customWidth="1"/>
    <col min="9221" max="9221" width="10.44140625" style="1" customWidth="1"/>
    <col min="9222" max="9222" width="9" style="1" bestFit="1" customWidth="1"/>
    <col min="9223" max="9223" width="10.33203125" style="1" customWidth="1"/>
    <col min="9224" max="9224" width="7.5546875" style="1" customWidth="1"/>
    <col min="9225" max="9225" width="5.88671875" style="1" customWidth="1"/>
    <col min="9226" max="9226" width="12.6640625" style="1" bestFit="1" customWidth="1"/>
    <col min="9227" max="9227" width="10.44140625" style="1" bestFit="1" customWidth="1"/>
    <col min="9228" max="9228" width="9.5546875" style="1" bestFit="1" customWidth="1"/>
    <col min="9229" max="9230" width="9.44140625" style="1" bestFit="1" customWidth="1"/>
    <col min="9231" max="9231" width="9.33203125" style="1" bestFit="1" customWidth="1"/>
    <col min="9232" max="9232" width="48.88671875" style="1" customWidth="1"/>
    <col min="9233" max="9472" width="9.109375" style="1"/>
    <col min="9473" max="9473" width="23.109375" style="1" customWidth="1"/>
    <col min="9474" max="9474" width="7" style="1" bestFit="1" customWidth="1"/>
    <col min="9475" max="9475" width="8" style="1" bestFit="1" customWidth="1"/>
    <col min="9476" max="9476" width="11" style="1" customWidth="1"/>
    <col min="9477" max="9477" width="10.44140625" style="1" customWidth="1"/>
    <col min="9478" max="9478" width="9" style="1" bestFit="1" customWidth="1"/>
    <col min="9479" max="9479" width="10.33203125" style="1" customWidth="1"/>
    <col min="9480" max="9480" width="7.5546875" style="1" customWidth="1"/>
    <col min="9481" max="9481" width="5.88671875" style="1" customWidth="1"/>
    <col min="9482" max="9482" width="12.6640625" style="1" bestFit="1" customWidth="1"/>
    <col min="9483" max="9483" width="10.44140625" style="1" bestFit="1" customWidth="1"/>
    <col min="9484" max="9484" width="9.5546875" style="1" bestFit="1" customWidth="1"/>
    <col min="9485" max="9486" width="9.44140625" style="1" bestFit="1" customWidth="1"/>
    <col min="9487" max="9487" width="9.33203125" style="1" bestFit="1" customWidth="1"/>
    <col min="9488" max="9488" width="48.88671875" style="1" customWidth="1"/>
    <col min="9489" max="9728" width="9.109375" style="1"/>
    <col min="9729" max="9729" width="23.109375" style="1" customWidth="1"/>
    <col min="9730" max="9730" width="7" style="1" bestFit="1" customWidth="1"/>
    <col min="9731" max="9731" width="8" style="1" bestFit="1" customWidth="1"/>
    <col min="9732" max="9732" width="11" style="1" customWidth="1"/>
    <col min="9733" max="9733" width="10.44140625" style="1" customWidth="1"/>
    <col min="9734" max="9734" width="9" style="1" bestFit="1" customWidth="1"/>
    <col min="9735" max="9735" width="10.33203125" style="1" customWidth="1"/>
    <col min="9736" max="9736" width="7.5546875" style="1" customWidth="1"/>
    <col min="9737" max="9737" width="5.88671875" style="1" customWidth="1"/>
    <col min="9738" max="9738" width="12.6640625" style="1" bestFit="1" customWidth="1"/>
    <col min="9739" max="9739" width="10.44140625" style="1" bestFit="1" customWidth="1"/>
    <col min="9740" max="9740" width="9.5546875" style="1" bestFit="1" customWidth="1"/>
    <col min="9741" max="9742" width="9.44140625" style="1" bestFit="1" customWidth="1"/>
    <col min="9743" max="9743" width="9.33203125" style="1" bestFit="1" customWidth="1"/>
    <col min="9744" max="9744" width="48.88671875" style="1" customWidth="1"/>
    <col min="9745" max="9984" width="9.109375" style="1"/>
    <col min="9985" max="9985" width="23.109375" style="1" customWidth="1"/>
    <col min="9986" max="9986" width="7" style="1" bestFit="1" customWidth="1"/>
    <col min="9987" max="9987" width="8" style="1" bestFit="1" customWidth="1"/>
    <col min="9988" max="9988" width="11" style="1" customWidth="1"/>
    <col min="9989" max="9989" width="10.44140625" style="1" customWidth="1"/>
    <col min="9990" max="9990" width="9" style="1" bestFit="1" customWidth="1"/>
    <col min="9991" max="9991" width="10.33203125" style="1" customWidth="1"/>
    <col min="9992" max="9992" width="7.5546875" style="1" customWidth="1"/>
    <col min="9993" max="9993" width="5.88671875" style="1" customWidth="1"/>
    <col min="9994" max="9994" width="12.6640625" style="1" bestFit="1" customWidth="1"/>
    <col min="9995" max="9995" width="10.44140625" style="1" bestFit="1" customWidth="1"/>
    <col min="9996" max="9996" width="9.5546875" style="1" bestFit="1" customWidth="1"/>
    <col min="9997" max="9998" width="9.44140625" style="1" bestFit="1" customWidth="1"/>
    <col min="9999" max="9999" width="9.33203125" style="1" bestFit="1" customWidth="1"/>
    <col min="10000" max="10000" width="48.88671875" style="1" customWidth="1"/>
    <col min="10001" max="10240" width="9.109375" style="1"/>
    <col min="10241" max="10241" width="23.109375" style="1" customWidth="1"/>
    <col min="10242" max="10242" width="7" style="1" bestFit="1" customWidth="1"/>
    <col min="10243" max="10243" width="8" style="1" bestFit="1" customWidth="1"/>
    <col min="10244" max="10244" width="11" style="1" customWidth="1"/>
    <col min="10245" max="10245" width="10.44140625" style="1" customWidth="1"/>
    <col min="10246" max="10246" width="9" style="1" bestFit="1" customWidth="1"/>
    <col min="10247" max="10247" width="10.33203125" style="1" customWidth="1"/>
    <col min="10248" max="10248" width="7.5546875" style="1" customWidth="1"/>
    <col min="10249" max="10249" width="5.88671875" style="1" customWidth="1"/>
    <col min="10250" max="10250" width="12.6640625" style="1" bestFit="1" customWidth="1"/>
    <col min="10251" max="10251" width="10.44140625" style="1" bestFit="1" customWidth="1"/>
    <col min="10252" max="10252" width="9.5546875" style="1" bestFit="1" customWidth="1"/>
    <col min="10253" max="10254" width="9.44140625" style="1" bestFit="1" customWidth="1"/>
    <col min="10255" max="10255" width="9.33203125" style="1" bestFit="1" customWidth="1"/>
    <col min="10256" max="10256" width="48.88671875" style="1" customWidth="1"/>
    <col min="10257" max="10496" width="9.109375" style="1"/>
    <col min="10497" max="10497" width="23.109375" style="1" customWidth="1"/>
    <col min="10498" max="10498" width="7" style="1" bestFit="1" customWidth="1"/>
    <col min="10499" max="10499" width="8" style="1" bestFit="1" customWidth="1"/>
    <col min="10500" max="10500" width="11" style="1" customWidth="1"/>
    <col min="10501" max="10501" width="10.44140625" style="1" customWidth="1"/>
    <col min="10502" max="10502" width="9" style="1" bestFit="1" customWidth="1"/>
    <col min="10503" max="10503" width="10.33203125" style="1" customWidth="1"/>
    <col min="10504" max="10504" width="7.5546875" style="1" customWidth="1"/>
    <col min="10505" max="10505" width="5.88671875" style="1" customWidth="1"/>
    <col min="10506" max="10506" width="12.6640625" style="1" bestFit="1" customWidth="1"/>
    <col min="10507" max="10507" width="10.44140625" style="1" bestFit="1" customWidth="1"/>
    <col min="10508" max="10508" width="9.5546875" style="1" bestFit="1" customWidth="1"/>
    <col min="10509" max="10510" width="9.44140625" style="1" bestFit="1" customWidth="1"/>
    <col min="10511" max="10511" width="9.33203125" style="1" bestFit="1" customWidth="1"/>
    <col min="10512" max="10512" width="48.88671875" style="1" customWidth="1"/>
    <col min="10513" max="10752" width="9.109375" style="1"/>
    <col min="10753" max="10753" width="23.109375" style="1" customWidth="1"/>
    <col min="10754" max="10754" width="7" style="1" bestFit="1" customWidth="1"/>
    <col min="10755" max="10755" width="8" style="1" bestFit="1" customWidth="1"/>
    <col min="10756" max="10756" width="11" style="1" customWidth="1"/>
    <col min="10757" max="10757" width="10.44140625" style="1" customWidth="1"/>
    <col min="10758" max="10758" width="9" style="1" bestFit="1" customWidth="1"/>
    <col min="10759" max="10759" width="10.33203125" style="1" customWidth="1"/>
    <col min="10760" max="10760" width="7.5546875" style="1" customWidth="1"/>
    <col min="10761" max="10761" width="5.88671875" style="1" customWidth="1"/>
    <col min="10762" max="10762" width="12.6640625" style="1" bestFit="1" customWidth="1"/>
    <col min="10763" max="10763" width="10.44140625" style="1" bestFit="1" customWidth="1"/>
    <col min="10764" max="10764" width="9.5546875" style="1" bestFit="1" customWidth="1"/>
    <col min="10765" max="10766" width="9.44140625" style="1" bestFit="1" customWidth="1"/>
    <col min="10767" max="10767" width="9.33203125" style="1" bestFit="1" customWidth="1"/>
    <col min="10768" max="10768" width="48.88671875" style="1" customWidth="1"/>
    <col min="10769" max="11008" width="9.109375" style="1"/>
    <col min="11009" max="11009" width="23.109375" style="1" customWidth="1"/>
    <col min="11010" max="11010" width="7" style="1" bestFit="1" customWidth="1"/>
    <col min="11011" max="11011" width="8" style="1" bestFit="1" customWidth="1"/>
    <col min="11012" max="11012" width="11" style="1" customWidth="1"/>
    <col min="11013" max="11013" width="10.44140625" style="1" customWidth="1"/>
    <col min="11014" max="11014" width="9" style="1" bestFit="1" customWidth="1"/>
    <col min="11015" max="11015" width="10.33203125" style="1" customWidth="1"/>
    <col min="11016" max="11016" width="7.5546875" style="1" customWidth="1"/>
    <col min="11017" max="11017" width="5.88671875" style="1" customWidth="1"/>
    <col min="11018" max="11018" width="12.6640625" style="1" bestFit="1" customWidth="1"/>
    <col min="11019" max="11019" width="10.44140625" style="1" bestFit="1" customWidth="1"/>
    <col min="11020" max="11020" width="9.5546875" style="1" bestFit="1" customWidth="1"/>
    <col min="11021" max="11022" width="9.44140625" style="1" bestFit="1" customWidth="1"/>
    <col min="11023" max="11023" width="9.33203125" style="1" bestFit="1" customWidth="1"/>
    <col min="11024" max="11024" width="48.88671875" style="1" customWidth="1"/>
    <col min="11025" max="11264" width="9.109375" style="1"/>
    <col min="11265" max="11265" width="23.109375" style="1" customWidth="1"/>
    <col min="11266" max="11266" width="7" style="1" bestFit="1" customWidth="1"/>
    <col min="11267" max="11267" width="8" style="1" bestFit="1" customWidth="1"/>
    <col min="11268" max="11268" width="11" style="1" customWidth="1"/>
    <col min="11269" max="11269" width="10.44140625" style="1" customWidth="1"/>
    <col min="11270" max="11270" width="9" style="1" bestFit="1" customWidth="1"/>
    <col min="11271" max="11271" width="10.33203125" style="1" customWidth="1"/>
    <col min="11272" max="11272" width="7.5546875" style="1" customWidth="1"/>
    <col min="11273" max="11273" width="5.88671875" style="1" customWidth="1"/>
    <col min="11274" max="11274" width="12.6640625" style="1" bestFit="1" customWidth="1"/>
    <col min="11275" max="11275" width="10.44140625" style="1" bestFit="1" customWidth="1"/>
    <col min="11276" max="11276" width="9.5546875" style="1" bestFit="1" customWidth="1"/>
    <col min="11277" max="11278" width="9.44140625" style="1" bestFit="1" customWidth="1"/>
    <col min="11279" max="11279" width="9.33203125" style="1" bestFit="1" customWidth="1"/>
    <col min="11280" max="11280" width="48.88671875" style="1" customWidth="1"/>
    <col min="11281" max="11520" width="9.109375" style="1"/>
    <col min="11521" max="11521" width="23.109375" style="1" customWidth="1"/>
    <col min="11522" max="11522" width="7" style="1" bestFit="1" customWidth="1"/>
    <col min="11523" max="11523" width="8" style="1" bestFit="1" customWidth="1"/>
    <col min="11524" max="11524" width="11" style="1" customWidth="1"/>
    <col min="11525" max="11525" width="10.44140625" style="1" customWidth="1"/>
    <col min="11526" max="11526" width="9" style="1" bestFit="1" customWidth="1"/>
    <col min="11527" max="11527" width="10.33203125" style="1" customWidth="1"/>
    <col min="11528" max="11528" width="7.5546875" style="1" customWidth="1"/>
    <col min="11529" max="11529" width="5.88671875" style="1" customWidth="1"/>
    <col min="11530" max="11530" width="12.6640625" style="1" bestFit="1" customWidth="1"/>
    <col min="11531" max="11531" width="10.44140625" style="1" bestFit="1" customWidth="1"/>
    <col min="11532" max="11532" width="9.5546875" style="1" bestFit="1" customWidth="1"/>
    <col min="11533" max="11534" width="9.44140625" style="1" bestFit="1" customWidth="1"/>
    <col min="11535" max="11535" width="9.33203125" style="1" bestFit="1" customWidth="1"/>
    <col min="11536" max="11536" width="48.88671875" style="1" customWidth="1"/>
    <col min="11537" max="11776" width="9.109375" style="1"/>
    <col min="11777" max="11777" width="23.109375" style="1" customWidth="1"/>
    <col min="11778" max="11778" width="7" style="1" bestFit="1" customWidth="1"/>
    <col min="11779" max="11779" width="8" style="1" bestFit="1" customWidth="1"/>
    <col min="11780" max="11780" width="11" style="1" customWidth="1"/>
    <col min="11781" max="11781" width="10.44140625" style="1" customWidth="1"/>
    <col min="11782" max="11782" width="9" style="1" bestFit="1" customWidth="1"/>
    <col min="11783" max="11783" width="10.33203125" style="1" customWidth="1"/>
    <col min="11784" max="11784" width="7.5546875" style="1" customWidth="1"/>
    <col min="11785" max="11785" width="5.88671875" style="1" customWidth="1"/>
    <col min="11786" max="11786" width="12.6640625" style="1" bestFit="1" customWidth="1"/>
    <col min="11787" max="11787" width="10.44140625" style="1" bestFit="1" customWidth="1"/>
    <col min="11788" max="11788" width="9.5546875" style="1" bestFit="1" customWidth="1"/>
    <col min="11789" max="11790" width="9.44140625" style="1" bestFit="1" customWidth="1"/>
    <col min="11791" max="11791" width="9.33203125" style="1" bestFit="1" customWidth="1"/>
    <col min="11792" max="11792" width="48.88671875" style="1" customWidth="1"/>
    <col min="11793" max="12032" width="9.109375" style="1"/>
    <col min="12033" max="12033" width="23.109375" style="1" customWidth="1"/>
    <col min="12034" max="12034" width="7" style="1" bestFit="1" customWidth="1"/>
    <col min="12035" max="12035" width="8" style="1" bestFit="1" customWidth="1"/>
    <col min="12036" max="12036" width="11" style="1" customWidth="1"/>
    <col min="12037" max="12037" width="10.44140625" style="1" customWidth="1"/>
    <col min="12038" max="12038" width="9" style="1" bestFit="1" customWidth="1"/>
    <col min="12039" max="12039" width="10.33203125" style="1" customWidth="1"/>
    <col min="12040" max="12040" width="7.5546875" style="1" customWidth="1"/>
    <col min="12041" max="12041" width="5.88671875" style="1" customWidth="1"/>
    <col min="12042" max="12042" width="12.6640625" style="1" bestFit="1" customWidth="1"/>
    <col min="12043" max="12043" width="10.44140625" style="1" bestFit="1" customWidth="1"/>
    <col min="12044" max="12044" width="9.5546875" style="1" bestFit="1" customWidth="1"/>
    <col min="12045" max="12046" width="9.44140625" style="1" bestFit="1" customWidth="1"/>
    <col min="12047" max="12047" width="9.33203125" style="1" bestFit="1" customWidth="1"/>
    <col min="12048" max="12048" width="48.88671875" style="1" customWidth="1"/>
    <col min="12049" max="12288" width="9.109375" style="1"/>
    <col min="12289" max="12289" width="23.109375" style="1" customWidth="1"/>
    <col min="12290" max="12290" width="7" style="1" bestFit="1" customWidth="1"/>
    <col min="12291" max="12291" width="8" style="1" bestFit="1" customWidth="1"/>
    <col min="12292" max="12292" width="11" style="1" customWidth="1"/>
    <col min="12293" max="12293" width="10.44140625" style="1" customWidth="1"/>
    <col min="12294" max="12294" width="9" style="1" bestFit="1" customWidth="1"/>
    <col min="12295" max="12295" width="10.33203125" style="1" customWidth="1"/>
    <col min="12296" max="12296" width="7.5546875" style="1" customWidth="1"/>
    <col min="12297" max="12297" width="5.88671875" style="1" customWidth="1"/>
    <col min="12298" max="12298" width="12.6640625" style="1" bestFit="1" customWidth="1"/>
    <col min="12299" max="12299" width="10.44140625" style="1" bestFit="1" customWidth="1"/>
    <col min="12300" max="12300" width="9.5546875" style="1" bestFit="1" customWidth="1"/>
    <col min="12301" max="12302" width="9.44140625" style="1" bestFit="1" customWidth="1"/>
    <col min="12303" max="12303" width="9.33203125" style="1" bestFit="1" customWidth="1"/>
    <col min="12304" max="12304" width="48.88671875" style="1" customWidth="1"/>
    <col min="12305" max="12544" width="9.109375" style="1"/>
    <col min="12545" max="12545" width="23.109375" style="1" customWidth="1"/>
    <col min="12546" max="12546" width="7" style="1" bestFit="1" customWidth="1"/>
    <col min="12547" max="12547" width="8" style="1" bestFit="1" customWidth="1"/>
    <col min="12548" max="12548" width="11" style="1" customWidth="1"/>
    <col min="12549" max="12549" width="10.44140625" style="1" customWidth="1"/>
    <col min="12550" max="12550" width="9" style="1" bestFit="1" customWidth="1"/>
    <col min="12551" max="12551" width="10.33203125" style="1" customWidth="1"/>
    <col min="12552" max="12552" width="7.5546875" style="1" customWidth="1"/>
    <col min="12553" max="12553" width="5.88671875" style="1" customWidth="1"/>
    <col min="12554" max="12554" width="12.6640625" style="1" bestFit="1" customWidth="1"/>
    <col min="12555" max="12555" width="10.44140625" style="1" bestFit="1" customWidth="1"/>
    <col min="12556" max="12556" width="9.5546875" style="1" bestFit="1" customWidth="1"/>
    <col min="12557" max="12558" width="9.44140625" style="1" bestFit="1" customWidth="1"/>
    <col min="12559" max="12559" width="9.33203125" style="1" bestFit="1" customWidth="1"/>
    <col min="12560" max="12560" width="48.88671875" style="1" customWidth="1"/>
    <col min="12561" max="12800" width="9.109375" style="1"/>
    <col min="12801" max="12801" width="23.109375" style="1" customWidth="1"/>
    <col min="12802" max="12802" width="7" style="1" bestFit="1" customWidth="1"/>
    <col min="12803" max="12803" width="8" style="1" bestFit="1" customWidth="1"/>
    <col min="12804" max="12804" width="11" style="1" customWidth="1"/>
    <col min="12805" max="12805" width="10.44140625" style="1" customWidth="1"/>
    <col min="12806" max="12806" width="9" style="1" bestFit="1" customWidth="1"/>
    <col min="12807" max="12807" width="10.33203125" style="1" customWidth="1"/>
    <col min="12808" max="12808" width="7.5546875" style="1" customWidth="1"/>
    <col min="12809" max="12809" width="5.88671875" style="1" customWidth="1"/>
    <col min="12810" max="12810" width="12.6640625" style="1" bestFit="1" customWidth="1"/>
    <col min="12811" max="12811" width="10.44140625" style="1" bestFit="1" customWidth="1"/>
    <col min="12812" max="12812" width="9.5546875" style="1" bestFit="1" customWidth="1"/>
    <col min="12813" max="12814" width="9.44140625" style="1" bestFit="1" customWidth="1"/>
    <col min="12815" max="12815" width="9.33203125" style="1" bestFit="1" customWidth="1"/>
    <col min="12816" max="12816" width="48.88671875" style="1" customWidth="1"/>
    <col min="12817" max="13056" width="9.109375" style="1"/>
    <col min="13057" max="13057" width="23.109375" style="1" customWidth="1"/>
    <col min="13058" max="13058" width="7" style="1" bestFit="1" customWidth="1"/>
    <col min="13059" max="13059" width="8" style="1" bestFit="1" customWidth="1"/>
    <col min="13060" max="13060" width="11" style="1" customWidth="1"/>
    <col min="13061" max="13061" width="10.44140625" style="1" customWidth="1"/>
    <col min="13062" max="13062" width="9" style="1" bestFit="1" customWidth="1"/>
    <col min="13063" max="13063" width="10.33203125" style="1" customWidth="1"/>
    <col min="13064" max="13064" width="7.5546875" style="1" customWidth="1"/>
    <col min="13065" max="13065" width="5.88671875" style="1" customWidth="1"/>
    <col min="13066" max="13066" width="12.6640625" style="1" bestFit="1" customWidth="1"/>
    <col min="13067" max="13067" width="10.44140625" style="1" bestFit="1" customWidth="1"/>
    <col min="13068" max="13068" width="9.5546875" style="1" bestFit="1" customWidth="1"/>
    <col min="13069" max="13070" width="9.44140625" style="1" bestFit="1" customWidth="1"/>
    <col min="13071" max="13071" width="9.33203125" style="1" bestFit="1" customWidth="1"/>
    <col min="13072" max="13072" width="48.88671875" style="1" customWidth="1"/>
    <col min="13073" max="13312" width="9.109375" style="1"/>
    <col min="13313" max="13313" width="23.109375" style="1" customWidth="1"/>
    <col min="13314" max="13314" width="7" style="1" bestFit="1" customWidth="1"/>
    <col min="13315" max="13315" width="8" style="1" bestFit="1" customWidth="1"/>
    <col min="13316" max="13316" width="11" style="1" customWidth="1"/>
    <col min="13317" max="13317" width="10.44140625" style="1" customWidth="1"/>
    <col min="13318" max="13318" width="9" style="1" bestFit="1" customWidth="1"/>
    <col min="13319" max="13319" width="10.33203125" style="1" customWidth="1"/>
    <col min="13320" max="13320" width="7.5546875" style="1" customWidth="1"/>
    <col min="13321" max="13321" width="5.88671875" style="1" customWidth="1"/>
    <col min="13322" max="13322" width="12.6640625" style="1" bestFit="1" customWidth="1"/>
    <col min="13323" max="13323" width="10.44140625" style="1" bestFit="1" customWidth="1"/>
    <col min="13324" max="13324" width="9.5546875" style="1" bestFit="1" customWidth="1"/>
    <col min="13325" max="13326" width="9.44140625" style="1" bestFit="1" customWidth="1"/>
    <col min="13327" max="13327" width="9.33203125" style="1" bestFit="1" customWidth="1"/>
    <col min="13328" max="13328" width="48.88671875" style="1" customWidth="1"/>
    <col min="13329" max="13568" width="9.109375" style="1"/>
    <col min="13569" max="13569" width="23.109375" style="1" customWidth="1"/>
    <col min="13570" max="13570" width="7" style="1" bestFit="1" customWidth="1"/>
    <col min="13571" max="13571" width="8" style="1" bestFit="1" customWidth="1"/>
    <col min="13572" max="13572" width="11" style="1" customWidth="1"/>
    <col min="13573" max="13573" width="10.44140625" style="1" customWidth="1"/>
    <col min="13574" max="13574" width="9" style="1" bestFit="1" customWidth="1"/>
    <col min="13575" max="13575" width="10.33203125" style="1" customWidth="1"/>
    <col min="13576" max="13576" width="7.5546875" style="1" customWidth="1"/>
    <col min="13577" max="13577" width="5.88671875" style="1" customWidth="1"/>
    <col min="13578" max="13578" width="12.6640625" style="1" bestFit="1" customWidth="1"/>
    <col min="13579" max="13579" width="10.44140625" style="1" bestFit="1" customWidth="1"/>
    <col min="13580" max="13580" width="9.5546875" style="1" bestFit="1" customWidth="1"/>
    <col min="13581" max="13582" width="9.44140625" style="1" bestFit="1" customWidth="1"/>
    <col min="13583" max="13583" width="9.33203125" style="1" bestFit="1" customWidth="1"/>
    <col min="13584" max="13584" width="48.88671875" style="1" customWidth="1"/>
    <col min="13585" max="13824" width="9.109375" style="1"/>
    <col min="13825" max="13825" width="23.109375" style="1" customWidth="1"/>
    <col min="13826" max="13826" width="7" style="1" bestFit="1" customWidth="1"/>
    <col min="13827" max="13827" width="8" style="1" bestFit="1" customWidth="1"/>
    <col min="13828" max="13828" width="11" style="1" customWidth="1"/>
    <col min="13829" max="13829" width="10.44140625" style="1" customWidth="1"/>
    <col min="13830" max="13830" width="9" style="1" bestFit="1" customWidth="1"/>
    <col min="13831" max="13831" width="10.33203125" style="1" customWidth="1"/>
    <col min="13832" max="13832" width="7.5546875" style="1" customWidth="1"/>
    <col min="13833" max="13833" width="5.88671875" style="1" customWidth="1"/>
    <col min="13834" max="13834" width="12.6640625" style="1" bestFit="1" customWidth="1"/>
    <col min="13835" max="13835" width="10.44140625" style="1" bestFit="1" customWidth="1"/>
    <col min="13836" max="13836" width="9.5546875" style="1" bestFit="1" customWidth="1"/>
    <col min="13837" max="13838" width="9.44140625" style="1" bestFit="1" customWidth="1"/>
    <col min="13839" max="13839" width="9.33203125" style="1" bestFit="1" customWidth="1"/>
    <col min="13840" max="13840" width="48.88671875" style="1" customWidth="1"/>
    <col min="13841" max="14080" width="9.109375" style="1"/>
    <col min="14081" max="14081" width="23.109375" style="1" customWidth="1"/>
    <col min="14082" max="14082" width="7" style="1" bestFit="1" customWidth="1"/>
    <col min="14083" max="14083" width="8" style="1" bestFit="1" customWidth="1"/>
    <col min="14084" max="14084" width="11" style="1" customWidth="1"/>
    <col min="14085" max="14085" width="10.44140625" style="1" customWidth="1"/>
    <col min="14086" max="14086" width="9" style="1" bestFit="1" customWidth="1"/>
    <col min="14087" max="14087" width="10.33203125" style="1" customWidth="1"/>
    <col min="14088" max="14088" width="7.5546875" style="1" customWidth="1"/>
    <col min="14089" max="14089" width="5.88671875" style="1" customWidth="1"/>
    <col min="14090" max="14090" width="12.6640625" style="1" bestFit="1" customWidth="1"/>
    <col min="14091" max="14091" width="10.44140625" style="1" bestFit="1" customWidth="1"/>
    <col min="14092" max="14092" width="9.5546875" style="1" bestFit="1" customWidth="1"/>
    <col min="14093" max="14094" width="9.44140625" style="1" bestFit="1" customWidth="1"/>
    <col min="14095" max="14095" width="9.33203125" style="1" bestFit="1" customWidth="1"/>
    <col min="14096" max="14096" width="48.88671875" style="1" customWidth="1"/>
    <col min="14097" max="14336" width="9.109375" style="1"/>
    <col min="14337" max="14337" width="23.109375" style="1" customWidth="1"/>
    <col min="14338" max="14338" width="7" style="1" bestFit="1" customWidth="1"/>
    <col min="14339" max="14339" width="8" style="1" bestFit="1" customWidth="1"/>
    <col min="14340" max="14340" width="11" style="1" customWidth="1"/>
    <col min="14341" max="14341" width="10.44140625" style="1" customWidth="1"/>
    <col min="14342" max="14342" width="9" style="1" bestFit="1" customWidth="1"/>
    <col min="14343" max="14343" width="10.33203125" style="1" customWidth="1"/>
    <col min="14344" max="14344" width="7.5546875" style="1" customWidth="1"/>
    <col min="14345" max="14345" width="5.88671875" style="1" customWidth="1"/>
    <col min="14346" max="14346" width="12.6640625" style="1" bestFit="1" customWidth="1"/>
    <col min="14347" max="14347" width="10.44140625" style="1" bestFit="1" customWidth="1"/>
    <col min="14348" max="14348" width="9.5546875" style="1" bestFit="1" customWidth="1"/>
    <col min="14349" max="14350" width="9.44140625" style="1" bestFit="1" customWidth="1"/>
    <col min="14351" max="14351" width="9.33203125" style="1" bestFit="1" customWidth="1"/>
    <col min="14352" max="14352" width="48.88671875" style="1" customWidth="1"/>
    <col min="14353" max="14592" width="9.109375" style="1"/>
    <col min="14593" max="14593" width="23.109375" style="1" customWidth="1"/>
    <col min="14594" max="14594" width="7" style="1" bestFit="1" customWidth="1"/>
    <col min="14595" max="14595" width="8" style="1" bestFit="1" customWidth="1"/>
    <col min="14596" max="14596" width="11" style="1" customWidth="1"/>
    <col min="14597" max="14597" width="10.44140625" style="1" customWidth="1"/>
    <col min="14598" max="14598" width="9" style="1" bestFit="1" customWidth="1"/>
    <col min="14599" max="14599" width="10.33203125" style="1" customWidth="1"/>
    <col min="14600" max="14600" width="7.5546875" style="1" customWidth="1"/>
    <col min="14601" max="14601" width="5.88671875" style="1" customWidth="1"/>
    <col min="14602" max="14602" width="12.6640625" style="1" bestFit="1" customWidth="1"/>
    <col min="14603" max="14603" width="10.44140625" style="1" bestFit="1" customWidth="1"/>
    <col min="14604" max="14604" width="9.5546875" style="1" bestFit="1" customWidth="1"/>
    <col min="14605" max="14606" width="9.44140625" style="1" bestFit="1" customWidth="1"/>
    <col min="14607" max="14607" width="9.33203125" style="1" bestFit="1" customWidth="1"/>
    <col min="14608" max="14608" width="48.88671875" style="1" customWidth="1"/>
    <col min="14609" max="14848" width="9.109375" style="1"/>
    <col min="14849" max="14849" width="23.109375" style="1" customWidth="1"/>
    <col min="14850" max="14850" width="7" style="1" bestFit="1" customWidth="1"/>
    <col min="14851" max="14851" width="8" style="1" bestFit="1" customWidth="1"/>
    <col min="14852" max="14852" width="11" style="1" customWidth="1"/>
    <col min="14853" max="14853" width="10.44140625" style="1" customWidth="1"/>
    <col min="14854" max="14854" width="9" style="1" bestFit="1" customWidth="1"/>
    <col min="14855" max="14855" width="10.33203125" style="1" customWidth="1"/>
    <col min="14856" max="14856" width="7.5546875" style="1" customWidth="1"/>
    <col min="14857" max="14857" width="5.88671875" style="1" customWidth="1"/>
    <col min="14858" max="14858" width="12.6640625" style="1" bestFit="1" customWidth="1"/>
    <col min="14859" max="14859" width="10.44140625" style="1" bestFit="1" customWidth="1"/>
    <col min="14860" max="14860" width="9.5546875" style="1" bestFit="1" customWidth="1"/>
    <col min="14861" max="14862" width="9.44140625" style="1" bestFit="1" customWidth="1"/>
    <col min="14863" max="14863" width="9.33203125" style="1" bestFit="1" customWidth="1"/>
    <col min="14864" max="14864" width="48.88671875" style="1" customWidth="1"/>
    <col min="14865" max="15104" width="9.109375" style="1"/>
    <col min="15105" max="15105" width="23.109375" style="1" customWidth="1"/>
    <col min="15106" max="15106" width="7" style="1" bestFit="1" customWidth="1"/>
    <col min="15107" max="15107" width="8" style="1" bestFit="1" customWidth="1"/>
    <col min="15108" max="15108" width="11" style="1" customWidth="1"/>
    <col min="15109" max="15109" width="10.44140625" style="1" customWidth="1"/>
    <col min="15110" max="15110" width="9" style="1" bestFit="1" customWidth="1"/>
    <col min="15111" max="15111" width="10.33203125" style="1" customWidth="1"/>
    <col min="15112" max="15112" width="7.5546875" style="1" customWidth="1"/>
    <col min="15113" max="15113" width="5.88671875" style="1" customWidth="1"/>
    <col min="15114" max="15114" width="12.6640625" style="1" bestFit="1" customWidth="1"/>
    <col min="15115" max="15115" width="10.44140625" style="1" bestFit="1" customWidth="1"/>
    <col min="15116" max="15116" width="9.5546875" style="1" bestFit="1" customWidth="1"/>
    <col min="15117" max="15118" width="9.44140625" style="1" bestFit="1" customWidth="1"/>
    <col min="15119" max="15119" width="9.33203125" style="1" bestFit="1" customWidth="1"/>
    <col min="15120" max="15120" width="48.88671875" style="1" customWidth="1"/>
    <col min="15121" max="15360" width="9.109375" style="1"/>
    <col min="15361" max="15361" width="23.109375" style="1" customWidth="1"/>
    <col min="15362" max="15362" width="7" style="1" bestFit="1" customWidth="1"/>
    <col min="15363" max="15363" width="8" style="1" bestFit="1" customWidth="1"/>
    <col min="15364" max="15364" width="11" style="1" customWidth="1"/>
    <col min="15365" max="15365" width="10.44140625" style="1" customWidth="1"/>
    <col min="15366" max="15366" width="9" style="1" bestFit="1" customWidth="1"/>
    <col min="15367" max="15367" width="10.33203125" style="1" customWidth="1"/>
    <col min="15368" max="15368" width="7.5546875" style="1" customWidth="1"/>
    <col min="15369" max="15369" width="5.88671875" style="1" customWidth="1"/>
    <col min="15370" max="15370" width="12.6640625" style="1" bestFit="1" customWidth="1"/>
    <col min="15371" max="15371" width="10.44140625" style="1" bestFit="1" customWidth="1"/>
    <col min="15372" max="15372" width="9.5546875" style="1" bestFit="1" customWidth="1"/>
    <col min="15373" max="15374" width="9.44140625" style="1" bestFit="1" customWidth="1"/>
    <col min="15375" max="15375" width="9.33203125" style="1" bestFit="1" customWidth="1"/>
    <col min="15376" max="15376" width="48.88671875" style="1" customWidth="1"/>
    <col min="15377" max="15616" width="9.109375" style="1"/>
    <col min="15617" max="15617" width="23.109375" style="1" customWidth="1"/>
    <col min="15618" max="15618" width="7" style="1" bestFit="1" customWidth="1"/>
    <col min="15619" max="15619" width="8" style="1" bestFit="1" customWidth="1"/>
    <col min="15620" max="15620" width="11" style="1" customWidth="1"/>
    <col min="15621" max="15621" width="10.44140625" style="1" customWidth="1"/>
    <col min="15622" max="15622" width="9" style="1" bestFit="1" customWidth="1"/>
    <col min="15623" max="15623" width="10.33203125" style="1" customWidth="1"/>
    <col min="15624" max="15624" width="7.5546875" style="1" customWidth="1"/>
    <col min="15625" max="15625" width="5.88671875" style="1" customWidth="1"/>
    <col min="15626" max="15626" width="12.6640625" style="1" bestFit="1" customWidth="1"/>
    <col min="15627" max="15627" width="10.44140625" style="1" bestFit="1" customWidth="1"/>
    <col min="15628" max="15628" width="9.5546875" style="1" bestFit="1" customWidth="1"/>
    <col min="15629" max="15630" width="9.44140625" style="1" bestFit="1" customWidth="1"/>
    <col min="15631" max="15631" width="9.33203125" style="1" bestFit="1" customWidth="1"/>
    <col min="15632" max="15632" width="48.88671875" style="1" customWidth="1"/>
    <col min="15633" max="15872" width="9.109375" style="1"/>
    <col min="15873" max="15873" width="23.109375" style="1" customWidth="1"/>
    <col min="15874" max="15874" width="7" style="1" bestFit="1" customWidth="1"/>
    <col min="15875" max="15875" width="8" style="1" bestFit="1" customWidth="1"/>
    <col min="15876" max="15876" width="11" style="1" customWidth="1"/>
    <col min="15877" max="15877" width="10.44140625" style="1" customWidth="1"/>
    <col min="15878" max="15878" width="9" style="1" bestFit="1" customWidth="1"/>
    <col min="15879" max="15879" width="10.33203125" style="1" customWidth="1"/>
    <col min="15880" max="15880" width="7.5546875" style="1" customWidth="1"/>
    <col min="15881" max="15881" width="5.88671875" style="1" customWidth="1"/>
    <col min="15882" max="15882" width="12.6640625" style="1" bestFit="1" customWidth="1"/>
    <col min="15883" max="15883" width="10.44140625" style="1" bestFit="1" customWidth="1"/>
    <col min="15884" max="15884" width="9.5546875" style="1" bestFit="1" customWidth="1"/>
    <col min="15885" max="15886" width="9.44140625" style="1" bestFit="1" customWidth="1"/>
    <col min="15887" max="15887" width="9.33203125" style="1" bestFit="1" customWidth="1"/>
    <col min="15888" max="15888" width="48.88671875" style="1" customWidth="1"/>
    <col min="15889" max="16128" width="9.109375" style="1"/>
    <col min="16129" max="16129" width="23.109375" style="1" customWidth="1"/>
    <col min="16130" max="16130" width="7" style="1" bestFit="1" customWidth="1"/>
    <col min="16131" max="16131" width="8" style="1" bestFit="1" customWidth="1"/>
    <col min="16132" max="16132" width="11" style="1" customWidth="1"/>
    <col min="16133" max="16133" width="10.44140625" style="1" customWidth="1"/>
    <col min="16134" max="16134" width="9" style="1" bestFit="1" customWidth="1"/>
    <col min="16135" max="16135" width="10.33203125" style="1" customWidth="1"/>
    <col min="16136" max="16136" width="7.5546875" style="1" customWidth="1"/>
    <col min="16137" max="16137" width="5.88671875" style="1" customWidth="1"/>
    <col min="16138" max="16138" width="12.6640625" style="1" bestFit="1" customWidth="1"/>
    <col min="16139" max="16139" width="10.44140625" style="1" bestFit="1" customWidth="1"/>
    <col min="16140" max="16140" width="9.5546875" style="1" bestFit="1" customWidth="1"/>
    <col min="16141" max="16142" width="9.44140625" style="1" bestFit="1" customWidth="1"/>
    <col min="16143" max="16143" width="9.33203125" style="1" bestFit="1" customWidth="1"/>
    <col min="16144" max="16144" width="48.88671875" style="1" customWidth="1"/>
    <col min="16145" max="16384" width="9.109375" style="1"/>
  </cols>
  <sheetData>
    <row r="1" spans="1:16" ht="27" customHeight="1" x14ac:dyDescent="0.25">
      <c r="A1" s="14" t="s">
        <v>0</v>
      </c>
      <c r="B1" s="14"/>
      <c r="C1" s="14"/>
      <c r="D1" s="14"/>
      <c r="E1" s="14"/>
      <c r="F1" s="14"/>
      <c r="G1" s="14"/>
      <c r="H1" s="14"/>
    </row>
    <row r="2" spans="1:16" ht="26.4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J2" s="15" t="str">
        <f ca="1">"The cells "&amp;CHAR(COLUMN(K4)+64)&amp;ROW(K4)&amp;":"&amp;CHAR(COLUMN(N8)+64)&amp;ROW(N8)&amp;" below contain the array equation "&amp;CHAR(10)&amp;[1]!ggetformula(K4)</f>
        <v>The cells K4:N8 below contain the array equation 
 {=LINEST(H3:H238,E3:G238,,TRUE)}</v>
      </c>
      <c r="K2" s="15"/>
      <c r="L2" s="15"/>
      <c r="M2" s="15"/>
      <c r="N2" s="15"/>
    </row>
    <row r="3" spans="1:16" ht="15.6" x14ac:dyDescent="0.25">
      <c r="A3" s="1" t="s">
        <v>9</v>
      </c>
      <c r="B3" s="3">
        <v>101.36</v>
      </c>
      <c r="C3" s="4">
        <v>3.95E-2</v>
      </c>
      <c r="D3" s="5">
        <v>39317</v>
      </c>
      <c r="E3" s="3">
        <f t="shared" ref="E3:E66" si="0">(D3-DATE(2007,2,23))/365</f>
        <v>0.49589041095890413</v>
      </c>
      <c r="F3" s="3">
        <f>E3^2</f>
        <v>0.24590729968099082</v>
      </c>
      <c r="G3" s="3">
        <f>E3^3</f>
        <v>0.12194307189660093</v>
      </c>
      <c r="H3" s="4">
        <f t="shared" ref="H3:H66" si="1">YIELD(DATE(2007,2,23),D3,C3,B3,100,2,1)</f>
        <v>1.2134964483030539E-2</v>
      </c>
      <c r="K3" s="6" t="s">
        <v>10</v>
      </c>
      <c r="L3" s="6" t="s">
        <v>11</v>
      </c>
      <c r="M3" s="6" t="s">
        <v>12</v>
      </c>
      <c r="N3" s="7" t="s">
        <v>13</v>
      </c>
    </row>
    <row r="4" spans="1:16" x14ac:dyDescent="0.25">
      <c r="A4" s="1" t="s">
        <v>14</v>
      </c>
      <c r="B4" s="3">
        <v>101.28</v>
      </c>
      <c r="C4" s="4">
        <v>3.9E-2</v>
      </c>
      <c r="D4" s="5">
        <v>39326</v>
      </c>
      <c r="E4" s="3">
        <f t="shared" si="0"/>
        <v>0.52054794520547942</v>
      </c>
      <c r="F4" s="3">
        <f t="shared" ref="F4:F67" si="2">E4^2</f>
        <v>0.27097016325764683</v>
      </c>
      <c r="G4" s="3">
        <f t="shared" ref="G4:G67" si="3">E4^3</f>
        <v>0.14105296169576137</v>
      </c>
      <c r="H4" s="4">
        <f t="shared" si="1"/>
        <v>1.4040284353485484E-2</v>
      </c>
      <c r="J4" s="1" t="s">
        <v>15</v>
      </c>
      <c r="K4" s="8">
        <f t="array" ref="K4:N8">LINEST(H3:H238,E3:G238,,TRUE)</f>
        <v>6.202937057848038E-6</v>
      </c>
      <c r="L4" s="9">
        <v>-3.2041821601929164E-4</v>
      </c>
      <c r="M4" s="10">
        <v>4.9906691517264401E-3</v>
      </c>
      <c r="N4" s="9">
        <v>2.9179339702223726E-2</v>
      </c>
      <c r="O4" s="9"/>
      <c r="P4" s="9"/>
    </row>
    <row r="5" spans="1:16" x14ac:dyDescent="0.25">
      <c r="A5" s="1" t="s">
        <v>16</v>
      </c>
      <c r="B5" s="3">
        <v>101.41</v>
      </c>
      <c r="C5" s="4">
        <v>4.1250000000000002E-2</v>
      </c>
      <c r="D5" s="5">
        <v>39326</v>
      </c>
      <c r="E5" s="3">
        <f t="shared" si="0"/>
        <v>0.52054794520547942</v>
      </c>
      <c r="F5" s="3">
        <f t="shared" si="2"/>
        <v>0.27097016325764683</v>
      </c>
      <c r="G5" s="3">
        <f t="shared" si="3"/>
        <v>0.14105296169576137</v>
      </c>
      <c r="H5" s="4">
        <f t="shared" si="1"/>
        <v>1.375948710311329E-2</v>
      </c>
      <c r="J5" s="1" t="s">
        <v>17</v>
      </c>
      <c r="K5" s="11">
        <v>5.9925902918015973E-7</v>
      </c>
      <c r="L5" s="9">
        <v>2.4180903717959589E-5</v>
      </c>
      <c r="M5" s="9">
        <v>2.4035805300934272E-4</v>
      </c>
      <c r="N5" s="9">
        <v>5.8540329470348456E-4</v>
      </c>
      <c r="O5" s="9"/>
      <c r="P5" s="9"/>
    </row>
    <row r="6" spans="1:16" ht="15.6" x14ac:dyDescent="0.25">
      <c r="A6" s="1" t="s">
        <v>18</v>
      </c>
      <c r="B6" s="3">
        <v>102.79</v>
      </c>
      <c r="C6" s="4">
        <v>6.7500000000000004E-2</v>
      </c>
      <c r="D6" s="5">
        <v>39356</v>
      </c>
      <c r="E6" s="3">
        <f t="shared" si="0"/>
        <v>0.60273972602739723</v>
      </c>
      <c r="F6" s="3">
        <f t="shared" si="2"/>
        <v>0.36329517733158184</v>
      </c>
      <c r="G6" s="3">
        <f t="shared" si="3"/>
        <v>0.21897243565191232</v>
      </c>
      <c r="H6" s="4">
        <f t="shared" si="1"/>
        <v>2.0555147436038673E-2</v>
      </c>
      <c r="J6" s="1" t="s">
        <v>19</v>
      </c>
      <c r="K6" s="11">
        <v>0.81539450591946327</v>
      </c>
      <c r="L6" s="9">
        <v>3.4696986106508509E-3</v>
      </c>
      <c r="M6" s="9" t="e">
        <v>#N/A</v>
      </c>
      <c r="N6" s="9" t="e">
        <v>#N/A</v>
      </c>
      <c r="O6" s="9"/>
      <c r="P6" s="9"/>
    </row>
    <row r="7" spans="1:16" x14ac:dyDescent="0.25">
      <c r="A7" s="1" t="s">
        <v>20</v>
      </c>
      <c r="B7" s="3">
        <v>102.77</v>
      </c>
      <c r="C7" s="4">
        <v>6.6250000000000003E-2</v>
      </c>
      <c r="D7" s="5">
        <v>39370</v>
      </c>
      <c r="E7" s="3">
        <f t="shared" si="0"/>
        <v>0.64109589041095894</v>
      </c>
      <c r="F7" s="3">
        <f t="shared" si="2"/>
        <v>0.41100394070182028</v>
      </c>
      <c r="G7" s="3">
        <f t="shared" si="3"/>
        <v>0.26349293732664641</v>
      </c>
      <c r="H7" s="4">
        <f t="shared" si="1"/>
        <v>2.2365350819817935E-2</v>
      </c>
      <c r="J7" s="1" t="s">
        <v>21</v>
      </c>
      <c r="K7" s="11">
        <v>341.57799819830359</v>
      </c>
      <c r="L7" s="9">
        <v>232</v>
      </c>
      <c r="M7" s="9" t="e">
        <v>#N/A</v>
      </c>
      <c r="N7" s="9" t="e">
        <v>#N/A</v>
      </c>
      <c r="O7" s="9"/>
      <c r="P7" s="9"/>
    </row>
    <row r="8" spans="1:16" ht="15.6" x14ac:dyDescent="0.35">
      <c r="A8" s="1" t="s">
        <v>22</v>
      </c>
      <c r="B8" s="3">
        <v>103.65</v>
      </c>
      <c r="C8" s="4">
        <v>0.08</v>
      </c>
      <c r="D8" s="5">
        <v>39370</v>
      </c>
      <c r="E8" s="3">
        <f t="shared" si="0"/>
        <v>0.64109589041095894</v>
      </c>
      <c r="F8" s="3">
        <f t="shared" si="2"/>
        <v>0.41100394070182028</v>
      </c>
      <c r="G8" s="3">
        <f t="shared" si="3"/>
        <v>0.26349293732664641</v>
      </c>
      <c r="H8" s="4">
        <f t="shared" si="1"/>
        <v>2.2186527359328686E-2</v>
      </c>
      <c r="J8" s="1" t="s">
        <v>23</v>
      </c>
      <c r="K8" s="11">
        <v>1.2336576271853054E-2</v>
      </c>
      <c r="L8" s="9">
        <v>2.7930035601105674E-3</v>
      </c>
      <c r="M8" s="9" t="e">
        <v>#N/A</v>
      </c>
      <c r="N8" s="9" t="e">
        <v>#N/A</v>
      </c>
      <c r="O8" s="9"/>
      <c r="P8" s="9"/>
    </row>
    <row r="9" spans="1:16" x14ac:dyDescent="0.25">
      <c r="A9" s="1" t="s">
        <v>24</v>
      </c>
      <c r="B9" s="3">
        <v>101.04</v>
      </c>
      <c r="C9" s="4">
        <v>0.04</v>
      </c>
      <c r="D9" s="5">
        <v>39401</v>
      </c>
      <c r="E9" s="3">
        <f t="shared" si="0"/>
        <v>0.72602739726027399</v>
      </c>
      <c r="F9" s="3">
        <f t="shared" si="2"/>
        <v>0.5271157815725277</v>
      </c>
      <c r="G9" s="3">
        <f t="shared" si="3"/>
        <v>0.38270049894991737</v>
      </c>
      <c r="H9" s="4">
        <f t="shared" si="1"/>
        <v>2.5363590191089726E-2</v>
      </c>
      <c r="K9" s="4"/>
    </row>
    <row r="10" spans="1:16" x14ac:dyDescent="0.25">
      <c r="A10" s="1" t="s">
        <v>25</v>
      </c>
      <c r="B10" s="3">
        <v>101.1</v>
      </c>
      <c r="C10" s="4">
        <v>0.04</v>
      </c>
      <c r="D10" s="5">
        <v>39401</v>
      </c>
      <c r="E10" s="3">
        <f t="shared" si="0"/>
        <v>0.72602739726027399</v>
      </c>
      <c r="F10" s="3">
        <f t="shared" si="2"/>
        <v>0.5271157815725277</v>
      </c>
      <c r="G10" s="3">
        <f t="shared" si="3"/>
        <v>0.38270049894991737</v>
      </c>
      <c r="H10" s="4">
        <f t="shared" si="1"/>
        <v>2.4530911047264816E-2</v>
      </c>
      <c r="K10" s="4"/>
    </row>
    <row r="11" spans="1:16" x14ac:dyDescent="0.25">
      <c r="A11" s="1" t="s">
        <v>26</v>
      </c>
      <c r="B11" s="3">
        <v>103.25</v>
      </c>
      <c r="C11" s="4">
        <v>6.5599999999999992E-2</v>
      </c>
      <c r="D11" s="5">
        <v>39432</v>
      </c>
      <c r="E11" s="3">
        <f t="shared" si="0"/>
        <v>0.81095890410958904</v>
      </c>
      <c r="F11" s="3">
        <f t="shared" si="2"/>
        <v>0.65765434415462565</v>
      </c>
      <c r="G11" s="3">
        <f t="shared" si="3"/>
        <v>0.53333064621854576</v>
      </c>
      <c r="H11" s="4">
        <f t="shared" si="1"/>
        <v>2.4786602024960681E-2</v>
      </c>
      <c r="J11" s="12" t="s">
        <v>27</v>
      </c>
    </row>
    <row r="12" spans="1:16" x14ac:dyDescent="0.25">
      <c r="A12" s="1" t="s">
        <v>28</v>
      </c>
      <c r="B12" s="3">
        <v>102.91</v>
      </c>
      <c r="C12" s="4">
        <v>6.5000000000000002E-2</v>
      </c>
      <c r="D12" s="5">
        <v>39435</v>
      </c>
      <c r="E12" s="3">
        <f t="shared" si="0"/>
        <v>0.81917808219178079</v>
      </c>
      <c r="F12" s="3">
        <f t="shared" si="2"/>
        <v>0.67105273034340396</v>
      </c>
      <c r="G12" s="3">
        <f t="shared" si="3"/>
        <v>0.54971168869226783</v>
      </c>
      <c r="H12" s="4">
        <f t="shared" si="1"/>
        <v>2.8714460492645928E-2</v>
      </c>
      <c r="J12" s="13" t="s">
        <v>12</v>
      </c>
      <c r="K12" s="8">
        <f>INDEX(LINEST($H$3:$H$238,$E$3:$G$238,,TRUE),1,3)</f>
        <v>4.9906691517264401E-3</v>
      </c>
    </row>
    <row r="13" spans="1:16" ht="15.6" x14ac:dyDescent="0.25">
      <c r="A13" s="1" t="s">
        <v>29</v>
      </c>
      <c r="B13" s="3">
        <v>100.69</v>
      </c>
      <c r="C13" s="4">
        <v>3.7000000000000005E-2</v>
      </c>
      <c r="D13" s="5">
        <v>39462</v>
      </c>
      <c r="E13" s="3">
        <f t="shared" si="0"/>
        <v>0.89315068493150684</v>
      </c>
      <c r="F13" s="3">
        <f t="shared" si="2"/>
        <v>0.79771814599361979</v>
      </c>
      <c r="G13" s="3">
        <f t="shared" si="3"/>
        <v>0.7124825084764933</v>
      </c>
      <c r="H13" s="4">
        <f t="shared" si="1"/>
        <v>2.9084230414958015E-2</v>
      </c>
      <c r="J13" s="13" t="s">
        <v>11</v>
      </c>
      <c r="K13" s="8">
        <f>INDEX(LINEST($H$3:$H$238,$E$3:$G$238,,TRUE),1,2)</f>
        <v>-3.2041821601929164E-4</v>
      </c>
      <c r="L13" s="4"/>
    </row>
    <row r="14" spans="1:16" ht="15.6" x14ac:dyDescent="0.25">
      <c r="A14" s="1" t="s">
        <v>30</v>
      </c>
      <c r="B14" s="3">
        <v>101.09</v>
      </c>
      <c r="C14" s="4">
        <v>4.1250000000000002E-2</v>
      </c>
      <c r="D14" s="5">
        <v>39462</v>
      </c>
      <c r="E14" s="3">
        <f t="shared" si="0"/>
        <v>0.89315068493150684</v>
      </c>
      <c r="F14" s="3">
        <f t="shared" si="2"/>
        <v>0.79771814599361979</v>
      </c>
      <c r="G14" s="3">
        <f t="shared" si="3"/>
        <v>0.7124825084764933</v>
      </c>
      <c r="H14" s="4">
        <f t="shared" si="1"/>
        <v>2.8760448740205728E-2</v>
      </c>
      <c r="J14" s="13" t="s">
        <v>10</v>
      </c>
      <c r="K14" s="8">
        <f>INDEX(LINEST($H$3:$H$238,$E$3:$G$238,,TRUE),1,1)</f>
        <v>6.202937057848038E-6</v>
      </c>
      <c r="L14" s="4"/>
    </row>
    <row r="15" spans="1:16" x14ac:dyDescent="0.25">
      <c r="A15" s="1" t="s">
        <v>31</v>
      </c>
      <c r="B15" s="3">
        <v>100.81</v>
      </c>
      <c r="C15" s="4">
        <v>3.7999999999999999E-2</v>
      </c>
      <c r="D15" s="5">
        <v>39479</v>
      </c>
      <c r="E15" s="3">
        <f t="shared" si="0"/>
        <v>0.9397260273972603</v>
      </c>
      <c r="F15" s="3">
        <f t="shared" si="2"/>
        <v>0.88308500656783639</v>
      </c>
      <c r="G15" s="3">
        <f t="shared" si="3"/>
        <v>0.82985796507607645</v>
      </c>
      <c r="H15" s="4">
        <f t="shared" si="1"/>
        <v>2.9178473699756853E-2</v>
      </c>
      <c r="K15" s="4"/>
    </row>
    <row r="16" spans="1:16" x14ac:dyDescent="0.25">
      <c r="A16" s="1" t="s">
        <v>32</v>
      </c>
      <c r="B16" s="3">
        <v>100.5</v>
      </c>
      <c r="C16" s="4">
        <v>3.5000000000000003E-2</v>
      </c>
      <c r="D16" s="5">
        <v>39479</v>
      </c>
      <c r="E16" s="3">
        <f t="shared" si="0"/>
        <v>0.9397260273972603</v>
      </c>
      <c r="F16" s="3">
        <f t="shared" si="2"/>
        <v>0.88308500656783639</v>
      </c>
      <c r="G16" s="3">
        <f t="shared" si="3"/>
        <v>0.82985796507607645</v>
      </c>
      <c r="H16" s="4">
        <f t="shared" si="1"/>
        <v>2.9548160176610567E-2</v>
      </c>
      <c r="J16" s="1" t="s">
        <v>33</v>
      </c>
      <c r="K16" s="8">
        <f>INDEX(LINEST($H$3:$H$238,$E$3:$G$238,,TRUE),1,4)</f>
        <v>2.9179339702223726E-2</v>
      </c>
      <c r="L16" s="4"/>
    </row>
    <row r="17" spans="1:12" x14ac:dyDescent="0.25">
      <c r="A17" s="1" t="s">
        <v>34</v>
      </c>
      <c r="B17" s="3">
        <v>100.47</v>
      </c>
      <c r="C17" s="4">
        <v>3.3750000000000002E-2</v>
      </c>
      <c r="D17" s="5">
        <v>39493</v>
      </c>
      <c r="E17" s="3">
        <f t="shared" si="0"/>
        <v>0.9780821917808219</v>
      </c>
      <c r="F17" s="3">
        <f t="shared" si="2"/>
        <v>0.95664477387877644</v>
      </c>
      <c r="G17" s="3">
        <f t="shared" si="3"/>
        <v>0.93567721719102237</v>
      </c>
      <c r="H17" s="4">
        <f t="shared" si="1"/>
        <v>2.8835822122459765E-2</v>
      </c>
      <c r="J17" s="1" t="s">
        <v>35</v>
      </c>
      <c r="K17" s="16">
        <f>INDEX(LINEST($H$3:$H$238,$E$3:$G$238,,TRUE),3,1)</f>
        <v>0.81539450591946327</v>
      </c>
      <c r="L17" s="4"/>
    </row>
    <row r="18" spans="1:12" x14ac:dyDescent="0.25">
      <c r="A18" s="1" t="s">
        <v>36</v>
      </c>
      <c r="B18" s="3">
        <v>100.94</v>
      </c>
      <c r="C18" s="4">
        <v>4.1250000000000002E-2</v>
      </c>
      <c r="D18" s="5">
        <v>39517</v>
      </c>
      <c r="E18" s="3">
        <f t="shared" si="0"/>
        <v>1.0438356164383562</v>
      </c>
      <c r="F18" s="3">
        <f t="shared" si="2"/>
        <v>1.089592794145243</v>
      </c>
      <c r="G18" s="3">
        <f t="shared" si="3"/>
        <v>1.1373557659433906</v>
      </c>
      <c r="H18" s="4">
        <f t="shared" si="1"/>
        <v>3.198857501132344E-2</v>
      </c>
      <c r="K18" s="4"/>
    </row>
    <row r="19" spans="1:12" x14ac:dyDescent="0.25">
      <c r="A19" s="1" t="s">
        <v>37</v>
      </c>
      <c r="B19" s="3">
        <v>102.96</v>
      </c>
      <c r="C19" s="4">
        <v>0.06</v>
      </c>
      <c r="D19" s="5">
        <v>39522</v>
      </c>
      <c r="E19" s="3">
        <f t="shared" si="0"/>
        <v>1.0575342465753426</v>
      </c>
      <c r="F19" s="3">
        <f t="shared" si="2"/>
        <v>1.1183786826796775</v>
      </c>
      <c r="G19" s="3">
        <f t="shared" si="3"/>
        <v>1.182723757573577</v>
      </c>
      <c r="H19" s="4">
        <f t="shared" si="1"/>
        <v>3.1244040821783198E-2</v>
      </c>
      <c r="J19" s="12" t="s">
        <v>38</v>
      </c>
      <c r="K19" s="4"/>
    </row>
    <row r="20" spans="1:12" x14ac:dyDescent="0.25">
      <c r="A20" s="1" t="s">
        <v>39</v>
      </c>
      <c r="B20" s="3">
        <v>99.72</v>
      </c>
      <c r="C20" s="4">
        <v>2.8750000000000001E-2</v>
      </c>
      <c r="D20" s="5">
        <v>39522</v>
      </c>
      <c r="E20" s="3">
        <f t="shared" si="0"/>
        <v>1.0575342465753426</v>
      </c>
      <c r="F20" s="3">
        <f t="shared" si="2"/>
        <v>1.1183786826796775</v>
      </c>
      <c r="G20" s="3">
        <f t="shared" si="3"/>
        <v>1.182723757573577</v>
      </c>
      <c r="H20" s="4">
        <f t="shared" si="1"/>
        <v>3.1457773201985818E-2</v>
      </c>
      <c r="J20" s="13" t="s">
        <v>12</v>
      </c>
      <c r="K20" s="8">
        <f>INDEX(LINEST($H$3:$H$238,$E$3:$G$238,,TRUE),1,3)/INDEX(LINEST($H$3:$H$238,$E$3:$G$238,,TRUE),2,3)</f>
        <v>20.763478024730269</v>
      </c>
      <c r="L20" s="4"/>
    </row>
    <row r="21" spans="1:12" ht="15.6" x14ac:dyDescent="0.25">
      <c r="A21" s="1" t="s">
        <v>40</v>
      </c>
      <c r="B21" s="3">
        <v>99.78</v>
      </c>
      <c r="C21" s="4">
        <v>2.8999999999999998E-2</v>
      </c>
      <c r="D21" s="5">
        <v>39522</v>
      </c>
      <c r="E21" s="3">
        <f t="shared" si="0"/>
        <v>1.0575342465753426</v>
      </c>
      <c r="F21" s="3">
        <f t="shared" si="2"/>
        <v>1.1183786826796775</v>
      </c>
      <c r="G21" s="3">
        <f t="shared" si="3"/>
        <v>1.182723757573577</v>
      </c>
      <c r="H21" s="4">
        <f t="shared" si="1"/>
        <v>3.1124717987125652E-2</v>
      </c>
      <c r="J21" s="13" t="s">
        <v>11</v>
      </c>
      <c r="K21" s="8">
        <f>INDEX(LINEST($H$3:$H$238,$E$3:$G$238,,TRUE),1,2)/INDEX(LINEST($H$3:$H$238,$E$3:$G$238,,TRUE),2,2)</f>
        <v>-13.250878451714412</v>
      </c>
      <c r="L21" s="4"/>
    </row>
    <row r="22" spans="1:12" ht="15.6" x14ac:dyDescent="0.25">
      <c r="A22" s="1" t="s">
        <v>41</v>
      </c>
      <c r="B22" s="3">
        <v>103.54</v>
      </c>
      <c r="C22" s="4">
        <v>6.7500000000000004E-2</v>
      </c>
      <c r="D22" s="5">
        <v>39522</v>
      </c>
      <c r="E22" s="3">
        <f t="shared" si="0"/>
        <v>1.0575342465753426</v>
      </c>
      <c r="F22" s="3">
        <f t="shared" si="2"/>
        <v>1.1183786826796775</v>
      </c>
      <c r="G22" s="3">
        <f t="shared" si="3"/>
        <v>1.182723757573577</v>
      </c>
      <c r="H22" s="4">
        <f t="shared" si="1"/>
        <v>3.3061822733664439E-2</v>
      </c>
      <c r="J22" s="13" t="s">
        <v>10</v>
      </c>
      <c r="K22" s="8">
        <f>INDEX(LINEST($H$3:$H$238,$E$3:$G$238,,TRUE),1,1)/INDEX(LINEST($H$3:$H$238,$E$3:$G$238,,TRUE),2,1)</f>
        <v>10.351011425450217</v>
      </c>
      <c r="L22" s="4"/>
    </row>
    <row r="23" spans="1:12" x14ac:dyDescent="0.25">
      <c r="A23" s="1" t="s">
        <v>9</v>
      </c>
      <c r="B23" s="3">
        <v>99.85</v>
      </c>
      <c r="C23" s="4">
        <v>3.125E-2</v>
      </c>
      <c r="D23" s="5">
        <v>39522</v>
      </c>
      <c r="E23" s="3">
        <f t="shared" si="0"/>
        <v>1.0575342465753426</v>
      </c>
      <c r="F23" s="3">
        <f t="shared" si="2"/>
        <v>1.1183786826796775</v>
      </c>
      <c r="G23" s="3">
        <f t="shared" si="3"/>
        <v>1.182723757573577</v>
      </c>
      <c r="H23" s="4">
        <f t="shared" si="1"/>
        <v>3.2695589026298495E-2</v>
      </c>
    </row>
    <row r="24" spans="1:12" x14ac:dyDescent="0.25">
      <c r="A24" s="1" t="s">
        <v>42</v>
      </c>
      <c r="B24" s="3">
        <v>99.77</v>
      </c>
      <c r="C24" s="4">
        <v>3.0499999999999999E-2</v>
      </c>
      <c r="D24" s="5">
        <v>39524</v>
      </c>
      <c r="E24" s="3">
        <f t="shared" si="0"/>
        <v>1.0630136986301371</v>
      </c>
      <c r="F24" s="3">
        <f t="shared" si="2"/>
        <v>1.1299981234753238</v>
      </c>
      <c r="G24" s="3">
        <f t="shared" si="3"/>
        <v>1.2012034846806183</v>
      </c>
      <c r="H24" s="4">
        <f t="shared" si="1"/>
        <v>3.271094951816874E-2</v>
      </c>
      <c r="K24" s="4"/>
    </row>
    <row r="25" spans="1:12" x14ac:dyDescent="0.25">
      <c r="A25" s="1" t="s">
        <v>43</v>
      </c>
      <c r="B25" s="3">
        <v>100.94</v>
      </c>
      <c r="C25" s="4">
        <v>4.1250000000000002E-2</v>
      </c>
      <c r="D25" s="5">
        <v>39524</v>
      </c>
      <c r="E25" s="3">
        <f t="shared" si="0"/>
        <v>1.0630136986301371</v>
      </c>
      <c r="F25" s="3">
        <f t="shared" si="2"/>
        <v>1.1299981234753238</v>
      </c>
      <c r="G25" s="3">
        <f t="shared" si="3"/>
        <v>1.2012034846806183</v>
      </c>
      <c r="H25" s="4">
        <f t="shared" si="1"/>
        <v>3.2148556720536389E-2</v>
      </c>
      <c r="K25" s="4"/>
    </row>
    <row r="26" spans="1:12" x14ac:dyDescent="0.25">
      <c r="A26" s="1" t="s">
        <v>44</v>
      </c>
      <c r="B26" s="3">
        <v>103.2</v>
      </c>
      <c r="C26" s="4">
        <v>6.3750000000000001E-2</v>
      </c>
      <c r="D26" s="5">
        <v>39532</v>
      </c>
      <c r="E26" s="3">
        <f t="shared" si="0"/>
        <v>1.0849315068493151</v>
      </c>
      <c r="F26" s="3">
        <f t="shared" si="2"/>
        <v>1.1770763745543253</v>
      </c>
      <c r="G26" s="3">
        <f t="shared" si="3"/>
        <v>1.277047244721953</v>
      </c>
      <c r="H26" s="4">
        <f t="shared" si="1"/>
        <v>3.3381116529231612E-2</v>
      </c>
      <c r="K26" s="4"/>
    </row>
    <row r="27" spans="1:12" x14ac:dyDescent="0.25">
      <c r="A27" s="1" t="s">
        <v>44</v>
      </c>
      <c r="B27" s="3">
        <v>103.18</v>
      </c>
      <c r="C27" s="4">
        <v>6.3750000000000001E-2</v>
      </c>
      <c r="D27" s="5">
        <v>39553</v>
      </c>
      <c r="E27" s="3">
        <f t="shared" si="0"/>
        <v>1.1424657534246576</v>
      </c>
      <c r="F27" s="3">
        <f t="shared" si="2"/>
        <v>1.3052279977481707</v>
      </c>
      <c r="G27" s="3">
        <f t="shared" si="3"/>
        <v>1.4911782878383211</v>
      </c>
      <c r="H27" s="4">
        <f t="shared" si="1"/>
        <v>3.5003948949762102E-2</v>
      </c>
      <c r="K27" s="4"/>
    </row>
    <row r="28" spans="1:12" x14ac:dyDescent="0.25">
      <c r="A28" s="1" t="s">
        <v>24</v>
      </c>
      <c r="B28" s="3">
        <v>101.16</v>
      </c>
      <c r="C28" s="4">
        <v>4.4999999999999998E-2</v>
      </c>
      <c r="D28" s="5">
        <v>39569</v>
      </c>
      <c r="E28" s="3">
        <f t="shared" si="0"/>
        <v>1.1863013698630136</v>
      </c>
      <c r="F28" s="3">
        <f t="shared" si="2"/>
        <v>1.4073109401388626</v>
      </c>
      <c r="G28" s="3">
        <f t="shared" si="3"/>
        <v>1.6694948961099383</v>
      </c>
      <c r="H28" s="4">
        <f t="shared" si="1"/>
        <v>3.4883404461994359E-2</v>
      </c>
      <c r="K28" s="4"/>
    </row>
    <row r="29" spans="1:12" x14ac:dyDescent="0.25">
      <c r="A29" s="1" t="s">
        <v>45</v>
      </c>
      <c r="B29" s="3">
        <v>103.33</v>
      </c>
      <c r="C29" s="4">
        <v>6.3750000000000001E-2</v>
      </c>
      <c r="D29" s="5">
        <v>39583</v>
      </c>
      <c r="E29" s="3">
        <f t="shared" si="0"/>
        <v>1.2246575342465753</v>
      </c>
      <c r="F29" s="3">
        <f t="shared" si="2"/>
        <v>1.4997860761869017</v>
      </c>
      <c r="G29" s="3">
        <f t="shared" si="3"/>
        <v>1.8367243179603974</v>
      </c>
      <c r="H29" s="4">
        <f t="shared" si="1"/>
        <v>3.5640630136521897E-2</v>
      </c>
      <c r="K29" s="4"/>
    </row>
    <row r="30" spans="1:12" x14ac:dyDescent="0.25">
      <c r="A30" s="1" t="s">
        <v>22</v>
      </c>
      <c r="B30" s="3">
        <v>100.19</v>
      </c>
      <c r="C30" s="4">
        <v>3.7499999999999999E-2</v>
      </c>
      <c r="D30" s="5">
        <v>39583</v>
      </c>
      <c r="E30" s="3">
        <f t="shared" si="0"/>
        <v>1.2246575342465753</v>
      </c>
      <c r="F30" s="3">
        <f t="shared" si="2"/>
        <v>1.4997860761869017</v>
      </c>
      <c r="G30" s="3">
        <f t="shared" si="3"/>
        <v>1.8367243179603974</v>
      </c>
      <c r="H30" s="4">
        <f t="shared" si="1"/>
        <v>3.5864486032883044E-2</v>
      </c>
      <c r="K30" s="4"/>
    </row>
    <row r="31" spans="1:12" x14ac:dyDescent="0.25">
      <c r="A31" s="1" t="s">
        <v>46</v>
      </c>
      <c r="B31" s="3">
        <v>99.47</v>
      </c>
      <c r="C31" s="4">
        <v>0.03</v>
      </c>
      <c r="D31" s="5">
        <v>39584</v>
      </c>
      <c r="E31" s="3">
        <f t="shared" si="0"/>
        <v>1.2273972602739727</v>
      </c>
      <c r="F31" s="3">
        <f t="shared" si="2"/>
        <v>1.5065040345280543</v>
      </c>
      <c r="G31" s="3">
        <f t="shared" si="3"/>
        <v>1.8490789245714201</v>
      </c>
      <c r="H31" s="4">
        <f t="shared" si="1"/>
        <v>3.4423475091667301E-2</v>
      </c>
      <c r="K31" s="4"/>
    </row>
    <row r="32" spans="1:12" x14ac:dyDescent="0.25">
      <c r="A32" s="1" t="s">
        <v>42</v>
      </c>
      <c r="B32" s="3">
        <v>98.62</v>
      </c>
      <c r="C32" s="4">
        <v>2.8500000000000001E-2</v>
      </c>
      <c r="D32" s="5">
        <v>39595</v>
      </c>
      <c r="E32" s="3">
        <f t="shared" si="0"/>
        <v>1.2575342465753425</v>
      </c>
      <c r="F32" s="3">
        <f t="shared" si="2"/>
        <v>1.5813923813098143</v>
      </c>
      <c r="G32" s="3">
        <f t="shared" si="3"/>
        <v>1.9886550767704241</v>
      </c>
      <c r="H32" s="4">
        <f t="shared" si="1"/>
        <v>3.9836561327823455E-2</v>
      </c>
      <c r="K32" s="4"/>
    </row>
    <row r="33" spans="1:11" x14ac:dyDescent="0.25">
      <c r="A33" s="1" t="s">
        <v>47</v>
      </c>
      <c r="B33" s="3">
        <v>102.84</v>
      </c>
      <c r="C33" s="4">
        <v>0.06</v>
      </c>
      <c r="D33" s="5">
        <v>39600</v>
      </c>
      <c r="E33" s="3">
        <f t="shared" si="0"/>
        <v>1.2712328767123289</v>
      </c>
      <c r="F33" s="3">
        <f t="shared" si="2"/>
        <v>1.6160330268343031</v>
      </c>
      <c r="G33" s="3">
        <f t="shared" si="3"/>
        <v>2.0543543135647031</v>
      </c>
      <c r="H33" s="4">
        <f t="shared" si="1"/>
        <v>3.683634924504238E-2</v>
      </c>
      <c r="K33" s="4"/>
    </row>
    <row r="34" spans="1:11" x14ac:dyDescent="0.25">
      <c r="A34" s="1" t="s">
        <v>39</v>
      </c>
      <c r="B34" s="3">
        <v>98.86</v>
      </c>
      <c r="C34" s="4">
        <v>2.5000000000000001E-2</v>
      </c>
      <c r="D34" s="5">
        <v>39600</v>
      </c>
      <c r="E34" s="3">
        <f t="shared" si="0"/>
        <v>1.2712328767123289</v>
      </c>
      <c r="F34" s="3">
        <f t="shared" si="2"/>
        <v>1.6160330268343031</v>
      </c>
      <c r="G34" s="3">
        <f t="shared" si="3"/>
        <v>2.0543543135647031</v>
      </c>
      <c r="H34" s="4">
        <f t="shared" si="1"/>
        <v>3.4233606575074467E-2</v>
      </c>
      <c r="K34" s="4"/>
    </row>
    <row r="35" spans="1:11" x14ac:dyDescent="0.25">
      <c r="A35" s="1" t="s">
        <v>48</v>
      </c>
      <c r="B35" s="3">
        <v>101.28</v>
      </c>
      <c r="C35" s="4">
        <v>4.6249999999999999E-2</v>
      </c>
      <c r="D35" s="5">
        <v>39601</v>
      </c>
      <c r="E35" s="3">
        <f t="shared" si="0"/>
        <v>1.273972602739726</v>
      </c>
      <c r="F35" s="3">
        <f t="shared" si="2"/>
        <v>1.6230061925314319</v>
      </c>
      <c r="G35" s="3">
        <f t="shared" si="3"/>
        <v>2.0676654233619609</v>
      </c>
      <c r="H35" s="4">
        <f t="shared" si="1"/>
        <v>3.5824768542505173E-2</v>
      </c>
      <c r="K35" s="4"/>
    </row>
    <row r="36" spans="1:11" x14ac:dyDescent="0.25">
      <c r="A36" s="1" t="s">
        <v>24</v>
      </c>
      <c r="B36" s="3">
        <v>99.91</v>
      </c>
      <c r="C36" s="4">
        <v>3.6000000000000004E-2</v>
      </c>
      <c r="D36" s="5">
        <v>39614</v>
      </c>
      <c r="E36" s="3">
        <f t="shared" si="0"/>
        <v>1.3095890410958904</v>
      </c>
      <c r="F36" s="3">
        <f t="shared" si="2"/>
        <v>1.7150234565584537</v>
      </c>
      <c r="G36" s="3">
        <f t="shared" si="3"/>
        <v>2.2459759239313448</v>
      </c>
      <c r="H36" s="4">
        <f t="shared" si="1"/>
        <v>3.668059475506423E-2</v>
      </c>
      <c r="K36" s="4"/>
    </row>
    <row r="37" spans="1:11" x14ac:dyDescent="0.25">
      <c r="A37" s="1" t="s">
        <v>49</v>
      </c>
      <c r="B37" s="3">
        <v>107.74</v>
      </c>
      <c r="C37" s="4">
        <v>0.1</v>
      </c>
      <c r="D37" s="5">
        <v>39614</v>
      </c>
      <c r="E37" s="3">
        <f t="shared" si="0"/>
        <v>1.3095890410958904</v>
      </c>
      <c r="F37" s="3">
        <f t="shared" si="2"/>
        <v>1.7150234565584537</v>
      </c>
      <c r="G37" s="3">
        <f t="shared" si="3"/>
        <v>2.2459759239313448</v>
      </c>
      <c r="H37" s="4">
        <f t="shared" si="1"/>
        <v>3.8644192593972712E-2</v>
      </c>
      <c r="K37" s="4"/>
    </row>
    <row r="38" spans="1:11" ht="12.75" customHeight="1" x14ac:dyDescent="0.25">
      <c r="A38" s="1" t="s">
        <v>50</v>
      </c>
      <c r="B38" s="3">
        <v>103.47</v>
      </c>
      <c r="C38" s="4">
        <v>6.4000000000000001E-2</v>
      </c>
      <c r="D38" s="5">
        <v>39616</v>
      </c>
      <c r="E38" s="3">
        <f t="shared" si="0"/>
        <v>1.3150684931506849</v>
      </c>
      <c r="F38" s="3">
        <f t="shared" si="2"/>
        <v>1.7294051416776128</v>
      </c>
      <c r="G38" s="3">
        <f t="shared" si="3"/>
        <v>2.2742862137130251</v>
      </c>
      <c r="H38" s="4">
        <f t="shared" si="1"/>
        <v>3.6640205096253479E-2</v>
      </c>
      <c r="K38" s="4"/>
    </row>
    <row r="39" spans="1:11" x14ac:dyDescent="0.25">
      <c r="A39" s="1" t="s">
        <v>16</v>
      </c>
      <c r="B39" s="3">
        <v>98.75</v>
      </c>
      <c r="C39" s="4">
        <v>2.6249999999999999E-2</v>
      </c>
      <c r="D39" s="5">
        <v>39629</v>
      </c>
      <c r="E39" s="3">
        <f t="shared" si="0"/>
        <v>1.3506849315068492</v>
      </c>
      <c r="F39" s="3">
        <f t="shared" si="2"/>
        <v>1.8243497841996619</v>
      </c>
      <c r="G39" s="3">
        <f t="shared" si="3"/>
        <v>2.4641217633162555</v>
      </c>
      <c r="H39" s="4">
        <f t="shared" si="1"/>
        <v>3.5793012810940751E-2</v>
      </c>
      <c r="K39" s="4"/>
    </row>
    <row r="40" spans="1:11" x14ac:dyDescent="0.25">
      <c r="A40" s="1" t="s">
        <v>25</v>
      </c>
      <c r="B40" s="3">
        <v>99.28</v>
      </c>
      <c r="C40" s="4">
        <v>3.125E-2</v>
      </c>
      <c r="D40" s="5">
        <v>39644</v>
      </c>
      <c r="E40" s="3">
        <f t="shared" si="0"/>
        <v>1.3917808219178083</v>
      </c>
      <c r="F40" s="3">
        <f t="shared" si="2"/>
        <v>1.93705385625821</v>
      </c>
      <c r="G40" s="3">
        <f t="shared" si="3"/>
        <v>2.6959544081621116</v>
      </c>
      <c r="H40" s="4">
        <f t="shared" si="1"/>
        <v>3.6583630281109565E-2</v>
      </c>
      <c r="K40" s="4"/>
    </row>
    <row r="41" spans="1:11" x14ac:dyDescent="0.25">
      <c r="A41" s="1" t="s">
        <v>16</v>
      </c>
      <c r="B41" s="3">
        <v>103.11</v>
      </c>
      <c r="C41" s="4">
        <v>0.06</v>
      </c>
      <c r="D41" s="5">
        <v>39661</v>
      </c>
      <c r="E41" s="3">
        <f t="shared" si="0"/>
        <v>1.4383561643835616</v>
      </c>
      <c r="F41" s="3">
        <f t="shared" si="2"/>
        <v>2.0688684556201915</v>
      </c>
      <c r="G41" s="3">
        <f t="shared" si="3"/>
        <v>2.9757696964400013</v>
      </c>
      <c r="H41" s="4">
        <f t="shared" si="1"/>
        <v>3.7577820990390837E-2</v>
      </c>
      <c r="K41" s="4"/>
    </row>
    <row r="42" spans="1:11" x14ac:dyDescent="0.25">
      <c r="A42" s="1" t="s">
        <v>51</v>
      </c>
      <c r="B42" s="3">
        <v>99.36</v>
      </c>
      <c r="C42" s="4">
        <v>3.2500000000000001E-2</v>
      </c>
      <c r="D42" s="5">
        <v>39675</v>
      </c>
      <c r="E42" s="3">
        <f t="shared" si="0"/>
        <v>1.4767123287671233</v>
      </c>
      <c r="F42" s="3">
        <f t="shared" si="2"/>
        <v>2.1806793019328206</v>
      </c>
      <c r="G42" s="3">
        <f t="shared" si="3"/>
        <v>3.2202360102514804</v>
      </c>
      <c r="H42" s="4">
        <f t="shared" si="1"/>
        <v>3.6985407633133426E-2</v>
      </c>
      <c r="K42" s="4"/>
    </row>
    <row r="43" spans="1:11" x14ac:dyDescent="0.25">
      <c r="A43" s="1" t="s">
        <v>52</v>
      </c>
      <c r="B43" s="3">
        <v>104.04</v>
      </c>
      <c r="C43" s="4">
        <v>6.7000000000000004E-2</v>
      </c>
      <c r="D43" s="5">
        <v>39675</v>
      </c>
      <c r="E43" s="3">
        <f t="shared" si="0"/>
        <v>1.4767123287671233</v>
      </c>
      <c r="F43" s="3">
        <f t="shared" si="2"/>
        <v>2.1806793019328206</v>
      </c>
      <c r="G43" s="3">
        <f t="shared" si="3"/>
        <v>3.2202360102514804</v>
      </c>
      <c r="H43" s="4">
        <f t="shared" si="1"/>
        <v>3.8604314341815195E-2</v>
      </c>
      <c r="K43" s="4"/>
    </row>
    <row r="44" spans="1:11" x14ac:dyDescent="0.25">
      <c r="A44" s="1" t="s">
        <v>48</v>
      </c>
      <c r="B44" s="3">
        <v>101.38</v>
      </c>
      <c r="C44" s="4">
        <v>4.8099999999999997E-2</v>
      </c>
      <c r="D44" s="5">
        <v>39675</v>
      </c>
      <c r="E44" s="3">
        <f t="shared" si="0"/>
        <v>1.4767123287671233</v>
      </c>
      <c r="F44" s="3">
        <f t="shared" si="2"/>
        <v>2.1806793019328206</v>
      </c>
      <c r="G44" s="3">
        <f t="shared" si="3"/>
        <v>3.2202360102514804</v>
      </c>
      <c r="H44" s="4">
        <f t="shared" si="1"/>
        <v>3.8398874536683475E-2</v>
      </c>
      <c r="K44" s="4"/>
    </row>
    <row r="45" spans="1:11" x14ac:dyDescent="0.25">
      <c r="A45" s="1" t="s">
        <v>53</v>
      </c>
      <c r="B45" s="3">
        <v>100.95</v>
      </c>
      <c r="C45" s="4">
        <v>4.2999999999999997E-2</v>
      </c>
      <c r="D45" s="5">
        <v>39675</v>
      </c>
      <c r="E45" s="3">
        <f t="shared" si="0"/>
        <v>1.4767123287671233</v>
      </c>
      <c r="F45" s="3">
        <f t="shared" si="2"/>
        <v>2.1806793019328206</v>
      </c>
      <c r="G45" s="3">
        <f t="shared" si="3"/>
        <v>3.2202360102514804</v>
      </c>
      <c r="H45" s="4">
        <f t="shared" si="1"/>
        <v>3.6333915502443782E-2</v>
      </c>
      <c r="K45" s="4"/>
    </row>
    <row r="46" spans="1:11" x14ac:dyDescent="0.25">
      <c r="A46" s="1" t="s">
        <v>37</v>
      </c>
      <c r="B46" s="3">
        <v>102.54</v>
      </c>
      <c r="C46" s="4">
        <v>5.4000000000000006E-2</v>
      </c>
      <c r="D46" s="5">
        <v>39706</v>
      </c>
      <c r="E46" s="3">
        <f t="shared" si="0"/>
        <v>1.5616438356164384</v>
      </c>
      <c r="F46" s="3">
        <f t="shared" si="2"/>
        <v>2.4387314693188218</v>
      </c>
      <c r="G46" s="3">
        <f t="shared" si="3"/>
        <v>3.8084299657855576</v>
      </c>
      <c r="H46" s="4">
        <f t="shared" si="1"/>
        <v>3.7026494468875126E-2</v>
      </c>
      <c r="K46" s="4"/>
    </row>
    <row r="47" spans="1:11" x14ac:dyDescent="0.25">
      <c r="A47" s="1" t="s">
        <v>24</v>
      </c>
      <c r="B47" s="3">
        <v>100.65</v>
      </c>
      <c r="C47" s="4">
        <v>4.3499999999999997E-2</v>
      </c>
      <c r="D47" s="5">
        <v>39706</v>
      </c>
      <c r="E47" s="3">
        <f t="shared" si="0"/>
        <v>1.5616438356164384</v>
      </c>
      <c r="F47" s="3">
        <f t="shared" si="2"/>
        <v>2.4387314693188218</v>
      </c>
      <c r="G47" s="3">
        <f t="shared" si="3"/>
        <v>3.8084299657855576</v>
      </c>
      <c r="H47" s="4">
        <f t="shared" si="1"/>
        <v>3.9137475314209969E-2</v>
      </c>
      <c r="K47" s="4"/>
    </row>
    <row r="48" spans="1:11" x14ac:dyDescent="0.25">
      <c r="A48" s="1" t="s">
        <v>54</v>
      </c>
      <c r="B48" s="3">
        <v>102.63</v>
      </c>
      <c r="C48" s="4">
        <v>5.5E-2</v>
      </c>
      <c r="D48" s="5">
        <v>39722</v>
      </c>
      <c r="E48" s="3">
        <f t="shared" si="0"/>
        <v>1.6054794520547946</v>
      </c>
      <c r="F48" s="3">
        <f t="shared" si="2"/>
        <v>2.5775642709701634</v>
      </c>
      <c r="G48" s="3">
        <f t="shared" si="3"/>
        <v>4.1382264733931944</v>
      </c>
      <c r="H48" s="4">
        <f t="shared" si="1"/>
        <v>3.7893851029977887E-2</v>
      </c>
      <c r="K48" s="4"/>
    </row>
    <row r="49" spans="1:11" x14ac:dyDescent="0.25">
      <c r="A49" s="1" t="s">
        <v>55</v>
      </c>
      <c r="B49" s="3">
        <v>99.48</v>
      </c>
      <c r="C49" s="4">
        <v>3.3750000000000002E-2</v>
      </c>
      <c r="D49" s="5">
        <v>39722</v>
      </c>
      <c r="E49" s="3">
        <f t="shared" si="0"/>
        <v>1.6054794520547946</v>
      </c>
      <c r="F49" s="3">
        <f t="shared" si="2"/>
        <v>2.5775642709701634</v>
      </c>
      <c r="G49" s="3">
        <f t="shared" si="3"/>
        <v>4.1382264733931944</v>
      </c>
      <c r="H49" s="4">
        <f t="shared" si="1"/>
        <v>3.7107777811056668E-2</v>
      </c>
      <c r="K49" s="4"/>
    </row>
    <row r="50" spans="1:11" x14ac:dyDescent="0.25">
      <c r="A50" s="1" t="s">
        <v>26</v>
      </c>
      <c r="B50" s="3">
        <v>103.65</v>
      </c>
      <c r="C50" s="4">
        <v>6.25E-2</v>
      </c>
      <c r="D50" s="5">
        <v>39736</v>
      </c>
      <c r="E50" s="3">
        <f t="shared" si="0"/>
        <v>1.6438356164383561</v>
      </c>
      <c r="F50" s="3">
        <f t="shared" si="2"/>
        <v>2.70219553387127</v>
      </c>
      <c r="G50" s="3">
        <f t="shared" si="3"/>
        <v>4.4419652611582521</v>
      </c>
      <c r="H50" s="4">
        <f t="shared" si="1"/>
        <v>3.9264460631233629E-2</v>
      </c>
      <c r="K50" s="4"/>
    </row>
    <row r="51" spans="1:11" x14ac:dyDescent="0.25">
      <c r="A51" s="1" t="s">
        <v>26</v>
      </c>
      <c r="B51" s="3">
        <v>104.06</v>
      </c>
      <c r="C51" s="4">
        <v>6.3750000000000001E-2</v>
      </c>
      <c r="D51" s="5">
        <v>39736</v>
      </c>
      <c r="E51" s="3">
        <f t="shared" si="0"/>
        <v>1.6438356164383561</v>
      </c>
      <c r="F51" s="3">
        <f t="shared" si="2"/>
        <v>2.70219553387127</v>
      </c>
      <c r="G51" s="3">
        <f t="shared" si="3"/>
        <v>4.4419652611582521</v>
      </c>
      <c r="H51" s="4">
        <f t="shared" si="1"/>
        <v>3.7944879667764692E-2</v>
      </c>
      <c r="K51" s="4"/>
    </row>
    <row r="52" spans="1:11" x14ac:dyDescent="0.25">
      <c r="A52" s="1" t="s">
        <v>56</v>
      </c>
      <c r="B52" s="3">
        <v>100.16</v>
      </c>
      <c r="C52" s="4">
        <v>0.04</v>
      </c>
      <c r="D52" s="5">
        <v>39736</v>
      </c>
      <c r="E52" s="3">
        <f t="shared" si="0"/>
        <v>1.6438356164383561</v>
      </c>
      <c r="F52" s="3">
        <f t="shared" si="2"/>
        <v>2.70219553387127</v>
      </c>
      <c r="G52" s="3">
        <f t="shared" si="3"/>
        <v>4.4419652611582521</v>
      </c>
      <c r="H52" s="4">
        <f t="shared" si="1"/>
        <v>3.8958732992834075E-2</v>
      </c>
      <c r="K52" s="4"/>
    </row>
    <row r="53" spans="1:11" x14ac:dyDescent="0.25">
      <c r="A53" s="1" t="s">
        <v>25</v>
      </c>
      <c r="B53" s="3">
        <v>101.55</v>
      </c>
      <c r="C53" s="4">
        <v>4.8310000000000006E-2</v>
      </c>
      <c r="D53" s="5">
        <v>39748</v>
      </c>
      <c r="E53" s="3">
        <f t="shared" si="0"/>
        <v>1.6767123287671233</v>
      </c>
      <c r="F53" s="3">
        <f t="shared" si="2"/>
        <v>2.8113642334396696</v>
      </c>
      <c r="G53" s="3">
        <f t="shared" si="3"/>
        <v>4.713849070863227</v>
      </c>
      <c r="H53" s="4">
        <f t="shared" si="1"/>
        <v>3.8621356297706515E-2</v>
      </c>
      <c r="K53" s="4"/>
    </row>
    <row r="54" spans="1:11" x14ac:dyDescent="0.25">
      <c r="A54" s="1" t="s">
        <v>57</v>
      </c>
      <c r="B54" s="3">
        <v>103.72</v>
      </c>
      <c r="C54" s="4">
        <v>6.25E-2</v>
      </c>
      <c r="D54" s="5">
        <v>39753</v>
      </c>
      <c r="E54" s="3">
        <f t="shared" si="0"/>
        <v>1.6904109589041096</v>
      </c>
      <c r="F54" s="3">
        <f t="shared" si="2"/>
        <v>2.8574892099831115</v>
      </c>
      <c r="G54" s="3">
        <f t="shared" si="3"/>
        <v>4.8303310755056978</v>
      </c>
      <c r="H54" s="4">
        <f t="shared" si="1"/>
        <v>3.9421725145880812E-2</v>
      </c>
      <c r="K54" s="4"/>
    </row>
    <row r="55" spans="1:11" x14ac:dyDescent="0.25">
      <c r="A55" s="1" t="s">
        <v>52</v>
      </c>
      <c r="B55" s="3">
        <v>103.45</v>
      </c>
      <c r="C55" s="4">
        <v>6.1249999999999999E-2</v>
      </c>
      <c r="D55" s="5">
        <v>39753</v>
      </c>
      <c r="E55" s="3">
        <f t="shared" si="0"/>
        <v>1.6904109589041096</v>
      </c>
      <c r="F55" s="3">
        <f t="shared" si="2"/>
        <v>2.8574892099831115</v>
      </c>
      <c r="G55" s="3">
        <f t="shared" si="3"/>
        <v>4.8303310755056978</v>
      </c>
      <c r="H55" s="4">
        <f t="shared" si="1"/>
        <v>3.9834599082071417E-2</v>
      </c>
      <c r="K55" s="4"/>
    </row>
    <row r="56" spans="1:11" x14ac:dyDescent="0.25">
      <c r="A56" s="1" t="s">
        <v>58</v>
      </c>
      <c r="B56" s="3">
        <v>103.91</v>
      </c>
      <c r="C56" s="4">
        <v>6.3750000000000001E-2</v>
      </c>
      <c r="D56" s="5">
        <v>39767</v>
      </c>
      <c r="E56" s="3">
        <f t="shared" si="0"/>
        <v>1.7287671232876711</v>
      </c>
      <c r="F56" s="3">
        <f t="shared" si="2"/>
        <v>2.9886357665603298</v>
      </c>
      <c r="G56" s="3">
        <f t="shared" si="3"/>
        <v>5.1666552567111452</v>
      </c>
      <c r="H56" s="4">
        <f t="shared" si="1"/>
        <v>4.0002624132750041E-2</v>
      </c>
      <c r="K56" s="4"/>
    </row>
    <row r="57" spans="1:11" x14ac:dyDescent="0.25">
      <c r="A57" s="1" t="s">
        <v>53</v>
      </c>
      <c r="B57" s="3">
        <v>99.39</v>
      </c>
      <c r="C57" s="4">
        <v>3.5000000000000003E-2</v>
      </c>
      <c r="D57" s="5">
        <v>39797</v>
      </c>
      <c r="E57" s="3">
        <f t="shared" si="0"/>
        <v>1.810958904109589</v>
      </c>
      <c r="F57" s="3">
        <f t="shared" si="2"/>
        <v>3.2795721523738037</v>
      </c>
      <c r="G57" s="3">
        <f t="shared" si="3"/>
        <v>5.9391703910111895</v>
      </c>
      <c r="H57" s="4">
        <f t="shared" si="1"/>
        <v>3.8502821586441041E-2</v>
      </c>
      <c r="K57" s="4"/>
    </row>
    <row r="58" spans="1:11" x14ac:dyDescent="0.25">
      <c r="A58" s="1" t="s">
        <v>14</v>
      </c>
      <c r="B58" s="3">
        <v>99.22</v>
      </c>
      <c r="C58" s="4">
        <v>3.6249999999999998E-2</v>
      </c>
      <c r="D58" s="5">
        <v>39828</v>
      </c>
      <c r="E58" s="3">
        <f t="shared" si="0"/>
        <v>1.8958904109589041</v>
      </c>
      <c r="F58" s="3">
        <f t="shared" si="2"/>
        <v>3.5944004503659222</v>
      </c>
      <c r="G58" s="3">
        <f t="shared" si="3"/>
        <v>6.8145893469951178</v>
      </c>
      <c r="H58" s="4">
        <f t="shared" si="1"/>
        <v>4.0556856535784079E-2</v>
      </c>
      <c r="K58" s="4"/>
    </row>
    <row r="59" spans="1:11" x14ac:dyDescent="0.25">
      <c r="A59" s="1" t="s">
        <v>59</v>
      </c>
      <c r="B59" s="3">
        <v>103.1</v>
      </c>
      <c r="C59" s="4">
        <v>5.7500000000000002E-2</v>
      </c>
      <c r="D59" s="5">
        <v>39828</v>
      </c>
      <c r="E59" s="3">
        <f t="shared" si="0"/>
        <v>1.8958904109589041</v>
      </c>
      <c r="F59" s="3">
        <f t="shared" si="2"/>
        <v>3.5944004503659222</v>
      </c>
      <c r="G59" s="3">
        <f t="shared" si="3"/>
        <v>6.8145893469951178</v>
      </c>
      <c r="H59" s="4">
        <f t="shared" si="1"/>
        <v>4.0293817620151662E-2</v>
      </c>
      <c r="K59" s="4"/>
    </row>
    <row r="60" spans="1:11" x14ac:dyDescent="0.25">
      <c r="A60" s="1" t="s">
        <v>30</v>
      </c>
      <c r="B60" s="3">
        <v>99.81</v>
      </c>
      <c r="C60" s="4">
        <v>3.875E-2</v>
      </c>
      <c r="D60" s="5">
        <v>39828</v>
      </c>
      <c r="E60" s="3">
        <f t="shared" si="0"/>
        <v>1.8958904109589041</v>
      </c>
      <c r="F60" s="3">
        <f t="shared" si="2"/>
        <v>3.5944004503659222</v>
      </c>
      <c r="G60" s="3">
        <f t="shared" si="3"/>
        <v>6.8145893469951178</v>
      </c>
      <c r="H60" s="4">
        <f t="shared" si="1"/>
        <v>3.9784475132608403E-2</v>
      </c>
      <c r="K60" s="4"/>
    </row>
    <row r="61" spans="1:11" x14ac:dyDescent="0.25">
      <c r="A61" s="1" t="s">
        <v>49</v>
      </c>
      <c r="B61" s="3">
        <v>99.74</v>
      </c>
      <c r="C61" s="4">
        <v>3.875E-2</v>
      </c>
      <c r="D61" s="5">
        <v>39828</v>
      </c>
      <c r="E61" s="3">
        <f t="shared" si="0"/>
        <v>1.8958904109589041</v>
      </c>
      <c r="F61" s="3">
        <f t="shared" si="2"/>
        <v>3.5944004503659222</v>
      </c>
      <c r="G61" s="3">
        <f t="shared" si="3"/>
        <v>6.8145893469951178</v>
      </c>
      <c r="H61" s="4">
        <f t="shared" si="1"/>
        <v>4.0172636504321069E-2</v>
      </c>
      <c r="K61" s="4"/>
    </row>
    <row r="62" spans="1:11" x14ac:dyDescent="0.25">
      <c r="A62" s="1" t="s">
        <v>50</v>
      </c>
      <c r="B62" s="3">
        <v>103.33</v>
      </c>
      <c r="C62" s="4">
        <v>5.8749999999999997E-2</v>
      </c>
      <c r="D62" s="5">
        <v>39845</v>
      </c>
      <c r="E62" s="3">
        <f t="shared" si="0"/>
        <v>1.9424657534246574</v>
      </c>
      <c r="F62" s="3">
        <f t="shared" si="2"/>
        <v>3.7731732032276222</v>
      </c>
      <c r="G62" s="3">
        <f t="shared" si="3"/>
        <v>7.3292597290092711</v>
      </c>
      <c r="H62" s="4">
        <f t="shared" si="1"/>
        <v>4.070051420337284E-2</v>
      </c>
      <c r="K62" s="4"/>
    </row>
    <row r="63" spans="1:11" x14ac:dyDescent="0.25">
      <c r="A63" s="1" t="s">
        <v>32</v>
      </c>
      <c r="B63" s="3">
        <v>99.34</v>
      </c>
      <c r="C63" s="4">
        <v>3.6249999999999998E-2</v>
      </c>
      <c r="D63" s="5">
        <v>39853</v>
      </c>
      <c r="E63" s="3">
        <f t="shared" si="0"/>
        <v>1.9643835616438357</v>
      </c>
      <c r="F63" s="3">
        <f t="shared" si="2"/>
        <v>3.8588027772565212</v>
      </c>
      <c r="G63" s="3">
        <f t="shared" si="3"/>
        <v>7.58016874326829</v>
      </c>
      <c r="H63" s="4">
        <f t="shared" si="1"/>
        <v>3.9774571935755947E-2</v>
      </c>
      <c r="K63" s="4"/>
    </row>
    <row r="64" spans="1:11" x14ac:dyDescent="0.25">
      <c r="A64" s="1" t="s">
        <v>20</v>
      </c>
      <c r="B64" s="3">
        <v>103.44</v>
      </c>
      <c r="C64" s="4">
        <v>5.8749999999999997E-2</v>
      </c>
      <c r="D64" s="5">
        <v>39859</v>
      </c>
      <c r="E64" s="3">
        <f t="shared" si="0"/>
        <v>1.9808219178082191</v>
      </c>
      <c r="F64" s="3">
        <f t="shared" si="2"/>
        <v>3.9236554700694315</v>
      </c>
      <c r="G64" s="3">
        <f t="shared" si="3"/>
        <v>7.7720627530416406</v>
      </c>
      <c r="H64" s="4">
        <f t="shared" si="1"/>
        <v>4.0470571406875204E-2</v>
      </c>
      <c r="K64" s="4"/>
    </row>
    <row r="65" spans="1:11" x14ac:dyDescent="0.25">
      <c r="A65" s="1" t="s">
        <v>37</v>
      </c>
      <c r="B65" s="3">
        <v>99.1</v>
      </c>
      <c r="C65" s="4">
        <v>3.5000000000000003E-2</v>
      </c>
      <c r="D65" s="5">
        <v>39861</v>
      </c>
      <c r="E65" s="3">
        <f t="shared" si="0"/>
        <v>1.9863013698630136</v>
      </c>
      <c r="F65" s="3">
        <f t="shared" si="2"/>
        <v>3.9453931319196847</v>
      </c>
      <c r="G65" s="3">
        <f t="shared" si="3"/>
        <v>7.836739782580195</v>
      </c>
      <c r="H65" s="4">
        <f t="shared" si="1"/>
        <v>3.9760900567963185E-2</v>
      </c>
      <c r="K65" s="4"/>
    </row>
    <row r="66" spans="1:11" x14ac:dyDescent="0.25">
      <c r="A66" s="1" t="s">
        <v>51</v>
      </c>
      <c r="B66" s="3">
        <v>98.78</v>
      </c>
      <c r="C66" s="4">
        <v>3.3750000000000002E-2</v>
      </c>
      <c r="D66" s="5">
        <v>39861</v>
      </c>
      <c r="E66" s="3">
        <f t="shared" si="0"/>
        <v>1.9863013698630136</v>
      </c>
      <c r="F66" s="3">
        <f t="shared" si="2"/>
        <v>3.9453931319196847</v>
      </c>
      <c r="G66" s="3">
        <f t="shared" si="3"/>
        <v>7.836739782580195</v>
      </c>
      <c r="H66" s="4">
        <f t="shared" si="1"/>
        <v>4.0208255703376813E-2</v>
      </c>
      <c r="K66" s="4"/>
    </row>
    <row r="67" spans="1:11" x14ac:dyDescent="0.25">
      <c r="A67" s="1" t="s">
        <v>26</v>
      </c>
      <c r="B67" s="3">
        <v>103.64</v>
      </c>
      <c r="C67" s="4">
        <v>0.06</v>
      </c>
      <c r="D67" s="5">
        <v>39861</v>
      </c>
      <c r="E67" s="3">
        <f t="shared" ref="E67:E130" si="4">(D67-DATE(2007,2,23))/365</f>
        <v>1.9863013698630136</v>
      </c>
      <c r="F67" s="3">
        <f t="shared" si="2"/>
        <v>3.9453931319196847</v>
      </c>
      <c r="G67" s="3">
        <f t="shared" si="3"/>
        <v>7.836739782580195</v>
      </c>
      <c r="H67" s="4">
        <f t="shared" ref="H67:H130" si="5">YIELD(DATE(2007,2,23),D67,C67,B67,100,2,1)</f>
        <v>4.0705945221318644E-2</v>
      </c>
      <c r="K67" s="4"/>
    </row>
    <row r="68" spans="1:11" x14ac:dyDescent="0.25">
      <c r="A68" s="1" t="s">
        <v>60</v>
      </c>
      <c r="B68" s="3">
        <v>99.28</v>
      </c>
      <c r="C68" s="4">
        <v>3.6249999999999998E-2</v>
      </c>
      <c r="D68" s="5">
        <v>39861</v>
      </c>
      <c r="E68" s="3">
        <f t="shared" si="4"/>
        <v>1.9863013698630136</v>
      </c>
      <c r="F68" s="3">
        <f t="shared" ref="F68:F131" si="6">E68^2</f>
        <v>3.9453931319196847</v>
      </c>
      <c r="G68" s="3">
        <f t="shared" ref="G68:G131" si="7">E68^3</f>
        <v>7.836739782580195</v>
      </c>
      <c r="H68" s="4">
        <f t="shared" si="5"/>
        <v>4.0059381910011883E-2</v>
      </c>
      <c r="K68" s="4"/>
    </row>
    <row r="69" spans="1:11" x14ac:dyDescent="0.25">
      <c r="A69" s="1" t="s">
        <v>20</v>
      </c>
      <c r="B69" s="3">
        <v>105.74</v>
      </c>
      <c r="C69" s="4">
        <v>7.1249999999999994E-2</v>
      </c>
      <c r="D69" s="5">
        <v>39873</v>
      </c>
      <c r="E69" s="3">
        <f t="shared" si="4"/>
        <v>2.0191780821917806</v>
      </c>
      <c r="F69" s="3">
        <f t="shared" si="6"/>
        <v>4.0770801276036774</v>
      </c>
      <c r="G69" s="3">
        <f t="shared" si="7"/>
        <v>8.2323508329970139</v>
      </c>
      <c r="H69" s="4">
        <f t="shared" si="5"/>
        <v>4.1285816985445874E-2</v>
      </c>
      <c r="K69" s="4"/>
    </row>
    <row r="70" spans="1:11" x14ac:dyDescent="0.25">
      <c r="A70" s="1" t="s">
        <v>61</v>
      </c>
      <c r="B70" s="3">
        <v>105.16</v>
      </c>
      <c r="C70" s="4">
        <v>6.8750000000000006E-2</v>
      </c>
      <c r="D70" s="5">
        <v>39873</v>
      </c>
      <c r="E70" s="3">
        <f t="shared" si="4"/>
        <v>2.0191780821917806</v>
      </c>
      <c r="F70" s="3">
        <f t="shared" si="6"/>
        <v>4.0770801276036774</v>
      </c>
      <c r="G70" s="3">
        <f t="shared" si="7"/>
        <v>8.2323508329970139</v>
      </c>
      <c r="H70" s="4">
        <f t="shared" si="5"/>
        <v>4.1796301956217217E-2</v>
      </c>
      <c r="K70" s="4"/>
    </row>
    <row r="71" spans="1:11" x14ac:dyDescent="0.25">
      <c r="A71" s="1" t="s">
        <v>62</v>
      </c>
      <c r="B71" s="3">
        <v>103.27</v>
      </c>
      <c r="C71" s="4">
        <v>5.7500000000000002E-2</v>
      </c>
      <c r="D71" s="5">
        <v>39873</v>
      </c>
      <c r="E71" s="3">
        <f t="shared" si="4"/>
        <v>2.0191780821917806</v>
      </c>
      <c r="F71" s="3">
        <f t="shared" si="6"/>
        <v>4.0770801276036774</v>
      </c>
      <c r="G71" s="3">
        <f t="shared" si="7"/>
        <v>8.2323508329970139</v>
      </c>
      <c r="H71" s="4">
        <f t="shared" si="5"/>
        <v>4.0445952266998132E-2</v>
      </c>
      <c r="K71" s="4"/>
    </row>
    <row r="72" spans="1:11" x14ac:dyDescent="0.25">
      <c r="A72" s="1" t="s">
        <v>43</v>
      </c>
      <c r="B72" s="3">
        <v>98.77</v>
      </c>
      <c r="C72" s="4">
        <v>3.4000000000000002E-2</v>
      </c>
      <c r="D72" s="5">
        <v>39873</v>
      </c>
      <c r="E72" s="3">
        <f t="shared" si="4"/>
        <v>2.0191780821917806</v>
      </c>
      <c r="F72" s="3">
        <f t="shared" si="6"/>
        <v>4.0770801276036774</v>
      </c>
      <c r="G72" s="3">
        <f t="shared" si="7"/>
        <v>8.2323508329970139</v>
      </c>
      <c r="H72" s="4">
        <f t="shared" si="5"/>
        <v>4.040987819968437E-2</v>
      </c>
      <c r="K72" s="4"/>
    </row>
    <row r="73" spans="1:11" x14ac:dyDescent="0.25">
      <c r="A73" s="1" t="s">
        <v>32</v>
      </c>
      <c r="B73" s="3">
        <v>104.1</v>
      </c>
      <c r="C73" s="4">
        <v>6.2E-2</v>
      </c>
      <c r="D73" s="5">
        <v>39887</v>
      </c>
      <c r="E73" s="3">
        <f t="shared" si="4"/>
        <v>2.0575342465753423</v>
      </c>
      <c r="F73" s="3">
        <f t="shared" si="6"/>
        <v>4.2334471758303618</v>
      </c>
      <c r="G73" s="3">
        <f t="shared" si="7"/>
        <v>8.7104625453386344</v>
      </c>
      <c r="H73" s="4">
        <f t="shared" si="5"/>
        <v>4.0979761789358443E-2</v>
      </c>
      <c r="K73" s="4"/>
    </row>
    <row r="74" spans="1:11" x14ac:dyDescent="0.25">
      <c r="A74" s="1" t="s">
        <v>47</v>
      </c>
      <c r="B74" s="3">
        <v>103.42</v>
      </c>
      <c r="C74" s="4">
        <v>5.8749999999999997E-2</v>
      </c>
      <c r="D74" s="5">
        <v>39904</v>
      </c>
      <c r="E74" s="3">
        <f t="shared" si="4"/>
        <v>2.1041095890410957</v>
      </c>
      <c r="F74" s="3">
        <f t="shared" si="6"/>
        <v>4.427277162694689</v>
      </c>
      <c r="G74" s="3">
        <f t="shared" si="7"/>
        <v>9.3154763313685507</v>
      </c>
      <c r="H74" s="4">
        <f t="shared" si="5"/>
        <v>4.1562979534048167E-2</v>
      </c>
      <c r="K74" s="4"/>
    </row>
    <row r="75" spans="1:11" x14ac:dyDescent="0.25">
      <c r="A75" s="1" t="s">
        <v>63</v>
      </c>
      <c r="B75" s="3">
        <v>103.66</v>
      </c>
      <c r="C75" s="4">
        <v>5.9000000000000004E-2</v>
      </c>
      <c r="D75" s="5">
        <v>39918</v>
      </c>
      <c r="E75" s="3">
        <f t="shared" si="4"/>
        <v>2.1424657534246574</v>
      </c>
      <c r="F75" s="3">
        <f t="shared" si="6"/>
        <v>4.5901595045974846</v>
      </c>
      <c r="G75" s="3">
        <f t="shared" si="7"/>
        <v>9.8342595413568024</v>
      </c>
      <c r="H75" s="4">
        <f t="shared" si="5"/>
        <v>4.0933988464132091E-2</v>
      </c>
      <c r="K75" s="4"/>
    </row>
    <row r="76" spans="1:11" x14ac:dyDescent="0.25">
      <c r="A76" s="1" t="s">
        <v>64</v>
      </c>
      <c r="B76" s="3">
        <v>99.52</v>
      </c>
      <c r="C76" s="4">
        <v>3.875E-2</v>
      </c>
      <c r="D76" s="5">
        <v>39937</v>
      </c>
      <c r="E76" s="3">
        <f t="shared" si="4"/>
        <v>2.1945205479452055</v>
      </c>
      <c r="F76" s="3">
        <f t="shared" si="6"/>
        <v>4.8159204353537248</v>
      </c>
      <c r="G76" s="3">
        <f t="shared" si="7"/>
        <v>10.568636352652968</v>
      </c>
      <c r="H76" s="4">
        <f t="shared" si="5"/>
        <v>4.103826040342478E-2</v>
      </c>
      <c r="K76" s="4"/>
    </row>
    <row r="77" spans="1:11" x14ac:dyDescent="0.25">
      <c r="A77" s="1" t="s">
        <v>30</v>
      </c>
      <c r="B77" s="3">
        <v>105.06</v>
      </c>
      <c r="C77" s="4">
        <v>6.6500000000000004E-2</v>
      </c>
      <c r="D77" s="5">
        <v>39948</v>
      </c>
      <c r="E77" s="3">
        <f t="shared" si="4"/>
        <v>2.2246575342465755</v>
      </c>
      <c r="F77" s="3">
        <f t="shared" si="6"/>
        <v>4.9491011446800535</v>
      </c>
      <c r="G77" s="3">
        <f t="shared" si="7"/>
        <v>11.010055149260833</v>
      </c>
      <c r="H77" s="4">
        <f t="shared" si="5"/>
        <v>4.2375701264227482E-2</v>
      </c>
      <c r="K77" s="4"/>
    </row>
    <row r="78" spans="1:11" x14ac:dyDescent="0.25">
      <c r="A78" s="1" t="s">
        <v>65</v>
      </c>
      <c r="B78" s="3">
        <v>100.73</v>
      </c>
      <c r="C78" s="4">
        <v>4.4999999999999998E-2</v>
      </c>
      <c r="D78" s="5">
        <v>39979</v>
      </c>
      <c r="E78" s="3">
        <f t="shared" si="4"/>
        <v>2.3095890410958906</v>
      </c>
      <c r="F78" s="3">
        <f t="shared" si="6"/>
        <v>5.3342015387502357</v>
      </c>
      <c r="G78" s="3">
        <f t="shared" si="7"/>
        <v>12.31981341689438</v>
      </c>
      <c r="H78" s="4">
        <f t="shared" si="5"/>
        <v>4.1624372312548633E-2</v>
      </c>
      <c r="K78" s="4"/>
    </row>
    <row r="79" spans="1:11" x14ac:dyDescent="0.25">
      <c r="A79" s="1" t="s">
        <v>57</v>
      </c>
      <c r="B79" s="3">
        <v>109.36</v>
      </c>
      <c r="C79" s="4">
        <v>8.5500000000000007E-2</v>
      </c>
      <c r="D79" s="5">
        <v>40009</v>
      </c>
      <c r="E79" s="3">
        <f t="shared" si="4"/>
        <v>2.3917808219178083</v>
      </c>
      <c r="F79" s="3">
        <f t="shared" si="6"/>
        <v>5.7206155000938264</v>
      </c>
      <c r="G79" s="3">
        <f t="shared" si="7"/>
        <v>13.682458442690166</v>
      </c>
      <c r="H79" s="4">
        <f t="shared" si="5"/>
        <v>4.3825520021362835E-2</v>
      </c>
      <c r="K79" s="4"/>
    </row>
    <row r="80" spans="1:11" x14ac:dyDescent="0.25">
      <c r="A80" s="1" t="s">
        <v>24</v>
      </c>
      <c r="B80" s="3">
        <v>98.5</v>
      </c>
      <c r="C80" s="4">
        <v>3.5499999999999997E-2</v>
      </c>
      <c r="D80" s="5">
        <v>40009</v>
      </c>
      <c r="E80" s="3">
        <f t="shared" si="4"/>
        <v>2.3917808219178083</v>
      </c>
      <c r="F80" s="3">
        <f t="shared" si="6"/>
        <v>5.7206155000938264</v>
      </c>
      <c r="G80" s="3">
        <f t="shared" si="7"/>
        <v>13.682458442690166</v>
      </c>
      <c r="H80" s="4">
        <f t="shared" si="5"/>
        <v>4.2143514483918211E-2</v>
      </c>
      <c r="K80" s="4"/>
    </row>
    <row r="81" spans="1:11" x14ac:dyDescent="0.25">
      <c r="A81" s="1" t="s">
        <v>66</v>
      </c>
      <c r="B81" s="3">
        <v>105.81</v>
      </c>
      <c r="C81" s="4">
        <v>6.8499999999999991E-2</v>
      </c>
      <c r="D81" s="5">
        <v>40009</v>
      </c>
      <c r="E81" s="3">
        <f t="shared" si="4"/>
        <v>2.3917808219178083</v>
      </c>
      <c r="F81" s="3">
        <f t="shared" si="6"/>
        <v>5.7206155000938264</v>
      </c>
      <c r="G81" s="3">
        <f t="shared" si="7"/>
        <v>13.682458442690166</v>
      </c>
      <c r="H81" s="4">
        <f t="shared" si="5"/>
        <v>4.266779475559157E-2</v>
      </c>
      <c r="K81" s="4"/>
    </row>
    <row r="82" spans="1:11" x14ac:dyDescent="0.25">
      <c r="A82" s="1" t="s">
        <v>67</v>
      </c>
      <c r="B82" s="3">
        <v>100.45</v>
      </c>
      <c r="C82" s="4">
        <v>4.3749999999999997E-2</v>
      </c>
      <c r="D82" s="5">
        <v>40024</v>
      </c>
      <c r="E82" s="3">
        <f t="shared" si="4"/>
        <v>2.4328767123287673</v>
      </c>
      <c r="F82" s="3">
        <f t="shared" si="6"/>
        <v>5.9188890973916317</v>
      </c>
      <c r="G82" s="3">
        <f t="shared" si="7"/>
        <v>14.399927447900739</v>
      </c>
      <c r="H82" s="4">
        <f t="shared" si="5"/>
        <v>4.1774831021148991E-2</v>
      </c>
      <c r="K82" s="4"/>
    </row>
    <row r="83" spans="1:11" x14ac:dyDescent="0.25">
      <c r="A83" s="1" t="s">
        <v>57</v>
      </c>
      <c r="B83" s="3">
        <v>108.81</v>
      </c>
      <c r="C83" s="4">
        <v>8.1500000000000003E-2</v>
      </c>
      <c r="D83" s="5">
        <v>40026</v>
      </c>
      <c r="E83" s="3">
        <f t="shared" si="4"/>
        <v>2.4383561643835616</v>
      </c>
      <c r="F83" s="3">
        <f t="shared" si="6"/>
        <v>5.9455807843873147</v>
      </c>
      <c r="G83" s="3">
        <f t="shared" si="7"/>
        <v>14.497443556451261</v>
      </c>
      <c r="H83" s="4">
        <f t="shared" si="5"/>
        <v>4.3045556083695855E-2</v>
      </c>
      <c r="K83" s="4"/>
    </row>
    <row r="84" spans="1:11" x14ac:dyDescent="0.25">
      <c r="A84" s="1" t="s">
        <v>55</v>
      </c>
      <c r="B84" s="3">
        <v>106.22</v>
      </c>
      <c r="C84" s="4">
        <v>6.8750000000000006E-2</v>
      </c>
      <c r="D84" s="5">
        <v>40035</v>
      </c>
      <c r="E84" s="3">
        <f t="shared" si="4"/>
        <v>2.463013698630137</v>
      </c>
      <c r="F84" s="3">
        <f t="shared" si="6"/>
        <v>6.066436479639707</v>
      </c>
      <c r="G84" s="3">
        <f t="shared" si="7"/>
        <v>14.941716151222183</v>
      </c>
      <c r="H84" s="4">
        <f t="shared" si="5"/>
        <v>4.1908088617958708E-2</v>
      </c>
      <c r="K84" s="4"/>
    </row>
    <row r="85" spans="1:11" x14ac:dyDescent="0.25">
      <c r="A85" s="1" t="s">
        <v>24</v>
      </c>
      <c r="B85" s="3">
        <v>98.58</v>
      </c>
      <c r="C85" s="4">
        <v>3.7499999999999999E-2</v>
      </c>
      <c r="D85" s="5">
        <v>40040</v>
      </c>
      <c r="E85" s="3">
        <f t="shared" si="4"/>
        <v>2.4767123287671233</v>
      </c>
      <c r="F85" s="3">
        <f t="shared" si="6"/>
        <v>6.1341039594670672</v>
      </c>
      <c r="G85" s="3">
        <f t="shared" si="7"/>
        <v>15.192410902351313</v>
      </c>
      <c r="H85" s="4">
        <f t="shared" si="5"/>
        <v>4.3604346269241583E-2</v>
      </c>
      <c r="K85" s="4"/>
    </row>
    <row r="86" spans="1:11" x14ac:dyDescent="0.25">
      <c r="A86" s="1" t="s">
        <v>39</v>
      </c>
      <c r="B86" s="3">
        <v>99.07</v>
      </c>
      <c r="C86" s="4">
        <v>3.7999999999999999E-2</v>
      </c>
      <c r="D86" s="5">
        <v>40071</v>
      </c>
      <c r="E86" s="3">
        <f t="shared" si="4"/>
        <v>2.5616438356164384</v>
      </c>
      <c r="F86" s="3">
        <f t="shared" si="6"/>
        <v>6.5620191405516985</v>
      </c>
      <c r="G86" s="3">
        <f t="shared" si="7"/>
        <v>16.809555880591336</v>
      </c>
      <c r="H86" s="4">
        <f t="shared" si="5"/>
        <v>4.1867566654163586E-2</v>
      </c>
      <c r="K86" s="4"/>
    </row>
    <row r="87" spans="1:11" x14ac:dyDescent="0.25">
      <c r="A87" s="1" t="s">
        <v>68</v>
      </c>
      <c r="B87" s="3">
        <v>99.27</v>
      </c>
      <c r="C87" s="4">
        <v>3.875E-2</v>
      </c>
      <c r="D87" s="5">
        <v>40071</v>
      </c>
      <c r="E87" s="3">
        <f t="shared" si="4"/>
        <v>2.5616438356164384</v>
      </c>
      <c r="F87" s="3">
        <f t="shared" si="6"/>
        <v>6.5620191405516985</v>
      </c>
      <c r="G87" s="3">
        <f t="shared" si="7"/>
        <v>16.809555880591336</v>
      </c>
      <c r="H87" s="4">
        <f t="shared" si="5"/>
        <v>4.1783574529217903E-2</v>
      </c>
      <c r="K87" s="4"/>
    </row>
    <row r="88" spans="1:11" x14ac:dyDescent="0.25">
      <c r="A88" s="1" t="s">
        <v>22</v>
      </c>
      <c r="B88" s="3">
        <v>104.66</v>
      </c>
      <c r="C88" s="4">
        <v>6.3E-2</v>
      </c>
      <c r="D88" s="5">
        <v>40071</v>
      </c>
      <c r="E88" s="3">
        <f t="shared" si="4"/>
        <v>2.5616438356164384</v>
      </c>
      <c r="F88" s="3">
        <f t="shared" si="6"/>
        <v>6.5620191405516985</v>
      </c>
      <c r="G88" s="3">
        <f t="shared" si="7"/>
        <v>16.809555880591336</v>
      </c>
      <c r="H88" s="4">
        <f t="shared" si="5"/>
        <v>4.3518791178657958E-2</v>
      </c>
      <c r="K88" s="4"/>
    </row>
    <row r="89" spans="1:11" x14ac:dyDescent="0.25">
      <c r="A89" s="1" t="s">
        <v>69</v>
      </c>
      <c r="B89" s="3">
        <v>111.55</v>
      </c>
      <c r="C89" s="4">
        <v>9.375E-2</v>
      </c>
      <c r="D89" s="5">
        <v>40071</v>
      </c>
      <c r="E89" s="3">
        <f t="shared" si="4"/>
        <v>2.5616438356164384</v>
      </c>
      <c r="F89" s="3">
        <f t="shared" si="6"/>
        <v>6.5620191405516985</v>
      </c>
      <c r="G89" s="3">
        <f t="shared" si="7"/>
        <v>16.809555880591336</v>
      </c>
      <c r="H89" s="4">
        <f t="shared" si="5"/>
        <v>4.5347854265539576E-2</v>
      </c>
      <c r="K89" s="4"/>
    </row>
    <row r="90" spans="1:11" x14ac:dyDescent="0.25">
      <c r="A90" s="1" t="s">
        <v>30</v>
      </c>
      <c r="B90" s="3">
        <v>107.42</v>
      </c>
      <c r="C90" s="4">
        <v>7.3499999999999996E-2</v>
      </c>
      <c r="D90" s="5">
        <v>40087</v>
      </c>
      <c r="E90" s="3">
        <f t="shared" si="4"/>
        <v>2.6054794520547944</v>
      </c>
      <c r="F90" s="3">
        <f t="shared" si="6"/>
        <v>6.7885231750797512</v>
      </c>
      <c r="G90" s="3">
        <f t="shared" si="7"/>
        <v>17.687357642468061</v>
      </c>
      <c r="H90" s="4">
        <f t="shared" si="5"/>
        <v>4.3022322911642895E-2</v>
      </c>
      <c r="K90" s="4"/>
    </row>
    <row r="91" spans="1:11" x14ac:dyDescent="0.25">
      <c r="A91" s="1" t="s">
        <v>70</v>
      </c>
      <c r="B91" s="3">
        <v>107.3</v>
      </c>
      <c r="C91" s="4">
        <v>7.3749999999999996E-2</v>
      </c>
      <c r="D91" s="5">
        <v>40087</v>
      </c>
      <c r="E91" s="3">
        <f t="shared" si="4"/>
        <v>2.6054794520547944</v>
      </c>
      <c r="F91" s="3">
        <f t="shared" si="6"/>
        <v>6.7885231750797512</v>
      </c>
      <c r="G91" s="3">
        <f t="shared" si="7"/>
        <v>17.687357642468061</v>
      </c>
      <c r="H91" s="4">
        <f t="shared" si="5"/>
        <v>4.3732433599646271E-2</v>
      </c>
      <c r="K91" s="4"/>
    </row>
    <row r="92" spans="1:11" x14ac:dyDescent="0.25">
      <c r="A92" s="1" t="s">
        <v>71</v>
      </c>
      <c r="B92" s="3">
        <v>99.36</v>
      </c>
      <c r="C92" s="4">
        <v>0.04</v>
      </c>
      <c r="D92" s="5">
        <v>40093</v>
      </c>
      <c r="E92" s="3">
        <f t="shared" si="4"/>
        <v>2.6219178082191781</v>
      </c>
      <c r="F92" s="3">
        <f t="shared" si="6"/>
        <v>6.8744529930568588</v>
      </c>
      <c r="G92" s="3">
        <f t="shared" si="7"/>
        <v>18.024250724261407</v>
      </c>
      <c r="H92" s="4">
        <f t="shared" si="5"/>
        <v>4.2593704416751504E-2</v>
      </c>
      <c r="K92" s="4"/>
    </row>
    <row r="93" spans="1:11" x14ac:dyDescent="0.25">
      <c r="A93" s="1" t="s">
        <v>48</v>
      </c>
      <c r="B93" s="3">
        <v>100.03</v>
      </c>
      <c r="C93" s="4">
        <v>4.3749999999999997E-2</v>
      </c>
      <c r="D93" s="5">
        <v>40118</v>
      </c>
      <c r="E93" s="3">
        <f t="shared" si="4"/>
        <v>2.6904109589041094</v>
      </c>
      <c r="F93" s="3">
        <f t="shared" si="6"/>
        <v>7.2383111277913299</v>
      </c>
      <c r="G93" s="3">
        <f t="shared" si="7"/>
        <v>19.474031582167356</v>
      </c>
      <c r="H93" s="4">
        <f t="shared" si="5"/>
        <v>4.3608440363634246E-2</v>
      </c>
      <c r="K93" s="4"/>
    </row>
    <row r="94" spans="1:11" x14ac:dyDescent="0.25">
      <c r="A94" s="1" t="s">
        <v>30</v>
      </c>
      <c r="B94" s="3">
        <v>109.25</v>
      </c>
      <c r="C94" s="4">
        <v>7.8E-2</v>
      </c>
      <c r="D94" s="5">
        <v>40206</v>
      </c>
      <c r="E94" s="3">
        <f t="shared" si="4"/>
        <v>2.9315068493150687</v>
      </c>
      <c r="F94" s="3">
        <f t="shared" si="6"/>
        <v>8.593732407581161</v>
      </c>
      <c r="G94" s="3">
        <f t="shared" si="7"/>
        <v>25.192585414005048</v>
      </c>
      <c r="H94" s="4">
        <f t="shared" si="5"/>
        <v>4.3968569727645304E-2</v>
      </c>
      <c r="K94" s="4"/>
    </row>
    <row r="95" spans="1:11" x14ac:dyDescent="0.25">
      <c r="A95" s="1" t="s">
        <v>72</v>
      </c>
      <c r="B95" s="3">
        <v>99.71</v>
      </c>
      <c r="C95" s="4">
        <v>4.2500000000000003E-2</v>
      </c>
      <c r="D95" s="5">
        <v>40207</v>
      </c>
      <c r="E95" s="3">
        <f t="shared" si="4"/>
        <v>2.9342465753424656</v>
      </c>
      <c r="F95" s="3">
        <f t="shared" si="6"/>
        <v>8.6098029649089867</v>
      </c>
      <c r="G95" s="3">
        <f t="shared" si="7"/>
        <v>25.263284864157601</v>
      </c>
      <c r="H95" s="4">
        <f t="shared" si="5"/>
        <v>4.3554684316939568E-2</v>
      </c>
      <c r="K95" s="4"/>
    </row>
    <row r="96" spans="1:11" x14ac:dyDescent="0.25">
      <c r="A96" s="1" t="s">
        <v>57</v>
      </c>
      <c r="B96" s="3">
        <v>110</v>
      </c>
      <c r="C96" s="4">
        <v>7.9500000000000001E-2</v>
      </c>
      <c r="D96" s="5">
        <v>40224</v>
      </c>
      <c r="E96" s="3">
        <f t="shared" si="4"/>
        <v>2.9808219178082194</v>
      </c>
      <c r="F96" s="3">
        <f t="shared" si="6"/>
        <v>8.8852993056858711</v>
      </c>
      <c r="G96" s="3">
        <f t="shared" si="7"/>
        <v>26.485494916674597</v>
      </c>
      <c r="H96" s="4">
        <f t="shared" si="5"/>
        <v>4.3337320844330084E-2</v>
      </c>
      <c r="K96" s="4"/>
    </row>
    <row r="97" spans="1:11" x14ac:dyDescent="0.25">
      <c r="A97" s="1" t="s">
        <v>73</v>
      </c>
      <c r="B97" s="3">
        <v>99.53</v>
      </c>
      <c r="C97" s="4">
        <v>4.2500000000000003E-2</v>
      </c>
      <c r="D97" s="5">
        <v>40235</v>
      </c>
      <c r="E97" s="3">
        <f t="shared" si="4"/>
        <v>3.010958904109589</v>
      </c>
      <c r="F97" s="3">
        <f t="shared" si="6"/>
        <v>9.0658735222368172</v>
      </c>
      <c r="G97" s="3">
        <f t="shared" si="7"/>
        <v>27.296972605310305</v>
      </c>
      <c r="H97" s="4">
        <f t="shared" si="5"/>
        <v>4.4184384224975226E-2</v>
      </c>
      <c r="K97" s="4"/>
    </row>
    <row r="98" spans="1:11" x14ac:dyDescent="0.25">
      <c r="A98" s="1" t="s">
        <v>74</v>
      </c>
      <c r="B98" s="3">
        <v>97.61</v>
      </c>
      <c r="C98" s="4">
        <v>3.6249999999999998E-2</v>
      </c>
      <c r="D98" s="5">
        <v>40252</v>
      </c>
      <c r="E98" s="3">
        <f t="shared" si="4"/>
        <v>3.0575342465753423</v>
      </c>
      <c r="F98" s="3">
        <f t="shared" si="6"/>
        <v>9.3485156689810456</v>
      </c>
      <c r="G98" s="3">
        <f t="shared" si="7"/>
        <v>28.583406812555744</v>
      </c>
      <c r="H98" s="4">
        <f t="shared" si="5"/>
        <v>4.4698883656653338E-2</v>
      </c>
      <c r="K98" s="4"/>
    </row>
    <row r="99" spans="1:11" x14ac:dyDescent="0.25">
      <c r="A99" s="1" t="s">
        <v>75</v>
      </c>
      <c r="B99" s="3">
        <v>106.58</v>
      </c>
      <c r="C99" s="4">
        <v>6.6400000000000001E-2</v>
      </c>
      <c r="D99" s="5">
        <v>40282</v>
      </c>
      <c r="E99" s="3">
        <f t="shared" si="4"/>
        <v>3.1397260273972605</v>
      </c>
      <c r="F99" s="3">
        <f t="shared" si="6"/>
        <v>9.8578795271157826</v>
      </c>
      <c r="G99" s="3">
        <f t="shared" si="7"/>
        <v>30.951040926232022</v>
      </c>
      <c r="H99" s="4">
        <f t="shared" si="5"/>
        <v>4.3703627848665307E-2</v>
      </c>
      <c r="K99" s="4"/>
    </row>
    <row r="100" spans="1:11" x14ac:dyDescent="0.25">
      <c r="A100" s="1" t="s">
        <v>24</v>
      </c>
      <c r="B100" s="3">
        <v>101.7</v>
      </c>
      <c r="C100" s="4">
        <v>0.05</v>
      </c>
      <c r="D100" s="5">
        <v>40283</v>
      </c>
      <c r="E100" s="3">
        <f t="shared" si="4"/>
        <v>3.1424657534246574</v>
      </c>
      <c r="F100" s="3">
        <f t="shared" si="6"/>
        <v>9.8750910114468002</v>
      </c>
      <c r="G100" s="3">
        <f t="shared" si="7"/>
        <v>31.032135315423233</v>
      </c>
      <c r="H100" s="4">
        <f t="shared" si="5"/>
        <v>4.4124069891570881E-2</v>
      </c>
      <c r="K100" s="4"/>
    </row>
    <row r="101" spans="1:11" x14ac:dyDescent="0.25">
      <c r="A101" s="1" t="s">
        <v>76</v>
      </c>
      <c r="B101" s="3">
        <v>99.41</v>
      </c>
      <c r="C101" s="4">
        <v>4.2500000000000003E-2</v>
      </c>
      <c r="D101" s="5">
        <v>40313</v>
      </c>
      <c r="E101" s="3">
        <f t="shared" si="4"/>
        <v>3.2246575342465755</v>
      </c>
      <c r="F101" s="3">
        <f t="shared" si="6"/>
        <v>10.398416213173205</v>
      </c>
      <c r="G101" s="3">
        <f t="shared" si="7"/>
        <v>33.531331186040717</v>
      </c>
      <c r="H101" s="4">
        <f t="shared" si="5"/>
        <v>4.446526506336286E-2</v>
      </c>
      <c r="K101" s="4"/>
    </row>
    <row r="102" spans="1:11" x14ac:dyDescent="0.25">
      <c r="A102" s="1" t="s">
        <v>77</v>
      </c>
      <c r="B102" s="3">
        <v>106.21</v>
      </c>
      <c r="C102" s="4">
        <v>6.6000000000000003E-2</v>
      </c>
      <c r="D102" s="5">
        <v>40313</v>
      </c>
      <c r="E102" s="3">
        <f t="shared" si="4"/>
        <v>3.2246575342465755</v>
      </c>
      <c r="F102" s="3">
        <f t="shared" si="6"/>
        <v>10.398416213173205</v>
      </c>
      <c r="G102" s="3">
        <f t="shared" si="7"/>
        <v>33.531331186040717</v>
      </c>
      <c r="H102" s="4">
        <f t="shared" si="5"/>
        <v>4.5057445522540568E-2</v>
      </c>
      <c r="K102" s="4"/>
    </row>
    <row r="103" spans="1:11" x14ac:dyDescent="0.25">
      <c r="A103" s="1" t="s">
        <v>30</v>
      </c>
      <c r="B103" s="3">
        <v>100.19</v>
      </c>
      <c r="C103" s="4">
        <v>4.4999999999999998E-2</v>
      </c>
      <c r="D103" s="5">
        <v>40344</v>
      </c>
      <c r="E103" s="3">
        <f t="shared" si="4"/>
        <v>3.3095890410958906</v>
      </c>
      <c r="F103" s="3">
        <f t="shared" si="6"/>
        <v>10.953379620942016</v>
      </c>
      <c r="G103" s="3">
        <f t="shared" si="7"/>
        <v>36.251185156432754</v>
      </c>
      <c r="H103" s="4">
        <f t="shared" si="5"/>
        <v>4.4356912692802862E-2</v>
      </c>
      <c r="K103" s="4"/>
    </row>
    <row r="104" spans="1:11" x14ac:dyDescent="0.25">
      <c r="A104" s="1" t="s">
        <v>78</v>
      </c>
      <c r="B104" s="3">
        <v>109.31</v>
      </c>
      <c r="C104" s="4">
        <v>7.5499999999999998E-2</v>
      </c>
      <c r="D104" s="5">
        <v>40350</v>
      </c>
      <c r="E104" s="3">
        <f t="shared" si="4"/>
        <v>3.3260273972602739</v>
      </c>
      <c r="F104" s="3">
        <f t="shared" si="6"/>
        <v>11.062458247325951</v>
      </c>
      <c r="G104" s="3">
        <f t="shared" si="7"/>
        <v>36.794039211653981</v>
      </c>
      <c r="H104" s="4">
        <f t="shared" si="5"/>
        <v>4.500139197073099E-2</v>
      </c>
      <c r="K104" s="4"/>
    </row>
    <row r="105" spans="1:11" x14ac:dyDescent="0.25">
      <c r="A105" s="1" t="s">
        <v>32</v>
      </c>
      <c r="B105" s="3">
        <v>100.63</v>
      </c>
      <c r="C105" s="4">
        <v>4.6249999999999999E-2</v>
      </c>
      <c r="D105" s="5">
        <v>40393</v>
      </c>
      <c r="E105" s="3">
        <f t="shared" si="4"/>
        <v>3.4438356164383563</v>
      </c>
      <c r="F105" s="3">
        <f t="shared" si="6"/>
        <v>11.860003753049353</v>
      </c>
      <c r="G105" s="3">
        <f t="shared" si="7"/>
        <v>40.84390333584394</v>
      </c>
      <c r="H105" s="4">
        <f t="shared" si="5"/>
        <v>4.4250242063992772E-2</v>
      </c>
      <c r="K105" s="4"/>
    </row>
    <row r="106" spans="1:11" x14ac:dyDescent="0.25">
      <c r="A106" s="1" t="s">
        <v>36</v>
      </c>
      <c r="B106" s="3">
        <v>100.63</v>
      </c>
      <c r="C106" s="4">
        <v>4.6249999999999999E-2</v>
      </c>
      <c r="D106" s="5">
        <v>40399</v>
      </c>
      <c r="E106" s="3">
        <f t="shared" si="4"/>
        <v>3.4602739726027396</v>
      </c>
      <c r="F106" s="3">
        <f t="shared" si="6"/>
        <v>11.973495965471946</v>
      </c>
      <c r="G106" s="3">
        <f t="shared" si="7"/>
        <v>41.431576450386487</v>
      </c>
      <c r="H106" s="4">
        <f t="shared" si="5"/>
        <v>4.4261210838935902E-2</v>
      </c>
      <c r="K106" s="4"/>
    </row>
    <row r="107" spans="1:11" x14ac:dyDescent="0.25">
      <c r="A107" s="1" t="s">
        <v>79</v>
      </c>
      <c r="B107" s="3">
        <v>109.09</v>
      </c>
      <c r="C107" s="4">
        <v>7.4999999999999997E-2</v>
      </c>
      <c r="D107" s="5">
        <v>40401</v>
      </c>
      <c r="E107" s="3">
        <f t="shared" si="4"/>
        <v>3.4657534246575343</v>
      </c>
      <c r="F107" s="3">
        <f t="shared" si="6"/>
        <v>12.011446800525427</v>
      </c>
      <c r="G107" s="3">
        <f t="shared" si="7"/>
        <v>41.628712884012778</v>
      </c>
      <c r="H107" s="4">
        <f t="shared" si="5"/>
        <v>4.630908722147381E-2</v>
      </c>
      <c r="K107" s="4"/>
    </row>
    <row r="108" spans="1:11" x14ac:dyDescent="0.25">
      <c r="A108" s="1" t="s">
        <v>80</v>
      </c>
      <c r="B108" s="3">
        <v>100.25</v>
      </c>
      <c r="C108" s="4">
        <v>4.6249999999999999E-2</v>
      </c>
      <c r="D108" s="5">
        <v>40405</v>
      </c>
      <c r="E108" s="3">
        <f t="shared" si="4"/>
        <v>3.4767123287671233</v>
      </c>
      <c r="F108" s="3">
        <f t="shared" si="6"/>
        <v>12.087528617001313</v>
      </c>
      <c r="G108" s="3">
        <f t="shared" si="7"/>
        <v>42.024859767053883</v>
      </c>
      <c r="H108" s="4">
        <f t="shared" si="5"/>
        <v>4.5461292983114014E-2</v>
      </c>
      <c r="K108" s="4"/>
    </row>
    <row r="109" spans="1:11" x14ac:dyDescent="0.25">
      <c r="A109" s="1" t="s">
        <v>81</v>
      </c>
      <c r="B109" s="3">
        <v>110.33</v>
      </c>
      <c r="C109" s="4">
        <v>7.8E-2</v>
      </c>
      <c r="D109" s="5">
        <v>40408</v>
      </c>
      <c r="E109" s="3">
        <f t="shared" si="4"/>
        <v>3.484931506849315</v>
      </c>
      <c r="F109" s="3">
        <f t="shared" si="6"/>
        <v>12.144747607431038</v>
      </c>
      <c r="G109" s="3">
        <f t="shared" si="7"/>
        <v>42.32361357986926</v>
      </c>
      <c r="H109" s="4">
        <f t="shared" si="5"/>
        <v>4.5610970466332647E-2</v>
      </c>
      <c r="K109" s="4"/>
    </row>
    <row r="110" spans="1:11" x14ac:dyDescent="0.25">
      <c r="A110" s="1" t="s">
        <v>82</v>
      </c>
      <c r="B110" s="3">
        <v>100.41</v>
      </c>
      <c r="C110" s="4">
        <v>4.6249999999999999E-2</v>
      </c>
      <c r="D110" s="5">
        <v>40436</v>
      </c>
      <c r="E110" s="3">
        <f t="shared" si="4"/>
        <v>3.5616438356164384</v>
      </c>
      <c r="F110" s="3">
        <f t="shared" si="6"/>
        <v>12.685306811784574</v>
      </c>
      <c r="G110" s="3">
        <f t="shared" si="7"/>
        <v>45.180544809095743</v>
      </c>
      <c r="H110" s="4">
        <f t="shared" si="5"/>
        <v>4.4981418552571095E-2</v>
      </c>
      <c r="K110" s="4"/>
    </row>
    <row r="111" spans="1:11" x14ac:dyDescent="0.25">
      <c r="A111" s="1" t="s">
        <v>51</v>
      </c>
      <c r="B111" s="3">
        <v>99.36</v>
      </c>
      <c r="C111" s="4">
        <v>4.2500000000000003E-2</v>
      </c>
      <c r="D111" s="5">
        <v>40452</v>
      </c>
      <c r="E111" s="3">
        <f t="shared" si="4"/>
        <v>3.6054794520547944</v>
      </c>
      <c r="F111" s="3">
        <f t="shared" si="6"/>
        <v>12.99948207918934</v>
      </c>
      <c r="G111" s="3">
        <f t="shared" si="7"/>
        <v>46.8693655238717</v>
      </c>
      <c r="H111" s="4">
        <f t="shared" si="5"/>
        <v>4.4431056498840889E-2</v>
      </c>
      <c r="K111" s="4"/>
    </row>
    <row r="112" spans="1:11" ht="12.75" customHeight="1" x14ac:dyDescent="0.25">
      <c r="A112" s="1" t="s">
        <v>32</v>
      </c>
      <c r="B112" s="3">
        <v>108.77</v>
      </c>
      <c r="C112" s="4">
        <v>7.2499999999999995E-2</v>
      </c>
      <c r="D112" s="5">
        <v>40452</v>
      </c>
      <c r="E112" s="3">
        <f t="shared" si="4"/>
        <v>3.6054794520547944</v>
      </c>
      <c r="F112" s="3">
        <f t="shared" si="6"/>
        <v>12.99948207918934</v>
      </c>
      <c r="G112" s="3">
        <f t="shared" si="7"/>
        <v>46.8693655238717</v>
      </c>
      <c r="H112" s="4">
        <f t="shared" si="5"/>
        <v>4.5789657242967484E-2</v>
      </c>
      <c r="K112" s="4"/>
    </row>
    <row r="113" spans="1:11" x14ac:dyDescent="0.25">
      <c r="A113" s="1" t="s">
        <v>25</v>
      </c>
      <c r="B113" s="3">
        <v>100.04</v>
      </c>
      <c r="C113" s="4">
        <v>4.4999999999999998E-2</v>
      </c>
      <c r="D113" s="5">
        <v>40486</v>
      </c>
      <c r="E113" s="3">
        <f t="shared" si="4"/>
        <v>3.6986301369863015</v>
      </c>
      <c r="F113" s="3">
        <f t="shared" si="6"/>
        <v>13.679864890223307</v>
      </c>
      <c r="G113" s="3">
        <f t="shared" si="7"/>
        <v>50.596760552880724</v>
      </c>
      <c r="H113" s="4">
        <f t="shared" si="5"/>
        <v>4.4863686024251594E-2</v>
      </c>
      <c r="K113" s="4"/>
    </row>
    <row r="114" spans="1:11" x14ac:dyDescent="0.25">
      <c r="A114" s="1" t="s">
        <v>82</v>
      </c>
      <c r="B114" s="3">
        <v>102.22</v>
      </c>
      <c r="C114" s="4">
        <v>5.2499999999999998E-2</v>
      </c>
      <c r="D114" s="5">
        <v>40557</v>
      </c>
      <c r="E114" s="3">
        <f t="shared" si="4"/>
        <v>3.893150684931507</v>
      </c>
      <c r="F114" s="3">
        <f t="shared" si="6"/>
        <v>15.156622255582661</v>
      </c>
      <c r="G114" s="3">
        <f t="shared" si="7"/>
        <v>59.007014315569762</v>
      </c>
      <c r="H114" s="4">
        <f t="shared" si="5"/>
        <v>4.6184258072613386E-2</v>
      </c>
      <c r="K114" s="4"/>
    </row>
    <row r="115" spans="1:11" x14ac:dyDescent="0.25">
      <c r="A115" s="1" t="s">
        <v>51</v>
      </c>
      <c r="B115" s="3">
        <v>109.86</v>
      </c>
      <c r="C115" s="4">
        <v>7.400000000000001E-2</v>
      </c>
      <c r="D115" s="5">
        <v>40558</v>
      </c>
      <c r="E115" s="3">
        <f t="shared" si="4"/>
        <v>3.8958904109589043</v>
      </c>
      <c r="F115" s="3">
        <f t="shared" si="6"/>
        <v>15.17796209420154</v>
      </c>
      <c r="G115" s="3">
        <f t="shared" si="7"/>
        <v>59.131676980697506</v>
      </c>
      <c r="H115" s="4">
        <f t="shared" si="5"/>
        <v>4.6021435569763756E-2</v>
      </c>
      <c r="K115" s="4"/>
    </row>
    <row r="116" spans="1:11" x14ac:dyDescent="0.25">
      <c r="A116" s="1" t="s">
        <v>30</v>
      </c>
      <c r="B116" s="3">
        <v>108.07</v>
      </c>
      <c r="C116" s="4">
        <v>6.8750000000000006E-2</v>
      </c>
      <c r="D116" s="5">
        <v>40558</v>
      </c>
      <c r="E116" s="3">
        <f t="shared" si="4"/>
        <v>3.8958904109589043</v>
      </c>
      <c r="F116" s="3">
        <f t="shared" si="6"/>
        <v>15.17796209420154</v>
      </c>
      <c r="G116" s="3">
        <f t="shared" si="7"/>
        <v>59.131676980697506</v>
      </c>
      <c r="H116" s="4">
        <f t="shared" si="5"/>
        <v>4.5856450288595002E-2</v>
      </c>
      <c r="K116" s="4"/>
    </row>
    <row r="117" spans="1:11" x14ac:dyDescent="0.25">
      <c r="A117" s="1" t="s">
        <v>78</v>
      </c>
      <c r="B117" s="3">
        <v>106.54</v>
      </c>
      <c r="C117" s="4">
        <v>6.4500000000000002E-2</v>
      </c>
      <c r="D117" s="5">
        <v>40575</v>
      </c>
      <c r="E117" s="3">
        <f t="shared" si="4"/>
        <v>3.9424657534246577</v>
      </c>
      <c r="F117" s="3">
        <f t="shared" si="6"/>
        <v>15.543036216926254</v>
      </c>
      <c r="G117" s="3">
        <f t="shared" si="7"/>
        <v>61.277887989470905</v>
      </c>
      <c r="H117" s="4">
        <f t="shared" si="5"/>
        <v>4.6141976066943986E-2</v>
      </c>
      <c r="K117" s="4"/>
    </row>
    <row r="118" spans="1:11" x14ac:dyDescent="0.25">
      <c r="A118" s="1" t="s">
        <v>83</v>
      </c>
      <c r="B118" s="3">
        <v>102.52</v>
      </c>
      <c r="C118" s="4">
        <v>5.2499999999999998E-2</v>
      </c>
      <c r="D118" s="5">
        <v>40604</v>
      </c>
      <c r="E118" s="3">
        <f t="shared" si="4"/>
        <v>4.021917808219178</v>
      </c>
      <c r="F118" s="3">
        <f t="shared" si="6"/>
        <v>16.175822856070557</v>
      </c>
      <c r="G118" s="3">
        <f t="shared" si="7"/>
        <v>65.057830007428976</v>
      </c>
      <c r="H118" s="4">
        <f t="shared" si="5"/>
        <v>4.5564691050712737E-2</v>
      </c>
      <c r="K118" s="4"/>
    </row>
    <row r="119" spans="1:11" x14ac:dyDescent="0.25">
      <c r="A119" s="1" t="s">
        <v>82</v>
      </c>
      <c r="B119" s="3">
        <v>107.84</v>
      </c>
      <c r="C119" s="4">
        <v>6.7500000000000004E-2</v>
      </c>
      <c r="D119" s="5">
        <v>40678</v>
      </c>
      <c r="E119" s="3">
        <f t="shared" si="4"/>
        <v>4.2246575342465755</v>
      </c>
      <c r="F119" s="3">
        <f t="shared" si="6"/>
        <v>17.847731281666356</v>
      </c>
      <c r="G119" s="3">
        <f t="shared" si="7"/>
        <v>75.40055242830006</v>
      </c>
      <c r="H119" s="4">
        <f t="shared" si="5"/>
        <v>4.6802167275583534E-2</v>
      </c>
      <c r="K119" s="4"/>
    </row>
    <row r="120" spans="1:11" x14ac:dyDescent="0.25">
      <c r="A120" s="1" t="s">
        <v>84</v>
      </c>
      <c r="B120" s="3">
        <v>108.19</v>
      </c>
      <c r="C120" s="4">
        <v>6.8750000000000006E-2</v>
      </c>
      <c r="D120" s="5">
        <v>40678</v>
      </c>
      <c r="E120" s="3">
        <f t="shared" si="4"/>
        <v>4.2246575342465755</v>
      </c>
      <c r="F120" s="3">
        <f t="shared" si="6"/>
        <v>17.847731281666356</v>
      </c>
      <c r="G120" s="3">
        <f t="shared" si="7"/>
        <v>75.40055242830006</v>
      </c>
      <c r="H120" s="4">
        <f t="shared" si="5"/>
        <v>4.7113556451317005E-2</v>
      </c>
      <c r="K120" s="4"/>
    </row>
    <row r="121" spans="1:11" x14ac:dyDescent="0.25">
      <c r="A121" s="1" t="s">
        <v>82</v>
      </c>
      <c r="B121" s="3">
        <v>103.97</v>
      </c>
      <c r="C121" s="4">
        <v>5.7000000000000002E-2</v>
      </c>
      <c r="D121" s="5">
        <v>40695</v>
      </c>
      <c r="E121" s="3">
        <f t="shared" si="4"/>
        <v>4.2712328767123289</v>
      </c>
      <c r="F121" s="3">
        <f t="shared" si="6"/>
        <v>18.243430287108275</v>
      </c>
      <c r="G121" s="3">
        <f t="shared" si="7"/>
        <v>77.921939226306307</v>
      </c>
      <c r="H121" s="4">
        <f t="shared" si="5"/>
        <v>4.6616005017645644E-2</v>
      </c>
      <c r="K121" s="4"/>
    </row>
    <row r="122" spans="1:11" x14ac:dyDescent="0.25">
      <c r="A122" s="1" t="s">
        <v>42</v>
      </c>
      <c r="B122" s="3">
        <v>100.37</v>
      </c>
      <c r="C122" s="4">
        <v>4.8000000000000001E-2</v>
      </c>
      <c r="D122" s="5">
        <v>40708</v>
      </c>
      <c r="E122" s="3">
        <f t="shared" si="4"/>
        <v>4.3068493150684928</v>
      </c>
      <c r="F122" s="3">
        <f t="shared" si="6"/>
        <v>18.548951022705946</v>
      </c>
      <c r="G122" s="3">
        <f t="shared" si="7"/>
        <v>79.887537007380118</v>
      </c>
      <c r="H122" s="4">
        <f t="shared" si="5"/>
        <v>4.7023375753667183E-2</v>
      </c>
      <c r="K122" s="4"/>
    </row>
    <row r="123" spans="1:11" x14ac:dyDescent="0.25">
      <c r="A123" s="1" t="s">
        <v>85</v>
      </c>
      <c r="B123" s="3">
        <v>103.19</v>
      </c>
      <c r="C123" s="4">
        <v>5.5999999999999994E-2</v>
      </c>
      <c r="D123" s="5">
        <v>40709</v>
      </c>
      <c r="E123" s="3">
        <f t="shared" si="4"/>
        <v>4.3095890410958901</v>
      </c>
      <c r="F123" s="3">
        <f t="shared" si="6"/>
        <v>18.572557703133793</v>
      </c>
      <c r="G123" s="3">
        <f t="shared" si="7"/>
        <v>80.040091142546444</v>
      </c>
      <c r="H123" s="4">
        <f t="shared" si="5"/>
        <v>4.7699883390351014E-2</v>
      </c>
      <c r="K123" s="4"/>
    </row>
    <row r="124" spans="1:11" x14ac:dyDescent="0.25">
      <c r="A124" s="1" t="s">
        <v>22</v>
      </c>
      <c r="B124" s="3">
        <v>107.03</v>
      </c>
      <c r="C124" s="4">
        <v>6.6000000000000003E-2</v>
      </c>
      <c r="D124" s="5">
        <v>40709</v>
      </c>
      <c r="E124" s="3">
        <f t="shared" si="4"/>
        <v>4.3095890410958901</v>
      </c>
      <c r="F124" s="3">
        <f t="shared" si="6"/>
        <v>18.572557703133793</v>
      </c>
      <c r="G124" s="3">
        <f t="shared" si="7"/>
        <v>80.040091142546444</v>
      </c>
      <c r="H124" s="4">
        <f t="shared" si="5"/>
        <v>4.7728095856971131E-2</v>
      </c>
      <c r="K124" s="4"/>
    </row>
    <row r="125" spans="1:11" x14ac:dyDescent="0.25">
      <c r="A125" s="1" t="s">
        <v>86</v>
      </c>
      <c r="B125" s="3">
        <v>99.15</v>
      </c>
      <c r="C125" s="4">
        <v>4.4999999999999998E-2</v>
      </c>
      <c r="D125" s="5">
        <v>40739</v>
      </c>
      <c r="E125" s="3">
        <f t="shared" si="4"/>
        <v>4.3917808219178083</v>
      </c>
      <c r="F125" s="3">
        <f t="shared" si="6"/>
        <v>19.287738787765061</v>
      </c>
      <c r="G125" s="3">
        <f t="shared" si="7"/>
        <v>84.707521306266827</v>
      </c>
      <c r="H125" s="4">
        <f t="shared" si="5"/>
        <v>4.7153917935003807E-2</v>
      </c>
      <c r="K125" s="4"/>
    </row>
    <row r="126" spans="1:11" x14ac:dyDescent="0.25">
      <c r="A126" s="1" t="s">
        <v>87</v>
      </c>
      <c r="B126" s="3">
        <v>106.96</v>
      </c>
      <c r="C126" s="4">
        <v>6.3750000000000001E-2</v>
      </c>
      <c r="D126" s="5">
        <v>40756</v>
      </c>
      <c r="E126" s="3">
        <f t="shared" si="4"/>
        <v>4.4383561643835616</v>
      </c>
      <c r="F126" s="3">
        <f t="shared" si="6"/>
        <v>19.69900544192156</v>
      </c>
      <c r="G126" s="3">
        <f t="shared" si="7"/>
        <v>87.431202235377881</v>
      </c>
      <c r="H126" s="4">
        <f t="shared" si="5"/>
        <v>4.6218619516425016E-2</v>
      </c>
      <c r="K126" s="4"/>
    </row>
    <row r="127" spans="1:11" x14ac:dyDescent="0.25">
      <c r="A127" s="1" t="s">
        <v>36</v>
      </c>
      <c r="B127" s="3">
        <v>106.84</v>
      </c>
      <c r="C127" s="4">
        <v>6.3750000000000001E-2</v>
      </c>
      <c r="D127" s="5">
        <v>40756</v>
      </c>
      <c r="E127" s="3">
        <f t="shared" si="4"/>
        <v>4.4383561643835616</v>
      </c>
      <c r="F127" s="3">
        <f t="shared" si="6"/>
        <v>19.69900544192156</v>
      </c>
      <c r="G127" s="3">
        <f t="shared" si="7"/>
        <v>87.431202235377881</v>
      </c>
      <c r="H127" s="4">
        <f t="shared" si="5"/>
        <v>4.6508941809055349E-2</v>
      </c>
      <c r="K127" s="4"/>
    </row>
    <row r="128" spans="1:11" x14ac:dyDescent="0.25">
      <c r="A128" s="1" t="s">
        <v>36</v>
      </c>
      <c r="B128" s="3">
        <v>102.78</v>
      </c>
      <c r="C128" s="4">
        <v>5.2999999999999999E-2</v>
      </c>
      <c r="D128" s="5">
        <v>40781</v>
      </c>
      <c r="E128" s="3">
        <f t="shared" si="4"/>
        <v>4.506849315068493</v>
      </c>
      <c r="F128" s="3">
        <f t="shared" si="6"/>
        <v>20.311690748733344</v>
      </c>
      <c r="G128" s="3">
        <f t="shared" si="7"/>
        <v>91.541729538811921</v>
      </c>
      <c r="H128" s="4">
        <f t="shared" si="5"/>
        <v>4.609869037561843E-2</v>
      </c>
      <c r="K128" s="4"/>
    </row>
    <row r="129" spans="1:11" x14ac:dyDescent="0.25">
      <c r="A129" s="1" t="s">
        <v>32</v>
      </c>
      <c r="B129" s="3">
        <v>101.82</v>
      </c>
      <c r="C129" s="4">
        <v>5.0999999999999997E-2</v>
      </c>
      <c r="D129" s="5">
        <v>40815</v>
      </c>
      <c r="E129" s="3">
        <f t="shared" si="4"/>
        <v>4.5999999999999996</v>
      </c>
      <c r="F129" s="3">
        <f t="shared" si="6"/>
        <v>21.159999999999997</v>
      </c>
      <c r="G129" s="3">
        <f t="shared" si="7"/>
        <v>97.33599999999997</v>
      </c>
      <c r="H129" s="4">
        <f t="shared" si="5"/>
        <v>4.6542915725816252E-2</v>
      </c>
      <c r="K129" s="4"/>
    </row>
    <row r="130" spans="1:11" x14ac:dyDescent="0.25">
      <c r="A130" s="1" t="s">
        <v>20</v>
      </c>
      <c r="B130" s="3">
        <v>109.79</v>
      </c>
      <c r="C130" s="4">
        <v>7.1249999999999994E-2</v>
      </c>
      <c r="D130" s="5">
        <v>40831</v>
      </c>
      <c r="E130" s="3">
        <f t="shared" si="4"/>
        <v>4.6438356164383565</v>
      </c>
      <c r="F130" s="3">
        <f t="shared" si="6"/>
        <v>21.56520923250141</v>
      </c>
      <c r="G130" s="3">
        <f t="shared" si="7"/>
        <v>100.14528670983532</v>
      </c>
      <c r="H130" s="4">
        <f t="shared" si="5"/>
        <v>4.7473373909136064E-2</v>
      </c>
      <c r="K130" s="4"/>
    </row>
    <row r="131" spans="1:11" x14ac:dyDescent="0.25">
      <c r="A131" s="1" t="s">
        <v>88</v>
      </c>
      <c r="B131" s="3">
        <v>110.47</v>
      </c>
      <c r="C131" s="4">
        <v>7.2499999999999995E-2</v>
      </c>
      <c r="D131" s="5">
        <v>40831</v>
      </c>
      <c r="E131" s="3">
        <f t="shared" ref="E131:E194" si="8">(D131-DATE(2007,2,23))/365</f>
        <v>4.6438356164383565</v>
      </c>
      <c r="F131" s="3">
        <f t="shared" si="6"/>
        <v>21.56520923250141</v>
      </c>
      <c r="G131" s="3">
        <f t="shared" si="7"/>
        <v>100.14528670983532</v>
      </c>
      <c r="H131" s="4">
        <f t="shared" ref="H131:H194" si="9">YIELD(DATE(2007,2,23),D131,C131,B131,100,2,1)</f>
        <v>4.7096389708714555E-2</v>
      </c>
      <c r="K131" s="4"/>
    </row>
    <row r="132" spans="1:11" x14ac:dyDescent="0.25">
      <c r="A132" s="1" t="s">
        <v>50</v>
      </c>
      <c r="B132" s="3">
        <v>106.73</v>
      </c>
      <c r="C132" s="4">
        <v>6.3750000000000001E-2</v>
      </c>
      <c r="D132" s="5">
        <v>40831</v>
      </c>
      <c r="E132" s="3">
        <f t="shared" si="8"/>
        <v>4.6438356164383565</v>
      </c>
      <c r="F132" s="3">
        <f t="shared" ref="F132:F195" si="10">E132^2</f>
        <v>21.56520923250141</v>
      </c>
      <c r="G132" s="3">
        <f t="shared" ref="G132:G195" si="11">E132^3</f>
        <v>100.14528670983532</v>
      </c>
      <c r="H132" s="4">
        <f t="shared" si="9"/>
        <v>4.7403636778882353E-2</v>
      </c>
      <c r="K132" s="4"/>
    </row>
    <row r="133" spans="1:11" x14ac:dyDescent="0.25">
      <c r="A133" s="1" t="s">
        <v>22</v>
      </c>
      <c r="B133" s="3">
        <v>105.43</v>
      </c>
      <c r="C133" s="4">
        <v>6.0499999999999998E-2</v>
      </c>
      <c r="D133" s="5">
        <v>40831</v>
      </c>
      <c r="E133" s="3">
        <f t="shared" si="8"/>
        <v>4.6438356164383565</v>
      </c>
      <c r="F133" s="3">
        <f t="shared" si="10"/>
        <v>21.56520923250141</v>
      </c>
      <c r="G133" s="3">
        <f t="shared" si="11"/>
        <v>100.14528670983532</v>
      </c>
      <c r="H133" s="4">
        <f t="shared" si="9"/>
        <v>4.7311562884422231E-2</v>
      </c>
      <c r="K133" s="4"/>
    </row>
    <row r="134" spans="1:11" x14ac:dyDescent="0.25">
      <c r="A134" s="1" t="s">
        <v>60</v>
      </c>
      <c r="B134" s="3">
        <v>102.59</v>
      </c>
      <c r="C134" s="4">
        <v>5.2999999999999999E-2</v>
      </c>
      <c r="D134" s="5">
        <v>40831</v>
      </c>
      <c r="E134" s="3">
        <f t="shared" si="8"/>
        <v>4.6438356164383565</v>
      </c>
      <c r="F134" s="3">
        <f t="shared" si="10"/>
        <v>21.56520923250141</v>
      </c>
      <c r="G134" s="3">
        <f t="shared" si="11"/>
        <v>100.14528670983532</v>
      </c>
      <c r="H134" s="4">
        <f t="shared" si="9"/>
        <v>4.6711830452123258E-2</v>
      </c>
      <c r="K134" s="4"/>
    </row>
    <row r="135" spans="1:11" x14ac:dyDescent="0.25">
      <c r="A135" s="1" t="s">
        <v>83</v>
      </c>
      <c r="B135" s="3">
        <v>105.96</v>
      </c>
      <c r="C135" s="4">
        <v>6.1249999999999999E-2</v>
      </c>
      <c r="D135" s="5">
        <v>40862</v>
      </c>
      <c r="E135" s="3">
        <f t="shared" si="8"/>
        <v>4.7287671232876711</v>
      </c>
      <c r="F135" s="3">
        <f t="shared" si="10"/>
        <v>22.361238506286355</v>
      </c>
      <c r="G135" s="3">
        <f t="shared" si="11"/>
        <v>105.74108948452123</v>
      </c>
      <c r="H135" s="4">
        <f t="shared" si="9"/>
        <v>4.7012048154441148E-2</v>
      </c>
      <c r="K135" s="4"/>
    </row>
    <row r="136" spans="1:11" x14ac:dyDescent="0.25">
      <c r="A136" s="1" t="s">
        <v>22</v>
      </c>
      <c r="B136" s="3">
        <v>105.06</v>
      </c>
      <c r="C136" s="4">
        <v>6.0999999999999999E-2</v>
      </c>
      <c r="D136" s="5">
        <v>40862</v>
      </c>
      <c r="E136" s="3">
        <f t="shared" si="8"/>
        <v>4.7287671232876711</v>
      </c>
      <c r="F136" s="3">
        <f t="shared" si="10"/>
        <v>22.361238506286355</v>
      </c>
      <c r="G136" s="3">
        <f t="shared" si="11"/>
        <v>105.74108948452123</v>
      </c>
      <c r="H136" s="4">
        <f t="shared" si="9"/>
        <v>4.885316244268962E-2</v>
      </c>
      <c r="K136" s="4"/>
    </row>
    <row r="137" spans="1:11" x14ac:dyDescent="0.25">
      <c r="A137" s="1" t="s">
        <v>49</v>
      </c>
      <c r="B137" s="3">
        <v>103.65</v>
      </c>
      <c r="C137" s="4">
        <v>5.6250000000000001E-2</v>
      </c>
      <c r="D137" s="5">
        <v>40917</v>
      </c>
      <c r="E137" s="3">
        <f t="shared" si="8"/>
        <v>4.8794520547945206</v>
      </c>
      <c r="F137" s="3">
        <f t="shared" si="10"/>
        <v>23.809052355038471</v>
      </c>
      <c r="G137" s="3">
        <f t="shared" si="11"/>
        <v>116.17512943650279</v>
      </c>
      <c r="H137" s="4">
        <f t="shared" si="9"/>
        <v>4.7755549623157152E-2</v>
      </c>
      <c r="K137" s="4"/>
    </row>
    <row r="138" spans="1:11" x14ac:dyDescent="0.25">
      <c r="A138" s="1" t="s">
        <v>83</v>
      </c>
      <c r="B138" s="3">
        <v>107.6</v>
      </c>
      <c r="C138" s="4">
        <v>6.5000000000000002E-2</v>
      </c>
      <c r="D138" s="5">
        <v>40923</v>
      </c>
      <c r="E138" s="3">
        <f t="shared" si="8"/>
        <v>4.8958904109589039</v>
      </c>
      <c r="F138" s="3">
        <f t="shared" si="10"/>
        <v>23.969742916119344</v>
      </c>
      <c r="G138" s="3">
        <f t="shared" si="11"/>
        <v>117.35323449617881</v>
      </c>
      <c r="H138" s="4">
        <f t="shared" si="9"/>
        <v>4.7397231544059525E-2</v>
      </c>
      <c r="K138" s="4"/>
    </row>
    <row r="139" spans="1:11" x14ac:dyDescent="0.25">
      <c r="A139" s="1" t="s">
        <v>30</v>
      </c>
      <c r="B139" s="3">
        <v>107.89</v>
      </c>
      <c r="C139" s="4">
        <v>6.6000000000000003E-2</v>
      </c>
      <c r="D139" s="5">
        <v>40923</v>
      </c>
      <c r="E139" s="3">
        <f t="shared" si="8"/>
        <v>4.8958904109589039</v>
      </c>
      <c r="F139" s="3">
        <f t="shared" si="10"/>
        <v>23.969742916119344</v>
      </c>
      <c r="G139" s="3">
        <f t="shared" si="11"/>
        <v>117.35323449617881</v>
      </c>
      <c r="H139" s="4">
        <f t="shared" si="9"/>
        <v>4.7711190870574939E-2</v>
      </c>
      <c r="K139" s="4"/>
    </row>
    <row r="140" spans="1:11" x14ac:dyDescent="0.25">
      <c r="A140" s="1" t="s">
        <v>30</v>
      </c>
      <c r="B140" s="3">
        <v>102.24</v>
      </c>
      <c r="C140" s="4">
        <v>5.2999999999999999E-2</v>
      </c>
      <c r="D140" s="5">
        <v>40953</v>
      </c>
      <c r="E140" s="3">
        <f t="shared" si="8"/>
        <v>4.978082191780822</v>
      </c>
      <c r="F140" s="3">
        <f t="shared" si="10"/>
        <v>24.781302308125351</v>
      </c>
      <c r="G140" s="3">
        <f t="shared" si="11"/>
        <v>123.36335970921579</v>
      </c>
      <c r="H140" s="4">
        <f t="shared" si="9"/>
        <v>4.788324323312243E-2</v>
      </c>
      <c r="K140" s="4"/>
    </row>
    <row r="141" spans="1:11" x14ac:dyDescent="0.25">
      <c r="A141" s="1" t="s">
        <v>89</v>
      </c>
      <c r="B141" s="3">
        <v>105.35</v>
      </c>
      <c r="C141" s="4">
        <v>0.06</v>
      </c>
      <c r="D141" s="5">
        <v>40954</v>
      </c>
      <c r="E141" s="3">
        <f t="shared" si="8"/>
        <v>4.9808219178082194</v>
      </c>
      <c r="F141" s="3">
        <f t="shared" si="10"/>
        <v>24.808586976918747</v>
      </c>
      <c r="G141" s="3">
        <f t="shared" si="11"/>
        <v>123.56715376448845</v>
      </c>
      <c r="H141" s="4">
        <f t="shared" si="9"/>
        <v>4.7792684061452352E-2</v>
      </c>
      <c r="K141" s="4"/>
    </row>
    <row r="142" spans="1:11" x14ac:dyDescent="0.25">
      <c r="A142" s="1" t="s">
        <v>32</v>
      </c>
      <c r="B142" s="3">
        <v>102.37</v>
      </c>
      <c r="C142" s="4">
        <v>5.2499999999999998E-2</v>
      </c>
      <c r="D142" s="5">
        <v>40966</v>
      </c>
      <c r="E142" s="3">
        <f t="shared" si="8"/>
        <v>5.0136986301369859</v>
      </c>
      <c r="F142" s="3">
        <f t="shared" si="10"/>
        <v>25.13717395383749</v>
      </c>
      <c r="G142" s="3">
        <f t="shared" si="11"/>
        <v>126.03021461787014</v>
      </c>
      <c r="H142" s="4">
        <f t="shared" si="9"/>
        <v>4.7133052313754427E-2</v>
      </c>
      <c r="K142" s="4"/>
    </row>
    <row r="143" spans="1:11" x14ac:dyDescent="0.25">
      <c r="A143" s="1" t="s">
        <v>90</v>
      </c>
      <c r="B143" s="3">
        <v>112.2</v>
      </c>
      <c r="C143" s="4">
        <v>7.4999999999999997E-2</v>
      </c>
      <c r="D143" s="5">
        <v>40983</v>
      </c>
      <c r="E143" s="3">
        <f t="shared" si="8"/>
        <v>5.0602739726027401</v>
      </c>
      <c r="F143" s="3">
        <f t="shared" si="10"/>
        <v>25.606372677800717</v>
      </c>
      <c r="G143" s="3">
        <f t="shared" si="11"/>
        <v>129.57526119424091</v>
      </c>
      <c r="H143" s="4">
        <f t="shared" si="9"/>
        <v>4.7555458461010669E-2</v>
      </c>
      <c r="K143" s="4"/>
    </row>
    <row r="144" spans="1:11" x14ac:dyDescent="0.25">
      <c r="A144" s="1" t="s">
        <v>91</v>
      </c>
      <c r="B144" s="3">
        <v>106.19</v>
      </c>
      <c r="C144" s="4">
        <v>5.9800000000000006E-2</v>
      </c>
      <c r="D144" s="5">
        <v>41024</v>
      </c>
      <c r="E144" s="3">
        <f t="shared" si="8"/>
        <v>5.1726027397260275</v>
      </c>
      <c r="F144" s="3">
        <f t="shared" si="10"/>
        <v>26.755819103021206</v>
      </c>
      <c r="G144" s="3">
        <f t="shared" si="11"/>
        <v>138.39722319590149</v>
      </c>
      <c r="H144" s="4">
        <f t="shared" si="9"/>
        <v>4.6181506783168173E-2</v>
      </c>
      <c r="K144" s="4"/>
    </row>
    <row r="145" spans="1:11" x14ac:dyDescent="0.25">
      <c r="A145" s="1" t="s">
        <v>92</v>
      </c>
      <c r="B145" s="3">
        <v>99.37</v>
      </c>
      <c r="C145" s="4">
        <v>4.6249999999999999E-2</v>
      </c>
      <c r="D145" s="5">
        <v>41228</v>
      </c>
      <c r="E145" s="3">
        <f t="shared" si="8"/>
        <v>5.7315068493150685</v>
      </c>
      <c r="F145" s="3">
        <f t="shared" si="10"/>
        <v>32.850170763745545</v>
      </c>
      <c r="G145" s="3">
        <f t="shared" si="11"/>
        <v>188.2809787335772</v>
      </c>
      <c r="H145" s="4">
        <f t="shared" si="9"/>
        <v>4.7506502241761402E-2</v>
      </c>
      <c r="K145" s="4"/>
    </row>
    <row r="146" spans="1:11" x14ac:dyDescent="0.25">
      <c r="A146" s="1" t="s">
        <v>51</v>
      </c>
      <c r="B146" s="3">
        <v>100.65</v>
      </c>
      <c r="C146" s="4">
        <v>4.8750000000000002E-2</v>
      </c>
      <c r="D146" s="5">
        <v>41289</v>
      </c>
      <c r="E146" s="3">
        <f t="shared" si="8"/>
        <v>5.8986301369863012</v>
      </c>
      <c r="F146" s="3">
        <f t="shared" si="10"/>
        <v>34.793837492963029</v>
      </c>
      <c r="G146" s="3">
        <f t="shared" si="11"/>
        <v>205.23597841739561</v>
      </c>
      <c r="H146" s="4">
        <f t="shared" si="9"/>
        <v>4.7462992925063244E-2</v>
      </c>
      <c r="K146" s="4"/>
    </row>
    <row r="147" spans="1:11" x14ac:dyDescent="0.25">
      <c r="A147" s="1" t="s">
        <v>93</v>
      </c>
      <c r="B147" s="3">
        <v>98.06</v>
      </c>
      <c r="C147" s="4">
        <v>4.3749999999999997E-2</v>
      </c>
      <c r="D147" s="5">
        <v>41320</v>
      </c>
      <c r="E147" s="3">
        <f t="shared" si="8"/>
        <v>5.9835616438356167</v>
      </c>
      <c r="F147" s="3">
        <f t="shared" si="10"/>
        <v>35.80300994558079</v>
      </c>
      <c r="G147" s="3">
        <f t="shared" si="11"/>
        <v>214.22951704424233</v>
      </c>
      <c r="H147" s="4">
        <f t="shared" si="9"/>
        <v>4.7514006598058045E-2</v>
      </c>
      <c r="K147" s="4"/>
    </row>
    <row r="148" spans="1:11" x14ac:dyDescent="0.25">
      <c r="A148" s="1" t="s">
        <v>49</v>
      </c>
      <c r="B148" s="3">
        <v>101.98</v>
      </c>
      <c r="C148" s="4">
        <v>5.2999999999999999E-2</v>
      </c>
      <c r="D148" s="5">
        <v>41334</v>
      </c>
      <c r="E148" s="3">
        <f t="shared" si="8"/>
        <v>6.021917808219178</v>
      </c>
      <c r="F148" s="3">
        <f t="shared" si="10"/>
        <v>36.263494088947269</v>
      </c>
      <c r="G148" s="3">
        <f t="shared" si="11"/>
        <v>218.37578084248244</v>
      </c>
      <c r="H148" s="4">
        <f t="shared" si="9"/>
        <v>4.9156490460982749E-2</v>
      </c>
      <c r="K148" s="4"/>
    </row>
    <row r="149" spans="1:11" x14ac:dyDescent="0.25">
      <c r="A149" s="1" t="s">
        <v>30</v>
      </c>
      <c r="B149" s="3">
        <v>101.98</v>
      </c>
      <c r="C149" s="4">
        <v>5.2499999999999998E-2</v>
      </c>
      <c r="D149" s="5">
        <v>41365</v>
      </c>
      <c r="E149" s="3">
        <f t="shared" si="8"/>
        <v>6.1068493150684935</v>
      </c>
      <c r="F149" s="3">
        <f t="shared" si="10"/>
        <v>37.293608556952528</v>
      </c>
      <c r="G149" s="3">
        <f t="shared" si="11"/>
        <v>227.74644787245805</v>
      </c>
      <c r="H149" s="4">
        <f t="shared" si="9"/>
        <v>4.8700123422846291E-2</v>
      </c>
      <c r="K149" s="4"/>
    </row>
    <row r="150" spans="1:11" x14ac:dyDescent="0.25">
      <c r="A150" s="1" t="s">
        <v>55</v>
      </c>
      <c r="B150" s="3">
        <v>98.64</v>
      </c>
      <c r="C150" s="4">
        <v>4.5499999999999999E-2</v>
      </c>
      <c r="D150" s="5">
        <v>41395</v>
      </c>
      <c r="E150" s="3">
        <f t="shared" si="8"/>
        <v>6.1890410958904107</v>
      </c>
      <c r="F150" s="3">
        <f t="shared" si="10"/>
        <v>38.304229686620374</v>
      </c>
      <c r="G150" s="3">
        <f t="shared" si="11"/>
        <v>237.06645167691897</v>
      </c>
      <c r="H150" s="4">
        <f t="shared" si="9"/>
        <v>4.8056004047416091E-2</v>
      </c>
      <c r="K150" s="4"/>
    </row>
    <row r="151" spans="1:11" x14ac:dyDescent="0.25">
      <c r="A151" s="1" t="s">
        <v>89</v>
      </c>
      <c r="B151" s="3">
        <v>93.38</v>
      </c>
      <c r="C151" s="4">
        <v>4.0999999999999995E-2</v>
      </c>
      <c r="D151" s="5">
        <v>41409</v>
      </c>
      <c r="E151" s="3">
        <f t="shared" si="8"/>
        <v>6.2273972602739729</v>
      </c>
      <c r="F151" s="3">
        <f t="shared" si="10"/>
        <v>38.780476637267782</v>
      </c>
      <c r="G151" s="3">
        <f t="shared" si="11"/>
        <v>241.5014339630402</v>
      </c>
      <c r="H151" s="4">
        <f t="shared" si="9"/>
        <v>5.3638586529186939E-2</v>
      </c>
      <c r="K151" s="4"/>
    </row>
    <row r="152" spans="1:11" x14ac:dyDescent="0.25">
      <c r="A152" s="1" t="s">
        <v>94</v>
      </c>
      <c r="B152" s="3">
        <v>95.49</v>
      </c>
      <c r="C152" s="4">
        <v>4.2500000000000003E-2</v>
      </c>
      <c r="D152" s="5">
        <v>41409</v>
      </c>
      <c r="E152" s="3">
        <f t="shared" si="8"/>
        <v>6.2273972602739729</v>
      </c>
      <c r="F152" s="3">
        <f t="shared" si="10"/>
        <v>38.780476637267782</v>
      </c>
      <c r="G152" s="3">
        <f t="shared" si="11"/>
        <v>241.5014339630402</v>
      </c>
      <c r="H152" s="4">
        <f t="shared" si="9"/>
        <v>5.1036890642617051E-2</v>
      </c>
      <c r="K152" s="4"/>
    </row>
    <row r="153" spans="1:11" x14ac:dyDescent="0.25">
      <c r="A153" s="1" t="s">
        <v>95</v>
      </c>
      <c r="B153" s="3">
        <v>112.55</v>
      </c>
      <c r="C153" s="4">
        <v>7.2999999999999995E-2</v>
      </c>
      <c r="D153" s="5">
        <v>41440</v>
      </c>
      <c r="E153" s="3">
        <f t="shared" si="8"/>
        <v>6.3123287671232875</v>
      </c>
      <c r="F153" s="3">
        <f t="shared" si="10"/>
        <v>39.845494464252205</v>
      </c>
      <c r="G153" s="3">
        <f t="shared" si="11"/>
        <v>251.51786094695089</v>
      </c>
      <c r="H153" s="4">
        <f t="shared" si="9"/>
        <v>4.9568144867142276E-2</v>
      </c>
      <c r="K153" s="4"/>
    </row>
    <row r="154" spans="1:11" x14ac:dyDescent="0.25">
      <c r="A154" s="1" t="s">
        <v>96</v>
      </c>
      <c r="B154" s="3">
        <v>94.34</v>
      </c>
      <c r="C154" s="4">
        <v>3.875E-2</v>
      </c>
      <c r="D154" s="5">
        <v>41440</v>
      </c>
      <c r="E154" s="3">
        <f t="shared" si="8"/>
        <v>6.3123287671232875</v>
      </c>
      <c r="F154" s="3">
        <f t="shared" si="10"/>
        <v>39.845494464252205</v>
      </c>
      <c r="G154" s="3">
        <f t="shared" si="11"/>
        <v>251.51786094695089</v>
      </c>
      <c r="H154" s="4">
        <f t="shared" si="9"/>
        <v>4.9289067708602557E-2</v>
      </c>
      <c r="K154" s="4"/>
    </row>
    <row r="155" spans="1:11" x14ac:dyDescent="0.25">
      <c r="A155" s="1" t="s">
        <v>30</v>
      </c>
      <c r="B155" s="3">
        <v>99.04</v>
      </c>
      <c r="C155" s="4">
        <v>4.7500000000000001E-2</v>
      </c>
      <c r="D155" s="5">
        <v>41470</v>
      </c>
      <c r="E155" s="3">
        <f t="shared" si="8"/>
        <v>6.3945205479452056</v>
      </c>
      <c r="F155" s="3">
        <f t="shared" si="10"/>
        <v>40.889893038093454</v>
      </c>
      <c r="G155" s="3">
        <f t="shared" si="11"/>
        <v>261.47126123537021</v>
      </c>
      <c r="H155" s="4">
        <f t="shared" si="9"/>
        <v>4.9259942347973706E-2</v>
      </c>
      <c r="K155" s="4"/>
    </row>
    <row r="156" spans="1:11" x14ac:dyDescent="0.25">
      <c r="A156" s="1" t="s">
        <v>97</v>
      </c>
      <c r="B156" s="3">
        <v>112.07</v>
      </c>
      <c r="C156" s="4">
        <v>7.2999999999999995E-2</v>
      </c>
      <c r="D156" s="5">
        <v>41487</v>
      </c>
      <c r="E156" s="3">
        <f t="shared" si="8"/>
        <v>6.441095890410959</v>
      </c>
      <c r="F156" s="3">
        <f t="shared" si="10"/>
        <v>41.487716269468947</v>
      </c>
      <c r="G156" s="3">
        <f t="shared" si="11"/>
        <v>267.22635876581234</v>
      </c>
      <c r="H156" s="4">
        <f t="shared" si="9"/>
        <v>5.0780345800109095E-2</v>
      </c>
      <c r="K156" s="4"/>
    </row>
    <row r="157" spans="1:11" x14ac:dyDescent="0.25">
      <c r="A157" s="1" t="s">
        <v>51</v>
      </c>
      <c r="B157" s="3">
        <v>99.55</v>
      </c>
      <c r="C157" s="4">
        <v>4.7500000000000001E-2</v>
      </c>
      <c r="D157" s="5">
        <v>41501</v>
      </c>
      <c r="E157" s="3">
        <f t="shared" si="8"/>
        <v>6.4794520547945202</v>
      </c>
      <c r="F157" s="3">
        <f t="shared" si="10"/>
        <v>41.983298930380933</v>
      </c>
      <c r="G157" s="3">
        <f t="shared" si="11"/>
        <v>272.02877252150932</v>
      </c>
      <c r="H157" s="4">
        <f t="shared" si="9"/>
        <v>4.8315163208276946E-2</v>
      </c>
      <c r="K157" s="4"/>
    </row>
    <row r="158" spans="1:11" x14ac:dyDescent="0.25">
      <c r="A158" s="1" t="s">
        <v>83</v>
      </c>
      <c r="B158" s="3">
        <v>103.66</v>
      </c>
      <c r="C158" s="4">
        <v>5.5E-2</v>
      </c>
      <c r="D158" s="5">
        <v>41501</v>
      </c>
      <c r="E158" s="3">
        <f t="shared" si="8"/>
        <v>6.4794520547945202</v>
      </c>
      <c r="F158" s="3">
        <f t="shared" si="10"/>
        <v>41.983298930380933</v>
      </c>
      <c r="G158" s="3">
        <f t="shared" si="11"/>
        <v>272.02877252150932</v>
      </c>
      <c r="H158" s="4">
        <f t="shared" si="9"/>
        <v>4.8349135818905625E-2</v>
      </c>
      <c r="K158" s="4"/>
    </row>
    <row r="159" spans="1:11" x14ac:dyDescent="0.25">
      <c r="A159" s="1" t="s">
        <v>98</v>
      </c>
      <c r="B159" s="3">
        <v>109.56</v>
      </c>
      <c r="C159" s="4">
        <v>6.7500000000000004E-2</v>
      </c>
      <c r="D159" s="5">
        <v>41532</v>
      </c>
      <c r="E159" s="3">
        <f t="shared" si="8"/>
        <v>6.5643835616438357</v>
      </c>
      <c r="F159" s="3">
        <f t="shared" si="10"/>
        <v>43.091131544379813</v>
      </c>
      <c r="G159" s="3">
        <f t="shared" si="11"/>
        <v>282.86671556255902</v>
      </c>
      <c r="H159" s="4">
        <f t="shared" si="9"/>
        <v>5.0197370783131495E-2</v>
      </c>
      <c r="K159" s="4"/>
    </row>
    <row r="160" spans="1:11" x14ac:dyDescent="0.25">
      <c r="A160" s="1" t="s">
        <v>99</v>
      </c>
      <c r="B160" s="3">
        <v>99.4</v>
      </c>
      <c r="C160" s="4">
        <v>0.05</v>
      </c>
      <c r="D160" s="5">
        <v>41593</v>
      </c>
      <c r="E160" s="3">
        <f t="shared" si="8"/>
        <v>6.7315068493150685</v>
      </c>
      <c r="F160" s="3">
        <f t="shared" si="10"/>
        <v>45.313184462375681</v>
      </c>
      <c r="G160" s="3">
        <f t="shared" si="11"/>
        <v>305.02601157275905</v>
      </c>
      <c r="H160" s="4">
        <f t="shared" si="9"/>
        <v>5.1051650473418052E-2</v>
      </c>
      <c r="K160" s="4"/>
    </row>
    <row r="161" spans="1:11" x14ac:dyDescent="0.25">
      <c r="A161" s="1" t="s">
        <v>80</v>
      </c>
      <c r="B161" s="3">
        <v>102.21</v>
      </c>
      <c r="C161" s="4">
        <v>5.2499999999999998E-2</v>
      </c>
      <c r="D161" s="5">
        <v>41624</v>
      </c>
      <c r="E161" s="3">
        <f t="shared" si="8"/>
        <v>6.816438356164384</v>
      </c>
      <c r="F161" s="3">
        <f t="shared" si="10"/>
        <v>46.463831863389011</v>
      </c>
      <c r="G161" s="3">
        <f t="shared" si="11"/>
        <v>316.71784568797773</v>
      </c>
      <c r="H161" s="4">
        <f t="shared" si="9"/>
        <v>4.863607087500104E-2</v>
      </c>
      <c r="K161" s="4"/>
    </row>
    <row r="162" spans="1:11" x14ac:dyDescent="0.25">
      <c r="A162" s="1" t="s">
        <v>83</v>
      </c>
      <c r="B162" s="3">
        <v>101.72</v>
      </c>
      <c r="C162" s="4">
        <v>5.1249999999999997E-2</v>
      </c>
      <c r="D162" s="5">
        <v>41654</v>
      </c>
      <c r="E162" s="3">
        <f t="shared" si="8"/>
        <v>6.8986301369863012</v>
      </c>
      <c r="F162" s="3">
        <f t="shared" si="10"/>
        <v>47.591097766935633</v>
      </c>
      <c r="G162" s="3">
        <f t="shared" si="11"/>
        <v>328.31338130724362</v>
      </c>
      <c r="H162" s="4">
        <f t="shared" si="9"/>
        <v>4.8277669588414035E-2</v>
      </c>
      <c r="K162" s="4"/>
    </row>
    <row r="163" spans="1:11" x14ac:dyDescent="0.25">
      <c r="A163" s="1" t="s">
        <v>30</v>
      </c>
      <c r="B163" s="3">
        <v>101.01</v>
      </c>
      <c r="C163" s="4">
        <v>5.1500000000000004E-2</v>
      </c>
      <c r="D163" s="5">
        <v>41654</v>
      </c>
      <c r="E163" s="3">
        <f t="shared" si="8"/>
        <v>6.8986301369863012</v>
      </c>
      <c r="F163" s="3">
        <f t="shared" si="10"/>
        <v>47.591097766935633</v>
      </c>
      <c r="G163" s="3">
        <f t="shared" si="11"/>
        <v>328.31338130724362</v>
      </c>
      <c r="H163" s="4">
        <f t="shared" si="9"/>
        <v>4.9741857119114219E-2</v>
      </c>
      <c r="K163" s="4"/>
    </row>
    <row r="164" spans="1:11" x14ac:dyDescent="0.25">
      <c r="A164" s="1" t="s">
        <v>37</v>
      </c>
      <c r="B164" s="3">
        <v>97.09</v>
      </c>
      <c r="C164" s="4">
        <v>4.3499999999999997E-2</v>
      </c>
      <c r="D164" s="5">
        <v>41713</v>
      </c>
      <c r="E164" s="3">
        <f t="shared" si="8"/>
        <v>7.0602739726027401</v>
      </c>
      <c r="F164" s="3">
        <f t="shared" si="10"/>
        <v>49.847468568211681</v>
      </c>
      <c r="G164" s="3">
        <f t="shared" si="11"/>
        <v>351.9367849322781</v>
      </c>
      <c r="H164" s="4">
        <f t="shared" si="9"/>
        <v>4.8413949553597804E-2</v>
      </c>
      <c r="K164" s="4"/>
    </row>
    <row r="165" spans="1:11" x14ac:dyDescent="0.25">
      <c r="A165" s="1" t="s">
        <v>100</v>
      </c>
      <c r="B165" s="3">
        <v>97.98</v>
      </c>
      <c r="C165" s="4">
        <v>4.6249999999999999E-2</v>
      </c>
      <c r="D165" s="5">
        <v>41730</v>
      </c>
      <c r="E165" s="3">
        <f t="shared" si="8"/>
        <v>7.1068493150684935</v>
      </c>
      <c r="F165" s="3">
        <f t="shared" si="10"/>
        <v>50.507307187089516</v>
      </c>
      <c r="G165" s="3">
        <f t="shared" si="11"/>
        <v>358.94782148852113</v>
      </c>
      <c r="H165" s="4">
        <f t="shared" si="9"/>
        <v>4.9652343939667713E-2</v>
      </c>
      <c r="K165" s="4"/>
    </row>
    <row r="166" spans="1:11" x14ac:dyDescent="0.25">
      <c r="A166" s="1" t="s">
        <v>101</v>
      </c>
      <c r="B166" s="3">
        <v>97.23</v>
      </c>
      <c r="C166" s="4">
        <v>4.3749999999999997E-2</v>
      </c>
      <c r="D166" s="5">
        <v>41744</v>
      </c>
      <c r="E166" s="3">
        <f t="shared" si="8"/>
        <v>7.1452054794520548</v>
      </c>
      <c r="F166" s="3">
        <f t="shared" si="10"/>
        <v>51.053961343591666</v>
      </c>
      <c r="G166" s="3">
        <f t="shared" si="11"/>
        <v>364.79104433996457</v>
      </c>
      <c r="H166" s="4">
        <f t="shared" si="9"/>
        <v>4.8375424063075205E-2</v>
      </c>
      <c r="K166" s="4"/>
    </row>
    <row r="167" spans="1:11" x14ac:dyDescent="0.25">
      <c r="A167" s="1" t="s">
        <v>36</v>
      </c>
      <c r="B167" s="3">
        <v>98.14</v>
      </c>
      <c r="C167" s="4">
        <v>4.6249999999999999E-2</v>
      </c>
      <c r="D167" s="5">
        <v>41744</v>
      </c>
      <c r="E167" s="3">
        <f t="shared" si="8"/>
        <v>7.1452054794520548</v>
      </c>
      <c r="F167" s="3">
        <f t="shared" si="10"/>
        <v>51.053961343591666</v>
      </c>
      <c r="G167" s="3">
        <f t="shared" si="11"/>
        <v>364.79104433996457</v>
      </c>
      <c r="H167" s="4">
        <f t="shared" si="9"/>
        <v>4.9363119321930014E-2</v>
      </c>
      <c r="K167" s="4"/>
    </row>
    <row r="168" spans="1:11" x14ac:dyDescent="0.25">
      <c r="A168" s="1" t="s">
        <v>32</v>
      </c>
      <c r="B168" s="3">
        <v>101.71</v>
      </c>
      <c r="C168" s="4">
        <v>5.1249999999999997E-2</v>
      </c>
      <c r="D168" s="5">
        <v>41764</v>
      </c>
      <c r="E168" s="3">
        <f t="shared" si="8"/>
        <v>7.2</v>
      </c>
      <c r="F168" s="3">
        <f t="shared" si="10"/>
        <v>51.84</v>
      </c>
      <c r="G168" s="3">
        <f t="shared" si="11"/>
        <v>373.24800000000005</v>
      </c>
      <c r="H168" s="4">
        <f t="shared" si="9"/>
        <v>4.8395472677951308E-2</v>
      </c>
      <c r="K168" s="4"/>
    </row>
    <row r="169" spans="1:11" x14ac:dyDescent="0.25">
      <c r="A169" s="1" t="s">
        <v>102</v>
      </c>
      <c r="B169" s="3">
        <v>103.23</v>
      </c>
      <c r="C169" s="4">
        <v>5.4000000000000006E-2</v>
      </c>
      <c r="D169" s="5">
        <v>41791</v>
      </c>
      <c r="E169" s="3">
        <f t="shared" si="8"/>
        <v>7.2739726027397262</v>
      </c>
      <c r="F169" s="3">
        <f t="shared" si="10"/>
        <v>52.910677425408146</v>
      </c>
      <c r="G169" s="3">
        <f t="shared" si="11"/>
        <v>384.87081798481819</v>
      </c>
      <c r="H169" s="4">
        <f t="shared" si="9"/>
        <v>4.8657974047702661E-2</v>
      </c>
      <c r="K169" s="4"/>
    </row>
    <row r="170" spans="1:11" x14ac:dyDescent="0.25">
      <c r="A170" s="1" t="s">
        <v>25</v>
      </c>
      <c r="B170" s="3">
        <v>102.95</v>
      </c>
      <c r="C170" s="4">
        <v>5.45E-2</v>
      </c>
      <c r="D170" s="5">
        <v>41835</v>
      </c>
      <c r="E170" s="3">
        <f t="shared" si="8"/>
        <v>7.3945205479452056</v>
      </c>
      <c r="F170" s="3">
        <f t="shared" si="10"/>
        <v>54.678934133983866</v>
      </c>
      <c r="G170" s="3">
        <f t="shared" si="11"/>
        <v>404.32450199348619</v>
      </c>
      <c r="H170" s="4">
        <f t="shared" si="9"/>
        <v>4.9673895804415676E-2</v>
      </c>
      <c r="K170" s="4"/>
    </row>
    <row r="171" spans="1:11" x14ac:dyDescent="0.25">
      <c r="A171" s="1" t="s">
        <v>96</v>
      </c>
      <c r="B171" s="3">
        <v>99.28</v>
      </c>
      <c r="C171" s="4">
        <v>4.8750000000000002E-2</v>
      </c>
      <c r="D171" s="5">
        <v>41866</v>
      </c>
      <c r="E171" s="3">
        <f t="shared" si="8"/>
        <v>7.4794520547945202</v>
      </c>
      <c r="F171" s="3">
        <f t="shared" si="10"/>
        <v>55.942203039969968</v>
      </c>
      <c r="G171" s="3">
        <f t="shared" si="11"/>
        <v>418.41702547703562</v>
      </c>
      <c r="H171" s="4">
        <f t="shared" si="9"/>
        <v>4.9913459966801174E-2</v>
      </c>
      <c r="K171" s="4"/>
    </row>
    <row r="172" spans="1:11" x14ac:dyDescent="0.25">
      <c r="A172" s="1" t="s">
        <v>53</v>
      </c>
      <c r="B172" s="3">
        <v>100.64</v>
      </c>
      <c r="C172" s="4">
        <v>4.9500000000000002E-2</v>
      </c>
      <c r="D172" s="5">
        <v>41866</v>
      </c>
      <c r="E172" s="3">
        <f t="shared" si="8"/>
        <v>7.4794520547945202</v>
      </c>
      <c r="F172" s="3">
        <f t="shared" si="10"/>
        <v>55.942203039969968</v>
      </c>
      <c r="G172" s="3">
        <f t="shared" si="11"/>
        <v>418.41702547703562</v>
      </c>
      <c r="H172" s="4">
        <f t="shared" si="9"/>
        <v>4.8467474449648738E-2</v>
      </c>
      <c r="K172" s="4"/>
    </row>
    <row r="173" spans="1:11" x14ac:dyDescent="0.25">
      <c r="A173" s="1" t="s">
        <v>32</v>
      </c>
      <c r="B173" s="3">
        <v>100.02</v>
      </c>
      <c r="C173" s="4">
        <v>0.05</v>
      </c>
      <c r="D173" s="5">
        <v>41897</v>
      </c>
      <c r="E173" s="3">
        <f t="shared" si="8"/>
        <v>7.5643835616438357</v>
      </c>
      <c r="F173" s="3">
        <f t="shared" si="10"/>
        <v>57.219898667667479</v>
      </c>
      <c r="G173" s="3">
        <f t="shared" si="11"/>
        <v>432.83326088062989</v>
      </c>
      <c r="H173" s="4">
        <f t="shared" si="9"/>
        <v>4.9963010791637577E-2</v>
      </c>
      <c r="K173" s="4"/>
    </row>
    <row r="174" spans="1:11" x14ac:dyDescent="0.25">
      <c r="A174" s="1" t="s">
        <v>30</v>
      </c>
      <c r="B174" s="3">
        <v>99.52</v>
      </c>
      <c r="C174" s="4">
        <v>0.05</v>
      </c>
      <c r="D174" s="5">
        <v>41913</v>
      </c>
      <c r="E174" s="3">
        <f t="shared" si="8"/>
        <v>7.6082191780821917</v>
      </c>
      <c r="F174" s="3">
        <f t="shared" si="10"/>
        <v>57.884999061737659</v>
      </c>
      <c r="G174" s="3">
        <f t="shared" si="11"/>
        <v>440.40175998478213</v>
      </c>
      <c r="H174" s="4">
        <f t="shared" si="9"/>
        <v>5.0760816646991939E-2</v>
      </c>
      <c r="K174" s="4"/>
    </row>
    <row r="175" spans="1:11" x14ac:dyDescent="0.25">
      <c r="A175" s="1" t="s">
        <v>103</v>
      </c>
      <c r="B175" s="3">
        <v>100.62</v>
      </c>
      <c r="C175" s="4">
        <v>0.05</v>
      </c>
      <c r="D175" s="5">
        <v>41913</v>
      </c>
      <c r="E175" s="3">
        <f t="shared" si="8"/>
        <v>7.6082191780821917</v>
      </c>
      <c r="F175" s="3">
        <f t="shared" si="10"/>
        <v>57.884999061737659</v>
      </c>
      <c r="G175" s="3">
        <f t="shared" si="11"/>
        <v>440.40175998478213</v>
      </c>
      <c r="H175" s="4">
        <f t="shared" si="9"/>
        <v>4.9005402330531717E-2</v>
      </c>
      <c r="K175" s="4"/>
    </row>
    <row r="176" spans="1:11" x14ac:dyDescent="0.25">
      <c r="A176" s="1" t="s">
        <v>30</v>
      </c>
      <c r="B176" s="3">
        <v>102.79</v>
      </c>
      <c r="C176" s="4">
        <v>5.5E-2</v>
      </c>
      <c r="D176" s="5">
        <v>41958</v>
      </c>
      <c r="E176" s="3">
        <f t="shared" si="8"/>
        <v>7.7315068493150685</v>
      </c>
      <c r="F176" s="3">
        <f t="shared" si="10"/>
        <v>59.776198161005816</v>
      </c>
      <c r="G176" s="3">
        <f t="shared" si="11"/>
        <v>462.16008550783124</v>
      </c>
      <c r="H176" s="4">
        <f t="shared" si="9"/>
        <v>5.0578043235075518E-2</v>
      </c>
      <c r="K176" s="4"/>
    </row>
    <row r="177" spans="1:11" x14ac:dyDescent="0.25">
      <c r="A177" s="1" t="s">
        <v>30</v>
      </c>
      <c r="B177" s="3">
        <v>100.17</v>
      </c>
      <c r="C177" s="4">
        <v>5.1249999999999997E-2</v>
      </c>
      <c r="D177" s="5">
        <v>42019</v>
      </c>
      <c r="E177" s="3">
        <f t="shared" si="8"/>
        <v>7.8986301369863012</v>
      </c>
      <c r="F177" s="3">
        <f t="shared" si="10"/>
        <v>62.388358040908237</v>
      </c>
      <c r="G177" s="3">
        <f t="shared" si="11"/>
        <v>492.78256501900944</v>
      </c>
      <c r="H177" s="4">
        <f t="shared" si="9"/>
        <v>5.0977217712877186E-2</v>
      </c>
      <c r="K177" s="4"/>
    </row>
    <row r="178" spans="1:11" x14ac:dyDescent="0.25">
      <c r="A178" s="1" t="s">
        <v>25</v>
      </c>
      <c r="B178" s="3">
        <v>99.94</v>
      </c>
      <c r="C178" s="4">
        <v>0.05</v>
      </c>
      <c r="D178" s="5">
        <v>42019</v>
      </c>
      <c r="E178" s="3">
        <f t="shared" si="8"/>
        <v>7.8986301369863012</v>
      </c>
      <c r="F178" s="3">
        <f t="shared" si="10"/>
        <v>62.388358040908237</v>
      </c>
      <c r="G178" s="3">
        <f t="shared" si="11"/>
        <v>492.78256501900944</v>
      </c>
      <c r="H178" s="4">
        <f t="shared" si="9"/>
        <v>5.0084893059367641E-2</v>
      </c>
      <c r="K178" s="4"/>
    </row>
    <row r="179" spans="1:11" x14ac:dyDescent="0.25">
      <c r="A179" s="1" t="s">
        <v>104</v>
      </c>
      <c r="B179" s="3">
        <v>98.82</v>
      </c>
      <c r="C179" s="4">
        <v>4.7500000000000001E-2</v>
      </c>
      <c r="D179" s="5">
        <v>42064</v>
      </c>
      <c r="E179" s="3">
        <f t="shared" si="8"/>
        <v>8.0219178082191789</v>
      </c>
      <c r="F179" s="3">
        <f t="shared" si="10"/>
        <v>64.351165321823999</v>
      </c>
      <c r="G179" s="3">
        <f t="shared" si="11"/>
        <v>516.21975907479646</v>
      </c>
      <c r="H179" s="4">
        <f t="shared" si="9"/>
        <v>4.9298337213855098E-2</v>
      </c>
      <c r="K179" s="4"/>
    </row>
    <row r="180" spans="1:11" x14ac:dyDescent="0.25">
      <c r="A180" s="1" t="s">
        <v>93</v>
      </c>
      <c r="B180" s="3">
        <v>98.5</v>
      </c>
      <c r="C180" s="4">
        <v>4.7500000000000001E-2</v>
      </c>
      <c r="D180" s="5">
        <v>42064</v>
      </c>
      <c r="E180" s="3">
        <f t="shared" si="8"/>
        <v>8.0219178082191789</v>
      </c>
      <c r="F180" s="3">
        <f t="shared" si="10"/>
        <v>64.351165321823999</v>
      </c>
      <c r="G180" s="3">
        <f t="shared" si="11"/>
        <v>516.21975907479646</v>
      </c>
      <c r="H180" s="4">
        <f t="shared" si="9"/>
        <v>4.979078938052009E-2</v>
      </c>
      <c r="K180" s="4"/>
    </row>
    <row r="181" spans="1:11" x14ac:dyDescent="0.25">
      <c r="A181" s="1" t="s">
        <v>87</v>
      </c>
      <c r="B181" s="3">
        <v>98.46</v>
      </c>
      <c r="C181" s="4">
        <v>4.8000000000000001E-2</v>
      </c>
      <c r="D181" s="5">
        <v>42109</v>
      </c>
      <c r="E181" s="3">
        <f t="shared" si="8"/>
        <v>8.1452054794520556</v>
      </c>
      <c r="F181" s="3">
        <f t="shared" si="10"/>
        <v>66.344372302495785</v>
      </c>
      <c r="G181" s="3">
        <f t="shared" si="11"/>
        <v>540.38854480909583</v>
      </c>
      <c r="H181" s="4">
        <f t="shared" si="9"/>
        <v>5.0319972081262786E-2</v>
      </c>
      <c r="K181" s="4"/>
    </row>
    <row r="182" spans="1:11" x14ac:dyDescent="0.25">
      <c r="A182" s="1" t="s">
        <v>32</v>
      </c>
      <c r="B182" s="3">
        <v>99.12</v>
      </c>
      <c r="C182" s="4">
        <v>4.8750000000000002E-2</v>
      </c>
      <c r="D182" s="5">
        <v>42131</v>
      </c>
      <c r="E182" s="3">
        <f t="shared" si="8"/>
        <v>8.205479452054794</v>
      </c>
      <c r="F182" s="3">
        <f t="shared" si="10"/>
        <v>67.329893038093445</v>
      </c>
      <c r="G182" s="3">
        <f t="shared" si="11"/>
        <v>552.47405383312287</v>
      </c>
      <c r="H182" s="4">
        <f t="shared" si="9"/>
        <v>5.0060542928841441E-2</v>
      </c>
      <c r="K182" s="4"/>
    </row>
    <row r="183" spans="1:11" x14ac:dyDescent="0.25">
      <c r="A183" s="1" t="s">
        <v>32</v>
      </c>
      <c r="B183" s="3">
        <v>98.6</v>
      </c>
      <c r="C183" s="4">
        <v>4.7E-2</v>
      </c>
      <c r="D183" s="5">
        <v>42153</v>
      </c>
      <c r="E183" s="3">
        <f t="shared" si="8"/>
        <v>8.2657534246575342</v>
      </c>
      <c r="F183" s="3">
        <f t="shared" si="10"/>
        <v>68.322679677237758</v>
      </c>
      <c r="G183" s="3">
        <f t="shared" si="11"/>
        <v>564.73842352390773</v>
      </c>
      <c r="H183" s="4">
        <f t="shared" si="9"/>
        <v>4.9070928129624741E-2</v>
      </c>
      <c r="K183" s="4"/>
    </row>
    <row r="184" spans="1:11" x14ac:dyDescent="0.25">
      <c r="A184" s="1" t="s">
        <v>90</v>
      </c>
      <c r="B184" s="3">
        <v>100.05</v>
      </c>
      <c r="C184" s="4">
        <v>0.05</v>
      </c>
      <c r="D184" s="5">
        <v>42170</v>
      </c>
      <c r="E184" s="3">
        <f t="shared" si="8"/>
        <v>8.3123287671232884</v>
      </c>
      <c r="F184" s="3">
        <f t="shared" si="10"/>
        <v>69.094809532745373</v>
      </c>
      <c r="G184" s="3">
        <f t="shared" si="11"/>
        <v>574.33877293794376</v>
      </c>
      <c r="H184" s="4">
        <f t="shared" si="9"/>
        <v>4.9914916955725877E-2</v>
      </c>
      <c r="K184" s="4"/>
    </row>
    <row r="185" spans="1:11" x14ac:dyDescent="0.25">
      <c r="A185" s="1" t="s">
        <v>55</v>
      </c>
      <c r="B185" s="3">
        <v>97.03</v>
      </c>
      <c r="C185" s="4">
        <v>4.4999999999999998E-2</v>
      </c>
      <c r="D185" s="5">
        <v>42186</v>
      </c>
      <c r="E185" s="3">
        <f t="shared" si="8"/>
        <v>8.3561643835616444</v>
      </c>
      <c r="F185" s="3">
        <f t="shared" si="10"/>
        <v>69.825483205104149</v>
      </c>
      <c r="G185" s="3">
        <f t="shared" si="11"/>
        <v>583.47321582347308</v>
      </c>
      <c r="H185" s="4">
        <f t="shared" si="9"/>
        <v>4.9373544765553952E-2</v>
      </c>
      <c r="K185" s="4"/>
    </row>
    <row r="186" spans="1:11" x14ac:dyDescent="0.25">
      <c r="A186" s="1" t="s">
        <v>105</v>
      </c>
      <c r="B186" s="3">
        <v>98.35</v>
      </c>
      <c r="C186" s="4">
        <v>4.7960000000000003E-2</v>
      </c>
      <c r="D186" s="5">
        <v>42200</v>
      </c>
      <c r="E186" s="3">
        <f t="shared" si="8"/>
        <v>8.3945205479452056</v>
      </c>
      <c r="F186" s="3">
        <f t="shared" si="10"/>
        <v>70.46797522987427</v>
      </c>
      <c r="G186" s="3">
        <f t="shared" si="11"/>
        <v>591.5448660392733</v>
      </c>
      <c r="H186" s="4">
        <f t="shared" si="9"/>
        <v>5.0387885620848838E-2</v>
      </c>
      <c r="K186" s="4"/>
    </row>
    <row r="187" spans="1:11" x14ac:dyDescent="0.25">
      <c r="A187" s="1" t="s">
        <v>51</v>
      </c>
      <c r="B187" s="3">
        <v>98.68</v>
      </c>
      <c r="C187" s="4">
        <v>4.7500000000000001E-2</v>
      </c>
      <c r="D187" s="5">
        <v>42217</v>
      </c>
      <c r="E187" s="3">
        <f t="shared" si="8"/>
        <v>8.4410958904109581</v>
      </c>
      <c r="F187" s="3">
        <f t="shared" si="10"/>
        <v>71.252099831112758</v>
      </c>
      <c r="G187" s="3">
        <f t="shared" si="11"/>
        <v>601.44580706755721</v>
      </c>
      <c r="H187" s="4">
        <f t="shared" si="9"/>
        <v>4.9427418421338132E-2</v>
      </c>
      <c r="K187" s="4"/>
    </row>
    <row r="188" spans="1:11" x14ac:dyDescent="0.25">
      <c r="A188" s="1" t="s">
        <v>106</v>
      </c>
      <c r="B188" s="3">
        <v>98.85</v>
      </c>
      <c r="C188" s="4">
        <v>4.8750000000000002E-2</v>
      </c>
      <c r="D188" s="5">
        <v>42231</v>
      </c>
      <c r="E188" s="3">
        <f t="shared" si="8"/>
        <v>8.4794520547945211</v>
      </c>
      <c r="F188" s="3">
        <f t="shared" si="10"/>
        <v>71.901107149559024</v>
      </c>
      <c r="G188" s="3">
        <f t="shared" si="11"/>
        <v>609.6819907613293</v>
      </c>
      <c r="H188" s="4">
        <f t="shared" si="9"/>
        <v>5.0431960241228105E-2</v>
      </c>
      <c r="K188" s="4"/>
    </row>
    <row r="189" spans="1:11" x14ac:dyDescent="0.25">
      <c r="A189" s="1" t="s">
        <v>107</v>
      </c>
      <c r="B189" s="3">
        <v>99.82</v>
      </c>
      <c r="C189" s="4">
        <v>0.05</v>
      </c>
      <c r="D189" s="5">
        <v>42248</v>
      </c>
      <c r="E189" s="3">
        <f t="shared" si="8"/>
        <v>8.5260273972602736</v>
      </c>
      <c r="F189" s="3">
        <f t="shared" si="10"/>
        <v>72.693143178832798</v>
      </c>
      <c r="G189" s="3">
        <f t="shared" si="11"/>
        <v>619.78373033569221</v>
      </c>
      <c r="H189" s="4">
        <f t="shared" si="9"/>
        <v>5.0260954734143638E-2</v>
      </c>
      <c r="K189" s="4"/>
    </row>
    <row r="190" spans="1:11" x14ac:dyDescent="0.25">
      <c r="A190" s="1" t="s">
        <v>25</v>
      </c>
      <c r="B190" s="3">
        <v>101.84</v>
      </c>
      <c r="C190" s="4">
        <v>5.2999999999999999E-2</v>
      </c>
      <c r="D190" s="5">
        <v>42277</v>
      </c>
      <c r="E190" s="3">
        <f t="shared" si="8"/>
        <v>8.6054794520547944</v>
      </c>
      <c r="F190" s="3">
        <f t="shared" si="10"/>
        <v>74.054276599737278</v>
      </c>
      <c r="G190" s="3">
        <f t="shared" si="11"/>
        <v>637.27255561582137</v>
      </c>
      <c r="H190" s="4">
        <f t="shared" si="9"/>
        <v>5.03298786116144E-2</v>
      </c>
      <c r="K190" s="4"/>
    </row>
    <row r="191" spans="1:11" x14ac:dyDescent="0.25">
      <c r="A191" s="1" t="s">
        <v>99</v>
      </c>
      <c r="B191" s="3">
        <v>98.75</v>
      </c>
      <c r="C191" s="4">
        <v>0.05</v>
      </c>
      <c r="D191" s="5">
        <v>42292</v>
      </c>
      <c r="E191" s="3">
        <f t="shared" si="8"/>
        <v>8.6465753424657539</v>
      </c>
      <c r="F191" s="3">
        <f t="shared" si="10"/>
        <v>74.763265152936768</v>
      </c>
      <c r="G191" s="3">
        <f t="shared" si="11"/>
        <v>646.44620499361224</v>
      </c>
      <c r="H191" s="4">
        <f t="shared" si="9"/>
        <v>5.1803569782224966E-2</v>
      </c>
      <c r="K191" s="4"/>
    </row>
    <row r="192" spans="1:11" x14ac:dyDescent="0.25">
      <c r="A192" s="1" t="s">
        <v>49</v>
      </c>
      <c r="B192" s="3">
        <v>101.54</v>
      </c>
      <c r="C192" s="4">
        <v>5.3749999999999999E-2</v>
      </c>
      <c r="D192" s="5">
        <v>42292</v>
      </c>
      <c r="E192" s="3">
        <f t="shared" si="8"/>
        <v>8.6465753424657539</v>
      </c>
      <c r="F192" s="3">
        <f t="shared" si="10"/>
        <v>74.763265152936768</v>
      </c>
      <c r="G192" s="3">
        <f t="shared" si="11"/>
        <v>646.44620499361224</v>
      </c>
      <c r="H192" s="4">
        <f t="shared" si="9"/>
        <v>5.1509184062347835E-2</v>
      </c>
      <c r="K192" s="4"/>
    </row>
    <row r="193" spans="1:11" x14ac:dyDescent="0.25">
      <c r="A193" s="1" t="s">
        <v>108</v>
      </c>
      <c r="B193" s="3">
        <v>102.74</v>
      </c>
      <c r="C193" s="4">
        <v>5.2999999999999999E-2</v>
      </c>
      <c r="D193" s="5">
        <v>42340</v>
      </c>
      <c r="E193" s="3">
        <f t="shared" si="8"/>
        <v>8.7780821917808218</v>
      </c>
      <c r="F193" s="3">
        <f t="shared" si="10"/>
        <v>77.054726965659597</v>
      </c>
      <c r="G193" s="3">
        <f t="shared" si="11"/>
        <v>676.39272656978994</v>
      </c>
      <c r="H193" s="4">
        <f t="shared" si="9"/>
        <v>4.9106599416968384E-2</v>
      </c>
      <c r="K193" s="4"/>
    </row>
    <row r="194" spans="1:11" x14ac:dyDescent="0.25">
      <c r="A194" s="1" t="s">
        <v>53</v>
      </c>
      <c r="B194" s="3">
        <v>99.6</v>
      </c>
      <c r="C194" s="4">
        <v>4.8499999999999995E-2</v>
      </c>
      <c r="D194" s="5">
        <v>42353</v>
      </c>
      <c r="E194" s="3">
        <f t="shared" si="8"/>
        <v>8.8136986301369866</v>
      </c>
      <c r="F194" s="3">
        <f t="shared" si="10"/>
        <v>77.681283542878589</v>
      </c>
      <c r="G194" s="3">
        <f t="shared" si="11"/>
        <v>684.6594223491519</v>
      </c>
      <c r="H194" s="4">
        <f t="shared" si="9"/>
        <v>4.9054954791765797E-2</v>
      </c>
      <c r="K194" s="4"/>
    </row>
    <row r="195" spans="1:11" x14ac:dyDescent="0.25">
      <c r="A195" s="1" t="s">
        <v>109</v>
      </c>
      <c r="B195" s="3">
        <v>110.48</v>
      </c>
      <c r="C195" s="4">
        <v>6.7500000000000004E-2</v>
      </c>
      <c r="D195" s="5">
        <v>42370</v>
      </c>
      <c r="E195" s="3">
        <f t="shared" ref="E195:E238" si="12">(D195-DATE(2007,2,23))/365</f>
        <v>8.8602739726027391</v>
      </c>
      <c r="F195" s="3">
        <f t="shared" si="10"/>
        <v>78.504454869581522</v>
      </c>
      <c r="G195" s="3">
        <f t="shared" si="11"/>
        <v>695.57097821431955</v>
      </c>
      <c r="H195" s="4">
        <f t="shared" ref="H195:H238" si="13">YIELD(DATE(2007,2,23),D195,C195,B195,100,2,1)</f>
        <v>5.2532699216741065E-2</v>
      </c>
      <c r="K195" s="4"/>
    </row>
    <row r="196" spans="1:11" x14ac:dyDescent="0.25">
      <c r="A196" s="1" t="s">
        <v>30</v>
      </c>
      <c r="B196" s="3">
        <v>101.08</v>
      </c>
      <c r="C196" s="4">
        <v>5.3499999999999999E-2</v>
      </c>
      <c r="D196" s="5">
        <v>42384</v>
      </c>
      <c r="E196" s="3">
        <f t="shared" si="12"/>
        <v>8.8986301369863021</v>
      </c>
      <c r="F196" s="3">
        <f t="shared" ref="F196:F238" si="14">E196^2</f>
        <v>79.185618314880855</v>
      </c>
      <c r="G196" s="3">
        <f t="shared" ref="G196:G238" si="15">E196^3</f>
        <v>704.64352955269328</v>
      </c>
      <c r="H196" s="4">
        <f t="shared" si="13"/>
        <v>5.1959706176993595E-2</v>
      </c>
      <c r="K196" s="4"/>
    </row>
    <row r="197" spans="1:11" x14ac:dyDescent="0.25">
      <c r="A197" s="1" t="s">
        <v>82</v>
      </c>
      <c r="B197" s="3">
        <v>103.03</v>
      </c>
      <c r="C197" s="4">
        <v>5.5E-2</v>
      </c>
      <c r="D197" s="5">
        <v>42388</v>
      </c>
      <c r="E197" s="3">
        <f t="shared" si="12"/>
        <v>8.9095890410958898</v>
      </c>
      <c r="F197" s="3">
        <f t="shared" si="14"/>
        <v>79.380776881215979</v>
      </c>
      <c r="G197" s="3">
        <f t="shared" si="15"/>
        <v>707.25009977455989</v>
      </c>
      <c r="H197" s="4">
        <f t="shared" si="13"/>
        <v>5.0720900431997201E-2</v>
      </c>
      <c r="K197" s="4"/>
    </row>
    <row r="198" spans="1:11" x14ac:dyDescent="0.25">
      <c r="A198" s="1" t="s">
        <v>80</v>
      </c>
      <c r="B198" s="3">
        <v>100.66</v>
      </c>
      <c r="C198" s="4">
        <v>5.4000000000000006E-2</v>
      </c>
      <c r="D198" s="5">
        <v>42430</v>
      </c>
      <c r="E198" s="3">
        <f t="shared" si="12"/>
        <v>9.0246575342465754</v>
      </c>
      <c r="F198" s="3">
        <f t="shared" si="14"/>
        <v>81.444443610433481</v>
      </c>
      <c r="G198" s="3">
        <f t="shared" si="15"/>
        <v>735.00821165141883</v>
      </c>
      <c r="H198" s="4">
        <f t="shared" si="13"/>
        <v>5.3067884987205251E-2</v>
      </c>
      <c r="K198" s="4"/>
    </row>
    <row r="199" spans="1:11" x14ac:dyDescent="0.25">
      <c r="A199" s="1" t="s">
        <v>83</v>
      </c>
      <c r="B199" s="3">
        <v>102.87</v>
      </c>
      <c r="C199" s="4">
        <v>5.3749999999999999E-2</v>
      </c>
      <c r="D199" s="5">
        <v>42431</v>
      </c>
      <c r="E199" s="3">
        <f t="shared" si="12"/>
        <v>9.0273972602739718</v>
      </c>
      <c r="F199" s="3">
        <f t="shared" si="14"/>
        <v>81.493901294802015</v>
      </c>
      <c r="G199" s="3">
        <f t="shared" si="15"/>
        <v>735.67782127773319</v>
      </c>
      <c r="H199" s="4">
        <f t="shared" si="13"/>
        <v>4.9760167890962402E-2</v>
      </c>
      <c r="K199" s="4"/>
    </row>
    <row r="200" spans="1:11" x14ac:dyDescent="0.25">
      <c r="A200" s="1" t="s">
        <v>37</v>
      </c>
      <c r="B200" s="3">
        <v>106.27</v>
      </c>
      <c r="C200" s="4">
        <v>5.8749999999999997E-2</v>
      </c>
      <c r="D200" s="5">
        <v>42505</v>
      </c>
      <c r="E200" s="3">
        <f t="shared" si="12"/>
        <v>9.2301369863013694</v>
      </c>
      <c r="F200" s="3">
        <f t="shared" si="14"/>
        <v>85.195428785888524</v>
      </c>
      <c r="G200" s="3">
        <f t="shared" si="15"/>
        <v>786.36547830043401</v>
      </c>
      <c r="H200" s="4">
        <f t="shared" si="13"/>
        <v>5.0163155412692083E-2</v>
      </c>
      <c r="K200" s="4"/>
    </row>
    <row r="201" spans="1:11" x14ac:dyDescent="0.25">
      <c r="A201" s="1" t="s">
        <v>110</v>
      </c>
      <c r="B201" s="3">
        <v>105.63</v>
      </c>
      <c r="C201" s="4">
        <v>5.8749999999999997E-2</v>
      </c>
      <c r="D201" s="5">
        <v>42534</v>
      </c>
      <c r="E201" s="3">
        <f t="shared" si="12"/>
        <v>9.3095890410958901</v>
      </c>
      <c r="F201" s="3">
        <f t="shared" si="14"/>
        <v>86.668448114092698</v>
      </c>
      <c r="G201" s="3">
        <f t="shared" si="15"/>
        <v>806.84763477174511</v>
      </c>
      <c r="H201" s="4">
        <f t="shared" si="13"/>
        <v>5.1059406825020831E-2</v>
      </c>
      <c r="K201" s="4"/>
    </row>
    <row r="202" spans="1:11" x14ac:dyDescent="0.25">
      <c r="A202" s="1" t="s">
        <v>32</v>
      </c>
      <c r="B202" s="3">
        <v>106.47</v>
      </c>
      <c r="C202" s="4">
        <v>5.8499999999999996E-2</v>
      </c>
      <c r="D202" s="5">
        <v>42584</v>
      </c>
      <c r="E202" s="3">
        <f t="shared" si="12"/>
        <v>9.4465753424657528</v>
      </c>
      <c r="F202" s="3">
        <f t="shared" si="14"/>
        <v>89.237785700881957</v>
      </c>
      <c r="G202" s="3">
        <f t="shared" si="15"/>
        <v>842.99146601819439</v>
      </c>
      <c r="H202" s="4">
        <f t="shared" si="13"/>
        <v>4.982160182473467E-2</v>
      </c>
      <c r="K202" s="4"/>
    </row>
    <row r="203" spans="1:11" x14ac:dyDescent="0.25">
      <c r="A203" s="1" t="s">
        <v>51</v>
      </c>
      <c r="B203" s="3">
        <v>105</v>
      </c>
      <c r="C203" s="4">
        <v>5.7500000000000002E-2</v>
      </c>
      <c r="D203" s="5">
        <v>42597</v>
      </c>
      <c r="E203" s="3">
        <f t="shared" si="12"/>
        <v>9.4821917808219176</v>
      </c>
      <c r="F203" s="3">
        <f t="shared" si="14"/>
        <v>89.911960968286735</v>
      </c>
      <c r="G203" s="3">
        <f t="shared" si="15"/>
        <v>852.56245729106956</v>
      </c>
      <c r="H203" s="4">
        <f t="shared" si="13"/>
        <v>5.078597675807061E-2</v>
      </c>
      <c r="K203" s="4"/>
    </row>
    <row r="204" spans="1:11" x14ac:dyDescent="0.25">
      <c r="A204" s="1" t="s">
        <v>77</v>
      </c>
      <c r="B204" s="3">
        <v>119.53</v>
      </c>
      <c r="C204" s="4">
        <v>7.8E-2</v>
      </c>
      <c r="D204" s="5">
        <v>42628</v>
      </c>
      <c r="E204" s="3">
        <f t="shared" si="12"/>
        <v>9.5671232876712331</v>
      </c>
      <c r="F204" s="3">
        <f t="shared" si="14"/>
        <v>91.529848001501222</v>
      </c>
      <c r="G204" s="3">
        <f t="shared" si="15"/>
        <v>875.67734033217062</v>
      </c>
      <c r="H204" s="4">
        <f t="shared" si="13"/>
        <v>5.1819866832150105E-2</v>
      </c>
      <c r="K204" s="4"/>
    </row>
    <row r="205" spans="1:11" x14ac:dyDescent="0.25">
      <c r="A205" s="1" t="s">
        <v>36</v>
      </c>
      <c r="B205" s="3">
        <v>100.25</v>
      </c>
      <c r="C205" s="4">
        <v>5.1249999999999997E-2</v>
      </c>
      <c r="D205" s="5">
        <v>42628</v>
      </c>
      <c r="E205" s="3">
        <f t="shared" si="12"/>
        <v>9.5671232876712331</v>
      </c>
      <c r="F205" s="3">
        <f t="shared" si="14"/>
        <v>91.529848001501222</v>
      </c>
      <c r="G205" s="3">
        <f t="shared" si="15"/>
        <v>875.67734033217062</v>
      </c>
      <c r="H205" s="4">
        <f t="shared" si="13"/>
        <v>5.0912092781298858E-2</v>
      </c>
      <c r="K205" s="4"/>
    </row>
    <row r="206" spans="1:11" x14ac:dyDescent="0.25">
      <c r="A206" s="1" t="s">
        <v>30</v>
      </c>
      <c r="B206" s="3">
        <v>103.52</v>
      </c>
      <c r="C206" s="4">
        <v>5.7500000000000002E-2</v>
      </c>
      <c r="D206" s="5">
        <v>42644</v>
      </c>
      <c r="E206" s="3">
        <f t="shared" si="12"/>
        <v>9.6109589041095891</v>
      </c>
      <c r="F206" s="3">
        <f t="shared" si="14"/>
        <v>92.370531056483387</v>
      </c>
      <c r="G206" s="3">
        <f t="shared" si="15"/>
        <v>887.76937793464037</v>
      </c>
      <c r="H206" s="4">
        <f t="shared" si="13"/>
        <v>5.2771774440779677E-2</v>
      </c>
      <c r="K206" s="4"/>
    </row>
    <row r="207" spans="1:11" x14ac:dyDescent="0.25">
      <c r="A207" s="1" t="s">
        <v>111</v>
      </c>
      <c r="B207" s="3">
        <v>104.29</v>
      </c>
      <c r="C207" s="4">
        <v>5.5999999999999994E-2</v>
      </c>
      <c r="D207" s="5">
        <v>42661</v>
      </c>
      <c r="E207" s="3">
        <f t="shared" si="12"/>
        <v>9.6575342465753433</v>
      </c>
      <c r="F207" s="3">
        <f t="shared" si="14"/>
        <v>93.267967723775584</v>
      </c>
      <c r="G207" s="3">
        <f t="shared" si="15"/>
        <v>900.73859240084653</v>
      </c>
      <c r="H207" s="4">
        <f t="shared" si="13"/>
        <v>5.0322963558917411E-2</v>
      </c>
      <c r="K207" s="4"/>
    </row>
    <row r="208" spans="1:11" x14ac:dyDescent="0.25">
      <c r="A208" s="1" t="s">
        <v>49</v>
      </c>
      <c r="B208" s="3">
        <v>104.2</v>
      </c>
      <c r="C208" s="4">
        <v>5.7500000000000002E-2</v>
      </c>
      <c r="D208" s="5">
        <v>42661</v>
      </c>
      <c r="E208" s="3">
        <f t="shared" si="12"/>
        <v>9.6575342465753433</v>
      </c>
      <c r="F208" s="3">
        <f t="shared" si="14"/>
        <v>93.267967723775584</v>
      </c>
      <c r="G208" s="3">
        <f t="shared" si="15"/>
        <v>900.73859240084653</v>
      </c>
      <c r="H208" s="4">
        <f t="shared" si="13"/>
        <v>5.190107661730621E-2</v>
      </c>
      <c r="K208" s="4"/>
    </row>
    <row r="209" spans="1:11" x14ac:dyDescent="0.25">
      <c r="A209" s="1" t="s">
        <v>91</v>
      </c>
      <c r="B209" s="3">
        <v>101.6</v>
      </c>
      <c r="C209" s="4">
        <v>5.2000000000000005E-2</v>
      </c>
      <c r="D209" s="5">
        <v>42681</v>
      </c>
      <c r="E209" s="3">
        <f t="shared" si="12"/>
        <v>9.712328767123287</v>
      </c>
      <c r="F209" s="3">
        <f t="shared" si="14"/>
        <v>94.329330080690553</v>
      </c>
      <c r="G209" s="3">
        <f t="shared" si="15"/>
        <v>916.15746612615885</v>
      </c>
      <c r="H209" s="4">
        <f t="shared" si="13"/>
        <v>4.9889389556585458E-2</v>
      </c>
      <c r="K209" s="4"/>
    </row>
    <row r="210" spans="1:11" x14ac:dyDescent="0.25">
      <c r="A210" s="1" t="s">
        <v>49</v>
      </c>
      <c r="B210" s="3">
        <v>101.38</v>
      </c>
      <c r="C210" s="4">
        <v>5.45E-2</v>
      </c>
      <c r="D210" s="5">
        <v>42744</v>
      </c>
      <c r="E210" s="3">
        <f t="shared" si="12"/>
        <v>9.8849315068493144</v>
      </c>
      <c r="F210" s="3">
        <f t="shared" si="14"/>
        <v>97.711870895102251</v>
      </c>
      <c r="G210" s="3">
        <f t="shared" si="15"/>
        <v>965.8751512041888</v>
      </c>
      <c r="H210" s="4">
        <f t="shared" si="13"/>
        <v>5.2681168492381858E-2</v>
      </c>
      <c r="K210" s="4"/>
    </row>
    <row r="211" spans="1:11" x14ac:dyDescent="0.25">
      <c r="A211" s="1" t="s">
        <v>32</v>
      </c>
      <c r="B211" s="3">
        <v>102.74</v>
      </c>
      <c r="C211" s="4">
        <v>5.5E-2</v>
      </c>
      <c r="D211" s="5">
        <v>42781</v>
      </c>
      <c r="E211" s="3">
        <f t="shared" si="12"/>
        <v>9.9863013698630141</v>
      </c>
      <c r="F211" s="3">
        <f t="shared" si="14"/>
        <v>99.726215049727912</v>
      </c>
      <c r="G211" s="3">
        <f t="shared" si="15"/>
        <v>995.89603796235133</v>
      </c>
      <c r="H211" s="4">
        <f t="shared" si="13"/>
        <v>5.1452655964876672E-2</v>
      </c>
      <c r="K211" s="4"/>
    </row>
    <row r="212" spans="1:11" x14ac:dyDescent="0.25">
      <c r="A212" s="1" t="s">
        <v>107</v>
      </c>
      <c r="B212" s="3">
        <v>104.62</v>
      </c>
      <c r="C212" s="4">
        <v>5.45E-2</v>
      </c>
      <c r="D212" s="5">
        <v>43070</v>
      </c>
      <c r="E212" s="3">
        <f t="shared" si="12"/>
        <v>10.778082191780822</v>
      </c>
      <c r="F212" s="3">
        <f t="shared" si="14"/>
        <v>116.16705573278288</v>
      </c>
      <c r="G212" s="3">
        <f t="shared" si="15"/>
        <v>1252.0580746651174</v>
      </c>
      <c r="H212" s="4">
        <f t="shared" si="13"/>
        <v>4.8920233546160645E-2</v>
      </c>
      <c r="K212" s="4"/>
    </row>
    <row r="213" spans="1:11" x14ac:dyDescent="0.25">
      <c r="A213" s="1" t="s">
        <v>96</v>
      </c>
      <c r="B213" s="3">
        <v>97.36</v>
      </c>
      <c r="C213" s="4">
        <v>4.7500000000000001E-2</v>
      </c>
      <c r="D213" s="5">
        <v>43235</v>
      </c>
      <c r="E213" s="3">
        <f t="shared" si="12"/>
        <v>11.230136986301369</v>
      </c>
      <c r="F213" s="3">
        <f t="shared" si="14"/>
        <v>126.11597673109401</v>
      </c>
      <c r="G213" s="3">
        <f t="shared" si="15"/>
        <v>1416.2996948513817</v>
      </c>
      <c r="H213" s="4">
        <f t="shared" si="13"/>
        <v>5.0603215078494891E-2</v>
      </c>
      <c r="K213" s="4"/>
    </row>
    <row r="214" spans="1:11" ht="12.75" customHeight="1" x14ac:dyDescent="0.25">
      <c r="A214" s="1" t="s">
        <v>106</v>
      </c>
      <c r="B214" s="3">
        <v>109.82</v>
      </c>
      <c r="C214" s="4">
        <v>6.25E-2</v>
      </c>
      <c r="D214" s="5">
        <v>43296</v>
      </c>
      <c r="E214" s="3">
        <f t="shared" si="12"/>
        <v>11.397260273972602</v>
      </c>
      <c r="F214" s="3">
        <f t="shared" si="14"/>
        <v>129.89754175267404</v>
      </c>
      <c r="G214" s="3">
        <f t="shared" si="15"/>
        <v>1480.4760923044494</v>
      </c>
      <c r="H214" s="4">
        <f t="shared" si="13"/>
        <v>5.1019501167297907E-2</v>
      </c>
      <c r="K214" s="4"/>
    </row>
    <row r="215" spans="1:11" x14ac:dyDescent="0.25">
      <c r="A215" s="1" t="s">
        <v>26</v>
      </c>
      <c r="B215" s="3">
        <v>112.35</v>
      </c>
      <c r="C215" s="4">
        <v>6.5000000000000002E-2</v>
      </c>
      <c r="D215" s="5">
        <v>43296</v>
      </c>
      <c r="E215" s="3">
        <f t="shared" si="12"/>
        <v>11.397260273972602</v>
      </c>
      <c r="F215" s="3">
        <f t="shared" si="14"/>
        <v>129.89754175267404</v>
      </c>
      <c r="G215" s="3">
        <f t="shared" si="15"/>
        <v>1480.4760923044494</v>
      </c>
      <c r="H215" s="4">
        <f t="shared" si="13"/>
        <v>5.0595678255484534E-2</v>
      </c>
      <c r="K215" s="4"/>
    </row>
    <row r="216" spans="1:11" x14ac:dyDescent="0.25">
      <c r="A216" s="1" t="s">
        <v>26</v>
      </c>
      <c r="B216" s="3">
        <v>115.81</v>
      </c>
      <c r="C216" s="4">
        <v>6.8750000000000006E-2</v>
      </c>
      <c r="D216" s="5">
        <v>43419</v>
      </c>
      <c r="E216" s="3">
        <f t="shared" si="12"/>
        <v>11.734246575342466</v>
      </c>
      <c r="F216" s="3">
        <f t="shared" si="14"/>
        <v>137.69254269093639</v>
      </c>
      <c r="G216" s="3">
        <f t="shared" si="15"/>
        <v>1615.7182475213167</v>
      </c>
      <c r="H216" s="4">
        <f t="shared" si="13"/>
        <v>5.0685883972549646E-2</v>
      </c>
      <c r="K216" s="4"/>
    </row>
    <row r="217" spans="1:11" x14ac:dyDescent="0.25">
      <c r="A217" s="1" t="s">
        <v>112</v>
      </c>
      <c r="B217" s="3">
        <v>99.09</v>
      </c>
      <c r="C217" s="4">
        <v>5.2000000000000005E-2</v>
      </c>
      <c r="D217" s="5">
        <v>43525</v>
      </c>
      <c r="E217" s="3">
        <f t="shared" si="12"/>
        <v>12.024657534246575</v>
      </c>
      <c r="F217" s="3">
        <f t="shared" si="14"/>
        <v>144.59238881591293</v>
      </c>
      <c r="G217" s="3">
        <f t="shared" si="15"/>
        <v>1738.6739575699776</v>
      </c>
      <c r="H217" s="4">
        <f t="shared" si="13"/>
        <v>5.3032467258379373E-2</v>
      </c>
      <c r="K217" s="4"/>
    </row>
    <row r="218" spans="1:11" x14ac:dyDescent="0.25">
      <c r="A218" s="1" t="s">
        <v>63</v>
      </c>
      <c r="B218" s="3">
        <v>132.01</v>
      </c>
      <c r="C218" s="4">
        <v>8.2500000000000004E-2</v>
      </c>
      <c r="D218" s="5">
        <v>44593</v>
      </c>
      <c r="E218" s="3">
        <f t="shared" si="12"/>
        <v>14.950684931506849</v>
      </c>
      <c r="F218" s="3">
        <f t="shared" si="14"/>
        <v>223.52297992118596</v>
      </c>
      <c r="G218" s="3">
        <f t="shared" si="15"/>
        <v>3341.8216477531832</v>
      </c>
      <c r="H218" s="4">
        <f t="shared" si="13"/>
        <v>5.151398971465436E-2</v>
      </c>
      <c r="K218" s="4"/>
    </row>
    <row r="219" spans="1:11" x14ac:dyDescent="0.25">
      <c r="A219" s="1" t="s">
        <v>32</v>
      </c>
      <c r="B219" s="3">
        <v>125.85</v>
      </c>
      <c r="C219" s="4">
        <v>7.8750000000000001E-2</v>
      </c>
      <c r="D219" s="5">
        <v>45792</v>
      </c>
      <c r="E219" s="3">
        <f t="shared" si="12"/>
        <v>18.235616438356164</v>
      </c>
      <c r="F219" s="3">
        <f t="shared" si="14"/>
        <v>332.53770688684557</v>
      </c>
      <c r="G219" s="3">
        <f t="shared" si="15"/>
        <v>6064.0300740790244</v>
      </c>
      <c r="H219" s="4">
        <f t="shared" si="13"/>
        <v>5.5934890724547028E-2</v>
      </c>
      <c r="K219" s="4"/>
    </row>
    <row r="220" spans="1:11" x14ac:dyDescent="0.25">
      <c r="A220" s="1" t="s">
        <v>93</v>
      </c>
      <c r="B220" s="3">
        <v>111.02</v>
      </c>
      <c r="C220" s="4">
        <v>6.3E-2</v>
      </c>
      <c r="D220" s="5">
        <v>46023</v>
      </c>
      <c r="E220" s="3">
        <f t="shared" si="12"/>
        <v>18.86849315068493</v>
      </c>
      <c r="F220" s="3">
        <f t="shared" si="14"/>
        <v>356.02003377744416</v>
      </c>
      <c r="G220" s="3">
        <f t="shared" si="15"/>
        <v>6717.5615688363223</v>
      </c>
      <c r="H220" s="4">
        <f t="shared" si="13"/>
        <v>5.3631074466867303E-2</v>
      </c>
      <c r="K220" s="4"/>
    </row>
    <row r="221" spans="1:11" x14ac:dyDescent="0.25">
      <c r="A221" s="1" t="s">
        <v>113</v>
      </c>
      <c r="B221" s="3">
        <v>113.7</v>
      </c>
      <c r="C221" s="4">
        <v>7.0000000000000007E-2</v>
      </c>
      <c r="D221" s="5">
        <v>46066</v>
      </c>
      <c r="E221" s="3">
        <f t="shared" si="12"/>
        <v>18.986301369863014</v>
      </c>
      <c r="F221" s="3">
        <f t="shared" si="14"/>
        <v>360.47963970726215</v>
      </c>
      <c r="G221" s="3">
        <f t="shared" si="15"/>
        <v>6844.1750771817169</v>
      </c>
      <c r="H221" s="4">
        <f t="shared" si="13"/>
        <v>5.7995349664438062E-2</v>
      </c>
      <c r="K221" s="4"/>
    </row>
    <row r="222" spans="1:11" x14ac:dyDescent="0.25">
      <c r="A222" s="1" t="s">
        <v>49</v>
      </c>
      <c r="B222" s="3">
        <v>110.44</v>
      </c>
      <c r="C222" s="4">
        <v>6.25E-2</v>
      </c>
      <c r="D222" s="5">
        <v>46243</v>
      </c>
      <c r="E222" s="3">
        <f t="shared" si="12"/>
        <v>19.471232876712328</v>
      </c>
      <c r="F222" s="3">
        <f t="shared" si="14"/>
        <v>379.12890973916302</v>
      </c>
      <c r="G222" s="3">
        <f t="shared" si="15"/>
        <v>7382.1072918252921</v>
      </c>
      <c r="H222" s="4">
        <f t="shared" si="13"/>
        <v>5.3779134854995331E-2</v>
      </c>
      <c r="K222" s="4"/>
    </row>
    <row r="223" spans="1:11" x14ac:dyDescent="0.25">
      <c r="A223" s="1" t="s">
        <v>114</v>
      </c>
      <c r="B223" s="3">
        <v>137.75</v>
      </c>
      <c r="C223" s="4">
        <v>8.2500000000000004E-2</v>
      </c>
      <c r="D223" s="5">
        <v>46402</v>
      </c>
      <c r="E223" s="3">
        <f t="shared" si="12"/>
        <v>19.906849315068492</v>
      </c>
      <c r="F223" s="3">
        <f t="shared" si="14"/>
        <v>396.28264965284285</v>
      </c>
      <c r="G223" s="3">
        <f t="shared" si="15"/>
        <v>7888.7389928152215</v>
      </c>
      <c r="H223" s="4">
        <f t="shared" si="13"/>
        <v>5.1850807856254212E-2</v>
      </c>
      <c r="K223" s="4"/>
    </row>
    <row r="224" spans="1:11" x14ac:dyDescent="0.25">
      <c r="A224" s="1" t="s">
        <v>115</v>
      </c>
      <c r="B224" s="3">
        <v>116.3</v>
      </c>
      <c r="C224" s="4">
        <v>6.5799999999999997E-2</v>
      </c>
      <c r="D224" s="5">
        <v>46798</v>
      </c>
      <c r="E224" s="3">
        <f t="shared" si="12"/>
        <v>20.991780821917807</v>
      </c>
      <c r="F224" s="3">
        <f t="shared" si="14"/>
        <v>440.65486207543626</v>
      </c>
      <c r="G224" s="3">
        <f t="shared" si="15"/>
        <v>9250.1302827999789</v>
      </c>
      <c r="H224" s="4">
        <f t="shared" si="13"/>
        <v>5.2848805297322665E-2</v>
      </c>
      <c r="K224" s="4"/>
    </row>
    <row r="225" spans="1:11" x14ac:dyDescent="0.25">
      <c r="A225" s="1" t="s">
        <v>93</v>
      </c>
      <c r="B225" s="3">
        <v>107.38</v>
      </c>
      <c r="C225" s="4">
        <v>5.9500000000000004E-2</v>
      </c>
      <c r="D225" s="5">
        <v>47088</v>
      </c>
      <c r="E225" s="3">
        <f t="shared" si="12"/>
        <v>21.786301369863015</v>
      </c>
      <c r="F225" s="3">
        <f t="shared" si="14"/>
        <v>474.64292737849507</v>
      </c>
      <c r="G225" s="3">
        <f t="shared" si="15"/>
        <v>10340.713858941899</v>
      </c>
      <c r="H225" s="4">
        <f t="shared" si="13"/>
        <v>5.3702457067255772E-2</v>
      </c>
      <c r="K225" s="4"/>
    </row>
    <row r="226" spans="1:11" x14ac:dyDescent="0.25">
      <c r="A226" s="1" t="s">
        <v>55</v>
      </c>
      <c r="B226" s="3">
        <v>127.27</v>
      </c>
      <c r="C226" s="4">
        <v>7.5499999999999998E-2</v>
      </c>
      <c r="D226" s="5">
        <v>47529</v>
      </c>
      <c r="E226" s="3">
        <f t="shared" si="12"/>
        <v>22.994520547945207</v>
      </c>
      <c r="F226" s="3">
        <f t="shared" si="14"/>
        <v>528.74797522987433</v>
      </c>
      <c r="G226" s="3">
        <f t="shared" si="15"/>
        <v>12158.306181107768</v>
      </c>
      <c r="H226" s="4">
        <f t="shared" si="13"/>
        <v>5.4538345954015785E-2</v>
      </c>
      <c r="K226" s="4"/>
    </row>
    <row r="227" spans="1:11" x14ac:dyDescent="0.25">
      <c r="A227" s="1" t="s">
        <v>83</v>
      </c>
      <c r="B227" s="3">
        <v>124.87</v>
      </c>
      <c r="C227" s="4">
        <v>7.1249999999999994E-2</v>
      </c>
      <c r="D227" s="5">
        <v>48410</v>
      </c>
      <c r="E227" s="3">
        <f t="shared" si="12"/>
        <v>25.408219178082192</v>
      </c>
      <c r="F227" s="3">
        <f t="shared" si="14"/>
        <v>645.57760180146363</v>
      </c>
      <c r="G227" s="3">
        <f t="shared" si="15"/>
        <v>16402.977203032257</v>
      </c>
      <c r="H227" s="4">
        <f t="shared" si="13"/>
        <v>5.3265054571152652E-2</v>
      </c>
      <c r="K227" s="4"/>
    </row>
    <row r="228" spans="1:11" x14ac:dyDescent="0.25">
      <c r="A228" s="1" t="s">
        <v>30</v>
      </c>
      <c r="B228" s="3">
        <v>107.82</v>
      </c>
      <c r="C228" s="4">
        <v>6.1249999999999999E-2</v>
      </c>
      <c r="D228" s="5">
        <v>48625</v>
      </c>
      <c r="E228" s="3">
        <f t="shared" si="12"/>
        <v>25.997260273972604</v>
      </c>
      <c r="F228" s="3">
        <f t="shared" si="14"/>
        <v>675.85754175267414</v>
      </c>
      <c r="G228" s="3">
        <f t="shared" si="15"/>
        <v>17570.444421071577</v>
      </c>
      <c r="H228" s="4">
        <f t="shared" si="13"/>
        <v>5.5527457085350174E-2</v>
      </c>
      <c r="K228" s="4"/>
    </row>
    <row r="229" spans="1:11" x14ac:dyDescent="0.25">
      <c r="A229" s="1" t="s">
        <v>32</v>
      </c>
      <c r="B229" s="3">
        <v>108.4</v>
      </c>
      <c r="C229" s="4">
        <v>0.06</v>
      </c>
      <c r="D229" s="5">
        <v>48883</v>
      </c>
      <c r="E229" s="3">
        <f t="shared" si="12"/>
        <v>26.704109589041096</v>
      </c>
      <c r="F229" s="3">
        <f t="shared" si="14"/>
        <v>713.10946894351662</v>
      </c>
      <c r="G229" s="3">
        <f t="shared" si="15"/>
        <v>19042.953407650566</v>
      </c>
      <c r="H229" s="4">
        <f t="shared" si="13"/>
        <v>5.4013940638375689E-2</v>
      </c>
      <c r="K229" s="4"/>
    </row>
    <row r="230" spans="1:11" x14ac:dyDescent="0.25">
      <c r="A230" s="1" t="s">
        <v>53</v>
      </c>
      <c r="B230" s="3">
        <v>107.97</v>
      </c>
      <c r="C230" s="4">
        <v>5.7999999999999996E-2</v>
      </c>
      <c r="D230" s="5">
        <v>49171</v>
      </c>
      <c r="E230" s="3">
        <f t="shared" si="12"/>
        <v>27.493150684931507</v>
      </c>
      <c r="F230" s="3">
        <f t="shared" si="14"/>
        <v>755.87333458434978</v>
      </c>
      <c r="G230" s="3">
        <f t="shared" si="15"/>
        <v>20781.339486449178</v>
      </c>
      <c r="H230" s="4">
        <f t="shared" si="13"/>
        <v>5.2488517489148845E-2</v>
      </c>
      <c r="K230" s="4"/>
    </row>
    <row r="231" spans="1:11" x14ac:dyDescent="0.25">
      <c r="A231" s="1" t="s">
        <v>32</v>
      </c>
      <c r="B231" s="3">
        <v>106.82</v>
      </c>
      <c r="C231" s="4">
        <v>5.8499999999999996E-2</v>
      </c>
      <c r="D231" s="5">
        <v>49289</v>
      </c>
      <c r="E231" s="3">
        <f t="shared" si="12"/>
        <v>27.816438356164383</v>
      </c>
      <c r="F231" s="3">
        <f t="shared" si="14"/>
        <v>773.75424282229312</v>
      </c>
      <c r="G231" s="3">
        <f t="shared" si="15"/>
        <v>21523.087198286965</v>
      </c>
      <c r="H231" s="4">
        <f t="shared" si="13"/>
        <v>5.3739897481707551E-2</v>
      </c>
      <c r="K231" s="4"/>
    </row>
    <row r="232" spans="1:11" x14ac:dyDescent="0.25">
      <c r="A232" s="1" t="s">
        <v>55</v>
      </c>
      <c r="B232" s="3">
        <v>97.87</v>
      </c>
      <c r="C232" s="4">
        <v>5.2499999999999998E-2</v>
      </c>
      <c r="D232" s="5">
        <v>49553</v>
      </c>
      <c r="E232" s="3">
        <f t="shared" si="12"/>
        <v>28.539726027397261</v>
      </c>
      <c r="F232" s="3">
        <f t="shared" si="14"/>
        <v>814.51596171889662</v>
      </c>
      <c r="G232" s="3">
        <f t="shared" si="15"/>
        <v>23246.062392399304</v>
      </c>
      <c r="H232" s="4">
        <f t="shared" si="13"/>
        <v>5.3971168173363643E-2</v>
      </c>
      <c r="K232" s="4"/>
    </row>
    <row r="233" spans="1:11" x14ac:dyDescent="0.25">
      <c r="A233" s="1" t="s">
        <v>116</v>
      </c>
      <c r="B233" s="3">
        <v>114.13</v>
      </c>
      <c r="C233" s="4">
        <v>6.5000000000000002E-2</v>
      </c>
      <c r="D233" s="5">
        <v>49797</v>
      </c>
      <c r="E233" s="3">
        <f t="shared" si="12"/>
        <v>29.208219178082192</v>
      </c>
      <c r="F233" s="3">
        <f t="shared" si="14"/>
        <v>853.12006755488835</v>
      </c>
      <c r="G233" s="3">
        <f t="shared" si="15"/>
        <v>24918.117918363467</v>
      </c>
      <c r="H233" s="4">
        <f t="shared" si="13"/>
        <v>5.5193988960653757E-2</v>
      </c>
      <c r="K233" s="4"/>
    </row>
    <row r="234" spans="1:11" x14ac:dyDescent="0.25">
      <c r="A234" s="1" t="s">
        <v>117</v>
      </c>
      <c r="B234" s="3">
        <v>113.93</v>
      </c>
      <c r="C234" s="4">
        <v>6.6250000000000003E-2</v>
      </c>
      <c r="D234" s="5">
        <v>49818</v>
      </c>
      <c r="E234" s="3">
        <f t="shared" si="12"/>
        <v>29.265753424657536</v>
      </c>
      <c r="F234" s="3">
        <f t="shared" si="14"/>
        <v>856.4843235128543</v>
      </c>
      <c r="G234" s="3">
        <f t="shared" si="15"/>
        <v>25065.659024011809</v>
      </c>
      <c r="H234" s="4">
        <f t="shared" si="13"/>
        <v>5.6456944518999762E-2</v>
      </c>
      <c r="K234" s="4"/>
    </row>
    <row r="235" spans="1:11" x14ac:dyDescent="0.25">
      <c r="A235" s="1" t="s">
        <v>32</v>
      </c>
      <c r="B235" s="3">
        <v>109.49</v>
      </c>
      <c r="C235" s="4">
        <v>6.1249999999999999E-2</v>
      </c>
      <c r="D235" s="5">
        <v>49912</v>
      </c>
      <c r="E235" s="3">
        <f t="shared" si="12"/>
        <v>29.523287671232875</v>
      </c>
      <c r="F235" s="3">
        <f t="shared" si="14"/>
        <v>871.62451491837112</v>
      </c>
      <c r="G235" s="3">
        <f t="shared" si="15"/>
        <v>25733.221295233881</v>
      </c>
      <c r="H235" s="4">
        <f t="shared" si="13"/>
        <v>5.4730517967496443E-2</v>
      </c>
      <c r="K235" s="4"/>
    </row>
    <row r="236" spans="1:11" x14ac:dyDescent="0.25">
      <c r="A236" s="1" t="s">
        <v>93</v>
      </c>
      <c r="B236" s="3">
        <v>104.75</v>
      </c>
      <c r="C236" s="4">
        <v>5.7500000000000002E-2</v>
      </c>
      <c r="D236" s="5">
        <v>49994</v>
      </c>
      <c r="E236" s="3">
        <f t="shared" si="12"/>
        <v>29.747945205479454</v>
      </c>
      <c r="F236" s="3">
        <f t="shared" si="14"/>
        <v>884.94024394820804</v>
      </c>
      <c r="G236" s="3">
        <f t="shared" si="15"/>
        <v>26325.153887094912</v>
      </c>
      <c r="H236" s="4">
        <f t="shared" si="13"/>
        <v>5.4257137535448571E-2</v>
      </c>
      <c r="K236" s="4"/>
    </row>
    <row r="237" spans="1:11" x14ac:dyDescent="0.25">
      <c r="A237" s="1" t="s">
        <v>80</v>
      </c>
      <c r="B237" s="3">
        <v>104.24</v>
      </c>
      <c r="C237" s="4">
        <v>5.8749999999999997E-2</v>
      </c>
      <c r="D237" s="5">
        <v>50025</v>
      </c>
      <c r="E237" s="3">
        <f t="shared" si="12"/>
        <v>29.832876712328765</v>
      </c>
      <c r="F237" s="3">
        <f t="shared" si="14"/>
        <v>890.000532933008</v>
      </c>
      <c r="G237" s="3">
        <f t="shared" si="15"/>
        <v>26551.276172897324</v>
      </c>
      <c r="H237" s="4">
        <f t="shared" si="13"/>
        <v>5.5808294487650255E-2</v>
      </c>
      <c r="K237" s="4"/>
    </row>
    <row r="238" spans="1:11" x14ac:dyDescent="0.25">
      <c r="A238" s="1" t="s">
        <v>118</v>
      </c>
      <c r="B238" s="3">
        <v>105.6</v>
      </c>
      <c r="C238" s="4">
        <v>5.8499999999999996E-2</v>
      </c>
      <c r="D238" s="5">
        <v>50072</v>
      </c>
      <c r="E238" s="3">
        <f t="shared" si="12"/>
        <v>29.961643835616439</v>
      </c>
      <c r="F238" s="3">
        <f t="shared" si="14"/>
        <v>897.70010133233257</v>
      </c>
      <c r="G238" s="3">
        <f t="shared" si="15"/>
        <v>26896.570707316136</v>
      </c>
      <c r="H238" s="4">
        <f t="shared" si="13"/>
        <v>5.4675133941745925E-2</v>
      </c>
      <c r="K238" s="4"/>
    </row>
  </sheetData>
  <mergeCells count="2">
    <mergeCell ref="A1:H1"/>
    <mergeCell ref="J2:N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2024-12-18T07:41:24Z</dcterms:modified>
</cp:coreProperties>
</file>