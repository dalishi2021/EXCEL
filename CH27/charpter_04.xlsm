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11636CC5-1EBE-4B65-AA6A-74AC30E88F8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08, bottom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F249" i="2"/>
  <c r="E249" i="2"/>
  <c r="F248" i="2"/>
  <c r="E248" i="2"/>
  <c r="F247" i="2"/>
  <c r="E247" i="2"/>
  <c r="F246" i="2"/>
  <c r="E246" i="2"/>
  <c r="F245" i="2"/>
  <c r="E245" i="2"/>
  <c r="F244" i="2"/>
  <c r="E244" i="2"/>
  <c r="F243" i="2"/>
  <c r="E243" i="2"/>
  <c r="F242" i="2"/>
  <c r="E242" i="2"/>
  <c r="F241" i="2"/>
  <c r="E241" i="2"/>
  <c r="F240" i="2"/>
  <c r="E240" i="2"/>
  <c r="F239" i="2"/>
  <c r="E239" i="2"/>
  <c r="F238" i="2"/>
  <c r="E238" i="2"/>
  <c r="F237" i="2"/>
  <c r="E237" i="2"/>
  <c r="F236" i="2"/>
  <c r="E236" i="2"/>
  <c r="F235" i="2"/>
  <c r="E235" i="2"/>
  <c r="F234" i="2"/>
  <c r="E234" i="2"/>
  <c r="F233" i="2"/>
  <c r="E233" i="2"/>
  <c r="F232" i="2"/>
  <c r="E232" i="2"/>
  <c r="F231" i="2"/>
  <c r="E231" i="2"/>
  <c r="F230" i="2"/>
  <c r="E230" i="2"/>
  <c r="F229" i="2"/>
  <c r="E229" i="2"/>
  <c r="F228" i="2"/>
  <c r="E228" i="2"/>
  <c r="F227" i="2"/>
  <c r="E227" i="2"/>
  <c r="F226" i="2"/>
  <c r="E226" i="2"/>
  <c r="F225" i="2"/>
  <c r="E225" i="2"/>
  <c r="F224" i="2"/>
  <c r="E224" i="2"/>
  <c r="F223" i="2"/>
  <c r="E223" i="2"/>
  <c r="F222" i="2"/>
  <c r="E222" i="2"/>
  <c r="F221" i="2"/>
  <c r="E221" i="2"/>
  <c r="F220" i="2"/>
  <c r="E220" i="2"/>
  <c r="F219" i="2"/>
  <c r="E219" i="2"/>
  <c r="F218" i="2"/>
  <c r="E218" i="2"/>
  <c r="F217" i="2"/>
  <c r="E217" i="2"/>
  <c r="F216" i="2"/>
  <c r="E216" i="2"/>
  <c r="F215" i="2"/>
  <c r="E215" i="2"/>
  <c r="F214" i="2"/>
  <c r="E214" i="2"/>
  <c r="F213" i="2"/>
  <c r="E213" i="2"/>
  <c r="F212" i="2"/>
  <c r="E212" i="2"/>
  <c r="F211" i="2"/>
  <c r="E211" i="2"/>
  <c r="F210" i="2"/>
  <c r="E210" i="2"/>
  <c r="F209" i="2"/>
  <c r="E209" i="2"/>
  <c r="F208" i="2"/>
  <c r="E208" i="2"/>
  <c r="F207" i="2"/>
  <c r="E207" i="2"/>
  <c r="F206" i="2"/>
  <c r="E206" i="2"/>
  <c r="F205" i="2"/>
  <c r="E205" i="2"/>
  <c r="F204" i="2"/>
  <c r="E204" i="2"/>
  <c r="F203" i="2"/>
  <c r="E203" i="2"/>
  <c r="F202" i="2"/>
  <c r="E202" i="2"/>
  <c r="F201" i="2"/>
  <c r="E201" i="2"/>
  <c r="F200" i="2"/>
  <c r="E200" i="2"/>
  <c r="F199" i="2"/>
  <c r="E199" i="2"/>
  <c r="F198" i="2"/>
  <c r="E198" i="2"/>
  <c r="F197" i="2"/>
  <c r="E197" i="2"/>
  <c r="F196" i="2"/>
  <c r="E196" i="2"/>
  <c r="F195" i="2"/>
  <c r="E195" i="2"/>
  <c r="F194" i="2"/>
  <c r="E194" i="2"/>
  <c r="F193" i="2"/>
  <c r="E193" i="2"/>
  <c r="F192" i="2"/>
  <c r="E192" i="2"/>
  <c r="F191" i="2"/>
  <c r="E191" i="2"/>
  <c r="F190" i="2"/>
  <c r="E190" i="2"/>
  <c r="F189" i="2"/>
  <c r="E189" i="2"/>
  <c r="F188" i="2"/>
  <c r="E188" i="2"/>
  <c r="F187" i="2"/>
  <c r="E187" i="2"/>
  <c r="F186" i="2"/>
  <c r="E186" i="2"/>
  <c r="F185" i="2"/>
  <c r="E185" i="2"/>
  <c r="F184" i="2"/>
  <c r="E184" i="2"/>
  <c r="F183" i="2"/>
  <c r="E183" i="2"/>
  <c r="F182" i="2"/>
  <c r="E182" i="2"/>
  <c r="F181" i="2"/>
  <c r="E181" i="2"/>
  <c r="F180" i="2"/>
  <c r="E180" i="2"/>
  <c r="F179" i="2"/>
  <c r="E179" i="2"/>
  <c r="F178" i="2"/>
  <c r="E178" i="2"/>
  <c r="F177" i="2"/>
  <c r="E177" i="2"/>
  <c r="F176" i="2"/>
  <c r="E176" i="2"/>
  <c r="F175" i="2"/>
  <c r="E175" i="2"/>
  <c r="F174" i="2"/>
  <c r="E174" i="2"/>
  <c r="F173" i="2"/>
  <c r="E173" i="2"/>
  <c r="F172" i="2"/>
  <c r="E172" i="2"/>
  <c r="F171" i="2"/>
  <c r="E171" i="2"/>
  <c r="F170" i="2"/>
  <c r="E170" i="2"/>
  <c r="F169" i="2"/>
  <c r="E169" i="2"/>
  <c r="F168" i="2"/>
  <c r="E168" i="2"/>
  <c r="F167" i="2"/>
  <c r="E167" i="2"/>
  <c r="F166" i="2"/>
  <c r="E166" i="2"/>
  <c r="F165" i="2"/>
  <c r="E165" i="2"/>
  <c r="F164" i="2"/>
  <c r="E164" i="2"/>
  <c r="F163" i="2"/>
  <c r="E163" i="2"/>
  <c r="F162" i="2"/>
  <c r="E162" i="2"/>
  <c r="F161" i="2"/>
  <c r="E161" i="2"/>
  <c r="F160" i="2"/>
  <c r="E160" i="2"/>
  <c r="F159" i="2"/>
  <c r="E159" i="2"/>
  <c r="F158" i="2"/>
  <c r="E158" i="2"/>
  <c r="F157" i="2"/>
  <c r="E157" i="2"/>
  <c r="F156" i="2"/>
  <c r="E156" i="2"/>
  <c r="F155" i="2"/>
  <c r="E155" i="2"/>
  <c r="F154" i="2"/>
  <c r="E154" i="2"/>
  <c r="F153" i="2"/>
  <c r="E153" i="2"/>
  <c r="F152" i="2"/>
  <c r="E152" i="2"/>
  <c r="F151" i="2"/>
  <c r="E151" i="2"/>
  <c r="F150" i="2"/>
  <c r="E150" i="2"/>
  <c r="F149" i="2"/>
  <c r="E149" i="2"/>
  <c r="F148" i="2"/>
  <c r="E148" i="2"/>
  <c r="F147" i="2"/>
  <c r="E147" i="2"/>
  <c r="F146" i="2"/>
  <c r="E146" i="2"/>
  <c r="F145" i="2"/>
  <c r="E145" i="2"/>
  <c r="F144" i="2"/>
  <c r="E144" i="2"/>
  <c r="F143" i="2"/>
  <c r="E143" i="2"/>
  <c r="F142" i="2"/>
  <c r="E142" i="2"/>
  <c r="F141" i="2"/>
  <c r="E141" i="2"/>
  <c r="F140" i="2"/>
  <c r="E140" i="2"/>
  <c r="F139" i="2"/>
  <c r="E139" i="2"/>
  <c r="F138" i="2"/>
  <c r="E138" i="2"/>
  <c r="F137" i="2"/>
  <c r="E137" i="2"/>
  <c r="F136" i="2"/>
  <c r="E136" i="2"/>
  <c r="F135" i="2"/>
  <c r="E135" i="2"/>
  <c r="F134" i="2"/>
  <c r="E134" i="2"/>
  <c r="F133" i="2"/>
  <c r="E133" i="2"/>
  <c r="F132" i="2"/>
  <c r="E132" i="2"/>
  <c r="F131" i="2"/>
  <c r="E131" i="2"/>
  <c r="F130" i="2"/>
  <c r="E130" i="2"/>
  <c r="F129" i="2"/>
  <c r="E129" i="2"/>
  <c r="F128" i="2"/>
  <c r="E128" i="2"/>
  <c r="F127" i="2"/>
  <c r="E127" i="2"/>
  <c r="F126" i="2"/>
  <c r="E126" i="2"/>
  <c r="F125" i="2"/>
  <c r="E125" i="2"/>
  <c r="F124" i="2"/>
  <c r="E124" i="2"/>
  <c r="F123" i="2"/>
  <c r="E123" i="2"/>
  <c r="F122" i="2"/>
  <c r="E122" i="2"/>
  <c r="F121" i="2"/>
  <c r="E121" i="2"/>
  <c r="F120" i="2"/>
  <c r="E120" i="2"/>
  <c r="F119" i="2"/>
  <c r="E119" i="2"/>
  <c r="F118" i="2"/>
  <c r="E118" i="2"/>
  <c r="F117" i="2"/>
  <c r="E117" i="2"/>
  <c r="F116" i="2"/>
  <c r="E116" i="2"/>
  <c r="F115" i="2"/>
  <c r="E115" i="2"/>
  <c r="F114" i="2"/>
  <c r="E114" i="2"/>
  <c r="F113" i="2"/>
  <c r="E113" i="2"/>
  <c r="F112" i="2"/>
  <c r="E112" i="2"/>
  <c r="F111" i="2"/>
  <c r="E111" i="2"/>
  <c r="F110" i="2"/>
  <c r="E110" i="2"/>
  <c r="F109" i="2"/>
  <c r="E109" i="2"/>
  <c r="F108" i="2"/>
  <c r="E108" i="2"/>
  <c r="F107" i="2"/>
  <c r="E107" i="2"/>
  <c r="F106" i="2"/>
  <c r="E106" i="2"/>
  <c r="F105" i="2"/>
  <c r="E105" i="2"/>
  <c r="F104" i="2"/>
  <c r="E104" i="2"/>
  <c r="F103" i="2"/>
  <c r="E103" i="2"/>
  <c r="F102" i="2"/>
  <c r="E102" i="2"/>
  <c r="F101" i="2"/>
  <c r="E101" i="2"/>
  <c r="F100" i="2"/>
  <c r="E100" i="2"/>
  <c r="F99" i="2"/>
  <c r="E99" i="2"/>
  <c r="F98" i="2"/>
  <c r="E98" i="2"/>
  <c r="F97" i="2"/>
  <c r="E97" i="2"/>
  <c r="F96" i="2"/>
  <c r="E96" i="2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G4" i="2"/>
  <c r="G3" i="2"/>
</calcChain>
</file>

<file path=xl/sharedStrings.xml><?xml version="1.0" encoding="utf-8"?>
<sst xmlns="http://schemas.openxmlformats.org/spreadsheetml/2006/main" count="254" uniqueCount="107">
  <si>
    <t>YAHOO AA BOND DATA, 23 FEBRUARY 2007</t>
  </si>
  <si>
    <t>Issuer</t>
  </si>
  <si>
    <t>Price</t>
  </si>
  <si>
    <t>Coupon</t>
  </si>
  <si>
    <t>Maturity
date</t>
  </si>
  <si>
    <t>Maturity in
years</t>
  </si>
  <si>
    <t>Yield</t>
  </si>
  <si>
    <t>HOUSEHOLD FIN CORP INT NT BE</t>
  </si>
  <si>
    <t>MERRILL LYNCH CO INC MTN BE</t>
  </si>
  <si>
    <t>INTERNATIONAL LEASE FIN MTN BE</t>
  </si>
  <si>
    <t>HSBC FIN CORP HSBC FIN</t>
  </si>
  <si>
    <t>WELLS FARGO FINL INC</t>
  </si>
  <si>
    <t>NORWEST CORP MEDTERM NTS BK EN</t>
  </si>
  <si>
    <t>PROCTER &amp; GAMBLE CO</t>
  </si>
  <si>
    <t>CITICORP MTN SUB BE</t>
  </si>
  <si>
    <t>INTERNATIONAL LEASE FIN CORP</t>
  </si>
  <si>
    <t>GOLDEN WEST FINL CORP DEL</t>
  </si>
  <si>
    <t>U S BANCORP MTNS BK ENT</t>
  </si>
  <si>
    <t>BANK NEW YORK MTN BK ENT</t>
  </si>
  <si>
    <t>BANK ONE CORP</t>
  </si>
  <si>
    <t>SUNAMERICA INC</t>
  </si>
  <si>
    <t>BANKAMERICA CORP</t>
  </si>
  <si>
    <t>MERRILL LYNCH &amp; CO INC</t>
  </si>
  <si>
    <t>BANKBOSTON N A</t>
  </si>
  <si>
    <t>BANK ONE CHICAGO ILL MTN BE</t>
  </si>
  <si>
    <t>GOLDMAN SACHS GROUP INC</t>
  </si>
  <si>
    <t>BANK NEW YORK NY MEDTERM NT BE</t>
  </si>
  <si>
    <t>CITIGROUP INC</t>
  </si>
  <si>
    <t>CHEVRONTEXACO CAP CO</t>
  </si>
  <si>
    <t>WELLS FARGO &amp; CO NEW</t>
  </si>
  <si>
    <t>ABBOTT LABS</t>
  </si>
  <si>
    <t>GILLETTE CO</t>
  </si>
  <si>
    <t>LILLY ELI &amp; CO</t>
  </si>
  <si>
    <t>MBNA AMER BK NA SUB MTN 144A</t>
  </si>
  <si>
    <t>MERRILL LYNCH &amp; CO INC MERRILL</t>
  </si>
  <si>
    <t>US BK NATL ASSN MINNEAPOLISMTN</t>
  </si>
  <si>
    <t>BANKBOSTON NA SUB BK MTN</t>
  </si>
  <si>
    <t>FLEET FINL GROUP INC NEW</t>
  </si>
  <si>
    <t>AMERICAN EXPRESS CR CORP</t>
  </si>
  <si>
    <t>FLORIDA PWR &amp; LT CO</t>
  </si>
  <si>
    <t>MORGAN STANLEY</t>
  </si>
  <si>
    <t>HOUSEHOLD FIN CORP</t>
  </si>
  <si>
    <t>BANK OF AMERICA CORPORATION</t>
  </si>
  <si>
    <t>CHEMICAL BK NY NY</t>
  </si>
  <si>
    <t>MANITOBA PROV CDA</t>
  </si>
  <si>
    <t>WAL MART STORES INC</t>
  </si>
  <si>
    <t>SUNTRUST BKS INC</t>
  </si>
  <si>
    <t>ASSOCIATES CORP NORTH AMER</t>
  </si>
  <si>
    <t>FLEET NATL BK PROV RI MTN BE</t>
  </si>
  <si>
    <t>WACHOVIA CORP 2ND NEW</t>
  </si>
  <si>
    <t>BANQUE PARIBAS</t>
  </si>
  <si>
    <t>ILLINOIS TOOL WKS INC</t>
  </si>
  <si>
    <t>ATLANTIC RICHFIELD CO</t>
  </si>
  <si>
    <t>ROYAL BK CDA MONTREAL QUE</t>
  </si>
  <si>
    <t>WORLD SVGS BK FSB</t>
  </si>
  <si>
    <t>NORWEST FINL INC</t>
  </si>
  <si>
    <t>AMERICAN EXPRESS CENTURION MTN</t>
  </si>
  <si>
    <t>HSBC BK USA GLBL MEDIUM TM SR</t>
  </si>
  <si>
    <t>NCNB CORP</t>
  </si>
  <si>
    <t>NATIONAL WESTMINSTER BK PLC</t>
  </si>
  <si>
    <t>PROTECTIVE LIFE SECD TRS SECD</t>
  </si>
  <si>
    <t>NATL CITY BK CLEVE SR MTN BE</t>
  </si>
  <si>
    <t>ALLSTATE LIFE GLOBAL FDG SECD</t>
  </si>
  <si>
    <t>PROTECTIVE LIFE SECD TRS</t>
  </si>
  <si>
    <t>PAINE WEBB GROUP INC SR MTN BE</t>
  </si>
  <si>
    <t>MORGAN STANLEY &amp; CO INC</t>
  </si>
  <si>
    <t>NATIONSBANK CORP</t>
  </si>
  <si>
    <t>WELLS FARGO BK N A</t>
  </si>
  <si>
    <t>AMERICAN GENERAL CORP</t>
  </si>
  <si>
    <t>HOME DEPOT INC</t>
  </si>
  <si>
    <t>1ST UN NATL BK CHARLOTTE MTNBE</t>
  </si>
  <si>
    <t>HSBC FINANCE CORP</t>
  </si>
  <si>
    <t>CREDIT SUISSE USA INC</t>
  </si>
  <si>
    <t>WASHINGTON MUT FIN CORP</t>
  </si>
  <si>
    <t>BANK AMER CORP SR INTNOTES BE</t>
  </si>
  <si>
    <t>US BK NATL ASSN MINN SUB MTNBE</t>
  </si>
  <si>
    <t>CITICORP</t>
  </si>
  <si>
    <t>BANK AMER CORP SUB INTNTS BE</t>
  </si>
  <si>
    <t>MBNA CORP SR MTN BE</t>
  </si>
  <si>
    <t>COLGATE PALMOLIVE CO MTNS BE</t>
  </si>
  <si>
    <t>BOTTLING GROUP LLC</t>
  </si>
  <si>
    <t>MERCK &amp; CO INC</t>
  </si>
  <si>
    <t>ENGELHARD CORP</t>
  </si>
  <si>
    <t>NORFOLK SOUTHN RY CO</t>
  </si>
  <si>
    <t>PITNEY BOWES INC GLBL MTNS BE</t>
  </si>
  <si>
    <t>SALOMON SMITH BARNEY HLDGS INC</t>
  </si>
  <si>
    <t>AETNA INC</t>
  </si>
  <si>
    <t>CITIGROUP GLOBAL MKTS HLDGS</t>
  </si>
  <si>
    <t>HSBC BK USA NEW YORK NY</t>
  </si>
  <si>
    <t>GLAXOSMITHKLINE CAP INC</t>
  </si>
  <si>
    <t>ASTRAZENECA PLC</t>
  </si>
  <si>
    <t>ROYAL BK SCOTLAND GROUP PLC</t>
  </si>
  <si>
    <t>JP MORGAN CHASE &amp; CO</t>
  </si>
  <si>
    <t>WESTLB AG NEW YORK BRH</t>
  </si>
  <si>
    <t>KIMBERLY CLARK CORP</t>
  </si>
  <si>
    <t>SUNTRUST BK ATLANTA MDTMSBNTBE</t>
  </si>
  <si>
    <t>AMERICAN EXPRESS CR CORP MTNBE</t>
  </si>
  <si>
    <t>DEAN WITTER DISCOVER &amp; CO</t>
  </si>
  <si>
    <t>JPMORGAN CHASE BK NEW YORK N Y</t>
  </si>
  <si>
    <t>AMERICAN INTL GROUP INC MTN BE</t>
  </si>
  <si>
    <t>FIFTH THIRD BK CIN OHIO MTN BE</t>
  </si>
  <si>
    <t>SUNAMERICA INC MTN BE</t>
  </si>
  <si>
    <t>HYDRO-QUEBEC</t>
  </si>
  <si>
    <t>NORTHERN ILL GAS CO</t>
  </si>
  <si>
    <t>HSBC HLDGS PLC</t>
  </si>
  <si>
    <t>BAC CAPITAL TRUST XI</t>
  </si>
  <si>
    <t>WACHOVIA BK NATL ASSN MTN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</si>
</sst>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2" fillId="0" borderId="0" xfId="1" applyNumberFormat="1"/>
    <xf numFmtId="10" fontId="2" fillId="0" borderId="0" xfId="1" applyNumberFormat="1"/>
    <xf numFmtId="15" fontId="2" fillId="0" borderId="0" xfId="1" applyNumberFormat="1"/>
    <xf numFmtId="10" fontId="2" fillId="0" borderId="0" xfId="2" applyNumberFormat="1" applyFont="1" applyAlignment="1"/>
    <xf numFmtId="0" fontId="2" fillId="0" borderId="0" xfId="1" applyAlignment="1">
      <alignment horizontal="center"/>
    </xf>
  </cellXfs>
  <cellStyles count="3">
    <cellStyle name="百分比 2" xfId="2" xr:uid="{FF03DCA8-0C26-4E8C-AD13-025B4AEB7B59}"/>
    <cellStyle name="常规" xfId="0" builtinId="0"/>
    <cellStyle name="常规 2" xfId="1" xr:uid="{58BADA9E-4F44-472C-AB7F-C256E0F923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406057267707521E-2"/>
          <c:y val="9.111642648315843E-2"/>
          <c:w val="0.88490272805022663"/>
          <c:h val="0.858772319603768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009897765237486"/>
                  <c:y val="0.4678150253953182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'Page 708, bottom'!$E$3:$E$249</c:f>
              <c:numCache>
                <c:formatCode>0.00</c:formatCode>
                <c:ptCount val="247"/>
                <c:pt idx="0">
                  <c:v>5.4794520547945202E-2</c:v>
                </c:pt>
                <c:pt idx="1">
                  <c:v>0.18082191780821918</c:v>
                </c:pt>
                <c:pt idx="2">
                  <c:v>0.18904109589041096</c:v>
                </c:pt>
                <c:pt idx="3">
                  <c:v>0.22191780821917809</c:v>
                </c:pt>
                <c:pt idx="4">
                  <c:v>0.29863013698630136</c:v>
                </c:pt>
                <c:pt idx="5">
                  <c:v>0.30684931506849317</c:v>
                </c:pt>
                <c:pt idx="6">
                  <c:v>0.30684931506849317</c:v>
                </c:pt>
                <c:pt idx="7">
                  <c:v>0.35068493150684932</c:v>
                </c:pt>
                <c:pt idx="8">
                  <c:v>0.43561643835616437</c:v>
                </c:pt>
                <c:pt idx="9">
                  <c:v>0.47397260273972602</c:v>
                </c:pt>
                <c:pt idx="10">
                  <c:v>0.47397260273972602</c:v>
                </c:pt>
                <c:pt idx="11">
                  <c:v>0.49589041095890413</c:v>
                </c:pt>
                <c:pt idx="12">
                  <c:v>0.52054794520547942</c:v>
                </c:pt>
                <c:pt idx="13">
                  <c:v>0.52054794520547942</c:v>
                </c:pt>
                <c:pt idx="14">
                  <c:v>0.60273972602739723</c:v>
                </c:pt>
                <c:pt idx="15">
                  <c:v>0.64109589041095894</c:v>
                </c:pt>
                <c:pt idx="16">
                  <c:v>0.64109589041095894</c:v>
                </c:pt>
                <c:pt idx="17">
                  <c:v>0.72602739726027399</c:v>
                </c:pt>
                <c:pt idx="18">
                  <c:v>0.72602739726027399</c:v>
                </c:pt>
                <c:pt idx="19">
                  <c:v>0.81095890410958904</c:v>
                </c:pt>
                <c:pt idx="20">
                  <c:v>0.81917808219178079</c:v>
                </c:pt>
                <c:pt idx="21">
                  <c:v>0.89315068493150684</c:v>
                </c:pt>
                <c:pt idx="22">
                  <c:v>0.89315068493150684</c:v>
                </c:pt>
                <c:pt idx="23">
                  <c:v>0.9397260273972603</c:v>
                </c:pt>
                <c:pt idx="24">
                  <c:v>0.9397260273972603</c:v>
                </c:pt>
                <c:pt idx="25">
                  <c:v>0.9780821917808219</c:v>
                </c:pt>
                <c:pt idx="26">
                  <c:v>1.0438356164383562</c:v>
                </c:pt>
                <c:pt idx="27">
                  <c:v>1.0575342465753426</c:v>
                </c:pt>
                <c:pt idx="28">
                  <c:v>1.0575342465753426</c:v>
                </c:pt>
                <c:pt idx="29">
                  <c:v>1.0575342465753426</c:v>
                </c:pt>
                <c:pt idx="30">
                  <c:v>1.0575342465753426</c:v>
                </c:pt>
                <c:pt idx="31">
                  <c:v>1.0575342465753426</c:v>
                </c:pt>
                <c:pt idx="32">
                  <c:v>1.0630136986301371</c:v>
                </c:pt>
                <c:pt idx="33">
                  <c:v>1.0630136986301371</c:v>
                </c:pt>
                <c:pt idx="34">
                  <c:v>1.0849315068493151</c:v>
                </c:pt>
                <c:pt idx="35">
                  <c:v>1.1424657534246576</c:v>
                </c:pt>
                <c:pt idx="36">
                  <c:v>1.1863013698630136</c:v>
                </c:pt>
                <c:pt idx="37">
                  <c:v>1.2246575342465753</c:v>
                </c:pt>
                <c:pt idx="38">
                  <c:v>1.2246575342465753</c:v>
                </c:pt>
                <c:pt idx="39">
                  <c:v>1.2273972602739727</c:v>
                </c:pt>
                <c:pt idx="40">
                  <c:v>1.2575342465753425</c:v>
                </c:pt>
                <c:pt idx="41">
                  <c:v>1.2712328767123289</c:v>
                </c:pt>
                <c:pt idx="42">
                  <c:v>1.2712328767123289</c:v>
                </c:pt>
                <c:pt idx="43">
                  <c:v>1.273972602739726</c:v>
                </c:pt>
                <c:pt idx="44">
                  <c:v>1.3095890410958904</c:v>
                </c:pt>
                <c:pt idx="45">
                  <c:v>1.3095890410958904</c:v>
                </c:pt>
                <c:pt idx="46">
                  <c:v>1.3150684931506849</c:v>
                </c:pt>
                <c:pt idx="47">
                  <c:v>1.3506849315068492</c:v>
                </c:pt>
                <c:pt idx="48">
                  <c:v>1.3917808219178083</c:v>
                </c:pt>
                <c:pt idx="49">
                  <c:v>1.4383561643835616</c:v>
                </c:pt>
                <c:pt idx="50">
                  <c:v>1.4767123287671233</c:v>
                </c:pt>
                <c:pt idx="51">
                  <c:v>1.4767123287671233</c:v>
                </c:pt>
                <c:pt idx="52">
                  <c:v>1.4767123287671233</c:v>
                </c:pt>
                <c:pt idx="53">
                  <c:v>1.4767123287671233</c:v>
                </c:pt>
                <c:pt idx="54">
                  <c:v>1.5616438356164384</c:v>
                </c:pt>
                <c:pt idx="55">
                  <c:v>1.5616438356164384</c:v>
                </c:pt>
                <c:pt idx="56">
                  <c:v>1.6054794520547946</c:v>
                </c:pt>
                <c:pt idx="57">
                  <c:v>1.6054794520547946</c:v>
                </c:pt>
                <c:pt idx="58">
                  <c:v>1.6438356164383561</c:v>
                </c:pt>
                <c:pt idx="59">
                  <c:v>1.6438356164383561</c:v>
                </c:pt>
                <c:pt idx="60">
                  <c:v>1.6438356164383561</c:v>
                </c:pt>
                <c:pt idx="61">
                  <c:v>1.6767123287671233</c:v>
                </c:pt>
                <c:pt idx="62">
                  <c:v>1.6904109589041096</c:v>
                </c:pt>
                <c:pt idx="63">
                  <c:v>1.6904109589041096</c:v>
                </c:pt>
                <c:pt idx="64">
                  <c:v>1.7287671232876711</c:v>
                </c:pt>
                <c:pt idx="65">
                  <c:v>1.810958904109589</c:v>
                </c:pt>
                <c:pt idx="66">
                  <c:v>1.8958904109589041</c:v>
                </c:pt>
                <c:pt idx="67">
                  <c:v>1.8958904109589041</c:v>
                </c:pt>
                <c:pt idx="68">
                  <c:v>1.8958904109589041</c:v>
                </c:pt>
                <c:pt idx="69">
                  <c:v>1.8958904109589041</c:v>
                </c:pt>
                <c:pt idx="70">
                  <c:v>1.9424657534246574</c:v>
                </c:pt>
                <c:pt idx="71">
                  <c:v>1.9643835616438357</c:v>
                </c:pt>
                <c:pt idx="72">
                  <c:v>1.9808219178082191</c:v>
                </c:pt>
                <c:pt idx="73">
                  <c:v>1.9863013698630136</c:v>
                </c:pt>
                <c:pt idx="74">
                  <c:v>1.9863013698630136</c:v>
                </c:pt>
                <c:pt idx="75">
                  <c:v>1.9863013698630136</c:v>
                </c:pt>
                <c:pt idx="76">
                  <c:v>1.9863013698630136</c:v>
                </c:pt>
                <c:pt idx="77">
                  <c:v>2.0191780821917806</c:v>
                </c:pt>
                <c:pt idx="78">
                  <c:v>2.0191780821917806</c:v>
                </c:pt>
                <c:pt idx="79">
                  <c:v>2.0191780821917806</c:v>
                </c:pt>
                <c:pt idx="80">
                  <c:v>2.0191780821917806</c:v>
                </c:pt>
                <c:pt idx="81">
                  <c:v>2.0575342465753423</c:v>
                </c:pt>
                <c:pt idx="82">
                  <c:v>2.1041095890410957</c:v>
                </c:pt>
                <c:pt idx="83">
                  <c:v>2.1424657534246574</c:v>
                </c:pt>
                <c:pt idx="84">
                  <c:v>2.1945205479452055</c:v>
                </c:pt>
                <c:pt idx="85">
                  <c:v>2.2246575342465755</c:v>
                </c:pt>
                <c:pt idx="86">
                  <c:v>2.3095890410958906</c:v>
                </c:pt>
                <c:pt idx="87">
                  <c:v>2.3917808219178083</c:v>
                </c:pt>
                <c:pt idx="88">
                  <c:v>2.3917808219178083</c:v>
                </c:pt>
                <c:pt idx="89">
                  <c:v>2.3917808219178083</c:v>
                </c:pt>
                <c:pt idx="90">
                  <c:v>2.4328767123287673</c:v>
                </c:pt>
                <c:pt idx="91">
                  <c:v>2.4383561643835616</c:v>
                </c:pt>
                <c:pt idx="92">
                  <c:v>2.463013698630137</c:v>
                </c:pt>
                <c:pt idx="93">
                  <c:v>2.4767123287671233</c:v>
                </c:pt>
                <c:pt idx="94">
                  <c:v>2.5616438356164384</c:v>
                </c:pt>
                <c:pt idx="95">
                  <c:v>2.5616438356164384</c:v>
                </c:pt>
                <c:pt idx="96">
                  <c:v>2.5616438356164384</c:v>
                </c:pt>
                <c:pt idx="97">
                  <c:v>2.5616438356164384</c:v>
                </c:pt>
                <c:pt idx="98">
                  <c:v>2.6054794520547944</c:v>
                </c:pt>
                <c:pt idx="99">
                  <c:v>2.6054794520547944</c:v>
                </c:pt>
                <c:pt idx="100">
                  <c:v>2.6219178082191781</c:v>
                </c:pt>
                <c:pt idx="101">
                  <c:v>2.6904109589041094</c:v>
                </c:pt>
                <c:pt idx="102">
                  <c:v>2.9315068493150687</c:v>
                </c:pt>
                <c:pt idx="103">
                  <c:v>2.9342465753424656</c:v>
                </c:pt>
                <c:pt idx="104">
                  <c:v>2.9808219178082194</c:v>
                </c:pt>
                <c:pt idx="105">
                  <c:v>3.010958904109589</c:v>
                </c:pt>
                <c:pt idx="106">
                  <c:v>3.0575342465753423</c:v>
                </c:pt>
                <c:pt idx="107">
                  <c:v>3.1397260273972605</c:v>
                </c:pt>
                <c:pt idx="108">
                  <c:v>3.1424657534246574</c:v>
                </c:pt>
                <c:pt idx="109">
                  <c:v>3.2246575342465755</c:v>
                </c:pt>
                <c:pt idx="110">
                  <c:v>3.2246575342465755</c:v>
                </c:pt>
                <c:pt idx="111">
                  <c:v>3.3095890410958906</c:v>
                </c:pt>
                <c:pt idx="112">
                  <c:v>3.3260273972602739</c:v>
                </c:pt>
                <c:pt idx="113">
                  <c:v>3.4438356164383563</c:v>
                </c:pt>
                <c:pt idx="114">
                  <c:v>3.4602739726027396</c:v>
                </c:pt>
                <c:pt idx="115">
                  <c:v>3.4657534246575343</c:v>
                </c:pt>
                <c:pt idx="116">
                  <c:v>3.4767123287671233</c:v>
                </c:pt>
                <c:pt idx="117">
                  <c:v>3.484931506849315</c:v>
                </c:pt>
                <c:pt idx="118">
                  <c:v>3.5616438356164384</c:v>
                </c:pt>
                <c:pt idx="119">
                  <c:v>3.6054794520547944</c:v>
                </c:pt>
                <c:pt idx="120">
                  <c:v>3.6054794520547944</c:v>
                </c:pt>
                <c:pt idx="121">
                  <c:v>3.6986301369863015</c:v>
                </c:pt>
                <c:pt idx="122">
                  <c:v>3.893150684931507</c:v>
                </c:pt>
                <c:pt idx="123">
                  <c:v>3.8958904109589043</c:v>
                </c:pt>
                <c:pt idx="124">
                  <c:v>3.8958904109589043</c:v>
                </c:pt>
                <c:pt idx="125">
                  <c:v>3.9424657534246577</c:v>
                </c:pt>
                <c:pt idx="126">
                  <c:v>4.021917808219178</c:v>
                </c:pt>
                <c:pt idx="127">
                  <c:v>4.2246575342465755</c:v>
                </c:pt>
                <c:pt idx="128">
                  <c:v>4.2246575342465755</c:v>
                </c:pt>
                <c:pt idx="129">
                  <c:v>4.2712328767123289</c:v>
                </c:pt>
                <c:pt idx="130">
                  <c:v>4.3068493150684928</c:v>
                </c:pt>
                <c:pt idx="131">
                  <c:v>4.3095890410958901</c:v>
                </c:pt>
                <c:pt idx="132">
                  <c:v>4.3095890410958901</c:v>
                </c:pt>
                <c:pt idx="133">
                  <c:v>4.3917808219178083</c:v>
                </c:pt>
                <c:pt idx="134">
                  <c:v>4.4383561643835616</c:v>
                </c:pt>
                <c:pt idx="135">
                  <c:v>4.4383561643835616</c:v>
                </c:pt>
                <c:pt idx="136">
                  <c:v>4.506849315068493</c:v>
                </c:pt>
                <c:pt idx="137">
                  <c:v>4.5999999999999996</c:v>
                </c:pt>
                <c:pt idx="138">
                  <c:v>4.6438356164383565</c:v>
                </c:pt>
                <c:pt idx="139">
                  <c:v>4.6438356164383565</c:v>
                </c:pt>
                <c:pt idx="140">
                  <c:v>4.6438356164383565</c:v>
                </c:pt>
                <c:pt idx="141">
                  <c:v>4.6438356164383565</c:v>
                </c:pt>
                <c:pt idx="142">
                  <c:v>4.6438356164383565</c:v>
                </c:pt>
                <c:pt idx="143">
                  <c:v>4.7287671232876711</c:v>
                </c:pt>
                <c:pt idx="144">
                  <c:v>4.7287671232876711</c:v>
                </c:pt>
                <c:pt idx="145">
                  <c:v>4.8794520547945206</c:v>
                </c:pt>
                <c:pt idx="146">
                  <c:v>4.8958904109589039</c:v>
                </c:pt>
                <c:pt idx="147">
                  <c:v>4.8958904109589039</c:v>
                </c:pt>
                <c:pt idx="148">
                  <c:v>4.978082191780822</c:v>
                </c:pt>
                <c:pt idx="149">
                  <c:v>4.9808219178082194</c:v>
                </c:pt>
                <c:pt idx="150">
                  <c:v>5.0136986301369859</c:v>
                </c:pt>
                <c:pt idx="151">
                  <c:v>5.0602739726027401</c:v>
                </c:pt>
                <c:pt idx="152">
                  <c:v>5.1726027397260275</c:v>
                </c:pt>
                <c:pt idx="153">
                  <c:v>5.7315068493150685</c:v>
                </c:pt>
                <c:pt idx="154">
                  <c:v>5.8986301369863012</c:v>
                </c:pt>
                <c:pt idx="155">
                  <c:v>5.9835616438356167</c:v>
                </c:pt>
                <c:pt idx="156">
                  <c:v>6.021917808219178</c:v>
                </c:pt>
                <c:pt idx="157">
                  <c:v>6.1068493150684935</c:v>
                </c:pt>
                <c:pt idx="158">
                  <c:v>6.1890410958904107</c:v>
                </c:pt>
                <c:pt idx="159">
                  <c:v>6.2273972602739729</c:v>
                </c:pt>
                <c:pt idx="160">
                  <c:v>6.2273972602739729</c:v>
                </c:pt>
                <c:pt idx="161">
                  <c:v>6.3123287671232875</c:v>
                </c:pt>
                <c:pt idx="162">
                  <c:v>6.3123287671232875</c:v>
                </c:pt>
                <c:pt idx="163">
                  <c:v>6.3945205479452056</c:v>
                </c:pt>
                <c:pt idx="164">
                  <c:v>6.441095890410959</c:v>
                </c:pt>
                <c:pt idx="165">
                  <c:v>6.4794520547945202</c:v>
                </c:pt>
                <c:pt idx="166">
                  <c:v>6.4794520547945202</c:v>
                </c:pt>
                <c:pt idx="167">
                  <c:v>6.5643835616438357</c:v>
                </c:pt>
                <c:pt idx="168">
                  <c:v>6.7315068493150685</c:v>
                </c:pt>
                <c:pt idx="169">
                  <c:v>6.816438356164384</c:v>
                </c:pt>
                <c:pt idx="170">
                  <c:v>6.8986301369863012</c:v>
                </c:pt>
                <c:pt idx="171">
                  <c:v>6.8986301369863012</c:v>
                </c:pt>
                <c:pt idx="172">
                  <c:v>7.0602739726027401</c:v>
                </c:pt>
                <c:pt idx="173">
                  <c:v>7.1068493150684935</c:v>
                </c:pt>
                <c:pt idx="174">
                  <c:v>7.1452054794520548</c:v>
                </c:pt>
                <c:pt idx="175">
                  <c:v>7.1452054794520548</c:v>
                </c:pt>
                <c:pt idx="176">
                  <c:v>7.2</c:v>
                </c:pt>
                <c:pt idx="177">
                  <c:v>7.2739726027397262</c:v>
                </c:pt>
                <c:pt idx="178">
                  <c:v>7.3945205479452056</c:v>
                </c:pt>
                <c:pt idx="179">
                  <c:v>7.4794520547945202</c:v>
                </c:pt>
                <c:pt idx="180">
                  <c:v>7.4794520547945202</c:v>
                </c:pt>
                <c:pt idx="181">
                  <c:v>7.5643835616438357</c:v>
                </c:pt>
                <c:pt idx="182">
                  <c:v>7.6082191780821917</c:v>
                </c:pt>
                <c:pt idx="183">
                  <c:v>7.6082191780821917</c:v>
                </c:pt>
                <c:pt idx="184">
                  <c:v>7.7315068493150685</c:v>
                </c:pt>
                <c:pt idx="185">
                  <c:v>7.8986301369863012</c:v>
                </c:pt>
                <c:pt idx="186">
                  <c:v>7.8986301369863012</c:v>
                </c:pt>
                <c:pt idx="187">
                  <c:v>8.0219178082191789</c:v>
                </c:pt>
                <c:pt idx="188">
                  <c:v>8.0219178082191789</c:v>
                </c:pt>
                <c:pt idx="189">
                  <c:v>8.1452054794520556</c:v>
                </c:pt>
                <c:pt idx="190">
                  <c:v>8.205479452054794</c:v>
                </c:pt>
                <c:pt idx="191">
                  <c:v>8.2657534246575342</c:v>
                </c:pt>
                <c:pt idx="192">
                  <c:v>8.3123287671232884</c:v>
                </c:pt>
                <c:pt idx="193">
                  <c:v>8.3561643835616444</c:v>
                </c:pt>
                <c:pt idx="194">
                  <c:v>8.3945205479452056</c:v>
                </c:pt>
                <c:pt idx="195">
                  <c:v>8.4410958904109581</c:v>
                </c:pt>
                <c:pt idx="196">
                  <c:v>8.4794520547945211</c:v>
                </c:pt>
                <c:pt idx="197">
                  <c:v>8.5260273972602736</c:v>
                </c:pt>
                <c:pt idx="198">
                  <c:v>8.6054794520547944</c:v>
                </c:pt>
                <c:pt idx="199">
                  <c:v>8.6465753424657539</c:v>
                </c:pt>
                <c:pt idx="200">
                  <c:v>8.6465753424657539</c:v>
                </c:pt>
                <c:pt idx="201">
                  <c:v>8.7780821917808218</c:v>
                </c:pt>
                <c:pt idx="202">
                  <c:v>8.8136986301369866</c:v>
                </c:pt>
                <c:pt idx="203">
                  <c:v>8.8602739726027391</c:v>
                </c:pt>
                <c:pt idx="204">
                  <c:v>8.8986301369863021</c:v>
                </c:pt>
                <c:pt idx="205">
                  <c:v>8.9095890410958898</c:v>
                </c:pt>
                <c:pt idx="206">
                  <c:v>9.0246575342465754</c:v>
                </c:pt>
                <c:pt idx="207">
                  <c:v>9.0273972602739718</c:v>
                </c:pt>
                <c:pt idx="208">
                  <c:v>9.2301369863013694</c:v>
                </c:pt>
                <c:pt idx="209">
                  <c:v>9.3095890410958901</c:v>
                </c:pt>
                <c:pt idx="210">
                  <c:v>9.4465753424657528</c:v>
                </c:pt>
                <c:pt idx="211">
                  <c:v>9.4821917808219176</c:v>
                </c:pt>
                <c:pt idx="212">
                  <c:v>9.5671232876712331</c:v>
                </c:pt>
                <c:pt idx="213">
                  <c:v>9.5671232876712331</c:v>
                </c:pt>
                <c:pt idx="214">
                  <c:v>9.6109589041095891</c:v>
                </c:pt>
                <c:pt idx="215">
                  <c:v>9.6575342465753433</c:v>
                </c:pt>
                <c:pt idx="216">
                  <c:v>9.6575342465753433</c:v>
                </c:pt>
                <c:pt idx="217">
                  <c:v>9.712328767123287</c:v>
                </c:pt>
                <c:pt idx="218">
                  <c:v>9.8849315068493144</c:v>
                </c:pt>
                <c:pt idx="219">
                  <c:v>9.9863013698630141</c:v>
                </c:pt>
                <c:pt idx="220">
                  <c:v>10.778082191780822</c:v>
                </c:pt>
                <c:pt idx="221">
                  <c:v>11.230136986301369</c:v>
                </c:pt>
                <c:pt idx="222">
                  <c:v>11.397260273972602</c:v>
                </c:pt>
                <c:pt idx="223">
                  <c:v>11.397260273972602</c:v>
                </c:pt>
                <c:pt idx="224">
                  <c:v>11.734246575342466</c:v>
                </c:pt>
                <c:pt idx="225">
                  <c:v>12.024657534246575</c:v>
                </c:pt>
                <c:pt idx="226">
                  <c:v>14.950684931506849</c:v>
                </c:pt>
                <c:pt idx="227">
                  <c:v>18.235616438356164</c:v>
                </c:pt>
                <c:pt idx="228">
                  <c:v>18.86849315068493</c:v>
                </c:pt>
                <c:pt idx="229">
                  <c:v>18.986301369863014</c:v>
                </c:pt>
                <c:pt idx="230">
                  <c:v>19.471232876712328</c:v>
                </c:pt>
                <c:pt idx="231">
                  <c:v>19.906849315068492</c:v>
                </c:pt>
                <c:pt idx="232">
                  <c:v>20.991780821917807</c:v>
                </c:pt>
                <c:pt idx="233">
                  <c:v>21.786301369863015</c:v>
                </c:pt>
                <c:pt idx="234">
                  <c:v>22.994520547945207</c:v>
                </c:pt>
                <c:pt idx="235">
                  <c:v>25.408219178082192</c:v>
                </c:pt>
                <c:pt idx="236">
                  <c:v>25.997260273972604</c:v>
                </c:pt>
                <c:pt idx="237">
                  <c:v>26.704109589041096</c:v>
                </c:pt>
                <c:pt idx="238">
                  <c:v>27.493150684931507</c:v>
                </c:pt>
                <c:pt idx="239">
                  <c:v>27.816438356164383</c:v>
                </c:pt>
                <c:pt idx="240">
                  <c:v>28.539726027397261</c:v>
                </c:pt>
                <c:pt idx="241">
                  <c:v>29.208219178082192</c:v>
                </c:pt>
                <c:pt idx="242">
                  <c:v>29.265753424657536</c:v>
                </c:pt>
                <c:pt idx="243">
                  <c:v>29.523287671232875</c:v>
                </c:pt>
                <c:pt idx="244">
                  <c:v>29.747945205479454</c:v>
                </c:pt>
                <c:pt idx="245">
                  <c:v>29.832876712328765</c:v>
                </c:pt>
                <c:pt idx="246">
                  <c:v>29.961643835616439</c:v>
                </c:pt>
              </c:numCache>
            </c:numRef>
          </c:xVal>
          <c:yVal>
            <c:numRef>
              <c:f>'Page 708, bottom'!$F$3:$F$249</c:f>
              <c:numCache>
                <c:formatCode>0.00%</c:formatCode>
                <c:ptCount val="247"/>
                <c:pt idx="0">
                  <c:v>-0.30824408520836677</c:v>
                </c:pt>
                <c:pt idx="1">
                  <c:v>-5.7378182625144075E-2</c:v>
                </c:pt>
                <c:pt idx="2">
                  <c:v>-5.238615272199712E-2</c:v>
                </c:pt>
                <c:pt idx="3">
                  <c:v>-3.3567828880496836E-2</c:v>
                </c:pt>
                <c:pt idx="4">
                  <c:v>-1.3641812231258975E-2</c:v>
                </c:pt>
                <c:pt idx="5">
                  <c:v>-1.6984532934597521E-2</c:v>
                </c:pt>
                <c:pt idx="6">
                  <c:v>-1.5118596659176007E-2</c:v>
                </c:pt>
                <c:pt idx="7">
                  <c:v>-1.498300004321815E-3</c:v>
                </c:pt>
                <c:pt idx="8">
                  <c:v>6.8838913291882301E-3</c:v>
                </c:pt>
                <c:pt idx="9">
                  <c:v>1.0536276453537706E-2</c:v>
                </c:pt>
                <c:pt idx="10">
                  <c:v>1.1693082290499566E-2</c:v>
                </c:pt>
                <c:pt idx="11">
                  <c:v>1.2134964483030539E-2</c:v>
                </c:pt>
                <c:pt idx="12">
                  <c:v>1.4040284353485484E-2</c:v>
                </c:pt>
                <c:pt idx="13">
                  <c:v>1.375948710311329E-2</c:v>
                </c:pt>
                <c:pt idx="14">
                  <c:v>2.0555147436038673E-2</c:v>
                </c:pt>
                <c:pt idx="15">
                  <c:v>2.2365350819817935E-2</c:v>
                </c:pt>
                <c:pt idx="16">
                  <c:v>2.2186527359328686E-2</c:v>
                </c:pt>
                <c:pt idx="17">
                  <c:v>2.5363590191089726E-2</c:v>
                </c:pt>
                <c:pt idx="18">
                  <c:v>2.4530911047264816E-2</c:v>
                </c:pt>
                <c:pt idx="19">
                  <c:v>2.4786602024960681E-2</c:v>
                </c:pt>
                <c:pt idx="20">
                  <c:v>2.8714460492645928E-2</c:v>
                </c:pt>
                <c:pt idx="21">
                  <c:v>2.9084230414958015E-2</c:v>
                </c:pt>
                <c:pt idx="22">
                  <c:v>2.8760448740205728E-2</c:v>
                </c:pt>
                <c:pt idx="23">
                  <c:v>2.9178473699756853E-2</c:v>
                </c:pt>
                <c:pt idx="24">
                  <c:v>2.9548160176610567E-2</c:v>
                </c:pt>
                <c:pt idx="25">
                  <c:v>2.8835822122459765E-2</c:v>
                </c:pt>
                <c:pt idx="26">
                  <c:v>3.198857501132344E-2</c:v>
                </c:pt>
                <c:pt idx="27">
                  <c:v>3.1244040821783198E-2</c:v>
                </c:pt>
                <c:pt idx="28">
                  <c:v>3.1457773201985818E-2</c:v>
                </c:pt>
                <c:pt idx="29">
                  <c:v>3.1124717987125652E-2</c:v>
                </c:pt>
                <c:pt idx="30">
                  <c:v>3.3061822733664439E-2</c:v>
                </c:pt>
                <c:pt idx="31">
                  <c:v>3.2695589026298495E-2</c:v>
                </c:pt>
                <c:pt idx="32">
                  <c:v>3.271094951816874E-2</c:v>
                </c:pt>
                <c:pt idx="33">
                  <c:v>3.2148556720536389E-2</c:v>
                </c:pt>
                <c:pt idx="34">
                  <c:v>3.3381116529231612E-2</c:v>
                </c:pt>
                <c:pt idx="35">
                  <c:v>3.5003948949762102E-2</c:v>
                </c:pt>
                <c:pt idx="36">
                  <c:v>3.4883404461994359E-2</c:v>
                </c:pt>
                <c:pt idx="37">
                  <c:v>3.5640630136521897E-2</c:v>
                </c:pt>
                <c:pt idx="38">
                  <c:v>3.5864486032883044E-2</c:v>
                </c:pt>
                <c:pt idx="39">
                  <c:v>3.4423475091667301E-2</c:v>
                </c:pt>
                <c:pt idx="40">
                  <c:v>3.9836561327823455E-2</c:v>
                </c:pt>
                <c:pt idx="41">
                  <c:v>3.683634924504238E-2</c:v>
                </c:pt>
                <c:pt idx="42">
                  <c:v>3.4233606575074467E-2</c:v>
                </c:pt>
                <c:pt idx="43">
                  <c:v>3.5824768542505173E-2</c:v>
                </c:pt>
                <c:pt idx="44">
                  <c:v>3.668059475506423E-2</c:v>
                </c:pt>
                <c:pt idx="45">
                  <c:v>3.8644192593972712E-2</c:v>
                </c:pt>
                <c:pt idx="46">
                  <c:v>3.6640205096253479E-2</c:v>
                </c:pt>
                <c:pt idx="47">
                  <c:v>3.5793012810940751E-2</c:v>
                </c:pt>
                <c:pt idx="48">
                  <c:v>3.6583630281109565E-2</c:v>
                </c:pt>
                <c:pt idx="49">
                  <c:v>3.7577820990390837E-2</c:v>
                </c:pt>
                <c:pt idx="50">
                  <c:v>3.6985407633133426E-2</c:v>
                </c:pt>
                <c:pt idx="51">
                  <c:v>3.8604314341815195E-2</c:v>
                </c:pt>
                <c:pt idx="52">
                  <c:v>3.8398874536683475E-2</c:v>
                </c:pt>
                <c:pt idx="53">
                  <c:v>3.6333915502443782E-2</c:v>
                </c:pt>
                <c:pt idx="54">
                  <c:v>3.7026494468875126E-2</c:v>
                </c:pt>
                <c:pt idx="55">
                  <c:v>3.9137475314209969E-2</c:v>
                </c:pt>
                <c:pt idx="56">
                  <c:v>3.7893851029977887E-2</c:v>
                </c:pt>
                <c:pt idx="57">
                  <c:v>3.7107777811056668E-2</c:v>
                </c:pt>
                <c:pt idx="58">
                  <c:v>3.9264460631233629E-2</c:v>
                </c:pt>
                <c:pt idx="59">
                  <c:v>3.7944879667764692E-2</c:v>
                </c:pt>
                <c:pt idx="60">
                  <c:v>3.8958732992834075E-2</c:v>
                </c:pt>
                <c:pt idx="61">
                  <c:v>3.8621356297706515E-2</c:v>
                </c:pt>
                <c:pt idx="62">
                  <c:v>3.9421725145880812E-2</c:v>
                </c:pt>
                <c:pt idx="63">
                  <c:v>3.9834599082071417E-2</c:v>
                </c:pt>
                <c:pt idx="64">
                  <c:v>4.0002624132750041E-2</c:v>
                </c:pt>
                <c:pt idx="65">
                  <c:v>3.8502821586441041E-2</c:v>
                </c:pt>
                <c:pt idx="66">
                  <c:v>4.0556856535784079E-2</c:v>
                </c:pt>
                <c:pt idx="67">
                  <c:v>4.0293817620151662E-2</c:v>
                </c:pt>
                <c:pt idx="68">
                  <c:v>3.9784475132608403E-2</c:v>
                </c:pt>
                <c:pt idx="69">
                  <c:v>4.0172636504321069E-2</c:v>
                </c:pt>
                <c:pt idx="70">
                  <c:v>4.070051420337284E-2</c:v>
                </c:pt>
                <c:pt idx="71">
                  <c:v>3.9774571935755947E-2</c:v>
                </c:pt>
                <c:pt idx="72">
                  <c:v>4.0470571406875204E-2</c:v>
                </c:pt>
                <c:pt idx="73">
                  <c:v>3.9760900567963185E-2</c:v>
                </c:pt>
                <c:pt idx="74">
                  <c:v>4.0208255703376813E-2</c:v>
                </c:pt>
                <c:pt idx="75">
                  <c:v>4.0705945221318644E-2</c:v>
                </c:pt>
                <c:pt idx="76">
                  <c:v>4.0059381910011883E-2</c:v>
                </c:pt>
                <c:pt idx="77">
                  <c:v>4.1285816985445874E-2</c:v>
                </c:pt>
                <c:pt idx="78">
                  <c:v>4.1796301956217217E-2</c:v>
                </c:pt>
                <c:pt idx="79">
                  <c:v>4.0445952266998132E-2</c:v>
                </c:pt>
                <c:pt idx="80">
                  <c:v>4.040987819968437E-2</c:v>
                </c:pt>
                <c:pt idx="81">
                  <c:v>4.0979761789358443E-2</c:v>
                </c:pt>
                <c:pt idx="82">
                  <c:v>4.1562979534048167E-2</c:v>
                </c:pt>
                <c:pt idx="83">
                  <c:v>4.0933988464132091E-2</c:v>
                </c:pt>
                <c:pt idx="84">
                  <c:v>4.103826040342478E-2</c:v>
                </c:pt>
                <c:pt idx="85">
                  <c:v>4.2375701264227482E-2</c:v>
                </c:pt>
                <c:pt idx="86">
                  <c:v>4.1624372312548633E-2</c:v>
                </c:pt>
                <c:pt idx="87">
                  <c:v>4.3825520021362835E-2</c:v>
                </c:pt>
                <c:pt idx="88">
                  <c:v>4.2143514483918211E-2</c:v>
                </c:pt>
                <c:pt idx="89">
                  <c:v>4.266779475559157E-2</c:v>
                </c:pt>
                <c:pt idx="90">
                  <c:v>4.1774831021148991E-2</c:v>
                </c:pt>
                <c:pt idx="91">
                  <c:v>4.3045556083695855E-2</c:v>
                </c:pt>
                <c:pt idx="92">
                  <c:v>4.1908088617958708E-2</c:v>
                </c:pt>
                <c:pt idx="93">
                  <c:v>4.3604346269241583E-2</c:v>
                </c:pt>
                <c:pt idx="94">
                  <c:v>4.1867566654163586E-2</c:v>
                </c:pt>
                <c:pt idx="95">
                  <c:v>4.1783574529217903E-2</c:v>
                </c:pt>
                <c:pt idx="96">
                  <c:v>4.3518791178657958E-2</c:v>
                </c:pt>
                <c:pt idx="97">
                  <c:v>4.5347854265539576E-2</c:v>
                </c:pt>
                <c:pt idx="98">
                  <c:v>4.3022322911642895E-2</c:v>
                </c:pt>
                <c:pt idx="99">
                  <c:v>4.3732433599646271E-2</c:v>
                </c:pt>
                <c:pt idx="100">
                  <c:v>4.2593704416751504E-2</c:v>
                </c:pt>
                <c:pt idx="101">
                  <c:v>4.3608440363634246E-2</c:v>
                </c:pt>
                <c:pt idx="102">
                  <c:v>4.3968569727645304E-2</c:v>
                </c:pt>
                <c:pt idx="103">
                  <c:v>4.3554684316939568E-2</c:v>
                </c:pt>
                <c:pt idx="104">
                  <c:v>4.3337320844330084E-2</c:v>
                </c:pt>
                <c:pt idx="105">
                  <c:v>4.4184384224975226E-2</c:v>
                </c:pt>
                <c:pt idx="106">
                  <c:v>4.4698883656653338E-2</c:v>
                </c:pt>
                <c:pt idx="107">
                  <c:v>4.3703627848665307E-2</c:v>
                </c:pt>
                <c:pt idx="108">
                  <c:v>4.4124069891570881E-2</c:v>
                </c:pt>
                <c:pt idx="109">
                  <c:v>4.446526506336286E-2</c:v>
                </c:pt>
                <c:pt idx="110">
                  <c:v>4.5057445522540568E-2</c:v>
                </c:pt>
                <c:pt idx="111">
                  <c:v>4.4356912692802862E-2</c:v>
                </c:pt>
                <c:pt idx="112">
                  <c:v>4.500139197073099E-2</c:v>
                </c:pt>
                <c:pt idx="113">
                  <c:v>4.4250242063992772E-2</c:v>
                </c:pt>
                <c:pt idx="114">
                  <c:v>4.4261210838935902E-2</c:v>
                </c:pt>
                <c:pt idx="115">
                  <c:v>4.630908722147381E-2</c:v>
                </c:pt>
                <c:pt idx="116">
                  <c:v>4.5461292983114014E-2</c:v>
                </c:pt>
                <c:pt idx="117">
                  <c:v>4.5610970466332647E-2</c:v>
                </c:pt>
                <c:pt idx="118">
                  <c:v>4.4981418552571095E-2</c:v>
                </c:pt>
                <c:pt idx="119">
                  <c:v>4.4431056498840889E-2</c:v>
                </c:pt>
                <c:pt idx="120">
                  <c:v>4.5789657242967484E-2</c:v>
                </c:pt>
                <c:pt idx="121">
                  <c:v>4.4863686024251594E-2</c:v>
                </c:pt>
                <c:pt idx="122">
                  <c:v>4.6184258072613386E-2</c:v>
                </c:pt>
                <c:pt idx="123">
                  <c:v>4.6021435569763756E-2</c:v>
                </c:pt>
                <c:pt idx="124">
                  <c:v>4.5856450288595002E-2</c:v>
                </c:pt>
                <c:pt idx="125">
                  <c:v>4.6141976066943986E-2</c:v>
                </c:pt>
                <c:pt idx="126">
                  <c:v>4.5564691050712737E-2</c:v>
                </c:pt>
                <c:pt idx="127">
                  <c:v>4.6802167275583534E-2</c:v>
                </c:pt>
                <c:pt idx="128">
                  <c:v>4.7113556451317005E-2</c:v>
                </c:pt>
                <c:pt idx="129">
                  <c:v>4.6616005017645644E-2</c:v>
                </c:pt>
                <c:pt idx="130">
                  <c:v>4.7023375753667183E-2</c:v>
                </c:pt>
                <c:pt idx="131">
                  <c:v>4.7699883390351014E-2</c:v>
                </c:pt>
                <c:pt idx="132">
                  <c:v>4.7728095856971131E-2</c:v>
                </c:pt>
                <c:pt idx="133">
                  <c:v>4.7153917935003807E-2</c:v>
                </c:pt>
                <c:pt idx="134">
                  <c:v>4.6218619516425016E-2</c:v>
                </c:pt>
                <c:pt idx="135">
                  <c:v>4.6508941809055349E-2</c:v>
                </c:pt>
                <c:pt idx="136">
                  <c:v>4.609869037561843E-2</c:v>
                </c:pt>
                <c:pt idx="137">
                  <c:v>4.6542915725816252E-2</c:v>
                </c:pt>
                <c:pt idx="138">
                  <c:v>4.7473373909136064E-2</c:v>
                </c:pt>
                <c:pt idx="139">
                  <c:v>4.7096389708714555E-2</c:v>
                </c:pt>
                <c:pt idx="140">
                  <c:v>4.7403636778882353E-2</c:v>
                </c:pt>
                <c:pt idx="141">
                  <c:v>4.7311562884422231E-2</c:v>
                </c:pt>
                <c:pt idx="142">
                  <c:v>4.6711830452123258E-2</c:v>
                </c:pt>
                <c:pt idx="143">
                  <c:v>4.7012048154441148E-2</c:v>
                </c:pt>
                <c:pt idx="144">
                  <c:v>4.885316244268962E-2</c:v>
                </c:pt>
                <c:pt idx="145">
                  <c:v>4.7755549623157152E-2</c:v>
                </c:pt>
                <c:pt idx="146">
                  <c:v>4.7397231544059525E-2</c:v>
                </c:pt>
                <c:pt idx="147">
                  <c:v>4.7711190870574939E-2</c:v>
                </c:pt>
                <c:pt idx="148">
                  <c:v>4.788324323312243E-2</c:v>
                </c:pt>
                <c:pt idx="149">
                  <c:v>4.7792684061452352E-2</c:v>
                </c:pt>
                <c:pt idx="150">
                  <c:v>4.7133052313754427E-2</c:v>
                </c:pt>
                <c:pt idx="151">
                  <c:v>4.7555458461010669E-2</c:v>
                </c:pt>
                <c:pt idx="152">
                  <c:v>4.6181506783168173E-2</c:v>
                </c:pt>
                <c:pt idx="153">
                  <c:v>4.7506502241761402E-2</c:v>
                </c:pt>
                <c:pt idx="154">
                  <c:v>4.7462992925063244E-2</c:v>
                </c:pt>
                <c:pt idx="155">
                  <c:v>4.7514006598058045E-2</c:v>
                </c:pt>
                <c:pt idx="156">
                  <c:v>4.9156490460982749E-2</c:v>
                </c:pt>
                <c:pt idx="157">
                  <c:v>4.8700123422846291E-2</c:v>
                </c:pt>
                <c:pt idx="158">
                  <c:v>4.8056004047416091E-2</c:v>
                </c:pt>
                <c:pt idx="159">
                  <c:v>5.3638586529186939E-2</c:v>
                </c:pt>
                <c:pt idx="160">
                  <c:v>5.1036890642617051E-2</c:v>
                </c:pt>
                <c:pt idx="161">
                  <c:v>4.9568144867142276E-2</c:v>
                </c:pt>
                <c:pt idx="162">
                  <c:v>4.9289067708602557E-2</c:v>
                </c:pt>
                <c:pt idx="163">
                  <c:v>4.9259942347973706E-2</c:v>
                </c:pt>
                <c:pt idx="164">
                  <c:v>5.0780345800109095E-2</c:v>
                </c:pt>
                <c:pt idx="165">
                  <c:v>4.8315163208276946E-2</c:v>
                </c:pt>
                <c:pt idx="166">
                  <c:v>4.8349135818905625E-2</c:v>
                </c:pt>
                <c:pt idx="167">
                  <c:v>5.0197370783131495E-2</c:v>
                </c:pt>
                <c:pt idx="168">
                  <c:v>5.1051650473418052E-2</c:v>
                </c:pt>
                <c:pt idx="169">
                  <c:v>4.863607087500104E-2</c:v>
                </c:pt>
                <c:pt idx="170">
                  <c:v>4.8277669588414035E-2</c:v>
                </c:pt>
                <c:pt idx="171">
                  <c:v>4.9741857119114219E-2</c:v>
                </c:pt>
                <c:pt idx="172">
                  <c:v>4.8413949553597804E-2</c:v>
                </c:pt>
                <c:pt idx="173">
                  <c:v>4.9652343939667713E-2</c:v>
                </c:pt>
                <c:pt idx="174">
                  <c:v>4.8375424063075205E-2</c:v>
                </c:pt>
                <c:pt idx="175">
                  <c:v>4.9363119321930014E-2</c:v>
                </c:pt>
                <c:pt idx="176">
                  <c:v>4.8395472677951308E-2</c:v>
                </c:pt>
                <c:pt idx="177">
                  <c:v>4.8657974047702661E-2</c:v>
                </c:pt>
                <c:pt idx="178">
                  <c:v>4.9673895804415676E-2</c:v>
                </c:pt>
                <c:pt idx="179">
                  <c:v>4.9913459966801174E-2</c:v>
                </c:pt>
                <c:pt idx="180">
                  <c:v>4.8467474449648738E-2</c:v>
                </c:pt>
                <c:pt idx="181">
                  <c:v>4.9963010791637577E-2</c:v>
                </c:pt>
                <c:pt idx="182">
                  <c:v>5.0760816646991939E-2</c:v>
                </c:pt>
                <c:pt idx="183">
                  <c:v>4.9005402330531717E-2</c:v>
                </c:pt>
                <c:pt idx="184">
                  <c:v>5.0578043235075518E-2</c:v>
                </c:pt>
                <c:pt idx="185">
                  <c:v>5.0977217712877186E-2</c:v>
                </c:pt>
                <c:pt idx="186">
                  <c:v>5.0084893059367641E-2</c:v>
                </c:pt>
                <c:pt idx="187">
                  <c:v>4.9298337213855098E-2</c:v>
                </c:pt>
                <c:pt idx="188">
                  <c:v>4.979078938052009E-2</c:v>
                </c:pt>
                <c:pt idx="189">
                  <c:v>5.0319972081262786E-2</c:v>
                </c:pt>
                <c:pt idx="190">
                  <c:v>5.0060542928841441E-2</c:v>
                </c:pt>
                <c:pt idx="191">
                  <c:v>4.9070928129624741E-2</c:v>
                </c:pt>
                <c:pt idx="192">
                  <c:v>4.9914916955725877E-2</c:v>
                </c:pt>
                <c:pt idx="193">
                  <c:v>4.9373544765553952E-2</c:v>
                </c:pt>
                <c:pt idx="194">
                  <c:v>5.0387885620848838E-2</c:v>
                </c:pt>
                <c:pt idx="195">
                  <c:v>4.9427418421338132E-2</c:v>
                </c:pt>
                <c:pt idx="196">
                  <c:v>5.0431960241228105E-2</c:v>
                </c:pt>
                <c:pt idx="197">
                  <c:v>5.0260954734143638E-2</c:v>
                </c:pt>
                <c:pt idx="198">
                  <c:v>5.03298786116144E-2</c:v>
                </c:pt>
                <c:pt idx="199">
                  <c:v>5.1803569782224966E-2</c:v>
                </c:pt>
                <c:pt idx="200">
                  <c:v>5.1509184062347835E-2</c:v>
                </c:pt>
                <c:pt idx="201">
                  <c:v>4.9106599416968384E-2</c:v>
                </c:pt>
                <c:pt idx="202">
                  <c:v>4.9054954791765797E-2</c:v>
                </c:pt>
                <c:pt idx="203">
                  <c:v>5.2532699216741065E-2</c:v>
                </c:pt>
                <c:pt idx="204">
                  <c:v>5.1959706176993595E-2</c:v>
                </c:pt>
                <c:pt idx="205">
                  <c:v>5.0720900431997201E-2</c:v>
                </c:pt>
                <c:pt idx="206">
                  <c:v>5.3067884987205251E-2</c:v>
                </c:pt>
                <c:pt idx="207">
                  <c:v>4.9760167890962402E-2</c:v>
                </c:pt>
                <c:pt idx="208">
                  <c:v>5.0163155412692083E-2</c:v>
                </c:pt>
                <c:pt idx="209">
                  <c:v>5.1059406825020831E-2</c:v>
                </c:pt>
                <c:pt idx="210">
                  <c:v>4.982160182473467E-2</c:v>
                </c:pt>
                <c:pt idx="211">
                  <c:v>5.078597675807061E-2</c:v>
                </c:pt>
                <c:pt idx="212">
                  <c:v>5.1819866832150105E-2</c:v>
                </c:pt>
                <c:pt idx="213">
                  <c:v>5.0912092781298858E-2</c:v>
                </c:pt>
                <c:pt idx="214">
                  <c:v>5.2771774440779677E-2</c:v>
                </c:pt>
                <c:pt idx="215">
                  <c:v>5.0322963558917411E-2</c:v>
                </c:pt>
                <c:pt idx="216">
                  <c:v>5.190107661730621E-2</c:v>
                </c:pt>
                <c:pt idx="217">
                  <c:v>4.9889389556585458E-2</c:v>
                </c:pt>
                <c:pt idx="218">
                  <c:v>5.2681168492381858E-2</c:v>
                </c:pt>
                <c:pt idx="219">
                  <c:v>5.1452655964876672E-2</c:v>
                </c:pt>
                <c:pt idx="220">
                  <c:v>4.8920233546160645E-2</c:v>
                </c:pt>
                <c:pt idx="221">
                  <c:v>5.0603215078494891E-2</c:v>
                </c:pt>
                <c:pt idx="222">
                  <c:v>5.1019501167297907E-2</c:v>
                </c:pt>
                <c:pt idx="223">
                  <c:v>5.0595678255484534E-2</c:v>
                </c:pt>
                <c:pt idx="224">
                  <c:v>5.0685883972549646E-2</c:v>
                </c:pt>
                <c:pt idx="225">
                  <c:v>5.3032467258379373E-2</c:v>
                </c:pt>
                <c:pt idx="226">
                  <c:v>5.151398971465436E-2</c:v>
                </c:pt>
                <c:pt idx="227">
                  <c:v>5.5934890724547028E-2</c:v>
                </c:pt>
                <c:pt idx="228">
                  <c:v>5.3631074466867303E-2</c:v>
                </c:pt>
                <c:pt idx="229">
                  <c:v>5.7995349664438062E-2</c:v>
                </c:pt>
                <c:pt idx="230">
                  <c:v>5.3779134854995331E-2</c:v>
                </c:pt>
                <c:pt idx="231">
                  <c:v>5.1850807856254212E-2</c:v>
                </c:pt>
                <c:pt idx="232">
                  <c:v>5.2848805297322665E-2</c:v>
                </c:pt>
                <c:pt idx="233">
                  <c:v>5.3702457067255772E-2</c:v>
                </c:pt>
                <c:pt idx="234">
                  <c:v>5.4538345954015785E-2</c:v>
                </c:pt>
                <c:pt idx="235">
                  <c:v>5.3265054571152652E-2</c:v>
                </c:pt>
                <c:pt idx="236">
                  <c:v>5.5527457085350174E-2</c:v>
                </c:pt>
                <c:pt idx="237">
                  <c:v>5.4013940638375689E-2</c:v>
                </c:pt>
                <c:pt idx="238">
                  <c:v>5.2488517489148845E-2</c:v>
                </c:pt>
                <c:pt idx="239">
                  <c:v>5.3739897481707551E-2</c:v>
                </c:pt>
                <c:pt idx="240">
                  <c:v>5.3971168173363643E-2</c:v>
                </c:pt>
                <c:pt idx="241">
                  <c:v>5.5193988960653757E-2</c:v>
                </c:pt>
                <c:pt idx="242">
                  <c:v>5.6456944518999762E-2</c:v>
                </c:pt>
                <c:pt idx="243">
                  <c:v>5.4730517967496443E-2</c:v>
                </c:pt>
                <c:pt idx="244">
                  <c:v>5.4257137535448571E-2</c:v>
                </c:pt>
                <c:pt idx="245">
                  <c:v>5.5808294487650255E-2</c:v>
                </c:pt>
                <c:pt idx="246">
                  <c:v>5.4675133941745925E-2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23-447C-96E5-E806647A1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650280"/>
        <c:axId val="1"/>
      </c:scatterChart>
      <c:valAx>
        <c:axId val="820650280"/>
        <c:scaling>
          <c:orientation val="minMax"/>
          <c:max val="3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6502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1047750</xdr:colOff>
      <xdr:row>22</xdr:row>
      <xdr:rowOff>19050</xdr:rowOff>
    </xdr:from>
    <xdr:to>
      <xdr:col>15</xdr:col>
      <xdr:colOff>533400</xdr:colOff>
      <xdr:row>46</xdr:row>
      <xdr:rowOff>85725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3E3F13-987A-4FC0-BC18-74E2C6BAA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06"/>
      <sheetName val="Page 706 (中文)"/>
      <sheetName val="Page 707, top"/>
      <sheetName val="Page 707, top (中文)"/>
      <sheetName val="Page 707 bottom, 708 top"/>
      <sheetName val="Page 707 bottom, 708 top (中文)"/>
      <sheetName val="Page 708, bottom"/>
      <sheetName val="Page 708, bottom (中文)"/>
      <sheetName val="Page 709"/>
      <sheetName val="Page 709 (中文)"/>
      <sheetName val="Page 710"/>
      <sheetName val="Page 710 (中文)"/>
      <sheetName val="Page 712"/>
      <sheetName val="Page 712 (中文)"/>
      <sheetName val="Page 715"/>
      <sheetName val="Page 715 (中文)"/>
      <sheetName val="Page 716"/>
      <sheetName val="Page 716 (中文)"/>
      <sheetName val="Raw AA data, 23feb07"/>
      <sheetName val="Raw AA data, 23feb07 (中文)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E3">
            <v>5.4794520547945202E-2</v>
          </cell>
          <cell r="F3">
            <v>-0.30824408520836677</v>
          </cell>
        </row>
        <row r="4">
          <cell r="E4">
            <v>0.18082191780821918</v>
          </cell>
          <cell r="F4">
            <v>-5.7378182625144075E-2</v>
          </cell>
        </row>
        <row r="5">
          <cell r="E5">
            <v>0.18904109589041096</v>
          </cell>
          <cell r="F5">
            <v>-5.238615272199712E-2</v>
          </cell>
        </row>
        <row r="6">
          <cell r="E6">
            <v>0.22191780821917809</v>
          </cell>
          <cell r="F6">
            <v>-3.3567828880496836E-2</v>
          </cell>
        </row>
        <row r="7">
          <cell r="E7">
            <v>0.29863013698630136</v>
          </cell>
          <cell r="F7">
            <v>-1.3641812231258975E-2</v>
          </cell>
        </row>
        <row r="8">
          <cell r="E8">
            <v>0.30684931506849317</v>
          </cell>
          <cell r="F8">
            <v>-1.6984532934597521E-2</v>
          </cell>
        </row>
        <row r="9">
          <cell r="E9">
            <v>0.30684931506849317</v>
          </cell>
          <cell r="F9">
            <v>-1.5118596659176007E-2</v>
          </cell>
        </row>
        <row r="10">
          <cell r="E10">
            <v>0.35068493150684932</v>
          </cell>
          <cell r="F10">
            <v>-1.498300004321815E-3</v>
          </cell>
        </row>
        <row r="11">
          <cell r="E11">
            <v>0.43561643835616437</v>
          </cell>
          <cell r="F11">
            <v>6.8838913291882301E-3</v>
          </cell>
        </row>
        <row r="12">
          <cell r="E12">
            <v>0.47397260273972602</v>
          </cell>
          <cell r="F12">
            <v>1.0536276453537706E-2</v>
          </cell>
        </row>
        <row r="13">
          <cell r="E13">
            <v>0.47397260273972602</v>
          </cell>
          <cell r="F13">
            <v>1.1693082290499566E-2</v>
          </cell>
        </row>
        <row r="14">
          <cell r="E14">
            <v>0.49589041095890413</v>
          </cell>
          <cell r="F14">
            <v>1.2134964483030539E-2</v>
          </cell>
        </row>
        <row r="15">
          <cell r="E15">
            <v>0.52054794520547942</v>
          </cell>
          <cell r="F15">
            <v>1.4040284353485484E-2</v>
          </cell>
        </row>
        <row r="16">
          <cell r="E16">
            <v>0.52054794520547942</v>
          </cell>
          <cell r="F16">
            <v>1.375948710311329E-2</v>
          </cell>
        </row>
        <row r="17">
          <cell r="E17">
            <v>0.60273972602739723</v>
          </cell>
          <cell r="F17">
            <v>2.0555147436038673E-2</v>
          </cell>
        </row>
        <row r="18">
          <cell r="E18">
            <v>0.64109589041095894</v>
          </cell>
          <cell r="F18">
            <v>2.2365350819817935E-2</v>
          </cell>
        </row>
        <row r="19">
          <cell r="E19">
            <v>0.64109589041095894</v>
          </cell>
          <cell r="F19">
            <v>2.2186527359328686E-2</v>
          </cell>
        </row>
        <row r="20">
          <cell r="E20">
            <v>0.72602739726027399</v>
          </cell>
          <cell r="F20">
            <v>2.5363590191089726E-2</v>
          </cell>
        </row>
        <row r="21">
          <cell r="E21">
            <v>0.72602739726027399</v>
          </cell>
          <cell r="F21">
            <v>2.4530911047264816E-2</v>
          </cell>
        </row>
        <row r="22">
          <cell r="E22">
            <v>0.81095890410958904</v>
          </cell>
          <cell r="F22">
            <v>2.4786602024960681E-2</v>
          </cell>
        </row>
        <row r="23">
          <cell r="E23">
            <v>0.81917808219178079</v>
          </cell>
          <cell r="F23">
            <v>2.8714460492645928E-2</v>
          </cell>
        </row>
        <row r="24">
          <cell r="E24">
            <v>0.89315068493150684</v>
          </cell>
          <cell r="F24">
            <v>2.9084230414958015E-2</v>
          </cell>
        </row>
        <row r="25">
          <cell r="E25">
            <v>0.89315068493150684</v>
          </cell>
          <cell r="F25">
            <v>2.8760448740205728E-2</v>
          </cell>
        </row>
        <row r="26">
          <cell r="E26">
            <v>0.9397260273972603</v>
          </cell>
          <cell r="F26">
            <v>2.9178473699756853E-2</v>
          </cell>
        </row>
        <row r="27">
          <cell r="E27">
            <v>0.9397260273972603</v>
          </cell>
          <cell r="F27">
            <v>2.9548160176610567E-2</v>
          </cell>
        </row>
        <row r="28">
          <cell r="E28">
            <v>0.9780821917808219</v>
          </cell>
          <cell r="F28">
            <v>2.8835822122459765E-2</v>
          </cell>
        </row>
        <row r="29">
          <cell r="E29">
            <v>1.0438356164383562</v>
          </cell>
          <cell r="F29">
            <v>3.198857501132344E-2</v>
          </cell>
        </row>
        <row r="30">
          <cell r="E30">
            <v>1.0575342465753426</v>
          </cell>
          <cell r="F30">
            <v>3.1244040821783198E-2</v>
          </cell>
        </row>
        <row r="31">
          <cell r="E31">
            <v>1.0575342465753426</v>
          </cell>
          <cell r="F31">
            <v>3.1457773201985818E-2</v>
          </cell>
        </row>
        <row r="32">
          <cell r="E32">
            <v>1.0575342465753426</v>
          </cell>
          <cell r="F32">
            <v>3.1124717987125652E-2</v>
          </cell>
        </row>
        <row r="33">
          <cell r="E33">
            <v>1.0575342465753426</v>
          </cell>
          <cell r="F33">
            <v>3.3061822733664439E-2</v>
          </cell>
        </row>
        <row r="34">
          <cell r="E34">
            <v>1.0575342465753426</v>
          </cell>
          <cell r="F34">
            <v>3.2695589026298495E-2</v>
          </cell>
        </row>
        <row r="35">
          <cell r="E35">
            <v>1.0630136986301371</v>
          </cell>
          <cell r="F35">
            <v>3.271094951816874E-2</v>
          </cell>
        </row>
        <row r="36">
          <cell r="E36">
            <v>1.0630136986301371</v>
          </cell>
          <cell r="F36">
            <v>3.2148556720536389E-2</v>
          </cell>
        </row>
        <row r="37">
          <cell r="E37">
            <v>1.0849315068493151</v>
          </cell>
          <cell r="F37">
            <v>3.3381116529231612E-2</v>
          </cell>
        </row>
        <row r="38">
          <cell r="E38">
            <v>1.1424657534246576</v>
          </cell>
          <cell r="F38">
            <v>3.5003948949762102E-2</v>
          </cell>
        </row>
        <row r="39">
          <cell r="E39">
            <v>1.1863013698630136</v>
          </cell>
          <cell r="F39">
            <v>3.4883404461994359E-2</v>
          </cell>
        </row>
        <row r="40">
          <cell r="E40">
            <v>1.2246575342465753</v>
          </cell>
          <cell r="F40">
            <v>3.5640630136521897E-2</v>
          </cell>
        </row>
        <row r="41">
          <cell r="E41">
            <v>1.2246575342465753</v>
          </cell>
          <cell r="F41">
            <v>3.5864486032883044E-2</v>
          </cell>
        </row>
        <row r="42">
          <cell r="E42">
            <v>1.2273972602739727</v>
          </cell>
          <cell r="F42">
            <v>3.4423475091667301E-2</v>
          </cell>
        </row>
        <row r="43">
          <cell r="E43">
            <v>1.2575342465753425</v>
          </cell>
          <cell r="F43">
            <v>3.9836561327823455E-2</v>
          </cell>
        </row>
        <row r="44">
          <cell r="E44">
            <v>1.2712328767123289</v>
          </cell>
          <cell r="F44">
            <v>3.683634924504238E-2</v>
          </cell>
        </row>
        <row r="45">
          <cell r="E45">
            <v>1.2712328767123289</v>
          </cell>
          <cell r="F45">
            <v>3.4233606575074467E-2</v>
          </cell>
        </row>
        <row r="46">
          <cell r="E46">
            <v>1.273972602739726</v>
          </cell>
          <cell r="F46">
            <v>3.5824768542505173E-2</v>
          </cell>
        </row>
        <row r="47">
          <cell r="E47">
            <v>1.3095890410958904</v>
          </cell>
          <cell r="F47">
            <v>3.668059475506423E-2</v>
          </cell>
        </row>
        <row r="48">
          <cell r="E48">
            <v>1.3095890410958904</v>
          </cell>
          <cell r="F48">
            <v>3.8644192593972712E-2</v>
          </cell>
        </row>
        <row r="49">
          <cell r="E49">
            <v>1.3150684931506849</v>
          </cell>
          <cell r="F49">
            <v>3.6640205096253479E-2</v>
          </cell>
        </row>
        <row r="50">
          <cell r="E50">
            <v>1.3506849315068492</v>
          </cell>
          <cell r="F50">
            <v>3.5793012810940751E-2</v>
          </cell>
        </row>
        <row r="51">
          <cell r="E51">
            <v>1.3917808219178083</v>
          </cell>
          <cell r="F51">
            <v>3.6583630281109565E-2</v>
          </cell>
        </row>
        <row r="52">
          <cell r="E52">
            <v>1.4383561643835616</v>
          </cell>
          <cell r="F52">
            <v>3.7577820990390837E-2</v>
          </cell>
        </row>
        <row r="53">
          <cell r="E53">
            <v>1.4767123287671233</v>
          </cell>
          <cell r="F53">
            <v>3.6985407633133426E-2</v>
          </cell>
        </row>
        <row r="54">
          <cell r="E54">
            <v>1.4767123287671233</v>
          </cell>
          <cell r="F54">
            <v>3.8604314341815195E-2</v>
          </cell>
        </row>
        <row r="55">
          <cell r="E55">
            <v>1.4767123287671233</v>
          </cell>
          <cell r="F55">
            <v>3.8398874536683475E-2</v>
          </cell>
        </row>
        <row r="56">
          <cell r="E56">
            <v>1.4767123287671233</v>
          </cell>
          <cell r="F56">
            <v>3.6333915502443782E-2</v>
          </cell>
        </row>
        <row r="57">
          <cell r="E57">
            <v>1.5616438356164384</v>
          </cell>
          <cell r="F57">
            <v>3.7026494468875126E-2</v>
          </cell>
        </row>
        <row r="58">
          <cell r="E58">
            <v>1.5616438356164384</v>
          </cell>
          <cell r="F58">
            <v>3.9137475314209969E-2</v>
          </cell>
        </row>
        <row r="59">
          <cell r="E59">
            <v>1.6054794520547946</v>
          </cell>
          <cell r="F59">
            <v>3.7893851029977887E-2</v>
          </cell>
        </row>
        <row r="60">
          <cell r="E60">
            <v>1.6054794520547946</v>
          </cell>
          <cell r="F60">
            <v>3.7107777811056668E-2</v>
          </cell>
        </row>
        <row r="61">
          <cell r="E61">
            <v>1.6438356164383561</v>
          </cell>
          <cell r="F61">
            <v>3.9264460631233629E-2</v>
          </cell>
        </row>
        <row r="62">
          <cell r="E62">
            <v>1.6438356164383561</v>
          </cell>
          <cell r="F62">
            <v>3.7944879667764692E-2</v>
          </cell>
        </row>
        <row r="63">
          <cell r="E63">
            <v>1.6438356164383561</v>
          </cell>
          <cell r="F63">
            <v>3.8958732992834075E-2</v>
          </cell>
        </row>
        <row r="64">
          <cell r="E64">
            <v>1.6767123287671233</v>
          </cell>
          <cell r="F64">
            <v>3.8621356297706515E-2</v>
          </cell>
        </row>
        <row r="65">
          <cell r="E65">
            <v>1.6904109589041096</v>
          </cell>
          <cell r="F65">
            <v>3.9421725145880812E-2</v>
          </cell>
        </row>
        <row r="66">
          <cell r="E66">
            <v>1.6904109589041096</v>
          </cell>
          <cell r="F66">
            <v>3.9834599082071417E-2</v>
          </cell>
        </row>
        <row r="67">
          <cell r="E67">
            <v>1.7287671232876711</v>
          </cell>
          <cell r="F67">
            <v>4.0002624132750041E-2</v>
          </cell>
        </row>
        <row r="68">
          <cell r="E68">
            <v>1.810958904109589</v>
          </cell>
          <cell r="F68">
            <v>3.8502821586441041E-2</v>
          </cell>
        </row>
        <row r="69">
          <cell r="E69">
            <v>1.8958904109589041</v>
          </cell>
          <cell r="F69">
            <v>4.0556856535784079E-2</v>
          </cell>
        </row>
        <row r="70">
          <cell r="E70">
            <v>1.8958904109589041</v>
          </cell>
          <cell r="F70">
            <v>4.0293817620151662E-2</v>
          </cell>
        </row>
        <row r="71">
          <cell r="E71">
            <v>1.8958904109589041</v>
          </cell>
          <cell r="F71">
            <v>3.9784475132608403E-2</v>
          </cell>
        </row>
        <row r="72">
          <cell r="E72">
            <v>1.8958904109589041</v>
          </cell>
          <cell r="F72">
            <v>4.0172636504321069E-2</v>
          </cell>
        </row>
        <row r="73">
          <cell r="E73">
            <v>1.9424657534246574</v>
          </cell>
          <cell r="F73">
            <v>4.070051420337284E-2</v>
          </cell>
        </row>
        <row r="74">
          <cell r="E74">
            <v>1.9643835616438357</v>
          </cell>
          <cell r="F74">
            <v>3.9774571935755947E-2</v>
          </cell>
        </row>
        <row r="75">
          <cell r="E75">
            <v>1.9808219178082191</v>
          </cell>
          <cell r="F75">
            <v>4.0470571406875204E-2</v>
          </cell>
        </row>
        <row r="76">
          <cell r="E76">
            <v>1.9863013698630136</v>
          </cell>
          <cell r="F76">
            <v>3.9760900567963185E-2</v>
          </cell>
        </row>
        <row r="77">
          <cell r="E77">
            <v>1.9863013698630136</v>
          </cell>
          <cell r="F77">
            <v>4.0208255703376813E-2</v>
          </cell>
        </row>
        <row r="78">
          <cell r="E78">
            <v>1.9863013698630136</v>
          </cell>
          <cell r="F78">
            <v>4.0705945221318644E-2</v>
          </cell>
        </row>
        <row r="79">
          <cell r="E79">
            <v>1.9863013698630136</v>
          </cell>
          <cell r="F79">
            <v>4.0059381910011883E-2</v>
          </cell>
        </row>
        <row r="80">
          <cell r="E80">
            <v>2.0191780821917806</v>
          </cell>
          <cell r="F80">
            <v>4.1285816985445874E-2</v>
          </cell>
        </row>
        <row r="81">
          <cell r="E81">
            <v>2.0191780821917806</v>
          </cell>
          <cell r="F81">
            <v>4.1796301956217217E-2</v>
          </cell>
        </row>
        <row r="82">
          <cell r="E82">
            <v>2.0191780821917806</v>
          </cell>
          <cell r="F82">
            <v>4.0445952266998132E-2</v>
          </cell>
        </row>
        <row r="83">
          <cell r="E83">
            <v>2.0191780821917806</v>
          </cell>
          <cell r="F83">
            <v>4.040987819968437E-2</v>
          </cell>
        </row>
        <row r="84">
          <cell r="E84">
            <v>2.0575342465753423</v>
          </cell>
          <cell r="F84">
            <v>4.0979761789358443E-2</v>
          </cell>
        </row>
        <row r="85">
          <cell r="E85">
            <v>2.1041095890410957</v>
          </cell>
          <cell r="F85">
            <v>4.1562979534048167E-2</v>
          </cell>
        </row>
        <row r="86">
          <cell r="E86">
            <v>2.1424657534246574</v>
          </cell>
          <cell r="F86">
            <v>4.0933988464132091E-2</v>
          </cell>
        </row>
        <row r="87">
          <cell r="E87">
            <v>2.1945205479452055</v>
          </cell>
          <cell r="F87">
            <v>4.103826040342478E-2</v>
          </cell>
        </row>
        <row r="88">
          <cell r="E88">
            <v>2.2246575342465755</v>
          </cell>
          <cell r="F88">
            <v>4.2375701264227482E-2</v>
          </cell>
        </row>
        <row r="89">
          <cell r="E89">
            <v>2.3095890410958906</v>
          </cell>
          <cell r="F89">
            <v>4.1624372312548633E-2</v>
          </cell>
        </row>
        <row r="90">
          <cell r="E90">
            <v>2.3917808219178083</v>
          </cell>
          <cell r="F90">
            <v>4.3825520021362835E-2</v>
          </cell>
        </row>
        <row r="91">
          <cell r="E91">
            <v>2.3917808219178083</v>
          </cell>
          <cell r="F91">
            <v>4.2143514483918211E-2</v>
          </cell>
        </row>
        <row r="92">
          <cell r="E92">
            <v>2.3917808219178083</v>
          </cell>
          <cell r="F92">
            <v>4.266779475559157E-2</v>
          </cell>
        </row>
        <row r="93">
          <cell r="E93">
            <v>2.4328767123287673</v>
          </cell>
          <cell r="F93">
            <v>4.1774831021148991E-2</v>
          </cell>
        </row>
        <row r="94">
          <cell r="E94">
            <v>2.4383561643835616</v>
          </cell>
          <cell r="F94">
            <v>4.3045556083695855E-2</v>
          </cell>
        </row>
        <row r="95">
          <cell r="E95">
            <v>2.463013698630137</v>
          </cell>
          <cell r="F95">
            <v>4.1908088617958708E-2</v>
          </cell>
        </row>
        <row r="96">
          <cell r="E96">
            <v>2.4767123287671233</v>
          </cell>
          <cell r="F96">
            <v>4.3604346269241583E-2</v>
          </cell>
        </row>
        <row r="97">
          <cell r="E97">
            <v>2.5616438356164384</v>
          </cell>
          <cell r="F97">
            <v>4.1867566654163586E-2</v>
          </cell>
        </row>
        <row r="98">
          <cell r="E98">
            <v>2.5616438356164384</v>
          </cell>
          <cell r="F98">
            <v>4.1783574529217903E-2</v>
          </cell>
        </row>
        <row r="99">
          <cell r="E99">
            <v>2.5616438356164384</v>
          </cell>
          <cell r="F99">
            <v>4.3518791178657958E-2</v>
          </cell>
        </row>
        <row r="100">
          <cell r="E100">
            <v>2.5616438356164384</v>
          </cell>
          <cell r="F100">
            <v>4.5347854265539576E-2</v>
          </cell>
        </row>
        <row r="101">
          <cell r="E101">
            <v>2.6054794520547944</v>
          </cell>
          <cell r="F101">
            <v>4.3022322911642895E-2</v>
          </cell>
        </row>
        <row r="102">
          <cell r="E102">
            <v>2.6054794520547944</v>
          </cell>
          <cell r="F102">
            <v>4.3732433599646271E-2</v>
          </cell>
        </row>
        <row r="103">
          <cell r="E103">
            <v>2.6219178082191781</v>
          </cell>
          <cell r="F103">
            <v>4.2593704416751504E-2</v>
          </cell>
        </row>
        <row r="104">
          <cell r="E104">
            <v>2.6904109589041094</v>
          </cell>
          <cell r="F104">
            <v>4.3608440363634246E-2</v>
          </cell>
        </row>
        <row r="105">
          <cell r="E105">
            <v>2.9315068493150687</v>
          </cell>
          <cell r="F105">
            <v>4.3968569727645304E-2</v>
          </cell>
        </row>
        <row r="106">
          <cell r="E106">
            <v>2.9342465753424656</v>
          </cell>
          <cell r="F106">
            <v>4.3554684316939568E-2</v>
          </cell>
        </row>
        <row r="107">
          <cell r="E107">
            <v>2.9808219178082194</v>
          </cell>
          <cell r="F107">
            <v>4.3337320844330084E-2</v>
          </cell>
        </row>
        <row r="108">
          <cell r="E108">
            <v>3.010958904109589</v>
          </cell>
          <cell r="F108">
            <v>4.4184384224975226E-2</v>
          </cell>
        </row>
        <row r="109">
          <cell r="E109">
            <v>3.0575342465753423</v>
          </cell>
          <cell r="F109">
            <v>4.4698883656653338E-2</v>
          </cell>
        </row>
        <row r="110">
          <cell r="E110">
            <v>3.1397260273972605</v>
          </cell>
          <cell r="F110">
            <v>4.3703627848665307E-2</v>
          </cell>
        </row>
        <row r="111">
          <cell r="E111">
            <v>3.1424657534246574</v>
          </cell>
          <cell r="F111">
            <v>4.4124069891570881E-2</v>
          </cell>
        </row>
        <row r="112">
          <cell r="E112">
            <v>3.2246575342465755</v>
          </cell>
          <cell r="F112">
            <v>4.446526506336286E-2</v>
          </cell>
        </row>
        <row r="113">
          <cell r="E113">
            <v>3.2246575342465755</v>
          </cell>
          <cell r="F113">
            <v>4.5057445522540568E-2</v>
          </cell>
        </row>
        <row r="114">
          <cell r="E114">
            <v>3.3095890410958906</v>
          </cell>
          <cell r="F114">
            <v>4.4356912692802862E-2</v>
          </cell>
        </row>
        <row r="115">
          <cell r="E115">
            <v>3.3260273972602739</v>
          </cell>
          <cell r="F115">
            <v>4.500139197073099E-2</v>
          </cell>
        </row>
        <row r="116">
          <cell r="E116">
            <v>3.4438356164383563</v>
          </cell>
          <cell r="F116">
            <v>4.4250242063992772E-2</v>
          </cell>
        </row>
        <row r="117">
          <cell r="E117">
            <v>3.4602739726027396</v>
          </cell>
          <cell r="F117">
            <v>4.4261210838935902E-2</v>
          </cell>
        </row>
        <row r="118">
          <cell r="E118">
            <v>3.4657534246575343</v>
          </cell>
          <cell r="F118">
            <v>4.630908722147381E-2</v>
          </cell>
        </row>
        <row r="119">
          <cell r="E119">
            <v>3.4767123287671233</v>
          </cell>
          <cell r="F119">
            <v>4.5461292983114014E-2</v>
          </cell>
        </row>
        <row r="120">
          <cell r="E120">
            <v>3.484931506849315</v>
          </cell>
          <cell r="F120">
            <v>4.5610970466332647E-2</v>
          </cell>
        </row>
        <row r="121">
          <cell r="E121">
            <v>3.5616438356164384</v>
          </cell>
          <cell r="F121">
            <v>4.4981418552571095E-2</v>
          </cell>
        </row>
        <row r="122">
          <cell r="E122">
            <v>3.6054794520547944</v>
          </cell>
          <cell r="F122">
            <v>4.4431056498840889E-2</v>
          </cell>
        </row>
        <row r="123">
          <cell r="E123">
            <v>3.6054794520547944</v>
          </cell>
          <cell r="F123">
            <v>4.5789657242967484E-2</v>
          </cell>
        </row>
        <row r="124">
          <cell r="E124">
            <v>3.6986301369863015</v>
          </cell>
          <cell r="F124">
            <v>4.4863686024251594E-2</v>
          </cell>
        </row>
        <row r="125">
          <cell r="E125">
            <v>3.893150684931507</v>
          </cell>
          <cell r="F125">
            <v>4.6184258072613386E-2</v>
          </cell>
        </row>
        <row r="126">
          <cell r="E126">
            <v>3.8958904109589043</v>
          </cell>
          <cell r="F126">
            <v>4.6021435569763756E-2</v>
          </cell>
        </row>
        <row r="127">
          <cell r="E127">
            <v>3.8958904109589043</v>
          </cell>
          <cell r="F127">
            <v>4.5856450288595002E-2</v>
          </cell>
        </row>
        <row r="128">
          <cell r="E128">
            <v>3.9424657534246577</v>
          </cell>
          <cell r="F128">
            <v>4.6141976066943986E-2</v>
          </cell>
        </row>
        <row r="129">
          <cell r="E129">
            <v>4.021917808219178</v>
          </cell>
          <cell r="F129">
            <v>4.5564691050712737E-2</v>
          </cell>
        </row>
        <row r="130">
          <cell r="E130">
            <v>4.2246575342465755</v>
          </cell>
          <cell r="F130">
            <v>4.6802167275583534E-2</v>
          </cell>
        </row>
        <row r="131">
          <cell r="E131">
            <v>4.2246575342465755</v>
          </cell>
          <cell r="F131">
            <v>4.7113556451317005E-2</v>
          </cell>
        </row>
        <row r="132">
          <cell r="E132">
            <v>4.2712328767123289</v>
          </cell>
          <cell r="F132">
            <v>4.6616005017645644E-2</v>
          </cell>
        </row>
        <row r="133">
          <cell r="E133">
            <v>4.3068493150684928</v>
          </cell>
          <cell r="F133">
            <v>4.7023375753667183E-2</v>
          </cell>
        </row>
        <row r="134">
          <cell r="E134">
            <v>4.3095890410958901</v>
          </cell>
          <cell r="F134">
            <v>4.7699883390351014E-2</v>
          </cell>
        </row>
        <row r="135">
          <cell r="E135">
            <v>4.3095890410958901</v>
          </cell>
          <cell r="F135">
            <v>4.7728095856971131E-2</v>
          </cell>
        </row>
        <row r="136">
          <cell r="E136">
            <v>4.3917808219178083</v>
          </cell>
          <cell r="F136">
            <v>4.7153917935003807E-2</v>
          </cell>
        </row>
        <row r="137">
          <cell r="E137">
            <v>4.4383561643835616</v>
          </cell>
          <cell r="F137">
            <v>4.6218619516425016E-2</v>
          </cell>
        </row>
        <row r="138">
          <cell r="E138">
            <v>4.4383561643835616</v>
          </cell>
          <cell r="F138">
            <v>4.6508941809055349E-2</v>
          </cell>
        </row>
        <row r="139">
          <cell r="E139">
            <v>4.506849315068493</v>
          </cell>
          <cell r="F139">
            <v>4.609869037561843E-2</v>
          </cell>
        </row>
        <row r="140">
          <cell r="E140">
            <v>4.5999999999999996</v>
          </cell>
          <cell r="F140">
            <v>4.6542915725816252E-2</v>
          </cell>
        </row>
        <row r="141">
          <cell r="E141">
            <v>4.6438356164383565</v>
          </cell>
          <cell r="F141">
            <v>4.7473373909136064E-2</v>
          </cell>
        </row>
        <row r="142">
          <cell r="E142">
            <v>4.6438356164383565</v>
          </cell>
          <cell r="F142">
            <v>4.7096389708714555E-2</v>
          </cell>
        </row>
        <row r="143">
          <cell r="E143">
            <v>4.6438356164383565</v>
          </cell>
          <cell r="F143">
            <v>4.7403636778882353E-2</v>
          </cell>
        </row>
        <row r="144">
          <cell r="E144">
            <v>4.6438356164383565</v>
          </cell>
          <cell r="F144">
            <v>4.7311562884422231E-2</v>
          </cell>
        </row>
        <row r="145">
          <cell r="E145">
            <v>4.6438356164383565</v>
          </cell>
          <cell r="F145">
            <v>4.6711830452123258E-2</v>
          </cell>
        </row>
        <row r="146">
          <cell r="E146">
            <v>4.7287671232876711</v>
          </cell>
          <cell r="F146">
            <v>4.7012048154441148E-2</v>
          </cell>
        </row>
        <row r="147">
          <cell r="E147">
            <v>4.7287671232876711</v>
          </cell>
          <cell r="F147">
            <v>4.885316244268962E-2</v>
          </cell>
        </row>
        <row r="148">
          <cell r="E148">
            <v>4.8794520547945206</v>
          </cell>
          <cell r="F148">
            <v>4.7755549623157152E-2</v>
          </cell>
        </row>
        <row r="149">
          <cell r="E149">
            <v>4.8958904109589039</v>
          </cell>
          <cell r="F149">
            <v>4.7397231544059525E-2</v>
          </cell>
        </row>
        <row r="150">
          <cell r="E150">
            <v>4.8958904109589039</v>
          </cell>
          <cell r="F150">
            <v>4.7711190870574939E-2</v>
          </cell>
        </row>
        <row r="151">
          <cell r="E151">
            <v>4.978082191780822</v>
          </cell>
          <cell r="F151">
            <v>4.788324323312243E-2</v>
          </cell>
        </row>
        <row r="152">
          <cell r="E152">
            <v>4.9808219178082194</v>
          </cell>
          <cell r="F152">
            <v>4.7792684061452352E-2</v>
          </cell>
        </row>
        <row r="153">
          <cell r="E153">
            <v>5.0136986301369859</v>
          </cell>
          <cell r="F153">
            <v>4.7133052313754427E-2</v>
          </cell>
        </row>
        <row r="154">
          <cell r="E154">
            <v>5.0602739726027401</v>
          </cell>
          <cell r="F154">
            <v>4.7555458461010669E-2</v>
          </cell>
        </row>
        <row r="155">
          <cell r="E155">
            <v>5.1726027397260275</v>
          </cell>
          <cell r="F155">
            <v>4.6181506783168173E-2</v>
          </cell>
        </row>
        <row r="156">
          <cell r="E156">
            <v>5.7315068493150685</v>
          </cell>
          <cell r="F156">
            <v>4.7506502241761402E-2</v>
          </cell>
        </row>
        <row r="157">
          <cell r="E157">
            <v>5.8986301369863012</v>
          </cell>
          <cell r="F157">
            <v>4.7462992925063244E-2</v>
          </cell>
        </row>
        <row r="158">
          <cell r="E158">
            <v>5.9835616438356167</v>
          </cell>
          <cell r="F158">
            <v>4.7514006598058045E-2</v>
          </cell>
        </row>
        <row r="159">
          <cell r="E159">
            <v>6.021917808219178</v>
          </cell>
          <cell r="F159">
            <v>4.9156490460982749E-2</v>
          </cell>
        </row>
        <row r="160">
          <cell r="E160">
            <v>6.1068493150684935</v>
          </cell>
          <cell r="F160">
            <v>4.8700123422846291E-2</v>
          </cell>
        </row>
        <row r="161">
          <cell r="E161">
            <v>6.1890410958904107</v>
          </cell>
          <cell r="F161">
            <v>4.8056004047416091E-2</v>
          </cell>
        </row>
        <row r="162">
          <cell r="E162">
            <v>6.2273972602739729</v>
          </cell>
          <cell r="F162">
            <v>5.3638586529186939E-2</v>
          </cell>
        </row>
        <row r="163">
          <cell r="E163">
            <v>6.2273972602739729</v>
          </cell>
          <cell r="F163">
            <v>5.1036890642617051E-2</v>
          </cell>
        </row>
        <row r="164">
          <cell r="E164">
            <v>6.3123287671232875</v>
          </cell>
          <cell r="F164">
            <v>4.9568144867142276E-2</v>
          </cell>
        </row>
        <row r="165">
          <cell r="E165">
            <v>6.3123287671232875</v>
          </cell>
          <cell r="F165">
            <v>4.9289067708602557E-2</v>
          </cell>
        </row>
        <row r="166">
          <cell r="E166">
            <v>6.3945205479452056</v>
          </cell>
          <cell r="F166">
            <v>4.9259942347973706E-2</v>
          </cell>
        </row>
        <row r="167">
          <cell r="E167">
            <v>6.441095890410959</v>
          </cell>
          <cell r="F167">
            <v>5.0780345800109095E-2</v>
          </cell>
        </row>
        <row r="168">
          <cell r="E168">
            <v>6.4794520547945202</v>
          </cell>
          <cell r="F168">
            <v>4.8315163208276946E-2</v>
          </cell>
        </row>
        <row r="169">
          <cell r="E169">
            <v>6.4794520547945202</v>
          </cell>
          <cell r="F169">
            <v>4.8349135818905625E-2</v>
          </cell>
        </row>
        <row r="170">
          <cell r="E170">
            <v>6.5643835616438357</v>
          </cell>
          <cell r="F170">
            <v>5.0197370783131495E-2</v>
          </cell>
        </row>
        <row r="171">
          <cell r="E171">
            <v>6.7315068493150685</v>
          </cell>
          <cell r="F171">
            <v>5.1051650473418052E-2</v>
          </cell>
        </row>
        <row r="172">
          <cell r="E172">
            <v>6.816438356164384</v>
          </cell>
          <cell r="F172">
            <v>4.863607087500104E-2</v>
          </cell>
        </row>
        <row r="173">
          <cell r="E173">
            <v>6.8986301369863012</v>
          </cell>
          <cell r="F173">
            <v>4.8277669588414035E-2</v>
          </cell>
        </row>
        <row r="174">
          <cell r="E174">
            <v>6.8986301369863012</v>
          </cell>
          <cell r="F174">
            <v>4.9741857119114219E-2</v>
          </cell>
        </row>
        <row r="175">
          <cell r="E175">
            <v>7.0602739726027401</v>
          </cell>
          <cell r="F175">
            <v>4.8413949553597804E-2</v>
          </cell>
        </row>
        <row r="176">
          <cell r="E176">
            <v>7.1068493150684935</v>
          </cell>
          <cell r="F176">
            <v>4.9652343939667713E-2</v>
          </cell>
        </row>
        <row r="177">
          <cell r="E177">
            <v>7.1452054794520548</v>
          </cell>
          <cell r="F177">
            <v>4.8375424063075205E-2</v>
          </cell>
        </row>
        <row r="178">
          <cell r="E178">
            <v>7.1452054794520548</v>
          </cell>
          <cell r="F178">
            <v>4.9363119321930014E-2</v>
          </cell>
        </row>
        <row r="179">
          <cell r="E179">
            <v>7.2</v>
          </cell>
          <cell r="F179">
            <v>4.8395472677951308E-2</v>
          </cell>
        </row>
        <row r="180">
          <cell r="E180">
            <v>7.2739726027397262</v>
          </cell>
          <cell r="F180">
            <v>4.8657974047702661E-2</v>
          </cell>
        </row>
        <row r="181">
          <cell r="E181">
            <v>7.3945205479452056</v>
          </cell>
          <cell r="F181">
            <v>4.9673895804415676E-2</v>
          </cell>
        </row>
        <row r="182">
          <cell r="E182">
            <v>7.4794520547945202</v>
          </cell>
          <cell r="F182">
            <v>4.9913459966801174E-2</v>
          </cell>
        </row>
        <row r="183">
          <cell r="E183">
            <v>7.4794520547945202</v>
          </cell>
          <cell r="F183">
            <v>4.8467474449648738E-2</v>
          </cell>
        </row>
        <row r="184">
          <cell r="E184">
            <v>7.5643835616438357</v>
          </cell>
          <cell r="F184">
            <v>4.9963010791637577E-2</v>
          </cell>
        </row>
        <row r="185">
          <cell r="E185">
            <v>7.6082191780821917</v>
          </cell>
          <cell r="F185">
            <v>5.0760816646991939E-2</v>
          </cell>
        </row>
        <row r="186">
          <cell r="E186">
            <v>7.6082191780821917</v>
          </cell>
          <cell r="F186">
            <v>4.9005402330531717E-2</v>
          </cell>
        </row>
        <row r="187">
          <cell r="E187">
            <v>7.7315068493150685</v>
          </cell>
          <cell r="F187">
            <v>5.0578043235075518E-2</v>
          </cell>
        </row>
        <row r="188">
          <cell r="E188">
            <v>7.8986301369863012</v>
          </cell>
          <cell r="F188">
            <v>5.0977217712877186E-2</v>
          </cell>
        </row>
        <row r="189">
          <cell r="E189">
            <v>7.8986301369863012</v>
          </cell>
          <cell r="F189">
            <v>5.0084893059367641E-2</v>
          </cell>
        </row>
        <row r="190">
          <cell r="E190">
            <v>8.0219178082191789</v>
          </cell>
          <cell r="F190">
            <v>4.9298337213855098E-2</v>
          </cell>
        </row>
        <row r="191">
          <cell r="E191">
            <v>8.0219178082191789</v>
          </cell>
          <cell r="F191">
            <v>4.979078938052009E-2</v>
          </cell>
        </row>
        <row r="192">
          <cell r="E192">
            <v>8.1452054794520556</v>
          </cell>
          <cell r="F192">
            <v>5.0319972081262786E-2</v>
          </cell>
        </row>
        <row r="193">
          <cell r="E193">
            <v>8.205479452054794</v>
          </cell>
          <cell r="F193">
            <v>5.0060542928841441E-2</v>
          </cell>
        </row>
        <row r="194">
          <cell r="E194">
            <v>8.2657534246575342</v>
          </cell>
          <cell r="F194">
            <v>4.9070928129624741E-2</v>
          </cell>
        </row>
        <row r="195">
          <cell r="E195">
            <v>8.3123287671232884</v>
          </cell>
          <cell r="F195">
            <v>4.9914916955725877E-2</v>
          </cell>
        </row>
        <row r="196">
          <cell r="E196">
            <v>8.3561643835616444</v>
          </cell>
          <cell r="F196">
            <v>4.9373544765553952E-2</v>
          </cell>
        </row>
        <row r="197">
          <cell r="E197">
            <v>8.3945205479452056</v>
          </cell>
          <cell r="F197">
            <v>5.0387885620848838E-2</v>
          </cell>
        </row>
        <row r="198">
          <cell r="E198">
            <v>8.4410958904109581</v>
          </cell>
          <cell r="F198">
            <v>4.9427418421338132E-2</v>
          </cell>
        </row>
        <row r="199">
          <cell r="E199">
            <v>8.4794520547945211</v>
          </cell>
          <cell r="F199">
            <v>5.0431960241228105E-2</v>
          </cell>
        </row>
        <row r="200">
          <cell r="E200">
            <v>8.5260273972602736</v>
          </cell>
          <cell r="F200">
            <v>5.0260954734143638E-2</v>
          </cell>
        </row>
        <row r="201">
          <cell r="E201">
            <v>8.6054794520547944</v>
          </cell>
          <cell r="F201">
            <v>5.03298786116144E-2</v>
          </cell>
        </row>
        <row r="202">
          <cell r="E202">
            <v>8.6465753424657539</v>
          </cell>
          <cell r="F202">
            <v>5.1803569782224966E-2</v>
          </cell>
        </row>
        <row r="203">
          <cell r="E203">
            <v>8.6465753424657539</v>
          </cell>
          <cell r="F203">
            <v>5.1509184062347835E-2</v>
          </cell>
        </row>
        <row r="204">
          <cell r="E204">
            <v>8.7780821917808218</v>
          </cell>
          <cell r="F204">
            <v>4.9106599416968384E-2</v>
          </cell>
        </row>
        <row r="205">
          <cell r="E205">
            <v>8.8136986301369866</v>
          </cell>
          <cell r="F205">
            <v>4.9054954791765797E-2</v>
          </cell>
        </row>
        <row r="206">
          <cell r="E206">
            <v>8.8602739726027391</v>
          </cell>
          <cell r="F206">
            <v>5.2532699216741065E-2</v>
          </cell>
        </row>
        <row r="207">
          <cell r="E207">
            <v>8.8986301369863021</v>
          </cell>
          <cell r="F207">
            <v>5.1959706176993595E-2</v>
          </cell>
        </row>
        <row r="208">
          <cell r="E208">
            <v>8.9095890410958898</v>
          </cell>
          <cell r="F208">
            <v>5.0720900431997201E-2</v>
          </cell>
        </row>
        <row r="209">
          <cell r="E209">
            <v>9.0246575342465754</v>
          </cell>
          <cell r="F209">
            <v>5.3067884987205251E-2</v>
          </cell>
        </row>
        <row r="210">
          <cell r="E210">
            <v>9.0273972602739718</v>
          </cell>
          <cell r="F210">
            <v>4.9760167890962402E-2</v>
          </cell>
        </row>
        <row r="211">
          <cell r="E211">
            <v>9.2301369863013694</v>
          </cell>
          <cell r="F211">
            <v>5.0163155412692083E-2</v>
          </cell>
        </row>
        <row r="212">
          <cell r="E212">
            <v>9.3095890410958901</v>
          </cell>
          <cell r="F212">
            <v>5.1059406825020831E-2</v>
          </cell>
        </row>
        <row r="213">
          <cell r="E213">
            <v>9.4465753424657528</v>
          </cell>
          <cell r="F213">
            <v>4.982160182473467E-2</v>
          </cell>
        </row>
        <row r="214">
          <cell r="E214">
            <v>9.4821917808219176</v>
          </cell>
          <cell r="F214">
            <v>5.078597675807061E-2</v>
          </cell>
        </row>
        <row r="215">
          <cell r="E215">
            <v>9.5671232876712331</v>
          </cell>
          <cell r="F215">
            <v>5.1819866832150105E-2</v>
          </cell>
        </row>
        <row r="216">
          <cell r="E216">
            <v>9.5671232876712331</v>
          </cell>
          <cell r="F216">
            <v>5.0912092781298858E-2</v>
          </cell>
        </row>
        <row r="217">
          <cell r="E217">
            <v>9.6109589041095891</v>
          </cell>
          <cell r="F217">
            <v>5.2771774440779677E-2</v>
          </cell>
        </row>
        <row r="218">
          <cell r="E218">
            <v>9.6575342465753433</v>
          </cell>
          <cell r="F218">
            <v>5.0322963558917411E-2</v>
          </cell>
        </row>
        <row r="219">
          <cell r="E219">
            <v>9.6575342465753433</v>
          </cell>
          <cell r="F219">
            <v>5.190107661730621E-2</v>
          </cell>
        </row>
        <row r="220">
          <cell r="E220">
            <v>9.712328767123287</v>
          </cell>
          <cell r="F220">
            <v>4.9889389556585458E-2</v>
          </cell>
        </row>
        <row r="221">
          <cell r="E221">
            <v>9.8849315068493144</v>
          </cell>
          <cell r="F221">
            <v>5.2681168492381858E-2</v>
          </cell>
        </row>
        <row r="222">
          <cell r="E222">
            <v>9.9863013698630141</v>
          </cell>
          <cell r="F222">
            <v>5.1452655964876672E-2</v>
          </cell>
        </row>
        <row r="223">
          <cell r="E223">
            <v>10.778082191780822</v>
          </cell>
          <cell r="F223">
            <v>4.8920233546160645E-2</v>
          </cell>
        </row>
        <row r="224">
          <cell r="E224">
            <v>11.230136986301369</v>
          </cell>
          <cell r="F224">
            <v>5.0603215078494891E-2</v>
          </cell>
        </row>
        <row r="225">
          <cell r="E225">
            <v>11.397260273972602</v>
          </cell>
          <cell r="F225">
            <v>5.1019501167297907E-2</v>
          </cell>
        </row>
        <row r="226">
          <cell r="E226">
            <v>11.397260273972602</v>
          </cell>
          <cell r="F226">
            <v>5.0595678255484534E-2</v>
          </cell>
        </row>
        <row r="227">
          <cell r="E227">
            <v>11.734246575342466</v>
          </cell>
          <cell r="F227">
            <v>5.0685883972549646E-2</v>
          </cell>
        </row>
        <row r="228">
          <cell r="E228">
            <v>12.024657534246575</v>
          </cell>
          <cell r="F228">
            <v>5.3032467258379373E-2</v>
          </cell>
        </row>
        <row r="229">
          <cell r="E229">
            <v>14.950684931506849</v>
          </cell>
          <cell r="F229">
            <v>5.151398971465436E-2</v>
          </cell>
        </row>
        <row r="230">
          <cell r="E230">
            <v>18.235616438356164</v>
          </cell>
          <cell r="F230">
            <v>5.5934890724547028E-2</v>
          </cell>
        </row>
        <row r="231">
          <cell r="E231">
            <v>18.86849315068493</v>
          </cell>
          <cell r="F231">
            <v>5.3631074466867303E-2</v>
          </cell>
        </row>
        <row r="232">
          <cell r="E232">
            <v>18.986301369863014</v>
          </cell>
          <cell r="F232">
            <v>5.7995349664438062E-2</v>
          </cell>
        </row>
        <row r="233">
          <cell r="E233">
            <v>19.471232876712328</v>
          </cell>
          <cell r="F233">
            <v>5.3779134854995331E-2</v>
          </cell>
        </row>
        <row r="234">
          <cell r="E234">
            <v>19.906849315068492</v>
          </cell>
          <cell r="F234">
            <v>5.1850807856254212E-2</v>
          </cell>
        </row>
        <row r="235">
          <cell r="E235">
            <v>20.991780821917807</v>
          </cell>
          <cell r="F235">
            <v>5.2848805297322665E-2</v>
          </cell>
        </row>
        <row r="236">
          <cell r="E236">
            <v>21.786301369863015</v>
          </cell>
          <cell r="F236">
            <v>5.3702457067255772E-2</v>
          </cell>
        </row>
        <row r="237">
          <cell r="E237">
            <v>22.994520547945207</v>
          </cell>
          <cell r="F237">
            <v>5.4538345954015785E-2</v>
          </cell>
        </row>
        <row r="238">
          <cell r="E238">
            <v>25.408219178082192</v>
          </cell>
          <cell r="F238">
            <v>5.3265054571152652E-2</v>
          </cell>
        </row>
        <row r="239">
          <cell r="E239">
            <v>25.997260273972604</v>
          </cell>
          <cell r="F239">
            <v>5.5527457085350174E-2</v>
          </cell>
        </row>
        <row r="240">
          <cell r="E240">
            <v>26.704109589041096</v>
          </cell>
          <cell r="F240">
            <v>5.4013940638375689E-2</v>
          </cell>
        </row>
        <row r="241">
          <cell r="E241">
            <v>27.493150684931507</v>
          </cell>
          <cell r="F241">
            <v>5.2488517489148845E-2</v>
          </cell>
        </row>
        <row r="242">
          <cell r="E242">
            <v>27.816438356164383</v>
          </cell>
          <cell r="F242">
            <v>5.3739897481707551E-2</v>
          </cell>
        </row>
        <row r="243">
          <cell r="E243">
            <v>28.539726027397261</v>
          </cell>
          <cell r="F243">
            <v>5.3971168173363643E-2</v>
          </cell>
        </row>
        <row r="244">
          <cell r="E244">
            <v>29.208219178082192</v>
          </cell>
          <cell r="F244">
            <v>5.5193988960653757E-2</v>
          </cell>
        </row>
        <row r="245">
          <cell r="E245">
            <v>29.265753424657536</v>
          </cell>
          <cell r="F245">
            <v>5.6456944518999762E-2</v>
          </cell>
        </row>
        <row r="246">
          <cell r="E246">
            <v>29.523287671232875</v>
          </cell>
          <cell r="F246">
            <v>5.4730517967496443E-2</v>
          </cell>
        </row>
        <row r="247">
          <cell r="E247">
            <v>29.747945205479454</v>
          </cell>
          <cell r="F247">
            <v>5.4257137535448571E-2</v>
          </cell>
        </row>
        <row r="248">
          <cell r="E248">
            <v>29.832876712328765</v>
          </cell>
          <cell r="F248">
            <v>5.5808294487650255E-2</v>
          </cell>
        </row>
        <row r="249">
          <cell r="E249">
            <v>29.961643835616439</v>
          </cell>
          <cell r="F249">
            <v>5.4675133941745925E-2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5644E-92FA-43D9-BC03-56478FF447A6}">
  <sheetPr codeName="Sheet2"/>
  <dimension ref="A1:J249"/>
  <sheetViews>
    <sheetView tabSelected="1" workbookViewId="0">
      <selection activeCell="H3" sqref="H3"/>
    </sheetView>
  </sheetViews>
  <sheetFormatPr defaultColWidth="9.109375" defaultRowHeight="13.2" x14ac:dyDescent="0.25"/>
  <cols>
    <col min="1" max="1" width="37.44140625" style="2" customWidth="1"/>
    <col min="2" max="2" width="7" style="2" bestFit="1" customWidth="1"/>
    <col min="3" max="3" width="9.5546875" style="2" customWidth="1"/>
    <col min="4" max="4" width="11.109375" style="2" customWidth="1"/>
    <col min="5" max="5" width="11.88671875" style="2" customWidth="1"/>
    <col min="6" max="6" width="14.88671875" style="2" customWidth="1"/>
    <col min="7" max="7" width="46.33203125" style="2" bestFit="1" customWidth="1"/>
    <col min="8" max="256" width="9.109375" style="2"/>
    <col min="257" max="257" width="37.44140625" style="2" customWidth="1"/>
    <col min="258" max="258" width="7" style="2" bestFit="1" customWidth="1"/>
    <col min="259" max="259" width="9.5546875" style="2" customWidth="1"/>
    <col min="260" max="260" width="11.109375" style="2" customWidth="1"/>
    <col min="261" max="261" width="11.88671875" style="2" customWidth="1"/>
    <col min="262" max="262" width="14.88671875" style="2" customWidth="1"/>
    <col min="263" max="263" width="46.33203125" style="2" bestFit="1" customWidth="1"/>
    <col min="264" max="512" width="9.109375" style="2"/>
    <col min="513" max="513" width="37.44140625" style="2" customWidth="1"/>
    <col min="514" max="514" width="7" style="2" bestFit="1" customWidth="1"/>
    <col min="515" max="515" width="9.5546875" style="2" customWidth="1"/>
    <col min="516" max="516" width="11.109375" style="2" customWidth="1"/>
    <col min="517" max="517" width="11.88671875" style="2" customWidth="1"/>
    <col min="518" max="518" width="14.88671875" style="2" customWidth="1"/>
    <col min="519" max="519" width="46.33203125" style="2" bestFit="1" customWidth="1"/>
    <col min="520" max="768" width="9.109375" style="2"/>
    <col min="769" max="769" width="37.44140625" style="2" customWidth="1"/>
    <col min="770" max="770" width="7" style="2" bestFit="1" customWidth="1"/>
    <col min="771" max="771" width="9.5546875" style="2" customWidth="1"/>
    <col min="772" max="772" width="11.109375" style="2" customWidth="1"/>
    <col min="773" max="773" width="11.88671875" style="2" customWidth="1"/>
    <col min="774" max="774" width="14.88671875" style="2" customWidth="1"/>
    <col min="775" max="775" width="46.33203125" style="2" bestFit="1" customWidth="1"/>
    <col min="776" max="1024" width="9.109375" style="2"/>
    <col min="1025" max="1025" width="37.44140625" style="2" customWidth="1"/>
    <col min="1026" max="1026" width="7" style="2" bestFit="1" customWidth="1"/>
    <col min="1027" max="1027" width="9.5546875" style="2" customWidth="1"/>
    <col min="1028" max="1028" width="11.109375" style="2" customWidth="1"/>
    <col min="1029" max="1029" width="11.88671875" style="2" customWidth="1"/>
    <col min="1030" max="1030" width="14.88671875" style="2" customWidth="1"/>
    <col min="1031" max="1031" width="46.33203125" style="2" bestFit="1" customWidth="1"/>
    <col min="1032" max="1280" width="9.109375" style="2"/>
    <col min="1281" max="1281" width="37.44140625" style="2" customWidth="1"/>
    <col min="1282" max="1282" width="7" style="2" bestFit="1" customWidth="1"/>
    <col min="1283" max="1283" width="9.5546875" style="2" customWidth="1"/>
    <col min="1284" max="1284" width="11.109375" style="2" customWidth="1"/>
    <col min="1285" max="1285" width="11.88671875" style="2" customWidth="1"/>
    <col min="1286" max="1286" width="14.88671875" style="2" customWidth="1"/>
    <col min="1287" max="1287" width="46.33203125" style="2" bestFit="1" customWidth="1"/>
    <col min="1288" max="1536" width="9.109375" style="2"/>
    <col min="1537" max="1537" width="37.44140625" style="2" customWidth="1"/>
    <col min="1538" max="1538" width="7" style="2" bestFit="1" customWidth="1"/>
    <col min="1539" max="1539" width="9.5546875" style="2" customWidth="1"/>
    <col min="1540" max="1540" width="11.109375" style="2" customWidth="1"/>
    <col min="1541" max="1541" width="11.88671875" style="2" customWidth="1"/>
    <col min="1542" max="1542" width="14.88671875" style="2" customWidth="1"/>
    <col min="1543" max="1543" width="46.33203125" style="2" bestFit="1" customWidth="1"/>
    <col min="1544" max="1792" width="9.109375" style="2"/>
    <col min="1793" max="1793" width="37.44140625" style="2" customWidth="1"/>
    <col min="1794" max="1794" width="7" style="2" bestFit="1" customWidth="1"/>
    <col min="1795" max="1795" width="9.5546875" style="2" customWidth="1"/>
    <col min="1796" max="1796" width="11.109375" style="2" customWidth="1"/>
    <col min="1797" max="1797" width="11.88671875" style="2" customWidth="1"/>
    <col min="1798" max="1798" width="14.88671875" style="2" customWidth="1"/>
    <col min="1799" max="1799" width="46.33203125" style="2" bestFit="1" customWidth="1"/>
    <col min="1800" max="2048" width="9.109375" style="2"/>
    <col min="2049" max="2049" width="37.44140625" style="2" customWidth="1"/>
    <col min="2050" max="2050" width="7" style="2" bestFit="1" customWidth="1"/>
    <col min="2051" max="2051" width="9.5546875" style="2" customWidth="1"/>
    <col min="2052" max="2052" width="11.109375" style="2" customWidth="1"/>
    <col min="2053" max="2053" width="11.88671875" style="2" customWidth="1"/>
    <col min="2054" max="2054" width="14.88671875" style="2" customWidth="1"/>
    <col min="2055" max="2055" width="46.33203125" style="2" bestFit="1" customWidth="1"/>
    <col min="2056" max="2304" width="9.109375" style="2"/>
    <col min="2305" max="2305" width="37.44140625" style="2" customWidth="1"/>
    <col min="2306" max="2306" width="7" style="2" bestFit="1" customWidth="1"/>
    <col min="2307" max="2307" width="9.5546875" style="2" customWidth="1"/>
    <col min="2308" max="2308" width="11.109375" style="2" customWidth="1"/>
    <col min="2309" max="2309" width="11.88671875" style="2" customWidth="1"/>
    <col min="2310" max="2310" width="14.88671875" style="2" customWidth="1"/>
    <col min="2311" max="2311" width="46.33203125" style="2" bestFit="1" customWidth="1"/>
    <col min="2312" max="2560" width="9.109375" style="2"/>
    <col min="2561" max="2561" width="37.44140625" style="2" customWidth="1"/>
    <col min="2562" max="2562" width="7" style="2" bestFit="1" customWidth="1"/>
    <col min="2563" max="2563" width="9.5546875" style="2" customWidth="1"/>
    <col min="2564" max="2564" width="11.109375" style="2" customWidth="1"/>
    <col min="2565" max="2565" width="11.88671875" style="2" customWidth="1"/>
    <col min="2566" max="2566" width="14.88671875" style="2" customWidth="1"/>
    <col min="2567" max="2567" width="46.33203125" style="2" bestFit="1" customWidth="1"/>
    <col min="2568" max="2816" width="9.109375" style="2"/>
    <col min="2817" max="2817" width="37.44140625" style="2" customWidth="1"/>
    <col min="2818" max="2818" width="7" style="2" bestFit="1" customWidth="1"/>
    <col min="2819" max="2819" width="9.5546875" style="2" customWidth="1"/>
    <col min="2820" max="2820" width="11.109375" style="2" customWidth="1"/>
    <col min="2821" max="2821" width="11.88671875" style="2" customWidth="1"/>
    <col min="2822" max="2822" width="14.88671875" style="2" customWidth="1"/>
    <col min="2823" max="2823" width="46.33203125" style="2" bestFit="1" customWidth="1"/>
    <col min="2824" max="3072" width="9.109375" style="2"/>
    <col min="3073" max="3073" width="37.44140625" style="2" customWidth="1"/>
    <col min="3074" max="3074" width="7" style="2" bestFit="1" customWidth="1"/>
    <col min="3075" max="3075" width="9.5546875" style="2" customWidth="1"/>
    <col min="3076" max="3076" width="11.109375" style="2" customWidth="1"/>
    <col min="3077" max="3077" width="11.88671875" style="2" customWidth="1"/>
    <col min="3078" max="3078" width="14.88671875" style="2" customWidth="1"/>
    <col min="3079" max="3079" width="46.33203125" style="2" bestFit="1" customWidth="1"/>
    <col min="3080" max="3328" width="9.109375" style="2"/>
    <col min="3329" max="3329" width="37.44140625" style="2" customWidth="1"/>
    <col min="3330" max="3330" width="7" style="2" bestFit="1" customWidth="1"/>
    <col min="3331" max="3331" width="9.5546875" style="2" customWidth="1"/>
    <col min="3332" max="3332" width="11.109375" style="2" customWidth="1"/>
    <col min="3333" max="3333" width="11.88671875" style="2" customWidth="1"/>
    <col min="3334" max="3334" width="14.88671875" style="2" customWidth="1"/>
    <col min="3335" max="3335" width="46.33203125" style="2" bestFit="1" customWidth="1"/>
    <col min="3336" max="3584" width="9.109375" style="2"/>
    <col min="3585" max="3585" width="37.44140625" style="2" customWidth="1"/>
    <col min="3586" max="3586" width="7" style="2" bestFit="1" customWidth="1"/>
    <col min="3587" max="3587" width="9.5546875" style="2" customWidth="1"/>
    <col min="3588" max="3588" width="11.109375" style="2" customWidth="1"/>
    <col min="3589" max="3589" width="11.88671875" style="2" customWidth="1"/>
    <col min="3590" max="3590" width="14.88671875" style="2" customWidth="1"/>
    <col min="3591" max="3591" width="46.33203125" style="2" bestFit="1" customWidth="1"/>
    <col min="3592" max="3840" width="9.109375" style="2"/>
    <col min="3841" max="3841" width="37.44140625" style="2" customWidth="1"/>
    <col min="3842" max="3842" width="7" style="2" bestFit="1" customWidth="1"/>
    <col min="3843" max="3843" width="9.5546875" style="2" customWidth="1"/>
    <col min="3844" max="3844" width="11.109375" style="2" customWidth="1"/>
    <col min="3845" max="3845" width="11.88671875" style="2" customWidth="1"/>
    <col min="3846" max="3846" width="14.88671875" style="2" customWidth="1"/>
    <col min="3847" max="3847" width="46.33203125" style="2" bestFit="1" customWidth="1"/>
    <col min="3848" max="4096" width="9.109375" style="2"/>
    <col min="4097" max="4097" width="37.44140625" style="2" customWidth="1"/>
    <col min="4098" max="4098" width="7" style="2" bestFit="1" customWidth="1"/>
    <col min="4099" max="4099" width="9.5546875" style="2" customWidth="1"/>
    <col min="4100" max="4100" width="11.109375" style="2" customWidth="1"/>
    <col min="4101" max="4101" width="11.88671875" style="2" customWidth="1"/>
    <col min="4102" max="4102" width="14.88671875" style="2" customWidth="1"/>
    <col min="4103" max="4103" width="46.33203125" style="2" bestFit="1" customWidth="1"/>
    <col min="4104" max="4352" width="9.109375" style="2"/>
    <col min="4353" max="4353" width="37.44140625" style="2" customWidth="1"/>
    <col min="4354" max="4354" width="7" style="2" bestFit="1" customWidth="1"/>
    <col min="4355" max="4355" width="9.5546875" style="2" customWidth="1"/>
    <col min="4356" max="4356" width="11.109375" style="2" customWidth="1"/>
    <col min="4357" max="4357" width="11.88671875" style="2" customWidth="1"/>
    <col min="4358" max="4358" width="14.88671875" style="2" customWidth="1"/>
    <col min="4359" max="4359" width="46.33203125" style="2" bestFit="1" customWidth="1"/>
    <col min="4360" max="4608" width="9.109375" style="2"/>
    <col min="4609" max="4609" width="37.44140625" style="2" customWidth="1"/>
    <col min="4610" max="4610" width="7" style="2" bestFit="1" customWidth="1"/>
    <col min="4611" max="4611" width="9.5546875" style="2" customWidth="1"/>
    <col min="4612" max="4612" width="11.109375" style="2" customWidth="1"/>
    <col min="4613" max="4613" width="11.88671875" style="2" customWidth="1"/>
    <col min="4614" max="4614" width="14.88671875" style="2" customWidth="1"/>
    <col min="4615" max="4615" width="46.33203125" style="2" bestFit="1" customWidth="1"/>
    <col min="4616" max="4864" width="9.109375" style="2"/>
    <col min="4865" max="4865" width="37.44140625" style="2" customWidth="1"/>
    <col min="4866" max="4866" width="7" style="2" bestFit="1" customWidth="1"/>
    <col min="4867" max="4867" width="9.5546875" style="2" customWidth="1"/>
    <col min="4868" max="4868" width="11.109375" style="2" customWidth="1"/>
    <col min="4869" max="4869" width="11.88671875" style="2" customWidth="1"/>
    <col min="4870" max="4870" width="14.88671875" style="2" customWidth="1"/>
    <col min="4871" max="4871" width="46.33203125" style="2" bestFit="1" customWidth="1"/>
    <col min="4872" max="5120" width="9.109375" style="2"/>
    <col min="5121" max="5121" width="37.44140625" style="2" customWidth="1"/>
    <col min="5122" max="5122" width="7" style="2" bestFit="1" customWidth="1"/>
    <col min="5123" max="5123" width="9.5546875" style="2" customWidth="1"/>
    <col min="5124" max="5124" width="11.109375" style="2" customWidth="1"/>
    <col min="5125" max="5125" width="11.88671875" style="2" customWidth="1"/>
    <col min="5126" max="5126" width="14.88671875" style="2" customWidth="1"/>
    <col min="5127" max="5127" width="46.33203125" style="2" bestFit="1" customWidth="1"/>
    <col min="5128" max="5376" width="9.109375" style="2"/>
    <col min="5377" max="5377" width="37.44140625" style="2" customWidth="1"/>
    <col min="5378" max="5378" width="7" style="2" bestFit="1" customWidth="1"/>
    <col min="5379" max="5379" width="9.5546875" style="2" customWidth="1"/>
    <col min="5380" max="5380" width="11.109375" style="2" customWidth="1"/>
    <col min="5381" max="5381" width="11.88671875" style="2" customWidth="1"/>
    <col min="5382" max="5382" width="14.88671875" style="2" customWidth="1"/>
    <col min="5383" max="5383" width="46.33203125" style="2" bestFit="1" customWidth="1"/>
    <col min="5384" max="5632" width="9.109375" style="2"/>
    <col min="5633" max="5633" width="37.44140625" style="2" customWidth="1"/>
    <col min="5634" max="5634" width="7" style="2" bestFit="1" customWidth="1"/>
    <col min="5635" max="5635" width="9.5546875" style="2" customWidth="1"/>
    <col min="5636" max="5636" width="11.109375" style="2" customWidth="1"/>
    <col min="5637" max="5637" width="11.88671875" style="2" customWidth="1"/>
    <col min="5638" max="5638" width="14.88671875" style="2" customWidth="1"/>
    <col min="5639" max="5639" width="46.33203125" style="2" bestFit="1" customWidth="1"/>
    <col min="5640" max="5888" width="9.109375" style="2"/>
    <col min="5889" max="5889" width="37.44140625" style="2" customWidth="1"/>
    <col min="5890" max="5890" width="7" style="2" bestFit="1" customWidth="1"/>
    <col min="5891" max="5891" width="9.5546875" style="2" customWidth="1"/>
    <col min="5892" max="5892" width="11.109375" style="2" customWidth="1"/>
    <col min="5893" max="5893" width="11.88671875" style="2" customWidth="1"/>
    <col min="5894" max="5894" width="14.88671875" style="2" customWidth="1"/>
    <col min="5895" max="5895" width="46.33203125" style="2" bestFit="1" customWidth="1"/>
    <col min="5896" max="6144" width="9.109375" style="2"/>
    <col min="6145" max="6145" width="37.44140625" style="2" customWidth="1"/>
    <col min="6146" max="6146" width="7" style="2" bestFit="1" customWidth="1"/>
    <col min="6147" max="6147" width="9.5546875" style="2" customWidth="1"/>
    <col min="6148" max="6148" width="11.109375" style="2" customWidth="1"/>
    <col min="6149" max="6149" width="11.88671875" style="2" customWidth="1"/>
    <col min="6150" max="6150" width="14.88671875" style="2" customWidth="1"/>
    <col min="6151" max="6151" width="46.33203125" style="2" bestFit="1" customWidth="1"/>
    <col min="6152" max="6400" width="9.109375" style="2"/>
    <col min="6401" max="6401" width="37.44140625" style="2" customWidth="1"/>
    <col min="6402" max="6402" width="7" style="2" bestFit="1" customWidth="1"/>
    <col min="6403" max="6403" width="9.5546875" style="2" customWidth="1"/>
    <col min="6404" max="6404" width="11.109375" style="2" customWidth="1"/>
    <col min="6405" max="6405" width="11.88671875" style="2" customWidth="1"/>
    <col min="6406" max="6406" width="14.88671875" style="2" customWidth="1"/>
    <col min="6407" max="6407" width="46.33203125" style="2" bestFit="1" customWidth="1"/>
    <col min="6408" max="6656" width="9.109375" style="2"/>
    <col min="6657" max="6657" width="37.44140625" style="2" customWidth="1"/>
    <col min="6658" max="6658" width="7" style="2" bestFit="1" customWidth="1"/>
    <col min="6659" max="6659" width="9.5546875" style="2" customWidth="1"/>
    <col min="6660" max="6660" width="11.109375" style="2" customWidth="1"/>
    <col min="6661" max="6661" width="11.88671875" style="2" customWidth="1"/>
    <col min="6662" max="6662" width="14.88671875" style="2" customWidth="1"/>
    <col min="6663" max="6663" width="46.33203125" style="2" bestFit="1" customWidth="1"/>
    <col min="6664" max="6912" width="9.109375" style="2"/>
    <col min="6913" max="6913" width="37.44140625" style="2" customWidth="1"/>
    <col min="6914" max="6914" width="7" style="2" bestFit="1" customWidth="1"/>
    <col min="6915" max="6915" width="9.5546875" style="2" customWidth="1"/>
    <col min="6916" max="6916" width="11.109375" style="2" customWidth="1"/>
    <col min="6917" max="6917" width="11.88671875" style="2" customWidth="1"/>
    <col min="6918" max="6918" width="14.88671875" style="2" customWidth="1"/>
    <col min="6919" max="6919" width="46.33203125" style="2" bestFit="1" customWidth="1"/>
    <col min="6920" max="7168" width="9.109375" style="2"/>
    <col min="7169" max="7169" width="37.44140625" style="2" customWidth="1"/>
    <col min="7170" max="7170" width="7" style="2" bestFit="1" customWidth="1"/>
    <col min="7171" max="7171" width="9.5546875" style="2" customWidth="1"/>
    <col min="7172" max="7172" width="11.109375" style="2" customWidth="1"/>
    <col min="7173" max="7173" width="11.88671875" style="2" customWidth="1"/>
    <col min="7174" max="7174" width="14.88671875" style="2" customWidth="1"/>
    <col min="7175" max="7175" width="46.33203125" style="2" bestFit="1" customWidth="1"/>
    <col min="7176" max="7424" width="9.109375" style="2"/>
    <col min="7425" max="7425" width="37.44140625" style="2" customWidth="1"/>
    <col min="7426" max="7426" width="7" style="2" bestFit="1" customWidth="1"/>
    <col min="7427" max="7427" width="9.5546875" style="2" customWidth="1"/>
    <col min="7428" max="7428" width="11.109375" style="2" customWidth="1"/>
    <col min="7429" max="7429" width="11.88671875" style="2" customWidth="1"/>
    <col min="7430" max="7430" width="14.88671875" style="2" customWidth="1"/>
    <col min="7431" max="7431" width="46.33203125" style="2" bestFit="1" customWidth="1"/>
    <col min="7432" max="7680" width="9.109375" style="2"/>
    <col min="7681" max="7681" width="37.44140625" style="2" customWidth="1"/>
    <col min="7682" max="7682" width="7" style="2" bestFit="1" customWidth="1"/>
    <col min="7683" max="7683" width="9.5546875" style="2" customWidth="1"/>
    <col min="7684" max="7684" width="11.109375" style="2" customWidth="1"/>
    <col min="7685" max="7685" width="11.88671875" style="2" customWidth="1"/>
    <col min="7686" max="7686" width="14.88671875" style="2" customWidth="1"/>
    <col min="7687" max="7687" width="46.33203125" style="2" bestFit="1" customWidth="1"/>
    <col min="7688" max="7936" width="9.109375" style="2"/>
    <col min="7937" max="7937" width="37.44140625" style="2" customWidth="1"/>
    <col min="7938" max="7938" width="7" style="2" bestFit="1" customWidth="1"/>
    <col min="7939" max="7939" width="9.5546875" style="2" customWidth="1"/>
    <col min="7940" max="7940" width="11.109375" style="2" customWidth="1"/>
    <col min="7941" max="7941" width="11.88671875" style="2" customWidth="1"/>
    <col min="7942" max="7942" width="14.88671875" style="2" customWidth="1"/>
    <col min="7943" max="7943" width="46.33203125" style="2" bestFit="1" customWidth="1"/>
    <col min="7944" max="8192" width="9.109375" style="2"/>
    <col min="8193" max="8193" width="37.44140625" style="2" customWidth="1"/>
    <col min="8194" max="8194" width="7" style="2" bestFit="1" customWidth="1"/>
    <col min="8195" max="8195" width="9.5546875" style="2" customWidth="1"/>
    <col min="8196" max="8196" width="11.109375" style="2" customWidth="1"/>
    <col min="8197" max="8197" width="11.88671875" style="2" customWidth="1"/>
    <col min="8198" max="8198" width="14.88671875" style="2" customWidth="1"/>
    <col min="8199" max="8199" width="46.33203125" style="2" bestFit="1" customWidth="1"/>
    <col min="8200" max="8448" width="9.109375" style="2"/>
    <col min="8449" max="8449" width="37.44140625" style="2" customWidth="1"/>
    <col min="8450" max="8450" width="7" style="2" bestFit="1" customWidth="1"/>
    <col min="8451" max="8451" width="9.5546875" style="2" customWidth="1"/>
    <col min="8452" max="8452" width="11.109375" style="2" customWidth="1"/>
    <col min="8453" max="8453" width="11.88671875" style="2" customWidth="1"/>
    <col min="8454" max="8454" width="14.88671875" style="2" customWidth="1"/>
    <col min="8455" max="8455" width="46.33203125" style="2" bestFit="1" customWidth="1"/>
    <col min="8456" max="8704" width="9.109375" style="2"/>
    <col min="8705" max="8705" width="37.44140625" style="2" customWidth="1"/>
    <col min="8706" max="8706" width="7" style="2" bestFit="1" customWidth="1"/>
    <col min="8707" max="8707" width="9.5546875" style="2" customWidth="1"/>
    <col min="8708" max="8708" width="11.109375" style="2" customWidth="1"/>
    <col min="8709" max="8709" width="11.88671875" style="2" customWidth="1"/>
    <col min="8710" max="8710" width="14.88671875" style="2" customWidth="1"/>
    <col min="8711" max="8711" width="46.33203125" style="2" bestFit="1" customWidth="1"/>
    <col min="8712" max="8960" width="9.109375" style="2"/>
    <col min="8961" max="8961" width="37.44140625" style="2" customWidth="1"/>
    <col min="8962" max="8962" width="7" style="2" bestFit="1" customWidth="1"/>
    <col min="8963" max="8963" width="9.5546875" style="2" customWidth="1"/>
    <col min="8964" max="8964" width="11.109375" style="2" customWidth="1"/>
    <col min="8965" max="8965" width="11.88671875" style="2" customWidth="1"/>
    <col min="8966" max="8966" width="14.88671875" style="2" customWidth="1"/>
    <col min="8967" max="8967" width="46.33203125" style="2" bestFit="1" customWidth="1"/>
    <col min="8968" max="9216" width="9.109375" style="2"/>
    <col min="9217" max="9217" width="37.44140625" style="2" customWidth="1"/>
    <col min="9218" max="9218" width="7" style="2" bestFit="1" customWidth="1"/>
    <col min="9219" max="9219" width="9.5546875" style="2" customWidth="1"/>
    <col min="9220" max="9220" width="11.109375" style="2" customWidth="1"/>
    <col min="9221" max="9221" width="11.88671875" style="2" customWidth="1"/>
    <col min="9222" max="9222" width="14.88671875" style="2" customWidth="1"/>
    <col min="9223" max="9223" width="46.33203125" style="2" bestFit="1" customWidth="1"/>
    <col min="9224" max="9472" width="9.109375" style="2"/>
    <col min="9473" max="9473" width="37.44140625" style="2" customWidth="1"/>
    <col min="9474" max="9474" width="7" style="2" bestFit="1" customWidth="1"/>
    <col min="9475" max="9475" width="9.5546875" style="2" customWidth="1"/>
    <col min="9476" max="9476" width="11.109375" style="2" customWidth="1"/>
    <col min="9477" max="9477" width="11.88671875" style="2" customWidth="1"/>
    <col min="9478" max="9478" width="14.88671875" style="2" customWidth="1"/>
    <col min="9479" max="9479" width="46.33203125" style="2" bestFit="1" customWidth="1"/>
    <col min="9480" max="9728" width="9.109375" style="2"/>
    <col min="9729" max="9729" width="37.44140625" style="2" customWidth="1"/>
    <col min="9730" max="9730" width="7" style="2" bestFit="1" customWidth="1"/>
    <col min="9731" max="9731" width="9.5546875" style="2" customWidth="1"/>
    <col min="9732" max="9732" width="11.109375" style="2" customWidth="1"/>
    <col min="9733" max="9733" width="11.88671875" style="2" customWidth="1"/>
    <col min="9734" max="9734" width="14.88671875" style="2" customWidth="1"/>
    <col min="9735" max="9735" width="46.33203125" style="2" bestFit="1" customWidth="1"/>
    <col min="9736" max="9984" width="9.109375" style="2"/>
    <col min="9985" max="9985" width="37.44140625" style="2" customWidth="1"/>
    <col min="9986" max="9986" width="7" style="2" bestFit="1" customWidth="1"/>
    <col min="9987" max="9987" width="9.5546875" style="2" customWidth="1"/>
    <col min="9988" max="9988" width="11.109375" style="2" customWidth="1"/>
    <col min="9989" max="9989" width="11.88671875" style="2" customWidth="1"/>
    <col min="9990" max="9990" width="14.88671875" style="2" customWidth="1"/>
    <col min="9991" max="9991" width="46.33203125" style="2" bestFit="1" customWidth="1"/>
    <col min="9992" max="10240" width="9.109375" style="2"/>
    <col min="10241" max="10241" width="37.44140625" style="2" customWidth="1"/>
    <col min="10242" max="10242" width="7" style="2" bestFit="1" customWidth="1"/>
    <col min="10243" max="10243" width="9.5546875" style="2" customWidth="1"/>
    <col min="10244" max="10244" width="11.109375" style="2" customWidth="1"/>
    <col min="10245" max="10245" width="11.88671875" style="2" customWidth="1"/>
    <col min="10246" max="10246" width="14.88671875" style="2" customWidth="1"/>
    <col min="10247" max="10247" width="46.33203125" style="2" bestFit="1" customWidth="1"/>
    <col min="10248" max="10496" width="9.109375" style="2"/>
    <col min="10497" max="10497" width="37.44140625" style="2" customWidth="1"/>
    <col min="10498" max="10498" width="7" style="2" bestFit="1" customWidth="1"/>
    <col min="10499" max="10499" width="9.5546875" style="2" customWidth="1"/>
    <col min="10500" max="10500" width="11.109375" style="2" customWidth="1"/>
    <col min="10501" max="10501" width="11.88671875" style="2" customWidth="1"/>
    <col min="10502" max="10502" width="14.88671875" style="2" customWidth="1"/>
    <col min="10503" max="10503" width="46.33203125" style="2" bestFit="1" customWidth="1"/>
    <col min="10504" max="10752" width="9.109375" style="2"/>
    <col min="10753" max="10753" width="37.44140625" style="2" customWidth="1"/>
    <col min="10754" max="10754" width="7" style="2" bestFit="1" customWidth="1"/>
    <col min="10755" max="10755" width="9.5546875" style="2" customWidth="1"/>
    <col min="10756" max="10756" width="11.109375" style="2" customWidth="1"/>
    <col min="10757" max="10757" width="11.88671875" style="2" customWidth="1"/>
    <col min="10758" max="10758" width="14.88671875" style="2" customWidth="1"/>
    <col min="10759" max="10759" width="46.33203125" style="2" bestFit="1" customWidth="1"/>
    <col min="10760" max="11008" width="9.109375" style="2"/>
    <col min="11009" max="11009" width="37.44140625" style="2" customWidth="1"/>
    <col min="11010" max="11010" width="7" style="2" bestFit="1" customWidth="1"/>
    <col min="11011" max="11011" width="9.5546875" style="2" customWidth="1"/>
    <col min="11012" max="11012" width="11.109375" style="2" customWidth="1"/>
    <col min="11013" max="11013" width="11.88671875" style="2" customWidth="1"/>
    <col min="11014" max="11014" width="14.88671875" style="2" customWidth="1"/>
    <col min="11015" max="11015" width="46.33203125" style="2" bestFit="1" customWidth="1"/>
    <col min="11016" max="11264" width="9.109375" style="2"/>
    <col min="11265" max="11265" width="37.44140625" style="2" customWidth="1"/>
    <col min="11266" max="11266" width="7" style="2" bestFit="1" customWidth="1"/>
    <col min="11267" max="11267" width="9.5546875" style="2" customWidth="1"/>
    <col min="11268" max="11268" width="11.109375" style="2" customWidth="1"/>
    <col min="11269" max="11269" width="11.88671875" style="2" customWidth="1"/>
    <col min="11270" max="11270" width="14.88671875" style="2" customWidth="1"/>
    <col min="11271" max="11271" width="46.33203125" style="2" bestFit="1" customWidth="1"/>
    <col min="11272" max="11520" width="9.109375" style="2"/>
    <col min="11521" max="11521" width="37.44140625" style="2" customWidth="1"/>
    <col min="11522" max="11522" width="7" style="2" bestFit="1" customWidth="1"/>
    <col min="11523" max="11523" width="9.5546875" style="2" customWidth="1"/>
    <col min="11524" max="11524" width="11.109375" style="2" customWidth="1"/>
    <col min="11525" max="11525" width="11.88671875" style="2" customWidth="1"/>
    <col min="11526" max="11526" width="14.88671875" style="2" customWidth="1"/>
    <col min="11527" max="11527" width="46.33203125" style="2" bestFit="1" customWidth="1"/>
    <col min="11528" max="11776" width="9.109375" style="2"/>
    <col min="11777" max="11777" width="37.44140625" style="2" customWidth="1"/>
    <col min="11778" max="11778" width="7" style="2" bestFit="1" customWidth="1"/>
    <col min="11779" max="11779" width="9.5546875" style="2" customWidth="1"/>
    <col min="11780" max="11780" width="11.109375" style="2" customWidth="1"/>
    <col min="11781" max="11781" width="11.88671875" style="2" customWidth="1"/>
    <col min="11782" max="11782" width="14.88671875" style="2" customWidth="1"/>
    <col min="11783" max="11783" width="46.33203125" style="2" bestFit="1" customWidth="1"/>
    <col min="11784" max="12032" width="9.109375" style="2"/>
    <col min="12033" max="12033" width="37.44140625" style="2" customWidth="1"/>
    <col min="12034" max="12034" width="7" style="2" bestFit="1" customWidth="1"/>
    <col min="12035" max="12035" width="9.5546875" style="2" customWidth="1"/>
    <col min="12036" max="12036" width="11.109375" style="2" customWidth="1"/>
    <col min="12037" max="12037" width="11.88671875" style="2" customWidth="1"/>
    <col min="12038" max="12038" width="14.88671875" style="2" customWidth="1"/>
    <col min="12039" max="12039" width="46.33203125" style="2" bestFit="1" customWidth="1"/>
    <col min="12040" max="12288" width="9.109375" style="2"/>
    <col min="12289" max="12289" width="37.44140625" style="2" customWidth="1"/>
    <col min="12290" max="12290" width="7" style="2" bestFit="1" customWidth="1"/>
    <col min="12291" max="12291" width="9.5546875" style="2" customWidth="1"/>
    <col min="12292" max="12292" width="11.109375" style="2" customWidth="1"/>
    <col min="12293" max="12293" width="11.88671875" style="2" customWidth="1"/>
    <col min="12294" max="12294" width="14.88671875" style="2" customWidth="1"/>
    <col min="12295" max="12295" width="46.33203125" style="2" bestFit="1" customWidth="1"/>
    <col min="12296" max="12544" width="9.109375" style="2"/>
    <col min="12545" max="12545" width="37.44140625" style="2" customWidth="1"/>
    <col min="12546" max="12546" width="7" style="2" bestFit="1" customWidth="1"/>
    <col min="12547" max="12547" width="9.5546875" style="2" customWidth="1"/>
    <col min="12548" max="12548" width="11.109375" style="2" customWidth="1"/>
    <col min="12549" max="12549" width="11.88671875" style="2" customWidth="1"/>
    <col min="12550" max="12550" width="14.88671875" style="2" customWidth="1"/>
    <col min="12551" max="12551" width="46.33203125" style="2" bestFit="1" customWidth="1"/>
    <col min="12552" max="12800" width="9.109375" style="2"/>
    <col min="12801" max="12801" width="37.44140625" style="2" customWidth="1"/>
    <col min="12802" max="12802" width="7" style="2" bestFit="1" customWidth="1"/>
    <col min="12803" max="12803" width="9.5546875" style="2" customWidth="1"/>
    <col min="12804" max="12804" width="11.109375" style="2" customWidth="1"/>
    <col min="12805" max="12805" width="11.88671875" style="2" customWidth="1"/>
    <col min="12806" max="12806" width="14.88671875" style="2" customWidth="1"/>
    <col min="12807" max="12807" width="46.33203125" style="2" bestFit="1" customWidth="1"/>
    <col min="12808" max="13056" width="9.109375" style="2"/>
    <col min="13057" max="13057" width="37.44140625" style="2" customWidth="1"/>
    <col min="13058" max="13058" width="7" style="2" bestFit="1" customWidth="1"/>
    <col min="13059" max="13059" width="9.5546875" style="2" customWidth="1"/>
    <col min="13060" max="13060" width="11.109375" style="2" customWidth="1"/>
    <col min="13061" max="13061" width="11.88671875" style="2" customWidth="1"/>
    <col min="13062" max="13062" width="14.88671875" style="2" customWidth="1"/>
    <col min="13063" max="13063" width="46.33203125" style="2" bestFit="1" customWidth="1"/>
    <col min="13064" max="13312" width="9.109375" style="2"/>
    <col min="13313" max="13313" width="37.44140625" style="2" customWidth="1"/>
    <col min="13314" max="13314" width="7" style="2" bestFit="1" customWidth="1"/>
    <col min="13315" max="13315" width="9.5546875" style="2" customWidth="1"/>
    <col min="13316" max="13316" width="11.109375" style="2" customWidth="1"/>
    <col min="13317" max="13317" width="11.88671875" style="2" customWidth="1"/>
    <col min="13318" max="13318" width="14.88671875" style="2" customWidth="1"/>
    <col min="13319" max="13319" width="46.33203125" style="2" bestFit="1" customWidth="1"/>
    <col min="13320" max="13568" width="9.109375" style="2"/>
    <col min="13569" max="13569" width="37.44140625" style="2" customWidth="1"/>
    <col min="13570" max="13570" width="7" style="2" bestFit="1" customWidth="1"/>
    <col min="13571" max="13571" width="9.5546875" style="2" customWidth="1"/>
    <col min="13572" max="13572" width="11.109375" style="2" customWidth="1"/>
    <col min="13573" max="13573" width="11.88671875" style="2" customWidth="1"/>
    <col min="13574" max="13574" width="14.88671875" style="2" customWidth="1"/>
    <col min="13575" max="13575" width="46.33203125" style="2" bestFit="1" customWidth="1"/>
    <col min="13576" max="13824" width="9.109375" style="2"/>
    <col min="13825" max="13825" width="37.44140625" style="2" customWidth="1"/>
    <col min="13826" max="13826" width="7" style="2" bestFit="1" customWidth="1"/>
    <col min="13827" max="13827" width="9.5546875" style="2" customWidth="1"/>
    <col min="13828" max="13828" width="11.109375" style="2" customWidth="1"/>
    <col min="13829" max="13829" width="11.88671875" style="2" customWidth="1"/>
    <col min="13830" max="13830" width="14.88671875" style="2" customWidth="1"/>
    <col min="13831" max="13831" width="46.33203125" style="2" bestFit="1" customWidth="1"/>
    <col min="13832" max="14080" width="9.109375" style="2"/>
    <col min="14081" max="14081" width="37.44140625" style="2" customWidth="1"/>
    <col min="14082" max="14082" width="7" style="2" bestFit="1" customWidth="1"/>
    <col min="14083" max="14083" width="9.5546875" style="2" customWidth="1"/>
    <col min="14084" max="14084" width="11.109375" style="2" customWidth="1"/>
    <col min="14085" max="14085" width="11.88671875" style="2" customWidth="1"/>
    <col min="14086" max="14086" width="14.88671875" style="2" customWidth="1"/>
    <col min="14087" max="14087" width="46.33203125" style="2" bestFit="1" customWidth="1"/>
    <col min="14088" max="14336" width="9.109375" style="2"/>
    <col min="14337" max="14337" width="37.44140625" style="2" customWidth="1"/>
    <col min="14338" max="14338" width="7" style="2" bestFit="1" customWidth="1"/>
    <col min="14339" max="14339" width="9.5546875" style="2" customWidth="1"/>
    <col min="14340" max="14340" width="11.109375" style="2" customWidth="1"/>
    <col min="14341" max="14341" width="11.88671875" style="2" customWidth="1"/>
    <col min="14342" max="14342" width="14.88671875" style="2" customWidth="1"/>
    <col min="14343" max="14343" width="46.33203125" style="2" bestFit="1" customWidth="1"/>
    <col min="14344" max="14592" width="9.109375" style="2"/>
    <col min="14593" max="14593" width="37.44140625" style="2" customWidth="1"/>
    <col min="14594" max="14594" width="7" style="2" bestFit="1" customWidth="1"/>
    <col min="14595" max="14595" width="9.5546875" style="2" customWidth="1"/>
    <col min="14596" max="14596" width="11.109375" style="2" customWidth="1"/>
    <col min="14597" max="14597" width="11.88671875" style="2" customWidth="1"/>
    <col min="14598" max="14598" width="14.88671875" style="2" customWidth="1"/>
    <col min="14599" max="14599" width="46.33203125" style="2" bestFit="1" customWidth="1"/>
    <col min="14600" max="14848" width="9.109375" style="2"/>
    <col min="14849" max="14849" width="37.44140625" style="2" customWidth="1"/>
    <col min="14850" max="14850" width="7" style="2" bestFit="1" customWidth="1"/>
    <col min="14851" max="14851" width="9.5546875" style="2" customWidth="1"/>
    <col min="14852" max="14852" width="11.109375" style="2" customWidth="1"/>
    <col min="14853" max="14853" width="11.88671875" style="2" customWidth="1"/>
    <col min="14854" max="14854" width="14.88671875" style="2" customWidth="1"/>
    <col min="14855" max="14855" width="46.33203125" style="2" bestFit="1" customWidth="1"/>
    <col min="14856" max="15104" width="9.109375" style="2"/>
    <col min="15105" max="15105" width="37.44140625" style="2" customWidth="1"/>
    <col min="15106" max="15106" width="7" style="2" bestFit="1" customWidth="1"/>
    <col min="15107" max="15107" width="9.5546875" style="2" customWidth="1"/>
    <col min="15108" max="15108" width="11.109375" style="2" customWidth="1"/>
    <col min="15109" max="15109" width="11.88671875" style="2" customWidth="1"/>
    <col min="15110" max="15110" width="14.88671875" style="2" customWidth="1"/>
    <col min="15111" max="15111" width="46.33203125" style="2" bestFit="1" customWidth="1"/>
    <col min="15112" max="15360" width="9.109375" style="2"/>
    <col min="15361" max="15361" width="37.44140625" style="2" customWidth="1"/>
    <col min="15362" max="15362" width="7" style="2" bestFit="1" customWidth="1"/>
    <col min="15363" max="15363" width="9.5546875" style="2" customWidth="1"/>
    <col min="15364" max="15364" width="11.109375" style="2" customWidth="1"/>
    <col min="15365" max="15365" width="11.88671875" style="2" customWidth="1"/>
    <col min="15366" max="15366" width="14.88671875" style="2" customWidth="1"/>
    <col min="15367" max="15367" width="46.33203125" style="2" bestFit="1" customWidth="1"/>
    <col min="15368" max="15616" width="9.109375" style="2"/>
    <col min="15617" max="15617" width="37.44140625" style="2" customWidth="1"/>
    <col min="15618" max="15618" width="7" style="2" bestFit="1" customWidth="1"/>
    <col min="15619" max="15619" width="9.5546875" style="2" customWidth="1"/>
    <col min="15620" max="15620" width="11.109375" style="2" customWidth="1"/>
    <col min="15621" max="15621" width="11.88671875" style="2" customWidth="1"/>
    <col min="15622" max="15622" width="14.88671875" style="2" customWidth="1"/>
    <col min="15623" max="15623" width="46.33203125" style="2" bestFit="1" customWidth="1"/>
    <col min="15624" max="15872" width="9.109375" style="2"/>
    <col min="15873" max="15873" width="37.44140625" style="2" customWidth="1"/>
    <col min="15874" max="15874" width="7" style="2" bestFit="1" customWidth="1"/>
    <col min="15875" max="15875" width="9.5546875" style="2" customWidth="1"/>
    <col min="15876" max="15876" width="11.109375" style="2" customWidth="1"/>
    <col min="15877" max="15877" width="11.88671875" style="2" customWidth="1"/>
    <col min="15878" max="15878" width="14.88671875" style="2" customWidth="1"/>
    <col min="15879" max="15879" width="46.33203125" style="2" bestFit="1" customWidth="1"/>
    <col min="15880" max="16128" width="9.109375" style="2"/>
    <col min="16129" max="16129" width="37.44140625" style="2" customWidth="1"/>
    <col min="16130" max="16130" width="7" style="2" bestFit="1" customWidth="1"/>
    <col min="16131" max="16131" width="9.5546875" style="2" customWidth="1"/>
    <col min="16132" max="16132" width="11.109375" style="2" customWidth="1"/>
    <col min="16133" max="16133" width="11.88671875" style="2" customWidth="1"/>
    <col min="16134" max="16134" width="14.88671875" style="2" customWidth="1"/>
    <col min="16135" max="16135" width="46.33203125" style="2" bestFit="1" customWidth="1"/>
    <col min="16136" max="16384" width="9.109375" style="2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0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</row>
    <row r="3" spans="1:10" x14ac:dyDescent="0.25">
      <c r="A3" s="2" t="s">
        <v>7</v>
      </c>
      <c r="B3" s="4">
        <v>102.1</v>
      </c>
      <c r="C3" s="5">
        <v>5.7500000000000002E-2</v>
      </c>
      <c r="D3" s="6">
        <v>39156</v>
      </c>
      <c r="E3" s="4">
        <f>(D3-DATE(2007,2,23))/365</f>
        <v>5.4794520547945202E-2</v>
      </c>
      <c r="F3" s="7">
        <f t="shared" ref="F3:F66" si="0">YIELD(DATE(2007,2,23),D3,C3,B3,100,2,1)</f>
        <v>-0.30824408520836677</v>
      </c>
      <c r="G3" s="2" t="str">
        <f ca="1">_xlfn.FORMULATEXT(F3)</f>
        <v>=YIELD(DATE(2007,2,23),D3,C3,B3,100,2,1)</v>
      </c>
      <c r="H3" s="8">
        <f>COUNTA(A3:A249)</f>
        <v>247</v>
      </c>
    </row>
    <row r="4" spans="1:10" x14ac:dyDescent="0.25">
      <c r="A4" s="2" t="s">
        <v>8</v>
      </c>
      <c r="B4" s="4">
        <v>101.62</v>
      </c>
      <c r="C4" s="7">
        <v>0.03</v>
      </c>
      <c r="D4" s="6">
        <v>39202</v>
      </c>
      <c r="E4" s="4">
        <f t="shared" ref="E4:E67" si="1">(D4-DATE(2007,2,23))/365</f>
        <v>0.18082191780821918</v>
      </c>
      <c r="F4" s="7">
        <f t="shared" si="0"/>
        <v>-5.7378182625144075E-2</v>
      </c>
      <c r="G4" s="2" t="str">
        <f ca="1">_xlfn.FORMULATEXT(F4)</f>
        <v>=YIELD(DATE(2007,2,23),D4,C4,B4,100,2,1)</v>
      </c>
      <c r="J4" s="7"/>
    </row>
    <row r="5" spans="1:10" x14ac:dyDescent="0.25">
      <c r="A5" s="2" t="s">
        <v>9</v>
      </c>
      <c r="B5" s="4">
        <v>101.62</v>
      </c>
      <c r="C5" s="7">
        <v>3.125E-2</v>
      </c>
      <c r="D5" s="6">
        <v>39205</v>
      </c>
      <c r="E5" s="4">
        <f t="shared" si="1"/>
        <v>0.18904109589041096</v>
      </c>
      <c r="F5" s="7">
        <f t="shared" si="0"/>
        <v>-5.238615272199712E-2</v>
      </c>
      <c r="J5" s="7"/>
    </row>
    <row r="6" spans="1:10" x14ac:dyDescent="0.25">
      <c r="A6" s="2" t="s">
        <v>10</v>
      </c>
      <c r="B6" s="4">
        <v>101.94</v>
      </c>
      <c r="C6" s="7">
        <v>5.2000000000000005E-2</v>
      </c>
      <c r="D6" s="6">
        <v>39217</v>
      </c>
      <c r="E6" s="4">
        <f t="shared" si="1"/>
        <v>0.22191780821917809</v>
      </c>
      <c r="F6" s="7">
        <f t="shared" si="0"/>
        <v>-3.3567828880496836E-2</v>
      </c>
      <c r="J6" s="7"/>
    </row>
    <row r="7" spans="1:10" x14ac:dyDescent="0.25">
      <c r="A7" s="2" t="s">
        <v>11</v>
      </c>
      <c r="B7" s="4">
        <v>101.88</v>
      </c>
      <c r="C7" s="7">
        <v>4.8750000000000002E-2</v>
      </c>
      <c r="D7" s="6">
        <v>39245</v>
      </c>
      <c r="E7" s="4">
        <f t="shared" si="1"/>
        <v>0.29863013698630136</v>
      </c>
      <c r="F7" s="7">
        <f t="shared" si="0"/>
        <v>-1.3641812231258975E-2</v>
      </c>
      <c r="J7" s="7"/>
    </row>
    <row r="8" spans="1:10" x14ac:dyDescent="0.25">
      <c r="A8" s="2" t="s">
        <v>12</v>
      </c>
      <c r="B8" s="4">
        <v>102.62</v>
      </c>
      <c r="C8" s="7">
        <v>6.7500000000000004E-2</v>
      </c>
      <c r="D8" s="6">
        <v>39248</v>
      </c>
      <c r="E8" s="4">
        <f t="shared" si="1"/>
        <v>0.30684931506849317</v>
      </c>
      <c r="F8" s="7">
        <f t="shared" si="0"/>
        <v>-1.6984532934597521E-2</v>
      </c>
      <c r="J8" s="7"/>
    </row>
    <row r="9" spans="1:10" x14ac:dyDescent="0.25">
      <c r="A9" s="2" t="s">
        <v>13</v>
      </c>
      <c r="B9" s="4">
        <v>101.94</v>
      </c>
      <c r="C9" s="7">
        <v>4.7500000000000001E-2</v>
      </c>
      <c r="D9" s="6">
        <v>39248</v>
      </c>
      <c r="E9" s="4">
        <f t="shared" si="1"/>
        <v>0.30684931506849317</v>
      </c>
      <c r="F9" s="7">
        <f t="shared" si="0"/>
        <v>-1.5118596659176007E-2</v>
      </c>
      <c r="J9" s="7"/>
    </row>
    <row r="10" spans="1:10" x14ac:dyDescent="0.25">
      <c r="A10" s="2" t="s">
        <v>14</v>
      </c>
      <c r="B10" s="4">
        <v>102.53</v>
      </c>
      <c r="C10" s="7">
        <v>7.0000000000000007E-2</v>
      </c>
      <c r="D10" s="6">
        <v>39264</v>
      </c>
      <c r="E10" s="4">
        <f t="shared" si="1"/>
        <v>0.35068493150684932</v>
      </c>
      <c r="F10" s="7">
        <f t="shared" si="0"/>
        <v>-1.498300004321815E-3</v>
      </c>
      <c r="J10" s="7"/>
    </row>
    <row r="11" spans="1:10" x14ac:dyDescent="0.25">
      <c r="A11" s="2" t="s">
        <v>15</v>
      </c>
      <c r="B11" s="4">
        <v>101.34</v>
      </c>
      <c r="C11" s="7">
        <v>3.7499999999999999E-2</v>
      </c>
      <c r="D11" s="6">
        <v>39295</v>
      </c>
      <c r="E11" s="4">
        <f t="shared" si="1"/>
        <v>0.43561643835616437</v>
      </c>
      <c r="F11" s="7">
        <f t="shared" si="0"/>
        <v>6.8838913291882301E-3</v>
      </c>
      <c r="J11" s="7"/>
    </row>
    <row r="12" spans="1:10" x14ac:dyDescent="0.25">
      <c r="A12" s="2" t="s">
        <v>16</v>
      </c>
      <c r="B12" s="4">
        <v>101.46</v>
      </c>
      <c r="C12" s="7">
        <v>4.1250000000000002E-2</v>
      </c>
      <c r="D12" s="6">
        <v>39309</v>
      </c>
      <c r="E12" s="4">
        <f t="shared" si="1"/>
        <v>0.47397260273972602</v>
      </c>
      <c r="F12" s="7">
        <f t="shared" si="0"/>
        <v>1.0536276453537706E-2</v>
      </c>
      <c r="J12" s="7"/>
    </row>
    <row r="13" spans="1:10" x14ac:dyDescent="0.25">
      <c r="A13" s="2" t="s">
        <v>9</v>
      </c>
      <c r="B13" s="4">
        <v>102.2</v>
      </c>
      <c r="C13" s="7">
        <v>5.7999999999999996E-2</v>
      </c>
      <c r="D13" s="6">
        <v>39309</v>
      </c>
      <c r="E13" s="4">
        <f t="shared" si="1"/>
        <v>0.47397260273972602</v>
      </c>
      <c r="F13" s="7">
        <f t="shared" si="0"/>
        <v>1.1693082290499566E-2</v>
      </c>
      <c r="J13" s="7"/>
    </row>
    <row r="14" spans="1:10" x14ac:dyDescent="0.25">
      <c r="A14" s="2" t="s">
        <v>17</v>
      </c>
      <c r="B14" s="4">
        <v>101.36</v>
      </c>
      <c r="C14" s="7">
        <v>3.95E-2</v>
      </c>
      <c r="D14" s="6">
        <v>39317</v>
      </c>
      <c r="E14" s="4">
        <f t="shared" si="1"/>
        <v>0.49589041095890413</v>
      </c>
      <c r="F14" s="7">
        <f t="shared" si="0"/>
        <v>1.2134964483030539E-2</v>
      </c>
      <c r="J14" s="7"/>
    </row>
    <row r="15" spans="1:10" x14ac:dyDescent="0.25">
      <c r="A15" s="2" t="s">
        <v>18</v>
      </c>
      <c r="B15" s="4">
        <v>101.28</v>
      </c>
      <c r="C15" s="7">
        <v>3.9E-2</v>
      </c>
      <c r="D15" s="6">
        <v>39326</v>
      </c>
      <c r="E15" s="4">
        <f t="shared" si="1"/>
        <v>0.52054794520547942</v>
      </c>
      <c r="F15" s="7">
        <f t="shared" si="0"/>
        <v>1.4040284353485484E-2</v>
      </c>
      <c r="J15" s="7"/>
    </row>
    <row r="16" spans="1:10" x14ac:dyDescent="0.25">
      <c r="A16" s="2" t="s">
        <v>19</v>
      </c>
      <c r="B16" s="4">
        <v>101.41</v>
      </c>
      <c r="C16" s="7">
        <v>4.1250000000000002E-2</v>
      </c>
      <c r="D16" s="6">
        <v>39326</v>
      </c>
      <c r="E16" s="4">
        <f t="shared" si="1"/>
        <v>0.52054794520547942</v>
      </c>
      <c r="F16" s="7">
        <f t="shared" si="0"/>
        <v>1.375948710311329E-2</v>
      </c>
      <c r="J16" s="7"/>
    </row>
    <row r="17" spans="1:10" x14ac:dyDescent="0.25">
      <c r="A17" s="2" t="s">
        <v>20</v>
      </c>
      <c r="B17" s="4">
        <v>102.79</v>
      </c>
      <c r="C17" s="7">
        <v>6.7500000000000004E-2</v>
      </c>
      <c r="D17" s="6">
        <v>39356</v>
      </c>
      <c r="E17" s="4">
        <f t="shared" si="1"/>
        <v>0.60273972602739723</v>
      </c>
      <c r="F17" s="7">
        <f t="shared" si="0"/>
        <v>2.0555147436038673E-2</v>
      </c>
      <c r="J17" s="7"/>
    </row>
    <row r="18" spans="1:10" x14ac:dyDescent="0.25">
      <c r="A18" s="2" t="s">
        <v>21</v>
      </c>
      <c r="B18" s="4">
        <v>102.77</v>
      </c>
      <c r="C18" s="7">
        <v>6.6250000000000003E-2</v>
      </c>
      <c r="D18" s="6">
        <v>39370</v>
      </c>
      <c r="E18" s="4">
        <f t="shared" si="1"/>
        <v>0.64109589041095894</v>
      </c>
      <c r="F18" s="7">
        <f t="shared" si="0"/>
        <v>2.2365350819817935E-2</v>
      </c>
      <c r="J18" s="7"/>
    </row>
    <row r="19" spans="1:10" x14ac:dyDescent="0.25">
      <c r="A19" s="2" t="s">
        <v>7</v>
      </c>
      <c r="B19" s="4">
        <v>103.65</v>
      </c>
      <c r="C19" s="7">
        <v>0.08</v>
      </c>
      <c r="D19" s="6">
        <v>39370</v>
      </c>
      <c r="E19" s="4">
        <f t="shared" si="1"/>
        <v>0.64109589041095894</v>
      </c>
      <c r="F19" s="7">
        <f t="shared" si="0"/>
        <v>2.2186527359328686E-2</v>
      </c>
      <c r="J19" s="7"/>
    </row>
    <row r="20" spans="1:10" x14ac:dyDescent="0.25">
      <c r="A20" s="2" t="s">
        <v>15</v>
      </c>
      <c r="B20" s="4">
        <v>101.04</v>
      </c>
      <c r="C20" s="7">
        <v>0.04</v>
      </c>
      <c r="D20" s="6">
        <v>39401</v>
      </c>
      <c r="E20" s="4">
        <f t="shared" si="1"/>
        <v>0.72602739726027399</v>
      </c>
      <c r="F20" s="7">
        <f t="shared" si="0"/>
        <v>2.5363590191089726E-2</v>
      </c>
      <c r="J20" s="7"/>
    </row>
    <row r="21" spans="1:10" x14ac:dyDescent="0.25">
      <c r="A21" s="2" t="s">
        <v>8</v>
      </c>
      <c r="B21" s="4">
        <v>101.1</v>
      </c>
      <c r="C21" s="7">
        <v>0.04</v>
      </c>
      <c r="D21" s="6">
        <v>39401</v>
      </c>
      <c r="E21" s="4">
        <f t="shared" si="1"/>
        <v>0.72602739726027399</v>
      </c>
      <c r="F21" s="7">
        <f t="shared" si="0"/>
        <v>2.4530911047264816E-2</v>
      </c>
      <c r="J21" s="7"/>
    </row>
    <row r="22" spans="1:10" x14ac:dyDescent="0.25">
      <c r="A22" s="2" t="s">
        <v>22</v>
      </c>
      <c r="B22" s="4">
        <v>103.25</v>
      </c>
      <c r="C22" s="7">
        <v>6.5599999999999992E-2</v>
      </c>
      <c r="D22" s="6">
        <v>39432</v>
      </c>
      <c r="E22" s="4">
        <f t="shared" si="1"/>
        <v>0.81095890410958904</v>
      </c>
      <c r="F22" s="7">
        <f t="shared" si="0"/>
        <v>2.4786602024960681E-2</v>
      </c>
      <c r="J22" s="7"/>
    </row>
    <row r="23" spans="1:10" x14ac:dyDescent="0.25">
      <c r="A23" s="2" t="s">
        <v>23</v>
      </c>
      <c r="B23" s="4">
        <v>102.91</v>
      </c>
      <c r="C23" s="7">
        <v>6.5000000000000002E-2</v>
      </c>
      <c r="D23" s="6">
        <v>39435</v>
      </c>
      <c r="E23" s="4">
        <f t="shared" si="1"/>
        <v>0.81917808219178079</v>
      </c>
      <c r="F23" s="7">
        <f t="shared" si="0"/>
        <v>2.8714460492645928E-2</v>
      </c>
      <c r="J23" s="7"/>
    </row>
    <row r="24" spans="1:10" x14ac:dyDescent="0.25">
      <c r="A24" s="2" t="s">
        <v>24</v>
      </c>
      <c r="B24" s="4">
        <v>100.69</v>
      </c>
      <c r="C24" s="7">
        <v>3.7000000000000005E-2</v>
      </c>
      <c r="D24" s="6">
        <v>39462</v>
      </c>
      <c r="E24" s="4">
        <f t="shared" si="1"/>
        <v>0.89315068493150684</v>
      </c>
      <c r="F24" s="7">
        <f t="shared" si="0"/>
        <v>2.9084230414958015E-2</v>
      </c>
      <c r="J24" s="7"/>
    </row>
    <row r="25" spans="1:10" x14ac:dyDescent="0.25">
      <c r="A25" s="2" t="s">
        <v>25</v>
      </c>
      <c r="B25" s="4">
        <v>101.09</v>
      </c>
      <c r="C25" s="7">
        <v>4.1250000000000002E-2</v>
      </c>
      <c r="D25" s="6">
        <v>39462</v>
      </c>
      <c r="E25" s="4">
        <f t="shared" si="1"/>
        <v>0.89315068493150684</v>
      </c>
      <c r="F25" s="7">
        <f t="shared" si="0"/>
        <v>2.8760448740205728E-2</v>
      </c>
      <c r="J25" s="7"/>
    </row>
    <row r="26" spans="1:10" x14ac:dyDescent="0.25">
      <c r="A26" s="2" t="s">
        <v>26</v>
      </c>
      <c r="B26" s="4">
        <v>100.81</v>
      </c>
      <c r="C26" s="7">
        <v>3.7999999999999999E-2</v>
      </c>
      <c r="D26" s="6">
        <v>39479</v>
      </c>
      <c r="E26" s="4">
        <f t="shared" si="1"/>
        <v>0.9397260273972603</v>
      </c>
      <c r="F26" s="7">
        <f t="shared" si="0"/>
        <v>2.9178473699756853E-2</v>
      </c>
      <c r="J26" s="7"/>
    </row>
    <row r="27" spans="1:10" x14ac:dyDescent="0.25">
      <c r="A27" s="2" t="s">
        <v>27</v>
      </c>
      <c r="B27" s="4">
        <v>100.5</v>
      </c>
      <c r="C27" s="7">
        <v>3.5000000000000003E-2</v>
      </c>
      <c r="D27" s="6">
        <v>39479</v>
      </c>
      <c r="E27" s="4">
        <f t="shared" si="1"/>
        <v>0.9397260273972603</v>
      </c>
      <c r="F27" s="7">
        <f t="shared" si="0"/>
        <v>2.9548160176610567E-2</v>
      </c>
      <c r="J27" s="7"/>
    </row>
    <row r="28" spans="1:10" x14ac:dyDescent="0.25">
      <c r="A28" s="2" t="s">
        <v>28</v>
      </c>
      <c r="B28" s="4">
        <v>100.47</v>
      </c>
      <c r="C28" s="7">
        <v>3.3750000000000002E-2</v>
      </c>
      <c r="D28" s="6">
        <v>39493</v>
      </c>
      <c r="E28" s="4">
        <f t="shared" si="1"/>
        <v>0.9780821917808219</v>
      </c>
      <c r="F28" s="7">
        <f t="shared" si="0"/>
        <v>2.8835822122459765E-2</v>
      </c>
      <c r="J28" s="7"/>
    </row>
    <row r="29" spans="1:10" x14ac:dyDescent="0.25">
      <c r="A29" s="2" t="s">
        <v>29</v>
      </c>
      <c r="B29" s="4">
        <v>100.94</v>
      </c>
      <c r="C29" s="7">
        <v>4.1250000000000002E-2</v>
      </c>
      <c r="D29" s="6">
        <v>39517</v>
      </c>
      <c r="E29" s="4">
        <f t="shared" si="1"/>
        <v>1.0438356164383562</v>
      </c>
      <c r="F29" s="7">
        <f t="shared" si="0"/>
        <v>3.198857501132344E-2</v>
      </c>
      <c r="J29" s="7"/>
    </row>
    <row r="30" spans="1:10" x14ac:dyDescent="0.25">
      <c r="A30" s="2" t="s">
        <v>30</v>
      </c>
      <c r="B30" s="4">
        <v>102.96</v>
      </c>
      <c r="C30" s="7">
        <v>0.06</v>
      </c>
      <c r="D30" s="6">
        <v>39522</v>
      </c>
      <c r="E30" s="4">
        <f t="shared" si="1"/>
        <v>1.0575342465753426</v>
      </c>
      <c r="F30" s="7">
        <f t="shared" si="0"/>
        <v>3.1244040821783198E-2</v>
      </c>
      <c r="J30" s="7"/>
    </row>
    <row r="31" spans="1:10" x14ac:dyDescent="0.25">
      <c r="A31" s="2" t="s">
        <v>31</v>
      </c>
      <c r="B31" s="4">
        <v>99.72</v>
      </c>
      <c r="C31" s="7">
        <v>2.8750000000000001E-2</v>
      </c>
      <c r="D31" s="6">
        <v>39522</v>
      </c>
      <c r="E31" s="4">
        <f t="shared" si="1"/>
        <v>1.0575342465753426</v>
      </c>
      <c r="F31" s="7">
        <f t="shared" si="0"/>
        <v>3.1457773201985818E-2</v>
      </c>
      <c r="J31" s="7"/>
    </row>
    <row r="32" spans="1:10" x14ac:dyDescent="0.25">
      <c r="A32" s="2" t="s">
        <v>32</v>
      </c>
      <c r="B32" s="4">
        <v>99.78</v>
      </c>
      <c r="C32" s="7">
        <v>2.8999999999999998E-2</v>
      </c>
      <c r="D32" s="6">
        <v>39522</v>
      </c>
      <c r="E32" s="4">
        <f t="shared" si="1"/>
        <v>1.0575342465753426</v>
      </c>
      <c r="F32" s="7">
        <f t="shared" si="0"/>
        <v>3.1124717987125652E-2</v>
      </c>
      <c r="J32" s="7"/>
    </row>
    <row r="33" spans="1:10" x14ac:dyDescent="0.25">
      <c r="A33" s="2" t="s">
        <v>33</v>
      </c>
      <c r="B33" s="4">
        <v>103.54</v>
      </c>
      <c r="C33" s="7">
        <v>6.7500000000000004E-2</v>
      </c>
      <c r="D33" s="6">
        <v>39522</v>
      </c>
      <c r="E33" s="4">
        <f t="shared" si="1"/>
        <v>1.0575342465753426</v>
      </c>
      <c r="F33" s="7">
        <f t="shared" si="0"/>
        <v>3.3061822733664439E-2</v>
      </c>
      <c r="J33" s="7"/>
    </row>
    <row r="34" spans="1:10" x14ac:dyDescent="0.25">
      <c r="A34" s="2" t="s">
        <v>17</v>
      </c>
      <c r="B34" s="4">
        <v>99.85</v>
      </c>
      <c r="C34" s="7">
        <v>3.125E-2</v>
      </c>
      <c r="D34" s="6">
        <v>39522</v>
      </c>
      <c r="E34" s="4">
        <f t="shared" si="1"/>
        <v>1.0575342465753426</v>
      </c>
      <c r="F34" s="7">
        <f t="shared" si="0"/>
        <v>3.2695589026298495E-2</v>
      </c>
      <c r="J34" s="7"/>
    </row>
    <row r="35" spans="1:10" x14ac:dyDescent="0.25">
      <c r="A35" s="2" t="s">
        <v>34</v>
      </c>
      <c r="B35" s="4">
        <v>99.77</v>
      </c>
      <c r="C35" s="7">
        <v>3.0499999999999999E-2</v>
      </c>
      <c r="D35" s="6">
        <v>39524</v>
      </c>
      <c r="E35" s="4">
        <f t="shared" si="1"/>
        <v>1.0630136986301371</v>
      </c>
      <c r="F35" s="7">
        <f t="shared" si="0"/>
        <v>3.271094951816874E-2</v>
      </c>
      <c r="J35" s="7"/>
    </row>
    <row r="36" spans="1:10" x14ac:dyDescent="0.25">
      <c r="A36" s="2" t="s">
        <v>35</v>
      </c>
      <c r="B36" s="4">
        <v>100.94</v>
      </c>
      <c r="C36" s="7">
        <v>4.1250000000000002E-2</v>
      </c>
      <c r="D36" s="6">
        <v>39524</v>
      </c>
      <c r="E36" s="4">
        <f t="shared" si="1"/>
        <v>1.0630136986301371</v>
      </c>
      <c r="F36" s="7">
        <f t="shared" si="0"/>
        <v>3.2148556720536389E-2</v>
      </c>
      <c r="J36" s="7"/>
    </row>
    <row r="37" spans="1:10" x14ac:dyDescent="0.25">
      <c r="A37" s="2" t="s">
        <v>36</v>
      </c>
      <c r="B37" s="4">
        <v>103.2</v>
      </c>
      <c r="C37" s="7">
        <v>6.3750000000000001E-2</v>
      </c>
      <c r="D37" s="6">
        <v>39532</v>
      </c>
      <c r="E37" s="4">
        <f t="shared" si="1"/>
        <v>1.0849315068493151</v>
      </c>
      <c r="F37" s="7">
        <f t="shared" si="0"/>
        <v>3.3381116529231612E-2</v>
      </c>
      <c r="J37" s="7"/>
    </row>
    <row r="38" spans="1:10" x14ac:dyDescent="0.25">
      <c r="A38" s="2" t="s">
        <v>36</v>
      </c>
      <c r="B38" s="4">
        <v>103.18</v>
      </c>
      <c r="C38" s="7">
        <v>6.3750000000000001E-2</v>
      </c>
      <c r="D38" s="6">
        <v>39553</v>
      </c>
      <c r="E38" s="4">
        <f t="shared" si="1"/>
        <v>1.1424657534246576</v>
      </c>
      <c r="F38" s="7">
        <f t="shared" si="0"/>
        <v>3.5003948949762102E-2</v>
      </c>
      <c r="J38" s="7"/>
    </row>
    <row r="39" spans="1:10" x14ac:dyDescent="0.25">
      <c r="A39" s="2" t="s">
        <v>15</v>
      </c>
      <c r="B39" s="4">
        <v>101.16</v>
      </c>
      <c r="C39" s="7">
        <v>4.4999999999999998E-2</v>
      </c>
      <c r="D39" s="6">
        <v>39569</v>
      </c>
      <c r="E39" s="4">
        <f t="shared" si="1"/>
        <v>1.1863013698630136</v>
      </c>
      <c r="F39" s="7">
        <f t="shared" si="0"/>
        <v>3.4883404461994359E-2</v>
      </c>
      <c r="J39" s="7"/>
    </row>
    <row r="40" spans="1:10" x14ac:dyDescent="0.25">
      <c r="A40" s="2" t="s">
        <v>37</v>
      </c>
      <c r="B40" s="4">
        <v>103.33</v>
      </c>
      <c r="C40" s="7">
        <v>6.3750000000000001E-2</v>
      </c>
      <c r="D40" s="6">
        <v>39583</v>
      </c>
      <c r="E40" s="4">
        <f t="shared" si="1"/>
        <v>1.2246575342465753</v>
      </c>
      <c r="F40" s="7">
        <f t="shared" si="0"/>
        <v>3.5640630136521897E-2</v>
      </c>
      <c r="J40" s="7"/>
    </row>
    <row r="41" spans="1:10" x14ac:dyDescent="0.25">
      <c r="A41" s="2" t="s">
        <v>7</v>
      </c>
      <c r="B41" s="4">
        <v>100.19</v>
      </c>
      <c r="C41" s="7">
        <v>3.7499999999999999E-2</v>
      </c>
      <c r="D41" s="6">
        <v>39583</v>
      </c>
      <c r="E41" s="4">
        <f t="shared" si="1"/>
        <v>1.2246575342465753</v>
      </c>
      <c r="F41" s="7">
        <f t="shared" si="0"/>
        <v>3.5864486032883044E-2</v>
      </c>
      <c r="J41" s="7"/>
    </row>
    <row r="42" spans="1:10" x14ac:dyDescent="0.25">
      <c r="A42" s="2" t="s">
        <v>38</v>
      </c>
      <c r="B42" s="4">
        <v>99.47</v>
      </c>
      <c r="C42" s="7">
        <v>0.03</v>
      </c>
      <c r="D42" s="6">
        <v>39584</v>
      </c>
      <c r="E42" s="4">
        <f t="shared" si="1"/>
        <v>1.2273972602739727</v>
      </c>
      <c r="F42" s="7">
        <f t="shared" si="0"/>
        <v>3.4423475091667301E-2</v>
      </c>
      <c r="J42" s="7"/>
    </row>
    <row r="43" spans="1:10" x14ac:dyDescent="0.25">
      <c r="A43" s="2" t="s">
        <v>34</v>
      </c>
      <c r="B43" s="4">
        <v>98.62</v>
      </c>
      <c r="C43" s="7">
        <v>2.8500000000000001E-2</v>
      </c>
      <c r="D43" s="6">
        <v>39595</v>
      </c>
      <c r="E43" s="4">
        <f t="shared" si="1"/>
        <v>1.2575342465753425</v>
      </c>
      <c r="F43" s="7">
        <f t="shared" si="0"/>
        <v>3.9836561327823455E-2</v>
      </c>
      <c r="J43" s="7"/>
    </row>
    <row r="44" spans="1:10" x14ac:dyDescent="0.25">
      <c r="A44" s="2" t="s">
        <v>39</v>
      </c>
      <c r="B44" s="4">
        <v>102.84</v>
      </c>
      <c r="C44" s="7">
        <v>0.06</v>
      </c>
      <c r="D44" s="6">
        <v>39600</v>
      </c>
      <c r="E44" s="4">
        <f t="shared" si="1"/>
        <v>1.2712328767123289</v>
      </c>
      <c r="F44" s="7">
        <f t="shared" si="0"/>
        <v>3.683634924504238E-2</v>
      </c>
      <c r="J44" s="7"/>
    </row>
    <row r="45" spans="1:10" x14ac:dyDescent="0.25">
      <c r="A45" s="2" t="s">
        <v>31</v>
      </c>
      <c r="B45" s="4">
        <v>98.86</v>
      </c>
      <c r="C45" s="7">
        <v>2.5000000000000001E-2</v>
      </c>
      <c r="D45" s="6">
        <v>39600</v>
      </c>
      <c r="E45" s="4">
        <f t="shared" si="1"/>
        <v>1.2712328767123289</v>
      </c>
      <c r="F45" s="7">
        <f t="shared" si="0"/>
        <v>3.4233606575074467E-2</v>
      </c>
      <c r="J45" s="7"/>
    </row>
    <row r="46" spans="1:10" x14ac:dyDescent="0.25">
      <c r="A46" s="2" t="s">
        <v>9</v>
      </c>
      <c r="B46" s="4">
        <v>101.28</v>
      </c>
      <c r="C46" s="7">
        <v>4.6249999999999999E-2</v>
      </c>
      <c r="D46" s="6">
        <v>39601</v>
      </c>
      <c r="E46" s="4">
        <f t="shared" si="1"/>
        <v>1.273972602739726</v>
      </c>
      <c r="F46" s="7">
        <f t="shared" si="0"/>
        <v>3.5824768542505173E-2</v>
      </c>
      <c r="J46" s="7"/>
    </row>
    <row r="47" spans="1:10" x14ac:dyDescent="0.25">
      <c r="A47" s="2" t="s">
        <v>15</v>
      </c>
      <c r="B47" s="4">
        <v>99.91</v>
      </c>
      <c r="C47" s="7">
        <v>3.6000000000000004E-2</v>
      </c>
      <c r="D47" s="6">
        <v>39614</v>
      </c>
      <c r="E47" s="4">
        <f t="shared" si="1"/>
        <v>1.3095890410958904</v>
      </c>
      <c r="F47" s="7">
        <f t="shared" si="0"/>
        <v>3.668059475506423E-2</v>
      </c>
      <c r="J47" s="7"/>
    </row>
    <row r="48" spans="1:10" x14ac:dyDescent="0.25">
      <c r="A48" s="2" t="s">
        <v>40</v>
      </c>
      <c r="B48" s="4">
        <v>107.74</v>
      </c>
      <c r="C48" s="7">
        <v>0.1</v>
      </c>
      <c r="D48" s="6">
        <v>39614</v>
      </c>
      <c r="E48" s="4">
        <f t="shared" si="1"/>
        <v>1.3095890410958904</v>
      </c>
      <c r="F48" s="7">
        <f t="shared" si="0"/>
        <v>3.8644192593972712E-2</v>
      </c>
      <c r="J48" s="7"/>
    </row>
    <row r="49" spans="1:10" ht="12.75" customHeight="1" x14ac:dyDescent="0.25">
      <c r="A49" s="2" t="s">
        <v>41</v>
      </c>
      <c r="B49" s="4">
        <v>103.47</v>
      </c>
      <c r="C49" s="7">
        <v>6.4000000000000001E-2</v>
      </c>
      <c r="D49" s="6">
        <v>39616</v>
      </c>
      <c r="E49" s="4">
        <f t="shared" si="1"/>
        <v>1.3150684931506849</v>
      </c>
      <c r="F49" s="7">
        <f t="shared" si="0"/>
        <v>3.6640205096253479E-2</v>
      </c>
      <c r="J49" s="7"/>
    </row>
    <row r="50" spans="1:10" x14ac:dyDescent="0.25">
      <c r="A50" s="2" t="s">
        <v>19</v>
      </c>
      <c r="B50" s="4">
        <v>98.75</v>
      </c>
      <c r="C50" s="7">
        <v>2.6249999999999999E-2</v>
      </c>
      <c r="D50" s="6">
        <v>39629</v>
      </c>
      <c r="E50" s="4">
        <f t="shared" si="1"/>
        <v>1.3506849315068492</v>
      </c>
      <c r="F50" s="7">
        <f t="shared" si="0"/>
        <v>3.5793012810940751E-2</v>
      </c>
      <c r="J50" s="7"/>
    </row>
    <row r="51" spans="1:10" x14ac:dyDescent="0.25">
      <c r="A51" s="2" t="s">
        <v>8</v>
      </c>
      <c r="B51" s="4">
        <v>99.28</v>
      </c>
      <c r="C51" s="7">
        <v>3.125E-2</v>
      </c>
      <c r="D51" s="6">
        <v>39644</v>
      </c>
      <c r="E51" s="4">
        <f t="shared" si="1"/>
        <v>1.3917808219178083</v>
      </c>
      <c r="F51" s="7">
        <f t="shared" si="0"/>
        <v>3.6583630281109565E-2</v>
      </c>
      <c r="J51" s="7"/>
    </row>
    <row r="52" spans="1:10" x14ac:dyDescent="0.25">
      <c r="A52" s="2" t="s">
        <v>19</v>
      </c>
      <c r="B52" s="4">
        <v>103.11</v>
      </c>
      <c r="C52" s="7">
        <v>0.06</v>
      </c>
      <c r="D52" s="6">
        <v>39661</v>
      </c>
      <c r="E52" s="4">
        <f t="shared" si="1"/>
        <v>1.4383561643835616</v>
      </c>
      <c r="F52" s="7">
        <f t="shared" si="0"/>
        <v>3.7577820990390837E-2</v>
      </c>
      <c r="J52" s="7"/>
    </row>
    <row r="53" spans="1:10" x14ac:dyDescent="0.25">
      <c r="A53" s="2" t="s">
        <v>42</v>
      </c>
      <c r="B53" s="4">
        <v>99.36</v>
      </c>
      <c r="C53" s="7">
        <v>3.2500000000000001E-2</v>
      </c>
      <c r="D53" s="6">
        <v>39675</v>
      </c>
      <c r="E53" s="4">
        <f t="shared" si="1"/>
        <v>1.4767123287671233</v>
      </c>
      <c r="F53" s="7">
        <f t="shared" si="0"/>
        <v>3.6985407633133426E-2</v>
      </c>
      <c r="J53" s="7"/>
    </row>
    <row r="54" spans="1:10" x14ac:dyDescent="0.25">
      <c r="A54" s="2" t="s">
        <v>43</v>
      </c>
      <c r="B54" s="4">
        <v>104.04</v>
      </c>
      <c r="C54" s="7">
        <v>6.7000000000000004E-2</v>
      </c>
      <c r="D54" s="6">
        <v>39675</v>
      </c>
      <c r="E54" s="4">
        <f t="shared" si="1"/>
        <v>1.4767123287671233</v>
      </c>
      <c r="F54" s="7">
        <f t="shared" si="0"/>
        <v>3.8604314341815195E-2</v>
      </c>
      <c r="J54" s="7"/>
    </row>
    <row r="55" spans="1:10" x14ac:dyDescent="0.25">
      <c r="A55" s="2" t="s">
        <v>9</v>
      </c>
      <c r="B55" s="4">
        <v>101.38</v>
      </c>
      <c r="C55" s="7">
        <v>4.8099999999999997E-2</v>
      </c>
      <c r="D55" s="6">
        <v>39675</v>
      </c>
      <c r="E55" s="4">
        <f t="shared" si="1"/>
        <v>1.4767123287671233</v>
      </c>
      <c r="F55" s="7">
        <f t="shared" si="0"/>
        <v>3.8398874536683475E-2</v>
      </c>
      <c r="J55" s="7"/>
    </row>
    <row r="56" spans="1:10" x14ac:dyDescent="0.25">
      <c r="A56" s="2" t="s">
        <v>13</v>
      </c>
      <c r="B56" s="4">
        <v>100.95</v>
      </c>
      <c r="C56" s="7">
        <v>4.2999999999999997E-2</v>
      </c>
      <c r="D56" s="6">
        <v>39675</v>
      </c>
      <c r="E56" s="4">
        <f t="shared" si="1"/>
        <v>1.4767123287671233</v>
      </c>
      <c r="F56" s="7">
        <f t="shared" si="0"/>
        <v>3.6333915502443782E-2</v>
      </c>
      <c r="J56" s="7"/>
    </row>
    <row r="57" spans="1:10" x14ac:dyDescent="0.25">
      <c r="A57" s="2" t="s">
        <v>30</v>
      </c>
      <c r="B57" s="4">
        <v>102.54</v>
      </c>
      <c r="C57" s="7">
        <v>5.4000000000000006E-2</v>
      </c>
      <c r="D57" s="6">
        <v>39706</v>
      </c>
      <c r="E57" s="4">
        <f t="shared" si="1"/>
        <v>1.5616438356164384</v>
      </c>
      <c r="F57" s="7">
        <f t="shared" si="0"/>
        <v>3.7026494468875126E-2</v>
      </c>
      <c r="J57" s="7"/>
    </row>
    <row r="58" spans="1:10" x14ac:dyDescent="0.25">
      <c r="A58" s="2" t="s">
        <v>15</v>
      </c>
      <c r="B58" s="4">
        <v>100.65</v>
      </c>
      <c r="C58" s="7">
        <v>4.3499999999999997E-2</v>
      </c>
      <c r="D58" s="6">
        <v>39706</v>
      </c>
      <c r="E58" s="4">
        <f t="shared" si="1"/>
        <v>1.5616438356164384</v>
      </c>
      <c r="F58" s="7">
        <f t="shared" si="0"/>
        <v>3.9137475314209969E-2</v>
      </c>
      <c r="J58" s="7"/>
    </row>
    <row r="59" spans="1:10" x14ac:dyDescent="0.25">
      <c r="A59" s="2" t="s">
        <v>44</v>
      </c>
      <c r="B59" s="4">
        <v>102.63</v>
      </c>
      <c r="C59" s="7">
        <v>5.5E-2</v>
      </c>
      <c r="D59" s="6">
        <v>39722</v>
      </c>
      <c r="E59" s="4">
        <f t="shared" si="1"/>
        <v>1.6054794520547946</v>
      </c>
      <c r="F59" s="7">
        <f t="shared" si="0"/>
        <v>3.7893851029977887E-2</v>
      </c>
      <c r="J59" s="7"/>
    </row>
    <row r="60" spans="1:10" x14ac:dyDescent="0.25">
      <c r="A60" s="2" t="s">
        <v>45</v>
      </c>
      <c r="B60" s="4">
        <v>99.48</v>
      </c>
      <c r="C60" s="7">
        <v>3.3750000000000002E-2</v>
      </c>
      <c r="D60" s="6">
        <v>39722</v>
      </c>
      <c r="E60" s="4">
        <f t="shared" si="1"/>
        <v>1.6054794520547946</v>
      </c>
      <c r="F60" s="7">
        <f t="shared" si="0"/>
        <v>3.7107777811056668E-2</v>
      </c>
      <c r="J60" s="7"/>
    </row>
    <row r="61" spans="1:10" x14ac:dyDescent="0.25">
      <c r="A61" s="2" t="s">
        <v>22</v>
      </c>
      <c r="B61" s="4">
        <v>103.65</v>
      </c>
      <c r="C61" s="7">
        <v>6.25E-2</v>
      </c>
      <c r="D61" s="6">
        <v>39736</v>
      </c>
      <c r="E61" s="4">
        <f t="shared" si="1"/>
        <v>1.6438356164383561</v>
      </c>
      <c r="F61" s="7">
        <f t="shared" si="0"/>
        <v>3.9264460631233629E-2</v>
      </c>
      <c r="J61" s="7"/>
    </row>
    <row r="62" spans="1:10" x14ac:dyDescent="0.25">
      <c r="A62" s="2" t="s">
        <v>22</v>
      </c>
      <c r="B62" s="4">
        <v>104.06</v>
      </c>
      <c r="C62" s="7">
        <v>6.3750000000000001E-2</v>
      </c>
      <c r="D62" s="6">
        <v>39736</v>
      </c>
      <c r="E62" s="4">
        <f t="shared" si="1"/>
        <v>1.6438356164383561</v>
      </c>
      <c r="F62" s="7">
        <f t="shared" si="0"/>
        <v>3.7944879667764692E-2</v>
      </c>
      <c r="J62" s="7"/>
    </row>
    <row r="63" spans="1:10" x14ac:dyDescent="0.25">
      <c r="A63" s="2" t="s">
        <v>46</v>
      </c>
      <c r="B63" s="4">
        <v>100.16</v>
      </c>
      <c r="C63" s="7">
        <v>0.04</v>
      </c>
      <c r="D63" s="6">
        <v>39736</v>
      </c>
      <c r="E63" s="4">
        <f t="shared" si="1"/>
        <v>1.6438356164383561</v>
      </c>
      <c r="F63" s="7">
        <f t="shared" si="0"/>
        <v>3.8958732992834075E-2</v>
      </c>
      <c r="J63" s="7"/>
    </row>
    <row r="64" spans="1:10" x14ac:dyDescent="0.25">
      <c r="A64" s="2" t="s">
        <v>8</v>
      </c>
      <c r="B64" s="4">
        <v>101.55</v>
      </c>
      <c r="C64" s="7">
        <v>4.8310000000000006E-2</v>
      </c>
      <c r="D64" s="6">
        <v>39748</v>
      </c>
      <c r="E64" s="4">
        <f t="shared" si="1"/>
        <v>1.6767123287671233</v>
      </c>
      <c r="F64" s="7">
        <f t="shared" si="0"/>
        <v>3.8621356297706515E-2</v>
      </c>
      <c r="J64" s="7"/>
    </row>
    <row r="65" spans="1:10" x14ac:dyDescent="0.25">
      <c r="A65" s="2" t="s">
        <v>47</v>
      </c>
      <c r="B65" s="4">
        <v>103.72</v>
      </c>
      <c r="C65" s="7">
        <v>6.25E-2</v>
      </c>
      <c r="D65" s="6">
        <v>39753</v>
      </c>
      <c r="E65" s="4">
        <f t="shared" si="1"/>
        <v>1.6904109589041096</v>
      </c>
      <c r="F65" s="7">
        <f t="shared" si="0"/>
        <v>3.9421725145880812E-2</v>
      </c>
      <c r="J65" s="7"/>
    </row>
    <row r="66" spans="1:10" x14ac:dyDescent="0.25">
      <c r="A66" s="2" t="s">
        <v>43</v>
      </c>
      <c r="B66" s="4">
        <v>103.45</v>
      </c>
      <c r="C66" s="7">
        <v>6.1249999999999999E-2</v>
      </c>
      <c r="D66" s="6">
        <v>39753</v>
      </c>
      <c r="E66" s="4">
        <f t="shared" si="1"/>
        <v>1.6904109589041096</v>
      </c>
      <c r="F66" s="7">
        <f t="shared" si="0"/>
        <v>3.9834599082071417E-2</v>
      </c>
      <c r="J66" s="7"/>
    </row>
    <row r="67" spans="1:10" x14ac:dyDescent="0.25">
      <c r="A67" s="2" t="s">
        <v>14</v>
      </c>
      <c r="B67" s="4">
        <v>103.91</v>
      </c>
      <c r="C67" s="7">
        <v>6.3750000000000001E-2</v>
      </c>
      <c r="D67" s="6">
        <v>39767</v>
      </c>
      <c r="E67" s="4">
        <f t="shared" si="1"/>
        <v>1.7287671232876711</v>
      </c>
      <c r="F67" s="7">
        <f t="shared" ref="F67:F130" si="2">YIELD(DATE(2007,2,23),D67,C67,B67,100,2,1)</f>
        <v>4.0002624132750041E-2</v>
      </c>
      <c r="J67" s="7"/>
    </row>
    <row r="68" spans="1:10" x14ac:dyDescent="0.25">
      <c r="A68" s="2" t="s">
        <v>13</v>
      </c>
      <c r="B68" s="4">
        <v>99.39</v>
      </c>
      <c r="C68" s="7">
        <v>3.5000000000000003E-2</v>
      </c>
      <c r="D68" s="6">
        <v>39797</v>
      </c>
      <c r="E68" s="4">
        <f t="shared" ref="E68:E131" si="3">(D68-DATE(2007,2,23))/365</f>
        <v>1.810958904109589</v>
      </c>
      <c r="F68" s="7">
        <f t="shared" si="2"/>
        <v>3.8502821586441041E-2</v>
      </c>
      <c r="J68" s="7"/>
    </row>
    <row r="69" spans="1:10" x14ac:dyDescent="0.25">
      <c r="A69" s="2" t="s">
        <v>18</v>
      </c>
      <c r="B69" s="4">
        <v>99.22</v>
      </c>
      <c r="C69" s="7">
        <v>3.6249999999999998E-2</v>
      </c>
      <c r="D69" s="6">
        <v>39828</v>
      </c>
      <c r="E69" s="4">
        <f t="shared" si="3"/>
        <v>1.8958904109589041</v>
      </c>
      <c r="F69" s="7">
        <f t="shared" si="2"/>
        <v>4.0556856535784079E-2</v>
      </c>
      <c r="J69" s="7"/>
    </row>
    <row r="70" spans="1:10" x14ac:dyDescent="0.25">
      <c r="A70" s="2" t="s">
        <v>48</v>
      </c>
      <c r="B70" s="4">
        <v>103.1</v>
      </c>
      <c r="C70" s="7">
        <v>5.7500000000000002E-2</v>
      </c>
      <c r="D70" s="6">
        <v>39828</v>
      </c>
      <c r="E70" s="4">
        <f t="shared" si="3"/>
        <v>1.8958904109589041</v>
      </c>
      <c r="F70" s="7">
        <f t="shared" si="2"/>
        <v>4.0293817620151662E-2</v>
      </c>
      <c r="J70" s="7"/>
    </row>
    <row r="71" spans="1:10" x14ac:dyDescent="0.25">
      <c r="A71" s="2" t="s">
        <v>25</v>
      </c>
      <c r="B71" s="4">
        <v>99.81</v>
      </c>
      <c r="C71" s="7">
        <v>3.875E-2</v>
      </c>
      <c r="D71" s="6">
        <v>39828</v>
      </c>
      <c r="E71" s="4">
        <f t="shared" si="3"/>
        <v>1.8958904109589041</v>
      </c>
      <c r="F71" s="7">
        <f t="shared" si="2"/>
        <v>3.9784475132608403E-2</v>
      </c>
      <c r="J71" s="7"/>
    </row>
    <row r="72" spans="1:10" x14ac:dyDescent="0.25">
      <c r="A72" s="2" t="s">
        <v>40</v>
      </c>
      <c r="B72" s="4">
        <v>99.74</v>
      </c>
      <c r="C72" s="7">
        <v>3.875E-2</v>
      </c>
      <c r="D72" s="6">
        <v>39828</v>
      </c>
      <c r="E72" s="4">
        <f t="shared" si="3"/>
        <v>1.8958904109589041</v>
      </c>
      <c r="F72" s="7">
        <f t="shared" si="2"/>
        <v>4.0172636504321069E-2</v>
      </c>
      <c r="J72" s="7"/>
    </row>
    <row r="73" spans="1:10" x14ac:dyDescent="0.25">
      <c r="A73" s="2" t="s">
        <v>41</v>
      </c>
      <c r="B73" s="4">
        <v>103.33</v>
      </c>
      <c r="C73" s="7">
        <v>5.8749999999999997E-2</v>
      </c>
      <c r="D73" s="6">
        <v>39845</v>
      </c>
      <c r="E73" s="4">
        <f t="shared" si="3"/>
        <v>1.9424657534246574</v>
      </c>
      <c r="F73" s="7">
        <f t="shared" si="2"/>
        <v>4.070051420337284E-2</v>
      </c>
      <c r="J73" s="7"/>
    </row>
    <row r="74" spans="1:10" x14ac:dyDescent="0.25">
      <c r="A74" s="2" t="s">
        <v>27</v>
      </c>
      <c r="B74" s="4">
        <v>99.34</v>
      </c>
      <c r="C74" s="7">
        <v>3.6249999999999998E-2</v>
      </c>
      <c r="D74" s="6">
        <v>39853</v>
      </c>
      <c r="E74" s="4">
        <f t="shared" si="3"/>
        <v>1.9643835616438357</v>
      </c>
      <c r="F74" s="7">
        <f t="shared" si="2"/>
        <v>3.9774571935755947E-2</v>
      </c>
      <c r="J74" s="7"/>
    </row>
    <row r="75" spans="1:10" x14ac:dyDescent="0.25">
      <c r="A75" s="2" t="s">
        <v>21</v>
      </c>
      <c r="B75" s="4">
        <v>103.44</v>
      </c>
      <c r="C75" s="7">
        <v>5.8749999999999997E-2</v>
      </c>
      <c r="D75" s="6">
        <v>39859</v>
      </c>
      <c r="E75" s="4">
        <f t="shared" si="3"/>
        <v>1.9808219178082191</v>
      </c>
      <c r="F75" s="7">
        <f t="shared" si="2"/>
        <v>4.0470571406875204E-2</v>
      </c>
      <c r="J75" s="7"/>
    </row>
    <row r="76" spans="1:10" x14ac:dyDescent="0.25">
      <c r="A76" s="2" t="s">
        <v>30</v>
      </c>
      <c r="B76" s="4">
        <v>99.1</v>
      </c>
      <c r="C76" s="7">
        <v>3.5000000000000003E-2</v>
      </c>
      <c r="D76" s="6">
        <v>39861</v>
      </c>
      <c r="E76" s="4">
        <f t="shared" si="3"/>
        <v>1.9863013698630136</v>
      </c>
      <c r="F76" s="7">
        <f t="shared" si="2"/>
        <v>3.9760900567963185E-2</v>
      </c>
      <c r="J76" s="7"/>
    </row>
    <row r="77" spans="1:10" x14ac:dyDescent="0.25">
      <c r="A77" s="2" t="s">
        <v>42</v>
      </c>
      <c r="B77" s="4">
        <v>98.78</v>
      </c>
      <c r="C77" s="7">
        <v>3.3750000000000002E-2</v>
      </c>
      <c r="D77" s="6">
        <v>39861</v>
      </c>
      <c r="E77" s="4">
        <f t="shared" si="3"/>
        <v>1.9863013698630136</v>
      </c>
      <c r="F77" s="7">
        <f t="shared" si="2"/>
        <v>4.0208255703376813E-2</v>
      </c>
      <c r="J77" s="7"/>
    </row>
    <row r="78" spans="1:10" x14ac:dyDescent="0.25">
      <c r="A78" s="2" t="s">
        <v>22</v>
      </c>
      <c r="B78" s="4">
        <v>103.64</v>
      </c>
      <c r="C78" s="7">
        <v>0.06</v>
      </c>
      <c r="D78" s="6">
        <v>39861</v>
      </c>
      <c r="E78" s="4">
        <f t="shared" si="3"/>
        <v>1.9863013698630136</v>
      </c>
      <c r="F78" s="7">
        <f t="shared" si="2"/>
        <v>4.0705945221318644E-2</v>
      </c>
      <c r="J78" s="7"/>
    </row>
    <row r="79" spans="1:10" x14ac:dyDescent="0.25">
      <c r="A79" s="2" t="s">
        <v>49</v>
      </c>
      <c r="B79" s="4">
        <v>99.28</v>
      </c>
      <c r="C79" s="7">
        <v>3.6249999999999998E-2</v>
      </c>
      <c r="D79" s="6">
        <v>39861</v>
      </c>
      <c r="E79" s="4">
        <f t="shared" si="3"/>
        <v>1.9863013698630136</v>
      </c>
      <c r="F79" s="7">
        <f t="shared" si="2"/>
        <v>4.0059381910011883E-2</v>
      </c>
      <c r="J79" s="7"/>
    </row>
    <row r="80" spans="1:10" x14ac:dyDescent="0.25">
      <c r="A80" s="2" t="s">
        <v>21</v>
      </c>
      <c r="B80" s="4">
        <v>105.74</v>
      </c>
      <c r="C80" s="7">
        <v>7.1249999999999994E-2</v>
      </c>
      <c r="D80" s="6">
        <v>39873</v>
      </c>
      <c r="E80" s="4">
        <f t="shared" si="3"/>
        <v>2.0191780821917806</v>
      </c>
      <c r="F80" s="7">
        <f t="shared" si="2"/>
        <v>4.1285816985445874E-2</v>
      </c>
      <c r="J80" s="7"/>
    </row>
    <row r="81" spans="1:10" x14ac:dyDescent="0.25">
      <c r="A81" s="2" t="s">
        <v>50</v>
      </c>
      <c r="B81" s="4">
        <v>105.16</v>
      </c>
      <c r="C81" s="7">
        <v>6.8750000000000006E-2</v>
      </c>
      <c r="D81" s="6">
        <v>39873</v>
      </c>
      <c r="E81" s="4">
        <f t="shared" si="3"/>
        <v>2.0191780821917806</v>
      </c>
      <c r="F81" s="7">
        <f t="shared" si="2"/>
        <v>4.1796301956217217E-2</v>
      </c>
      <c r="J81" s="7"/>
    </row>
    <row r="82" spans="1:10" x14ac:dyDescent="0.25">
      <c r="A82" s="2" t="s">
        <v>51</v>
      </c>
      <c r="B82" s="4">
        <v>103.27</v>
      </c>
      <c r="C82" s="7">
        <v>5.7500000000000002E-2</v>
      </c>
      <c r="D82" s="6">
        <v>39873</v>
      </c>
      <c r="E82" s="4">
        <f t="shared" si="3"/>
        <v>2.0191780821917806</v>
      </c>
      <c r="F82" s="7">
        <f t="shared" si="2"/>
        <v>4.0445952266998132E-2</v>
      </c>
      <c r="J82" s="7"/>
    </row>
    <row r="83" spans="1:10" x14ac:dyDescent="0.25">
      <c r="A83" s="2" t="s">
        <v>35</v>
      </c>
      <c r="B83" s="4">
        <v>98.77</v>
      </c>
      <c r="C83" s="7">
        <v>3.4000000000000002E-2</v>
      </c>
      <c r="D83" s="6">
        <v>39873</v>
      </c>
      <c r="E83" s="4">
        <f t="shared" si="3"/>
        <v>2.0191780821917806</v>
      </c>
      <c r="F83" s="7">
        <f t="shared" si="2"/>
        <v>4.040987819968437E-2</v>
      </c>
      <c r="J83" s="7"/>
    </row>
    <row r="84" spans="1:10" x14ac:dyDescent="0.25">
      <c r="A84" s="2" t="s">
        <v>27</v>
      </c>
      <c r="B84" s="4">
        <v>104.1</v>
      </c>
      <c r="C84" s="7">
        <v>6.2E-2</v>
      </c>
      <c r="D84" s="6">
        <v>39887</v>
      </c>
      <c r="E84" s="4">
        <f t="shared" si="3"/>
        <v>2.0575342465753423</v>
      </c>
      <c r="F84" s="7">
        <f t="shared" si="2"/>
        <v>4.0979761789358443E-2</v>
      </c>
      <c r="J84" s="7"/>
    </row>
    <row r="85" spans="1:10" x14ac:dyDescent="0.25">
      <c r="A85" s="2" t="s">
        <v>39</v>
      </c>
      <c r="B85" s="4">
        <v>103.42</v>
      </c>
      <c r="C85" s="7">
        <v>5.8749999999999997E-2</v>
      </c>
      <c r="D85" s="6">
        <v>39904</v>
      </c>
      <c r="E85" s="4">
        <f t="shared" si="3"/>
        <v>2.1041095890410957</v>
      </c>
      <c r="F85" s="7">
        <f t="shared" si="2"/>
        <v>4.1562979534048167E-2</v>
      </c>
      <c r="J85" s="7"/>
    </row>
    <row r="86" spans="1:10" x14ac:dyDescent="0.25">
      <c r="A86" s="2" t="s">
        <v>52</v>
      </c>
      <c r="B86" s="4">
        <v>103.66</v>
      </c>
      <c r="C86" s="7">
        <v>5.9000000000000004E-2</v>
      </c>
      <c r="D86" s="6">
        <v>39918</v>
      </c>
      <c r="E86" s="4">
        <f t="shared" si="3"/>
        <v>2.1424657534246574</v>
      </c>
      <c r="F86" s="7">
        <f t="shared" si="2"/>
        <v>4.0933988464132091E-2</v>
      </c>
      <c r="J86" s="7"/>
    </row>
    <row r="87" spans="1:10" x14ac:dyDescent="0.25">
      <c r="A87" s="2" t="s">
        <v>53</v>
      </c>
      <c r="B87" s="4">
        <v>99.52</v>
      </c>
      <c r="C87" s="7">
        <v>3.875E-2</v>
      </c>
      <c r="D87" s="6">
        <v>39937</v>
      </c>
      <c r="E87" s="4">
        <f t="shared" si="3"/>
        <v>2.1945205479452055</v>
      </c>
      <c r="F87" s="7">
        <f t="shared" si="2"/>
        <v>4.103826040342478E-2</v>
      </c>
      <c r="J87" s="7"/>
    </row>
    <row r="88" spans="1:10" x14ac:dyDescent="0.25">
      <c r="A88" s="2" t="s">
        <v>25</v>
      </c>
      <c r="B88" s="4">
        <v>105.06</v>
      </c>
      <c r="C88" s="7">
        <v>6.6500000000000004E-2</v>
      </c>
      <c r="D88" s="6">
        <v>39948</v>
      </c>
      <c r="E88" s="4">
        <f t="shared" si="3"/>
        <v>2.2246575342465755</v>
      </c>
      <c r="F88" s="7">
        <f t="shared" si="2"/>
        <v>4.2375701264227482E-2</v>
      </c>
      <c r="J88" s="7"/>
    </row>
    <row r="89" spans="1:10" x14ac:dyDescent="0.25">
      <c r="A89" s="2" t="s">
        <v>54</v>
      </c>
      <c r="B89" s="4">
        <v>100.73</v>
      </c>
      <c r="C89" s="7">
        <v>4.4999999999999998E-2</v>
      </c>
      <c r="D89" s="6">
        <v>39979</v>
      </c>
      <c r="E89" s="4">
        <f t="shared" si="3"/>
        <v>2.3095890410958906</v>
      </c>
      <c r="F89" s="7">
        <f t="shared" si="2"/>
        <v>4.1624372312548633E-2</v>
      </c>
      <c r="J89" s="7"/>
    </row>
    <row r="90" spans="1:10" x14ac:dyDescent="0.25">
      <c r="A90" s="2" t="s">
        <v>47</v>
      </c>
      <c r="B90" s="4">
        <v>109.36</v>
      </c>
      <c r="C90" s="7">
        <v>8.5500000000000007E-2</v>
      </c>
      <c r="D90" s="6">
        <v>40009</v>
      </c>
      <c r="E90" s="4">
        <f t="shared" si="3"/>
        <v>2.3917808219178083</v>
      </c>
      <c r="F90" s="7">
        <f t="shared" si="2"/>
        <v>4.3825520021362835E-2</v>
      </c>
      <c r="J90" s="7"/>
    </row>
    <row r="91" spans="1:10" x14ac:dyDescent="0.25">
      <c r="A91" s="2" t="s">
        <v>15</v>
      </c>
      <c r="B91" s="4">
        <v>98.5</v>
      </c>
      <c r="C91" s="7">
        <v>3.5499999999999997E-2</v>
      </c>
      <c r="D91" s="6">
        <v>40009</v>
      </c>
      <c r="E91" s="4">
        <f t="shared" si="3"/>
        <v>2.3917808219178083</v>
      </c>
      <c r="F91" s="7">
        <f t="shared" si="2"/>
        <v>4.2143514483918211E-2</v>
      </c>
      <c r="J91" s="7"/>
    </row>
    <row r="92" spans="1:10" x14ac:dyDescent="0.25">
      <c r="A92" s="2" t="s">
        <v>55</v>
      </c>
      <c r="B92" s="4">
        <v>105.81</v>
      </c>
      <c r="C92" s="7">
        <v>6.8499999999999991E-2</v>
      </c>
      <c r="D92" s="6">
        <v>40009</v>
      </c>
      <c r="E92" s="4">
        <f t="shared" si="3"/>
        <v>2.3917808219178083</v>
      </c>
      <c r="F92" s="7">
        <f t="shared" si="2"/>
        <v>4.266779475559157E-2</v>
      </c>
      <c r="J92" s="7"/>
    </row>
    <row r="93" spans="1:10" x14ac:dyDescent="0.25">
      <c r="A93" s="2" t="s">
        <v>56</v>
      </c>
      <c r="B93" s="4">
        <v>100.45</v>
      </c>
      <c r="C93" s="7">
        <v>4.3749999999999997E-2</v>
      </c>
      <c r="D93" s="6">
        <v>40024</v>
      </c>
      <c r="E93" s="4">
        <f t="shared" si="3"/>
        <v>2.4328767123287673</v>
      </c>
      <c r="F93" s="7">
        <f t="shared" si="2"/>
        <v>4.1774831021148991E-2</v>
      </c>
      <c r="J93" s="7"/>
    </row>
    <row r="94" spans="1:10" x14ac:dyDescent="0.25">
      <c r="A94" s="2" t="s">
        <v>47</v>
      </c>
      <c r="B94" s="4">
        <v>108.81</v>
      </c>
      <c r="C94" s="7">
        <v>8.1500000000000003E-2</v>
      </c>
      <c r="D94" s="6">
        <v>40026</v>
      </c>
      <c r="E94" s="4">
        <f t="shared" si="3"/>
        <v>2.4383561643835616</v>
      </c>
      <c r="F94" s="7">
        <f t="shared" si="2"/>
        <v>4.3045556083695855E-2</v>
      </c>
      <c r="J94" s="7"/>
    </row>
    <row r="95" spans="1:10" x14ac:dyDescent="0.25">
      <c r="A95" s="2" t="s">
        <v>45</v>
      </c>
      <c r="B95" s="4">
        <v>106.22</v>
      </c>
      <c r="C95" s="7">
        <v>6.8750000000000006E-2</v>
      </c>
      <c r="D95" s="6">
        <v>40035</v>
      </c>
      <c r="E95" s="4">
        <f t="shared" si="3"/>
        <v>2.463013698630137</v>
      </c>
      <c r="F95" s="7">
        <f t="shared" si="2"/>
        <v>4.1908088617958708E-2</v>
      </c>
      <c r="J95" s="7"/>
    </row>
    <row r="96" spans="1:10" x14ac:dyDescent="0.25">
      <c r="A96" s="2" t="s">
        <v>15</v>
      </c>
      <c r="B96" s="4">
        <v>98.58</v>
      </c>
      <c r="C96" s="7">
        <v>3.7499999999999999E-2</v>
      </c>
      <c r="D96" s="6">
        <v>40040</v>
      </c>
      <c r="E96" s="4">
        <f t="shared" si="3"/>
        <v>2.4767123287671233</v>
      </c>
      <c r="F96" s="7">
        <f t="shared" si="2"/>
        <v>4.3604346269241583E-2</v>
      </c>
      <c r="J96" s="7"/>
    </row>
    <row r="97" spans="1:10" x14ac:dyDescent="0.25">
      <c r="A97" s="2" t="s">
        <v>31</v>
      </c>
      <c r="B97" s="4">
        <v>99.07</v>
      </c>
      <c r="C97" s="7">
        <v>3.7999999999999999E-2</v>
      </c>
      <c r="D97" s="6">
        <v>40071</v>
      </c>
      <c r="E97" s="4">
        <f t="shared" si="3"/>
        <v>2.5616438356164384</v>
      </c>
      <c r="F97" s="7">
        <f t="shared" si="2"/>
        <v>4.1867566654163586E-2</v>
      </c>
      <c r="J97" s="7"/>
    </row>
    <row r="98" spans="1:10" x14ac:dyDescent="0.25">
      <c r="A98" s="2" t="s">
        <v>57</v>
      </c>
      <c r="B98" s="4">
        <v>99.27</v>
      </c>
      <c r="C98" s="7">
        <v>3.875E-2</v>
      </c>
      <c r="D98" s="6">
        <v>40071</v>
      </c>
      <c r="E98" s="4">
        <f t="shared" si="3"/>
        <v>2.5616438356164384</v>
      </c>
      <c r="F98" s="7">
        <f t="shared" si="2"/>
        <v>4.1783574529217903E-2</v>
      </c>
      <c r="J98" s="7"/>
    </row>
    <row r="99" spans="1:10" x14ac:dyDescent="0.25">
      <c r="A99" s="2" t="s">
        <v>7</v>
      </c>
      <c r="B99" s="4">
        <v>104.66</v>
      </c>
      <c r="C99" s="7">
        <v>6.3E-2</v>
      </c>
      <c r="D99" s="6">
        <v>40071</v>
      </c>
      <c r="E99" s="4">
        <f t="shared" si="3"/>
        <v>2.5616438356164384</v>
      </c>
      <c r="F99" s="7">
        <f t="shared" si="2"/>
        <v>4.3518791178657958E-2</v>
      </c>
      <c r="J99" s="7"/>
    </row>
    <row r="100" spans="1:10" x14ac:dyDescent="0.25">
      <c r="A100" s="2" t="s">
        <v>58</v>
      </c>
      <c r="B100" s="4">
        <v>111.55</v>
      </c>
      <c r="C100" s="7">
        <v>9.375E-2</v>
      </c>
      <c r="D100" s="6">
        <v>40071</v>
      </c>
      <c r="E100" s="4">
        <f t="shared" si="3"/>
        <v>2.5616438356164384</v>
      </c>
      <c r="F100" s="7">
        <f t="shared" si="2"/>
        <v>4.5347854265539576E-2</v>
      </c>
      <c r="J100" s="7"/>
    </row>
    <row r="101" spans="1:10" x14ac:dyDescent="0.25">
      <c r="A101" s="2" t="s">
        <v>25</v>
      </c>
      <c r="B101" s="4">
        <v>107.42</v>
      </c>
      <c r="C101" s="7">
        <v>7.3499999999999996E-2</v>
      </c>
      <c r="D101" s="6">
        <v>40087</v>
      </c>
      <c r="E101" s="4">
        <f t="shared" si="3"/>
        <v>2.6054794520547944</v>
      </c>
      <c r="F101" s="7">
        <f t="shared" si="2"/>
        <v>4.3022322911642895E-2</v>
      </c>
      <c r="J101" s="7"/>
    </row>
    <row r="102" spans="1:10" x14ac:dyDescent="0.25">
      <c r="A102" s="2" t="s">
        <v>59</v>
      </c>
      <c r="B102" s="4">
        <v>107.3</v>
      </c>
      <c r="C102" s="7">
        <v>7.3749999999999996E-2</v>
      </c>
      <c r="D102" s="6">
        <v>40087</v>
      </c>
      <c r="E102" s="4">
        <f t="shared" si="3"/>
        <v>2.6054794520547944</v>
      </c>
      <c r="F102" s="7">
        <f t="shared" si="2"/>
        <v>4.3732433599646271E-2</v>
      </c>
      <c r="J102" s="7"/>
    </row>
    <row r="103" spans="1:10" x14ac:dyDescent="0.25">
      <c r="A103" s="2" t="s">
        <v>60</v>
      </c>
      <c r="B103" s="4">
        <v>99.36</v>
      </c>
      <c r="C103" s="7">
        <v>0.04</v>
      </c>
      <c r="D103" s="6">
        <v>40093</v>
      </c>
      <c r="E103" s="4">
        <f t="shared" si="3"/>
        <v>2.6219178082191781</v>
      </c>
      <c r="F103" s="7">
        <f t="shared" si="2"/>
        <v>4.2593704416751504E-2</v>
      </c>
      <c r="J103" s="7"/>
    </row>
    <row r="104" spans="1:10" x14ac:dyDescent="0.25">
      <c r="A104" s="2" t="s">
        <v>9</v>
      </c>
      <c r="B104" s="4">
        <v>100.03</v>
      </c>
      <c r="C104" s="7">
        <v>4.3749999999999997E-2</v>
      </c>
      <c r="D104" s="6">
        <v>40118</v>
      </c>
      <c r="E104" s="4">
        <f t="shared" si="3"/>
        <v>2.6904109589041094</v>
      </c>
      <c r="F104" s="7">
        <f t="shared" si="2"/>
        <v>4.3608440363634246E-2</v>
      </c>
      <c r="J104" s="7"/>
    </row>
    <row r="105" spans="1:10" x14ac:dyDescent="0.25">
      <c r="A105" s="2" t="s">
        <v>25</v>
      </c>
      <c r="B105" s="4">
        <v>109.25</v>
      </c>
      <c r="C105" s="7">
        <v>7.8E-2</v>
      </c>
      <c r="D105" s="6">
        <v>40206</v>
      </c>
      <c r="E105" s="4">
        <f t="shared" si="3"/>
        <v>2.9315068493150687</v>
      </c>
      <c r="F105" s="7">
        <f t="shared" si="2"/>
        <v>4.3968569727645304E-2</v>
      </c>
      <c r="J105" s="7"/>
    </row>
    <row r="106" spans="1:10" x14ac:dyDescent="0.25">
      <c r="A106" s="2" t="s">
        <v>61</v>
      </c>
      <c r="B106" s="4">
        <v>99.71</v>
      </c>
      <c r="C106" s="7">
        <v>4.2500000000000003E-2</v>
      </c>
      <c r="D106" s="6">
        <v>40207</v>
      </c>
      <c r="E106" s="4">
        <f t="shared" si="3"/>
        <v>2.9342465753424656</v>
      </c>
      <c r="F106" s="7">
        <f t="shared" si="2"/>
        <v>4.3554684316939568E-2</v>
      </c>
      <c r="J106" s="7"/>
    </row>
    <row r="107" spans="1:10" x14ac:dyDescent="0.25">
      <c r="A107" s="2" t="s">
        <v>47</v>
      </c>
      <c r="B107" s="4">
        <v>110</v>
      </c>
      <c r="C107" s="7">
        <v>7.9500000000000001E-2</v>
      </c>
      <c r="D107" s="6">
        <v>40224</v>
      </c>
      <c r="E107" s="4">
        <f t="shared" si="3"/>
        <v>2.9808219178082194</v>
      </c>
      <c r="F107" s="7">
        <f t="shared" si="2"/>
        <v>4.3337320844330084E-2</v>
      </c>
      <c r="J107" s="7"/>
    </row>
    <row r="108" spans="1:10" x14ac:dyDescent="0.25">
      <c r="A108" s="2" t="s">
        <v>62</v>
      </c>
      <c r="B108" s="4">
        <v>99.53</v>
      </c>
      <c r="C108" s="7">
        <v>4.2500000000000003E-2</v>
      </c>
      <c r="D108" s="6">
        <v>40235</v>
      </c>
      <c r="E108" s="4">
        <f t="shared" si="3"/>
        <v>3.010958904109589</v>
      </c>
      <c r="F108" s="7">
        <f t="shared" si="2"/>
        <v>4.4184384224975226E-2</v>
      </c>
      <c r="J108" s="7"/>
    </row>
    <row r="109" spans="1:10" x14ac:dyDescent="0.25">
      <c r="A109" s="2" t="s">
        <v>63</v>
      </c>
      <c r="B109" s="4">
        <v>97.61</v>
      </c>
      <c r="C109" s="7">
        <v>3.6249999999999998E-2</v>
      </c>
      <c r="D109" s="6">
        <v>40252</v>
      </c>
      <c r="E109" s="4">
        <f t="shared" si="3"/>
        <v>3.0575342465753423</v>
      </c>
      <c r="F109" s="7">
        <f t="shared" si="2"/>
        <v>4.4698883656653338E-2</v>
      </c>
      <c r="J109" s="7"/>
    </row>
    <row r="110" spans="1:10" x14ac:dyDescent="0.25">
      <c r="A110" s="2" t="s">
        <v>64</v>
      </c>
      <c r="B110" s="4">
        <v>106.58</v>
      </c>
      <c r="C110" s="7">
        <v>6.6400000000000001E-2</v>
      </c>
      <c r="D110" s="6">
        <v>40282</v>
      </c>
      <c r="E110" s="4">
        <f t="shared" si="3"/>
        <v>3.1397260273972605</v>
      </c>
      <c r="F110" s="7">
        <f t="shared" si="2"/>
        <v>4.3703627848665307E-2</v>
      </c>
      <c r="J110" s="7"/>
    </row>
    <row r="111" spans="1:10" x14ac:dyDescent="0.25">
      <c r="A111" s="2" t="s">
        <v>15</v>
      </c>
      <c r="B111" s="4">
        <v>101.7</v>
      </c>
      <c r="C111" s="7">
        <v>0.05</v>
      </c>
      <c r="D111" s="6">
        <v>40283</v>
      </c>
      <c r="E111" s="4">
        <f t="shared" si="3"/>
        <v>3.1424657534246574</v>
      </c>
      <c r="F111" s="7">
        <f t="shared" si="2"/>
        <v>4.4124069891570881E-2</v>
      </c>
      <c r="J111" s="7"/>
    </row>
    <row r="112" spans="1:10" x14ac:dyDescent="0.25">
      <c r="A112" s="2" t="s">
        <v>65</v>
      </c>
      <c r="B112" s="4">
        <v>99.41</v>
      </c>
      <c r="C112" s="7">
        <v>4.2500000000000003E-2</v>
      </c>
      <c r="D112" s="6">
        <v>40313</v>
      </c>
      <c r="E112" s="4">
        <f t="shared" si="3"/>
        <v>3.2246575342465755</v>
      </c>
      <c r="F112" s="7">
        <f t="shared" si="2"/>
        <v>4.446526506336286E-2</v>
      </c>
      <c r="J112" s="7"/>
    </row>
    <row r="113" spans="1:10" x14ac:dyDescent="0.25">
      <c r="A113" s="2" t="s">
        <v>66</v>
      </c>
      <c r="B113" s="4">
        <v>106.21</v>
      </c>
      <c r="C113" s="7">
        <v>6.6000000000000003E-2</v>
      </c>
      <c r="D113" s="6">
        <v>40313</v>
      </c>
      <c r="E113" s="4">
        <f t="shared" si="3"/>
        <v>3.2246575342465755</v>
      </c>
      <c r="F113" s="7">
        <f t="shared" si="2"/>
        <v>4.5057445522540568E-2</v>
      </c>
      <c r="J113" s="7"/>
    </row>
    <row r="114" spans="1:10" x14ac:dyDescent="0.25">
      <c r="A114" s="2" t="s">
        <v>25</v>
      </c>
      <c r="B114" s="4">
        <v>100.19</v>
      </c>
      <c r="C114" s="7">
        <v>4.4999999999999998E-2</v>
      </c>
      <c r="D114" s="6">
        <v>40344</v>
      </c>
      <c r="E114" s="4">
        <f t="shared" si="3"/>
        <v>3.3095890410958906</v>
      </c>
      <c r="F114" s="7">
        <f t="shared" si="2"/>
        <v>4.4356912692802862E-2</v>
      </c>
      <c r="J114" s="7"/>
    </row>
    <row r="115" spans="1:10" x14ac:dyDescent="0.25">
      <c r="A115" s="2" t="s">
        <v>67</v>
      </c>
      <c r="B115" s="4">
        <v>109.31</v>
      </c>
      <c r="C115" s="7">
        <v>7.5499999999999998E-2</v>
      </c>
      <c r="D115" s="6">
        <v>40350</v>
      </c>
      <c r="E115" s="4">
        <f t="shared" si="3"/>
        <v>3.3260273972602739</v>
      </c>
      <c r="F115" s="7">
        <f t="shared" si="2"/>
        <v>4.500139197073099E-2</v>
      </c>
      <c r="J115" s="7"/>
    </row>
    <row r="116" spans="1:10" x14ac:dyDescent="0.25">
      <c r="A116" s="2" t="s">
        <v>27</v>
      </c>
      <c r="B116" s="4">
        <v>100.63</v>
      </c>
      <c r="C116" s="7">
        <v>4.6249999999999999E-2</v>
      </c>
      <c r="D116" s="6">
        <v>40393</v>
      </c>
      <c r="E116" s="4">
        <f t="shared" si="3"/>
        <v>3.4438356164383563</v>
      </c>
      <c r="F116" s="7">
        <f t="shared" si="2"/>
        <v>4.4250242063992772E-2</v>
      </c>
      <c r="J116" s="7"/>
    </row>
    <row r="117" spans="1:10" x14ac:dyDescent="0.25">
      <c r="A117" s="2" t="s">
        <v>29</v>
      </c>
      <c r="B117" s="4">
        <v>100.63</v>
      </c>
      <c r="C117" s="7">
        <v>4.6249999999999999E-2</v>
      </c>
      <c r="D117" s="6">
        <v>40399</v>
      </c>
      <c r="E117" s="4">
        <f t="shared" si="3"/>
        <v>3.4602739726027396</v>
      </c>
      <c r="F117" s="7">
        <f t="shared" si="2"/>
        <v>4.4261210838935902E-2</v>
      </c>
      <c r="J117" s="7"/>
    </row>
    <row r="118" spans="1:10" x14ac:dyDescent="0.25">
      <c r="A118" s="2" t="s">
        <v>68</v>
      </c>
      <c r="B118" s="4">
        <v>109.09</v>
      </c>
      <c r="C118" s="7">
        <v>7.4999999999999997E-2</v>
      </c>
      <c r="D118" s="6">
        <v>40401</v>
      </c>
      <c r="E118" s="4">
        <f t="shared" si="3"/>
        <v>3.4657534246575343</v>
      </c>
      <c r="F118" s="7">
        <f t="shared" si="2"/>
        <v>4.630908722147381E-2</v>
      </c>
      <c r="J118" s="7"/>
    </row>
    <row r="119" spans="1:10" x14ac:dyDescent="0.25">
      <c r="A119" s="2" t="s">
        <v>69</v>
      </c>
      <c r="B119" s="4">
        <v>100.25</v>
      </c>
      <c r="C119" s="7">
        <v>4.6249999999999999E-2</v>
      </c>
      <c r="D119" s="6">
        <v>40405</v>
      </c>
      <c r="E119" s="4">
        <f t="shared" si="3"/>
        <v>3.4767123287671233</v>
      </c>
      <c r="F119" s="7">
        <f t="shared" si="2"/>
        <v>4.5461292983114014E-2</v>
      </c>
      <c r="J119" s="7"/>
    </row>
    <row r="120" spans="1:10" x14ac:dyDescent="0.25">
      <c r="A120" s="2" t="s">
        <v>70</v>
      </c>
      <c r="B120" s="4">
        <v>110.33</v>
      </c>
      <c r="C120" s="7">
        <v>7.8E-2</v>
      </c>
      <c r="D120" s="6">
        <v>40408</v>
      </c>
      <c r="E120" s="4">
        <f t="shared" si="3"/>
        <v>3.484931506849315</v>
      </c>
      <c r="F120" s="7">
        <f t="shared" si="2"/>
        <v>4.5610970466332647E-2</v>
      </c>
      <c r="J120" s="7"/>
    </row>
    <row r="121" spans="1:10" x14ac:dyDescent="0.25">
      <c r="A121" s="2" t="s">
        <v>71</v>
      </c>
      <c r="B121" s="4">
        <v>100.41</v>
      </c>
      <c r="C121" s="7">
        <v>4.6249999999999999E-2</v>
      </c>
      <c r="D121" s="6">
        <v>40436</v>
      </c>
      <c r="E121" s="4">
        <f t="shared" si="3"/>
        <v>3.5616438356164384</v>
      </c>
      <c r="F121" s="7">
        <f t="shared" si="2"/>
        <v>4.4981418552571095E-2</v>
      </c>
      <c r="J121" s="7"/>
    </row>
    <row r="122" spans="1:10" x14ac:dyDescent="0.25">
      <c r="A122" s="2" t="s">
        <v>42</v>
      </c>
      <c r="B122" s="4">
        <v>99.36</v>
      </c>
      <c r="C122" s="7">
        <v>4.2500000000000003E-2</v>
      </c>
      <c r="D122" s="6">
        <v>40452</v>
      </c>
      <c r="E122" s="4">
        <f t="shared" si="3"/>
        <v>3.6054794520547944</v>
      </c>
      <c r="F122" s="7">
        <f t="shared" si="2"/>
        <v>4.4431056498840889E-2</v>
      </c>
      <c r="J122" s="7"/>
    </row>
    <row r="123" spans="1:10" ht="12.75" customHeight="1" x14ac:dyDescent="0.25">
      <c r="A123" s="2" t="s">
        <v>27</v>
      </c>
      <c r="B123" s="4">
        <v>108.77</v>
      </c>
      <c r="C123" s="7">
        <v>7.2499999999999995E-2</v>
      </c>
      <c r="D123" s="6">
        <v>40452</v>
      </c>
      <c r="E123" s="4">
        <f t="shared" si="3"/>
        <v>3.6054794520547944</v>
      </c>
      <c r="F123" s="7">
        <f t="shared" si="2"/>
        <v>4.5789657242967484E-2</v>
      </c>
      <c r="J123" s="7"/>
    </row>
    <row r="124" spans="1:10" x14ac:dyDescent="0.25">
      <c r="A124" s="2" t="s">
        <v>8</v>
      </c>
      <c r="B124" s="4">
        <v>100.04</v>
      </c>
      <c r="C124" s="7">
        <v>4.4999999999999998E-2</v>
      </c>
      <c r="D124" s="6">
        <v>40486</v>
      </c>
      <c r="E124" s="4">
        <f t="shared" si="3"/>
        <v>3.6986301369863015</v>
      </c>
      <c r="F124" s="7">
        <f t="shared" si="2"/>
        <v>4.4863686024251594E-2</v>
      </c>
      <c r="J124" s="7"/>
    </row>
    <row r="125" spans="1:10" x14ac:dyDescent="0.25">
      <c r="A125" s="2" t="s">
        <v>71</v>
      </c>
      <c r="B125" s="4">
        <v>102.22</v>
      </c>
      <c r="C125" s="7">
        <v>5.2499999999999998E-2</v>
      </c>
      <c r="D125" s="6">
        <v>40557</v>
      </c>
      <c r="E125" s="4">
        <f t="shared" si="3"/>
        <v>3.893150684931507</v>
      </c>
      <c r="F125" s="7">
        <f t="shared" si="2"/>
        <v>4.6184258072613386E-2</v>
      </c>
      <c r="J125" s="7"/>
    </row>
    <row r="126" spans="1:10" x14ac:dyDescent="0.25">
      <c r="A126" s="2" t="s">
        <v>42</v>
      </c>
      <c r="B126" s="4">
        <v>109.86</v>
      </c>
      <c r="C126" s="7">
        <v>7.400000000000001E-2</v>
      </c>
      <c r="D126" s="6">
        <v>40558</v>
      </c>
      <c r="E126" s="4">
        <f t="shared" si="3"/>
        <v>3.8958904109589043</v>
      </c>
      <c r="F126" s="7">
        <f t="shared" si="2"/>
        <v>4.6021435569763756E-2</v>
      </c>
      <c r="J126" s="7"/>
    </row>
    <row r="127" spans="1:10" x14ac:dyDescent="0.25">
      <c r="A127" s="2" t="s">
        <v>25</v>
      </c>
      <c r="B127" s="4">
        <v>108.07</v>
      </c>
      <c r="C127" s="7">
        <v>6.8750000000000006E-2</v>
      </c>
      <c r="D127" s="6">
        <v>40558</v>
      </c>
      <c r="E127" s="4">
        <f t="shared" si="3"/>
        <v>3.8958904109589043</v>
      </c>
      <c r="F127" s="7">
        <f t="shared" si="2"/>
        <v>4.5856450288595002E-2</v>
      </c>
      <c r="J127" s="7"/>
    </row>
    <row r="128" spans="1:10" x14ac:dyDescent="0.25">
      <c r="A128" s="2" t="s">
        <v>67</v>
      </c>
      <c r="B128" s="4">
        <v>106.54</v>
      </c>
      <c r="C128" s="7">
        <v>6.4500000000000002E-2</v>
      </c>
      <c r="D128" s="6">
        <v>40575</v>
      </c>
      <c r="E128" s="4">
        <f t="shared" si="3"/>
        <v>3.9424657534246577</v>
      </c>
      <c r="F128" s="7">
        <f t="shared" si="2"/>
        <v>4.6141976066943986E-2</v>
      </c>
      <c r="J128" s="7"/>
    </row>
    <row r="129" spans="1:10" x14ac:dyDescent="0.25">
      <c r="A129" s="2" t="s">
        <v>72</v>
      </c>
      <c r="B129" s="4">
        <v>102.52</v>
      </c>
      <c r="C129" s="7">
        <v>5.2499999999999998E-2</v>
      </c>
      <c r="D129" s="6">
        <v>40604</v>
      </c>
      <c r="E129" s="4">
        <f t="shared" si="3"/>
        <v>4.021917808219178</v>
      </c>
      <c r="F129" s="7">
        <f t="shared" si="2"/>
        <v>4.5564691050712737E-2</v>
      </c>
      <c r="J129" s="7"/>
    </row>
    <row r="130" spans="1:10" x14ac:dyDescent="0.25">
      <c r="A130" s="2" t="s">
        <v>71</v>
      </c>
      <c r="B130" s="4">
        <v>107.84</v>
      </c>
      <c r="C130" s="7">
        <v>6.7500000000000004E-2</v>
      </c>
      <c r="D130" s="6">
        <v>40678</v>
      </c>
      <c r="E130" s="4">
        <f t="shared" si="3"/>
        <v>4.2246575342465755</v>
      </c>
      <c r="F130" s="7">
        <f t="shared" si="2"/>
        <v>4.6802167275583534E-2</v>
      </c>
      <c r="J130" s="7"/>
    </row>
    <row r="131" spans="1:10" x14ac:dyDescent="0.25">
      <c r="A131" s="2" t="s">
        <v>73</v>
      </c>
      <c r="B131" s="4">
        <v>108.19</v>
      </c>
      <c r="C131" s="7">
        <v>6.8750000000000006E-2</v>
      </c>
      <c r="D131" s="6">
        <v>40678</v>
      </c>
      <c r="E131" s="4">
        <f t="shared" si="3"/>
        <v>4.2246575342465755</v>
      </c>
      <c r="F131" s="7">
        <f t="shared" ref="F131:F194" si="4">YIELD(DATE(2007,2,23),D131,C131,B131,100,2,1)</f>
        <v>4.7113556451317005E-2</v>
      </c>
      <c r="J131" s="7"/>
    </row>
    <row r="132" spans="1:10" x14ac:dyDescent="0.25">
      <c r="A132" s="2" t="s">
        <v>71</v>
      </c>
      <c r="B132" s="4">
        <v>103.97</v>
      </c>
      <c r="C132" s="7">
        <v>5.7000000000000002E-2</v>
      </c>
      <c r="D132" s="6">
        <v>40695</v>
      </c>
      <c r="E132" s="4">
        <f t="shared" ref="E132:E195" si="5">(D132-DATE(2007,2,23))/365</f>
        <v>4.2712328767123289</v>
      </c>
      <c r="F132" s="7">
        <f t="shared" si="4"/>
        <v>4.6616005017645644E-2</v>
      </c>
      <c r="J132" s="7"/>
    </row>
    <row r="133" spans="1:10" x14ac:dyDescent="0.25">
      <c r="A133" s="2" t="s">
        <v>34</v>
      </c>
      <c r="B133" s="4">
        <v>100.37</v>
      </c>
      <c r="C133" s="7">
        <v>4.8000000000000001E-2</v>
      </c>
      <c r="D133" s="6">
        <v>40708</v>
      </c>
      <c r="E133" s="4">
        <f t="shared" si="5"/>
        <v>4.3068493150684928</v>
      </c>
      <c r="F133" s="7">
        <f t="shared" si="4"/>
        <v>4.7023375753667183E-2</v>
      </c>
      <c r="J133" s="7"/>
    </row>
    <row r="134" spans="1:10" x14ac:dyDescent="0.25">
      <c r="A134" s="2" t="s">
        <v>10</v>
      </c>
      <c r="B134" s="4">
        <v>103.19</v>
      </c>
      <c r="C134" s="7">
        <v>5.5999999999999994E-2</v>
      </c>
      <c r="D134" s="6">
        <v>40709</v>
      </c>
      <c r="E134" s="4">
        <f t="shared" si="5"/>
        <v>4.3095890410958901</v>
      </c>
      <c r="F134" s="7">
        <f t="shared" si="4"/>
        <v>4.7699883390351014E-2</v>
      </c>
      <c r="J134" s="7"/>
    </row>
    <row r="135" spans="1:10" x14ac:dyDescent="0.25">
      <c r="A135" s="2" t="s">
        <v>7</v>
      </c>
      <c r="B135" s="4">
        <v>107.03</v>
      </c>
      <c r="C135" s="7">
        <v>6.6000000000000003E-2</v>
      </c>
      <c r="D135" s="6">
        <v>40709</v>
      </c>
      <c r="E135" s="4">
        <f t="shared" si="5"/>
        <v>4.3095890410958901</v>
      </c>
      <c r="F135" s="7">
        <f t="shared" si="4"/>
        <v>4.7728095856971131E-2</v>
      </c>
      <c r="J135" s="7"/>
    </row>
    <row r="136" spans="1:10" x14ac:dyDescent="0.25">
      <c r="A136" s="2" t="s">
        <v>74</v>
      </c>
      <c r="B136" s="4">
        <v>99.15</v>
      </c>
      <c r="C136" s="7">
        <v>4.4999999999999998E-2</v>
      </c>
      <c r="D136" s="6">
        <v>40739</v>
      </c>
      <c r="E136" s="4">
        <f t="shared" si="5"/>
        <v>4.3917808219178083</v>
      </c>
      <c r="F136" s="7">
        <f t="shared" si="4"/>
        <v>4.7153917935003807E-2</v>
      </c>
      <c r="J136" s="7"/>
    </row>
    <row r="137" spans="1:10" x14ac:dyDescent="0.25">
      <c r="A137" s="2" t="s">
        <v>75</v>
      </c>
      <c r="B137" s="4">
        <v>106.96</v>
      </c>
      <c r="C137" s="7">
        <v>6.3750000000000001E-2</v>
      </c>
      <c r="D137" s="6">
        <v>40756</v>
      </c>
      <c r="E137" s="4">
        <f t="shared" si="5"/>
        <v>4.4383561643835616</v>
      </c>
      <c r="F137" s="7">
        <f t="shared" si="4"/>
        <v>4.6218619516425016E-2</v>
      </c>
      <c r="J137" s="7"/>
    </row>
    <row r="138" spans="1:10" x14ac:dyDescent="0.25">
      <c r="A138" s="2" t="s">
        <v>29</v>
      </c>
      <c r="B138" s="4">
        <v>106.84</v>
      </c>
      <c r="C138" s="7">
        <v>6.3750000000000001E-2</v>
      </c>
      <c r="D138" s="6">
        <v>40756</v>
      </c>
      <c r="E138" s="4">
        <f t="shared" si="5"/>
        <v>4.4383561643835616</v>
      </c>
      <c r="F138" s="7">
        <f t="shared" si="4"/>
        <v>4.6508941809055349E-2</v>
      </c>
      <c r="J138" s="7"/>
    </row>
    <row r="139" spans="1:10" x14ac:dyDescent="0.25">
      <c r="A139" s="2" t="s">
        <v>29</v>
      </c>
      <c r="B139" s="4">
        <v>102.78</v>
      </c>
      <c r="C139" s="7">
        <v>5.2999999999999999E-2</v>
      </c>
      <c r="D139" s="6">
        <v>40781</v>
      </c>
      <c r="E139" s="4">
        <f t="shared" si="5"/>
        <v>4.506849315068493</v>
      </c>
      <c r="F139" s="7">
        <f t="shared" si="4"/>
        <v>4.609869037561843E-2</v>
      </c>
      <c r="J139" s="7"/>
    </row>
    <row r="140" spans="1:10" x14ac:dyDescent="0.25">
      <c r="A140" s="2" t="s">
        <v>27</v>
      </c>
      <c r="B140" s="4">
        <v>101.82</v>
      </c>
      <c r="C140" s="7">
        <v>5.0999999999999997E-2</v>
      </c>
      <c r="D140" s="6">
        <v>40815</v>
      </c>
      <c r="E140" s="4">
        <f t="shared" si="5"/>
        <v>4.5999999999999996</v>
      </c>
      <c r="F140" s="7">
        <f t="shared" si="4"/>
        <v>4.6542915725816252E-2</v>
      </c>
      <c r="J140" s="7"/>
    </row>
    <row r="141" spans="1:10" x14ac:dyDescent="0.25">
      <c r="A141" s="2" t="s">
        <v>21</v>
      </c>
      <c r="B141" s="4">
        <v>109.79</v>
      </c>
      <c r="C141" s="7">
        <v>7.1249999999999994E-2</v>
      </c>
      <c r="D141" s="6">
        <v>40831</v>
      </c>
      <c r="E141" s="4">
        <f t="shared" si="5"/>
        <v>4.6438356164383565</v>
      </c>
      <c r="F141" s="7">
        <f t="shared" si="4"/>
        <v>4.7473373909136064E-2</v>
      </c>
      <c r="J141" s="7"/>
    </row>
    <row r="142" spans="1:10" x14ac:dyDescent="0.25">
      <c r="A142" s="2" t="s">
        <v>76</v>
      </c>
      <c r="B142" s="4">
        <v>110.47</v>
      </c>
      <c r="C142" s="7">
        <v>7.2499999999999995E-2</v>
      </c>
      <c r="D142" s="6">
        <v>40831</v>
      </c>
      <c r="E142" s="4">
        <f t="shared" si="5"/>
        <v>4.6438356164383565</v>
      </c>
      <c r="F142" s="7">
        <f t="shared" si="4"/>
        <v>4.7096389708714555E-2</v>
      </c>
      <c r="J142" s="7"/>
    </row>
    <row r="143" spans="1:10" x14ac:dyDescent="0.25">
      <c r="A143" s="2" t="s">
        <v>41</v>
      </c>
      <c r="B143" s="4">
        <v>106.73</v>
      </c>
      <c r="C143" s="7">
        <v>6.3750000000000001E-2</v>
      </c>
      <c r="D143" s="6">
        <v>40831</v>
      </c>
      <c r="E143" s="4">
        <f t="shared" si="5"/>
        <v>4.6438356164383565</v>
      </c>
      <c r="F143" s="7">
        <f t="shared" si="4"/>
        <v>4.7403636778882353E-2</v>
      </c>
      <c r="J143" s="7"/>
    </row>
    <row r="144" spans="1:10" x14ac:dyDescent="0.25">
      <c r="A144" s="2" t="s">
        <v>7</v>
      </c>
      <c r="B144" s="4">
        <v>105.43</v>
      </c>
      <c r="C144" s="7">
        <v>6.0499999999999998E-2</v>
      </c>
      <c r="D144" s="6">
        <v>40831</v>
      </c>
      <c r="E144" s="4">
        <f t="shared" si="5"/>
        <v>4.6438356164383565</v>
      </c>
      <c r="F144" s="7">
        <f t="shared" si="4"/>
        <v>4.7311562884422231E-2</v>
      </c>
      <c r="J144" s="7"/>
    </row>
    <row r="145" spans="1:10" x14ac:dyDescent="0.25">
      <c r="A145" s="2" t="s">
        <v>49</v>
      </c>
      <c r="B145" s="4">
        <v>102.59</v>
      </c>
      <c r="C145" s="7">
        <v>5.2999999999999999E-2</v>
      </c>
      <c r="D145" s="6">
        <v>40831</v>
      </c>
      <c r="E145" s="4">
        <f t="shared" si="5"/>
        <v>4.6438356164383565</v>
      </c>
      <c r="F145" s="7">
        <f t="shared" si="4"/>
        <v>4.6711830452123258E-2</v>
      </c>
      <c r="J145" s="7"/>
    </row>
    <row r="146" spans="1:10" x14ac:dyDescent="0.25">
      <c r="A146" s="2" t="s">
        <v>72</v>
      </c>
      <c r="B146" s="4">
        <v>105.96</v>
      </c>
      <c r="C146" s="7">
        <v>6.1249999999999999E-2</v>
      </c>
      <c r="D146" s="6">
        <v>40862</v>
      </c>
      <c r="E146" s="4">
        <f t="shared" si="5"/>
        <v>4.7287671232876711</v>
      </c>
      <c r="F146" s="7">
        <f t="shared" si="4"/>
        <v>4.7012048154441148E-2</v>
      </c>
      <c r="J146" s="7"/>
    </row>
    <row r="147" spans="1:10" x14ac:dyDescent="0.25">
      <c r="A147" s="2" t="s">
        <v>7</v>
      </c>
      <c r="B147" s="4">
        <v>105.06</v>
      </c>
      <c r="C147" s="7">
        <v>6.0999999999999999E-2</v>
      </c>
      <c r="D147" s="6">
        <v>40862</v>
      </c>
      <c r="E147" s="4">
        <f t="shared" si="5"/>
        <v>4.7287671232876711</v>
      </c>
      <c r="F147" s="7">
        <f t="shared" si="4"/>
        <v>4.885316244268962E-2</v>
      </c>
      <c r="J147" s="7"/>
    </row>
    <row r="148" spans="1:10" x14ac:dyDescent="0.25">
      <c r="A148" s="2" t="s">
        <v>40</v>
      </c>
      <c r="B148" s="4">
        <v>103.65</v>
      </c>
      <c r="C148" s="7">
        <v>5.6250000000000001E-2</v>
      </c>
      <c r="D148" s="6">
        <v>40917</v>
      </c>
      <c r="E148" s="4">
        <f t="shared" si="5"/>
        <v>4.8794520547945206</v>
      </c>
      <c r="F148" s="7">
        <f t="shared" si="4"/>
        <v>4.7755549623157152E-2</v>
      </c>
      <c r="J148" s="7"/>
    </row>
    <row r="149" spans="1:10" x14ac:dyDescent="0.25">
      <c r="A149" s="2" t="s">
        <v>72</v>
      </c>
      <c r="B149" s="4">
        <v>107.6</v>
      </c>
      <c r="C149" s="7">
        <v>6.5000000000000002E-2</v>
      </c>
      <c r="D149" s="6">
        <v>40923</v>
      </c>
      <c r="E149" s="4">
        <f t="shared" si="5"/>
        <v>4.8958904109589039</v>
      </c>
      <c r="F149" s="7">
        <f t="shared" si="4"/>
        <v>4.7397231544059525E-2</v>
      </c>
      <c r="J149" s="7"/>
    </row>
    <row r="150" spans="1:10" x14ac:dyDescent="0.25">
      <c r="A150" s="2" t="s">
        <v>25</v>
      </c>
      <c r="B150" s="4">
        <v>107.89</v>
      </c>
      <c r="C150" s="7">
        <v>6.6000000000000003E-2</v>
      </c>
      <c r="D150" s="6">
        <v>40923</v>
      </c>
      <c r="E150" s="4">
        <f t="shared" si="5"/>
        <v>4.8958904109589039</v>
      </c>
      <c r="F150" s="7">
        <f t="shared" si="4"/>
        <v>4.7711190870574939E-2</v>
      </c>
      <c r="J150" s="7"/>
    </row>
    <row r="151" spans="1:10" x14ac:dyDescent="0.25">
      <c r="A151" s="2" t="s">
        <v>25</v>
      </c>
      <c r="B151" s="4">
        <v>102.24</v>
      </c>
      <c r="C151" s="7">
        <v>5.2999999999999999E-2</v>
      </c>
      <c r="D151" s="6">
        <v>40953</v>
      </c>
      <c r="E151" s="4">
        <f t="shared" si="5"/>
        <v>4.978082191780822</v>
      </c>
      <c r="F151" s="7">
        <f t="shared" si="4"/>
        <v>4.788324323312243E-2</v>
      </c>
      <c r="J151" s="7"/>
    </row>
    <row r="152" spans="1:10" x14ac:dyDescent="0.25">
      <c r="A152" s="2" t="s">
        <v>77</v>
      </c>
      <c r="B152" s="4">
        <v>105.35</v>
      </c>
      <c r="C152" s="7">
        <v>0.06</v>
      </c>
      <c r="D152" s="6">
        <v>40954</v>
      </c>
      <c r="E152" s="4">
        <f t="shared" si="5"/>
        <v>4.9808219178082194</v>
      </c>
      <c r="F152" s="7">
        <f t="shared" si="4"/>
        <v>4.7792684061452352E-2</v>
      </c>
      <c r="J152" s="7"/>
    </row>
    <row r="153" spans="1:10" x14ac:dyDescent="0.25">
      <c r="A153" s="2" t="s">
        <v>27</v>
      </c>
      <c r="B153" s="4">
        <v>102.37</v>
      </c>
      <c r="C153" s="7">
        <v>5.2499999999999998E-2</v>
      </c>
      <c r="D153" s="6">
        <v>40966</v>
      </c>
      <c r="E153" s="4">
        <f t="shared" si="5"/>
        <v>5.0136986301369859</v>
      </c>
      <c r="F153" s="7">
        <f t="shared" si="4"/>
        <v>4.7133052313754427E-2</v>
      </c>
      <c r="J153" s="7"/>
    </row>
    <row r="154" spans="1:10" x14ac:dyDescent="0.25">
      <c r="A154" s="2" t="s">
        <v>78</v>
      </c>
      <c r="B154" s="4">
        <v>112.2</v>
      </c>
      <c r="C154" s="7">
        <v>7.4999999999999997E-2</v>
      </c>
      <c r="D154" s="6">
        <v>40983</v>
      </c>
      <c r="E154" s="4">
        <f t="shared" si="5"/>
        <v>5.0602739726027401</v>
      </c>
      <c r="F154" s="7">
        <f t="shared" si="4"/>
        <v>4.7555458461010669E-2</v>
      </c>
      <c r="J154" s="7"/>
    </row>
    <row r="155" spans="1:10" x14ac:dyDescent="0.25">
      <c r="A155" s="2" t="s">
        <v>79</v>
      </c>
      <c r="B155" s="4">
        <v>106.19</v>
      </c>
      <c r="C155" s="7">
        <v>5.9800000000000006E-2</v>
      </c>
      <c r="D155" s="6">
        <v>41024</v>
      </c>
      <c r="E155" s="4">
        <f t="shared" si="5"/>
        <v>5.1726027397260275</v>
      </c>
      <c r="F155" s="7">
        <f t="shared" si="4"/>
        <v>4.6181506783168173E-2</v>
      </c>
      <c r="J155" s="7"/>
    </row>
    <row r="156" spans="1:10" x14ac:dyDescent="0.25">
      <c r="A156" s="2" t="s">
        <v>80</v>
      </c>
      <c r="B156" s="4">
        <v>99.37</v>
      </c>
      <c r="C156" s="7">
        <v>4.6249999999999999E-2</v>
      </c>
      <c r="D156" s="6">
        <v>41228</v>
      </c>
      <c r="E156" s="4">
        <f t="shared" si="5"/>
        <v>5.7315068493150685</v>
      </c>
      <c r="F156" s="7">
        <f t="shared" si="4"/>
        <v>4.7506502241761402E-2</v>
      </c>
      <c r="J156" s="7"/>
    </row>
    <row r="157" spans="1:10" x14ac:dyDescent="0.25">
      <c r="A157" s="2" t="s">
        <v>42</v>
      </c>
      <c r="B157" s="4">
        <v>100.65</v>
      </c>
      <c r="C157" s="7">
        <v>4.8750000000000002E-2</v>
      </c>
      <c r="D157" s="6">
        <v>41289</v>
      </c>
      <c r="E157" s="4">
        <f t="shared" si="5"/>
        <v>5.8986301369863012</v>
      </c>
      <c r="F157" s="7">
        <f t="shared" si="4"/>
        <v>4.7462992925063244E-2</v>
      </c>
      <c r="J157" s="7"/>
    </row>
    <row r="158" spans="1:10" x14ac:dyDescent="0.25">
      <c r="A158" s="2" t="s">
        <v>81</v>
      </c>
      <c r="B158" s="4">
        <v>98.06</v>
      </c>
      <c r="C158" s="7">
        <v>4.3749999999999997E-2</v>
      </c>
      <c r="D158" s="6">
        <v>41320</v>
      </c>
      <c r="E158" s="4">
        <f t="shared" si="5"/>
        <v>5.9835616438356167</v>
      </c>
      <c r="F158" s="7">
        <f t="shared" si="4"/>
        <v>4.7514006598058045E-2</v>
      </c>
      <c r="J158" s="7"/>
    </row>
    <row r="159" spans="1:10" x14ac:dyDescent="0.25">
      <c r="A159" s="2" t="s">
        <v>40</v>
      </c>
      <c r="B159" s="4">
        <v>101.98</v>
      </c>
      <c r="C159" s="7">
        <v>5.2999999999999999E-2</v>
      </c>
      <c r="D159" s="6">
        <v>41334</v>
      </c>
      <c r="E159" s="4">
        <f t="shared" si="5"/>
        <v>6.021917808219178</v>
      </c>
      <c r="F159" s="7">
        <f t="shared" si="4"/>
        <v>4.9156490460982749E-2</v>
      </c>
      <c r="J159" s="7"/>
    </row>
    <row r="160" spans="1:10" x14ac:dyDescent="0.25">
      <c r="A160" s="2" t="s">
        <v>25</v>
      </c>
      <c r="B160" s="4">
        <v>101.98</v>
      </c>
      <c r="C160" s="7">
        <v>5.2499999999999998E-2</v>
      </c>
      <c r="D160" s="6">
        <v>41365</v>
      </c>
      <c r="E160" s="4">
        <f t="shared" si="5"/>
        <v>6.1068493150684935</v>
      </c>
      <c r="F160" s="7">
        <f t="shared" si="4"/>
        <v>4.8700123422846291E-2</v>
      </c>
      <c r="J160" s="7"/>
    </row>
    <row r="161" spans="1:10" x14ac:dyDescent="0.25">
      <c r="A161" s="2" t="s">
        <v>45</v>
      </c>
      <c r="B161" s="4">
        <v>98.64</v>
      </c>
      <c r="C161" s="7">
        <v>4.5499999999999999E-2</v>
      </c>
      <c r="D161" s="6">
        <v>41395</v>
      </c>
      <c r="E161" s="4">
        <f t="shared" si="5"/>
        <v>6.1890410958904107</v>
      </c>
      <c r="F161" s="7">
        <f t="shared" si="4"/>
        <v>4.8056004047416091E-2</v>
      </c>
      <c r="J161" s="7"/>
    </row>
    <row r="162" spans="1:10" x14ac:dyDescent="0.25">
      <c r="A162" s="2" t="s">
        <v>77</v>
      </c>
      <c r="B162" s="4">
        <v>93.38</v>
      </c>
      <c r="C162" s="7">
        <v>4.0999999999999995E-2</v>
      </c>
      <c r="D162" s="6">
        <v>41409</v>
      </c>
      <c r="E162" s="4">
        <f t="shared" si="5"/>
        <v>6.2273972602739729</v>
      </c>
      <c r="F162" s="7">
        <f t="shared" si="4"/>
        <v>5.3638586529186939E-2</v>
      </c>
      <c r="J162" s="7"/>
    </row>
    <row r="163" spans="1:10" x14ac:dyDescent="0.25">
      <c r="A163" s="2" t="s">
        <v>82</v>
      </c>
      <c r="B163" s="4">
        <v>95.49</v>
      </c>
      <c r="C163" s="7">
        <v>4.2500000000000003E-2</v>
      </c>
      <c r="D163" s="6">
        <v>41409</v>
      </c>
      <c r="E163" s="4">
        <f t="shared" si="5"/>
        <v>6.2273972602739729</v>
      </c>
      <c r="F163" s="7">
        <f t="shared" si="4"/>
        <v>5.1036890642617051E-2</v>
      </c>
      <c r="J163" s="7"/>
    </row>
    <row r="164" spans="1:10" x14ac:dyDescent="0.25">
      <c r="A164" s="2" t="s">
        <v>83</v>
      </c>
      <c r="B164" s="4">
        <v>112.55</v>
      </c>
      <c r="C164" s="7">
        <v>7.2999999999999995E-2</v>
      </c>
      <c r="D164" s="6">
        <v>41440</v>
      </c>
      <c r="E164" s="4">
        <f t="shared" si="5"/>
        <v>6.3123287671232875</v>
      </c>
      <c r="F164" s="7">
        <f t="shared" si="4"/>
        <v>4.9568144867142276E-2</v>
      </c>
      <c r="J164" s="7"/>
    </row>
    <row r="165" spans="1:10" x14ac:dyDescent="0.25">
      <c r="A165" s="2" t="s">
        <v>84</v>
      </c>
      <c r="B165" s="4">
        <v>94.34</v>
      </c>
      <c r="C165" s="7">
        <v>3.875E-2</v>
      </c>
      <c r="D165" s="6">
        <v>41440</v>
      </c>
      <c r="E165" s="4">
        <f t="shared" si="5"/>
        <v>6.3123287671232875</v>
      </c>
      <c r="F165" s="7">
        <f t="shared" si="4"/>
        <v>4.9289067708602557E-2</v>
      </c>
      <c r="J165" s="7"/>
    </row>
    <row r="166" spans="1:10" x14ac:dyDescent="0.25">
      <c r="A166" s="2" t="s">
        <v>25</v>
      </c>
      <c r="B166" s="4">
        <v>99.04</v>
      </c>
      <c r="C166" s="7">
        <v>4.7500000000000001E-2</v>
      </c>
      <c r="D166" s="6">
        <v>41470</v>
      </c>
      <c r="E166" s="4">
        <f t="shared" si="5"/>
        <v>6.3945205479452056</v>
      </c>
      <c r="F166" s="7">
        <f t="shared" si="4"/>
        <v>4.9259942347973706E-2</v>
      </c>
      <c r="J166" s="7"/>
    </row>
    <row r="167" spans="1:10" x14ac:dyDescent="0.25">
      <c r="A167" s="2" t="s">
        <v>85</v>
      </c>
      <c r="B167" s="4">
        <v>112.07</v>
      </c>
      <c r="C167" s="7">
        <v>7.2999999999999995E-2</v>
      </c>
      <c r="D167" s="6">
        <v>41487</v>
      </c>
      <c r="E167" s="4">
        <f t="shared" si="5"/>
        <v>6.441095890410959</v>
      </c>
      <c r="F167" s="7">
        <f t="shared" si="4"/>
        <v>5.0780345800109095E-2</v>
      </c>
      <c r="J167" s="7"/>
    </row>
    <row r="168" spans="1:10" x14ac:dyDescent="0.25">
      <c r="A168" s="2" t="s">
        <v>42</v>
      </c>
      <c r="B168" s="4">
        <v>99.55</v>
      </c>
      <c r="C168" s="7">
        <v>4.7500000000000001E-2</v>
      </c>
      <c r="D168" s="6">
        <v>41501</v>
      </c>
      <c r="E168" s="4">
        <f t="shared" si="5"/>
        <v>6.4794520547945202</v>
      </c>
      <c r="F168" s="7">
        <f t="shared" si="4"/>
        <v>4.8315163208276946E-2</v>
      </c>
      <c r="J168" s="7"/>
    </row>
    <row r="169" spans="1:10" x14ac:dyDescent="0.25">
      <c r="A169" s="2" t="s">
        <v>72</v>
      </c>
      <c r="B169" s="4">
        <v>103.66</v>
      </c>
      <c r="C169" s="7">
        <v>5.5E-2</v>
      </c>
      <c r="D169" s="6">
        <v>41501</v>
      </c>
      <c r="E169" s="4">
        <f t="shared" si="5"/>
        <v>6.4794520547945202</v>
      </c>
      <c r="F169" s="7">
        <f t="shared" si="4"/>
        <v>4.8349135818905625E-2</v>
      </c>
      <c r="J169" s="7"/>
    </row>
    <row r="170" spans="1:10" x14ac:dyDescent="0.25">
      <c r="A170" s="2" t="s">
        <v>86</v>
      </c>
      <c r="B170" s="4">
        <v>109.56</v>
      </c>
      <c r="C170" s="7">
        <v>6.7500000000000004E-2</v>
      </c>
      <c r="D170" s="6">
        <v>41532</v>
      </c>
      <c r="E170" s="4">
        <f t="shared" si="5"/>
        <v>6.5643835616438357</v>
      </c>
      <c r="F170" s="7">
        <f t="shared" si="4"/>
        <v>5.0197370783131495E-2</v>
      </c>
      <c r="J170" s="7"/>
    </row>
    <row r="171" spans="1:10" x14ac:dyDescent="0.25">
      <c r="A171" s="2" t="s">
        <v>87</v>
      </c>
      <c r="B171" s="4">
        <v>99.4</v>
      </c>
      <c r="C171" s="7">
        <v>0.05</v>
      </c>
      <c r="D171" s="6">
        <v>41593</v>
      </c>
      <c r="E171" s="4">
        <f t="shared" si="5"/>
        <v>6.7315068493150685</v>
      </c>
      <c r="F171" s="7">
        <f t="shared" si="4"/>
        <v>5.1051650473418052E-2</v>
      </c>
      <c r="J171" s="7"/>
    </row>
    <row r="172" spans="1:10" x14ac:dyDescent="0.25">
      <c r="A172" s="2" t="s">
        <v>69</v>
      </c>
      <c r="B172" s="4">
        <v>102.21</v>
      </c>
      <c r="C172" s="7">
        <v>5.2499999999999998E-2</v>
      </c>
      <c r="D172" s="6">
        <v>41624</v>
      </c>
      <c r="E172" s="4">
        <f t="shared" si="5"/>
        <v>6.816438356164384</v>
      </c>
      <c r="F172" s="7">
        <f t="shared" si="4"/>
        <v>4.863607087500104E-2</v>
      </c>
      <c r="J172" s="7"/>
    </row>
    <row r="173" spans="1:10" x14ac:dyDescent="0.25">
      <c r="A173" s="2" t="s">
        <v>72</v>
      </c>
      <c r="B173" s="4">
        <v>101.72</v>
      </c>
      <c r="C173" s="7">
        <v>5.1249999999999997E-2</v>
      </c>
      <c r="D173" s="6">
        <v>41654</v>
      </c>
      <c r="E173" s="4">
        <f t="shared" si="5"/>
        <v>6.8986301369863012</v>
      </c>
      <c r="F173" s="7">
        <f t="shared" si="4"/>
        <v>4.8277669588414035E-2</v>
      </c>
      <c r="J173" s="7"/>
    </row>
    <row r="174" spans="1:10" x14ac:dyDescent="0.25">
      <c r="A174" s="2" t="s">
        <v>25</v>
      </c>
      <c r="B174" s="4">
        <v>101.01</v>
      </c>
      <c r="C174" s="7">
        <v>5.1500000000000004E-2</v>
      </c>
      <c r="D174" s="6">
        <v>41654</v>
      </c>
      <c r="E174" s="4">
        <f t="shared" si="5"/>
        <v>6.8986301369863012</v>
      </c>
      <c r="F174" s="7">
        <f t="shared" si="4"/>
        <v>4.9741857119114219E-2</v>
      </c>
      <c r="J174" s="7"/>
    </row>
    <row r="175" spans="1:10" x14ac:dyDescent="0.25">
      <c r="A175" s="2" t="s">
        <v>30</v>
      </c>
      <c r="B175" s="4">
        <v>97.09</v>
      </c>
      <c r="C175" s="7">
        <v>4.3499999999999997E-2</v>
      </c>
      <c r="D175" s="6">
        <v>41713</v>
      </c>
      <c r="E175" s="4">
        <f t="shared" si="5"/>
        <v>7.0602739726027401</v>
      </c>
      <c r="F175" s="7">
        <f t="shared" si="4"/>
        <v>4.8413949553597804E-2</v>
      </c>
      <c r="J175" s="7"/>
    </row>
    <row r="176" spans="1:10" x14ac:dyDescent="0.25">
      <c r="A176" s="2" t="s">
        <v>88</v>
      </c>
      <c r="B176" s="4">
        <v>97.98</v>
      </c>
      <c r="C176" s="7">
        <v>4.6249999999999999E-2</v>
      </c>
      <c r="D176" s="6">
        <v>41730</v>
      </c>
      <c r="E176" s="4">
        <f t="shared" si="5"/>
        <v>7.1068493150684935</v>
      </c>
      <c r="F176" s="7">
        <f t="shared" si="4"/>
        <v>4.9652343939667713E-2</v>
      </c>
      <c r="J176" s="7"/>
    </row>
    <row r="177" spans="1:10" x14ac:dyDescent="0.25">
      <c r="A177" s="2" t="s">
        <v>89</v>
      </c>
      <c r="B177" s="4">
        <v>97.23</v>
      </c>
      <c r="C177" s="7">
        <v>4.3749999999999997E-2</v>
      </c>
      <c r="D177" s="6">
        <v>41744</v>
      </c>
      <c r="E177" s="4">
        <f t="shared" si="5"/>
        <v>7.1452054794520548</v>
      </c>
      <c r="F177" s="7">
        <f t="shared" si="4"/>
        <v>4.8375424063075205E-2</v>
      </c>
      <c r="J177" s="7"/>
    </row>
    <row r="178" spans="1:10" x14ac:dyDescent="0.25">
      <c r="A178" s="2" t="s">
        <v>29</v>
      </c>
      <c r="B178" s="4">
        <v>98.14</v>
      </c>
      <c r="C178" s="7">
        <v>4.6249999999999999E-2</v>
      </c>
      <c r="D178" s="6">
        <v>41744</v>
      </c>
      <c r="E178" s="4">
        <f t="shared" si="5"/>
        <v>7.1452054794520548</v>
      </c>
      <c r="F178" s="7">
        <f t="shared" si="4"/>
        <v>4.9363119321930014E-2</v>
      </c>
      <c r="J178" s="7"/>
    </row>
    <row r="179" spans="1:10" x14ac:dyDescent="0.25">
      <c r="A179" s="2" t="s">
        <v>27</v>
      </c>
      <c r="B179" s="4">
        <v>101.71</v>
      </c>
      <c r="C179" s="7">
        <v>5.1249999999999997E-2</v>
      </c>
      <c r="D179" s="6">
        <v>41764</v>
      </c>
      <c r="E179" s="4">
        <f t="shared" si="5"/>
        <v>7.2</v>
      </c>
      <c r="F179" s="7">
        <f t="shared" si="4"/>
        <v>4.8395472677951308E-2</v>
      </c>
      <c r="J179" s="7"/>
    </row>
    <row r="180" spans="1:10" x14ac:dyDescent="0.25">
      <c r="A180" s="2" t="s">
        <v>90</v>
      </c>
      <c r="B180" s="4">
        <v>103.23</v>
      </c>
      <c r="C180" s="7">
        <v>5.4000000000000006E-2</v>
      </c>
      <c r="D180" s="6">
        <v>41791</v>
      </c>
      <c r="E180" s="4">
        <f t="shared" si="5"/>
        <v>7.2739726027397262</v>
      </c>
      <c r="F180" s="7">
        <f t="shared" si="4"/>
        <v>4.8657974047702661E-2</v>
      </c>
      <c r="J180" s="7"/>
    </row>
    <row r="181" spans="1:10" x14ac:dyDescent="0.25">
      <c r="A181" s="2" t="s">
        <v>8</v>
      </c>
      <c r="B181" s="4">
        <v>102.95</v>
      </c>
      <c r="C181" s="7">
        <v>5.45E-2</v>
      </c>
      <c r="D181" s="6">
        <v>41835</v>
      </c>
      <c r="E181" s="4">
        <f t="shared" si="5"/>
        <v>7.3945205479452056</v>
      </c>
      <c r="F181" s="7">
        <f t="shared" si="4"/>
        <v>4.9673895804415676E-2</v>
      </c>
      <c r="J181" s="7"/>
    </row>
    <row r="182" spans="1:10" x14ac:dyDescent="0.25">
      <c r="A182" s="2" t="s">
        <v>84</v>
      </c>
      <c r="B182" s="4">
        <v>99.28</v>
      </c>
      <c r="C182" s="7">
        <v>4.8750000000000002E-2</v>
      </c>
      <c r="D182" s="6">
        <v>41866</v>
      </c>
      <c r="E182" s="4">
        <f t="shared" si="5"/>
        <v>7.4794520547945202</v>
      </c>
      <c r="F182" s="7">
        <f t="shared" si="4"/>
        <v>4.9913459966801174E-2</v>
      </c>
      <c r="J182" s="7"/>
    </row>
    <row r="183" spans="1:10" x14ac:dyDescent="0.25">
      <c r="A183" s="2" t="s">
        <v>13</v>
      </c>
      <c r="B183" s="4">
        <v>100.64</v>
      </c>
      <c r="C183" s="7">
        <v>4.9500000000000002E-2</v>
      </c>
      <c r="D183" s="6">
        <v>41866</v>
      </c>
      <c r="E183" s="4">
        <f t="shared" si="5"/>
        <v>7.4794520547945202</v>
      </c>
      <c r="F183" s="7">
        <f t="shared" si="4"/>
        <v>4.8467474449648738E-2</v>
      </c>
      <c r="J183" s="7"/>
    </row>
    <row r="184" spans="1:10" x14ac:dyDescent="0.25">
      <c r="A184" s="2" t="s">
        <v>27</v>
      </c>
      <c r="B184" s="4">
        <v>100.02</v>
      </c>
      <c r="C184" s="7">
        <v>0.05</v>
      </c>
      <c r="D184" s="6">
        <v>41897</v>
      </c>
      <c r="E184" s="4">
        <f t="shared" si="5"/>
        <v>7.5643835616438357</v>
      </c>
      <c r="F184" s="7">
        <f t="shared" si="4"/>
        <v>4.9963010791637577E-2</v>
      </c>
      <c r="J184" s="7"/>
    </row>
    <row r="185" spans="1:10" x14ac:dyDescent="0.25">
      <c r="A185" s="2" t="s">
        <v>25</v>
      </c>
      <c r="B185" s="4">
        <v>99.52</v>
      </c>
      <c r="C185" s="7">
        <v>0.05</v>
      </c>
      <c r="D185" s="6">
        <v>41913</v>
      </c>
      <c r="E185" s="4">
        <f t="shared" si="5"/>
        <v>7.6082191780821917</v>
      </c>
      <c r="F185" s="7">
        <f t="shared" si="4"/>
        <v>5.0760816646991939E-2</v>
      </c>
      <c r="J185" s="7"/>
    </row>
    <row r="186" spans="1:10" x14ac:dyDescent="0.25">
      <c r="A186" s="2" t="s">
        <v>91</v>
      </c>
      <c r="B186" s="4">
        <v>100.62</v>
      </c>
      <c r="C186" s="7">
        <v>0.05</v>
      </c>
      <c r="D186" s="6">
        <v>41913</v>
      </c>
      <c r="E186" s="4">
        <f t="shared" si="5"/>
        <v>7.6082191780821917</v>
      </c>
      <c r="F186" s="7">
        <f t="shared" si="4"/>
        <v>4.9005402330531717E-2</v>
      </c>
      <c r="J186" s="7"/>
    </row>
    <row r="187" spans="1:10" x14ac:dyDescent="0.25">
      <c r="A187" s="2" t="s">
        <v>25</v>
      </c>
      <c r="B187" s="4">
        <v>102.79</v>
      </c>
      <c r="C187" s="7">
        <v>5.5E-2</v>
      </c>
      <c r="D187" s="6">
        <v>41958</v>
      </c>
      <c r="E187" s="4">
        <f t="shared" si="5"/>
        <v>7.7315068493150685</v>
      </c>
      <c r="F187" s="7">
        <f t="shared" si="4"/>
        <v>5.0578043235075518E-2</v>
      </c>
      <c r="J187" s="7"/>
    </row>
    <row r="188" spans="1:10" x14ac:dyDescent="0.25">
      <c r="A188" s="2" t="s">
        <v>25</v>
      </c>
      <c r="B188" s="4">
        <v>100.17</v>
      </c>
      <c r="C188" s="7">
        <v>5.1249999999999997E-2</v>
      </c>
      <c r="D188" s="6">
        <v>42019</v>
      </c>
      <c r="E188" s="4">
        <f t="shared" si="5"/>
        <v>7.8986301369863012</v>
      </c>
      <c r="F188" s="7">
        <f t="shared" si="4"/>
        <v>5.0977217712877186E-2</v>
      </c>
      <c r="J188" s="7"/>
    </row>
    <row r="189" spans="1:10" x14ac:dyDescent="0.25">
      <c r="A189" s="2" t="s">
        <v>8</v>
      </c>
      <c r="B189" s="4">
        <v>99.94</v>
      </c>
      <c r="C189" s="7">
        <v>0.05</v>
      </c>
      <c r="D189" s="6">
        <v>42019</v>
      </c>
      <c r="E189" s="4">
        <f t="shared" si="5"/>
        <v>7.8986301369863012</v>
      </c>
      <c r="F189" s="7">
        <f t="shared" si="4"/>
        <v>5.0084893059367641E-2</v>
      </c>
      <c r="J189" s="7"/>
    </row>
    <row r="190" spans="1:10" x14ac:dyDescent="0.25">
      <c r="A190" s="2" t="s">
        <v>92</v>
      </c>
      <c r="B190" s="4">
        <v>98.82</v>
      </c>
      <c r="C190" s="7">
        <v>4.7500000000000001E-2</v>
      </c>
      <c r="D190" s="6">
        <v>42064</v>
      </c>
      <c r="E190" s="4">
        <f t="shared" si="5"/>
        <v>8.0219178082191789</v>
      </c>
      <c r="F190" s="7">
        <f t="shared" si="4"/>
        <v>4.9298337213855098E-2</v>
      </c>
      <c r="J190" s="7"/>
    </row>
    <row r="191" spans="1:10" x14ac:dyDescent="0.25">
      <c r="A191" s="2" t="s">
        <v>81</v>
      </c>
      <c r="B191" s="4">
        <v>98.5</v>
      </c>
      <c r="C191" s="7">
        <v>4.7500000000000001E-2</v>
      </c>
      <c r="D191" s="6">
        <v>42064</v>
      </c>
      <c r="E191" s="4">
        <f t="shared" si="5"/>
        <v>8.0219178082191789</v>
      </c>
      <c r="F191" s="7">
        <f t="shared" si="4"/>
        <v>4.979078938052009E-2</v>
      </c>
      <c r="J191" s="7"/>
    </row>
    <row r="192" spans="1:10" x14ac:dyDescent="0.25">
      <c r="A192" s="2" t="s">
        <v>75</v>
      </c>
      <c r="B192" s="4">
        <v>98.46</v>
      </c>
      <c r="C192" s="7">
        <v>4.8000000000000001E-2</v>
      </c>
      <c r="D192" s="6">
        <v>42109</v>
      </c>
      <c r="E192" s="4">
        <f t="shared" si="5"/>
        <v>8.1452054794520556</v>
      </c>
      <c r="F192" s="7">
        <f t="shared" si="4"/>
        <v>5.0319972081262786E-2</v>
      </c>
      <c r="J192" s="7"/>
    </row>
    <row r="193" spans="1:10" x14ac:dyDescent="0.25">
      <c r="A193" s="2" t="s">
        <v>27</v>
      </c>
      <c r="B193" s="4">
        <v>99.12</v>
      </c>
      <c r="C193" s="7">
        <v>4.8750000000000002E-2</v>
      </c>
      <c r="D193" s="6">
        <v>42131</v>
      </c>
      <c r="E193" s="4">
        <f t="shared" si="5"/>
        <v>8.205479452054794</v>
      </c>
      <c r="F193" s="7">
        <f t="shared" si="4"/>
        <v>5.0060542928841441E-2</v>
      </c>
      <c r="J193" s="7"/>
    </row>
    <row r="194" spans="1:10" x14ac:dyDescent="0.25">
      <c r="A194" s="2" t="s">
        <v>27</v>
      </c>
      <c r="B194" s="4">
        <v>98.6</v>
      </c>
      <c r="C194" s="7">
        <v>4.7E-2</v>
      </c>
      <c r="D194" s="6">
        <v>42153</v>
      </c>
      <c r="E194" s="4">
        <f t="shared" si="5"/>
        <v>8.2657534246575342</v>
      </c>
      <c r="F194" s="7">
        <f t="shared" si="4"/>
        <v>4.9070928129624741E-2</v>
      </c>
      <c r="J194" s="7"/>
    </row>
    <row r="195" spans="1:10" x14ac:dyDescent="0.25">
      <c r="A195" s="2" t="s">
        <v>78</v>
      </c>
      <c r="B195" s="4">
        <v>100.05</v>
      </c>
      <c r="C195" s="7">
        <v>0.05</v>
      </c>
      <c r="D195" s="6">
        <v>42170</v>
      </c>
      <c r="E195" s="4">
        <f t="shared" si="5"/>
        <v>8.3123287671232884</v>
      </c>
      <c r="F195" s="7">
        <f t="shared" ref="F195:F249" si="6">YIELD(DATE(2007,2,23),D195,C195,B195,100,2,1)</f>
        <v>4.9914916955725877E-2</v>
      </c>
      <c r="J195" s="7"/>
    </row>
    <row r="196" spans="1:10" x14ac:dyDescent="0.25">
      <c r="A196" s="2" t="s">
        <v>45</v>
      </c>
      <c r="B196" s="4">
        <v>97.03</v>
      </c>
      <c r="C196" s="7">
        <v>4.4999999999999998E-2</v>
      </c>
      <c r="D196" s="6">
        <v>42186</v>
      </c>
      <c r="E196" s="4">
        <f t="shared" ref="E196:E253" si="7">(D196-DATE(2007,2,23))/365</f>
        <v>8.3561643835616444</v>
      </c>
      <c r="F196" s="7">
        <f t="shared" si="6"/>
        <v>4.9373544765553952E-2</v>
      </c>
      <c r="J196" s="7"/>
    </row>
    <row r="197" spans="1:10" x14ac:dyDescent="0.25">
      <c r="A197" s="2" t="s">
        <v>93</v>
      </c>
      <c r="B197" s="4">
        <v>98.35</v>
      </c>
      <c r="C197" s="7">
        <v>4.7960000000000003E-2</v>
      </c>
      <c r="D197" s="6">
        <v>42200</v>
      </c>
      <c r="E197" s="4">
        <f t="shared" si="7"/>
        <v>8.3945205479452056</v>
      </c>
      <c r="F197" s="7">
        <f t="shared" si="6"/>
        <v>5.0387885620848838E-2</v>
      </c>
      <c r="J197" s="7"/>
    </row>
    <row r="198" spans="1:10" x14ac:dyDescent="0.25">
      <c r="A198" s="2" t="s">
        <v>42</v>
      </c>
      <c r="B198" s="4">
        <v>98.68</v>
      </c>
      <c r="C198" s="7">
        <v>4.7500000000000001E-2</v>
      </c>
      <c r="D198" s="6">
        <v>42217</v>
      </c>
      <c r="E198" s="4">
        <f t="shared" si="7"/>
        <v>8.4410958904109581</v>
      </c>
      <c r="F198" s="7">
        <f t="shared" si="6"/>
        <v>4.9427418421338132E-2</v>
      </c>
      <c r="J198" s="7"/>
    </row>
    <row r="199" spans="1:10" x14ac:dyDescent="0.25">
      <c r="A199" s="2" t="s">
        <v>94</v>
      </c>
      <c r="B199" s="4">
        <v>98.85</v>
      </c>
      <c r="C199" s="7">
        <v>4.8750000000000002E-2</v>
      </c>
      <c r="D199" s="6">
        <v>42231</v>
      </c>
      <c r="E199" s="4">
        <f t="shared" si="7"/>
        <v>8.4794520547945211</v>
      </c>
      <c r="F199" s="7">
        <f t="shared" si="6"/>
        <v>5.0431960241228105E-2</v>
      </c>
      <c r="J199" s="7"/>
    </row>
    <row r="200" spans="1:10" x14ac:dyDescent="0.25">
      <c r="A200" s="2" t="s">
        <v>95</v>
      </c>
      <c r="B200" s="4">
        <v>99.82</v>
      </c>
      <c r="C200" s="7">
        <v>0.05</v>
      </c>
      <c r="D200" s="6">
        <v>42248</v>
      </c>
      <c r="E200" s="4">
        <f t="shared" si="7"/>
        <v>8.5260273972602736</v>
      </c>
      <c r="F200" s="7">
        <f t="shared" si="6"/>
        <v>5.0260954734143638E-2</v>
      </c>
      <c r="J200" s="7"/>
    </row>
    <row r="201" spans="1:10" x14ac:dyDescent="0.25">
      <c r="A201" s="2" t="s">
        <v>8</v>
      </c>
      <c r="B201" s="4">
        <v>101.84</v>
      </c>
      <c r="C201" s="7">
        <v>5.2999999999999999E-2</v>
      </c>
      <c r="D201" s="6">
        <v>42277</v>
      </c>
      <c r="E201" s="4">
        <f t="shared" si="7"/>
        <v>8.6054794520547944</v>
      </c>
      <c r="F201" s="7">
        <f t="shared" si="6"/>
        <v>5.03298786116144E-2</v>
      </c>
      <c r="J201" s="7"/>
    </row>
    <row r="202" spans="1:10" x14ac:dyDescent="0.25">
      <c r="A202" s="2" t="s">
        <v>87</v>
      </c>
      <c r="B202" s="4">
        <v>98.75</v>
      </c>
      <c r="C202" s="7">
        <v>0.05</v>
      </c>
      <c r="D202" s="6">
        <v>42292</v>
      </c>
      <c r="E202" s="4">
        <f t="shared" si="7"/>
        <v>8.6465753424657539</v>
      </c>
      <c r="F202" s="7">
        <f t="shared" si="6"/>
        <v>5.1803569782224966E-2</v>
      </c>
      <c r="J202" s="7"/>
    </row>
    <row r="203" spans="1:10" x14ac:dyDescent="0.25">
      <c r="A203" s="2" t="s">
        <v>40</v>
      </c>
      <c r="B203" s="4">
        <v>101.54</v>
      </c>
      <c r="C203" s="7">
        <v>5.3749999999999999E-2</v>
      </c>
      <c r="D203" s="6">
        <v>42292</v>
      </c>
      <c r="E203" s="4">
        <f t="shared" si="7"/>
        <v>8.6465753424657539</v>
      </c>
      <c r="F203" s="7">
        <f t="shared" si="6"/>
        <v>5.1509184062347835E-2</v>
      </c>
      <c r="J203" s="7"/>
    </row>
    <row r="204" spans="1:10" x14ac:dyDescent="0.25">
      <c r="A204" s="2" t="s">
        <v>96</v>
      </c>
      <c r="B204" s="4">
        <v>102.74</v>
      </c>
      <c r="C204" s="7">
        <v>5.2999999999999999E-2</v>
      </c>
      <c r="D204" s="6">
        <v>42340</v>
      </c>
      <c r="E204" s="4">
        <f t="shared" si="7"/>
        <v>8.7780821917808218</v>
      </c>
      <c r="F204" s="7">
        <f t="shared" si="6"/>
        <v>4.9106599416968384E-2</v>
      </c>
      <c r="J204" s="7"/>
    </row>
    <row r="205" spans="1:10" x14ac:dyDescent="0.25">
      <c r="A205" s="2" t="s">
        <v>13</v>
      </c>
      <c r="B205" s="4">
        <v>99.6</v>
      </c>
      <c r="C205" s="7">
        <v>4.8499999999999995E-2</v>
      </c>
      <c r="D205" s="6">
        <v>42353</v>
      </c>
      <c r="E205" s="4">
        <f t="shared" si="7"/>
        <v>8.8136986301369866</v>
      </c>
      <c r="F205" s="7">
        <f t="shared" si="6"/>
        <v>4.9054954791765797E-2</v>
      </c>
      <c r="J205" s="7"/>
    </row>
    <row r="206" spans="1:10" x14ac:dyDescent="0.25">
      <c r="A206" s="2" t="s">
        <v>97</v>
      </c>
      <c r="B206" s="4">
        <v>110.48</v>
      </c>
      <c r="C206" s="7">
        <v>6.7500000000000004E-2</v>
      </c>
      <c r="D206" s="6">
        <v>42370</v>
      </c>
      <c r="E206" s="4">
        <f t="shared" si="7"/>
        <v>8.8602739726027391</v>
      </c>
      <c r="F206" s="7">
        <f t="shared" si="6"/>
        <v>5.2532699216741065E-2</v>
      </c>
      <c r="J206" s="7"/>
    </row>
    <row r="207" spans="1:10" x14ac:dyDescent="0.25">
      <c r="A207" s="2" t="s">
        <v>25</v>
      </c>
      <c r="B207" s="4">
        <v>101.08</v>
      </c>
      <c r="C207" s="7">
        <v>5.3499999999999999E-2</v>
      </c>
      <c r="D207" s="6">
        <v>42384</v>
      </c>
      <c r="E207" s="4">
        <f t="shared" si="7"/>
        <v>8.8986301369863021</v>
      </c>
      <c r="F207" s="7">
        <f t="shared" si="6"/>
        <v>5.1959706176993595E-2</v>
      </c>
      <c r="J207" s="7"/>
    </row>
    <row r="208" spans="1:10" x14ac:dyDescent="0.25">
      <c r="A208" s="2" t="s">
        <v>71</v>
      </c>
      <c r="B208" s="4">
        <v>103.03</v>
      </c>
      <c r="C208" s="7">
        <v>5.5E-2</v>
      </c>
      <c r="D208" s="6">
        <v>42388</v>
      </c>
      <c r="E208" s="4">
        <f t="shared" si="7"/>
        <v>8.9095890410958898</v>
      </c>
      <c r="F208" s="7">
        <f t="shared" si="6"/>
        <v>5.0720900431997201E-2</v>
      </c>
      <c r="J208" s="7"/>
    </row>
    <row r="209" spans="1:10" x14ac:dyDescent="0.25">
      <c r="A209" s="2" t="s">
        <v>69</v>
      </c>
      <c r="B209" s="4">
        <v>100.66</v>
      </c>
      <c r="C209" s="7">
        <v>5.4000000000000006E-2</v>
      </c>
      <c r="D209" s="6">
        <v>42430</v>
      </c>
      <c r="E209" s="4">
        <f t="shared" si="7"/>
        <v>9.0246575342465754</v>
      </c>
      <c r="F209" s="7">
        <f t="shared" si="6"/>
        <v>5.3067884987205251E-2</v>
      </c>
      <c r="J209" s="7"/>
    </row>
    <row r="210" spans="1:10" x14ac:dyDescent="0.25">
      <c r="A210" s="2" t="s">
        <v>72</v>
      </c>
      <c r="B210" s="4">
        <v>102.87</v>
      </c>
      <c r="C210" s="7">
        <v>5.3749999999999999E-2</v>
      </c>
      <c r="D210" s="6">
        <v>42431</v>
      </c>
      <c r="E210" s="4">
        <f t="shared" si="7"/>
        <v>9.0273972602739718</v>
      </c>
      <c r="F210" s="7">
        <f t="shared" si="6"/>
        <v>4.9760167890962402E-2</v>
      </c>
      <c r="J210" s="7"/>
    </row>
    <row r="211" spans="1:10" x14ac:dyDescent="0.25">
      <c r="A211" s="2" t="s">
        <v>30</v>
      </c>
      <c r="B211" s="4">
        <v>106.27</v>
      </c>
      <c r="C211" s="7">
        <v>5.8749999999999997E-2</v>
      </c>
      <c r="D211" s="6">
        <v>42505</v>
      </c>
      <c r="E211" s="4">
        <f t="shared" si="7"/>
        <v>9.2301369863013694</v>
      </c>
      <c r="F211" s="7">
        <f t="shared" si="6"/>
        <v>5.0163155412692083E-2</v>
      </c>
      <c r="J211" s="7"/>
    </row>
    <row r="212" spans="1:10" x14ac:dyDescent="0.25">
      <c r="A212" s="2" t="s">
        <v>98</v>
      </c>
      <c r="B212" s="4">
        <v>105.63</v>
      </c>
      <c r="C212" s="7">
        <v>5.8749999999999997E-2</v>
      </c>
      <c r="D212" s="6">
        <v>42534</v>
      </c>
      <c r="E212" s="4">
        <f t="shared" si="7"/>
        <v>9.3095890410958901</v>
      </c>
      <c r="F212" s="7">
        <f t="shared" si="6"/>
        <v>5.1059406825020831E-2</v>
      </c>
      <c r="J212" s="7"/>
    </row>
    <row r="213" spans="1:10" x14ac:dyDescent="0.25">
      <c r="A213" s="2" t="s">
        <v>27</v>
      </c>
      <c r="B213" s="4">
        <v>106.47</v>
      </c>
      <c r="C213" s="7">
        <v>5.8499999999999996E-2</v>
      </c>
      <c r="D213" s="6">
        <v>42584</v>
      </c>
      <c r="E213" s="4">
        <f t="shared" si="7"/>
        <v>9.4465753424657528</v>
      </c>
      <c r="F213" s="7">
        <f t="shared" si="6"/>
        <v>4.982160182473467E-2</v>
      </c>
      <c r="J213" s="7"/>
    </row>
    <row r="214" spans="1:10" x14ac:dyDescent="0.25">
      <c r="A214" s="2" t="s">
        <v>42</v>
      </c>
      <c r="B214" s="4">
        <v>105</v>
      </c>
      <c r="C214" s="7">
        <v>5.7500000000000002E-2</v>
      </c>
      <c r="D214" s="6">
        <v>42597</v>
      </c>
      <c r="E214" s="4">
        <f t="shared" si="7"/>
        <v>9.4821917808219176</v>
      </c>
      <c r="F214" s="7">
        <f t="shared" si="6"/>
        <v>5.078597675807061E-2</v>
      </c>
      <c r="J214" s="7"/>
    </row>
    <row r="215" spans="1:10" x14ac:dyDescent="0.25">
      <c r="A215" s="2" t="s">
        <v>66</v>
      </c>
      <c r="B215" s="4">
        <v>119.53</v>
      </c>
      <c r="C215" s="7">
        <v>7.8E-2</v>
      </c>
      <c r="D215" s="6">
        <v>42628</v>
      </c>
      <c r="E215" s="4">
        <f t="shared" si="7"/>
        <v>9.5671232876712331</v>
      </c>
      <c r="F215" s="7">
        <f t="shared" si="6"/>
        <v>5.1819866832150105E-2</v>
      </c>
      <c r="J215" s="7"/>
    </row>
    <row r="216" spans="1:10" x14ac:dyDescent="0.25">
      <c r="A216" s="2" t="s">
        <v>29</v>
      </c>
      <c r="B216" s="4">
        <v>100.25</v>
      </c>
      <c r="C216" s="7">
        <v>5.1249999999999997E-2</v>
      </c>
      <c r="D216" s="6">
        <v>42628</v>
      </c>
      <c r="E216" s="4">
        <f t="shared" si="7"/>
        <v>9.5671232876712331</v>
      </c>
      <c r="F216" s="7">
        <f t="shared" si="6"/>
        <v>5.0912092781298858E-2</v>
      </c>
      <c r="J216" s="7"/>
    </row>
    <row r="217" spans="1:10" x14ac:dyDescent="0.25">
      <c r="A217" s="2" t="s">
        <v>25</v>
      </c>
      <c r="B217" s="4">
        <v>103.52</v>
      </c>
      <c r="C217" s="7">
        <v>5.7500000000000002E-2</v>
      </c>
      <c r="D217" s="6">
        <v>42644</v>
      </c>
      <c r="E217" s="4">
        <f t="shared" si="7"/>
        <v>9.6109589041095891</v>
      </c>
      <c r="F217" s="7">
        <f t="shared" si="6"/>
        <v>5.2771774440779677E-2</v>
      </c>
      <c r="J217" s="7"/>
    </row>
    <row r="218" spans="1:10" x14ac:dyDescent="0.25">
      <c r="A218" s="2" t="s">
        <v>99</v>
      </c>
      <c r="B218" s="4">
        <v>104.29</v>
      </c>
      <c r="C218" s="7">
        <v>5.5999999999999994E-2</v>
      </c>
      <c r="D218" s="6">
        <v>42661</v>
      </c>
      <c r="E218" s="4">
        <f t="shared" si="7"/>
        <v>9.6575342465753433</v>
      </c>
      <c r="F218" s="7">
        <f t="shared" si="6"/>
        <v>5.0322963558917411E-2</v>
      </c>
      <c r="J218" s="7"/>
    </row>
    <row r="219" spans="1:10" x14ac:dyDescent="0.25">
      <c r="A219" s="2" t="s">
        <v>40</v>
      </c>
      <c r="B219" s="4">
        <v>104.2</v>
      </c>
      <c r="C219" s="7">
        <v>5.7500000000000002E-2</v>
      </c>
      <c r="D219" s="6">
        <v>42661</v>
      </c>
      <c r="E219" s="4">
        <f t="shared" si="7"/>
        <v>9.6575342465753433</v>
      </c>
      <c r="F219" s="7">
        <f t="shared" si="6"/>
        <v>5.190107661730621E-2</v>
      </c>
      <c r="J219" s="7"/>
    </row>
    <row r="220" spans="1:10" x14ac:dyDescent="0.25">
      <c r="A220" s="2" t="s">
        <v>79</v>
      </c>
      <c r="B220" s="4">
        <v>101.6</v>
      </c>
      <c r="C220" s="7">
        <v>5.2000000000000005E-2</v>
      </c>
      <c r="D220" s="6">
        <v>42681</v>
      </c>
      <c r="E220" s="4">
        <f t="shared" si="7"/>
        <v>9.712328767123287</v>
      </c>
      <c r="F220" s="7">
        <f t="shared" si="6"/>
        <v>4.9889389556585458E-2</v>
      </c>
      <c r="J220" s="7"/>
    </row>
    <row r="221" spans="1:10" x14ac:dyDescent="0.25">
      <c r="A221" s="2" t="s">
        <v>40</v>
      </c>
      <c r="B221" s="4">
        <v>101.38</v>
      </c>
      <c r="C221" s="7">
        <v>5.45E-2</v>
      </c>
      <c r="D221" s="6">
        <v>42744</v>
      </c>
      <c r="E221" s="4">
        <f t="shared" si="7"/>
        <v>9.8849315068493144</v>
      </c>
      <c r="F221" s="7">
        <f t="shared" si="6"/>
        <v>5.2681168492381858E-2</v>
      </c>
      <c r="J221" s="7"/>
    </row>
    <row r="222" spans="1:10" x14ac:dyDescent="0.25">
      <c r="A222" s="2" t="s">
        <v>27</v>
      </c>
      <c r="B222" s="4">
        <v>102.74</v>
      </c>
      <c r="C222" s="7">
        <v>5.5E-2</v>
      </c>
      <c r="D222" s="6">
        <v>42781</v>
      </c>
      <c r="E222" s="4">
        <f t="shared" si="7"/>
        <v>9.9863013698630141</v>
      </c>
      <c r="F222" s="7">
        <f t="shared" si="6"/>
        <v>5.1452655964876672E-2</v>
      </c>
      <c r="J222" s="7"/>
    </row>
    <row r="223" spans="1:10" x14ac:dyDescent="0.25">
      <c r="A223" s="2" t="s">
        <v>95</v>
      </c>
      <c r="B223" s="4">
        <v>104.62</v>
      </c>
      <c r="C223" s="7">
        <v>5.45E-2</v>
      </c>
      <c r="D223" s="6">
        <v>43070</v>
      </c>
      <c r="E223" s="4">
        <f t="shared" si="7"/>
        <v>10.778082191780822</v>
      </c>
      <c r="F223" s="7">
        <f t="shared" si="6"/>
        <v>4.8920233546160645E-2</v>
      </c>
      <c r="J223" s="7"/>
    </row>
    <row r="224" spans="1:10" x14ac:dyDescent="0.25">
      <c r="A224" s="2" t="s">
        <v>84</v>
      </c>
      <c r="B224" s="4">
        <v>97.36</v>
      </c>
      <c r="C224" s="7">
        <v>4.7500000000000001E-2</v>
      </c>
      <c r="D224" s="6">
        <v>43235</v>
      </c>
      <c r="E224" s="4">
        <f t="shared" si="7"/>
        <v>11.230136986301369</v>
      </c>
      <c r="F224" s="7">
        <f t="shared" si="6"/>
        <v>5.0603215078494891E-2</v>
      </c>
      <c r="J224" s="7"/>
    </row>
    <row r="225" spans="1:10" ht="12.75" customHeight="1" x14ac:dyDescent="0.25">
      <c r="A225" s="2" t="s">
        <v>94</v>
      </c>
      <c r="B225" s="4">
        <v>109.82</v>
      </c>
      <c r="C225" s="7">
        <v>6.25E-2</v>
      </c>
      <c r="D225" s="6">
        <v>43296</v>
      </c>
      <c r="E225" s="4">
        <f t="shared" si="7"/>
        <v>11.397260273972602</v>
      </c>
      <c r="F225" s="7">
        <f t="shared" si="6"/>
        <v>5.1019501167297907E-2</v>
      </c>
      <c r="J225" s="7"/>
    </row>
    <row r="226" spans="1:10" x14ac:dyDescent="0.25">
      <c r="A226" s="2" t="s">
        <v>22</v>
      </c>
      <c r="B226" s="4">
        <v>112.35</v>
      </c>
      <c r="C226" s="7">
        <v>6.5000000000000002E-2</v>
      </c>
      <c r="D226" s="6">
        <v>43296</v>
      </c>
      <c r="E226" s="4">
        <f t="shared" si="7"/>
        <v>11.397260273972602</v>
      </c>
      <c r="F226" s="7">
        <f t="shared" si="6"/>
        <v>5.0595678255484534E-2</v>
      </c>
      <c r="J226" s="7"/>
    </row>
    <row r="227" spans="1:10" x14ac:dyDescent="0.25">
      <c r="A227" s="2" t="s">
        <v>22</v>
      </c>
      <c r="B227" s="4">
        <v>115.81</v>
      </c>
      <c r="C227" s="7">
        <v>6.8750000000000006E-2</v>
      </c>
      <c r="D227" s="6">
        <v>43419</v>
      </c>
      <c r="E227" s="4">
        <f t="shared" si="7"/>
        <v>11.734246575342466</v>
      </c>
      <c r="F227" s="7">
        <f t="shared" si="6"/>
        <v>5.0685883972549646E-2</v>
      </c>
      <c r="J227" s="7"/>
    </row>
    <row r="228" spans="1:10" x14ac:dyDescent="0.25">
      <c r="A228" s="2" t="s">
        <v>100</v>
      </c>
      <c r="B228" s="4">
        <v>99.09</v>
      </c>
      <c r="C228" s="7">
        <v>5.2000000000000005E-2</v>
      </c>
      <c r="D228" s="6">
        <v>43525</v>
      </c>
      <c r="E228" s="4">
        <f t="shared" si="7"/>
        <v>12.024657534246575</v>
      </c>
      <c r="F228" s="7">
        <f t="shared" si="6"/>
        <v>5.3032467258379373E-2</v>
      </c>
      <c r="J228" s="7"/>
    </row>
    <row r="229" spans="1:10" x14ac:dyDescent="0.25">
      <c r="A229" s="2" t="s">
        <v>52</v>
      </c>
      <c r="B229" s="4">
        <v>132.01</v>
      </c>
      <c r="C229" s="7">
        <v>8.2500000000000004E-2</v>
      </c>
      <c r="D229" s="6">
        <v>44593</v>
      </c>
      <c r="E229" s="4">
        <f t="shared" si="7"/>
        <v>14.950684931506849</v>
      </c>
      <c r="F229" s="7">
        <f t="shared" si="6"/>
        <v>5.151398971465436E-2</v>
      </c>
      <c r="J229" s="7"/>
    </row>
    <row r="230" spans="1:10" x14ac:dyDescent="0.25">
      <c r="A230" s="2" t="s">
        <v>27</v>
      </c>
      <c r="B230" s="4">
        <v>125.85</v>
      </c>
      <c r="C230" s="7">
        <v>7.8750000000000001E-2</v>
      </c>
      <c r="D230" s="6">
        <v>45792</v>
      </c>
      <c r="E230" s="4">
        <f t="shared" si="7"/>
        <v>18.235616438356164</v>
      </c>
      <c r="F230" s="7">
        <f t="shared" si="6"/>
        <v>5.5934890724547028E-2</v>
      </c>
      <c r="J230" s="7"/>
    </row>
    <row r="231" spans="1:10" x14ac:dyDescent="0.25">
      <c r="A231" s="2" t="s">
        <v>81</v>
      </c>
      <c r="B231" s="4">
        <v>111.02</v>
      </c>
      <c r="C231" s="7">
        <v>6.3E-2</v>
      </c>
      <c r="D231" s="6">
        <v>46023</v>
      </c>
      <c r="E231" s="4">
        <f t="shared" si="7"/>
        <v>18.86849315068493</v>
      </c>
      <c r="F231" s="7">
        <f t="shared" si="6"/>
        <v>5.3631074466867303E-2</v>
      </c>
      <c r="J231" s="7"/>
    </row>
    <row r="232" spans="1:10" x14ac:dyDescent="0.25">
      <c r="A232" s="2" t="s">
        <v>101</v>
      </c>
      <c r="B232" s="4">
        <v>113.7</v>
      </c>
      <c r="C232" s="7">
        <v>7.0000000000000007E-2</v>
      </c>
      <c r="D232" s="6">
        <v>46066</v>
      </c>
      <c r="E232" s="4">
        <f t="shared" si="7"/>
        <v>18.986301369863014</v>
      </c>
      <c r="F232" s="7">
        <f t="shared" si="6"/>
        <v>5.7995349664438062E-2</v>
      </c>
      <c r="J232" s="7"/>
    </row>
    <row r="233" spans="1:10" x14ac:dyDescent="0.25">
      <c r="A233" s="2" t="s">
        <v>40</v>
      </c>
      <c r="B233" s="4">
        <v>110.44</v>
      </c>
      <c r="C233" s="7">
        <v>6.25E-2</v>
      </c>
      <c r="D233" s="6">
        <v>46243</v>
      </c>
      <c r="E233" s="4">
        <f t="shared" si="7"/>
        <v>19.471232876712328</v>
      </c>
      <c r="F233" s="7">
        <f t="shared" si="6"/>
        <v>5.3779134854995331E-2</v>
      </c>
      <c r="J233" s="7"/>
    </row>
    <row r="234" spans="1:10" x14ac:dyDescent="0.25">
      <c r="A234" s="2" t="s">
        <v>102</v>
      </c>
      <c r="B234" s="4">
        <v>137.75</v>
      </c>
      <c r="C234" s="7">
        <v>8.2500000000000004E-2</v>
      </c>
      <c r="D234" s="6">
        <v>46402</v>
      </c>
      <c r="E234" s="4">
        <f t="shared" si="7"/>
        <v>19.906849315068492</v>
      </c>
      <c r="F234" s="7">
        <f t="shared" si="6"/>
        <v>5.1850807856254212E-2</v>
      </c>
      <c r="J234" s="7"/>
    </row>
    <row r="235" spans="1:10" x14ac:dyDescent="0.25">
      <c r="A235" s="2" t="s">
        <v>103</v>
      </c>
      <c r="B235" s="4">
        <v>116.3</v>
      </c>
      <c r="C235" s="7">
        <v>6.5799999999999997E-2</v>
      </c>
      <c r="D235" s="6">
        <v>46798</v>
      </c>
      <c r="E235" s="4">
        <f t="shared" si="7"/>
        <v>20.991780821917807</v>
      </c>
      <c r="F235" s="7">
        <f t="shared" si="6"/>
        <v>5.2848805297322665E-2</v>
      </c>
      <c r="J235" s="7"/>
    </row>
    <row r="236" spans="1:10" x14ac:dyDescent="0.25">
      <c r="A236" s="2" t="s">
        <v>81</v>
      </c>
      <c r="B236" s="4">
        <v>107.38</v>
      </c>
      <c r="C236" s="7">
        <v>5.9500000000000004E-2</v>
      </c>
      <c r="D236" s="6">
        <v>47088</v>
      </c>
      <c r="E236" s="4">
        <f t="shared" si="7"/>
        <v>21.786301369863015</v>
      </c>
      <c r="F236" s="7">
        <f t="shared" si="6"/>
        <v>5.3702457067255772E-2</v>
      </c>
      <c r="J236" s="7"/>
    </row>
    <row r="237" spans="1:10" x14ac:dyDescent="0.25">
      <c r="A237" s="2" t="s">
        <v>45</v>
      </c>
      <c r="B237" s="4">
        <v>127.27</v>
      </c>
      <c r="C237" s="7">
        <v>7.5499999999999998E-2</v>
      </c>
      <c r="D237" s="6">
        <v>47529</v>
      </c>
      <c r="E237" s="4">
        <f t="shared" si="7"/>
        <v>22.994520547945207</v>
      </c>
      <c r="F237" s="7">
        <f t="shared" si="6"/>
        <v>5.4538345954015785E-2</v>
      </c>
      <c r="J237" s="7"/>
    </row>
    <row r="238" spans="1:10" x14ac:dyDescent="0.25">
      <c r="A238" s="2" t="s">
        <v>72</v>
      </c>
      <c r="B238" s="4">
        <v>124.87</v>
      </c>
      <c r="C238" s="7">
        <v>7.1249999999999994E-2</v>
      </c>
      <c r="D238" s="6">
        <v>48410</v>
      </c>
      <c r="E238" s="4">
        <f t="shared" si="7"/>
        <v>25.408219178082192</v>
      </c>
      <c r="F238" s="7">
        <f t="shared" si="6"/>
        <v>5.3265054571152652E-2</v>
      </c>
      <c r="J238" s="7"/>
    </row>
    <row r="239" spans="1:10" x14ac:dyDescent="0.25">
      <c r="A239" s="2" t="s">
        <v>25</v>
      </c>
      <c r="B239" s="4">
        <v>107.82</v>
      </c>
      <c r="C239" s="7">
        <v>6.1249999999999999E-2</v>
      </c>
      <c r="D239" s="6">
        <v>48625</v>
      </c>
      <c r="E239" s="4">
        <f t="shared" si="7"/>
        <v>25.997260273972604</v>
      </c>
      <c r="F239" s="7">
        <f t="shared" si="6"/>
        <v>5.5527457085350174E-2</v>
      </c>
      <c r="J239" s="7"/>
    </row>
    <row r="240" spans="1:10" x14ac:dyDescent="0.25">
      <c r="A240" s="2" t="s">
        <v>27</v>
      </c>
      <c r="B240" s="4">
        <v>108.4</v>
      </c>
      <c r="C240" s="7">
        <v>0.06</v>
      </c>
      <c r="D240" s="6">
        <v>48883</v>
      </c>
      <c r="E240" s="4">
        <f t="shared" si="7"/>
        <v>26.704109589041096</v>
      </c>
      <c r="F240" s="7">
        <f t="shared" si="6"/>
        <v>5.4013940638375689E-2</v>
      </c>
      <c r="J240" s="7"/>
    </row>
    <row r="241" spans="1:10" x14ac:dyDescent="0.25">
      <c r="A241" s="2" t="s">
        <v>13</v>
      </c>
      <c r="B241" s="4">
        <v>107.97</v>
      </c>
      <c r="C241" s="7">
        <v>5.7999999999999996E-2</v>
      </c>
      <c r="D241" s="6">
        <v>49171</v>
      </c>
      <c r="E241" s="4">
        <f t="shared" si="7"/>
        <v>27.493150684931507</v>
      </c>
      <c r="F241" s="7">
        <f t="shared" si="6"/>
        <v>5.2488517489148845E-2</v>
      </c>
      <c r="J241" s="7"/>
    </row>
    <row r="242" spans="1:10" x14ac:dyDescent="0.25">
      <c r="A242" s="2" t="s">
        <v>27</v>
      </c>
      <c r="B242" s="4">
        <v>106.82</v>
      </c>
      <c r="C242" s="7">
        <v>5.8499999999999996E-2</v>
      </c>
      <c r="D242" s="6">
        <v>49289</v>
      </c>
      <c r="E242" s="4">
        <f t="shared" si="7"/>
        <v>27.816438356164383</v>
      </c>
      <c r="F242" s="7">
        <f t="shared" si="6"/>
        <v>5.3739897481707551E-2</v>
      </c>
      <c r="J242" s="7"/>
    </row>
    <row r="243" spans="1:10" x14ac:dyDescent="0.25">
      <c r="A243" s="2" t="s">
        <v>45</v>
      </c>
      <c r="B243" s="4">
        <v>97.87</v>
      </c>
      <c r="C243" s="7">
        <v>5.2499999999999998E-2</v>
      </c>
      <c r="D243" s="6">
        <v>49553</v>
      </c>
      <c r="E243" s="4">
        <f t="shared" si="7"/>
        <v>28.539726027397261</v>
      </c>
      <c r="F243" s="7">
        <f t="shared" si="6"/>
        <v>5.3971168173363643E-2</v>
      </c>
      <c r="J243" s="7"/>
    </row>
    <row r="244" spans="1:10" x14ac:dyDescent="0.25">
      <c r="A244" s="2" t="s">
        <v>104</v>
      </c>
      <c r="B244" s="4">
        <v>114.13</v>
      </c>
      <c r="C244" s="7">
        <v>6.5000000000000002E-2</v>
      </c>
      <c r="D244" s="6">
        <v>49797</v>
      </c>
      <c r="E244" s="4">
        <f t="shared" si="7"/>
        <v>29.208219178082192</v>
      </c>
      <c r="F244" s="7">
        <f t="shared" si="6"/>
        <v>5.5193988960653757E-2</v>
      </c>
      <c r="J244" s="7"/>
    </row>
    <row r="245" spans="1:10" x14ac:dyDescent="0.25">
      <c r="A245" s="2" t="s">
        <v>105</v>
      </c>
      <c r="B245" s="4">
        <v>113.93</v>
      </c>
      <c r="C245" s="7">
        <v>6.6250000000000003E-2</v>
      </c>
      <c r="D245" s="6">
        <v>49818</v>
      </c>
      <c r="E245" s="4">
        <f t="shared" si="7"/>
        <v>29.265753424657536</v>
      </c>
      <c r="F245" s="7">
        <f t="shared" si="6"/>
        <v>5.6456944518999762E-2</v>
      </c>
      <c r="J245" s="7"/>
    </row>
    <row r="246" spans="1:10" x14ac:dyDescent="0.25">
      <c r="A246" s="2" t="s">
        <v>27</v>
      </c>
      <c r="B246" s="4">
        <v>109.49</v>
      </c>
      <c r="C246" s="7">
        <v>6.1249999999999999E-2</v>
      </c>
      <c r="D246" s="6">
        <v>49912</v>
      </c>
      <c r="E246" s="4">
        <f t="shared" si="7"/>
        <v>29.523287671232875</v>
      </c>
      <c r="F246" s="7">
        <f t="shared" si="6"/>
        <v>5.4730517967496443E-2</v>
      </c>
      <c r="J246" s="7"/>
    </row>
    <row r="247" spans="1:10" x14ac:dyDescent="0.25">
      <c r="A247" s="2" t="s">
        <v>81</v>
      </c>
      <c r="B247" s="4">
        <v>104.75</v>
      </c>
      <c r="C247" s="7">
        <v>5.7500000000000002E-2</v>
      </c>
      <c r="D247" s="6">
        <v>49994</v>
      </c>
      <c r="E247" s="4">
        <f t="shared" si="7"/>
        <v>29.747945205479454</v>
      </c>
      <c r="F247" s="7">
        <f t="shared" si="6"/>
        <v>5.4257137535448571E-2</v>
      </c>
      <c r="J247" s="7"/>
    </row>
    <row r="248" spans="1:10" x14ac:dyDescent="0.25">
      <c r="A248" s="2" t="s">
        <v>69</v>
      </c>
      <c r="B248" s="4">
        <v>104.24</v>
      </c>
      <c r="C248" s="7">
        <v>5.8749999999999997E-2</v>
      </c>
      <c r="D248" s="6">
        <v>50025</v>
      </c>
      <c r="E248" s="4">
        <f t="shared" si="7"/>
        <v>29.832876712328765</v>
      </c>
      <c r="F248" s="7">
        <f t="shared" si="6"/>
        <v>5.5808294487650255E-2</v>
      </c>
      <c r="J248" s="7"/>
    </row>
    <row r="249" spans="1:10" x14ac:dyDescent="0.25">
      <c r="A249" s="2" t="s">
        <v>106</v>
      </c>
      <c r="B249" s="4">
        <v>105.6</v>
      </c>
      <c r="C249" s="7">
        <v>5.8499999999999996E-2</v>
      </c>
      <c r="D249" s="6">
        <v>50072</v>
      </c>
      <c r="E249" s="4">
        <f t="shared" si="7"/>
        <v>29.961643835616439</v>
      </c>
      <c r="F249" s="7">
        <f t="shared" si="6"/>
        <v>5.4675133941745925E-2</v>
      </c>
      <c r="J249" s="7"/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708, bottom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2024-12-18T05:40:34Z</dcterms:modified>
</cp:coreProperties>
</file>