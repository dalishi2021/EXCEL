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3\practice\"/>
    </mc:Choice>
  </mc:AlternateContent>
  <xr:revisionPtr revIDLastSave="0" documentId="13_ncr:1_{16E33257-E8C6-4A52-A4EF-778360E75FCA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Exercise 6" sheetId="2" r:id="rId2"/>
  </sheets>
  <functionGroups builtInGroupCount="19"/>
  <externalReferences>
    <externalReference r:id="rId3"/>
    <externalReference r:id="rId4"/>
  </externalReferences>
  <definedNames>
    <definedName name="Call">#REF!</definedName>
    <definedName name="down" localSheetId="1">#REF!</definedName>
    <definedName name="implied_call_volatility">'[1]Page 304'!$B$13</definedName>
    <definedName name="Interest">'[1]Page 300'!$B$6</definedName>
    <definedName name="q_down">#REF!</definedName>
    <definedName name="q_up">#REF!</definedName>
    <definedName name="R_">#REF!</definedName>
    <definedName name="s">'[1]Page 300'!$B$3</definedName>
    <definedName name="sigma">'[1]Page 300'!$B$7</definedName>
    <definedName name="solver_adj" localSheetId="1" hidden="1">'Exercise 6'!$R$4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'Exercise 6'!$R$10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1000000</definedName>
    <definedName name="solver_ver" localSheetId="1" hidden="1">3</definedName>
    <definedName name="T">'[1]Page 300'!$B$5</definedName>
    <definedName name="target_call_price">'[1]Page 304'!$B$11</definedName>
    <definedName name="up" localSheetId="1">#REF!</definedName>
    <definedName name="X">'[1]Page 300'!$B$4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9" i="2" l="1"/>
  <c r="R8" i="2"/>
  <c r="R10" i="2" s="1"/>
  <c r="S10" i="2" s="1"/>
  <c r="S4" i="2" s="1"/>
  <c r="C14" i="2"/>
  <c r="C12" i="2"/>
  <c r="B12" i="2"/>
  <c r="B14" i="2"/>
  <c r="B19" i="2" l="1"/>
  <c r="C19" i="2"/>
</calcChain>
</file>

<file path=xl/sharedStrings.xml><?xml version="1.0" encoding="utf-8"?>
<sst xmlns="http://schemas.openxmlformats.org/spreadsheetml/2006/main" count="28" uniqueCount="27">
  <si>
    <r>
      <t>一般看涨期权的</t>
    </r>
    <r>
      <rPr>
        <b/>
        <sz val="14"/>
        <rFont val="Arial"/>
        <family val="2"/>
      </rPr>
      <t>Monte Carlo</t>
    </r>
    <r>
      <rPr>
        <b/>
        <sz val="14"/>
        <rFont val="宋体"/>
        <family val="3"/>
        <charset val="134"/>
      </rPr>
      <t>定价</t>
    </r>
    <phoneticPr fontId="5" type="noConversion"/>
  </si>
  <si>
    <r>
      <t>S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, </t>
    </r>
    <r>
      <rPr>
        <sz val="10"/>
        <rFont val="宋体"/>
        <family val="3"/>
        <charset val="134"/>
      </rPr>
      <t>当前股票价格</t>
    </r>
    <phoneticPr fontId="5" type="noConversion"/>
  </si>
  <si>
    <t>股票投资</t>
    <phoneticPr fontId="5" type="noConversion"/>
  </si>
  <si>
    <t>实业投资</t>
    <phoneticPr fontId="5" type="noConversion"/>
  </si>
  <si>
    <r>
      <t xml:space="preserve">X, </t>
    </r>
    <r>
      <rPr>
        <sz val="10"/>
        <rFont val="宋体"/>
        <family val="3"/>
        <charset val="134"/>
      </rPr>
      <t>执行价格</t>
    </r>
    <phoneticPr fontId="5" type="noConversion"/>
  </si>
  <si>
    <t>A</t>
    <phoneticPr fontId="5" type="noConversion"/>
  </si>
  <si>
    <t xml:space="preserve">B </t>
    <phoneticPr fontId="5" type="noConversion"/>
  </si>
  <si>
    <r>
      <t xml:space="preserve">r, </t>
    </r>
    <r>
      <rPr>
        <sz val="10"/>
        <rFont val="宋体"/>
        <family val="3"/>
        <charset val="134"/>
      </rPr>
      <t>利率</t>
    </r>
    <phoneticPr fontId="5" type="noConversion"/>
  </si>
  <si>
    <t>Amount</t>
    <phoneticPr fontId="5" type="noConversion"/>
  </si>
  <si>
    <r>
      <t xml:space="preserve">T, </t>
    </r>
    <r>
      <rPr>
        <sz val="10"/>
        <rFont val="宋体"/>
        <family val="3"/>
        <charset val="134"/>
      </rPr>
      <t>时间</t>
    </r>
    <phoneticPr fontId="5" type="noConversion"/>
  </si>
  <si>
    <t>win%</t>
    <phoneticPr fontId="5" type="noConversion"/>
  </si>
  <si>
    <r>
      <t>m</t>
    </r>
    <r>
      <rPr>
        <sz val="11"/>
        <color theme="1"/>
        <rFont val="等线"/>
        <family val="2"/>
        <charset val="134"/>
        <scheme val="minor"/>
      </rPr>
      <t xml:space="preserve">, </t>
    </r>
    <r>
      <rPr>
        <sz val="10"/>
        <rFont val="宋体"/>
        <family val="3"/>
        <charset val="134"/>
      </rPr>
      <t>平均股票收益</t>
    </r>
    <phoneticPr fontId="5" type="noConversion"/>
  </si>
  <si>
    <t>Lose%</t>
    <phoneticPr fontId="5" type="noConversion"/>
  </si>
  <si>
    <r>
      <t>s</t>
    </r>
    <r>
      <rPr>
        <sz val="11"/>
        <color theme="1"/>
        <rFont val="等线"/>
        <family val="2"/>
        <charset val="134"/>
        <scheme val="minor"/>
      </rPr>
      <t>, sigma--</t>
    </r>
    <r>
      <rPr>
        <sz val="10"/>
        <rFont val="宋体"/>
        <family val="3"/>
        <charset val="134"/>
      </rPr>
      <t>股票收益标准差</t>
    </r>
    <phoneticPr fontId="5" type="noConversion"/>
  </si>
  <si>
    <t>r%</t>
    <phoneticPr fontId="5" type="noConversion"/>
  </si>
  <si>
    <t>+</t>
    <phoneticPr fontId="5" type="noConversion"/>
  </si>
  <si>
    <r>
      <t xml:space="preserve">n, </t>
    </r>
    <r>
      <rPr>
        <sz val="10"/>
        <rFont val="宋体"/>
        <family val="3"/>
        <charset val="134"/>
      </rPr>
      <t>单位时间划分</t>
    </r>
    <phoneticPr fontId="5" type="noConversion"/>
  </si>
  <si>
    <r>
      <t xml:space="preserve">&lt;-- </t>
    </r>
    <r>
      <rPr>
        <sz val="10"/>
        <rFont val="宋体"/>
        <family val="3"/>
        <charset val="134"/>
      </rPr>
      <t>试着在该值附近运行</t>
    </r>
    <phoneticPr fontId="5" type="noConversion"/>
  </si>
  <si>
    <t>-</t>
    <phoneticPr fontId="5" type="noConversion"/>
  </si>
  <si>
    <t>运行次数</t>
    <phoneticPr fontId="5" type="noConversion"/>
  </si>
  <si>
    <r>
      <t xml:space="preserve">&lt;-- </t>
    </r>
    <r>
      <rPr>
        <sz val="10"/>
        <rFont val="宋体"/>
        <family val="3"/>
        <charset val="134"/>
      </rPr>
      <t>这是模拟运算表中变动的部分</t>
    </r>
    <phoneticPr fontId="5" type="noConversion"/>
  </si>
  <si>
    <t>PNL</t>
    <phoneticPr fontId="5" type="noConversion"/>
  </si>
  <si>
    <t>一般看涨期权</t>
    <phoneticPr fontId="5" type="noConversion"/>
  </si>
  <si>
    <r>
      <t>布莱克</t>
    </r>
    <r>
      <rPr>
        <sz val="11"/>
        <color theme="1"/>
        <rFont val="等线"/>
        <family val="2"/>
        <charset val="134"/>
        <scheme val="minor"/>
      </rPr>
      <t>-</t>
    </r>
    <r>
      <rPr>
        <sz val="10"/>
        <rFont val="宋体"/>
        <family val="3"/>
        <charset val="134"/>
      </rPr>
      <t>斯科尔斯看涨期权</t>
    </r>
    <phoneticPr fontId="5" type="noConversion"/>
  </si>
  <si>
    <r>
      <t>模拟运算表</t>
    </r>
    <r>
      <rPr>
        <sz val="11"/>
        <color theme="1"/>
        <rFont val="等线"/>
        <family val="2"/>
        <charset val="134"/>
        <scheme val="minor"/>
      </rPr>
      <t xml:space="preserve">:  </t>
    </r>
    <r>
      <rPr>
        <sz val="10"/>
        <rFont val="宋体"/>
        <family val="3"/>
        <charset val="134"/>
      </rPr>
      <t>运算次数对一般看涨期权</t>
    </r>
    <r>
      <rPr>
        <sz val="11"/>
        <color theme="1"/>
        <rFont val="等线"/>
        <family val="2"/>
        <charset val="134"/>
        <scheme val="minor"/>
      </rPr>
      <t>MC</t>
    </r>
    <r>
      <rPr>
        <sz val="10"/>
        <rFont val="宋体"/>
        <family val="3"/>
        <charset val="134"/>
      </rPr>
      <t>价值的影响</t>
    </r>
    <phoneticPr fontId="5" type="noConversion"/>
  </si>
  <si>
    <t>Monte Carlo</t>
  </si>
  <si>
    <r>
      <t>布莱克</t>
    </r>
    <r>
      <rPr>
        <sz val="11"/>
        <color theme="1"/>
        <rFont val="等线"/>
        <family val="2"/>
        <charset val="134"/>
        <scheme val="minor"/>
      </rPr>
      <t>-</t>
    </r>
    <r>
      <rPr>
        <sz val="10"/>
        <rFont val="宋体"/>
        <family val="3"/>
        <charset val="134"/>
      </rPr>
      <t>斯科尔斯</t>
    </r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</si>
</sst>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宋体"/>
      <family val="3"/>
      <charset val="134"/>
    </font>
    <font>
      <b/>
      <sz val="14"/>
      <name val="Arial"/>
      <family val="2"/>
    </font>
    <font>
      <sz val="8"/>
      <name val="Arial"/>
      <family val="2"/>
    </font>
    <font>
      <vertAlign val="subscript"/>
      <sz val="10"/>
      <name val="Arial"/>
      <family val="2"/>
    </font>
    <font>
      <sz val="10"/>
      <name val="宋体"/>
      <family val="3"/>
      <charset val="134"/>
    </font>
    <font>
      <sz val="10"/>
      <name val="宋体"/>
      <family val="2"/>
      <charset val="134"/>
    </font>
    <font>
      <sz val="10"/>
      <name val="Symbol"/>
      <family val="1"/>
      <charset val="2"/>
    </font>
    <font>
      <b/>
      <sz val="1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9">
    <xf numFmtId="0" fontId="0" fillId="0" borderId="0" xfId="0">
      <alignment vertical="center"/>
    </xf>
    <xf numFmtId="0" fontId="2" fillId="0" borderId="0" xfId="1"/>
    <xf numFmtId="0" fontId="8" fillId="0" borderId="0" xfId="1" applyFont="1" applyAlignment="1">
      <alignment horizontal="center"/>
    </xf>
    <xf numFmtId="0" fontId="2" fillId="0" borderId="0" xfId="1" applyAlignment="1">
      <alignment horizontal="center"/>
    </xf>
    <xf numFmtId="9" fontId="2" fillId="0" borderId="0" xfId="1" applyNumberFormat="1"/>
    <xf numFmtId="3" fontId="2" fillId="0" borderId="0" xfId="1" applyNumberFormat="1"/>
    <xf numFmtId="0" fontId="9" fillId="0" borderId="0" xfId="1" applyFont="1"/>
    <xf numFmtId="0" fontId="7" fillId="0" borderId="0" xfId="1" applyFont="1"/>
    <xf numFmtId="0" fontId="7" fillId="2" borderId="0" xfId="1" applyFont="1" applyFill="1"/>
    <xf numFmtId="176" fontId="2" fillId="2" borderId="0" xfId="1" applyNumberFormat="1" applyFill="1"/>
    <xf numFmtId="176" fontId="2" fillId="0" borderId="0" xfId="1" applyNumberFormat="1"/>
    <xf numFmtId="0" fontId="2" fillId="0" borderId="0" xfId="1" applyAlignment="1">
      <alignment horizontal="center" vertical="center" wrapText="1"/>
    </xf>
    <xf numFmtId="0" fontId="7" fillId="0" borderId="0" xfId="1" applyFont="1" applyAlignment="1">
      <alignment horizontal="center" vertical="center" wrapText="1"/>
    </xf>
    <xf numFmtId="0" fontId="10" fillId="0" borderId="0" xfId="1" applyFont="1" applyAlignment="1">
      <alignment horizontal="center"/>
    </xf>
    <xf numFmtId="3" fontId="2" fillId="0" borderId="0" xfId="1" applyNumberFormat="1" applyAlignment="1">
      <alignment horizontal="center"/>
    </xf>
    <xf numFmtId="0" fontId="3" fillId="0" borderId="0" xfId="1" applyFont="1" applyAlignment="1">
      <alignment horizontal="center"/>
    </xf>
    <xf numFmtId="0" fontId="4" fillId="0" borderId="0" xfId="1" applyFont="1" applyAlignment="1">
      <alignment horizontal="center"/>
    </xf>
    <xf numFmtId="0" fontId="7" fillId="3" borderId="0" xfId="1" applyFont="1" applyFill="1"/>
    <xf numFmtId="3" fontId="2" fillId="3" borderId="0" xfId="1" applyNumberFormat="1" applyFill="1"/>
  </cellXfs>
  <cellStyles count="2">
    <cellStyle name="常规" xfId="0" builtinId="0"/>
    <cellStyle name="常规 2" xfId="1" xr:uid="{F473B8A1-1CAA-4CB9-9AFC-1C136BB13D4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71841155234659"/>
          <c:y val="7.3891714482607659E-2"/>
          <c:w val="0.78339350180505418"/>
          <c:h val="0.82266108790636527"/>
        </c:manualLayout>
      </c:layout>
      <c:scatterChart>
        <c:scatterStyle val="lineMarker"/>
        <c:varyColors val="0"/>
        <c:ser>
          <c:idx val="0"/>
          <c:order val="0"/>
          <c:tx>
            <c:v>Monte Carlo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'Exercise 6'!$A$20:$A$33</c:f>
              <c:numCache>
                <c:formatCode>#,##0</c:formatCode>
                <c:ptCount val="14"/>
                <c:pt idx="0">
                  <c:v>100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</c:numCache>
            </c:numRef>
          </c:xVal>
          <c:yVal>
            <c:numRef>
              <c:f>'Exercise 6'!$B$20:$B$33</c:f>
              <c:numCache>
                <c:formatCode>0.0000</c:formatCode>
                <c:ptCount val="14"/>
                <c:pt idx="0">
                  <c:v>10.610825627905831</c:v>
                </c:pt>
                <c:pt idx="1">
                  <c:v>10.947940666073222</c:v>
                </c:pt>
                <c:pt idx="2">
                  <c:v>10.483906824885294</c:v>
                </c:pt>
                <c:pt idx="3">
                  <c:v>10.714518931242553</c:v>
                </c:pt>
                <c:pt idx="4">
                  <c:v>10.886447496447483</c:v>
                </c:pt>
                <c:pt idx="5">
                  <c:v>10.671903542883967</c:v>
                </c:pt>
                <c:pt idx="6">
                  <c:v>11.104331663062787</c:v>
                </c:pt>
                <c:pt idx="7">
                  <c:v>10.756691956344659</c:v>
                </c:pt>
                <c:pt idx="8">
                  <c:v>10.77111838338025</c:v>
                </c:pt>
                <c:pt idx="9">
                  <c:v>10.935797963648824</c:v>
                </c:pt>
                <c:pt idx="10">
                  <c:v>10.977828301974238</c:v>
                </c:pt>
                <c:pt idx="11">
                  <c:v>10.550457569747101</c:v>
                </c:pt>
                <c:pt idx="12">
                  <c:v>10.973863755054726</c:v>
                </c:pt>
                <c:pt idx="13">
                  <c:v>10.642515195576058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21-480C-96F3-5D4FD93C5732}"/>
            </c:ext>
          </c:extLst>
        </c:ser>
        <c:ser>
          <c:idx val="1"/>
          <c:order val="1"/>
          <c:tx>
            <c:v>布莱克-斯科尔斯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'Exercise 6'!$A$20:$A$33</c:f>
              <c:numCache>
                <c:formatCode>#,##0</c:formatCode>
                <c:ptCount val="14"/>
                <c:pt idx="0">
                  <c:v>100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</c:numCache>
            </c:numRef>
          </c:xVal>
          <c:yVal>
            <c:numRef>
              <c:f>'Exercise 6'!$C$20:$C$33</c:f>
              <c:numCache>
                <c:formatCode>0.0000</c:formatCode>
                <c:ptCount val="14"/>
                <c:pt idx="0">
                  <c:v>10.894832632071534</c:v>
                </c:pt>
                <c:pt idx="1">
                  <c:v>10.894832632071534</c:v>
                </c:pt>
                <c:pt idx="2">
                  <c:v>10.894832632071534</c:v>
                </c:pt>
                <c:pt idx="3">
                  <c:v>10.894832632071534</c:v>
                </c:pt>
                <c:pt idx="4">
                  <c:v>10.894832632071534</c:v>
                </c:pt>
                <c:pt idx="5">
                  <c:v>10.894832632071534</c:v>
                </c:pt>
                <c:pt idx="6">
                  <c:v>10.894832632071534</c:v>
                </c:pt>
                <c:pt idx="7">
                  <c:v>10.894832632071534</c:v>
                </c:pt>
                <c:pt idx="8">
                  <c:v>10.894832632071534</c:v>
                </c:pt>
                <c:pt idx="9">
                  <c:v>10.894832632071534</c:v>
                </c:pt>
                <c:pt idx="10">
                  <c:v>10.894832632071534</c:v>
                </c:pt>
                <c:pt idx="11">
                  <c:v>10.894832632071534</c:v>
                </c:pt>
                <c:pt idx="12">
                  <c:v>10.894832632071534</c:v>
                </c:pt>
                <c:pt idx="13">
                  <c:v>10.894832632071534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21-480C-96F3-5D4FD93C5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130240"/>
        <c:axId val="1"/>
      </c:scatterChart>
      <c:valAx>
        <c:axId val="832130240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3213024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6498194945848379"/>
          <c:y val="0.68226683038941072"/>
          <c:w val="0.24007220216606504"/>
          <c:h val="0.1009853431262304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213360</xdr:colOff>
      <xdr:row>15</xdr:row>
      <xdr:rowOff>0</xdr:rowOff>
    </xdr:from>
    <xdr:to>
      <xdr:col>12</xdr:col>
      <xdr:colOff>0</xdr:colOff>
      <xdr:row>36</xdr:row>
      <xdr:rowOff>106680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DA25B5C6-BE37-43B9-A76D-00FBAF27E5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200025</xdr:colOff>
      <xdr:row>12</xdr:row>
      <xdr:rowOff>142875</xdr:rowOff>
    </xdr:from>
    <xdr:to>
      <xdr:col>31</xdr:col>
      <xdr:colOff>495078</xdr:colOff>
      <xdr:row>56</xdr:row>
      <xdr:rowOff>134424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3D5E59E4-61E4-0BCE-62CB-9E00010AC4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01325" y="2286000"/>
          <a:ext cx="12058428" cy="76972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FM,%20Second%20edition/Disk%20with%20book/Chapter%20files/Chapter%2016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298-299"/>
      <sheetName val="VBA functions, pp. 199-200, 203"/>
      <sheetName val="Page 300"/>
      <sheetName val="Page 301"/>
      <sheetName val="Page 302"/>
      <sheetName val="Page 304"/>
      <sheetName val="Page 305-306"/>
      <sheetName val="Page 306 chart"/>
    </sheetNames>
    <sheetDataSet>
      <sheetData sheetId="0" refreshError="1"/>
      <sheetData sheetId="1" refreshError="1"/>
      <sheetData sheetId="2">
        <row r="3">
          <cell r="B3">
            <v>100</v>
          </cell>
        </row>
        <row r="4">
          <cell r="B4">
            <v>100</v>
          </cell>
        </row>
        <row r="5">
          <cell r="B5">
            <v>1</v>
          </cell>
        </row>
        <row r="6">
          <cell r="B6">
            <v>0.1</v>
          </cell>
        </row>
        <row r="7">
          <cell r="B7">
            <v>0.4</v>
          </cell>
        </row>
      </sheetData>
      <sheetData sheetId="3" refreshError="1"/>
      <sheetData sheetId="4" refreshError="1"/>
      <sheetData sheetId="5">
        <row r="11">
          <cell r="B11">
            <v>6</v>
          </cell>
        </row>
        <row r="13">
          <cell r="B13" t="e">
            <v>#NAME?</v>
          </cell>
        </row>
      </sheetData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Call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N30" sqref="N30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0F527-6C30-47E1-9AF8-439F33577840}">
  <sheetPr codeName="Sheet11"/>
  <dimension ref="A1:S40"/>
  <sheetViews>
    <sheetView tabSelected="1" workbookViewId="0">
      <selection activeCell="H45" sqref="H45"/>
    </sheetView>
  </sheetViews>
  <sheetFormatPr defaultRowHeight="13.2" x14ac:dyDescent="0.25"/>
  <cols>
    <col min="1" max="1" width="36.44140625" style="1" customWidth="1"/>
    <col min="2" max="2" width="8.88671875" style="1"/>
    <col min="3" max="3" width="17.44140625" style="1" customWidth="1"/>
    <col min="4" max="14" width="8.88671875" style="1"/>
    <col min="15" max="15" width="9.6640625" style="1" bestFit="1" customWidth="1"/>
    <col min="16" max="16" width="8.88671875" style="1"/>
    <col min="17" max="17" width="13.5546875" style="1" bestFit="1" customWidth="1"/>
    <col min="18" max="18" width="13.109375" style="1" customWidth="1"/>
    <col min="19" max="19" width="10.6640625" style="1" bestFit="1" customWidth="1"/>
    <col min="20" max="256" width="8.88671875" style="1"/>
    <col min="257" max="257" width="36.44140625" style="1" customWidth="1"/>
    <col min="258" max="258" width="8.88671875" style="1"/>
    <col min="259" max="259" width="17.44140625" style="1" customWidth="1"/>
    <col min="260" max="270" width="8.88671875" style="1"/>
    <col min="271" max="271" width="9.6640625" style="1" bestFit="1" customWidth="1"/>
    <col min="272" max="272" width="8.88671875" style="1"/>
    <col min="273" max="273" width="13.5546875" style="1" bestFit="1" customWidth="1"/>
    <col min="274" max="274" width="13.109375" style="1" customWidth="1"/>
    <col min="275" max="275" width="10.6640625" style="1" bestFit="1" customWidth="1"/>
    <col min="276" max="512" width="8.88671875" style="1"/>
    <col min="513" max="513" width="36.44140625" style="1" customWidth="1"/>
    <col min="514" max="514" width="8.88671875" style="1"/>
    <col min="515" max="515" width="17.44140625" style="1" customWidth="1"/>
    <col min="516" max="526" width="8.88671875" style="1"/>
    <col min="527" max="527" width="9.6640625" style="1" bestFit="1" customWidth="1"/>
    <col min="528" max="528" width="8.88671875" style="1"/>
    <col min="529" max="529" width="13.5546875" style="1" bestFit="1" customWidth="1"/>
    <col min="530" max="530" width="13.109375" style="1" customWidth="1"/>
    <col min="531" max="531" width="10.6640625" style="1" bestFit="1" customWidth="1"/>
    <col min="532" max="768" width="8.88671875" style="1"/>
    <col min="769" max="769" width="36.44140625" style="1" customWidth="1"/>
    <col min="770" max="770" width="8.88671875" style="1"/>
    <col min="771" max="771" width="17.44140625" style="1" customWidth="1"/>
    <col min="772" max="782" width="8.88671875" style="1"/>
    <col min="783" max="783" width="9.6640625" style="1" bestFit="1" customWidth="1"/>
    <col min="784" max="784" width="8.88671875" style="1"/>
    <col min="785" max="785" width="13.5546875" style="1" bestFit="1" customWidth="1"/>
    <col min="786" max="786" width="13.109375" style="1" customWidth="1"/>
    <col min="787" max="787" width="10.6640625" style="1" bestFit="1" customWidth="1"/>
    <col min="788" max="1024" width="8.88671875" style="1"/>
    <col min="1025" max="1025" width="36.44140625" style="1" customWidth="1"/>
    <col min="1026" max="1026" width="8.88671875" style="1"/>
    <col min="1027" max="1027" width="17.44140625" style="1" customWidth="1"/>
    <col min="1028" max="1038" width="8.88671875" style="1"/>
    <col min="1039" max="1039" width="9.6640625" style="1" bestFit="1" customWidth="1"/>
    <col min="1040" max="1040" width="8.88671875" style="1"/>
    <col min="1041" max="1041" width="13.5546875" style="1" bestFit="1" customWidth="1"/>
    <col min="1042" max="1042" width="13.109375" style="1" customWidth="1"/>
    <col min="1043" max="1043" width="10.6640625" style="1" bestFit="1" customWidth="1"/>
    <col min="1044" max="1280" width="8.88671875" style="1"/>
    <col min="1281" max="1281" width="36.44140625" style="1" customWidth="1"/>
    <col min="1282" max="1282" width="8.88671875" style="1"/>
    <col min="1283" max="1283" width="17.44140625" style="1" customWidth="1"/>
    <col min="1284" max="1294" width="8.88671875" style="1"/>
    <col min="1295" max="1295" width="9.6640625" style="1" bestFit="1" customWidth="1"/>
    <col min="1296" max="1296" width="8.88671875" style="1"/>
    <col min="1297" max="1297" width="13.5546875" style="1" bestFit="1" customWidth="1"/>
    <col min="1298" max="1298" width="13.109375" style="1" customWidth="1"/>
    <col min="1299" max="1299" width="10.6640625" style="1" bestFit="1" customWidth="1"/>
    <col min="1300" max="1536" width="8.88671875" style="1"/>
    <col min="1537" max="1537" width="36.44140625" style="1" customWidth="1"/>
    <col min="1538" max="1538" width="8.88671875" style="1"/>
    <col min="1539" max="1539" width="17.44140625" style="1" customWidth="1"/>
    <col min="1540" max="1550" width="8.88671875" style="1"/>
    <col min="1551" max="1551" width="9.6640625" style="1" bestFit="1" customWidth="1"/>
    <col min="1552" max="1552" width="8.88671875" style="1"/>
    <col min="1553" max="1553" width="13.5546875" style="1" bestFit="1" customWidth="1"/>
    <col min="1554" max="1554" width="13.109375" style="1" customWidth="1"/>
    <col min="1555" max="1555" width="10.6640625" style="1" bestFit="1" customWidth="1"/>
    <col min="1556" max="1792" width="8.88671875" style="1"/>
    <col min="1793" max="1793" width="36.44140625" style="1" customWidth="1"/>
    <col min="1794" max="1794" width="8.88671875" style="1"/>
    <col min="1795" max="1795" width="17.44140625" style="1" customWidth="1"/>
    <col min="1796" max="1806" width="8.88671875" style="1"/>
    <col min="1807" max="1807" width="9.6640625" style="1" bestFit="1" customWidth="1"/>
    <col min="1808" max="1808" width="8.88671875" style="1"/>
    <col min="1809" max="1809" width="13.5546875" style="1" bestFit="1" customWidth="1"/>
    <col min="1810" max="1810" width="13.109375" style="1" customWidth="1"/>
    <col min="1811" max="1811" width="10.6640625" style="1" bestFit="1" customWidth="1"/>
    <col min="1812" max="2048" width="8.88671875" style="1"/>
    <col min="2049" max="2049" width="36.44140625" style="1" customWidth="1"/>
    <col min="2050" max="2050" width="8.88671875" style="1"/>
    <col min="2051" max="2051" width="17.44140625" style="1" customWidth="1"/>
    <col min="2052" max="2062" width="8.88671875" style="1"/>
    <col min="2063" max="2063" width="9.6640625" style="1" bestFit="1" customWidth="1"/>
    <col min="2064" max="2064" width="8.88671875" style="1"/>
    <col min="2065" max="2065" width="13.5546875" style="1" bestFit="1" customWidth="1"/>
    <col min="2066" max="2066" width="13.109375" style="1" customWidth="1"/>
    <col min="2067" max="2067" width="10.6640625" style="1" bestFit="1" customWidth="1"/>
    <col min="2068" max="2304" width="8.88671875" style="1"/>
    <col min="2305" max="2305" width="36.44140625" style="1" customWidth="1"/>
    <col min="2306" max="2306" width="8.88671875" style="1"/>
    <col min="2307" max="2307" width="17.44140625" style="1" customWidth="1"/>
    <col min="2308" max="2318" width="8.88671875" style="1"/>
    <col min="2319" max="2319" width="9.6640625" style="1" bestFit="1" customWidth="1"/>
    <col min="2320" max="2320" width="8.88671875" style="1"/>
    <col min="2321" max="2321" width="13.5546875" style="1" bestFit="1" customWidth="1"/>
    <col min="2322" max="2322" width="13.109375" style="1" customWidth="1"/>
    <col min="2323" max="2323" width="10.6640625" style="1" bestFit="1" customWidth="1"/>
    <col min="2324" max="2560" width="8.88671875" style="1"/>
    <col min="2561" max="2561" width="36.44140625" style="1" customWidth="1"/>
    <col min="2562" max="2562" width="8.88671875" style="1"/>
    <col min="2563" max="2563" width="17.44140625" style="1" customWidth="1"/>
    <col min="2564" max="2574" width="8.88671875" style="1"/>
    <col min="2575" max="2575" width="9.6640625" style="1" bestFit="1" customWidth="1"/>
    <col min="2576" max="2576" width="8.88671875" style="1"/>
    <col min="2577" max="2577" width="13.5546875" style="1" bestFit="1" customWidth="1"/>
    <col min="2578" max="2578" width="13.109375" style="1" customWidth="1"/>
    <col min="2579" max="2579" width="10.6640625" style="1" bestFit="1" customWidth="1"/>
    <col min="2580" max="2816" width="8.88671875" style="1"/>
    <col min="2817" max="2817" width="36.44140625" style="1" customWidth="1"/>
    <col min="2818" max="2818" width="8.88671875" style="1"/>
    <col min="2819" max="2819" width="17.44140625" style="1" customWidth="1"/>
    <col min="2820" max="2830" width="8.88671875" style="1"/>
    <col min="2831" max="2831" width="9.6640625" style="1" bestFit="1" customWidth="1"/>
    <col min="2832" max="2832" width="8.88671875" style="1"/>
    <col min="2833" max="2833" width="13.5546875" style="1" bestFit="1" customWidth="1"/>
    <col min="2834" max="2834" width="13.109375" style="1" customWidth="1"/>
    <col min="2835" max="2835" width="10.6640625" style="1" bestFit="1" customWidth="1"/>
    <col min="2836" max="3072" width="8.88671875" style="1"/>
    <col min="3073" max="3073" width="36.44140625" style="1" customWidth="1"/>
    <col min="3074" max="3074" width="8.88671875" style="1"/>
    <col min="3075" max="3075" width="17.44140625" style="1" customWidth="1"/>
    <col min="3076" max="3086" width="8.88671875" style="1"/>
    <col min="3087" max="3087" width="9.6640625" style="1" bestFit="1" customWidth="1"/>
    <col min="3088" max="3088" width="8.88671875" style="1"/>
    <col min="3089" max="3089" width="13.5546875" style="1" bestFit="1" customWidth="1"/>
    <col min="3090" max="3090" width="13.109375" style="1" customWidth="1"/>
    <col min="3091" max="3091" width="10.6640625" style="1" bestFit="1" customWidth="1"/>
    <col min="3092" max="3328" width="8.88671875" style="1"/>
    <col min="3329" max="3329" width="36.44140625" style="1" customWidth="1"/>
    <col min="3330" max="3330" width="8.88671875" style="1"/>
    <col min="3331" max="3331" width="17.44140625" style="1" customWidth="1"/>
    <col min="3332" max="3342" width="8.88671875" style="1"/>
    <col min="3343" max="3343" width="9.6640625" style="1" bestFit="1" customWidth="1"/>
    <col min="3344" max="3344" width="8.88671875" style="1"/>
    <col min="3345" max="3345" width="13.5546875" style="1" bestFit="1" customWidth="1"/>
    <col min="3346" max="3346" width="13.109375" style="1" customWidth="1"/>
    <col min="3347" max="3347" width="10.6640625" style="1" bestFit="1" customWidth="1"/>
    <col min="3348" max="3584" width="8.88671875" style="1"/>
    <col min="3585" max="3585" width="36.44140625" style="1" customWidth="1"/>
    <col min="3586" max="3586" width="8.88671875" style="1"/>
    <col min="3587" max="3587" width="17.44140625" style="1" customWidth="1"/>
    <col min="3588" max="3598" width="8.88671875" style="1"/>
    <col min="3599" max="3599" width="9.6640625" style="1" bestFit="1" customWidth="1"/>
    <col min="3600" max="3600" width="8.88671875" style="1"/>
    <col min="3601" max="3601" width="13.5546875" style="1" bestFit="1" customWidth="1"/>
    <col min="3602" max="3602" width="13.109375" style="1" customWidth="1"/>
    <col min="3603" max="3603" width="10.6640625" style="1" bestFit="1" customWidth="1"/>
    <col min="3604" max="3840" width="8.88671875" style="1"/>
    <col min="3841" max="3841" width="36.44140625" style="1" customWidth="1"/>
    <col min="3842" max="3842" width="8.88671875" style="1"/>
    <col min="3843" max="3843" width="17.44140625" style="1" customWidth="1"/>
    <col min="3844" max="3854" width="8.88671875" style="1"/>
    <col min="3855" max="3855" width="9.6640625" style="1" bestFit="1" customWidth="1"/>
    <col min="3856" max="3856" width="8.88671875" style="1"/>
    <col min="3857" max="3857" width="13.5546875" style="1" bestFit="1" customWidth="1"/>
    <col min="3858" max="3858" width="13.109375" style="1" customWidth="1"/>
    <col min="3859" max="3859" width="10.6640625" style="1" bestFit="1" customWidth="1"/>
    <col min="3860" max="4096" width="8.88671875" style="1"/>
    <col min="4097" max="4097" width="36.44140625" style="1" customWidth="1"/>
    <col min="4098" max="4098" width="8.88671875" style="1"/>
    <col min="4099" max="4099" width="17.44140625" style="1" customWidth="1"/>
    <col min="4100" max="4110" width="8.88671875" style="1"/>
    <col min="4111" max="4111" width="9.6640625" style="1" bestFit="1" customWidth="1"/>
    <col min="4112" max="4112" width="8.88671875" style="1"/>
    <col min="4113" max="4113" width="13.5546875" style="1" bestFit="1" customWidth="1"/>
    <col min="4114" max="4114" width="13.109375" style="1" customWidth="1"/>
    <col min="4115" max="4115" width="10.6640625" style="1" bestFit="1" customWidth="1"/>
    <col min="4116" max="4352" width="8.88671875" style="1"/>
    <col min="4353" max="4353" width="36.44140625" style="1" customWidth="1"/>
    <col min="4354" max="4354" width="8.88671875" style="1"/>
    <col min="4355" max="4355" width="17.44140625" style="1" customWidth="1"/>
    <col min="4356" max="4366" width="8.88671875" style="1"/>
    <col min="4367" max="4367" width="9.6640625" style="1" bestFit="1" customWidth="1"/>
    <col min="4368" max="4368" width="8.88671875" style="1"/>
    <col min="4369" max="4369" width="13.5546875" style="1" bestFit="1" customWidth="1"/>
    <col min="4370" max="4370" width="13.109375" style="1" customWidth="1"/>
    <col min="4371" max="4371" width="10.6640625" style="1" bestFit="1" customWidth="1"/>
    <col min="4372" max="4608" width="8.88671875" style="1"/>
    <col min="4609" max="4609" width="36.44140625" style="1" customWidth="1"/>
    <col min="4610" max="4610" width="8.88671875" style="1"/>
    <col min="4611" max="4611" width="17.44140625" style="1" customWidth="1"/>
    <col min="4612" max="4622" width="8.88671875" style="1"/>
    <col min="4623" max="4623" width="9.6640625" style="1" bestFit="1" customWidth="1"/>
    <col min="4624" max="4624" width="8.88671875" style="1"/>
    <col min="4625" max="4625" width="13.5546875" style="1" bestFit="1" customWidth="1"/>
    <col min="4626" max="4626" width="13.109375" style="1" customWidth="1"/>
    <col min="4627" max="4627" width="10.6640625" style="1" bestFit="1" customWidth="1"/>
    <col min="4628" max="4864" width="8.88671875" style="1"/>
    <col min="4865" max="4865" width="36.44140625" style="1" customWidth="1"/>
    <col min="4866" max="4866" width="8.88671875" style="1"/>
    <col min="4867" max="4867" width="17.44140625" style="1" customWidth="1"/>
    <col min="4868" max="4878" width="8.88671875" style="1"/>
    <col min="4879" max="4879" width="9.6640625" style="1" bestFit="1" customWidth="1"/>
    <col min="4880" max="4880" width="8.88671875" style="1"/>
    <col min="4881" max="4881" width="13.5546875" style="1" bestFit="1" customWidth="1"/>
    <col min="4882" max="4882" width="13.109375" style="1" customWidth="1"/>
    <col min="4883" max="4883" width="10.6640625" style="1" bestFit="1" customWidth="1"/>
    <col min="4884" max="5120" width="8.88671875" style="1"/>
    <col min="5121" max="5121" width="36.44140625" style="1" customWidth="1"/>
    <col min="5122" max="5122" width="8.88671875" style="1"/>
    <col min="5123" max="5123" width="17.44140625" style="1" customWidth="1"/>
    <col min="5124" max="5134" width="8.88671875" style="1"/>
    <col min="5135" max="5135" width="9.6640625" style="1" bestFit="1" customWidth="1"/>
    <col min="5136" max="5136" width="8.88671875" style="1"/>
    <col min="5137" max="5137" width="13.5546875" style="1" bestFit="1" customWidth="1"/>
    <col min="5138" max="5138" width="13.109375" style="1" customWidth="1"/>
    <col min="5139" max="5139" width="10.6640625" style="1" bestFit="1" customWidth="1"/>
    <col min="5140" max="5376" width="8.88671875" style="1"/>
    <col min="5377" max="5377" width="36.44140625" style="1" customWidth="1"/>
    <col min="5378" max="5378" width="8.88671875" style="1"/>
    <col min="5379" max="5379" width="17.44140625" style="1" customWidth="1"/>
    <col min="5380" max="5390" width="8.88671875" style="1"/>
    <col min="5391" max="5391" width="9.6640625" style="1" bestFit="1" customWidth="1"/>
    <col min="5392" max="5392" width="8.88671875" style="1"/>
    <col min="5393" max="5393" width="13.5546875" style="1" bestFit="1" customWidth="1"/>
    <col min="5394" max="5394" width="13.109375" style="1" customWidth="1"/>
    <col min="5395" max="5395" width="10.6640625" style="1" bestFit="1" customWidth="1"/>
    <col min="5396" max="5632" width="8.88671875" style="1"/>
    <col min="5633" max="5633" width="36.44140625" style="1" customWidth="1"/>
    <col min="5634" max="5634" width="8.88671875" style="1"/>
    <col min="5635" max="5635" width="17.44140625" style="1" customWidth="1"/>
    <col min="5636" max="5646" width="8.88671875" style="1"/>
    <col min="5647" max="5647" width="9.6640625" style="1" bestFit="1" customWidth="1"/>
    <col min="5648" max="5648" width="8.88671875" style="1"/>
    <col min="5649" max="5649" width="13.5546875" style="1" bestFit="1" customWidth="1"/>
    <col min="5650" max="5650" width="13.109375" style="1" customWidth="1"/>
    <col min="5651" max="5651" width="10.6640625" style="1" bestFit="1" customWidth="1"/>
    <col min="5652" max="5888" width="8.88671875" style="1"/>
    <col min="5889" max="5889" width="36.44140625" style="1" customWidth="1"/>
    <col min="5890" max="5890" width="8.88671875" style="1"/>
    <col min="5891" max="5891" width="17.44140625" style="1" customWidth="1"/>
    <col min="5892" max="5902" width="8.88671875" style="1"/>
    <col min="5903" max="5903" width="9.6640625" style="1" bestFit="1" customWidth="1"/>
    <col min="5904" max="5904" width="8.88671875" style="1"/>
    <col min="5905" max="5905" width="13.5546875" style="1" bestFit="1" customWidth="1"/>
    <col min="5906" max="5906" width="13.109375" style="1" customWidth="1"/>
    <col min="5907" max="5907" width="10.6640625" style="1" bestFit="1" customWidth="1"/>
    <col min="5908" max="6144" width="8.88671875" style="1"/>
    <col min="6145" max="6145" width="36.44140625" style="1" customWidth="1"/>
    <col min="6146" max="6146" width="8.88671875" style="1"/>
    <col min="6147" max="6147" width="17.44140625" style="1" customWidth="1"/>
    <col min="6148" max="6158" width="8.88671875" style="1"/>
    <col min="6159" max="6159" width="9.6640625" style="1" bestFit="1" customWidth="1"/>
    <col min="6160" max="6160" width="8.88671875" style="1"/>
    <col min="6161" max="6161" width="13.5546875" style="1" bestFit="1" customWidth="1"/>
    <col min="6162" max="6162" width="13.109375" style="1" customWidth="1"/>
    <col min="6163" max="6163" width="10.6640625" style="1" bestFit="1" customWidth="1"/>
    <col min="6164" max="6400" width="8.88671875" style="1"/>
    <col min="6401" max="6401" width="36.44140625" style="1" customWidth="1"/>
    <col min="6402" max="6402" width="8.88671875" style="1"/>
    <col min="6403" max="6403" width="17.44140625" style="1" customWidth="1"/>
    <col min="6404" max="6414" width="8.88671875" style="1"/>
    <col min="6415" max="6415" width="9.6640625" style="1" bestFit="1" customWidth="1"/>
    <col min="6416" max="6416" width="8.88671875" style="1"/>
    <col min="6417" max="6417" width="13.5546875" style="1" bestFit="1" customWidth="1"/>
    <col min="6418" max="6418" width="13.109375" style="1" customWidth="1"/>
    <col min="6419" max="6419" width="10.6640625" style="1" bestFit="1" customWidth="1"/>
    <col min="6420" max="6656" width="8.88671875" style="1"/>
    <col min="6657" max="6657" width="36.44140625" style="1" customWidth="1"/>
    <col min="6658" max="6658" width="8.88671875" style="1"/>
    <col min="6659" max="6659" width="17.44140625" style="1" customWidth="1"/>
    <col min="6660" max="6670" width="8.88671875" style="1"/>
    <col min="6671" max="6671" width="9.6640625" style="1" bestFit="1" customWidth="1"/>
    <col min="6672" max="6672" width="8.88671875" style="1"/>
    <col min="6673" max="6673" width="13.5546875" style="1" bestFit="1" customWidth="1"/>
    <col min="6674" max="6674" width="13.109375" style="1" customWidth="1"/>
    <col min="6675" max="6675" width="10.6640625" style="1" bestFit="1" customWidth="1"/>
    <col min="6676" max="6912" width="8.88671875" style="1"/>
    <col min="6913" max="6913" width="36.44140625" style="1" customWidth="1"/>
    <col min="6914" max="6914" width="8.88671875" style="1"/>
    <col min="6915" max="6915" width="17.44140625" style="1" customWidth="1"/>
    <col min="6916" max="6926" width="8.88671875" style="1"/>
    <col min="6927" max="6927" width="9.6640625" style="1" bestFit="1" customWidth="1"/>
    <col min="6928" max="6928" width="8.88671875" style="1"/>
    <col min="6929" max="6929" width="13.5546875" style="1" bestFit="1" customWidth="1"/>
    <col min="6930" max="6930" width="13.109375" style="1" customWidth="1"/>
    <col min="6931" max="6931" width="10.6640625" style="1" bestFit="1" customWidth="1"/>
    <col min="6932" max="7168" width="8.88671875" style="1"/>
    <col min="7169" max="7169" width="36.44140625" style="1" customWidth="1"/>
    <col min="7170" max="7170" width="8.88671875" style="1"/>
    <col min="7171" max="7171" width="17.44140625" style="1" customWidth="1"/>
    <col min="7172" max="7182" width="8.88671875" style="1"/>
    <col min="7183" max="7183" width="9.6640625" style="1" bestFit="1" customWidth="1"/>
    <col min="7184" max="7184" width="8.88671875" style="1"/>
    <col min="7185" max="7185" width="13.5546875" style="1" bestFit="1" customWidth="1"/>
    <col min="7186" max="7186" width="13.109375" style="1" customWidth="1"/>
    <col min="7187" max="7187" width="10.6640625" style="1" bestFit="1" customWidth="1"/>
    <col min="7188" max="7424" width="8.88671875" style="1"/>
    <col min="7425" max="7425" width="36.44140625" style="1" customWidth="1"/>
    <col min="7426" max="7426" width="8.88671875" style="1"/>
    <col min="7427" max="7427" width="17.44140625" style="1" customWidth="1"/>
    <col min="7428" max="7438" width="8.88671875" style="1"/>
    <col min="7439" max="7439" width="9.6640625" style="1" bestFit="1" customWidth="1"/>
    <col min="7440" max="7440" width="8.88671875" style="1"/>
    <col min="7441" max="7441" width="13.5546875" style="1" bestFit="1" customWidth="1"/>
    <col min="7442" max="7442" width="13.109375" style="1" customWidth="1"/>
    <col min="7443" max="7443" width="10.6640625" style="1" bestFit="1" customWidth="1"/>
    <col min="7444" max="7680" width="8.88671875" style="1"/>
    <col min="7681" max="7681" width="36.44140625" style="1" customWidth="1"/>
    <col min="7682" max="7682" width="8.88671875" style="1"/>
    <col min="7683" max="7683" width="17.44140625" style="1" customWidth="1"/>
    <col min="7684" max="7694" width="8.88671875" style="1"/>
    <col min="7695" max="7695" width="9.6640625" style="1" bestFit="1" customWidth="1"/>
    <col min="7696" max="7696" width="8.88671875" style="1"/>
    <col min="7697" max="7697" width="13.5546875" style="1" bestFit="1" customWidth="1"/>
    <col min="7698" max="7698" width="13.109375" style="1" customWidth="1"/>
    <col min="7699" max="7699" width="10.6640625" style="1" bestFit="1" customWidth="1"/>
    <col min="7700" max="7936" width="8.88671875" style="1"/>
    <col min="7937" max="7937" width="36.44140625" style="1" customWidth="1"/>
    <col min="7938" max="7938" width="8.88671875" style="1"/>
    <col min="7939" max="7939" width="17.44140625" style="1" customWidth="1"/>
    <col min="7940" max="7950" width="8.88671875" style="1"/>
    <col min="7951" max="7951" width="9.6640625" style="1" bestFit="1" customWidth="1"/>
    <col min="7952" max="7952" width="8.88671875" style="1"/>
    <col min="7953" max="7953" width="13.5546875" style="1" bestFit="1" customWidth="1"/>
    <col min="7954" max="7954" width="13.109375" style="1" customWidth="1"/>
    <col min="7955" max="7955" width="10.6640625" style="1" bestFit="1" customWidth="1"/>
    <col min="7956" max="8192" width="8.88671875" style="1"/>
    <col min="8193" max="8193" width="36.44140625" style="1" customWidth="1"/>
    <col min="8194" max="8194" width="8.88671875" style="1"/>
    <col min="8195" max="8195" width="17.44140625" style="1" customWidth="1"/>
    <col min="8196" max="8206" width="8.88671875" style="1"/>
    <col min="8207" max="8207" width="9.6640625" style="1" bestFit="1" customWidth="1"/>
    <col min="8208" max="8208" width="8.88671875" style="1"/>
    <col min="8209" max="8209" width="13.5546875" style="1" bestFit="1" customWidth="1"/>
    <col min="8210" max="8210" width="13.109375" style="1" customWidth="1"/>
    <col min="8211" max="8211" width="10.6640625" style="1" bestFit="1" customWidth="1"/>
    <col min="8212" max="8448" width="8.88671875" style="1"/>
    <col min="8449" max="8449" width="36.44140625" style="1" customWidth="1"/>
    <col min="8450" max="8450" width="8.88671875" style="1"/>
    <col min="8451" max="8451" width="17.44140625" style="1" customWidth="1"/>
    <col min="8452" max="8462" width="8.88671875" style="1"/>
    <col min="8463" max="8463" width="9.6640625" style="1" bestFit="1" customWidth="1"/>
    <col min="8464" max="8464" width="8.88671875" style="1"/>
    <col min="8465" max="8465" width="13.5546875" style="1" bestFit="1" customWidth="1"/>
    <col min="8466" max="8466" width="13.109375" style="1" customWidth="1"/>
    <col min="8467" max="8467" width="10.6640625" style="1" bestFit="1" customWidth="1"/>
    <col min="8468" max="8704" width="8.88671875" style="1"/>
    <col min="8705" max="8705" width="36.44140625" style="1" customWidth="1"/>
    <col min="8706" max="8706" width="8.88671875" style="1"/>
    <col min="8707" max="8707" width="17.44140625" style="1" customWidth="1"/>
    <col min="8708" max="8718" width="8.88671875" style="1"/>
    <col min="8719" max="8719" width="9.6640625" style="1" bestFit="1" customWidth="1"/>
    <col min="8720" max="8720" width="8.88671875" style="1"/>
    <col min="8721" max="8721" width="13.5546875" style="1" bestFit="1" customWidth="1"/>
    <col min="8722" max="8722" width="13.109375" style="1" customWidth="1"/>
    <col min="8723" max="8723" width="10.6640625" style="1" bestFit="1" customWidth="1"/>
    <col min="8724" max="8960" width="8.88671875" style="1"/>
    <col min="8961" max="8961" width="36.44140625" style="1" customWidth="1"/>
    <col min="8962" max="8962" width="8.88671875" style="1"/>
    <col min="8963" max="8963" width="17.44140625" style="1" customWidth="1"/>
    <col min="8964" max="8974" width="8.88671875" style="1"/>
    <col min="8975" max="8975" width="9.6640625" style="1" bestFit="1" customWidth="1"/>
    <col min="8976" max="8976" width="8.88671875" style="1"/>
    <col min="8977" max="8977" width="13.5546875" style="1" bestFit="1" customWidth="1"/>
    <col min="8978" max="8978" width="13.109375" style="1" customWidth="1"/>
    <col min="8979" max="8979" width="10.6640625" style="1" bestFit="1" customWidth="1"/>
    <col min="8980" max="9216" width="8.88671875" style="1"/>
    <col min="9217" max="9217" width="36.44140625" style="1" customWidth="1"/>
    <col min="9218" max="9218" width="8.88671875" style="1"/>
    <col min="9219" max="9219" width="17.44140625" style="1" customWidth="1"/>
    <col min="9220" max="9230" width="8.88671875" style="1"/>
    <col min="9231" max="9231" width="9.6640625" style="1" bestFit="1" customWidth="1"/>
    <col min="9232" max="9232" width="8.88671875" style="1"/>
    <col min="9233" max="9233" width="13.5546875" style="1" bestFit="1" customWidth="1"/>
    <col min="9234" max="9234" width="13.109375" style="1" customWidth="1"/>
    <col min="9235" max="9235" width="10.6640625" style="1" bestFit="1" customWidth="1"/>
    <col min="9236" max="9472" width="8.88671875" style="1"/>
    <col min="9473" max="9473" width="36.44140625" style="1" customWidth="1"/>
    <col min="9474" max="9474" width="8.88671875" style="1"/>
    <col min="9475" max="9475" width="17.44140625" style="1" customWidth="1"/>
    <col min="9476" max="9486" width="8.88671875" style="1"/>
    <col min="9487" max="9487" width="9.6640625" style="1" bestFit="1" customWidth="1"/>
    <col min="9488" max="9488" width="8.88671875" style="1"/>
    <col min="9489" max="9489" width="13.5546875" style="1" bestFit="1" customWidth="1"/>
    <col min="9490" max="9490" width="13.109375" style="1" customWidth="1"/>
    <col min="9491" max="9491" width="10.6640625" style="1" bestFit="1" customWidth="1"/>
    <col min="9492" max="9728" width="8.88671875" style="1"/>
    <col min="9729" max="9729" width="36.44140625" style="1" customWidth="1"/>
    <col min="9730" max="9730" width="8.88671875" style="1"/>
    <col min="9731" max="9731" width="17.44140625" style="1" customWidth="1"/>
    <col min="9732" max="9742" width="8.88671875" style="1"/>
    <col min="9743" max="9743" width="9.6640625" style="1" bestFit="1" customWidth="1"/>
    <col min="9744" max="9744" width="8.88671875" style="1"/>
    <col min="9745" max="9745" width="13.5546875" style="1" bestFit="1" customWidth="1"/>
    <col min="9746" max="9746" width="13.109375" style="1" customWidth="1"/>
    <col min="9747" max="9747" width="10.6640625" style="1" bestFit="1" customWidth="1"/>
    <col min="9748" max="9984" width="8.88671875" style="1"/>
    <col min="9985" max="9985" width="36.44140625" style="1" customWidth="1"/>
    <col min="9986" max="9986" width="8.88671875" style="1"/>
    <col min="9987" max="9987" width="17.44140625" style="1" customWidth="1"/>
    <col min="9988" max="9998" width="8.88671875" style="1"/>
    <col min="9999" max="9999" width="9.6640625" style="1" bestFit="1" customWidth="1"/>
    <col min="10000" max="10000" width="8.88671875" style="1"/>
    <col min="10001" max="10001" width="13.5546875" style="1" bestFit="1" customWidth="1"/>
    <col min="10002" max="10002" width="13.109375" style="1" customWidth="1"/>
    <col min="10003" max="10003" width="10.6640625" style="1" bestFit="1" customWidth="1"/>
    <col min="10004" max="10240" width="8.88671875" style="1"/>
    <col min="10241" max="10241" width="36.44140625" style="1" customWidth="1"/>
    <col min="10242" max="10242" width="8.88671875" style="1"/>
    <col min="10243" max="10243" width="17.44140625" style="1" customWidth="1"/>
    <col min="10244" max="10254" width="8.88671875" style="1"/>
    <col min="10255" max="10255" width="9.6640625" style="1" bestFit="1" customWidth="1"/>
    <col min="10256" max="10256" width="8.88671875" style="1"/>
    <col min="10257" max="10257" width="13.5546875" style="1" bestFit="1" customWidth="1"/>
    <col min="10258" max="10258" width="13.109375" style="1" customWidth="1"/>
    <col min="10259" max="10259" width="10.6640625" style="1" bestFit="1" customWidth="1"/>
    <col min="10260" max="10496" width="8.88671875" style="1"/>
    <col min="10497" max="10497" width="36.44140625" style="1" customWidth="1"/>
    <col min="10498" max="10498" width="8.88671875" style="1"/>
    <col min="10499" max="10499" width="17.44140625" style="1" customWidth="1"/>
    <col min="10500" max="10510" width="8.88671875" style="1"/>
    <col min="10511" max="10511" width="9.6640625" style="1" bestFit="1" customWidth="1"/>
    <col min="10512" max="10512" width="8.88671875" style="1"/>
    <col min="10513" max="10513" width="13.5546875" style="1" bestFit="1" customWidth="1"/>
    <col min="10514" max="10514" width="13.109375" style="1" customWidth="1"/>
    <col min="10515" max="10515" width="10.6640625" style="1" bestFit="1" customWidth="1"/>
    <col min="10516" max="10752" width="8.88671875" style="1"/>
    <col min="10753" max="10753" width="36.44140625" style="1" customWidth="1"/>
    <col min="10754" max="10754" width="8.88671875" style="1"/>
    <col min="10755" max="10755" width="17.44140625" style="1" customWidth="1"/>
    <col min="10756" max="10766" width="8.88671875" style="1"/>
    <col min="10767" max="10767" width="9.6640625" style="1" bestFit="1" customWidth="1"/>
    <col min="10768" max="10768" width="8.88671875" style="1"/>
    <col min="10769" max="10769" width="13.5546875" style="1" bestFit="1" customWidth="1"/>
    <col min="10770" max="10770" width="13.109375" style="1" customWidth="1"/>
    <col min="10771" max="10771" width="10.6640625" style="1" bestFit="1" customWidth="1"/>
    <col min="10772" max="11008" width="8.88671875" style="1"/>
    <col min="11009" max="11009" width="36.44140625" style="1" customWidth="1"/>
    <col min="11010" max="11010" width="8.88671875" style="1"/>
    <col min="11011" max="11011" width="17.44140625" style="1" customWidth="1"/>
    <col min="11012" max="11022" width="8.88671875" style="1"/>
    <col min="11023" max="11023" width="9.6640625" style="1" bestFit="1" customWidth="1"/>
    <col min="11024" max="11024" width="8.88671875" style="1"/>
    <col min="11025" max="11025" width="13.5546875" style="1" bestFit="1" customWidth="1"/>
    <col min="11026" max="11026" width="13.109375" style="1" customWidth="1"/>
    <col min="11027" max="11027" width="10.6640625" style="1" bestFit="1" customWidth="1"/>
    <col min="11028" max="11264" width="8.88671875" style="1"/>
    <col min="11265" max="11265" width="36.44140625" style="1" customWidth="1"/>
    <col min="11266" max="11266" width="8.88671875" style="1"/>
    <col min="11267" max="11267" width="17.44140625" style="1" customWidth="1"/>
    <col min="11268" max="11278" width="8.88671875" style="1"/>
    <col min="11279" max="11279" width="9.6640625" style="1" bestFit="1" customWidth="1"/>
    <col min="11280" max="11280" width="8.88671875" style="1"/>
    <col min="11281" max="11281" width="13.5546875" style="1" bestFit="1" customWidth="1"/>
    <col min="11282" max="11282" width="13.109375" style="1" customWidth="1"/>
    <col min="11283" max="11283" width="10.6640625" style="1" bestFit="1" customWidth="1"/>
    <col min="11284" max="11520" width="8.88671875" style="1"/>
    <col min="11521" max="11521" width="36.44140625" style="1" customWidth="1"/>
    <col min="11522" max="11522" width="8.88671875" style="1"/>
    <col min="11523" max="11523" width="17.44140625" style="1" customWidth="1"/>
    <col min="11524" max="11534" width="8.88671875" style="1"/>
    <col min="11535" max="11535" width="9.6640625" style="1" bestFit="1" customWidth="1"/>
    <col min="11536" max="11536" width="8.88671875" style="1"/>
    <col min="11537" max="11537" width="13.5546875" style="1" bestFit="1" customWidth="1"/>
    <col min="11538" max="11538" width="13.109375" style="1" customWidth="1"/>
    <col min="11539" max="11539" width="10.6640625" style="1" bestFit="1" customWidth="1"/>
    <col min="11540" max="11776" width="8.88671875" style="1"/>
    <col min="11777" max="11777" width="36.44140625" style="1" customWidth="1"/>
    <col min="11778" max="11778" width="8.88671875" style="1"/>
    <col min="11779" max="11779" width="17.44140625" style="1" customWidth="1"/>
    <col min="11780" max="11790" width="8.88671875" style="1"/>
    <col min="11791" max="11791" width="9.6640625" style="1" bestFit="1" customWidth="1"/>
    <col min="11792" max="11792" width="8.88671875" style="1"/>
    <col min="11793" max="11793" width="13.5546875" style="1" bestFit="1" customWidth="1"/>
    <col min="11794" max="11794" width="13.109375" style="1" customWidth="1"/>
    <col min="11795" max="11795" width="10.6640625" style="1" bestFit="1" customWidth="1"/>
    <col min="11796" max="12032" width="8.88671875" style="1"/>
    <col min="12033" max="12033" width="36.44140625" style="1" customWidth="1"/>
    <col min="12034" max="12034" width="8.88671875" style="1"/>
    <col min="12035" max="12035" width="17.44140625" style="1" customWidth="1"/>
    <col min="12036" max="12046" width="8.88671875" style="1"/>
    <col min="12047" max="12047" width="9.6640625" style="1" bestFit="1" customWidth="1"/>
    <col min="12048" max="12048" width="8.88671875" style="1"/>
    <col min="12049" max="12049" width="13.5546875" style="1" bestFit="1" customWidth="1"/>
    <col min="12050" max="12050" width="13.109375" style="1" customWidth="1"/>
    <col min="12051" max="12051" width="10.6640625" style="1" bestFit="1" customWidth="1"/>
    <col min="12052" max="12288" width="8.88671875" style="1"/>
    <col min="12289" max="12289" width="36.44140625" style="1" customWidth="1"/>
    <col min="12290" max="12290" width="8.88671875" style="1"/>
    <col min="12291" max="12291" width="17.44140625" style="1" customWidth="1"/>
    <col min="12292" max="12302" width="8.88671875" style="1"/>
    <col min="12303" max="12303" width="9.6640625" style="1" bestFit="1" customWidth="1"/>
    <col min="12304" max="12304" width="8.88671875" style="1"/>
    <col min="12305" max="12305" width="13.5546875" style="1" bestFit="1" customWidth="1"/>
    <col min="12306" max="12306" width="13.109375" style="1" customWidth="1"/>
    <col min="12307" max="12307" width="10.6640625" style="1" bestFit="1" customWidth="1"/>
    <col min="12308" max="12544" width="8.88671875" style="1"/>
    <col min="12545" max="12545" width="36.44140625" style="1" customWidth="1"/>
    <col min="12546" max="12546" width="8.88671875" style="1"/>
    <col min="12547" max="12547" width="17.44140625" style="1" customWidth="1"/>
    <col min="12548" max="12558" width="8.88671875" style="1"/>
    <col min="12559" max="12559" width="9.6640625" style="1" bestFit="1" customWidth="1"/>
    <col min="12560" max="12560" width="8.88671875" style="1"/>
    <col min="12561" max="12561" width="13.5546875" style="1" bestFit="1" customWidth="1"/>
    <col min="12562" max="12562" width="13.109375" style="1" customWidth="1"/>
    <col min="12563" max="12563" width="10.6640625" style="1" bestFit="1" customWidth="1"/>
    <col min="12564" max="12800" width="8.88671875" style="1"/>
    <col min="12801" max="12801" width="36.44140625" style="1" customWidth="1"/>
    <col min="12802" max="12802" width="8.88671875" style="1"/>
    <col min="12803" max="12803" width="17.44140625" style="1" customWidth="1"/>
    <col min="12804" max="12814" width="8.88671875" style="1"/>
    <col min="12815" max="12815" width="9.6640625" style="1" bestFit="1" customWidth="1"/>
    <col min="12816" max="12816" width="8.88671875" style="1"/>
    <col min="12817" max="12817" width="13.5546875" style="1" bestFit="1" customWidth="1"/>
    <col min="12818" max="12818" width="13.109375" style="1" customWidth="1"/>
    <col min="12819" max="12819" width="10.6640625" style="1" bestFit="1" customWidth="1"/>
    <col min="12820" max="13056" width="8.88671875" style="1"/>
    <col min="13057" max="13057" width="36.44140625" style="1" customWidth="1"/>
    <col min="13058" max="13058" width="8.88671875" style="1"/>
    <col min="13059" max="13059" width="17.44140625" style="1" customWidth="1"/>
    <col min="13060" max="13070" width="8.88671875" style="1"/>
    <col min="13071" max="13071" width="9.6640625" style="1" bestFit="1" customWidth="1"/>
    <col min="13072" max="13072" width="8.88671875" style="1"/>
    <col min="13073" max="13073" width="13.5546875" style="1" bestFit="1" customWidth="1"/>
    <col min="13074" max="13074" width="13.109375" style="1" customWidth="1"/>
    <col min="13075" max="13075" width="10.6640625" style="1" bestFit="1" customWidth="1"/>
    <col min="13076" max="13312" width="8.88671875" style="1"/>
    <col min="13313" max="13313" width="36.44140625" style="1" customWidth="1"/>
    <col min="13314" max="13314" width="8.88671875" style="1"/>
    <col min="13315" max="13315" width="17.44140625" style="1" customWidth="1"/>
    <col min="13316" max="13326" width="8.88671875" style="1"/>
    <col min="13327" max="13327" width="9.6640625" style="1" bestFit="1" customWidth="1"/>
    <col min="13328" max="13328" width="8.88671875" style="1"/>
    <col min="13329" max="13329" width="13.5546875" style="1" bestFit="1" customWidth="1"/>
    <col min="13330" max="13330" width="13.109375" style="1" customWidth="1"/>
    <col min="13331" max="13331" width="10.6640625" style="1" bestFit="1" customWidth="1"/>
    <col min="13332" max="13568" width="8.88671875" style="1"/>
    <col min="13569" max="13569" width="36.44140625" style="1" customWidth="1"/>
    <col min="13570" max="13570" width="8.88671875" style="1"/>
    <col min="13571" max="13571" width="17.44140625" style="1" customWidth="1"/>
    <col min="13572" max="13582" width="8.88671875" style="1"/>
    <col min="13583" max="13583" width="9.6640625" style="1" bestFit="1" customWidth="1"/>
    <col min="13584" max="13584" width="8.88671875" style="1"/>
    <col min="13585" max="13585" width="13.5546875" style="1" bestFit="1" customWidth="1"/>
    <col min="13586" max="13586" width="13.109375" style="1" customWidth="1"/>
    <col min="13587" max="13587" width="10.6640625" style="1" bestFit="1" customWidth="1"/>
    <col min="13588" max="13824" width="8.88671875" style="1"/>
    <col min="13825" max="13825" width="36.44140625" style="1" customWidth="1"/>
    <col min="13826" max="13826" width="8.88671875" style="1"/>
    <col min="13827" max="13827" width="17.44140625" style="1" customWidth="1"/>
    <col min="13828" max="13838" width="8.88671875" style="1"/>
    <col min="13839" max="13839" width="9.6640625" style="1" bestFit="1" customWidth="1"/>
    <col min="13840" max="13840" width="8.88671875" style="1"/>
    <col min="13841" max="13841" width="13.5546875" style="1" bestFit="1" customWidth="1"/>
    <col min="13842" max="13842" width="13.109375" style="1" customWidth="1"/>
    <col min="13843" max="13843" width="10.6640625" style="1" bestFit="1" customWidth="1"/>
    <col min="13844" max="14080" width="8.88671875" style="1"/>
    <col min="14081" max="14081" width="36.44140625" style="1" customWidth="1"/>
    <col min="14082" max="14082" width="8.88671875" style="1"/>
    <col min="14083" max="14083" width="17.44140625" style="1" customWidth="1"/>
    <col min="14084" max="14094" width="8.88671875" style="1"/>
    <col min="14095" max="14095" width="9.6640625" style="1" bestFit="1" customWidth="1"/>
    <col min="14096" max="14096" width="8.88671875" style="1"/>
    <col min="14097" max="14097" width="13.5546875" style="1" bestFit="1" customWidth="1"/>
    <col min="14098" max="14098" width="13.109375" style="1" customWidth="1"/>
    <col min="14099" max="14099" width="10.6640625" style="1" bestFit="1" customWidth="1"/>
    <col min="14100" max="14336" width="8.88671875" style="1"/>
    <col min="14337" max="14337" width="36.44140625" style="1" customWidth="1"/>
    <col min="14338" max="14338" width="8.88671875" style="1"/>
    <col min="14339" max="14339" width="17.44140625" style="1" customWidth="1"/>
    <col min="14340" max="14350" width="8.88671875" style="1"/>
    <col min="14351" max="14351" width="9.6640625" style="1" bestFit="1" customWidth="1"/>
    <col min="14352" max="14352" width="8.88671875" style="1"/>
    <col min="14353" max="14353" width="13.5546875" style="1" bestFit="1" customWidth="1"/>
    <col min="14354" max="14354" width="13.109375" style="1" customWidth="1"/>
    <col min="14355" max="14355" width="10.6640625" style="1" bestFit="1" customWidth="1"/>
    <col min="14356" max="14592" width="8.88671875" style="1"/>
    <col min="14593" max="14593" width="36.44140625" style="1" customWidth="1"/>
    <col min="14594" max="14594" width="8.88671875" style="1"/>
    <col min="14595" max="14595" width="17.44140625" style="1" customWidth="1"/>
    <col min="14596" max="14606" width="8.88671875" style="1"/>
    <col min="14607" max="14607" width="9.6640625" style="1" bestFit="1" customWidth="1"/>
    <col min="14608" max="14608" width="8.88671875" style="1"/>
    <col min="14609" max="14609" width="13.5546875" style="1" bestFit="1" customWidth="1"/>
    <col min="14610" max="14610" width="13.109375" style="1" customWidth="1"/>
    <col min="14611" max="14611" width="10.6640625" style="1" bestFit="1" customWidth="1"/>
    <col min="14612" max="14848" width="8.88671875" style="1"/>
    <col min="14849" max="14849" width="36.44140625" style="1" customWidth="1"/>
    <col min="14850" max="14850" width="8.88671875" style="1"/>
    <col min="14851" max="14851" width="17.44140625" style="1" customWidth="1"/>
    <col min="14852" max="14862" width="8.88671875" style="1"/>
    <col min="14863" max="14863" width="9.6640625" style="1" bestFit="1" customWidth="1"/>
    <col min="14864" max="14864" width="8.88671875" style="1"/>
    <col min="14865" max="14865" width="13.5546875" style="1" bestFit="1" customWidth="1"/>
    <col min="14866" max="14866" width="13.109375" style="1" customWidth="1"/>
    <col min="14867" max="14867" width="10.6640625" style="1" bestFit="1" customWidth="1"/>
    <col min="14868" max="15104" width="8.88671875" style="1"/>
    <col min="15105" max="15105" width="36.44140625" style="1" customWidth="1"/>
    <col min="15106" max="15106" width="8.88671875" style="1"/>
    <col min="15107" max="15107" width="17.44140625" style="1" customWidth="1"/>
    <col min="15108" max="15118" width="8.88671875" style="1"/>
    <col min="15119" max="15119" width="9.6640625" style="1" bestFit="1" customWidth="1"/>
    <col min="15120" max="15120" width="8.88671875" style="1"/>
    <col min="15121" max="15121" width="13.5546875" style="1" bestFit="1" customWidth="1"/>
    <col min="15122" max="15122" width="13.109375" style="1" customWidth="1"/>
    <col min="15123" max="15123" width="10.6640625" style="1" bestFit="1" customWidth="1"/>
    <col min="15124" max="15360" width="8.88671875" style="1"/>
    <col min="15361" max="15361" width="36.44140625" style="1" customWidth="1"/>
    <col min="15362" max="15362" width="8.88671875" style="1"/>
    <col min="15363" max="15363" width="17.44140625" style="1" customWidth="1"/>
    <col min="15364" max="15374" width="8.88671875" style="1"/>
    <col min="15375" max="15375" width="9.6640625" style="1" bestFit="1" customWidth="1"/>
    <col min="15376" max="15376" width="8.88671875" style="1"/>
    <col min="15377" max="15377" width="13.5546875" style="1" bestFit="1" customWidth="1"/>
    <col min="15378" max="15378" width="13.109375" style="1" customWidth="1"/>
    <col min="15379" max="15379" width="10.6640625" style="1" bestFit="1" customWidth="1"/>
    <col min="15380" max="15616" width="8.88671875" style="1"/>
    <col min="15617" max="15617" width="36.44140625" style="1" customWidth="1"/>
    <col min="15618" max="15618" width="8.88671875" style="1"/>
    <col min="15619" max="15619" width="17.44140625" style="1" customWidth="1"/>
    <col min="15620" max="15630" width="8.88671875" style="1"/>
    <col min="15631" max="15631" width="9.6640625" style="1" bestFit="1" customWidth="1"/>
    <col min="15632" max="15632" width="8.88671875" style="1"/>
    <col min="15633" max="15633" width="13.5546875" style="1" bestFit="1" customWidth="1"/>
    <col min="15634" max="15634" width="13.109375" style="1" customWidth="1"/>
    <col min="15635" max="15635" width="10.6640625" style="1" bestFit="1" customWidth="1"/>
    <col min="15636" max="15872" width="8.88671875" style="1"/>
    <col min="15873" max="15873" width="36.44140625" style="1" customWidth="1"/>
    <col min="15874" max="15874" width="8.88671875" style="1"/>
    <col min="15875" max="15875" width="17.44140625" style="1" customWidth="1"/>
    <col min="15876" max="15886" width="8.88671875" style="1"/>
    <col min="15887" max="15887" width="9.6640625" style="1" bestFit="1" customWidth="1"/>
    <col min="15888" max="15888" width="8.88671875" style="1"/>
    <col min="15889" max="15889" width="13.5546875" style="1" bestFit="1" customWidth="1"/>
    <col min="15890" max="15890" width="13.109375" style="1" customWidth="1"/>
    <col min="15891" max="15891" width="10.6640625" style="1" bestFit="1" customWidth="1"/>
    <col min="15892" max="16128" width="8.88671875" style="1"/>
    <col min="16129" max="16129" width="36.44140625" style="1" customWidth="1"/>
    <col min="16130" max="16130" width="8.88671875" style="1"/>
    <col min="16131" max="16131" width="17.44140625" style="1" customWidth="1"/>
    <col min="16132" max="16142" width="8.88671875" style="1"/>
    <col min="16143" max="16143" width="9.6640625" style="1" bestFit="1" customWidth="1"/>
    <col min="16144" max="16144" width="8.88671875" style="1"/>
    <col min="16145" max="16145" width="13.5546875" style="1" bestFit="1" customWidth="1"/>
    <col min="16146" max="16146" width="13.109375" style="1" customWidth="1"/>
    <col min="16147" max="16147" width="10.6640625" style="1" bestFit="1" customWidth="1"/>
    <col min="16148" max="16384" width="8.88671875" style="1"/>
  </cols>
  <sheetData>
    <row r="1" spans="1:19" ht="18" x14ac:dyDescent="0.3">
      <c r="A1" s="15" t="s">
        <v>0</v>
      </c>
      <c r="B1" s="16"/>
      <c r="C1" s="16"/>
      <c r="D1" s="16"/>
      <c r="E1" s="16"/>
    </row>
    <row r="2" spans="1:19" ht="15.6" x14ac:dyDescent="0.35">
      <c r="A2" s="1" t="s">
        <v>1</v>
      </c>
      <c r="B2" s="1">
        <v>50</v>
      </c>
      <c r="R2" s="2" t="s">
        <v>2</v>
      </c>
      <c r="S2" s="2" t="s">
        <v>3</v>
      </c>
    </row>
    <row r="3" spans="1:19" x14ac:dyDescent="0.25">
      <c r="A3" s="1" t="s">
        <v>4</v>
      </c>
      <c r="B3" s="1">
        <v>44</v>
      </c>
      <c r="Q3" s="3"/>
      <c r="R3" s="3" t="s">
        <v>5</v>
      </c>
      <c r="S3" s="3" t="s">
        <v>6</v>
      </c>
    </row>
    <row r="4" spans="1:19" x14ac:dyDescent="0.25">
      <c r="A4" s="1" t="s">
        <v>7</v>
      </c>
      <c r="B4" s="4">
        <v>0.1</v>
      </c>
      <c r="Q4" s="3" t="s">
        <v>8</v>
      </c>
      <c r="R4" s="5">
        <v>5000000000.0100012</v>
      </c>
      <c r="S4" s="5">
        <f>S10/S7</f>
        <v>20000000.000039995</v>
      </c>
    </row>
    <row r="5" spans="1:19" x14ac:dyDescent="0.25">
      <c r="A5" s="1" t="s">
        <v>9</v>
      </c>
      <c r="B5" s="1">
        <v>0.8</v>
      </c>
      <c r="Q5" s="3" t="s">
        <v>10</v>
      </c>
      <c r="R5" s="1">
        <v>0.6</v>
      </c>
    </row>
    <row r="6" spans="1:19" ht="13.8" x14ac:dyDescent="0.25">
      <c r="A6" s="6" t="s">
        <v>11</v>
      </c>
      <c r="B6" s="4">
        <v>0.13</v>
      </c>
      <c r="Q6" s="3" t="s">
        <v>12</v>
      </c>
      <c r="R6" s="1">
        <v>0.4</v>
      </c>
    </row>
    <row r="7" spans="1:19" ht="13.8" x14ac:dyDescent="0.25">
      <c r="A7" s="6" t="s">
        <v>13</v>
      </c>
      <c r="B7" s="4">
        <v>0.3</v>
      </c>
      <c r="Q7" s="3" t="s">
        <v>14</v>
      </c>
      <c r="R7" s="1">
        <v>1E-3</v>
      </c>
      <c r="S7" s="1">
        <v>0.05</v>
      </c>
    </row>
    <row r="8" spans="1:19" x14ac:dyDescent="0.25">
      <c r="Q8" s="3" t="s">
        <v>15</v>
      </c>
      <c r="R8" s="5">
        <f>R4*R5*R7</f>
        <v>3000000.0000060005</v>
      </c>
    </row>
    <row r="9" spans="1:19" x14ac:dyDescent="0.25">
      <c r="A9" s="1" t="s">
        <v>16</v>
      </c>
      <c r="B9" s="1">
        <v>150</v>
      </c>
      <c r="C9" s="1" t="s">
        <v>17</v>
      </c>
      <c r="Q9" s="3" t="s">
        <v>18</v>
      </c>
      <c r="R9" s="5">
        <f>R4*R6*R7</f>
        <v>2000000.0000040007</v>
      </c>
    </row>
    <row r="10" spans="1:19" x14ac:dyDescent="0.25">
      <c r="A10" s="17" t="s">
        <v>19</v>
      </c>
      <c r="B10" s="18">
        <v>200</v>
      </c>
      <c r="C10" s="1" t="s">
        <v>20</v>
      </c>
      <c r="Q10" s="3" t="s">
        <v>21</v>
      </c>
      <c r="R10" s="5">
        <f>R8-R9</f>
        <v>1000000.0000019998</v>
      </c>
      <c r="S10" s="5">
        <f>R10</f>
        <v>1000000.0000019998</v>
      </c>
    </row>
    <row r="12" spans="1:19" x14ac:dyDescent="0.25">
      <c r="A12" s="8" t="s">
        <v>22</v>
      </c>
      <c r="B12" s="9">
        <f>vanillacall(B2,B3,B6,B7,B4,B5,B9,B10)</f>
        <v>11.656298099865614</v>
      </c>
      <c r="C12" s="1" t="str">
        <f ca="1">_xlfn.FORMULATEXT(B12)</f>
        <v>=vanillacall(B2,B3,B6,B7,B4,B5,B9,B10)</v>
      </c>
    </row>
    <row r="13" spans="1:19" x14ac:dyDescent="0.25">
      <c r="B13" s="10"/>
    </row>
    <row r="14" spans="1:19" ht="13.8" x14ac:dyDescent="0.25">
      <c r="A14" s="8" t="s">
        <v>23</v>
      </c>
      <c r="B14" s="9">
        <f>[2]!BSCall(B2,B3,B5,B4,B7)</f>
        <v>10.894832632071534</v>
      </c>
      <c r="C14" s="1" t="str">
        <f ca="1">_xlfn.FORMULATEXT(B14)</f>
        <v>=BSCall(B2,B3,B5,B4,B7)</v>
      </c>
    </row>
    <row r="17" spans="1:3" ht="13.8" x14ac:dyDescent="0.25">
      <c r="A17" s="7" t="s">
        <v>24</v>
      </c>
    </row>
    <row r="18" spans="1:3" ht="26.4" x14ac:dyDescent="0.25">
      <c r="B18" s="11" t="s">
        <v>25</v>
      </c>
      <c r="C18" s="12" t="s">
        <v>26</v>
      </c>
    </row>
    <row r="19" spans="1:3" x14ac:dyDescent="0.25">
      <c r="A19" s="13" t="s">
        <v>19</v>
      </c>
      <c r="B19" s="10">
        <f>B12</f>
        <v>11.656298099865614</v>
      </c>
      <c r="C19" s="10">
        <f>B14</f>
        <v>10.894832632071534</v>
      </c>
    </row>
    <row r="20" spans="1:3" x14ac:dyDescent="0.25">
      <c r="A20" s="14">
        <v>100</v>
      </c>
      <c r="B20" s="10">
        <f t="dataTable" ref="B20:C33" dt2D="0" dtr="0" r1="B10"/>
        <v>10.610825627905831</v>
      </c>
      <c r="C20" s="10">
        <v>10.894832632071534</v>
      </c>
    </row>
    <row r="21" spans="1:3" x14ac:dyDescent="0.25">
      <c r="A21" s="14">
        <v>500</v>
      </c>
      <c r="B21" s="10">
        <v>10.947940666073222</v>
      </c>
      <c r="C21" s="10">
        <v>10.894832632071534</v>
      </c>
    </row>
    <row r="22" spans="1:3" x14ac:dyDescent="0.25">
      <c r="A22" s="14">
        <v>1000</v>
      </c>
      <c r="B22" s="10">
        <v>10.483906824885294</v>
      </c>
      <c r="C22" s="10">
        <v>10.894832632071534</v>
      </c>
    </row>
    <row r="23" spans="1:3" x14ac:dyDescent="0.25">
      <c r="A23" s="14">
        <v>1500</v>
      </c>
      <c r="B23" s="10">
        <v>10.714518931242553</v>
      </c>
      <c r="C23" s="10">
        <v>10.894832632071534</v>
      </c>
    </row>
    <row r="24" spans="1:3" x14ac:dyDescent="0.25">
      <c r="A24" s="14">
        <v>2000</v>
      </c>
      <c r="B24" s="10">
        <v>10.886447496447483</v>
      </c>
      <c r="C24" s="10">
        <v>10.894832632071534</v>
      </c>
    </row>
    <row r="25" spans="1:3" x14ac:dyDescent="0.25">
      <c r="A25" s="14">
        <v>2500</v>
      </c>
      <c r="B25" s="10">
        <v>10.671903542883967</v>
      </c>
      <c r="C25" s="10">
        <v>10.894832632071534</v>
      </c>
    </row>
    <row r="26" spans="1:3" x14ac:dyDescent="0.25">
      <c r="A26" s="14">
        <v>3000</v>
      </c>
      <c r="B26" s="10">
        <v>11.104331663062787</v>
      </c>
      <c r="C26" s="10">
        <v>10.894832632071534</v>
      </c>
    </row>
    <row r="27" spans="1:3" x14ac:dyDescent="0.25">
      <c r="A27" s="14">
        <v>3500</v>
      </c>
      <c r="B27" s="10">
        <v>10.756691956344659</v>
      </c>
      <c r="C27" s="10">
        <v>10.894832632071534</v>
      </c>
    </row>
    <row r="28" spans="1:3" x14ac:dyDescent="0.25">
      <c r="A28" s="14">
        <v>4000</v>
      </c>
      <c r="B28" s="10">
        <v>10.77111838338025</v>
      </c>
      <c r="C28" s="10">
        <v>10.894832632071534</v>
      </c>
    </row>
    <row r="29" spans="1:3" x14ac:dyDescent="0.25">
      <c r="A29" s="14">
        <v>4500</v>
      </c>
      <c r="B29" s="10">
        <v>10.935797963648824</v>
      </c>
      <c r="C29" s="10">
        <v>10.894832632071534</v>
      </c>
    </row>
    <row r="30" spans="1:3" x14ac:dyDescent="0.25">
      <c r="A30" s="14">
        <v>5000</v>
      </c>
      <c r="B30" s="10">
        <v>10.977828301974238</v>
      </c>
      <c r="C30" s="10">
        <v>10.894832632071534</v>
      </c>
    </row>
    <row r="31" spans="1:3" x14ac:dyDescent="0.25">
      <c r="A31" s="14">
        <v>5500</v>
      </c>
      <c r="B31" s="10">
        <v>10.550457569747101</v>
      </c>
      <c r="C31" s="10">
        <v>10.894832632071534</v>
      </c>
    </row>
    <row r="32" spans="1:3" x14ac:dyDescent="0.25">
      <c r="A32" s="14">
        <v>6000</v>
      </c>
      <c r="B32" s="10">
        <v>10.973863755054726</v>
      </c>
      <c r="C32" s="10">
        <v>10.894832632071534</v>
      </c>
    </row>
    <row r="33" spans="1:17" x14ac:dyDescent="0.25">
      <c r="A33" s="14">
        <v>6500</v>
      </c>
      <c r="B33" s="10">
        <v>10.642515195576058</v>
      </c>
      <c r="C33" s="10">
        <v>10.894832632071534</v>
      </c>
    </row>
    <row r="40" spans="1:17" x14ac:dyDescent="0.25">
      <c r="O40" s="5"/>
      <c r="Q40" s="5"/>
    </row>
  </sheetData>
  <mergeCells count="1">
    <mergeCell ref="A1:E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Exercise 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2024-12-12T06:23:40Z</dcterms:modified>
</cp:coreProperties>
</file>