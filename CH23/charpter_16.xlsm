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AEA69E31-30D8-4E5D-8BE2-0924CA11C4E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44" sheetId="2" r:id="rId2"/>
  </sheets>
  <functionGroups builtInGroupCount="19"/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" l="1"/>
  <c r="B14" i="2"/>
  <c r="B30" i="2" s="1"/>
  <c r="B13" i="2"/>
  <c r="A20" i="2"/>
  <c r="C25" i="2"/>
  <c r="E22" i="2"/>
  <c r="F27" i="2"/>
  <c r="B25" i="2"/>
  <c r="D22" i="2"/>
  <c r="D23" i="2"/>
  <c r="E27" i="2"/>
  <c r="A25" i="2"/>
  <c r="C22" i="2"/>
  <c r="F20" i="2"/>
  <c r="D27" i="2"/>
  <c r="F24" i="2"/>
  <c r="B22" i="2"/>
  <c r="C27" i="2"/>
  <c r="E24" i="2"/>
  <c r="A22" i="2"/>
  <c r="E23" i="2"/>
  <c r="B27" i="2"/>
  <c r="D24" i="2"/>
  <c r="F21" i="2"/>
  <c r="A27" i="2"/>
  <c r="C24" i="2"/>
  <c r="E21" i="2"/>
  <c r="A21" i="2"/>
  <c r="F26" i="2"/>
  <c r="B24" i="2"/>
  <c r="D21" i="2"/>
  <c r="B26" i="2"/>
  <c r="E26" i="2"/>
  <c r="A24" i="2"/>
  <c r="C21" i="2"/>
  <c r="D26" i="2"/>
  <c r="F23" i="2"/>
  <c r="B21" i="2"/>
  <c r="C26" i="2"/>
  <c r="A26" i="2"/>
  <c r="C23" i="2"/>
  <c r="E20" i="2"/>
  <c r="F25" i="2"/>
  <c r="B23" i="2"/>
  <c r="D20" i="2"/>
  <c r="F22" i="2"/>
  <c r="E25" i="2"/>
  <c r="A23" i="2"/>
  <c r="C20" i="2"/>
  <c r="D25" i="2"/>
  <c r="B20" i="2"/>
  <c r="C34" i="2"/>
  <c r="C30" i="2"/>
  <c r="C33" i="2"/>
  <c r="C32" i="2"/>
  <c r="C29" i="2"/>
  <c r="C16" i="2"/>
  <c r="C14" i="2"/>
  <c r="C13" i="2"/>
  <c r="B16" i="2"/>
  <c r="B34" i="2" l="1"/>
  <c r="B32" i="2"/>
  <c r="B29" i="2"/>
  <c r="B33" i="2"/>
</calcChain>
</file>

<file path=xl/sharedStrings.xml><?xml version="1.0" encoding="utf-8"?>
<sst xmlns="http://schemas.openxmlformats.org/spreadsheetml/2006/main" count="17" uniqueCount="16">
  <si>
    <t>PRICING BARRIER OPTIONS 
BY MONTE CARLO</t>
  </si>
  <si>
    <t>Up</t>
  </si>
  <si>
    <t>Down</t>
  </si>
  <si>
    <t>Interest</t>
  </si>
  <si>
    <t>Initialprice</t>
  </si>
  <si>
    <t>Periods</t>
  </si>
  <si>
    <t>Exercise</t>
  </si>
  <si>
    <t>Barrier</t>
  </si>
  <si>
    <t>Runs</t>
  </si>
  <si>
    <t>Knockin option value</t>
  </si>
  <si>
    <t>Actual value</t>
  </si>
  <si>
    <t>Knockout option value</t>
  </si>
  <si>
    <t>&lt;-- Determined from fully-worked out example</t>
  </si>
  <si>
    <t>48 iterations of MCBarrierIn</t>
  </si>
  <si>
    <t>Average of simulations</t>
  </si>
  <si>
    <t>True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</si>
</sst>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176" fontId="2" fillId="0" borderId="0" xfId="1" applyNumberFormat="1"/>
    <xf numFmtId="0" fontId="2" fillId="2" borderId="0" xfId="1" applyFill="1"/>
    <xf numFmtId="176" fontId="2" fillId="2" borderId="0" xfId="1" applyNumberFormat="1" applyFill="1"/>
    <xf numFmtId="0" fontId="4" fillId="3" borderId="0" xfId="1" applyFont="1" applyFill="1" applyAlignment="1">
      <alignment horizontal="center"/>
    </xf>
  </cellXfs>
  <cellStyles count="2">
    <cellStyle name="常规" xfId="0" builtinId="0"/>
    <cellStyle name="常规 2" xfId="1" xr:uid="{6CF1C1AB-1605-4F03-ADEF-4454F06834D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0</xdr:row>
      <xdr:rowOff>171450</xdr:rowOff>
    </xdr:from>
    <xdr:to>
      <xdr:col>23</xdr:col>
      <xdr:colOff>172837</xdr:colOff>
      <xdr:row>44</xdr:row>
      <xdr:rowOff>132536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44651CB-691D-BBBA-F9E1-7CB8E2A7E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72125" y="171450"/>
          <a:ext cx="9935962" cy="781921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>
        <row r="38">
          <cell r="N38">
            <v>1.7374981941133196</v>
          </cell>
        </row>
      </sheetData>
      <sheetData sheetId="1" refreshError="1"/>
      <sheetData sheetId="2">
        <row r="38">
          <cell r="N38">
            <v>9.033351460149543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4">
          <cell r="C34" t="str">
            <v>Average
of 48 MCBarrierIn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7DAE-5E98-4732-A31A-B83AE477457D}">
  <sheetPr codeName="Sheet1"/>
  <dimension ref="A1:F34"/>
  <sheetViews>
    <sheetView tabSelected="1" workbookViewId="0">
      <selection activeCell="M51" sqref="M51"/>
    </sheetView>
  </sheetViews>
  <sheetFormatPr defaultRowHeight="13.2" x14ac:dyDescent="0.25"/>
  <cols>
    <col min="1" max="1" width="22" style="2" customWidth="1"/>
    <col min="2" max="6" width="10.109375" style="2" customWidth="1"/>
    <col min="7" max="256" width="8.88671875" style="2"/>
    <col min="257" max="257" width="22" style="2" customWidth="1"/>
    <col min="258" max="262" width="10.109375" style="2" customWidth="1"/>
    <col min="263" max="512" width="8.88671875" style="2"/>
    <col min="513" max="513" width="22" style="2" customWidth="1"/>
    <col min="514" max="518" width="10.109375" style="2" customWidth="1"/>
    <col min="519" max="768" width="8.88671875" style="2"/>
    <col min="769" max="769" width="22" style="2" customWidth="1"/>
    <col min="770" max="774" width="10.109375" style="2" customWidth="1"/>
    <col min="775" max="1024" width="8.88671875" style="2"/>
    <col min="1025" max="1025" width="22" style="2" customWidth="1"/>
    <col min="1026" max="1030" width="10.109375" style="2" customWidth="1"/>
    <col min="1031" max="1280" width="8.88671875" style="2"/>
    <col min="1281" max="1281" width="22" style="2" customWidth="1"/>
    <col min="1282" max="1286" width="10.109375" style="2" customWidth="1"/>
    <col min="1287" max="1536" width="8.88671875" style="2"/>
    <col min="1537" max="1537" width="22" style="2" customWidth="1"/>
    <col min="1538" max="1542" width="10.109375" style="2" customWidth="1"/>
    <col min="1543" max="1792" width="8.88671875" style="2"/>
    <col min="1793" max="1793" width="22" style="2" customWidth="1"/>
    <col min="1794" max="1798" width="10.109375" style="2" customWidth="1"/>
    <col min="1799" max="2048" width="8.88671875" style="2"/>
    <col min="2049" max="2049" width="22" style="2" customWidth="1"/>
    <col min="2050" max="2054" width="10.109375" style="2" customWidth="1"/>
    <col min="2055" max="2304" width="8.88671875" style="2"/>
    <col min="2305" max="2305" width="22" style="2" customWidth="1"/>
    <col min="2306" max="2310" width="10.109375" style="2" customWidth="1"/>
    <col min="2311" max="2560" width="8.88671875" style="2"/>
    <col min="2561" max="2561" width="22" style="2" customWidth="1"/>
    <col min="2562" max="2566" width="10.109375" style="2" customWidth="1"/>
    <col min="2567" max="2816" width="8.88671875" style="2"/>
    <col min="2817" max="2817" width="22" style="2" customWidth="1"/>
    <col min="2818" max="2822" width="10.109375" style="2" customWidth="1"/>
    <col min="2823" max="3072" width="8.88671875" style="2"/>
    <col min="3073" max="3073" width="22" style="2" customWidth="1"/>
    <col min="3074" max="3078" width="10.109375" style="2" customWidth="1"/>
    <col min="3079" max="3328" width="8.88671875" style="2"/>
    <col min="3329" max="3329" width="22" style="2" customWidth="1"/>
    <col min="3330" max="3334" width="10.109375" style="2" customWidth="1"/>
    <col min="3335" max="3584" width="8.88671875" style="2"/>
    <col min="3585" max="3585" width="22" style="2" customWidth="1"/>
    <col min="3586" max="3590" width="10.109375" style="2" customWidth="1"/>
    <col min="3591" max="3840" width="8.88671875" style="2"/>
    <col min="3841" max="3841" width="22" style="2" customWidth="1"/>
    <col min="3842" max="3846" width="10.109375" style="2" customWidth="1"/>
    <col min="3847" max="4096" width="8.88671875" style="2"/>
    <col min="4097" max="4097" width="22" style="2" customWidth="1"/>
    <col min="4098" max="4102" width="10.109375" style="2" customWidth="1"/>
    <col min="4103" max="4352" width="8.88671875" style="2"/>
    <col min="4353" max="4353" width="22" style="2" customWidth="1"/>
    <col min="4354" max="4358" width="10.109375" style="2" customWidth="1"/>
    <col min="4359" max="4608" width="8.88671875" style="2"/>
    <col min="4609" max="4609" width="22" style="2" customWidth="1"/>
    <col min="4610" max="4614" width="10.109375" style="2" customWidth="1"/>
    <col min="4615" max="4864" width="8.88671875" style="2"/>
    <col min="4865" max="4865" width="22" style="2" customWidth="1"/>
    <col min="4866" max="4870" width="10.109375" style="2" customWidth="1"/>
    <col min="4871" max="5120" width="8.88671875" style="2"/>
    <col min="5121" max="5121" width="22" style="2" customWidth="1"/>
    <col min="5122" max="5126" width="10.109375" style="2" customWidth="1"/>
    <col min="5127" max="5376" width="8.88671875" style="2"/>
    <col min="5377" max="5377" width="22" style="2" customWidth="1"/>
    <col min="5378" max="5382" width="10.109375" style="2" customWidth="1"/>
    <col min="5383" max="5632" width="8.88671875" style="2"/>
    <col min="5633" max="5633" width="22" style="2" customWidth="1"/>
    <col min="5634" max="5638" width="10.109375" style="2" customWidth="1"/>
    <col min="5639" max="5888" width="8.88671875" style="2"/>
    <col min="5889" max="5889" width="22" style="2" customWidth="1"/>
    <col min="5890" max="5894" width="10.109375" style="2" customWidth="1"/>
    <col min="5895" max="6144" width="8.88671875" style="2"/>
    <col min="6145" max="6145" width="22" style="2" customWidth="1"/>
    <col min="6146" max="6150" width="10.109375" style="2" customWidth="1"/>
    <col min="6151" max="6400" width="8.88671875" style="2"/>
    <col min="6401" max="6401" width="22" style="2" customWidth="1"/>
    <col min="6402" max="6406" width="10.109375" style="2" customWidth="1"/>
    <col min="6407" max="6656" width="8.88671875" style="2"/>
    <col min="6657" max="6657" width="22" style="2" customWidth="1"/>
    <col min="6658" max="6662" width="10.109375" style="2" customWidth="1"/>
    <col min="6663" max="6912" width="8.88671875" style="2"/>
    <col min="6913" max="6913" width="22" style="2" customWidth="1"/>
    <col min="6914" max="6918" width="10.109375" style="2" customWidth="1"/>
    <col min="6919" max="7168" width="8.88671875" style="2"/>
    <col min="7169" max="7169" width="22" style="2" customWidth="1"/>
    <col min="7170" max="7174" width="10.109375" style="2" customWidth="1"/>
    <col min="7175" max="7424" width="8.88671875" style="2"/>
    <col min="7425" max="7425" width="22" style="2" customWidth="1"/>
    <col min="7426" max="7430" width="10.109375" style="2" customWidth="1"/>
    <col min="7431" max="7680" width="8.88671875" style="2"/>
    <col min="7681" max="7681" width="22" style="2" customWidth="1"/>
    <col min="7682" max="7686" width="10.109375" style="2" customWidth="1"/>
    <col min="7687" max="7936" width="8.88671875" style="2"/>
    <col min="7937" max="7937" width="22" style="2" customWidth="1"/>
    <col min="7938" max="7942" width="10.109375" style="2" customWidth="1"/>
    <col min="7943" max="8192" width="8.88671875" style="2"/>
    <col min="8193" max="8193" width="22" style="2" customWidth="1"/>
    <col min="8194" max="8198" width="10.109375" style="2" customWidth="1"/>
    <col min="8199" max="8448" width="8.88671875" style="2"/>
    <col min="8449" max="8449" width="22" style="2" customWidth="1"/>
    <col min="8450" max="8454" width="10.109375" style="2" customWidth="1"/>
    <col min="8455" max="8704" width="8.88671875" style="2"/>
    <col min="8705" max="8705" width="22" style="2" customWidth="1"/>
    <col min="8706" max="8710" width="10.109375" style="2" customWidth="1"/>
    <col min="8711" max="8960" width="8.88671875" style="2"/>
    <col min="8961" max="8961" width="22" style="2" customWidth="1"/>
    <col min="8962" max="8966" width="10.109375" style="2" customWidth="1"/>
    <col min="8967" max="9216" width="8.88671875" style="2"/>
    <col min="9217" max="9217" width="22" style="2" customWidth="1"/>
    <col min="9218" max="9222" width="10.109375" style="2" customWidth="1"/>
    <col min="9223" max="9472" width="8.88671875" style="2"/>
    <col min="9473" max="9473" width="22" style="2" customWidth="1"/>
    <col min="9474" max="9478" width="10.109375" style="2" customWidth="1"/>
    <col min="9479" max="9728" width="8.88671875" style="2"/>
    <col min="9729" max="9729" width="22" style="2" customWidth="1"/>
    <col min="9730" max="9734" width="10.109375" style="2" customWidth="1"/>
    <col min="9735" max="9984" width="8.88671875" style="2"/>
    <col min="9985" max="9985" width="22" style="2" customWidth="1"/>
    <col min="9986" max="9990" width="10.109375" style="2" customWidth="1"/>
    <col min="9991" max="10240" width="8.88671875" style="2"/>
    <col min="10241" max="10241" width="22" style="2" customWidth="1"/>
    <col min="10242" max="10246" width="10.109375" style="2" customWidth="1"/>
    <col min="10247" max="10496" width="8.88671875" style="2"/>
    <col min="10497" max="10497" width="22" style="2" customWidth="1"/>
    <col min="10498" max="10502" width="10.109375" style="2" customWidth="1"/>
    <col min="10503" max="10752" width="8.88671875" style="2"/>
    <col min="10753" max="10753" width="22" style="2" customWidth="1"/>
    <col min="10754" max="10758" width="10.109375" style="2" customWidth="1"/>
    <col min="10759" max="11008" width="8.88671875" style="2"/>
    <col min="11009" max="11009" width="22" style="2" customWidth="1"/>
    <col min="11010" max="11014" width="10.109375" style="2" customWidth="1"/>
    <col min="11015" max="11264" width="8.88671875" style="2"/>
    <col min="11265" max="11265" width="22" style="2" customWidth="1"/>
    <col min="11266" max="11270" width="10.109375" style="2" customWidth="1"/>
    <col min="11271" max="11520" width="8.88671875" style="2"/>
    <col min="11521" max="11521" width="22" style="2" customWidth="1"/>
    <col min="11522" max="11526" width="10.109375" style="2" customWidth="1"/>
    <col min="11527" max="11776" width="8.88671875" style="2"/>
    <col min="11777" max="11777" width="22" style="2" customWidth="1"/>
    <col min="11778" max="11782" width="10.109375" style="2" customWidth="1"/>
    <col min="11783" max="12032" width="8.88671875" style="2"/>
    <col min="12033" max="12033" width="22" style="2" customWidth="1"/>
    <col min="12034" max="12038" width="10.109375" style="2" customWidth="1"/>
    <col min="12039" max="12288" width="8.88671875" style="2"/>
    <col min="12289" max="12289" width="22" style="2" customWidth="1"/>
    <col min="12290" max="12294" width="10.109375" style="2" customWidth="1"/>
    <col min="12295" max="12544" width="8.88671875" style="2"/>
    <col min="12545" max="12545" width="22" style="2" customWidth="1"/>
    <col min="12546" max="12550" width="10.109375" style="2" customWidth="1"/>
    <col min="12551" max="12800" width="8.88671875" style="2"/>
    <col min="12801" max="12801" width="22" style="2" customWidth="1"/>
    <col min="12802" max="12806" width="10.109375" style="2" customWidth="1"/>
    <col min="12807" max="13056" width="8.88671875" style="2"/>
    <col min="13057" max="13057" width="22" style="2" customWidth="1"/>
    <col min="13058" max="13062" width="10.109375" style="2" customWidth="1"/>
    <col min="13063" max="13312" width="8.88671875" style="2"/>
    <col min="13313" max="13313" width="22" style="2" customWidth="1"/>
    <col min="13314" max="13318" width="10.109375" style="2" customWidth="1"/>
    <col min="13319" max="13568" width="8.88671875" style="2"/>
    <col min="13569" max="13569" width="22" style="2" customWidth="1"/>
    <col min="13570" max="13574" width="10.109375" style="2" customWidth="1"/>
    <col min="13575" max="13824" width="8.88671875" style="2"/>
    <col min="13825" max="13825" width="22" style="2" customWidth="1"/>
    <col min="13826" max="13830" width="10.109375" style="2" customWidth="1"/>
    <col min="13831" max="14080" width="8.88671875" style="2"/>
    <col min="14081" max="14081" width="22" style="2" customWidth="1"/>
    <col min="14082" max="14086" width="10.109375" style="2" customWidth="1"/>
    <col min="14087" max="14336" width="8.88671875" style="2"/>
    <col min="14337" max="14337" width="22" style="2" customWidth="1"/>
    <col min="14338" max="14342" width="10.109375" style="2" customWidth="1"/>
    <col min="14343" max="14592" width="8.88671875" style="2"/>
    <col min="14593" max="14593" width="22" style="2" customWidth="1"/>
    <col min="14594" max="14598" width="10.109375" style="2" customWidth="1"/>
    <col min="14599" max="14848" width="8.88671875" style="2"/>
    <col min="14849" max="14849" width="22" style="2" customWidth="1"/>
    <col min="14850" max="14854" width="10.109375" style="2" customWidth="1"/>
    <col min="14855" max="15104" width="8.88671875" style="2"/>
    <col min="15105" max="15105" width="22" style="2" customWidth="1"/>
    <col min="15106" max="15110" width="10.109375" style="2" customWidth="1"/>
    <col min="15111" max="15360" width="8.88671875" style="2"/>
    <col min="15361" max="15361" width="22" style="2" customWidth="1"/>
    <col min="15362" max="15366" width="10.109375" style="2" customWidth="1"/>
    <col min="15367" max="15616" width="8.88671875" style="2"/>
    <col min="15617" max="15617" width="22" style="2" customWidth="1"/>
    <col min="15618" max="15622" width="10.109375" style="2" customWidth="1"/>
    <col min="15623" max="15872" width="8.88671875" style="2"/>
    <col min="15873" max="15873" width="22" style="2" customWidth="1"/>
    <col min="15874" max="15878" width="10.109375" style="2" customWidth="1"/>
    <col min="15879" max="16128" width="8.88671875" style="2"/>
    <col min="16129" max="16129" width="22" style="2" customWidth="1"/>
    <col min="16130" max="16134" width="10.109375" style="2" customWidth="1"/>
    <col min="16135" max="16384" width="8.88671875" style="2"/>
  </cols>
  <sheetData>
    <row r="1" spans="1:6" ht="37.5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1.4</v>
      </c>
    </row>
    <row r="3" spans="1:6" x14ac:dyDescent="0.25">
      <c r="A3" s="2" t="s">
        <v>2</v>
      </c>
      <c r="B3" s="2">
        <v>0.8</v>
      </c>
    </row>
    <row r="4" spans="1:6" x14ac:dyDescent="0.25">
      <c r="A4" s="2" t="s">
        <v>3</v>
      </c>
      <c r="B4" s="2">
        <v>1.08</v>
      </c>
    </row>
    <row r="6" spans="1:6" x14ac:dyDescent="0.25">
      <c r="A6" s="2" t="s">
        <v>4</v>
      </c>
      <c r="B6" s="2">
        <v>30</v>
      </c>
    </row>
    <row r="7" spans="1:6" x14ac:dyDescent="0.25">
      <c r="A7" s="2" t="s">
        <v>5</v>
      </c>
      <c r="B7" s="2">
        <v>4</v>
      </c>
    </row>
    <row r="8" spans="1:6" x14ac:dyDescent="0.25">
      <c r="A8" s="2" t="s">
        <v>6</v>
      </c>
      <c r="B8" s="2">
        <v>30</v>
      </c>
    </row>
    <row r="9" spans="1:6" x14ac:dyDescent="0.25">
      <c r="A9" s="2" t="s">
        <v>7</v>
      </c>
      <c r="B9" s="2">
        <v>50</v>
      </c>
    </row>
    <row r="11" spans="1:6" x14ac:dyDescent="0.25">
      <c r="A11" s="2" t="s">
        <v>8</v>
      </c>
      <c r="B11" s="2">
        <v>100</v>
      </c>
    </row>
    <row r="13" spans="1:6" x14ac:dyDescent="0.25">
      <c r="A13" s="2" t="s">
        <v>9</v>
      </c>
      <c r="B13" s="3">
        <f>MCBarrierIn(B6,B8,B9,B2,B3,B4,B7,B11)</f>
        <v>9.2158630967501498</v>
      </c>
      <c r="C13" s="2" t="str">
        <f ca="1">_xlfn.FORMULATEXT(B13)</f>
        <v>=MCBarrierIn(B6,B8,B9,B2,B3,B4,B7,B11)</v>
      </c>
    </row>
    <row r="14" spans="1:6" x14ac:dyDescent="0.25">
      <c r="A14" s="2" t="s">
        <v>10</v>
      </c>
      <c r="B14" s="3">
        <f>'[1]Page 641'!N38</f>
        <v>9.033351460149543</v>
      </c>
      <c r="C14" s="2" t="str">
        <f ca="1">_xlfn.FORMULATEXT(B14)</f>
        <v>='D:\lizhengdong\交易框架\5_工具箱\_书库\编程\Excel\财务金融建模第三版（用ECCEL工具）\Chapter files\[fm3_chapter23.3barrier.xls]Page 641'!N38</v>
      </c>
    </row>
    <row r="15" spans="1:6" x14ac:dyDescent="0.25">
      <c r="B15" s="3"/>
    </row>
    <row r="16" spans="1:6" x14ac:dyDescent="0.25">
      <c r="A16" s="4" t="s">
        <v>11</v>
      </c>
      <c r="B16" s="5">
        <f>mcbarrierout(B6,B8,B9,B2,B3,B4,B7,B11)</f>
        <v>1.8512167860590356</v>
      </c>
      <c r="C16" s="2" t="str">
        <f ca="1">_xlfn.FORMULATEXT(B16)</f>
        <v>=mcbarrierout(B6,B8,B9,B2,B3,B4,B7,B11)</v>
      </c>
    </row>
    <row r="17" spans="1:6" x14ac:dyDescent="0.25">
      <c r="A17" s="4" t="s">
        <v>10</v>
      </c>
      <c r="B17" s="5">
        <f>'[1]Page 639'!N38</f>
        <v>1.7374981941133196</v>
      </c>
      <c r="C17" s="2" t="s">
        <v>12</v>
      </c>
    </row>
    <row r="19" spans="1:6" x14ac:dyDescent="0.25">
      <c r="A19" s="6" t="s">
        <v>13</v>
      </c>
      <c r="B19" s="6"/>
      <c r="C19" s="6"/>
      <c r="D19" s="6"/>
      <c r="E19" s="6"/>
      <c r="F19" s="6"/>
    </row>
    <row r="20" spans="1:6" x14ac:dyDescent="0.25">
      <c r="A20" s="3">
        <f>MCBarrierIn($B$6,$B$8,$B$9,$B$2,$B$3,$B$4,$B$7,$B$11)</f>
        <v>6.8481261325339924</v>
      </c>
      <c r="B20" s="3">
        <f t="shared" ref="B20:F27" si="0">MCBarrierIn($B$6,$B$8,$B$9,$B$2,$B$3,$B$4,$B$7,$B$11)</f>
        <v>8.7279208792697549</v>
      </c>
      <c r="C20" s="3">
        <f t="shared" si="0"/>
        <v>9.7694287794882193</v>
      </c>
      <c r="D20" s="3">
        <f t="shared" si="0"/>
        <v>9.33229182543311</v>
      </c>
      <c r="E20" s="3">
        <f t="shared" si="0"/>
        <v>6.3771190028620266</v>
      </c>
      <c r="F20" s="3">
        <f t="shared" si="0"/>
        <v>7.2672695557926428</v>
      </c>
    </row>
    <row r="21" spans="1:6" x14ac:dyDescent="0.25">
      <c r="A21" s="3">
        <f t="shared" ref="A21:A27" si="1">MCBarrierIn($B$6,$B$8,$B$9,$B$2,$B$3,$B$4,$B$7,$B$11)</f>
        <v>8.8612846957611442</v>
      </c>
      <c r="B21" s="3">
        <f t="shared" si="0"/>
        <v>9.2550254873071474</v>
      </c>
      <c r="C21" s="3">
        <f t="shared" si="0"/>
        <v>8.9565445646835613</v>
      </c>
      <c r="D21" s="3">
        <f t="shared" si="0"/>
        <v>9.6350065200088029</v>
      </c>
      <c r="E21" s="3">
        <f t="shared" si="0"/>
        <v>10.628884485766054</v>
      </c>
      <c r="F21" s="3">
        <f t="shared" si="0"/>
        <v>11.726489864349942</v>
      </c>
    </row>
    <row r="22" spans="1:6" x14ac:dyDescent="0.25">
      <c r="A22" s="3">
        <f t="shared" si="1"/>
        <v>7.4958932412064518</v>
      </c>
      <c r="B22" s="3">
        <f t="shared" si="0"/>
        <v>8.9173821741265691</v>
      </c>
      <c r="C22" s="3">
        <f t="shared" si="0"/>
        <v>6.70947010110247</v>
      </c>
      <c r="D22" s="3">
        <f t="shared" si="0"/>
        <v>9.1597656183847249</v>
      </c>
      <c r="E22" s="3">
        <f t="shared" si="0"/>
        <v>11.614294907619092</v>
      </c>
      <c r="F22" s="3">
        <f t="shared" si="0"/>
        <v>9.583142813595483</v>
      </c>
    </row>
    <row r="23" spans="1:6" x14ac:dyDescent="0.25">
      <c r="A23" s="3">
        <f t="shared" si="1"/>
        <v>7.0555809581872655</v>
      </c>
      <c r="B23" s="3">
        <f t="shared" si="0"/>
        <v>9.4317854663076393</v>
      </c>
      <c r="C23" s="3">
        <f t="shared" si="0"/>
        <v>8.9216159460786741</v>
      </c>
      <c r="D23" s="3">
        <f t="shared" si="0"/>
        <v>7.6430168165421888</v>
      </c>
      <c r="E23" s="3">
        <f t="shared" si="0"/>
        <v>7.5435231756676613</v>
      </c>
      <c r="F23" s="3">
        <f t="shared" si="0"/>
        <v>7.4440295347931329</v>
      </c>
    </row>
    <row r="24" spans="1:6" x14ac:dyDescent="0.25">
      <c r="A24" s="3">
        <f t="shared" si="1"/>
        <v>8.226218902945007</v>
      </c>
      <c r="B24" s="3">
        <f t="shared" si="0"/>
        <v>9.5016427035174118</v>
      </c>
      <c r="C24" s="3">
        <f t="shared" si="0"/>
        <v>6.5369438940540876</v>
      </c>
      <c r="D24" s="3">
        <f t="shared" si="0"/>
        <v>9.3799217598943212</v>
      </c>
      <c r="E24" s="3">
        <f t="shared" si="0"/>
        <v>10.101779877728662</v>
      </c>
      <c r="F24" s="3">
        <f t="shared" si="0"/>
        <v>9.7948314112008621</v>
      </c>
    </row>
    <row r="25" spans="1:6" x14ac:dyDescent="0.25">
      <c r="A25" s="3">
        <f t="shared" si="1"/>
        <v>9.3153567376246791</v>
      </c>
      <c r="B25" s="3">
        <f t="shared" si="0"/>
        <v>9.5916103574997003</v>
      </c>
      <c r="C25" s="3">
        <f t="shared" si="0"/>
        <v>13.135277481413736</v>
      </c>
      <c r="D25" s="3">
        <f t="shared" si="0"/>
        <v>9.2158630967501516</v>
      </c>
      <c r="E25" s="3">
        <f t="shared" si="0"/>
        <v>9.142830530576294</v>
      </c>
      <c r="F25" s="3">
        <f t="shared" si="0"/>
        <v>7.4440295347931329</v>
      </c>
    </row>
    <row r="26" spans="1:6" x14ac:dyDescent="0.25">
      <c r="A26" s="3">
        <f t="shared" si="1"/>
        <v>8.10555640230994</v>
      </c>
      <c r="B26" s="3">
        <f t="shared" si="0"/>
        <v>9.1036681400193018</v>
      </c>
      <c r="C26" s="3">
        <f t="shared" si="0"/>
        <v>12.180561906213478</v>
      </c>
      <c r="D26" s="3">
        <f t="shared" si="0"/>
        <v>10.935832952293852</v>
      </c>
      <c r="E26" s="3">
        <f t="shared" si="0"/>
        <v>7.9065691205608859</v>
      </c>
      <c r="F26" s="3">
        <f t="shared" si="0"/>
        <v>8.6326610103473342</v>
      </c>
    </row>
    <row r="27" spans="1:6" x14ac:dyDescent="0.25">
      <c r="A27" s="3">
        <f t="shared" si="1"/>
        <v>8.420972412741957</v>
      </c>
      <c r="B27" s="3">
        <f t="shared" si="0"/>
        <v>9.3068891937204654</v>
      </c>
      <c r="C27" s="3">
        <f t="shared" si="0"/>
        <v>11.026859049264168</v>
      </c>
      <c r="D27" s="3">
        <f t="shared" si="0"/>
        <v>9.259259259259256</v>
      </c>
      <c r="E27" s="3">
        <f t="shared" si="0"/>
        <v>11.320047756947618</v>
      </c>
      <c r="F27" s="3">
        <f t="shared" si="0"/>
        <v>8.386043794137068</v>
      </c>
    </row>
    <row r="29" spans="1:6" x14ac:dyDescent="0.25">
      <c r="A29" s="4" t="s">
        <v>14</v>
      </c>
      <c r="B29" s="5">
        <f>AVERAGE(A20:F27)</f>
        <v>9.0599191631808562</v>
      </c>
      <c r="C29" s="3" t="str">
        <f ca="1">_xlfn.FORMULATEXT(B29)</f>
        <v>=AVERAGE(A20:F27)</v>
      </c>
    </row>
    <row r="30" spans="1:6" x14ac:dyDescent="0.25">
      <c r="A30" s="4" t="s">
        <v>15</v>
      </c>
      <c r="B30" s="5">
        <f>B14</f>
        <v>9.033351460149543</v>
      </c>
      <c r="C30" s="3" t="str">
        <f ca="1">_xlfn.FORMULATEXT(B30)</f>
        <v>=B14</v>
      </c>
    </row>
    <row r="32" spans="1:6" x14ac:dyDescent="0.25">
      <c r="B32" s="3">
        <f>MIN(A20:F27)</f>
        <v>6.3771190028620266</v>
      </c>
      <c r="C32" s="3" t="str">
        <f ca="1">_xlfn.FORMULATEXT(B32)</f>
        <v>=MIN(A20:F27)</v>
      </c>
    </row>
    <row r="33" spans="2:3" x14ac:dyDescent="0.25">
      <c r="B33" s="3">
        <f>MAX(A20:F27)</f>
        <v>13.135277481413736</v>
      </c>
      <c r="C33" s="3" t="str">
        <f ca="1">_xlfn.FORMULATEXT(B33)</f>
        <v>=MAX(A20:F27)</v>
      </c>
    </row>
    <row r="34" spans="2:3" x14ac:dyDescent="0.25">
      <c r="B34" s="3">
        <f>STDEV(A20:F27)</f>
        <v>1.5023391087704501</v>
      </c>
      <c r="C34" s="3" t="str">
        <f ca="1">_xlfn.FORMULATEXT(B34)</f>
        <v>=STDEV(A20:F27)</v>
      </c>
    </row>
  </sheetData>
  <mergeCells count="2">
    <mergeCell ref="A1:F1"/>
    <mergeCell ref="A19:F19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2024-12-11T09:44:27Z</dcterms:modified>
</cp:coreProperties>
</file>