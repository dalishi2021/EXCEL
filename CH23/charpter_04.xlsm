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"/>
    </mc:Choice>
  </mc:AlternateContent>
  <xr:revisionPtr revIDLastSave="0" documentId="13_ncr:1_{05F42518-1FB2-4DAD-B477-BC685AEA0DAD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22" sheetId="2" r:id="rId2"/>
  </sheets>
  <functionGroups builtInGroupCount="19"/>
  <externalReferences>
    <externalReference r:id="rId3"/>
    <externalReference r:id="rId4"/>
  </externalReferences>
  <definedNames>
    <definedName name="Call">#REF!</definedName>
    <definedName name="down">#REF!</definedName>
    <definedName name="implied_call_volatility">'[2]Page 304'!$B$13</definedName>
    <definedName name="Interest">'[2]Page 300'!$B$6</definedName>
    <definedName name="q_down">#REF!</definedName>
    <definedName name="q_up">#REF!</definedName>
    <definedName name="R_">#REF!</definedName>
    <definedName name="s">'[2]Page 300'!$B$3</definedName>
    <definedName name="sigma">'[2]Page 300'!$B$7</definedName>
    <definedName name="T">'[2]Page 300'!$B$5</definedName>
    <definedName name="target_call_price">'[2]Page 304'!$B$11</definedName>
    <definedName name="up">#REF!</definedName>
    <definedName name="X">'[2]Page 300'!$B$4</definedName>
  </definedNames>
  <calcPr calcId="191029" iterate="1" iterateDelta="1.0000000000000001E-5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  <c r="B14" i="2"/>
  <c r="B29" i="2"/>
  <c r="B28" i="2"/>
  <c r="E19" i="2"/>
  <c r="E18" i="2"/>
  <c r="E17" i="2"/>
  <c r="C14" i="2"/>
  <c r="C12" i="2"/>
  <c r="A17" i="2"/>
  <c r="A21" i="2"/>
  <c r="A25" i="2"/>
  <c r="C26" i="2"/>
  <c r="B23" i="2"/>
  <c r="D23" i="2"/>
  <c r="B20" i="2"/>
  <c r="C20" i="2"/>
  <c r="B17" i="2"/>
  <c r="B21" i="2"/>
  <c r="B25" i="2"/>
  <c r="D26" i="2"/>
  <c r="D24" i="2"/>
  <c r="C17" i="2"/>
  <c r="C21" i="2"/>
  <c r="C25" i="2"/>
  <c r="B19" i="2"/>
  <c r="D17" i="2"/>
  <c r="D21" i="2"/>
  <c r="D25" i="2"/>
  <c r="A23" i="2"/>
  <c r="C23" i="2"/>
  <c r="A20" i="2"/>
  <c r="B24" i="2"/>
  <c r="C24" i="2"/>
  <c r="A18" i="2"/>
  <c r="A22" i="2"/>
  <c r="A26" i="2"/>
  <c r="B18" i="2"/>
  <c r="B22" i="2"/>
  <c r="B26" i="2"/>
  <c r="D22" i="2"/>
  <c r="C19" i="2"/>
  <c r="A24" i="2"/>
  <c r="D20" i="2"/>
  <c r="C18" i="2"/>
  <c r="C22" i="2"/>
  <c r="D18" i="2"/>
  <c r="A19" i="2"/>
  <c r="D19" i="2"/>
  <c r="A29" i="2" l="1"/>
  <c r="A28" i="2" l="1"/>
</calcChain>
</file>

<file path=xl/sharedStrings.xml><?xml version="1.0" encoding="utf-8"?>
<sst xmlns="http://schemas.openxmlformats.org/spreadsheetml/2006/main" count="12" uniqueCount="12">
  <si>
    <t>RUNNING THE MONTE CARLO FUNCTION MANY TIMES</t>
  </si>
  <si>
    <r>
      <t>S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, current stock price</t>
    </r>
  </si>
  <si>
    <t>X, exercise price</t>
  </si>
  <si>
    <t>r, interest rate</t>
  </si>
  <si>
    <t>T, time</t>
  </si>
  <si>
    <r>
      <t>m</t>
    </r>
    <r>
      <rPr>
        <sz val="11"/>
        <color theme="1"/>
        <rFont val="等线"/>
        <family val="2"/>
        <charset val="134"/>
        <scheme val="minor"/>
      </rPr>
      <t>, mean stock return</t>
    </r>
  </si>
  <si>
    <r>
      <t>s</t>
    </r>
    <r>
      <rPr>
        <sz val="11"/>
        <color theme="1"/>
        <rFont val="等线"/>
        <family val="2"/>
        <charset val="134"/>
        <scheme val="minor"/>
      </rPr>
      <t>, sigma--standard deviation of stock return</t>
    </r>
  </si>
  <si>
    <t>n, divisions</t>
  </si>
  <si>
    <t>Runs</t>
  </si>
  <si>
    <t>VanillaCall</t>
  </si>
  <si>
    <t>BS call</t>
  </si>
  <si>
    <t>Multiple runs of the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</si>
</sst>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0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9" fontId="2" fillId="0" borderId="0" xfId="1" applyNumberFormat="1"/>
    <xf numFmtId="0" fontId="5" fillId="0" borderId="0" xfId="1" applyFont="1"/>
    <xf numFmtId="0" fontId="2" fillId="2" borderId="0" xfId="1" applyFill="1"/>
    <xf numFmtId="176" fontId="2" fillId="2" borderId="0" xfId="1" applyNumberFormat="1" applyFill="1"/>
    <xf numFmtId="176" fontId="2" fillId="0" borderId="0" xfId="1" applyNumberFormat="1"/>
    <xf numFmtId="0" fontId="6" fillId="0" borderId="0" xfId="1" applyFont="1"/>
    <xf numFmtId="177" fontId="2" fillId="0" borderId="0" xfId="1" applyNumberFormat="1"/>
  </cellXfs>
  <cellStyles count="2">
    <cellStyle name="常规" xfId="0" builtinId="0"/>
    <cellStyle name="常规 2" xfId="1" xr:uid="{D23E4380-5AEE-494C-9953-E8F9B3702FD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304800</xdr:colOff>
      <xdr:row>2</xdr:row>
      <xdr:rowOff>152400</xdr:rowOff>
    </xdr:from>
    <xdr:to>
      <xdr:col>24</xdr:col>
      <xdr:colOff>306332</xdr:colOff>
      <xdr:row>40</xdr:row>
      <xdr:rowOff>111394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CF0FDAF-1E58-C2DC-9FC1-BB60620FF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5325" y="571500"/>
          <a:ext cx="10974332" cy="647409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3.1plainvanilla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.1plainvanill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FM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15"/>
      <sheetName val="Page 615 中文"/>
      <sheetName val="Page 616, top"/>
      <sheetName val="Page 616, top 中文"/>
      <sheetName val="Page 616, bottom"/>
      <sheetName val="Page 616, bottom 中文"/>
      <sheetName val="Page 618"/>
      <sheetName val="Page 618 中文"/>
      <sheetName val="Page 621"/>
      <sheetName val="Page 621 中文"/>
      <sheetName val="Page 622"/>
      <sheetName val="Page 622 中文"/>
      <sheetName val="Page 624"/>
      <sheetName val="Page 624 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 t="e">
            <v>#NAME?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B7613-F883-48F8-9684-5D40C8171216}">
  <sheetPr codeName="Sheet2"/>
  <dimension ref="A1:E29"/>
  <sheetViews>
    <sheetView tabSelected="1" workbookViewId="0">
      <selection activeCell="P49" sqref="P49"/>
    </sheetView>
  </sheetViews>
  <sheetFormatPr defaultRowHeight="13.2" x14ac:dyDescent="0.25"/>
  <cols>
    <col min="1" max="1" width="36.44140625" style="2" customWidth="1"/>
    <col min="2" max="4" width="11.33203125" style="2" customWidth="1"/>
    <col min="5" max="5" width="37.33203125" style="2" bestFit="1" customWidth="1"/>
    <col min="6" max="256" width="8.88671875" style="2"/>
    <col min="257" max="257" width="36.44140625" style="2" customWidth="1"/>
    <col min="258" max="260" width="11.33203125" style="2" customWidth="1"/>
    <col min="261" max="261" width="37.33203125" style="2" bestFit="1" customWidth="1"/>
    <col min="262" max="512" width="8.88671875" style="2"/>
    <col min="513" max="513" width="36.44140625" style="2" customWidth="1"/>
    <col min="514" max="516" width="11.33203125" style="2" customWidth="1"/>
    <col min="517" max="517" width="37.33203125" style="2" bestFit="1" customWidth="1"/>
    <col min="518" max="768" width="8.88671875" style="2"/>
    <col min="769" max="769" width="36.44140625" style="2" customWidth="1"/>
    <col min="770" max="772" width="11.33203125" style="2" customWidth="1"/>
    <col min="773" max="773" width="37.33203125" style="2" bestFit="1" customWidth="1"/>
    <col min="774" max="1024" width="8.88671875" style="2"/>
    <col min="1025" max="1025" width="36.44140625" style="2" customWidth="1"/>
    <col min="1026" max="1028" width="11.33203125" style="2" customWidth="1"/>
    <col min="1029" max="1029" width="37.33203125" style="2" bestFit="1" customWidth="1"/>
    <col min="1030" max="1280" width="8.88671875" style="2"/>
    <col min="1281" max="1281" width="36.44140625" style="2" customWidth="1"/>
    <col min="1282" max="1284" width="11.33203125" style="2" customWidth="1"/>
    <col min="1285" max="1285" width="37.33203125" style="2" bestFit="1" customWidth="1"/>
    <col min="1286" max="1536" width="8.88671875" style="2"/>
    <col min="1537" max="1537" width="36.44140625" style="2" customWidth="1"/>
    <col min="1538" max="1540" width="11.33203125" style="2" customWidth="1"/>
    <col min="1541" max="1541" width="37.33203125" style="2" bestFit="1" customWidth="1"/>
    <col min="1542" max="1792" width="8.88671875" style="2"/>
    <col min="1793" max="1793" width="36.44140625" style="2" customWidth="1"/>
    <col min="1794" max="1796" width="11.33203125" style="2" customWidth="1"/>
    <col min="1797" max="1797" width="37.33203125" style="2" bestFit="1" customWidth="1"/>
    <col min="1798" max="2048" width="8.88671875" style="2"/>
    <col min="2049" max="2049" width="36.44140625" style="2" customWidth="1"/>
    <col min="2050" max="2052" width="11.33203125" style="2" customWidth="1"/>
    <col min="2053" max="2053" width="37.33203125" style="2" bestFit="1" customWidth="1"/>
    <col min="2054" max="2304" width="8.88671875" style="2"/>
    <col min="2305" max="2305" width="36.44140625" style="2" customWidth="1"/>
    <col min="2306" max="2308" width="11.33203125" style="2" customWidth="1"/>
    <col min="2309" max="2309" width="37.33203125" style="2" bestFit="1" customWidth="1"/>
    <col min="2310" max="2560" width="8.88671875" style="2"/>
    <col min="2561" max="2561" width="36.44140625" style="2" customWidth="1"/>
    <col min="2562" max="2564" width="11.33203125" style="2" customWidth="1"/>
    <col min="2565" max="2565" width="37.33203125" style="2" bestFit="1" customWidth="1"/>
    <col min="2566" max="2816" width="8.88671875" style="2"/>
    <col min="2817" max="2817" width="36.44140625" style="2" customWidth="1"/>
    <col min="2818" max="2820" width="11.33203125" style="2" customWidth="1"/>
    <col min="2821" max="2821" width="37.33203125" style="2" bestFit="1" customWidth="1"/>
    <col min="2822" max="3072" width="8.88671875" style="2"/>
    <col min="3073" max="3073" width="36.44140625" style="2" customWidth="1"/>
    <col min="3074" max="3076" width="11.33203125" style="2" customWidth="1"/>
    <col min="3077" max="3077" width="37.33203125" style="2" bestFit="1" customWidth="1"/>
    <col min="3078" max="3328" width="8.88671875" style="2"/>
    <col min="3329" max="3329" width="36.44140625" style="2" customWidth="1"/>
    <col min="3330" max="3332" width="11.33203125" style="2" customWidth="1"/>
    <col min="3333" max="3333" width="37.33203125" style="2" bestFit="1" customWidth="1"/>
    <col min="3334" max="3584" width="8.88671875" style="2"/>
    <col min="3585" max="3585" width="36.44140625" style="2" customWidth="1"/>
    <col min="3586" max="3588" width="11.33203125" style="2" customWidth="1"/>
    <col min="3589" max="3589" width="37.33203125" style="2" bestFit="1" customWidth="1"/>
    <col min="3590" max="3840" width="8.88671875" style="2"/>
    <col min="3841" max="3841" width="36.44140625" style="2" customWidth="1"/>
    <col min="3842" max="3844" width="11.33203125" style="2" customWidth="1"/>
    <col min="3845" max="3845" width="37.33203125" style="2" bestFit="1" customWidth="1"/>
    <col min="3846" max="4096" width="8.88671875" style="2"/>
    <col min="4097" max="4097" width="36.44140625" style="2" customWidth="1"/>
    <col min="4098" max="4100" width="11.33203125" style="2" customWidth="1"/>
    <col min="4101" max="4101" width="37.33203125" style="2" bestFit="1" customWidth="1"/>
    <col min="4102" max="4352" width="8.88671875" style="2"/>
    <col min="4353" max="4353" width="36.44140625" style="2" customWidth="1"/>
    <col min="4354" max="4356" width="11.33203125" style="2" customWidth="1"/>
    <col min="4357" max="4357" width="37.33203125" style="2" bestFit="1" customWidth="1"/>
    <col min="4358" max="4608" width="8.88671875" style="2"/>
    <col min="4609" max="4609" width="36.44140625" style="2" customWidth="1"/>
    <col min="4610" max="4612" width="11.33203125" style="2" customWidth="1"/>
    <col min="4613" max="4613" width="37.33203125" style="2" bestFit="1" customWidth="1"/>
    <col min="4614" max="4864" width="8.88671875" style="2"/>
    <col min="4865" max="4865" width="36.44140625" style="2" customWidth="1"/>
    <col min="4866" max="4868" width="11.33203125" style="2" customWidth="1"/>
    <col min="4869" max="4869" width="37.33203125" style="2" bestFit="1" customWidth="1"/>
    <col min="4870" max="5120" width="8.88671875" style="2"/>
    <col min="5121" max="5121" width="36.44140625" style="2" customWidth="1"/>
    <col min="5122" max="5124" width="11.33203125" style="2" customWidth="1"/>
    <col min="5125" max="5125" width="37.33203125" style="2" bestFit="1" customWidth="1"/>
    <col min="5126" max="5376" width="8.88671875" style="2"/>
    <col min="5377" max="5377" width="36.44140625" style="2" customWidth="1"/>
    <col min="5378" max="5380" width="11.33203125" style="2" customWidth="1"/>
    <col min="5381" max="5381" width="37.33203125" style="2" bestFit="1" customWidth="1"/>
    <col min="5382" max="5632" width="8.88671875" style="2"/>
    <col min="5633" max="5633" width="36.44140625" style="2" customWidth="1"/>
    <col min="5634" max="5636" width="11.33203125" style="2" customWidth="1"/>
    <col min="5637" max="5637" width="37.33203125" style="2" bestFit="1" customWidth="1"/>
    <col min="5638" max="5888" width="8.88671875" style="2"/>
    <col min="5889" max="5889" width="36.44140625" style="2" customWidth="1"/>
    <col min="5890" max="5892" width="11.33203125" style="2" customWidth="1"/>
    <col min="5893" max="5893" width="37.33203125" style="2" bestFit="1" customWidth="1"/>
    <col min="5894" max="6144" width="8.88671875" style="2"/>
    <col min="6145" max="6145" width="36.44140625" style="2" customWidth="1"/>
    <col min="6146" max="6148" width="11.33203125" style="2" customWidth="1"/>
    <col min="6149" max="6149" width="37.33203125" style="2" bestFit="1" customWidth="1"/>
    <col min="6150" max="6400" width="8.88671875" style="2"/>
    <col min="6401" max="6401" width="36.44140625" style="2" customWidth="1"/>
    <col min="6402" max="6404" width="11.33203125" style="2" customWidth="1"/>
    <col min="6405" max="6405" width="37.33203125" style="2" bestFit="1" customWidth="1"/>
    <col min="6406" max="6656" width="8.88671875" style="2"/>
    <col min="6657" max="6657" width="36.44140625" style="2" customWidth="1"/>
    <col min="6658" max="6660" width="11.33203125" style="2" customWidth="1"/>
    <col min="6661" max="6661" width="37.33203125" style="2" bestFit="1" customWidth="1"/>
    <col min="6662" max="6912" width="8.88671875" style="2"/>
    <col min="6913" max="6913" width="36.44140625" style="2" customWidth="1"/>
    <col min="6914" max="6916" width="11.33203125" style="2" customWidth="1"/>
    <col min="6917" max="6917" width="37.33203125" style="2" bestFit="1" customWidth="1"/>
    <col min="6918" max="7168" width="8.88671875" style="2"/>
    <col min="7169" max="7169" width="36.44140625" style="2" customWidth="1"/>
    <col min="7170" max="7172" width="11.33203125" style="2" customWidth="1"/>
    <col min="7173" max="7173" width="37.33203125" style="2" bestFit="1" customWidth="1"/>
    <col min="7174" max="7424" width="8.88671875" style="2"/>
    <col min="7425" max="7425" width="36.44140625" style="2" customWidth="1"/>
    <col min="7426" max="7428" width="11.33203125" style="2" customWidth="1"/>
    <col min="7429" max="7429" width="37.33203125" style="2" bestFit="1" customWidth="1"/>
    <col min="7430" max="7680" width="8.88671875" style="2"/>
    <col min="7681" max="7681" width="36.44140625" style="2" customWidth="1"/>
    <col min="7682" max="7684" width="11.33203125" style="2" customWidth="1"/>
    <col min="7685" max="7685" width="37.33203125" style="2" bestFit="1" customWidth="1"/>
    <col min="7686" max="7936" width="8.88671875" style="2"/>
    <col min="7937" max="7937" width="36.44140625" style="2" customWidth="1"/>
    <col min="7938" max="7940" width="11.33203125" style="2" customWidth="1"/>
    <col min="7941" max="7941" width="37.33203125" style="2" bestFit="1" customWidth="1"/>
    <col min="7942" max="8192" width="8.88671875" style="2"/>
    <col min="8193" max="8193" width="36.44140625" style="2" customWidth="1"/>
    <col min="8194" max="8196" width="11.33203125" style="2" customWidth="1"/>
    <col min="8197" max="8197" width="37.33203125" style="2" bestFit="1" customWidth="1"/>
    <col min="8198" max="8448" width="8.88671875" style="2"/>
    <col min="8449" max="8449" width="36.44140625" style="2" customWidth="1"/>
    <col min="8450" max="8452" width="11.33203125" style="2" customWidth="1"/>
    <col min="8453" max="8453" width="37.33203125" style="2" bestFit="1" customWidth="1"/>
    <col min="8454" max="8704" width="8.88671875" style="2"/>
    <col min="8705" max="8705" width="36.44140625" style="2" customWidth="1"/>
    <col min="8706" max="8708" width="11.33203125" style="2" customWidth="1"/>
    <col min="8709" max="8709" width="37.33203125" style="2" bestFit="1" customWidth="1"/>
    <col min="8710" max="8960" width="8.88671875" style="2"/>
    <col min="8961" max="8961" width="36.44140625" style="2" customWidth="1"/>
    <col min="8962" max="8964" width="11.33203125" style="2" customWidth="1"/>
    <col min="8965" max="8965" width="37.33203125" style="2" bestFit="1" customWidth="1"/>
    <col min="8966" max="9216" width="8.88671875" style="2"/>
    <col min="9217" max="9217" width="36.44140625" style="2" customWidth="1"/>
    <col min="9218" max="9220" width="11.33203125" style="2" customWidth="1"/>
    <col min="9221" max="9221" width="37.33203125" style="2" bestFit="1" customWidth="1"/>
    <col min="9222" max="9472" width="8.88671875" style="2"/>
    <col min="9473" max="9473" width="36.44140625" style="2" customWidth="1"/>
    <col min="9474" max="9476" width="11.33203125" style="2" customWidth="1"/>
    <col min="9477" max="9477" width="37.33203125" style="2" bestFit="1" customWidth="1"/>
    <col min="9478" max="9728" width="8.88671875" style="2"/>
    <col min="9729" max="9729" width="36.44140625" style="2" customWidth="1"/>
    <col min="9730" max="9732" width="11.33203125" style="2" customWidth="1"/>
    <col min="9733" max="9733" width="37.33203125" style="2" bestFit="1" customWidth="1"/>
    <col min="9734" max="9984" width="8.88671875" style="2"/>
    <col min="9985" max="9985" width="36.44140625" style="2" customWidth="1"/>
    <col min="9986" max="9988" width="11.33203125" style="2" customWidth="1"/>
    <col min="9989" max="9989" width="37.33203125" style="2" bestFit="1" customWidth="1"/>
    <col min="9990" max="10240" width="8.88671875" style="2"/>
    <col min="10241" max="10241" width="36.44140625" style="2" customWidth="1"/>
    <col min="10242" max="10244" width="11.33203125" style="2" customWidth="1"/>
    <col min="10245" max="10245" width="37.33203125" style="2" bestFit="1" customWidth="1"/>
    <col min="10246" max="10496" width="8.88671875" style="2"/>
    <col min="10497" max="10497" width="36.44140625" style="2" customWidth="1"/>
    <col min="10498" max="10500" width="11.33203125" style="2" customWidth="1"/>
    <col min="10501" max="10501" width="37.33203125" style="2" bestFit="1" customWidth="1"/>
    <col min="10502" max="10752" width="8.88671875" style="2"/>
    <col min="10753" max="10753" width="36.44140625" style="2" customWidth="1"/>
    <col min="10754" max="10756" width="11.33203125" style="2" customWidth="1"/>
    <col min="10757" max="10757" width="37.33203125" style="2" bestFit="1" customWidth="1"/>
    <col min="10758" max="11008" width="8.88671875" style="2"/>
    <col min="11009" max="11009" width="36.44140625" style="2" customWidth="1"/>
    <col min="11010" max="11012" width="11.33203125" style="2" customWidth="1"/>
    <col min="11013" max="11013" width="37.33203125" style="2" bestFit="1" customWidth="1"/>
    <col min="11014" max="11264" width="8.88671875" style="2"/>
    <col min="11265" max="11265" width="36.44140625" style="2" customWidth="1"/>
    <col min="11266" max="11268" width="11.33203125" style="2" customWidth="1"/>
    <col min="11269" max="11269" width="37.33203125" style="2" bestFit="1" customWidth="1"/>
    <col min="11270" max="11520" width="8.88671875" style="2"/>
    <col min="11521" max="11521" width="36.44140625" style="2" customWidth="1"/>
    <col min="11522" max="11524" width="11.33203125" style="2" customWidth="1"/>
    <col min="11525" max="11525" width="37.33203125" style="2" bestFit="1" customWidth="1"/>
    <col min="11526" max="11776" width="8.88671875" style="2"/>
    <col min="11777" max="11777" width="36.44140625" style="2" customWidth="1"/>
    <col min="11778" max="11780" width="11.33203125" style="2" customWidth="1"/>
    <col min="11781" max="11781" width="37.33203125" style="2" bestFit="1" customWidth="1"/>
    <col min="11782" max="12032" width="8.88671875" style="2"/>
    <col min="12033" max="12033" width="36.44140625" style="2" customWidth="1"/>
    <col min="12034" max="12036" width="11.33203125" style="2" customWidth="1"/>
    <col min="12037" max="12037" width="37.33203125" style="2" bestFit="1" customWidth="1"/>
    <col min="12038" max="12288" width="8.88671875" style="2"/>
    <col min="12289" max="12289" width="36.44140625" style="2" customWidth="1"/>
    <col min="12290" max="12292" width="11.33203125" style="2" customWidth="1"/>
    <col min="12293" max="12293" width="37.33203125" style="2" bestFit="1" customWidth="1"/>
    <col min="12294" max="12544" width="8.88671875" style="2"/>
    <col min="12545" max="12545" width="36.44140625" style="2" customWidth="1"/>
    <col min="12546" max="12548" width="11.33203125" style="2" customWidth="1"/>
    <col min="12549" max="12549" width="37.33203125" style="2" bestFit="1" customWidth="1"/>
    <col min="12550" max="12800" width="8.88671875" style="2"/>
    <col min="12801" max="12801" width="36.44140625" style="2" customWidth="1"/>
    <col min="12802" max="12804" width="11.33203125" style="2" customWidth="1"/>
    <col min="12805" max="12805" width="37.33203125" style="2" bestFit="1" customWidth="1"/>
    <col min="12806" max="13056" width="8.88671875" style="2"/>
    <col min="13057" max="13057" width="36.44140625" style="2" customWidth="1"/>
    <col min="13058" max="13060" width="11.33203125" style="2" customWidth="1"/>
    <col min="13061" max="13061" width="37.33203125" style="2" bestFit="1" customWidth="1"/>
    <col min="13062" max="13312" width="8.88671875" style="2"/>
    <col min="13313" max="13313" width="36.44140625" style="2" customWidth="1"/>
    <col min="13314" max="13316" width="11.33203125" style="2" customWidth="1"/>
    <col min="13317" max="13317" width="37.33203125" style="2" bestFit="1" customWidth="1"/>
    <col min="13318" max="13568" width="8.88671875" style="2"/>
    <col min="13569" max="13569" width="36.44140625" style="2" customWidth="1"/>
    <col min="13570" max="13572" width="11.33203125" style="2" customWidth="1"/>
    <col min="13573" max="13573" width="37.33203125" style="2" bestFit="1" customWidth="1"/>
    <col min="13574" max="13824" width="8.88671875" style="2"/>
    <col min="13825" max="13825" width="36.44140625" style="2" customWidth="1"/>
    <col min="13826" max="13828" width="11.33203125" style="2" customWidth="1"/>
    <col min="13829" max="13829" width="37.33203125" style="2" bestFit="1" customWidth="1"/>
    <col min="13830" max="14080" width="8.88671875" style="2"/>
    <col min="14081" max="14081" width="36.44140625" style="2" customWidth="1"/>
    <col min="14082" max="14084" width="11.33203125" style="2" customWidth="1"/>
    <col min="14085" max="14085" width="37.33203125" style="2" bestFit="1" customWidth="1"/>
    <col min="14086" max="14336" width="8.88671875" style="2"/>
    <col min="14337" max="14337" width="36.44140625" style="2" customWidth="1"/>
    <col min="14338" max="14340" width="11.33203125" style="2" customWidth="1"/>
    <col min="14341" max="14341" width="37.33203125" style="2" bestFit="1" customWidth="1"/>
    <col min="14342" max="14592" width="8.88671875" style="2"/>
    <col min="14593" max="14593" width="36.44140625" style="2" customWidth="1"/>
    <col min="14594" max="14596" width="11.33203125" style="2" customWidth="1"/>
    <col min="14597" max="14597" width="37.33203125" style="2" bestFit="1" customWidth="1"/>
    <col min="14598" max="14848" width="8.88671875" style="2"/>
    <col min="14849" max="14849" width="36.44140625" style="2" customWidth="1"/>
    <col min="14850" max="14852" width="11.33203125" style="2" customWidth="1"/>
    <col min="14853" max="14853" width="37.33203125" style="2" bestFit="1" customWidth="1"/>
    <col min="14854" max="15104" width="8.88671875" style="2"/>
    <col min="15105" max="15105" width="36.44140625" style="2" customWidth="1"/>
    <col min="15106" max="15108" width="11.33203125" style="2" customWidth="1"/>
    <col min="15109" max="15109" width="37.33203125" style="2" bestFit="1" customWidth="1"/>
    <col min="15110" max="15360" width="8.88671875" style="2"/>
    <col min="15361" max="15361" width="36.44140625" style="2" customWidth="1"/>
    <col min="15362" max="15364" width="11.33203125" style="2" customWidth="1"/>
    <col min="15365" max="15365" width="37.33203125" style="2" bestFit="1" customWidth="1"/>
    <col min="15366" max="15616" width="8.88671875" style="2"/>
    <col min="15617" max="15617" width="36.44140625" style="2" customWidth="1"/>
    <col min="15618" max="15620" width="11.33203125" style="2" customWidth="1"/>
    <col min="15621" max="15621" width="37.33203125" style="2" bestFit="1" customWidth="1"/>
    <col min="15622" max="15872" width="8.88671875" style="2"/>
    <col min="15873" max="15873" width="36.44140625" style="2" customWidth="1"/>
    <col min="15874" max="15876" width="11.33203125" style="2" customWidth="1"/>
    <col min="15877" max="15877" width="37.33203125" style="2" bestFit="1" customWidth="1"/>
    <col min="15878" max="16128" width="8.88671875" style="2"/>
    <col min="16129" max="16129" width="36.44140625" style="2" customWidth="1"/>
    <col min="16130" max="16132" width="11.33203125" style="2" customWidth="1"/>
    <col min="16133" max="16133" width="37.33203125" style="2" bestFit="1" customWidth="1"/>
    <col min="16134" max="16384" width="8.88671875" style="2"/>
  </cols>
  <sheetData>
    <row r="1" spans="1:5" ht="17.399999999999999" x14ac:dyDescent="0.3">
      <c r="A1" s="1" t="s">
        <v>0</v>
      </c>
      <c r="B1" s="1"/>
      <c r="C1" s="1"/>
      <c r="D1" s="1"/>
      <c r="E1" s="1"/>
    </row>
    <row r="2" spans="1:5" ht="15.6" x14ac:dyDescent="0.35">
      <c r="A2" s="2" t="s">
        <v>1</v>
      </c>
      <c r="B2" s="2">
        <v>50</v>
      </c>
    </row>
    <row r="3" spans="1:5" x14ac:dyDescent="0.25">
      <c r="A3" s="2" t="s">
        <v>2</v>
      </c>
      <c r="B3" s="2">
        <v>50</v>
      </c>
    </row>
    <row r="4" spans="1:5" x14ac:dyDescent="0.25">
      <c r="A4" s="2" t="s">
        <v>3</v>
      </c>
      <c r="B4" s="3">
        <v>0.1</v>
      </c>
    </row>
    <row r="5" spans="1:5" x14ac:dyDescent="0.25">
      <c r="A5" s="2" t="s">
        <v>4</v>
      </c>
      <c r="B5" s="2">
        <v>0.8</v>
      </c>
    </row>
    <row r="6" spans="1:5" ht="13.8" x14ac:dyDescent="0.25">
      <c r="A6" s="4" t="s">
        <v>5</v>
      </c>
      <c r="B6" s="3">
        <v>0.33</v>
      </c>
    </row>
    <row r="7" spans="1:5" ht="13.8" x14ac:dyDescent="0.25">
      <c r="A7" s="4" t="s">
        <v>6</v>
      </c>
      <c r="B7" s="3">
        <v>0.3</v>
      </c>
    </row>
    <row r="9" spans="1:5" x14ac:dyDescent="0.25">
      <c r="A9" s="2" t="s">
        <v>7</v>
      </c>
      <c r="B9" s="2">
        <v>100</v>
      </c>
    </row>
    <row r="10" spans="1:5" x14ac:dyDescent="0.25">
      <c r="A10" s="2" t="s">
        <v>8</v>
      </c>
      <c r="B10" s="2">
        <v>3000</v>
      </c>
    </row>
    <row r="12" spans="1:5" x14ac:dyDescent="0.25">
      <c r="A12" s="5" t="s">
        <v>9</v>
      </c>
      <c r="B12" s="6">
        <f>vanillacall(B2,B3,B6,B7,B4,B5,B9,B10)</f>
        <v>7.127242415519321</v>
      </c>
      <c r="C12" s="2" t="str">
        <f ca="1">_xlfn.FORMULATEXT(B12)</f>
        <v>=vanillacall(B2,B3,B6,B7,B4,B5,B9,B10)</v>
      </c>
    </row>
    <row r="13" spans="1:5" x14ac:dyDescent="0.25">
      <c r="B13" s="7"/>
    </row>
    <row r="14" spans="1:5" x14ac:dyDescent="0.25">
      <c r="A14" s="5" t="s">
        <v>10</v>
      </c>
      <c r="B14" s="6">
        <f>BSCall(B2,B3,B5,B4,B7)</f>
        <v>7.2781854469089957</v>
      </c>
      <c r="C14" s="2" t="str">
        <f ca="1">_xlfn.FORMULATEXT(B14)</f>
        <v>=BSCall(B2,B3,B5,B4,B7)</v>
      </c>
    </row>
    <row r="15" spans="1:5" x14ac:dyDescent="0.25">
      <c r="B15" s="7"/>
    </row>
    <row r="16" spans="1:5" x14ac:dyDescent="0.25">
      <c r="B16" s="8" t="s">
        <v>11</v>
      </c>
    </row>
    <row r="17" spans="1:5" x14ac:dyDescent="0.25">
      <c r="A17" s="7">
        <f>vanillacall(B2,B3,B6,B7,B4,B5,B9,B10)</f>
        <v>7.5220265534025934</v>
      </c>
      <c r="B17" s="7">
        <f>vanillacall(B2,B3,B6,B7,B4,B5,B9,B10)</f>
        <v>7.177714966974416</v>
      </c>
      <c r="C17" s="7">
        <f>vanillacall(B2,B3,B6,B7,B4,B5,B9,B10)</f>
        <v>6.9981302117642157</v>
      </c>
      <c r="D17" s="7">
        <f>vanillacall(B2,B3,B6,B7,B4,B5,B9,B10)</f>
        <v>7.4803646560702797</v>
      </c>
      <c r="E17" s="2" t="str">
        <f ca="1">_xlfn.FORMULATEXT(D17)</f>
        <v>=vanillacall(B2,B3,B6,B7,B4,B5,B9,B10)</v>
      </c>
    </row>
    <row r="18" spans="1:5" x14ac:dyDescent="0.25">
      <c r="A18" s="7">
        <f>vanillacall(B2,B3,B6,B7,B4,B5,B9,B10)</f>
        <v>7.4347958304193247</v>
      </c>
      <c r="B18" s="7">
        <f>vanillacall(B2,B3,B6,B7,B4,B5,B9,B10)</f>
        <v>7.3175561154583644</v>
      </c>
      <c r="C18" s="7">
        <f>vanillacall(B2,B3,B6,B7,B4,B5,B9,B10)</f>
        <v>7.4341101981895727</v>
      </c>
      <c r="D18" s="7">
        <f>vanillacall(B2,B3,B6,B7,B4,B5,B9,B10)</f>
        <v>6.8668629078515595</v>
      </c>
      <c r="E18" s="2" t="str">
        <f ca="1">_xlfn.FORMULATEXT(D18)</f>
        <v>=vanillacall(B2,B3,B6,B7,B4,B5,B9,B10)</v>
      </c>
    </row>
    <row r="19" spans="1:5" x14ac:dyDescent="0.25">
      <c r="A19" s="7">
        <f>vanillacall(B2,B3,B6,B7,B4,B5,B9,B10)</f>
        <v>7.2724184979228186</v>
      </c>
      <c r="B19" s="7">
        <f>vanillacall(B2,B3,B6,B7,B4,B5,B9,B10)</f>
        <v>7.0688088175615293</v>
      </c>
      <c r="C19" s="7">
        <f>vanillacall(B2,B3,B6,B7,B4,B5,B9,B10)</f>
        <v>7.09681595276093</v>
      </c>
      <c r="D19" s="7">
        <f>vanillacall(B2,B3,B6,B7,B4,B5,B9,B10)</f>
        <v>6.9698298867431205</v>
      </c>
      <c r="E19" s="2" t="str">
        <f ca="1">_xlfn.FORMULATEXT(D19)</f>
        <v>=vanillacall(B2,B3,B6,B7,B4,B5,B9,B10)</v>
      </c>
    </row>
    <row r="20" spans="1:5" x14ac:dyDescent="0.25">
      <c r="A20" s="7">
        <f>vanillacall(B2,B3,B6,B7,B4,B5,B9,B10)</f>
        <v>7.3065990000719214</v>
      </c>
      <c r="B20" s="7">
        <f>vanillacall(B2,B3,B6,B7,B4,B5,B9,B10)</f>
        <v>7.1020068778026602</v>
      </c>
      <c r="C20" s="7">
        <f>vanillacall(B2,B3,B6,B7,B4,B5,B9,B10)</f>
        <v>7.1614181093050089</v>
      </c>
      <c r="D20" s="7">
        <f>vanillacall(B2,B3,B6,B7,B4,B5,B9,B10)</f>
        <v>7.3469566995308799</v>
      </c>
    </row>
    <row r="21" spans="1:5" x14ac:dyDescent="0.25">
      <c r="A21" s="7">
        <f>vanillacall(B2,B3,B6,B7,B4,B5,B9,B10)</f>
        <v>7.157356915728581</v>
      </c>
      <c r="B21" s="7">
        <f>vanillacall(B2,B3,B6,B7,B4,B5,B9,B10)</f>
        <v>7.2732150003994356</v>
      </c>
      <c r="C21" s="7">
        <f>vanillacall(B2,B3,B6,B7,B4,B5,B9,B10)</f>
        <v>7.2446742151357864</v>
      </c>
      <c r="D21" s="7">
        <f>vanillacall(B2,B3,B6,B7,B4,B5,B9,B10)</f>
        <v>7.4312349899728458</v>
      </c>
    </row>
    <row r="22" spans="1:5" x14ac:dyDescent="0.25">
      <c r="A22" s="7">
        <f>vanillacall(B2,B3,B6,B7,B4,B5,B9,B10)</f>
        <v>7.4951520886955105</v>
      </c>
      <c r="B22" s="7">
        <f>vanillacall(B2,B3,B6,B7,B4,B5,B9,B10)</f>
        <v>7.1316688576640122</v>
      </c>
      <c r="C22" s="7">
        <f>vanillacall(B2,B3,B6,B7,B4,B5,B9,B10)</f>
        <v>7.5823008078707046</v>
      </c>
      <c r="D22" s="7">
        <f>vanillacall(B2,B3,B6,B7,B4,B5,B9,B10)</f>
        <v>7.3384325402974522</v>
      </c>
    </row>
    <row r="23" spans="1:5" x14ac:dyDescent="0.25">
      <c r="A23" s="7">
        <f>vanillacall(B2,B3,B6,B7,B4,B5,B9,B10)</f>
        <v>7.3122852456219434</v>
      </c>
      <c r="B23" s="7">
        <f>vanillacall(B2,B3,B6,B7,B4,B5,B9,B10)</f>
        <v>7.5267405385658686</v>
      </c>
      <c r="C23" s="7">
        <f>vanillacall(B2,B3,B6,B7,B4,B5,B9,B10)</f>
        <v>7.2951249160151335</v>
      </c>
      <c r="D23" s="7">
        <f>vanillacall(B2,B3,B6,B7,B4,B5,B9,B10)</f>
        <v>7.4291970876121729</v>
      </c>
    </row>
    <row r="24" spans="1:5" x14ac:dyDescent="0.25">
      <c r="A24" s="7">
        <f>vanillacall(B2,B3,B6,B7,B4,B5,B9,B10)</f>
        <v>7.2742220945272775</v>
      </c>
      <c r="B24" s="7">
        <f>vanillacall(B2,B3,B6,B7,B4,B5,B9,B10)</f>
        <v>7.3048633478558953</v>
      </c>
      <c r="C24" s="7">
        <f>vanillacall(B2,B3,B6,B7,B4,B5,B9,B10)</f>
        <v>7.4377592784325701</v>
      </c>
      <c r="D24" s="7">
        <f>vanillacall(B2,B3,B6,B7,B4,B5,B9,B10)</f>
        <v>7.2516030753024534</v>
      </c>
    </row>
    <row r="25" spans="1:5" x14ac:dyDescent="0.25">
      <c r="A25" s="7">
        <f>vanillacall(B2,B3,B6,B7,B4,B5,B9,B10)</f>
        <v>7.7582805369942873</v>
      </c>
      <c r="B25" s="7">
        <f>vanillacall(B2,B3,B6,B7,B4,B5,B9,B10)</f>
        <v>7.130748339431312</v>
      </c>
      <c r="C25" s="7">
        <f>vanillacall(B2,B3,B6,B7,B4,B5,B9,B10)</f>
        <v>7.508908840976825</v>
      </c>
      <c r="D25" s="7">
        <f>vanillacall(B2,B3,B6,B7,B4,B5,B9,B10)</f>
        <v>7.4800318655538458</v>
      </c>
    </row>
    <row r="26" spans="1:5" x14ac:dyDescent="0.25">
      <c r="A26" s="7">
        <f>vanillacall(B2,B3,B6,B7,B4,B5,B9,B10)</f>
        <v>7.3276766690037674</v>
      </c>
      <c r="B26" s="7">
        <f>vanillacall(B2,B3,B6,B7,B4,B5,B9,B10)</f>
        <v>7.3397792048049206</v>
      </c>
      <c r="C26" s="7">
        <f>vanillacall(B2,B3,B6,B7,B4,B5,B9,B10)</f>
        <v>7.3139399505598659</v>
      </c>
      <c r="D26" s="7">
        <f>vanillacall(B2,B3,B6,B7,B4,B5,B9,B10)</f>
        <v>7.5657601552134519</v>
      </c>
    </row>
    <row r="27" spans="1:5" x14ac:dyDescent="0.25">
      <c r="A27" s="9"/>
    </row>
    <row r="28" spans="1:5" x14ac:dyDescent="0.25">
      <c r="A28" s="6">
        <f>AVERAGE(A17:D26)</f>
        <v>7.3116842961016291</v>
      </c>
      <c r="B28" s="2" t="str">
        <f ca="1">_xlfn.FORMULATEXT(A28)</f>
        <v>=AVERAGE(A17:D26)</v>
      </c>
    </row>
    <row r="29" spans="1:5" x14ac:dyDescent="0.25">
      <c r="A29" s="6">
        <f>STDEV(A17:D26)</f>
        <v>0.18527835856794084</v>
      </c>
      <c r="B29" s="2" t="str">
        <f ca="1">_xlfn.FORMULATEXT(A29)</f>
        <v>=STDEV(A17:D26)</v>
      </c>
    </row>
  </sheetData>
  <mergeCells count="1">
    <mergeCell ref="A1:E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2024-12-11T05:57:35Z</dcterms:modified>
</cp:coreProperties>
</file>