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"/>
    </mc:Choice>
  </mc:AlternateContent>
  <xr:revisionPtr revIDLastSave="0" documentId="13_ncr:1_{503C243E-7D5B-43EA-931A-9374528BC6B6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46" sheetId="2" r:id="rId2"/>
  </sheets>
  <functionGroups builtInGroupCount="19"/>
  <externalReferences>
    <externalReference r:id="rId3"/>
    <externalReference r:id="rId4"/>
    <externalReference r:id="rId5"/>
    <externalReference r:id="rId6"/>
  </externalReferences>
  <definedNames>
    <definedName name="Call">#REF!</definedName>
    <definedName name="Down" localSheetId="1">#REF!</definedName>
    <definedName name="Down">#REF!</definedName>
    <definedName name="implied_call_volatility">'[3]Page 304'!$B$13</definedName>
    <definedName name="Interest">'[3]Page 300'!$B$6</definedName>
    <definedName name="q_down">#REF!</definedName>
    <definedName name="q_up">#REF!</definedName>
    <definedName name="r_">'[3]Page 300'!$B$6</definedName>
    <definedName name="s">'[3]Page 300'!$B$3</definedName>
    <definedName name="sigma">'[3]Page 300'!$B$7</definedName>
    <definedName name="T">'[3]Page 300'!$B$5</definedName>
    <definedName name="target_call_price">'[3]Page 304'!$B$11</definedName>
    <definedName name="Up" localSheetId="1">#REF!</definedName>
    <definedName name="Up">#REF!</definedName>
    <definedName name="X">'[3]Page 300'!$B$4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2" l="1"/>
  <c r="B15" i="2" s="1"/>
  <c r="B22" i="2"/>
  <c r="C22" i="2"/>
  <c r="C21" i="2"/>
  <c r="C20" i="2"/>
  <c r="C19" i="2"/>
  <c r="C15" i="2"/>
  <c r="C14" i="2"/>
  <c r="C13" i="2"/>
  <c r="C11" i="2"/>
  <c r="B13" i="2" l="1"/>
  <c r="B14" i="2"/>
  <c r="B20" i="2"/>
  <c r="B19" i="2"/>
  <c r="B21" i="2" l="1"/>
</calcChain>
</file>

<file path=xl/sharedStrings.xml><?xml version="1.0" encoding="utf-8"?>
<sst xmlns="http://schemas.openxmlformats.org/spreadsheetml/2006/main" count="18" uniqueCount="18">
  <si>
    <t>KNOCKIN + KNOCKOUT = CALL
The almost-continuous case</t>
  </si>
  <si>
    <r>
      <t>S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, current stock price</t>
    </r>
  </si>
  <si>
    <t>X, exercise price</t>
  </si>
  <si>
    <t>Barrier</t>
  </si>
  <si>
    <t>T, time to option exercise</t>
  </si>
  <si>
    <t>r, interest rate</t>
  </si>
  <si>
    <r>
      <t>m</t>
    </r>
    <r>
      <rPr>
        <sz val="10"/>
        <rFont val="Arial"/>
        <family val="2"/>
      </rPr>
      <t>, mean stock return</t>
    </r>
  </si>
  <si>
    <r>
      <t>s</t>
    </r>
    <r>
      <rPr>
        <sz val="10"/>
        <rFont val="Arial"/>
        <family val="2"/>
      </rPr>
      <t>, standard deviation of stock return</t>
    </r>
  </si>
  <si>
    <t>n, number of sub-intervals of 1 period</t>
  </si>
  <si>
    <t>Delta t</t>
  </si>
  <si>
    <t>Up over 1 sub-interval</t>
  </si>
  <si>
    <t>Down over 1 sub-interval</t>
  </si>
  <si>
    <t>Interest over 1 sub-interval</t>
  </si>
  <si>
    <t>Runs</t>
  </si>
  <si>
    <t>Knockout barrier</t>
  </si>
  <si>
    <t>Knockin barrier</t>
  </si>
  <si>
    <t>Sum of knockout + knockin</t>
  </si>
  <si>
    <t>Black-Scholes call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</si>
</sst>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3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3" fillId="0" borderId="0" xfId="1" applyFont="1" applyAlignment="1">
      <alignment vertical="center" wrapText="1"/>
    </xf>
    <xf numFmtId="0" fontId="2" fillId="0" borderId="0" xfId="1"/>
    <xf numFmtId="0" fontId="2" fillId="0" borderId="0" xfId="1" applyAlignment="1">
      <alignment horizontal="left" vertical="center" wrapText="1"/>
    </xf>
    <xf numFmtId="0" fontId="2" fillId="0" borderId="0" xfId="1" applyAlignment="1">
      <alignment horizontal="right" vertical="center" wrapText="1"/>
    </xf>
    <xf numFmtId="0" fontId="2" fillId="0" borderId="0" xfId="1" applyAlignment="1">
      <alignment horizontal="center" vertical="center" wrapText="1"/>
    </xf>
    <xf numFmtId="9" fontId="2" fillId="0" borderId="0" xfId="1" applyNumberFormat="1" applyAlignment="1">
      <alignment horizontal="right" vertical="center" wrapText="1"/>
    </xf>
    <xf numFmtId="0" fontId="5" fillId="0" borderId="0" xfId="1" applyFont="1" applyAlignment="1">
      <alignment horizontal="left" vertical="center" wrapText="1"/>
    </xf>
    <xf numFmtId="176" fontId="2" fillId="0" borderId="0" xfId="1" applyNumberFormat="1"/>
    <xf numFmtId="0" fontId="2" fillId="0" borderId="0" xfId="1" applyAlignment="1">
      <alignment vertical="center" wrapText="1"/>
    </xf>
    <xf numFmtId="0" fontId="2" fillId="2" borderId="0" xfId="1" applyFill="1"/>
    <xf numFmtId="0" fontId="2" fillId="3" borderId="0" xfId="1" applyFill="1"/>
  </cellXfs>
  <cellStyles count="2">
    <cellStyle name="常规" xfId="0" builtinId="0"/>
    <cellStyle name="常规 2" xfId="1" xr:uid="{939FAD37-E8F2-42BE-AE9D-C8BEA7E86FE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2695575</xdr:colOff>
      <xdr:row>0</xdr:row>
      <xdr:rowOff>276225</xdr:rowOff>
    </xdr:from>
    <xdr:to>
      <xdr:col>8</xdr:col>
      <xdr:colOff>151568</xdr:colOff>
      <xdr:row>30</xdr:row>
      <xdr:rowOff>115027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D4933F9-110C-4323-8E74-BF42A2796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38775" y="276225"/>
          <a:ext cx="7695368" cy="520137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plainvanilla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3.3barrier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.3barrier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FM,%20Second%20edition/Disk%20with%20book/Chapter%20files/Chapter%2016.xl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wo-period picture (2)"/>
      <sheetName val="Another drawing"/>
      <sheetName val="Simple--two paths"/>
      <sheetName val="Simple--two paths, for book"/>
      <sheetName val="Simple--many paths"/>
      <sheetName val="Vanilla call"/>
      <sheetName val="Multiple runs"/>
      <sheetName val="More efficient"/>
      <sheetName val="Chap16 BS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39"/>
      <sheetName val="Page 639中文"/>
      <sheetName val="Page 641"/>
      <sheetName val="Page 641中文"/>
      <sheetName val="Page 642"/>
      <sheetName val="Page 642 中文"/>
      <sheetName val="Page 644"/>
      <sheetName val="Page 644中文"/>
      <sheetName val="Page 645"/>
      <sheetName val="Page 645中文"/>
      <sheetName val="Page 646"/>
      <sheetName val="Page 646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 t="e">
            <v>#NAME?</v>
          </cell>
        </row>
      </sheetData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N21" sqref="N21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33B96-78C6-437A-929F-35A5FD85AFA1}">
  <sheetPr codeName="Sheet4"/>
  <dimension ref="A1:H22"/>
  <sheetViews>
    <sheetView tabSelected="1" workbookViewId="0">
      <selection activeCell="C8" sqref="C8"/>
    </sheetView>
  </sheetViews>
  <sheetFormatPr defaultRowHeight="13.2" x14ac:dyDescent="0.25"/>
  <cols>
    <col min="1" max="1" width="31.109375" style="3" bestFit="1" customWidth="1"/>
    <col min="2" max="2" width="8.88671875" style="3"/>
    <col min="3" max="3" width="52.5546875" style="3" bestFit="1" customWidth="1"/>
    <col min="4" max="4" width="11" style="3" customWidth="1"/>
    <col min="5" max="7" width="8.88671875" style="3"/>
    <col min="8" max="8" width="59.109375" style="3" customWidth="1"/>
    <col min="9" max="256" width="8.88671875" style="3"/>
    <col min="257" max="257" width="31.109375" style="3" bestFit="1" customWidth="1"/>
    <col min="258" max="258" width="8.88671875" style="3"/>
    <col min="259" max="259" width="52.5546875" style="3" bestFit="1" customWidth="1"/>
    <col min="260" max="260" width="11" style="3" customWidth="1"/>
    <col min="261" max="263" width="8.88671875" style="3"/>
    <col min="264" max="264" width="59.109375" style="3" customWidth="1"/>
    <col min="265" max="512" width="8.88671875" style="3"/>
    <col min="513" max="513" width="31.109375" style="3" bestFit="1" customWidth="1"/>
    <col min="514" max="514" width="8.88671875" style="3"/>
    <col min="515" max="515" width="52.5546875" style="3" bestFit="1" customWidth="1"/>
    <col min="516" max="516" width="11" style="3" customWidth="1"/>
    <col min="517" max="519" width="8.88671875" style="3"/>
    <col min="520" max="520" width="59.109375" style="3" customWidth="1"/>
    <col min="521" max="768" width="8.88671875" style="3"/>
    <col min="769" max="769" width="31.109375" style="3" bestFit="1" customWidth="1"/>
    <col min="770" max="770" width="8.88671875" style="3"/>
    <col min="771" max="771" width="52.5546875" style="3" bestFit="1" customWidth="1"/>
    <col min="772" max="772" width="11" style="3" customWidth="1"/>
    <col min="773" max="775" width="8.88671875" style="3"/>
    <col min="776" max="776" width="59.109375" style="3" customWidth="1"/>
    <col min="777" max="1024" width="8.88671875" style="3"/>
    <col min="1025" max="1025" width="31.109375" style="3" bestFit="1" customWidth="1"/>
    <col min="1026" max="1026" width="8.88671875" style="3"/>
    <col min="1027" max="1027" width="52.5546875" style="3" bestFit="1" customWidth="1"/>
    <col min="1028" max="1028" width="11" style="3" customWidth="1"/>
    <col min="1029" max="1031" width="8.88671875" style="3"/>
    <col min="1032" max="1032" width="59.109375" style="3" customWidth="1"/>
    <col min="1033" max="1280" width="8.88671875" style="3"/>
    <col min="1281" max="1281" width="31.109375" style="3" bestFit="1" customWidth="1"/>
    <col min="1282" max="1282" width="8.88671875" style="3"/>
    <col min="1283" max="1283" width="52.5546875" style="3" bestFit="1" customWidth="1"/>
    <col min="1284" max="1284" width="11" style="3" customWidth="1"/>
    <col min="1285" max="1287" width="8.88671875" style="3"/>
    <col min="1288" max="1288" width="59.109375" style="3" customWidth="1"/>
    <col min="1289" max="1536" width="8.88671875" style="3"/>
    <col min="1537" max="1537" width="31.109375" style="3" bestFit="1" customWidth="1"/>
    <col min="1538" max="1538" width="8.88671875" style="3"/>
    <col min="1539" max="1539" width="52.5546875" style="3" bestFit="1" customWidth="1"/>
    <col min="1540" max="1540" width="11" style="3" customWidth="1"/>
    <col min="1541" max="1543" width="8.88671875" style="3"/>
    <col min="1544" max="1544" width="59.109375" style="3" customWidth="1"/>
    <col min="1545" max="1792" width="8.88671875" style="3"/>
    <col min="1793" max="1793" width="31.109375" style="3" bestFit="1" customWidth="1"/>
    <col min="1794" max="1794" width="8.88671875" style="3"/>
    <col min="1795" max="1795" width="52.5546875" style="3" bestFit="1" customWidth="1"/>
    <col min="1796" max="1796" width="11" style="3" customWidth="1"/>
    <col min="1797" max="1799" width="8.88671875" style="3"/>
    <col min="1800" max="1800" width="59.109375" style="3" customWidth="1"/>
    <col min="1801" max="2048" width="8.88671875" style="3"/>
    <col min="2049" max="2049" width="31.109375" style="3" bestFit="1" customWidth="1"/>
    <col min="2050" max="2050" width="8.88671875" style="3"/>
    <col min="2051" max="2051" width="52.5546875" style="3" bestFit="1" customWidth="1"/>
    <col min="2052" max="2052" width="11" style="3" customWidth="1"/>
    <col min="2053" max="2055" width="8.88671875" style="3"/>
    <col min="2056" max="2056" width="59.109375" style="3" customWidth="1"/>
    <col min="2057" max="2304" width="8.88671875" style="3"/>
    <col min="2305" max="2305" width="31.109375" style="3" bestFit="1" customWidth="1"/>
    <col min="2306" max="2306" width="8.88671875" style="3"/>
    <col min="2307" max="2307" width="52.5546875" style="3" bestFit="1" customWidth="1"/>
    <col min="2308" max="2308" width="11" style="3" customWidth="1"/>
    <col min="2309" max="2311" width="8.88671875" style="3"/>
    <col min="2312" max="2312" width="59.109375" style="3" customWidth="1"/>
    <col min="2313" max="2560" width="8.88671875" style="3"/>
    <col min="2561" max="2561" width="31.109375" style="3" bestFit="1" customWidth="1"/>
    <col min="2562" max="2562" width="8.88671875" style="3"/>
    <col min="2563" max="2563" width="52.5546875" style="3" bestFit="1" customWidth="1"/>
    <col min="2564" max="2564" width="11" style="3" customWidth="1"/>
    <col min="2565" max="2567" width="8.88671875" style="3"/>
    <col min="2568" max="2568" width="59.109375" style="3" customWidth="1"/>
    <col min="2569" max="2816" width="8.88671875" style="3"/>
    <col min="2817" max="2817" width="31.109375" style="3" bestFit="1" customWidth="1"/>
    <col min="2818" max="2818" width="8.88671875" style="3"/>
    <col min="2819" max="2819" width="52.5546875" style="3" bestFit="1" customWidth="1"/>
    <col min="2820" max="2820" width="11" style="3" customWidth="1"/>
    <col min="2821" max="2823" width="8.88671875" style="3"/>
    <col min="2824" max="2824" width="59.109375" style="3" customWidth="1"/>
    <col min="2825" max="3072" width="8.88671875" style="3"/>
    <col min="3073" max="3073" width="31.109375" style="3" bestFit="1" customWidth="1"/>
    <col min="3074" max="3074" width="8.88671875" style="3"/>
    <col min="3075" max="3075" width="52.5546875" style="3" bestFit="1" customWidth="1"/>
    <col min="3076" max="3076" width="11" style="3" customWidth="1"/>
    <col min="3077" max="3079" width="8.88671875" style="3"/>
    <col min="3080" max="3080" width="59.109375" style="3" customWidth="1"/>
    <col min="3081" max="3328" width="8.88671875" style="3"/>
    <col min="3329" max="3329" width="31.109375" style="3" bestFit="1" customWidth="1"/>
    <col min="3330" max="3330" width="8.88671875" style="3"/>
    <col min="3331" max="3331" width="52.5546875" style="3" bestFit="1" customWidth="1"/>
    <col min="3332" max="3332" width="11" style="3" customWidth="1"/>
    <col min="3333" max="3335" width="8.88671875" style="3"/>
    <col min="3336" max="3336" width="59.109375" style="3" customWidth="1"/>
    <col min="3337" max="3584" width="8.88671875" style="3"/>
    <col min="3585" max="3585" width="31.109375" style="3" bestFit="1" customWidth="1"/>
    <col min="3586" max="3586" width="8.88671875" style="3"/>
    <col min="3587" max="3587" width="52.5546875" style="3" bestFit="1" customWidth="1"/>
    <col min="3588" max="3588" width="11" style="3" customWidth="1"/>
    <col min="3589" max="3591" width="8.88671875" style="3"/>
    <col min="3592" max="3592" width="59.109375" style="3" customWidth="1"/>
    <col min="3593" max="3840" width="8.88671875" style="3"/>
    <col min="3841" max="3841" width="31.109375" style="3" bestFit="1" customWidth="1"/>
    <col min="3842" max="3842" width="8.88671875" style="3"/>
    <col min="3843" max="3843" width="52.5546875" style="3" bestFit="1" customWidth="1"/>
    <col min="3844" max="3844" width="11" style="3" customWidth="1"/>
    <col min="3845" max="3847" width="8.88671875" style="3"/>
    <col min="3848" max="3848" width="59.109375" style="3" customWidth="1"/>
    <col min="3849" max="4096" width="8.88671875" style="3"/>
    <col min="4097" max="4097" width="31.109375" style="3" bestFit="1" customWidth="1"/>
    <col min="4098" max="4098" width="8.88671875" style="3"/>
    <col min="4099" max="4099" width="52.5546875" style="3" bestFit="1" customWidth="1"/>
    <col min="4100" max="4100" width="11" style="3" customWidth="1"/>
    <col min="4101" max="4103" width="8.88671875" style="3"/>
    <col min="4104" max="4104" width="59.109375" style="3" customWidth="1"/>
    <col min="4105" max="4352" width="8.88671875" style="3"/>
    <col min="4353" max="4353" width="31.109375" style="3" bestFit="1" customWidth="1"/>
    <col min="4354" max="4354" width="8.88671875" style="3"/>
    <col min="4355" max="4355" width="52.5546875" style="3" bestFit="1" customWidth="1"/>
    <col min="4356" max="4356" width="11" style="3" customWidth="1"/>
    <col min="4357" max="4359" width="8.88671875" style="3"/>
    <col min="4360" max="4360" width="59.109375" style="3" customWidth="1"/>
    <col min="4361" max="4608" width="8.88671875" style="3"/>
    <col min="4609" max="4609" width="31.109375" style="3" bestFit="1" customWidth="1"/>
    <col min="4610" max="4610" width="8.88671875" style="3"/>
    <col min="4611" max="4611" width="52.5546875" style="3" bestFit="1" customWidth="1"/>
    <col min="4612" max="4612" width="11" style="3" customWidth="1"/>
    <col min="4613" max="4615" width="8.88671875" style="3"/>
    <col min="4616" max="4616" width="59.109375" style="3" customWidth="1"/>
    <col min="4617" max="4864" width="8.88671875" style="3"/>
    <col min="4865" max="4865" width="31.109375" style="3" bestFit="1" customWidth="1"/>
    <col min="4866" max="4866" width="8.88671875" style="3"/>
    <col min="4867" max="4867" width="52.5546875" style="3" bestFit="1" customWidth="1"/>
    <col min="4868" max="4868" width="11" style="3" customWidth="1"/>
    <col min="4869" max="4871" width="8.88671875" style="3"/>
    <col min="4872" max="4872" width="59.109375" style="3" customWidth="1"/>
    <col min="4873" max="5120" width="8.88671875" style="3"/>
    <col min="5121" max="5121" width="31.109375" style="3" bestFit="1" customWidth="1"/>
    <col min="5122" max="5122" width="8.88671875" style="3"/>
    <col min="5123" max="5123" width="52.5546875" style="3" bestFit="1" customWidth="1"/>
    <col min="5124" max="5124" width="11" style="3" customWidth="1"/>
    <col min="5125" max="5127" width="8.88671875" style="3"/>
    <col min="5128" max="5128" width="59.109375" style="3" customWidth="1"/>
    <col min="5129" max="5376" width="8.88671875" style="3"/>
    <col min="5377" max="5377" width="31.109375" style="3" bestFit="1" customWidth="1"/>
    <col min="5378" max="5378" width="8.88671875" style="3"/>
    <col min="5379" max="5379" width="52.5546875" style="3" bestFit="1" customWidth="1"/>
    <col min="5380" max="5380" width="11" style="3" customWidth="1"/>
    <col min="5381" max="5383" width="8.88671875" style="3"/>
    <col min="5384" max="5384" width="59.109375" style="3" customWidth="1"/>
    <col min="5385" max="5632" width="8.88671875" style="3"/>
    <col min="5633" max="5633" width="31.109375" style="3" bestFit="1" customWidth="1"/>
    <col min="5634" max="5634" width="8.88671875" style="3"/>
    <col min="5635" max="5635" width="52.5546875" style="3" bestFit="1" customWidth="1"/>
    <col min="5636" max="5636" width="11" style="3" customWidth="1"/>
    <col min="5637" max="5639" width="8.88671875" style="3"/>
    <col min="5640" max="5640" width="59.109375" style="3" customWidth="1"/>
    <col min="5641" max="5888" width="8.88671875" style="3"/>
    <col min="5889" max="5889" width="31.109375" style="3" bestFit="1" customWidth="1"/>
    <col min="5890" max="5890" width="8.88671875" style="3"/>
    <col min="5891" max="5891" width="52.5546875" style="3" bestFit="1" customWidth="1"/>
    <col min="5892" max="5892" width="11" style="3" customWidth="1"/>
    <col min="5893" max="5895" width="8.88671875" style="3"/>
    <col min="5896" max="5896" width="59.109375" style="3" customWidth="1"/>
    <col min="5897" max="6144" width="8.88671875" style="3"/>
    <col min="6145" max="6145" width="31.109375" style="3" bestFit="1" customWidth="1"/>
    <col min="6146" max="6146" width="8.88671875" style="3"/>
    <col min="6147" max="6147" width="52.5546875" style="3" bestFit="1" customWidth="1"/>
    <col min="6148" max="6148" width="11" style="3" customWidth="1"/>
    <col min="6149" max="6151" width="8.88671875" style="3"/>
    <col min="6152" max="6152" width="59.109375" style="3" customWidth="1"/>
    <col min="6153" max="6400" width="8.88671875" style="3"/>
    <col min="6401" max="6401" width="31.109375" style="3" bestFit="1" customWidth="1"/>
    <col min="6402" max="6402" width="8.88671875" style="3"/>
    <col min="6403" max="6403" width="52.5546875" style="3" bestFit="1" customWidth="1"/>
    <col min="6404" max="6404" width="11" style="3" customWidth="1"/>
    <col min="6405" max="6407" width="8.88671875" style="3"/>
    <col min="6408" max="6408" width="59.109375" style="3" customWidth="1"/>
    <col min="6409" max="6656" width="8.88671875" style="3"/>
    <col min="6657" max="6657" width="31.109375" style="3" bestFit="1" customWidth="1"/>
    <col min="6658" max="6658" width="8.88671875" style="3"/>
    <col min="6659" max="6659" width="52.5546875" style="3" bestFit="1" customWidth="1"/>
    <col min="6660" max="6660" width="11" style="3" customWidth="1"/>
    <col min="6661" max="6663" width="8.88671875" style="3"/>
    <col min="6664" max="6664" width="59.109375" style="3" customWidth="1"/>
    <col min="6665" max="6912" width="8.88671875" style="3"/>
    <col min="6913" max="6913" width="31.109375" style="3" bestFit="1" customWidth="1"/>
    <col min="6914" max="6914" width="8.88671875" style="3"/>
    <col min="6915" max="6915" width="52.5546875" style="3" bestFit="1" customWidth="1"/>
    <col min="6916" max="6916" width="11" style="3" customWidth="1"/>
    <col min="6917" max="6919" width="8.88671875" style="3"/>
    <col min="6920" max="6920" width="59.109375" style="3" customWidth="1"/>
    <col min="6921" max="7168" width="8.88671875" style="3"/>
    <col min="7169" max="7169" width="31.109375" style="3" bestFit="1" customWidth="1"/>
    <col min="7170" max="7170" width="8.88671875" style="3"/>
    <col min="7171" max="7171" width="52.5546875" style="3" bestFit="1" customWidth="1"/>
    <col min="7172" max="7172" width="11" style="3" customWidth="1"/>
    <col min="7173" max="7175" width="8.88671875" style="3"/>
    <col min="7176" max="7176" width="59.109375" style="3" customWidth="1"/>
    <col min="7177" max="7424" width="8.88671875" style="3"/>
    <col min="7425" max="7425" width="31.109375" style="3" bestFit="1" customWidth="1"/>
    <col min="7426" max="7426" width="8.88671875" style="3"/>
    <col min="7427" max="7427" width="52.5546875" style="3" bestFit="1" customWidth="1"/>
    <col min="7428" max="7428" width="11" style="3" customWidth="1"/>
    <col min="7429" max="7431" width="8.88671875" style="3"/>
    <col min="7432" max="7432" width="59.109375" style="3" customWidth="1"/>
    <col min="7433" max="7680" width="8.88671875" style="3"/>
    <col min="7681" max="7681" width="31.109375" style="3" bestFit="1" customWidth="1"/>
    <col min="7682" max="7682" width="8.88671875" style="3"/>
    <col min="7683" max="7683" width="52.5546875" style="3" bestFit="1" customWidth="1"/>
    <col min="7684" max="7684" width="11" style="3" customWidth="1"/>
    <col min="7685" max="7687" width="8.88671875" style="3"/>
    <col min="7688" max="7688" width="59.109375" style="3" customWidth="1"/>
    <col min="7689" max="7936" width="8.88671875" style="3"/>
    <col min="7937" max="7937" width="31.109375" style="3" bestFit="1" customWidth="1"/>
    <col min="7938" max="7938" width="8.88671875" style="3"/>
    <col min="7939" max="7939" width="52.5546875" style="3" bestFit="1" customWidth="1"/>
    <col min="7940" max="7940" width="11" style="3" customWidth="1"/>
    <col min="7941" max="7943" width="8.88671875" style="3"/>
    <col min="7944" max="7944" width="59.109375" style="3" customWidth="1"/>
    <col min="7945" max="8192" width="8.88671875" style="3"/>
    <col min="8193" max="8193" width="31.109375" style="3" bestFit="1" customWidth="1"/>
    <col min="8194" max="8194" width="8.88671875" style="3"/>
    <col min="8195" max="8195" width="52.5546875" style="3" bestFit="1" customWidth="1"/>
    <col min="8196" max="8196" width="11" style="3" customWidth="1"/>
    <col min="8197" max="8199" width="8.88671875" style="3"/>
    <col min="8200" max="8200" width="59.109375" style="3" customWidth="1"/>
    <col min="8201" max="8448" width="8.88671875" style="3"/>
    <col min="8449" max="8449" width="31.109375" style="3" bestFit="1" customWidth="1"/>
    <col min="8450" max="8450" width="8.88671875" style="3"/>
    <col min="8451" max="8451" width="52.5546875" style="3" bestFit="1" customWidth="1"/>
    <col min="8452" max="8452" width="11" style="3" customWidth="1"/>
    <col min="8453" max="8455" width="8.88671875" style="3"/>
    <col min="8456" max="8456" width="59.109375" style="3" customWidth="1"/>
    <col min="8457" max="8704" width="8.88671875" style="3"/>
    <col min="8705" max="8705" width="31.109375" style="3" bestFit="1" customWidth="1"/>
    <col min="8706" max="8706" width="8.88671875" style="3"/>
    <col min="8707" max="8707" width="52.5546875" style="3" bestFit="1" customWidth="1"/>
    <col min="8708" max="8708" width="11" style="3" customWidth="1"/>
    <col min="8709" max="8711" width="8.88671875" style="3"/>
    <col min="8712" max="8712" width="59.109375" style="3" customWidth="1"/>
    <col min="8713" max="8960" width="8.88671875" style="3"/>
    <col min="8961" max="8961" width="31.109375" style="3" bestFit="1" customWidth="1"/>
    <col min="8962" max="8962" width="8.88671875" style="3"/>
    <col min="8963" max="8963" width="52.5546875" style="3" bestFit="1" customWidth="1"/>
    <col min="8964" max="8964" width="11" style="3" customWidth="1"/>
    <col min="8965" max="8967" width="8.88671875" style="3"/>
    <col min="8968" max="8968" width="59.109375" style="3" customWidth="1"/>
    <col min="8969" max="9216" width="8.88671875" style="3"/>
    <col min="9217" max="9217" width="31.109375" style="3" bestFit="1" customWidth="1"/>
    <col min="9218" max="9218" width="8.88671875" style="3"/>
    <col min="9219" max="9219" width="52.5546875" style="3" bestFit="1" customWidth="1"/>
    <col min="9220" max="9220" width="11" style="3" customWidth="1"/>
    <col min="9221" max="9223" width="8.88671875" style="3"/>
    <col min="9224" max="9224" width="59.109375" style="3" customWidth="1"/>
    <col min="9225" max="9472" width="8.88671875" style="3"/>
    <col min="9473" max="9473" width="31.109375" style="3" bestFit="1" customWidth="1"/>
    <col min="9474" max="9474" width="8.88671875" style="3"/>
    <col min="9475" max="9475" width="52.5546875" style="3" bestFit="1" customWidth="1"/>
    <col min="9476" max="9476" width="11" style="3" customWidth="1"/>
    <col min="9477" max="9479" width="8.88671875" style="3"/>
    <col min="9480" max="9480" width="59.109375" style="3" customWidth="1"/>
    <col min="9481" max="9728" width="8.88671875" style="3"/>
    <col min="9729" max="9729" width="31.109375" style="3" bestFit="1" customWidth="1"/>
    <col min="9730" max="9730" width="8.88671875" style="3"/>
    <col min="9731" max="9731" width="52.5546875" style="3" bestFit="1" customWidth="1"/>
    <col min="9732" max="9732" width="11" style="3" customWidth="1"/>
    <col min="9733" max="9735" width="8.88671875" style="3"/>
    <col min="9736" max="9736" width="59.109375" style="3" customWidth="1"/>
    <col min="9737" max="9984" width="8.88671875" style="3"/>
    <col min="9985" max="9985" width="31.109375" style="3" bestFit="1" customWidth="1"/>
    <col min="9986" max="9986" width="8.88671875" style="3"/>
    <col min="9987" max="9987" width="52.5546875" style="3" bestFit="1" customWidth="1"/>
    <col min="9988" max="9988" width="11" style="3" customWidth="1"/>
    <col min="9989" max="9991" width="8.88671875" style="3"/>
    <col min="9992" max="9992" width="59.109375" style="3" customWidth="1"/>
    <col min="9993" max="10240" width="8.88671875" style="3"/>
    <col min="10241" max="10241" width="31.109375" style="3" bestFit="1" customWidth="1"/>
    <col min="10242" max="10242" width="8.88671875" style="3"/>
    <col min="10243" max="10243" width="52.5546875" style="3" bestFit="1" customWidth="1"/>
    <col min="10244" max="10244" width="11" style="3" customWidth="1"/>
    <col min="10245" max="10247" width="8.88671875" style="3"/>
    <col min="10248" max="10248" width="59.109375" style="3" customWidth="1"/>
    <col min="10249" max="10496" width="8.88671875" style="3"/>
    <col min="10497" max="10497" width="31.109375" style="3" bestFit="1" customWidth="1"/>
    <col min="10498" max="10498" width="8.88671875" style="3"/>
    <col min="10499" max="10499" width="52.5546875" style="3" bestFit="1" customWidth="1"/>
    <col min="10500" max="10500" width="11" style="3" customWidth="1"/>
    <col min="10501" max="10503" width="8.88671875" style="3"/>
    <col min="10504" max="10504" width="59.109375" style="3" customWidth="1"/>
    <col min="10505" max="10752" width="8.88671875" style="3"/>
    <col min="10753" max="10753" width="31.109375" style="3" bestFit="1" customWidth="1"/>
    <col min="10754" max="10754" width="8.88671875" style="3"/>
    <col min="10755" max="10755" width="52.5546875" style="3" bestFit="1" customWidth="1"/>
    <col min="10756" max="10756" width="11" style="3" customWidth="1"/>
    <col min="10757" max="10759" width="8.88671875" style="3"/>
    <col min="10760" max="10760" width="59.109375" style="3" customWidth="1"/>
    <col min="10761" max="11008" width="8.88671875" style="3"/>
    <col min="11009" max="11009" width="31.109375" style="3" bestFit="1" customWidth="1"/>
    <col min="11010" max="11010" width="8.88671875" style="3"/>
    <col min="11011" max="11011" width="52.5546875" style="3" bestFit="1" customWidth="1"/>
    <col min="11012" max="11012" width="11" style="3" customWidth="1"/>
    <col min="11013" max="11015" width="8.88671875" style="3"/>
    <col min="11016" max="11016" width="59.109375" style="3" customWidth="1"/>
    <col min="11017" max="11264" width="8.88671875" style="3"/>
    <col min="11265" max="11265" width="31.109375" style="3" bestFit="1" customWidth="1"/>
    <col min="11266" max="11266" width="8.88671875" style="3"/>
    <col min="11267" max="11267" width="52.5546875" style="3" bestFit="1" customWidth="1"/>
    <col min="11268" max="11268" width="11" style="3" customWidth="1"/>
    <col min="11269" max="11271" width="8.88671875" style="3"/>
    <col min="11272" max="11272" width="59.109375" style="3" customWidth="1"/>
    <col min="11273" max="11520" width="8.88671875" style="3"/>
    <col min="11521" max="11521" width="31.109375" style="3" bestFit="1" customWidth="1"/>
    <col min="11522" max="11522" width="8.88671875" style="3"/>
    <col min="11523" max="11523" width="52.5546875" style="3" bestFit="1" customWidth="1"/>
    <col min="11524" max="11524" width="11" style="3" customWidth="1"/>
    <col min="11525" max="11527" width="8.88671875" style="3"/>
    <col min="11528" max="11528" width="59.109375" style="3" customWidth="1"/>
    <col min="11529" max="11776" width="8.88671875" style="3"/>
    <col min="11777" max="11777" width="31.109375" style="3" bestFit="1" customWidth="1"/>
    <col min="11778" max="11778" width="8.88671875" style="3"/>
    <col min="11779" max="11779" width="52.5546875" style="3" bestFit="1" customWidth="1"/>
    <col min="11780" max="11780" width="11" style="3" customWidth="1"/>
    <col min="11781" max="11783" width="8.88671875" style="3"/>
    <col min="11784" max="11784" width="59.109375" style="3" customWidth="1"/>
    <col min="11785" max="12032" width="8.88671875" style="3"/>
    <col min="12033" max="12033" width="31.109375" style="3" bestFit="1" customWidth="1"/>
    <col min="12034" max="12034" width="8.88671875" style="3"/>
    <col min="12035" max="12035" width="52.5546875" style="3" bestFit="1" customWidth="1"/>
    <col min="12036" max="12036" width="11" style="3" customWidth="1"/>
    <col min="12037" max="12039" width="8.88671875" style="3"/>
    <col min="12040" max="12040" width="59.109375" style="3" customWidth="1"/>
    <col min="12041" max="12288" width="8.88671875" style="3"/>
    <col min="12289" max="12289" width="31.109375" style="3" bestFit="1" customWidth="1"/>
    <col min="12290" max="12290" width="8.88671875" style="3"/>
    <col min="12291" max="12291" width="52.5546875" style="3" bestFit="1" customWidth="1"/>
    <col min="12292" max="12292" width="11" style="3" customWidth="1"/>
    <col min="12293" max="12295" width="8.88671875" style="3"/>
    <col min="12296" max="12296" width="59.109375" style="3" customWidth="1"/>
    <col min="12297" max="12544" width="8.88671875" style="3"/>
    <col min="12545" max="12545" width="31.109375" style="3" bestFit="1" customWidth="1"/>
    <col min="12546" max="12546" width="8.88671875" style="3"/>
    <col min="12547" max="12547" width="52.5546875" style="3" bestFit="1" customWidth="1"/>
    <col min="12548" max="12548" width="11" style="3" customWidth="1"/>
    <col min="12549" max="12551" width="8.88671875" style="3"/>
    <col min="12552" max="12552" width="59.109375" style="3" customWidth="1"/>
    <col min="12553" max="12800" width="8.88671875" style="3"/>
    <col min="12801" max="12801" width="31.109375" style="3" bestFit="1" customWidth="1"/>
    <col min="12802" max="12802" width="8.88671875" style="3"/>
    <col min="12803" max="12803" width="52.5546875" style="3" bestFit="1" customWidth="1"/>
    <col min="12804" max="12804" width="11" style="3" customWidth="1"/>
    <col min="12805" max="12807" width="8.88671875" style="3"/>
    <col min="12808" max="12808" width="59.109375" style="3" customWidth="1"/>
    <col min="12809" max="13056" width="8.88671875" style="3"/>
    <col min="13057" max="13057" width="31.109375" style="3" bestFit="1" customWidth="1"/>
    <col min="13058" max="13058" width="8.88671875" style="3"/>
    <col min="13059" max="13059" width="52.5546875" style="3" bestFit="1" customWidth="1"/>
    <col min="13060" max="13060" width="11" style="3" customWidth="1"/>
    <col min="13061" max="13063" width="8.88671875" style="3"/>
    <col min="13064" max="13064" width="59.109375" style="3" customWidth="1"/>
    <col min="13065" max="13312" width="8.88671875" style="3"/>
    <col min="13313" max="13313" width="31.109375" style="3" bestFit="1" customWidth="1"/>
    <col min="13314" max="13314" width="8.88671875" style="3"/>
    <col min="13315" max="13315" width="52.5546875" style="3" bestFit="1" customWidth="1"/>
    <col min="13316" max="13316" width="11" style="3" customWidth="1"/>
    <col min="13317" max="13319" width="8.88671875" style="3"/>
    <col min="13320" max="13320" width="59.109375" style="3" customWidth="1"/>
    <col min="13321" max="13568" width="8.88671875" style="3"/>
    <col min="13569" max="13569" width="31.109375" style="3" bestFit="1" customWidth="1"/>
    <col min="13570" max="13570" width="8.88671875" style="3"/>
    <col min="13571" max="13571" width="52.5546875" style="3" bestFit="1" customWidth="1"/>
    <col min="13572" max="13572" width="11" style="3" customWidth="1"/>
    <col min="13573" max="13575" width="8.88671875" style="3"/>
    <col min="13576" max="13576" width="59.109375" style="3" customWidth="1"/>
    <col min="13577" max="13824" width="8.88671875" style="3"/>
    <col min="13825" max="13825" width="31.109375" style="3" bestFit="1" customWidth="1"/>
    <col min="13826" max="13826" width="8.88671875" style="3"/>
    <col min="13827" max="13827" width="52.5546875" style="3" bestFit="1" customWidth="1"/>
    <col min="13828" max="13828" width="11" style="3" customWidth="1"/>
    <col min="13829" max="13831" width="8.88671875" style="3"/>
    <col min="13832" max="13832" width="59.109375" style="3" customWidth="1"/>
    <col min="13833" max="14080" width="8.88671875" style="3"/>
    <col min="14081" max="14081" width="31.109375" style="3" bestFit="1" customWidth="1"/>
    <col min="14082" max="14082" width="8.88671875" style="3"/>
    <col min="14083" max="14083" width="52.5546875" style="3" bestFit="1" customWidth="1"/>
    <col min="14084" max="14084" width="11" style="3" customWidth="1"/>
    <col min="14085" max="14087" width="8.88671875" style="3"/>
    <col min="14088" max="14088" width="59.109375" style="3" customWidth="1"/>
    <col min="14089" max="14336" width="8.88671875" style="3"/>
    <col min="14337" max="14337" width="31.109375" style="3" bestFit="1" customWidth="1"/>
    <col min="14338" max="14338" width="8.88671875" style="3"/>
    <col min="14339" max="14339" width="52.5546875" style="3" bestFit="1" customWidth="1"/>
    <col min="14340" max="14340" width="11" style="3" customWidth="1"/>
    <col min="14341" max="14343" width="8.88671875" style="3"/>
    <col min="14344" max="14344" width="59.109375" style="3" customWidth="1"/>
    <col min="14345" max="14592" width="8.88671875" style="3"/>
    <col min="14593" max="14593" width="31.109375" style="3" bestFit="1" customWidth="1"/>
    <col min="14594" max="14594" width="8.88671875" style="3"/>
    <col min="14595" max="14595" width="52.5546875" style="3" bestFit="1" customWidth="1"/>
    <col min="14596" max="14596" width="11" style="3" customWidth="1"/>
    <col min="14597" max="14599" width="8.88671875" style="3"/>
    <col min="14600" max="14600" width="59.109375" style="3" customWidth="1"/>
    <col min="14601" max="14848" width="8.88671875" style="3"/>
    <col min="14849" max="14849" width="31.109375" style="3" bestFit="1" customWidth="1"/>
    <col min="14850" max="14850" width="8.88671875" style="3"/>
    <col min="14851" max="14851" width="52.5546875" style="3" bestFit="1" customWidth="1"/>
    <col min="14852" max="14852" width="11" style="3" customWidth="1"/>
    <col min="14853" max="14855" width="8.88671875" style="3"/>
    <col min="14856" max="14856" width="59.109375" style="3" customWidth="1"/>
    <col min="14857" max="15104" width="8.88671875" style="3"/>
    <col min="15105" max="15105" width="31.109375" style="3" bestFit="1" customWidth="1"/>
    <col min="15106" max="15106" width="8.88671875" style="3"/>
    <col min="15107" max="15107" width="52.5546875" style="3" bestFit="1" customWidth="1"/>
    <col min="15108" max="15108" width="11" style="3" customWidth="1"/>
    <col min="15109" max="15111" width="8.88671875" style="3"/>
    <col min="15112" max="15112" width="59.109375" style="3" customWidth="1"/>
    <col min="15113" max="15360" width="8.88671875" style="3"/>
    <col min="15361" max="15361" width="31.109375" style="3" bestFit="1" customWidth="1"/>
    <col min="15362" max="15362" width="8.88671875" style="3"/>
    <col min="15363" max="15363" width="52.5546875" style="3" bestFit="1" customWidth="1"/>
    <col min="15364" max="15364" width="11" style="3" customWidth="1"/>
    <col min="15365" max="15367" width="8.88671875" style="3"/>
    <col min="15368" max="15368" width="59.109375" style="3" customWidth="1"/>
    <col min="15369" max="15616" width="8.88671875" style="3"/>
    <col min="15617" max="15617" width="31.109375" style="3" bestFit="1" customWidth="1"/>
    <col min="15618" max="15618" width="8.88671875" style="3"/>
    <col min="15619" max="15619" width="52.5546875" style="3" bestFit="1" customWidth="1"/>
    <col min="15620" max="15620" width="11" style="3" customWidth="1"/>
    <col min="15621" max="15623" width="8.88671875" style="3"/>
    <col min="15624" max="15624" width="59.109375" style="3" customWidth="1"/>
    <col min="15625" max="15872" width="8.88671875" style="3"/>
    <col min="15873" max="15873" width="31.109375" style="3" bestFit="1" customWidth="1"/>
    <col min="15874" max="15874" width="8.88671875" style="3"/>
    <col min="15875" max="15875" width="52.5546875" style="3" bestFit="1" customWidth="1"/>
    <col min="15876" max="15876" width="11" style="3" customWidth="1"/>
    <col min="15877" max="15879" width="8.88671875" style="3"/>
    <col min="15880" max="15880" width="59.109375" style="3" customWidth="1"/>
    <col min="15881" max="16128" width="8.88671875" style="3"/>
    <col min="16129" max="16129" width="31.109375" style="3" bestFit="1" customWidth="1"/>
    <col min="16130" max="16130" width="8.88671875" style="3"/>
    <col min="16131" max="16131" width="52.5546875" style="3" bestFit="1" customWidth="1"/>
    <col min="16132" max="16132" width="11" style="3" customWidth="1"/>
    <col min="16133" max="16135" width="8.88671875" style="3"/>
    <col min="16136" max="16136" width="59.109375" style="3" customWidth="1"/>
    <col min="16137" max="16384" width="8.88671875" style="3"/>
  </cols>
  <sheetData>
    <row r="1" spans="1:8" ht="37.5" customHeight="1" x14ac:dyDescent="0.25">
      <c r="A1" s="1" t="s">
        <v>0</v>
      </c>
      <c r="B1" s="1"/>
      <c r="C1" s="1"/>
      <c r="D1" s="2"/>
      <c r="E1" s="2"/>
      <c r="F1" s="2"/>
      <c r="G1" s="2"/>
      <c r="H1" s="2"/>
    </row>
    <row r="2" spans="1:8" ht="12.75" customHeight="1" x14ac:dyDescent="0.25">
      <c r="A2" s="4" t="s">
        <v>1</v>
      </c>
      <c r="B2" s="5">
        <v>30</v>
      </c>
      <c r="C2" s="6"/>
      <c r="D2" s="6"/>
      <c r="E2" s="6"/>
      <c r="F2" s="6"/>
      <c r="G2" s="6"/>
      <c r="H2" s="6"/>
    </row>
    <row r="3" spans="1:8" ht="12.75" customHeight="1" x14ac:dyDescent="0.25">
      <c r="A3" s="4" t="s">
        <v>2</v>
      </c>
      <c r="B3" s="5">
        <v>30</v>
      </c>
      <c r="C3" s="6"/>
      <c r="D3" s="6"/>
      <c r="E3" s="6"/>
      <c r="F3" s="6"/>
      <c r="G3" s="6"/>
      <c r="H3" s="6"/>
    </row>
    <row r="4" spans="1:8" ht="12.75" customHeight="1" x14ac:dyDescent="0.25">
      <c r="A4" s="4" t="s">
        <v>3</v>
      </c>
      <c r="B4" s="5">
        <v>40</v>
      </c>
      <c r="C4" s="6"/>
      <c r="D4" s="6"/>
      <c r="E4" s="6"/>
      <c r="F4" s="6"/>
      <c r="G4" s="6"/>
      <c r="H4" s="6"/>
    </row>
    <row r="5" spans="1:8" ht="12.75" customHeight="1" x14ac:dyDescent="0.25">
      <c r="A5" s="4" t="s">
        <v>4</v>
      </c>
      <c r="B5" s="5">
        <v>0.4</v>
      </c>
      <c r="C5" s="6"/>
      <c r="D5" s="6"/>
      <c r="E5" s="6"/>
      <c r="F5" s="6"/>
      <c r="G5" s="6"/>
      <c r="H5" s="6"/>
    </row>
    <row r="6" spans="1:8" ht="12.75" customHeight="1" x14ac:dyDescent="0.25">
      <c r="A6" s="4" t="s">
        <v>5</v>
      </c>
      <c r="B6" s="7">
        <v>0.08</v>
      </c>
      <c r="C6" s="6"/>
      <c r="D6" s="6"/>
      <c r="E6" s="6"/>
      <c r="F6" s="6"/>
      <c r="G6" s="6"/>
      <c r="H6" s="6"/>
    </row>
    <row r="7" spans="1:8" ht="12.75" customHeight="1" x14ac:dyDescent="0.25">
      <c r="A7" s="8" t="s">
        <v>6</v>
      </c>
      <c r="B7" s="7">
        <v>0.15</v>
      </c>
      <c r="C7" s="6"/>
      <c r="D7" s="6"/>
      <c r="E7" s="6"/>
      <c r="F7" s="6"/>
      <c r="G7" s="6"/>
      <c r="H7" s="6"/>
    </row>
    <row r="8" spans="1:8" ht="12.75" customHeight="1" x14ac:dyDescent="0.25">
      <c r="A8" s="8" t="s">
        <v>7</v>
      </c>
      <c r="B8" s="7">
        <v>0.22</v>
      </c>
      <c r="C8" s="6"/>
      <c r="D8" s="6"/>
      <c r="E8" s="6"/>
      <c r="F8" s="6"/>
      <c r="G8" s="6"/>
      <c r="H8" s="6"/>
    </row>
    <row r="9" spans="1:8" ht="12.75" customHeight="1" x14ac:dyDescent="0.25">
      <c r="A9" s="4"/>
      <c r="B9" s="6"/>
      <c r="C9" s="6"/>
      <c r="D9" s="6"/>
      <c r="E9" s="6"/>
      <c r="F9" s="6"/>
      <c r="G9" s="6"/>
      <c r="H9" s="6"/>
    </row>
    <row r="10" spans="1:8" x14ac:dyDescent="0.25">
      <c r="A10" s="12" t="s">
        <v>8</v>
      </c>
      <c r="B10" s="12">
        <v>500</v>
      </c>
    </row>
    <row r="11" spans="1:8" ht="12.75" customHeight="1" x14ac:dyDescent="0.25">
      <c r="A11" s="3" t="s">
        <v>9</v>
      </c>
      <c r="B11" s="9">
        <f>1/B10</f>
        <v>2E-3</v>
      </c>
      <c r="C11" s="3" t="str">
        <f ca="1">_xlfn.FORMULATEXT(B11)</f>
        <v>=1/B10</v>
      </c>
    </row>
    <row r="13" spans="1:8" x14ac:dyDescent="0.25">
      <c r="A13" s="3" t="s">
        <v>10</v>
      </c>
      <c r="B13" s="9">
        <f>EXP(B7*B11+B8*SQRT(B11))</f>
        <v>1.0101902698501459</v>
      </c>
      <c r="C13" s="3" t="str">
        <f ca="1">_xlfn.FORMULATEXT(B13)</f>
        <v>=EXP(B7*B11+B8*SQRT(B11))</v>
      </c>
    </row>
    <row r="14" spans="1:8" x14ac:dyDescent="0.25">
      <c r="A14" s="3" t="s">
        <v>11</v>
      </c>
      <c r="B14" s="9">
        <f>EXP(B7*B11-B8*SQRT(B11))</f>
        <v>0.99050664998430138</v>
      </c>
      <c r="C14" s="3" t="str">
        <f ca="1">_xlfn.FORMULATEXT(B14)</f>
        <v>=EXP(B7*B11-B8*SQRT(B11))</v>
      </c>
    </row>
    <row r="15" spans="1:8" x14ac:dyDescent="0.25">
      <c r="A15" s="3" t="s">
        <v>12</v>
      </c>
      <c r="B15" s="9">
        <f>EXP(B6*B11)</f>
        <v>1.0001600128006827</v>
      </c>
      <c r="C15" s="3" t="str">
        <f ca="1">_xlfn.FORMULATEXT(B15)</f>
        <v>=EXP(B6*B11)</v>
      </c>
    </row>
    <row r="16" spans="1:8" x14ac:dyDescent="0.25">
      <c r="B16" s="9"/>
    </row>
    <row r="17" spans="1:3" x14ac:dyDescent="0.25">
      <c r="A17" s="3" t="s">
        <v>13</v>
      </c>
      <c r="B17" s="3">
        <v>700</v>
      </c>
    </row>
    <row r="19" spans="1:3" x14ac:dyDescent="0.25">
      <c r="A19" s="3" t="s">
        <v>14</v>
      </c>
      <c r="B19" s="3">
        <f>mcbarrierout(B2,B3,B4,B13,B14,B15,INT(B10*B5),B17)</f>
        <v>1.5628571954940704</v>
      </c>
      <c r="C19" s="10" t="str">
        <f ca="1">_xlfn.FORMULATEXT(B19)</f>
        <v>=mcbarrierout(B2,B3,B4,B13,B14,B15,INT(B10*B5),B17)</v>
      </c>
    </row>
    <row r="20" spans="1:3" x14ac:dyDescent="0.25">
      <c r="A20" s="3" t="s">
        <v>15</v>
      </c>
      <c r="B20" s="3">
        <f>mcbarrierin(B2,B3,B4,B13,B14,B15,INT(B10*B5),B17)</f>
        <v>0.60870850694462897</v>
      </c>
      <c r="C20" s="10" t="str">
        <f ca="1">_xlfn.FORMULATEXT(B20)</f>
        <v>=mcbarrierin(B2,B3,B4,B13,B14,B15,INT(B10*B5),B17)</v>
      </c>
    </row>
    <row r="21" spans="1:3" x14ac:dyDescent="0.25">
      <c r="A21" s="11" t="s">
        <v>16</v>
      </c>
      <c r="B21" s="11">
        <f>B19+B20</f>
        <v>2.1715657024386994</v>
      </c>
      <c r="C21" s="10" t="str">
        <f ca="1">_xlfn.FORMULATEXT(B21)</f>
        <v>=B19+B20</v>
      </c>
    </row>
    <row r="22" spans="1:3" x14ac:dyDescent="0.25">
      <c r="A22" s="11" t="s">
        <v>17</v>
      </c>
      <c r="B22" s="11">
        <f>[4]!BSCall(B2,B3,B5,B6,B8)</f>
        <v>2.1531727359882851</v>
      </c>
      <c r="C22" s="3" t="str">
        <f ca="1">_xlfn.FORMULATEXT(B22)</f>
        <v>=BSCall(B2,B3,B5,B6,B8)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646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2024-12-11T09:44:13Z</dcterms:modified>
</cp:coreProperties>
</file>