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99FB40F3-1517-4D33-BAB9-372CB23E5A7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E34" i="1" s="1"/>
  <c r="C31" i="1"/>
  <c r="E32" i="1" s="1"/>
  <c r="G31" i="1" s="1"/>
  <c r="I30" i="1" s="1"/>
  <c r="E30" i="1"/>
  <c r="G29" i="1"/>
  <c r="I28" i="1"/>
  <c r="A21" i="1"/>
  <c r="C22" i="1" s="1"/>
  <c r="E23" i="1" s="1"/>
  <c r="G24" i="1" s="1"/>
  <c r="I25" i="1" s="1"/>
  <c r="C20" i="1"/>
  <c r="E19" i="1" s="1"/>
  <c r="B10" i="1"/>
  <c r="B14" i="1" s="1"/>
  <c r="B9" i="1"/>
  <c r="B13" i="1" s="1"/>
  <c r="J30" i="1"/>
  <c r="J28" i="1"/>
  <c r="J25" i="1"/>
  <c r="J23" i="1"/>
  <c r="J21" i="1"/>
  <c r="J19" i="1"/>
  <c r="J17" i="1"/>
  <c r="C14" i="1"/>
  <c r="C13" i="1"/>
  <c r="C10" i="1"/>
  <c r="C9" i="1"/>
  <c r="G18" i="1" l="1"/>
  <c r="G20" i="1"/>
  <c r="I21" i="1" s="1"/>
  <c r="G35" i="1"/>
  <c r="G33" i="1"/>
  <c r="I32" i="1" s="1"/>
  <c r="E21" i="1"/>
  <c r="G22" i="1" s="1"/>
  <c r="I23" i="1" s="1"/>
  <c r="I36" i="1" l="1"/>
  <c r="I34" i="1"/>
  <c r="I17" i="1"/>
  <c r="I19" i="1"/>
</calcChain>
</file>

<file path=xl/sharedStrings.xml><?xml version="1.0" encoding="utf-8"?>
<sst xmlns="http://schemas.openxmlformats.org/spreadsheetml/2006/main" count="14" uniqueCount="14">
  <si>
    <t>ASIAN OPTION PICTURE</t>
  </si>
  <si>
    <t>Initial stock price</t>
  </si>
  <si>
    <t>Up</t>
  </si>
  <si>
    <t>Down</t>
  </si>
  <si>
    <t>R, 1+interest rate</t>
  </si>
  <si>
    <t>Exercise price</t>
  </si>
  <si>
    <t>State prices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</si>
  <si>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</si>
  <si>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</si>
  <si>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Risk-neutral probabilities</t>
  </si>
  <si>
    <r>
      <t>p</t>
    </r>
    <r>
      <rPr>
        <vertAlign val="subscript"/>
        <sz val="10"/>
        <rFont val="Arial"/>
        <family val="2"/>
      </rPr>
      <t>u</t>
    </r>
  </si>
  <si>
    <r>
      <t>p</t>
    </r>
    <r>
      <rPr>
        <vertAlign val="subscript"/>
        <sz val="10"/>
        <rFont val="Arial"/>
        <family val="2"/>
      </rPr>
      <t>d</t>
    </r>
  </si>
  <si>
    <t>Stock price</t>
  </si>
  <si>
    <t>Bond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</si>
</sst>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8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176" fontId="0" fillId="0" borderId="0" xfId="0" quotePrefix="1" applyNumberFormat="1" applyAlignment="1"/>
    <xf numFmtId="0" fontId="4" fillId="0" borderId="0" xfId="0" applyFont="1" applyAlignment="1"/>
    <xf numFmtId="0" fontId="6" fillId="0" borderId="0" xfId="0" applyFont="1" applyAlignment="1"/>
    <xf numFmtId="176" fontId="0" fillId="0" borderId="0" xfId="0" applyNumberFormat="1" applyAlignment="1"/>
    <xf numFmtId="176" fontId="0" fillId="0" borderId="0" xfId="0" applyNumberFormat="1" applyAlignment="1">
      <alignment horizontal="left"/>
    </xf>
    <xf numFmtId="2" fontId="0" fillId="0" borderId="0" xfId="0" applyNumberFormat="1" applyAlignment="1">
      <alignment horizontal="center"/>
    </xf>
    <xf numFmtId="176" fontId="4" fillId="0" borderId="0" xfId="0" applyNumberFormat="1" applyFont="1" applyAlignment="1"/>
    <xf numFmtId="2" fontId="0" fillId="0" borderId="0" xfId="0" applyNumberFormat="1" applyAlignment="1"/>
    <xf numFmtId="2" fontId="0" fillId="0" borderId="0" xfId="0" quotePrefix="1" applyNumberFormat="1" applyAlignment="1">
      <alignment horizontal="center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left"/>
    </xf>
    <xf numFmtId="176" fontId="0" fillId="0" borderId="0" xfId="0" applyNumberFormat="1" applyAlignment="1">
      <alignment horizontal="right"/>
    </xf>
    <xf numFmtId="0" fontId="0" fillId="0" borderId="0" xfId="0" quotePrefix="1" applyAlignment="1"/>
    <xf numFmtId="176" fontId="0" fillId="0" borderId="0" xfId="0" applyNumberFormat="1" applyAlignment="1">
      <alignment horizontal="center"/>
    </xf>
  </cellXfs>
  <cellStyles count="2">
    <cellStyle name="常规" xfId="0" builtinId="0"/>
    <cellStyle name="常规 2" xfId="1" xr:uid="{5BAA4FDA-EBB8-4C2E-86D0-58268B627CF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19</xdr:row>
      <xdr:rowOff>60960</xdr:rowOff>
    </xdr:from>
    <xdr:to>
      <xdr:col>2</xdr:col>
      <xdr:colOff>0</xdr:colOff>
      <xdr:row>20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093713D-E634-4659-9300-C4F9A4F2B4E7}"/>
            </a:ext>
          </a:extLst>
        </xdr:cNvPr>
        <xdr:cNvSpPr>
          <a:spLocks noChangeShapeType="1"/>
        </xdr:cNvSpPr>
      </xdr:nvSpPr>
      <xdr:spPr bwMode="auto">
        <a:xfrm flipV="1">
          <a:off x="1028700" y="34766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20</xdr:row>
      <xdr:rowOff>76200</xdr:rowOff>
    </xdr:from>
    <xdr:to>
      <xdr:col>2</xdr:col>
      <xdr:colOff>7620</xdr:colOff>
      <xdr:row>21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BDE8D94-B2C4-4A7B-9662-659C9A710CEE}"/>
            </a:ext>
          </a:extLst>
        </xdr:cNvPr>
        <xdr:cNvSpPr>
          <a:spLocks noChangeShapeType="1"/>
        </xdr:cNvSpPr>
      </xdr:nvSpPr>
      <xdr:spPr bwMode="auto">
        <a:xfrm>
          <a:off x="1028700" y="366712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20</xdr:row>
      <xdr:rowOff>68580</xdr:rowOff>
    </xdr:from>
    <xdr:to>
      <xdr:col>4</xdr:col>
      <xdr:colOff>7620</xdr:colOff>
      <xdr:row>21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156BCF7-2B91-4A63-9241-EFD6420312C6}"/>
            </a:ext>
          </a:extLst>
        </xdr:cNvPr>
        <xdr:cNvSpPr>
          <a:spLocks noChangeShapeType="1"/>
        </xdr:cNvSpPr>
      </xdr:nvSpPr>
      <xdr:spPr bwMode="auto">
        <a:xfrm flipV="1">
          <a:off x="2266950" y="36576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21</xdr:row>
      <xdr:rowOff>91440</xdr:rowOff>
    </xdr:from>
    <xdr:to>
      <xdr:col>4</xdr:col>
      <xdr:colOff>0</xdr:colOff>
      <xdr:row>22</xdr:row>
      <xdr:rowOff>83820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672D4AD0-4559-4BAA-99B7-D3B239C3B942}"/>
            </a:ext>
          </a:extLst>
        </xdr:cNvPr>
        <xdr:cNvSpPr>
          <a:spLocks noChangeShapeType="1"/>
        </xdr:cNvSpPr>
      </xdr:nvSpPr>
      <xdr:spPr bwMode="auto">
        <a:xfrm>
          <a:off x="2266950" y="385762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19</xdr:row>
      <xdr:rowOff>60960</xdr:rowOff>
    </xdr:from>
    <xdr:to>
      <xdr:col>4</xdr:col>
      <xdr:colOff>7620</xdr:colOff>
      <xdr:row>20</xdr:row>
      <xdr:rowOff>60960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9F39DA98-B5F1-4AEE-BA38-094F8F0C4E41}"/>
            </a:ext>
          </a:extLst>
        </xdr:cNvPr>
        <xdr:cNvSpPr>
          <a:spLocks noChangeShapeType="1"/>
        </xdr:cNvSpPr>
      </xdr:nvSpPr>
      <xdr:spPr bwMode="auto">
        <a:xfrm>
          <a:off x="2247900" y="347662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18</xdr:row>
      <xdr:rowOff>53340</xdr:rowOff>
    </xdr:from>
    <xdr:to>
      <xdr:col>4</xdr:col>
      <xdr:colOff>7620</xdr:colOff>
      <xdr:row>19</xdr:row>
      <xdr:rowOff>53340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CAF6EF89-6C2D-48A8-B443-8E21C821B7E5}"/>
            </a:ext>
          </a:extLst>
        </xdr:cNvPr>
        <xdr:cNvSpPr>
          <a:spLocks noChangeShapeType="1"/>
        </xdr:cNvSpPr>
      </xdr:nvSpPr>
      <xdr:spPr bwMode="auto">
        <a:xfrm flipV="1">
          <a:off x="2266950" y="33051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19</xdr:row>
      <xdr:rowOff>68580</xdr:rowOff>
    </xdr:from>
    <xdr:to>
      <xdr:col>6</xdr:col>
      <xdr:colOff>7620</xdr:colOff>
      <xdr:row>20</xdr:row>
      <xdr:rowOff>76200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E8AD1A19-8473-441D-B1B0-3CA4F05BB028}"/>
            </a:ext>
          </a:extLst>
        </xdr:cNvPr>
        <xdr:cNvSpPr>
          <a:spLocks noChangeShapeType="1"/>
        </xdr:cNvSpPr>
      </xdr:nvSpPr>
      <xdr:spPr bwMode="auto">
        <a:xfrm flipV="1">
          <a:off x="3505200" y="348615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20</xdr:row>
      <xdr:rowOff>91440</xdr:rowOff>
    </xdr:from>
    <xdr:to>
      <xdr:col>6</xdr:col>
      <xdr:colOff>0</xdr:colOff>
      <xdr:row>21</xdr:row>
      <xdr:rowOff>83820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210A5DDF-1A29-4E64-B50F-91A1423865D3}"/>
            </a:ext>
          </a:extLst>
        </xdr:cNvPr>
        <xdr:cNvSpPr>
          <a:spLocks noChangeShapeType="1"/>
        </xdr:cNvSpPr>
      </xdr:nvSpPr>
      <xdr:spPr bwMode="auto">
        <a:xfrm>
          <a:off x="3505200" y="368617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18</xdr:row>
      <xdr:rowOff>60960</xdr:rowOff>
    </xdr:from>
    <xdr:to>
      <xdr:col>6</xdr:col>
      <xdr:colOff>7620</xdr:colOff>
      <xdr:row>19</xdr:row>
      <xdr:rowOff>60960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C5C85BCF-9020-40EC-980D-F21B4CA44A63}"/>
            </a:ext>
          </a:extLst>
        </xdr:cNvPr>
        <xdr:cNvSpPr>
          <a:spLocks noChangeShapeType="1"/>
        </xdr:cNvSpPr>
      </xdr:nvSpPr>
      <xdr:spPr bwMode="auto">
        <a:xfrm>
          <a:off x="3486150" y="33051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17</xdr:row>
      <xdr:rowOff>53340</xdr:rowOff>
    </xdr:from>
    <xdr:to>
      <xdr:col>6</xdr:col>
      <xdr:colOff>7620</xdr:colOff>
      <xdr:row>18</xdr:row>
      <xdr:rowOff>53340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2C858C84-C705-4A9D-98D4-DE30A43A525D}"/>
            </a:ext>
          </a:extLst>
        </xdr:cNvPr>
        <xdr:cNvSpPr>
          <a:spLocks noChangeShapeType="1"/>
        </xdr:cNvSpPr>
      </xdr:nvSpPr>
      <xdr:spPr bwMode="auto">
        <a:xfrm flipV="1">
          <a:off x="3505200" y="313372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18</xdr:row>
      <xdr:rowOff>68580</xdr:rowOff>
    </xdr:from>
    <xdr:to>
      <xdr:col>8</xdr:col>
      <xdr:colOff>7620</xdr:colOff>
      <xdr:row>19</xdr:row>
      <xdr:rowOff>76200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1AB395A3-EB6F-4F5A-97EF-DA01A3F77CAC}"/>
            </a:ext>
          </a:extLst>
        </xdr:cNvPr>
        <xdr:cNvSpPr>
          <a:spLocks noChangeShapeType="1"/>
        </xdr:cNvSpPr>
      </xdr:nvSpPr>
      <xdr:spPr bwMode="auto">
        <a:xfrm flipV="1">
          <a:off x="4724400" y="33147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19</xdr:row>
      <xdr:rowOff>83820</xdr:rowOff>
    </xdr:from>
    <xdr:to>
      <xdr:col>8</xdr:col>
      <xdr:colOff>0</xdr:colOff>
      <xdr:row>20</xdr:row>
      <xdr:rowOff>76200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063DC5A-65B6-427B-8584-62A9AAB474C8}"/>
            </a:ext>
          </a:extLst>
        </xdr:cNvPr>
        <xdr:cNvSpPr>
          <a:spLocks noChangeShapeType="1"/>
        </xdr:cNvSpPr>
      </xdr:nvSpPr>
      <xdr:spPr bwMode="auto">
        <a:xfrm>
          <a:off x="4724400" y="3505200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17</xdr:row>
      <xdr:rowOff>60960</xdr:rowOff>
    </xdr:from>
    <xdr:to>
      <xdr:col>8</xdr:col>
      <xdr:colOff>7620</xdr:colOff>
      <xdr:row>18</xdr:row>
      <xdr:rowOff>60960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CF3CA58-880F-467D-8D8E-88514D710802}"/>
            </a:ext>
          </a:extLst>
        </xdr:cNvPr>
        <xdr:cNvSpPr>
          <a:spLocks noChangeShapeType="1"/>
        </xdr:cNvSpPr>
      </xdr:nvSpPr>
      <xdr:spPr bwMode="auto">
        <a:xfrm>
          <a:off x="4705350" y="313372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16</xdr:row>
      <xdr:rowOff>53340</xdr:rowOff>
    </xdr:from>
    <xdr:to>
      <xdr:col>8</xdr:col>
      <xdr:colOff>7620</xdr:colOff>
      <xdr:row>17</xdr:row>
      <xdr:rowOff>53340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660FDB00-6146-4363-B746-0121302D1FD4}"/>
            </a:ext>
          </a:extLst>
        </xdr:cNvPr>
        <xdr:cNvSpPr>
          <a:spLocks noChangeShapeType="1"/>
        </xdr:cNvSpPr>
      </xdr:nvSpPr>
      <xdr:spPr bwMode="auto">
        <a:xfrm flipV="1">
          <a:off x="4724400" y="29622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22</xdr:row>
      <xdr:rowOff>68580</xdr:rowOff>
    </xdr:from>
    <xdr:to>
      <xdr:col>8</xdr:col>
      <xdr:colOff>7620</xdr:colOff>
      <xdr:row>23</xdr:row>
      <xdr:rowOff>76200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FD251AAB-81B2-4786-92BE-F7F09EC05ED8}"/>
            </a:ext>
          </a:extLst>
        </xdr:cNvPr>
        <xdr:cNvSpPr>
          <a:spLocks noChangeShapeType="1"/>
        </xdr:cNvSpPr>
      </xdr:nvSpPr>
      <xdr:spPr bwMode="auto">
        <a:xfrm flipV="1">
          <a:off x="4724400" y="400050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23</xdr:row>
      <xdr:rowOff>91440</xdr:rowOff>
    </xdr:from>
    <xdr:to>
      <xdr:col>8</xdr:col>
      <xdr:colOff>0</xdr:colOff>
      <xdr:row>24</xdr:row>
      <xdr:rowOff>83820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CDE7EE64-E511-40D7-BE2C-0CEED51E29EC}"/>
            </a:ext>
          </a:extLst>
        </xdr:cNvPr>
        <xdr:cNvSpPr>
          <a:spLocks noChangeShapeType="1"/>
        </xdr:cNvSpPr>
      </xdr:nvSpPr>
      <xdr:spPr bwMode="auto">
        <a:xfrm>
          <a:off x="4724400" y="420052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21</xdr:row>
      <xdr:rowOff>60960</xdr:rowOff>
    </xdr:from>
    <xdr:to>
      <xdr:col>8</xdr:col>
      <xdr:colOff>7620</xdr:colOff>
      <xdr:row>22</xdr:row>
      <xdr:rowOff>60960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B464492B-5A10-4F45-8331-52BFE4EB2363}"/>
            </a:ext>
          </a:extLst>
        </xdr:cNvPr>
        <xdr:cNvSpPr>
          <a:spLocks noChangeShapeType="1"/>
        </xdr:cNvSpPr>
      </xdr:nvSpPr>
      <xdr:spPr bwMode="auto">
        <a:xfrm>
          <a:off x="4705350" y="381952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20</xdr:row>
      <xdr:rowOff>68580</xdr:rowOff>
    </xdr:from>
    <xdr:to>
      <xdr:col>8</xdr:col>
      <xdr:colOff>7620</xdr:colOff>
      <xdr:row>21</xdr:row>
      <xdr:rowOff>53340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6CCF7960-D07A-4FC3-8CF2-C9767BE9035C}"/>
            </a:ext>
          </a:extLst>
        </xdr:cNvPr>
        <xdr:cNvSpPr>
          <a:spLocks noChangeShapeType="1"/>
        </xdr:cNvSpPr>
      </xdr:nvSpPr>
      <xdr:spPr bwMode="auto">
        <a:xfrm flipV="1">
          <a:off x="4724400" y="36576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21</xdr:row>
      <xdr:rowOff>83820</xdr:rowOff>
    </xdr:from>
    <xdr:to>
      <xdr:col>6</xdr:col>
      <xdr:colOff>15240</xdr:colOff>
      <xdr:row>22</xdr:row>
      <xdr:rowOff>60960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98E08E20-B23F-4041-A4CA-D29F301B22DA}"/>
            </a:ext>
          </a:extLst>
        </xdr:cNvPr>
        <xdr:cNvSpPr>
          <a:spLocks noChangeShapeType="1"/>
        </xdr:cNvSpPr>
      </xdr:nvSpPr>
      <xdr:spPr bwMode="auto">
        <a:xfrm flipV="1">
          <a:off x="3486150" y="3848100"/>
          <a:ext cx="6286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22</xdr:row>
      <xdr:rowOff>60960</xdr:rowOff>
    </xdr:from>
    <xdr:to>
      <xdr:col>6</xdr:col>
      <xdr:colOff>0</xdr:colOff>
      <xdr:row>23</xdr:row>
      <xdr:rowOff>68580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2468C803-D0DC-4869-AC09-283DA92C7581}"/>
            </a:ext>
          </a:extLst>
        </xdr:cNvPr>
        <xdr:cNvSpPr>
          <a:spLocks noChangeShapeType="1"/>
        </xdr:cNvSpPr>
      </xdr:nvSpPr>
      <xdr:spPr bwMode="auto">
        <a:xfrm>
          <a:off x="3495675" y="399097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30</xdr:row>
      <xdr:rowOff>60960</xdr:rowOff>
    </xdr:from>
    <xdr:to>
      <xdr:col>2</xdr:col>
      <xdr:colOff>0</xdr:colOff>
      <xdr:row>31</xdr:row>
      <xdr:rowOff>68580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82344EED-9DC9-4DC5-9EC8-723B0EBAF477}"/>
            </a:ext>
          </a:extLst>
        </xdr:cNvPr>
        <xdr:cNvSpPr>
          <a:spLocks noChangeShapeType="1"/>
        </xdr:cNvSpPr>
      </xdr:nvSpPr>
      <xdr:spPr bwMode="auto">
        <a:xfrm flipV="1">
          <a:off x="1028700" y="536257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31</xdr:row>
      <xdr:rowOff>76200</xdr:rowOff>
    </xdr:from>
    <xdr:to>
      <xdr:col>2</xdr:col>
      <xdr:colOff>7620</xdr:colOff>
      <xdr:row>32</xdr:row>
      <xdr:rowOff>68580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1E632092-7993-4198-A8EA-310D5583C553}"/>
            </a:ext>
          </a:extLst>
        </xdr:cNvPr>
        <xdr:cNvSpPr>
          <a:spLocks noChangeShapeType="1"/>
        </xdr:cNvSpPr>
      </xdr:nvSpPr>
      <xdr:spPr bwMode="auto">
        <a:xfrm>
          <a:off x="1028700" y="55530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31</xdr:row>
      <xdr:rowOff>68580</xdr:rowOff>
    </xdr:from>
    <xdr:to>
      <xdr:col>4</xdr:col>
      <xdr:colOff>7620</xdr:colOff>
      <xdr:row>32</xdr:row>
      <xdr:rowOff>76200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C06C43E0-0EEA-43C6-BBFB-3B8DB7020DDD}"/>
            </a:ext>
          </a:extLst>
        </xdr:cNvPr>
        <xdr:cNvSpPr>
          <a:spLocks noChangeShapeType="1"/>
        </xdr:cNvSpPr>
      </xdr:nvSpPr>
      <xdr:spPr bwMode="auto">
        <a:xfrm flipV="1">
          <a:off x="2266950" y="55435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32</xdr:row>
      <xdr:rowOff>91440</xdr:rowOff>
    </xdr:from>
    <xdr:to>
      <xdr:col>4</xdr:col>
      <xdr:colOff>0</xdr:colOff>
      <xdr:row>33</xdr:row>
      <xdr:rowOff>83820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85D2BA5D-B47F-4E55-BC3B-93054AE27A61}"/>
            </a:ext>
          </a:extLst>
        </xdr:cNvPr>
        <xdr:cNvSpPr>
          <a:spLocks noChangeShapeType="1"/>
        </xdr:cNvSpPr>
      </xdr:nvSpPr>
      <xdr:spPr bwMode="auto">
        <a:xfrm>
          <a:off x="2266950" y="57435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30</xdr:row>
      <xdr:rowOff>60960</xdr:rowOff>
    </xdr:from>
    <xdr:to>
      <xdr:col>4</xdr:col>
      <xdr:colOff>7620</xdr:colOff>
      <xdr:row>31</xdr:row>
      <xdr:rowOff>60960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70BF05C2-C4A2-4A7E-98A3-1264038B6892}"/>
            </a:ext>
          </a:extLst>
        </xdr:cNvPr>
        <xdr:cNvSpPr>
          <a:spLocks noChangeShapeType="1"/>
        </xdr:cNvSpPr>
      </xdr:nvSpPr>
      <xdr:spPr bwMode="auto">
        <a:xfrm>
          <a:off x="2247900" y="536257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</xdr:colOff>
      <xdr:row>29</xdr:row>
      <xdr:rowOff>53340</xdr:rowOff>
    </xdr:from>
    <xdr:to>
      <xdr:col>4</xdr:col>
      <xdr:colOff>7620</xdr:colOff>
      <xdr:row>30</xdr:row>
      <xdr:rowOff>53340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002BFF48-8ACA-4901-BFCC-81AD5BDE3887}"/>
            </a:ext>
          </a:extLst>
        </xdr:cNvPr>
        <xdr:cNvSpPr>
          <a:spLocks noChangeShapeType="1"/>
        </xdr:cNvSpPr>
      </xdr:nvSpPr>
      <xdr:spPr bwMode="auto">
        <a:xfrm flipV="1">
          <a:off x="2266950" y="51911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30</xdr:row>
      <xdr:rowOff>68580</xdr:rowOff>
    </xdr:from>
    <xdr:to>
      <xdr:col>6</xdr:col>
      <xdr:colOff>7620</xdr:colOff>
      <xdr:row>31</xdr:row>
      <xdr:rowOff>76200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539AB9C3-1876-450A-9C0D-4A4C10B7102A}"/>
            </a:ext>
          </a:extLst>
        </xdr:cNvPr>
        <xdr:cNvSpPr>
          <a:spLocks noChangeShapeType="1"/>
        </xdr:cNvSpPr>
      </xdr:nvSpPr>
      <xdr:spPr bwMode="auto">
        <a:xfrm flipV="1">
          <a:off x="3505200" y="5372100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31</xdr:row>
      <xdr:rowOff>91440</xdr:rowOff>
    </xdr:from>
    <xdr:to>
      <xdr:col>6</xdr:col>
      <xdr:colOff>0</xdr:colOff>
      <xdr:row>32</xdr:row>
      <xdr:rowOff>83820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53BA117F-C608-4104-8475-9EFC205E7160}"/>
            </a:ext>
          </a:extLst>
        </xdr:cNvPr>
        <xdr:cNvSpPr>
          <a:spLocks noChangeShapeType="1"/>
        </xdr:cNvSpPr>
      </xdr:nvSpPr>
      <xdr:spPr bwMode="auto">
        <a:xfrm>
          <a:off x="3505200" y="557212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29</xdr:row>
      <xdr:rowOff>60960</xdr:rowOff>
    </xdr:from>
    <xdr:to>
      <xdr:col>6</xdr:col>
      <xdr:colOff>7620</xdr:colOff>
      <xdr:row>30</xdr:row>
      <xdr:rowOff>60960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437FB6FD-E82D-40CD-8911-9570A5C0F0F5}"/>
            </a:ext>
          </a:extLst>
        </xdr:cNvPr>
        <xdr:cNvSpPr>
          <a:spLocks noChangeShapeType="1"/>
        </xdr:cNvSpPr>
      </xdr:nvSpPr>
      <xdr:spPr bwMode="auto">
        <a:xfrm>
          <a:off x="3486150" y="51911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28</xdr:row>
      <xdr:rowOff>53340</xdr:rowOff>
    </xdr:from>
    <xdr:to>
      <xdr:col>6</xdr:col>
      <xdr:colOff>7620</xdr:colOff>
      <xdr:row>29</xdr:row>
      <xdr:rowOff>53340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4FD39DF5-885B-4C12-94DC-096E91407E72}"/>
            </a:ext>
          </a:extLst>
        </xdr:cNvPr>
        <xdr:cNvSpPr>
          <a:spLocks noChangeShapeType="1"/>
        </xdr:cNvSpPr>
      </xdr:nvSpPr>
      <xdr:spPr bwMode="auto">
        <a:xfrm flipV="1">
          <a:off x="3505200" y="5019675"/>
          <a:ext cx="6000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29</xdr:row>
      <xdr:rowOff>68580</xdr:rowOff>
    </xdr:from>
    <xdr:to>
      <xdr:col>8</xdr:col>
      <xdr:colOff>7620</xdr:colOff>
      <xdr:row>30</xdr:row>
      <xdr:rowOff>76200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16DA7882-111F-47DB-849A-017F6F75B38A}"/>
            </a:ext>
          </a:extLst>
        </xdr:cNvPr>
        <xdr:cNvSpPr>
          <a:spLocks noChangeShapeType="1"/>
        </xdr:cNvSpPr>
      </xdr:nvSpPr>
      <xdr:spPr bwMode="auto">
        <a:xfrm flipV="1">
          <a:off x="4724400" y="52006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30</xdr:row>
      <xdr:rowOff>91440</xdr:rowOff>
    </xdr:from>
    <xdr:to>
      <xdr:col>8</xdr:col>
      <xdr:colOff>0</xdr:colOff>
      <xdr:row>31</xdr:row>
      <xdr:rowOff>83820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9F7E630A-C372-4A06-B291-20D1F0E7615F}"/>
            </a:ext>
          </a:extLst>
        </xdr:cNvPr>
        <xdr:cNvSpPr>
          <a:spLocks noChangeShapeType="1"/>
        </xdr:cNvSpPr>
      </xdr:nvSpPr>
      <xdr:spPr bwMode="auto">
        <a:xfrm>
          <a:off x="4724400" y="54006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28</xdr:row>
      <xdr:rowOff>60960</xdr:rowOff>
    </xdr:from>
    <xdr:to>
      <xdr:col>8</xdr:col>
      <xdr:colOff>7620</xdr:colOff>
      <xdr:row>29</xdr:row>
      <xdr:rowOff>60960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4E14A6FA-BB9C-417E-AB9A-6D09BC45FE45}"/>
            </a:ext>
          </a:extLst>
        </xdr:cNvPr>
        <xdr:cNvSpPr>
          <a:spLocks noChangeShapeType="1"/>
        </xdr:cNvSpPr>
      </xdr:nvSpPr>
      <xdr:spPr bwMode="auto">
        <a:xfrm>
          <a:off x="4705350" y="5019675"/>
          <a:ext cx="6381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27</xdr:row>
      <xdr:rowOff>53340</xdr:rowOff>
    </xdr:from>
    <xdr:to>
      <xdr:col>8</xdr:col>
      <xdr:colOff>7620</xdr:colOff>
      <xdr:row>28</xdr:row>
      <xdr:rowOff>53340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DF31678-387E-4F2E-8804-000F5722DE6C}"/>
            </a:ext>
          </a:extLst>
        </xdr:cNvPr>
        <xdr:cNvSpPr>
          <a:spLocks noChangeShapeType="1"/>
        </xdr:cNvSpPr>
      </xdr:nvSpPr>
      <xdr:spPr bwMode="auto">
        <a:xfrm flipV="1">
          <a:off x="4724400" y="484822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33</xdr:row>
      <xdr:rowOff>68580</xdr:rowOff>
    </xdr:from>
    <xdr:to>
      <xdr:col>8</xdr:col>
      <xdr:colOff>7620</xdr:colOff>
      <xdr:row>34</xdr:row>
      <xdr:rowOff>76200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5D7E7E19-0DB7-4C9F-9D98-C40D10593E5C}"/>
            </a:ext>
          </a:extLst>
        </xdr:cNvPr>
        <xdr:cNvSpPr>
          <a:spLocks noChangeShapeType="1"/>
        </xdr:cNvSpPr>
      </xdr:nvSpPr>
      <xdr:spPr bwMode="auto">
        <a:xfrm flipV="1">
          <a:off x="4724400" y="58864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34</xdr:row>
      <xdr:rowOff>91440</xdr:rowOff>
    </xdr:from>
    <xdr:to>
      <xdr:col>8</xdr:col>
      <xdr:colOff>0</xdr:colOff>
      <xdr:row>35</xdr:row>
      <xdr:rowOff>83820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28900A93-19F4-45C4-945F-5D32578AC5DC}"/>
            </a:ext>
          </a:extLst>
        </xdr:cNvPr>
        <xdr:cNvSpPr>
          <a:spLocks noChangeShapeType="1"/>
        </xdr:cNvSpPr>
      </xdr:nvSpPr>
      <xdr:spPr bwMode="auto">
        <a:xfrm>
          <a:off x="4724400" y="6086475"/>
          <a:ext cx="6096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480060</xdr:colOff>
      <xdr:row>32</xdr:row>
      <xdr:rowOff>76200</xdr:rowOff>
    </xdr:from>
    <xdr:to>
      <xdr:col>8</xdr:col>
      <xdr:colOff>22860</xdr:colOff>
      <xdr:row>33</xdr:row>
      <xdr:rowOff>68580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A15EFDDD-520E-4AAE-957A-6C1CC640C06F}"/>
            </a:ext>
          </a:extLst>
        </xdr:cNvPr>
        <xdr:cNvSpPr>
          <a:spLocks noChangeShapeType="1"/>
        </xdr:cNvSpPr>
      </xdr:nvSpPr>
      <xdr:spPr bwMode="auto">
        <a:xfrm>
          <a:off x="4572000" y="5724525"/>
          <a:ext cx="7810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32</xdr:row>
      <xdr:rowOff>83820</xdr:rowOff>
    </xdr:from>
    <xdr:to>
      <xdr:col>6</xdr:col>
      <xdr:colOff>15240</xdr:colOff>
      <xdr:row>33</xdr:row>
      <xdr:rowOff>60960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3E427372-E9F2-435D-8179-D160578B377C}"/>
            </a:ext>
          </a:extLst>
        </xdr:cNvPr>
        <xdr:cNvSpPr>
          <a:spLocks noChangeShapeType="1"/>
        </xdr:cNvSpPr>
      </xdr:nvSpPr>
      <xdr:spPr bwMode="auto">
        <a:xfrm flipV="1">
          <a:off x="3486150" y="5734050"/>
          <a:ext cx="62865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7620</xdr:colOff>
      <xdr:row>33</xdr:row>
      <xdr:rowOff>60960</xdr:rowOff>
    </xdr:from>
    <xdr:to>
      <xdr:col>6</xdr:col>
      <xdr:colOff>0</xdr:colOff>
      <xdr:row>34</xdr:row>
      <xdr:rowOff>68580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31E4BBC9-3053-42A2-94D3-8CE3E74F9B7E}"/>
            </a:ext>
          </a:extLst>
        </xdr:cNvPr>
        <xdr:cNvSpPr>
          <a:spLocks noChangeShapeType="1"/>
        </xdr:cNvSpPr>
      </xdr:nvSpPr>
      <xdr:spPr bwMode="auto">
        <a:xfrm>
          <a:off x="3495675" y="5876925"/>
          <a:ext cx="6000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31</xdr:row>
      <xdr:rowOff>68580</xdr:rowOff>
    </xdr:from>
    <xdr:to>
      <xdr:col>7</xdr:col>
      <xdr:colOff>487680</xdr:colOff>
      <xdr:row>32</xdr:row>
      <xdr:rowOff>76200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ADA893CB-7D6F-46F8-8D33-96C8B75E5446}"/>
            </a:ext>
          </a:extLst>
        </xdr:cNvPr>
        <xdr:cNvSpPr>
          <a:spLocks noChangeShapeType="1"/>
        </xdr:cNvSpPr>
      </xdr:nvSpPr>
      <xdr:spPr bwMode="auto">
        <a:xfrm flipV="1">
          <a:off x="4705350" y="5543550"/>
          <a:ext cx="48577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33</xdr:row>
      <xdr:rowOff>68580</xdr:rowOff>
    </xdr:from>
    <xdr:to>
      <xdr:col>8</xdr:col>
      <xdr:colOff>7620</xdr:colOff>
      <xdr:row>34</xdr:row>
      <xdr:rowOff>76200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CC4A05EE-4115-4D51-95D1-82E956BEE879}"/>
            </a:ext>
          </a:extLst>
        </xdr:cNvPr>
        <xdr:cNvSpPr>
          <a:spLocks noChangeShapeType="1"/>
        </xdr:cNvSpPr>
      </xdr:nvSpPr>
      <xdr:spPr bwMode="auto">
        <a:xfrm flipV="1">
          <a:off x="4724400" y="5886450"/>
          <a:ext cx="6191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10</xdr:col>
      <xdr:colOff>428625</xdr:colOff>
      <xdr:row>2</xdr:row>
      <xdr:rowOff>19050</xdr:rowOff>
    </xdr:from>
    <xdr:to>
      <xdr:col>25</xdr:col>
      <xdr:colOff>582323</xdr:colOff>
      <xdr:row>44</xdr:row>
      <xdr:rowOff>142008</xdr:rowOff>
    </xdr:to>
    <xdr:pic>
      <xdr:nvPicPr>
        <xdr:cNvPr id="43" name="图片 42">
          <a:extLst>
            <a:ext uri="{FF2B5EF4-FFF2-40B4-BE49-F238E27FC236}">
              <a16:creationId xmlns:a16="http://schemas.microsoft.com/office/drawing/2014/main" id="{B046A283-1AD7-D674-125B-C1C181EDF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6675" y="409575"/>
          <a:ext cx="9297698" cy="74381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J37"/>
  <sheetViews>
    <sheetView tabSelected="1" workbookViewId="0">
      <selection activeCell="C20" sqref="C20"/>
    </sheetView>
  </sheetViews>
  <sheetFormatPr defaultRowHeight="13.8" x14ac:dyDescent="0.25"/>
  <cols>
    <col min="1" max="1" width="15" style="2" customWidth="1"/>
    <col min="2" max="3" width="8.88671875" style="2"/>
    <col min="4" max="4" width="9.109375" style="3" customWidth="1"/>
    <col min="5" max="7" width="8.88671875" style="2"/>
    <col min="8" max="8" width="9.109375" style="3" customWidth="1"/>
    <col min="9" max="9" width="8.88671875" style="2"/>
    <col min="10" max="10" width="19.109375" style="2" bestFit="1" customWidth="1"/>
  </cols>
  <sheetData>
    <row r="1" spans="1:10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0" x14ac:dyDescent="0.25">
      <c r="A2" s="2" t="s">
        <v>1</v>
      </c>
      <c r="B2" s="2">
        <v>30</v>
      </c>
    </row>
    <row r="3" spans="1:10" x14ac:dyDescent="0.25">
      <c r="A3" s="2" t="s">
        <v>2</v>
      </c>
      <c r="B3" s="2">
        <v>1.4</v>
      </c>
    </row>
    <row r="4" spans="1:10" x14ac:dyDescent="0.25">
      <c r="A4" s="2" t="s">
        <v>3</v>
      </c>
      <c r="B4" s="2">
        <v>0.8</v>
      </c>
    </row>
    <row r="5" spans="1:10" x14ac:dyDescent="0.25">
      <c r="A5" s="2" t="s">
        <v>4</v>
      </c>
      <c r="B5" s="2">
        <v>1.08</v>
      </c>
    </row>
    <row r="6" spans="1:10" x14ac:dyDescent="0.25">
      <c r="A6" s="2" t="s">
        <v>5</v>
      </c>
      <c r="B6" s="2">
        <v>50</v>
      </c>
    </row>
    <row r="7" spans="1:10" x14ac:dyDescent="0.25">
      <c r="F7" s="4"/>
    </row>
    <row r="8" spans="1:10" x14ac:dyDescent="0.25">
      <c r="A8" s="5" t="s">
        <v>6</v>
      </c>
      <c r="F8" s="4"/>
    </row>
    <row r="9" spans="1:10" ht="15.6" x14ac:dyDescent="0.35">
      <c r="A9" s="2" t="s">
        <v>7</v>
      </c>
      <c r="B9" s="4">
        <f>(B5-B4)/(B5*(B3-B4))</f>
        <v>0.43209876543209885</v>
      </c>
      <c r="C9" s="2" t="str">
        <f ca="1">_xlfn.FORMULATEXT(B9)</f>
        <v>=(B5-B4)/(B5*(B3-B4))</v>
      </c>
      <c r="F9" s="4"/>
    </row>
    <row r="10" spans="1:10" ht="15.6" x14ac:dyDescent="0.35">
      <c r="A10" s="2" t="s">
        <v>8</v>
      </c>
      <c r="B10" s="4">
        <f>(B3-B5)/(B5*(B3-B4))</f>
        <v>0.49382716049382697</v>
      </c>
      <c r="C10" s="2" t="str">
        <f ca="1">_xlfn.FORMULATEXT(B10)</f>
        <v>=(B3-B5)/(B5*(B3-B4))</v>
      </c>
      <c r="F10" s="4"/>
    </row>
    <row r="12" spans="1:10" x14ac:dyDescent="0.25">
      <c r="A12" s="5" t="s">
        <v>9</v>
      </c>
    </row>
    <row r="13" spans="1:10" ht="15.6" x14ac:dyDescent="0.35">
      <c r="A13" s="6" t="s">
        <v>10</v>
      </c>
      <c r="B13" s="7">
        <f>B9*$B$5</f>
        <v>0.46666666666666679</v>
      </c>
      <c r="C13" s="2" t="str">
        <f ca="1">_xlfn.FORMULATEXT(B13)</f>
        <v>=B9*$B$5</v>
      </c>
    </row>
    <row r="14" spans="1:10" ht="15.6" x14ac:dyDescent="0.35">
      <c r="A14" s="6" t="s">
        <v>11</v>
      </c>
      <c r="B14" s="7">
        <f>B10*$B$5</f>
        <v>0.5333333333333331</v>
      </c>
      <c r="C14" s="2" t="str">
        <f ca="1">_xlfn.FORMULATEXT(B14)</f>
        <v>=B10*$B$5</v>
      </c>
    </row>
    <row r="17" spans="1:10" x14ac:dyDescent="0.25">
      <c r="A17" s="7"/>
      <c r="B17" s="7"/>
      <c r="C17" s="7"/>
      <c r="D17" s="8"/>
      <c r="E17" s="7"/>
      <c r="F17" s="7"/>
      <c r="G17" s="7"/>
      <c r="H17" s="8"/>
      <c r="I17" s="9">
        <f>G18*B3</f>
        <v>115.24799999999998</v>
      </c>
      <c r="J17" s="2" t="str">
        <f ca="1">_xlfn.FORMULATEXT(I17)</f>
        <v>=G18*B3</v>
      </c>
    </row>
    <row r="18" spans="1:10" x14ac:dyDescent="0.25">
      <c r="A18" s="10" t="s">
        <v>12</v>
      </c>
      <c r="C18" s="7"/>
      <c r="D18" s="7"/>
      <c r="E18" s="7"/>
      <c r="F18" s="10"/>
      <c r="G18" s="9">
        <f>E19*B3</f>
        <v>82.32</v>
      </c>
      <c r="H18" s="8"/>
      <c r="I18" s="11"/>
    </row>
    <row r="19" spans="1:10" x14ac:dyDescent="0.25">
      <c r="A19" s="7"/>
      <c r="B19" s="7"/>
      <c r="C19" s="8"/>
      <c r="D19" s="7"/>
      <c r="E19" s="9">
        <f>C20*B3</f>
        <v>58.8</v>
      </c>
      <c r="F19" s="7"/>
      <c r="G19" s="11"/>
      <c r="H19" s="8"/>
      <c r="I19" s="12">
        <f>G18*B4</f>
        <v>65.855999999999995</v>
      </c>
      <c r="J19" s="2" t="str">
        <f ca="1">_xlfn.FORMULATEXT(I19)</f>
        <v>=G18*B4</v>
      </c>
    </row>
    <row r="20" spans="1:10" x14ac:dyDescent="0.25">
      <c r="A20" s="7"/>
      <c r="B20" s="7"/>
      <c r="C20" s="9">
        <f>A21*B3</f>
        <v>42</v>
      </c>
      <c r="D20" s="7"/>
      <c r="E20" s="13"/>
      <c r="F20" s="7"/>
      <c r="G20" s="9">
        <f>E19*B4</f>
        <v>47.04</v>
      </c>
      <c r="H20" s="8"/>
      <c r="I20" s="13"/>
    </row>
    <row r="21" spans="1:10" x14ac:dyDescent="0.25">
      <c r="A21" s="11">
        <f>B2</f>
        <v>30</v>
      </c>
      <c r="B21" s="7"/>
      <c r="C21" s="14"/>
      <c r="D21" s="7"/>
      <c r="E21" s="9">
        <f>C20*B4</f>
        <v>33.6</v>
      </c>
      <c r="F21" s="7"/>
      <c r="G21" s="11"/>
      <c r="H21" s="8"/>
      <c r="I21" s="12">
        <f>G20*B4</f>
        <v>37.631999999999998</v>
      </c>
      <c r="J21" s="2" t="str">
        <f ca="1">_xlfn.FORMULATEXT(I21)</f>
        <v>=G20*B4</v>
      </c>
    </row>
    <row r="22" spans="1:10" x14ac:dyDescent="0.25">
      <c r="A22" s="7"/>
      <c r="B22" s="7"/>
      <c r="C22" s="9">
        <f>$A$21*B4</f>
        <v>24</v>
      </c>
      <c r="D22" s="7"/>
      <c r="E22" s="13"/>
      <c r="F22" s="7"/>
      <c r="G22" s="9">
        <f>E21*B4</f>
        <v>26.880000000000003</v>
      </c>
      <c r="H22" s="8"/>
      <c r="I22" s="13"/>
    </row>
    <row r="23" spans="1:10" x14ac:dyDescent="0.25">
      <c r="A23" s="7"/>
      <c r="B23" s="7"/>
      <c r="C23" s="7"/>
      <c r="D23" s="7"/>
      <c r="E23" s="9">
        <f>C22*B4</f>
        <v>19.200000000000003</v>
      </c>
      <c r="F23" s="7"/>
      <c r="G23" s="11"/>
      <c r="H23" s="8"/>
      <c r="I23" s="12">
        <f>G22*B4</f>
        <v>21.504000000000005</v>
      </c>
      <c r="J23" s="2" t="str">
        <f ca="1">_xlfn.FORMULATEXT(I23)</f>
        <v>=G22*B4</v>
      </c>
    </row>
    <row r="24" spans="1:10" x14ac:dyDescent="0.25">
      <c r="A24" s="7"/>
      <c r="B24" s="7"/>
      <c r="C24" s="7"/>
      <c r="D24" s="8"/>
      <c r="E24" s="7"/>
      <c r="F24" s="7"/>
      <c r="G24" s="9">
        <f>E23*B4</f>
        <v>15.360000000000003</v>
      </c>
      <c r="H24" s="8"/>
      <c r="I24" s="11"/>
    </row>
    <row r="25" spans="1:10" x14ac:dyDescent="0.25">
      <c r="A25" s="7"/>
      <c r="B25" s="10"/>
      <c r="C25" s="7"/>
      <c r="D25" s="8"/>
      <c r="E25" s="7"/>
      <c r="F25" s="7"/>
      <c r="G25" s="7"/>
      <c r="H25" s="8"/>
      <c r="I25" s="12">
        <f>G24*B4</f>
        <v>12.288000000000004</v>
      </c>
      <c r="J25" s="2" t="str">
        <f ca="1">_xlfn.FORMULATEXT(I25)</f>
        <v>=G24*B4</v>
      </c>
    </row>
    <row r="26" spans="1:10" x14ac:dyDescent="0.25">
      <c r="A26" s="7"/>
      <c r="B26" s="7"/>
      <c r="C26" s="8"/>
      <c r="D26" s="15"/>
      <c r="E26" s="7"/>
      <c r="F26" s="7"/>
      <c r="G26" s="7"/>
      <c r="H26" s="8"/>
      <c r="I26" s="7"/>
      <c r="J26" s="16"/>
    </row>
    <row r="27" spans="1:10" x14ac:dyDescent="0.25">
      <c r="A27" s="7"/>
      <c r="B27" s="7"/>
      <c r="C27" s="8"/>
      <c r="D27" s="15"/>
      <c r="E27" s="7"/>
      <c r="F27" s="7"/>
      <c r="G27" s="7"/>
      <c r="H27" s="8"/>
      <c r="I27" s="7"/>
      <c r="J27" s="16"/>
    </row>
    <row r="28" spans="1:10" x14ac:dyDescent="0.25">
      <c r="A28" s="7"/>
      <c r="B28" s="7"/>
      <c r="C28" s="7"/>
      <c r="D28" s="8"/>
      <c r="E28" s="7"/>
      <c r="F28" s="7"/>
      <c r="G28" s="7"/>
      <c r="H28" s="8"/>
      <c r="I28" s="17">
        <f>G29*$B$5</f>
        <v>1.3604889600000003</v>
      </c>
      <c r="J28" s="2" t="str">
        <f ca="1">_xlfn.FORMULATEXT(I28)</f>
        <v>=G29*$B$5</v>
      </c>
    </row>
    <row r="29" spans="1:10" x14ac:dyDescent="0.25">
      <c r="A29" s="7"/>
      <c r="B29" s="10" t="s">
        <v>13</v>
      </c>
      <c r="C29" s="7"/>
      <c r="D29" s="7"/>
      <c r="E29" s="7"/>
      <c r="F29" s="10"/>
      <c r="G29" s="17">
        <f>E30*$B$5</f>
        <v>1.2597120000000002</v>
      </c>
      <c r="H29" s="8"/>
      <c r="I29" s="7"/>
    </row>
    <row r="30" spans="1:10" x14ac:dyDescent="0.25">
      <c r="A30" s="7"/>
      <c r="B30" s="7"/>
      <c r="C30" s="8"/>
      <c r="D30" s="7"/>
      <c r="E30" s="17">
        <f>C31*$B$5</f>
        <v>1.1664000000000001</v>
      </c>
      <c r="F30" s="7"/>
      <c r="G30" s="7"/>
      <c r="H30" s="8"/>
      <c r="I30" s="17">
        <f>G31*$B$5</f>
        <v>1.3604889600000003</v>
      </c>
      <c r="J30" s="2" t="str">
        <f ca="1">_xlfn.FORMULATEXT(I30)</f>
        <v>=G31*$B$5</v>
      </c>
    </row>
    <row r="31" spans="1:10" x14ac:dyDescent="0.25">
      <c r="A31" s="7"/>
      <c r="B31" s="7"/>
      <c r="C31" s="17">
        <f>A32*$B$5</f>
        <v>1.08</v>
      </c>
      <c r="D31" s="7"/>
      <c r="E31" s="15"/>
      <c r="F31" s="7"/>
      <c r="G31" s="17">
        <f>E32*$B$5</f>
        <v>1.2597120000000002</v>
      </c>
      <c r="H31" s="8"/>
      <c r="I31" s="15"/>
    </row>
    <row r="32" spans="1:10" x14ac:dyDescent="0.25">
      <c r="A32" s="7">
        <v>1</v>
      </c>
      <c r="B32" s="7"/>
      <c r="C32" s="8"/>
      <c r="D32" s="7"/>
      <c r="E32" s="17">
        <f>C31*$B$5</f>
        <v>1.1664000000000001</v>
      </c>
      <c r="F32" s="7"/>
      <c r="G32" s="7"/>
      <c r="H32" s="8"/>
      <c r="I32" s="17">
        <f>G33*$B$5</f>
        <v>1.3604889600000003</v>
      </c>
    </row>
    <row r="33" spans="1:9" x14ac:dyDescent="0.25">
      <c r="A33" s="7"/>
      <c r="B33" s="7"/>
      <c r="C33" s="17">
        <f>A32*$B$5</f>
        <v>1.08</v>
      </c>
      <c r="D33" s="7"/>
      <c r="E33" s="15"/>
      <c r="F33" s="7"/>
      <c r="G33" s="17">
        <f>E34*$B$5</f>
        <v>1.2597120000000002</v>
      </c>
      <c r="H33" s="8"/>
      <c r="I33" s="15"/>
    </row>
    <row r="34" spans="1:9" x14ac:dyDescent="0.25">
      <c r="A34" s="7"/>
      <c r="B34" s="7"/>
      <c r="C34" s="7"/>
      <c r="D34" s="7"/>
      <c r="E34" s="17">
        <f>C33*$B$5</f>
        <v>1.1664000000000001</v>
      </c>
      <c r="F34" s="7"/>
      <c r="G34" s="7"/>
      <c r="H34" s="8"/>
      <c r="I34" s="17">
        <f>G35*$B$5</f>
        <v>1.3604889600000003</v>
      </c>
    </row>
    <row r="35" spans="1:9" x14ac:dyDescent="0.25">
      <c r="A35" s="7"/>
      <c r="B35" s="7"/>
      <c r="C35" s="7"/>
      <c r="D35" s="8"/>
      <c r="E35" s="7"/>
      <c r="F35" s="7"/>
      <c r="G35" s="17">
        <f>E34*$B$5</f>
        <v>1.2597120000000002</v>
      </c>
      <c r="H35" s="8"/>
      <c r="I35" s="7"/>
    </row>
    <row r="36" spans="1:9" x14ac:dyDescent="0.25">
      <c r="A36" s="7"/>
      <c r="B36" s="10"/>
      <c r="C36" s="7"/>
      <c r="D36" s="8"/>
      <c r="E36" s="7"/>
      <c r="F36" s="7"/>
      <c r="G36" s="7"/>
      <c r="H36" s="8"/>
      <c r="I36" s="17">
        <f>G35*$B$5</f>
        <v>1.3604889600000003</v>
      </c>
    </row>
    <row r="37" spans="1:9" x14ac:dyDescent="0.25">
      <c r="A37" s="7"/>
      <c r="B37" s="10"/>
      <c r="C37" s="7"/>
      <c r="D37" s="8"/>
      <c r="E37" s="7"/>
      <c r="F37" s="7"/>
      <c r="G37" s="7"/>
      <c r="H37" s="8"/>
      <c r="I37" s="17"/>
    </row>
  </sheetData>
  <mergeCells count="1">
    <mergeCell ref="A1:J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2024-12-11T06:18:35Z</dcterms:modified>
</cp:coreProperties>
</file>