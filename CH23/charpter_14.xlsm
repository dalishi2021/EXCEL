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3\"/>
    </mc:Choice>
  </mc:AlternateContent>
  <xr:revisionPtr revIDLastSave="0" documentId="13_ncr:1_{8EE7069D-8DCB-4641-8CFB-046C34FC125F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41" sheetId="2" r:id="rId2"/>
  </sheets>
  <externalReferences>
    <externalReference r:id="rId3"/>
    <externalReference r:id="rId4"/>
    <externalReference r:id="rId5"/>
  </externalReferences>
  <definedNames>
    <definedName name="Call">#REF!</definedName>
    <definedName name="Down">#REF!</definedName>
    <definedName name="implied_call_volatility">'[3]Page 304'!$B$13</definedName>
    <definedName name="Interest">'[3]Page 300'!$B$6</definedName>
    <definedName name="q_down">#REF!</definedName>
    <definedName name="q_up">#REF!</definedName>
    <definedName name="r_">'[3]Page 300'!$B$6</definedName>
    <definedName name="s">'[3]Page 300'!$B$3</definedName>
    <definedName name="sigma">'[3]Page 300'!$B$7</definedName>
    <definedName name="T">'[3]Page 300'!$B$5</definedName>
    <definedName name="target_call_price">'[3]Page 304'!$B$11</definedName>
    <definedName name="Up">#REF!</definedName>
    <definedName name="X">'[3]Page 300'!$B$4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7" i="2" l="1"/>
  <c r="G36" i="2"/>
  <c r="G34" i="2"/>
  <c r="G33" i="2"/>
  <c r="G32" i="2"/>
  <c r="G31" i="2"/>
  <c r="G29" i="2"/>
  <c r="H29" i="2" s="1"/>
  <c r="I29" i="2" s="1"/>
  <c r="J29" i="2" s="1"/>
  <c r="K29" i="2" s="1"/>
  <c r="G28" i="2"/>
  <c r="G27" i="2"/>
  <c r="G26" i="2"/>
  <c r="G25" i="2"/>
  <c r="G24" i="2"/>
  <c r="G22" i="2"/>
  <c r="G21" i="2"/>
  <c r="G20" i="2"/>
  <c r="G19" i="2"/>
  <c r="G17" i="2"/>
  <c r="B13" i="2"/>
  <c r="N36" i="2" s="1"/>
  <c r="B10" i="2"/>
  <c r="B9" i="2"/>
  <c r="B12" i="2" s="1"/>
  <c r="B6" i="2"/>
  <c r="L42" i="2"/>
  <c r="K40" i="2"/>
  <c r="K12" i="2"/>
  <c r="C13" i="2"/>
  <c r="C12" i="2"/>
  <c r="C10" i="2"/>
  <c r="C9" i="2"/>
  <c r="M22" i="2" l="1"/>
  <c r="O22" i="2" s="1"/>
  <c r="M25" i="2"/>
  <c r="O25" i="2" s="1"/>
  <c r="N33" i="2"/>
  <c r="N31" i="2"/>
  <c r="N28" i="2"/>
  <c r="N26" i="2"/>
  <c r="N24" i="2"/>
  <c r="N21" i="2"/>
  <c r="N19" i="2"/>
  <c r="N34" i="2"/>
  <c r="N29" i="2"/>
  <c r="N22" i="2"/>
  <c r="N32" i="2"/>
  <c r="N25" i="2"/>
  <c r="N20" i="2"/>
  <c r="N27" i="2"/>
  <c r="N17" i="2"/>
  <c r="M19" i="2"/>
  <c r="O19" i="2" s="1"/>
  <c r="H17" i="2"/>
  <c r="I17" i="2" s="1"/>
  <c r="J17" i="2" s="1"/>
  <c r="K17" i="2" s="1"/>
  <c r="H20" i="2"/>
  <c r="I20" i="2" s="1"/>
  <c r="J20" i="2" s="1"/>
  <c r="K20" i="2" s="1"/>
  <c r="H22" i="2"/>
  <c r="I22" i="2" s="1"/>
  <c r="J22" i="2" s="1"/>
  <c r="K22" i="2" s="1"/>
  <c r="H25" i="2"/>
  <c r="I25" i="2" s="1"/>
  <c r="J25" i="2" s="1"/>
  <c r="K25" i="2" s="1"/>
  <c r="H27" i="2"/>
  <c r="I27" i="2" s="1"/>
  <c r="J27" i="2" s="1"/>
  <c r="K27" i="2" s="1"/>
  <c r="H32" i="2"/>
  <c r="I32" i="2" s="1"/>
  <c r="J32" i="2" s="1"/>
  <c r="K32" i="2" s="1"/>
  <c r="H34" i="2"/>
  <c r="I34" i="2" s="1"/>
  <c r="J34" i="2" s="1"/>
  <c r="K34" i="2" s="1"/>
  <c r="M29" i="2"/>
  <c r="O29" i="2" s="1"/>
  <c r="H36" i="2"/>
  <c r="I36" i="2" s="1"/>
  <c r="J36" i="2" s="1"/>
  <c r="K36" i="2" s="1"/>
  <c r="H26" i="2"/>
  <c r="I26" i="2" s="1"/>
  <c r="J26" i="2" s="1"/>
  <c r="K26" i="2" s="1"/>
  <c r="H19" i="2"/>
  <c r="I19" i="2" s="1"/>
  <c r="J19" i="2" s="1"/>
  <c r="K19" i="2" s="1"/>
  <c r="H24" i="2"/>
  <c r="I24" i="2" s="1"/>
  <c r="J24" i="2" s="1"/>
  <c r="K24" i="2" s="1"/>
  <c r="H33" i="2"/>
  <c r="I33" i="2" s="1"/>
  <c r="J33" i="2" s="1"/>
  <c r="K33" i="2" s="1"/>
  <c r="H21" i="2"/>
  <c r="I21" i="2" s="1"/>
  <c r="J21" i="2" s="1"/>
  <c r="K21" i="2" s="1"/>
  <c r="H28" i="2"/>
  <c r="I28" i="2" s="1"/>
  <c r="J28" i="2" s="1"/>
  <c r="K28" i="2" s="1"/>
  <c r="H31" i="2"/>
  <c r="I31" i="2" s="1"/>
  <c r="J31" i="2" s="1"/>
  <c r="K31" i="2" s="1"/>
  <c r="M34" i="2" l="1"/>
  <c r="O34" i="2" s="1"/>
  <c r="M32" i="2"/>
  <c r="O32" i="2" s="1"/>
  <c r="M31" i="2"/>
  <c r="O31" i="2" s="1"/>
  <c r="M20" i="2"/>
  <c r="O20" i="2" s="1"/>
  <c r="M28" i="2"/>
  <c r="O28" i="2" s="1"/>
  <c r="M27" i="2"/>
  <c r="O27" i="2" s="1"/>
  <c r="M26" i="2"/>
  <c r="O26" i="2" s="1"/>
  <c r="M24" i="2"/>
  <c r="O24" i="2" s="1"/>
  <c r="M17" i="2"/>
  <c r="O17" i="2" s="1"/>
  <c r="M21" i="2"/>
  <c r="O21" i="2" s="1"/>
  <c r="M36" i="2"/>
  <c r="O36" i="2" s="1"/>
  <c r="M33" i="2"/>
  <c r="O33" i="2" s="1"/>
  <c r="N38" i="2" l="1"/>
</calcChain>
</file>

<file path=xl/sharedStrings.xml><?xml version="1.0" encoding="utf-8"?>
<sst xmlns="http://schemas.openxmlformats.org/spreadsheetml/2006/main" count="95" uniqueCount="29">
  <si>
    <t>PRICING A KNOCKIN BARRIER OPTION</t>
  </si>
  <si>
    <t>Initial stock price</t>
  </si>
  <si>
    <t>Up</t>
  </si>
  <si>
    <t>Down</t>
  </si>
  <si>
    <t>Interest</t>
  </si>
  <si>
    <t>Option exercise price</t>
  </si>
  <si>
    <t>Barrier</t>
  </si>
  <si>
    <r>
      <t>q</t>
    </r>
    <r>
      <rPr>
        <vertAlign val="subscript"/>
        <sz val="10"/>
        <rFont val="Arial"/>
        <family val="2"/>
      </rPr>
      <t>U</t>
    </r>
  </si>
  <si>
    <r>
      <t>q</t>
    </r>
    <r>
      <rPr>
        <vertAlign val="subscript"/>
        <sz val="10"/>
        <rFont val="Arial"/>
        <family val="2"/>
      </rPr>
      <t>D</t>
    </r>
  </si>
  <si>
    <t>Risk-neutral probability, up</t>
  </si>
  <si>
    <t>Risk-neutral probability, down</t>
  </si>
  <si>
    <t>STOCK PRICE</t>
  </si>
  <si>
    <t>Paths</t>
  </si>
  <si>
    <t>Period 1</t>
  </si>
  <si>
    <t>Period 2</t>
  </si>
  <si>
    <t>Period 3</t>
  </si>
  <si>
    <t>Period 4</t>
  </si>
  <si>
    <t>Period 0</t>
  </si>
  <si>
    <r>
      <t>Max(S</t>
    </r>
    <r>
      <rPr>
        <b/>
        <vertAlign val="subscript"/>
        <sz val="10"/>
        <rFont val="Arial"/>
        <family val="2"/>
      </rPr>
      <t>t</t>
    </r>
    <r>
      <rPr>
        <b/>
        <sz val="10"/>
        <rFont val="Arial"/>
        <family val="2"/>
      </rPr>
      <t>)&lt;
Barrier?</t>
    </r>
  </si>
  <si>
    <t>Path
risk-neutral
probability</t>
  </si>
  <si>
    <t>Option
payoff</t>
  </si>
  <si>
    <t>All up (1 path)</t>
  </si>
  <si>
    <t>up</t>
  </si>
  <si>
    <t>One down (4 paths)</t>
  </si>
  <si>
    <t>down</t>
  </si>
  <si>
    <t>Two down (6 paths)</t>
  </si>
  <si>
    <t>Three down (4 paths)</t>
  </si>
  <si>
    <t>Four down (1 path)</t>
  </si>
  <si>
    <t>Knockin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</si>
</sst>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vertAlign val="subscript"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5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2" fontId="2" fillId="0" borderId="0" xfId="1" applyNumberFormat="1"/>
    <xf numFmtId="176" fontId="2" fillId="0" borderId="0" xfId="1" applyNumberFormat="1"/>
    <xf numFmtId="0" fontId="5" fillId="0" borderId="0" xfId="1" applyFont="1" applyAlignment="1">
      <alignment horizontal="center"/>
    </xf>
    <xf numFmtId="0" fontId="2" fillId="2" borderId="0" xfId="1" applyFill="1" applyAlignment="1">
      <alignment horizontal="center"/>
    </xf>
    <xf numFmtId="0" fontId="6" fillId="0" borderId="0" xfId="1" applyFont="1" applyAlignment="1">
      <alignment horizontal="center"/>
    </xf>
    <xf numFmtId="0" fontId="5" fillId="0" borderId="0" xfId="1" applyFont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2" fillId="0" borderId="0" xfId="1" applyAlignment="1">
      <alignment horizontal="center"/>
    </xf>
    <xf numFmtId="2" fontId="2" fillId="0" borderId="0" xfId="1" applyNumberFormat="1" applyAlignment="1">
      <alignment horizontal="center"/>
    </xf>
    <xf numFmtId="0" fontId="2" fillId="3" borderId="0" xfId="1" applyFill="1"/>
    <xf numFmtId="176" fontId="2" fillId="3" borderId="0" xfId="1" applyNumberFormat="1" applyFill="1"/>
    <xf numFmtId="0" fontId="2" fillId="2" borderId="0" xfId="1" applyFill="1" applyAlignment="1">
      <alignment horizontal="center" vertical="center" wrapText="1"/>
    </xf>
  </cellXfs>
  <cellStyles count="2">
    <cellStyle name="常规" xfId="0" builtinId="0"/>
    <cellStyle name="常规 2" xfId="1" xr:uid="{4C359F27-44DC-4CD6-9A32-5D05554BAE4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114300</xdr:colOff>
      <xdr:row>37</xdr:row>
      <xdr:rowOff>121920</xdr:rowOff>
    </xdr:from>
    <xdr:to>
      <xdr:col>13</xdr:col>
      <xdr:colOff>320040</xdr:colOff>
      <xdr:row>38</xdr:row>
      <xdr:rowOff>121920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4BB48971-244B-469A-BF27-719A6B0C4CBD}"/>
            </a:ext>
          </a:extLst>
        </xdr:cNvPr>
        <xdr:cNvSpPr>
          <a:spLocks noChangeShapeType="1"/>
        </xdr:cNvSpPr>
      </xdr:nvSpPr>
      <xdr:spPr bwMode="auto">
        <a:xfrm flipV="1">
          <a:off x="8515350" y="7086600"/>
          <a:ext cx="2095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266700</xdr:colOff>
      <xdr:row>36</xdr:row>
      <xdr:rowOff>0</xdr:rowOff>
    </xdr:from>
    <xdr:to>
      <xdr:col>14</xdr:col>
      <xdr:colOff>411480</xdr:colOff>
      <xdr:row>41</xdr:row>
      <xdr:rowOff>220980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67785580-FC67-43F3-A0D5-72528C2D658B}"/>
            </a:ext>
          </a:extLst>
        </xdr:cNvPr>
        <xdr:cNvSpPr>
          <a:spLocks noChangeShapeType="1"/>
        </xdr:cNvSpPr>
      </xdr:nvSpPr>
      <xdr:spPr bwMode="auto">
        <a:xfrm flipV="1">
          <a:off x="9401175" y="6791325"/>
          <a:ext cx="142875" cy="1419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228600</xdr:colOff>
      <xdr:row>12</xdr:row>
      <xdr:rowOff>15240</xdr:rowOff>
    </xdr:from>
    <xdr:to>
      <xdr:col>12</xdr:col>
      <xdr:colOff>114300</xdr:colOff>
      <xdr:row>16</xdr:row>
      <xdr:rowOff>22860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7D08B9C7-D9D4-4759-A25B-3D3DD44722F7}"/>
            </a:ext>
          </a:extLst>
        </xdr:cNvPr>
        <xdr:cNvSpPr>
          <a:spLocks noChangeShapeType="1"/>
        </xdr:cNvSpPr>
      </xdr:nvSpPr>
      <xdr:spPr bwMode="auto">
        <a:xfrm>
          <a:off x="6962775" y="2181225"/>
          <a:ext cx="695325" cy="1200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16</xdr:col>
      <xdr:colOff>495300</xdr:colOff>
      <xdr:row>1</xdr:row>
      <xdr:rowOff>76200</xdr:rowOff>
    </xdr:from>
    <xdr:to>
      <xdr:col>29</xdr:col>
      <xdr:colOff>207229</xdr:colOff>
      <xdr:row>45</xdr:row>
      <xdr:rowOff>168888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BCB4715C-EB9A-4926-916A-1D8A87F84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00" y="295275"/>
          <a:ext cx="10671394" cy="894331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plainvanilla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3.3barrier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.3barrier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FM,%20Second%20edition/Disk%20with%20book/Chapter%20files/Chapter%20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wo-period picture (2)"/>
      <sheetName val="Another drawing"/>
      <sheetName val="Simple--two paths"/>
      <sheetName val="Simple--two paths, for book"/>
      <sheetName val="Simple--many paths"/>
      <sheetName val="Vanilla call"/>
      <sheetName val="Multiple runs"/>
      <sheetName val="More efficient"/>
      <sheetName val="Chap16 BS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39"/>
      <sheetName val="Page 639中文"/>
      <sheetName val="Page 641"/>
      <sheetName val="Page 641中文"/>
      <sheetName val="Page 642"/>
      <sheetName val="Page 642 中文"/>
      <sheetName val="Page 644"/>
      <sheetName val="Page 644中文"/>
      <sheetName val="Page 645"/>
      <sheetName val="Page 645中文"/>
      <sheetName val="Page 646"/>
      <sheetName val="Page 646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 refreshError="1"/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>
        <row r="11">
          <cell r="B11">
            <v>6</v>
          </cell>
        </row>
        <row r="13">
          <cell r="B13" t="e">
            <v>#NAME?</v>
          </cell>
        </row>
      </sheetData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B9854-C86E-4CDD-ABBA-BE2D1EA67055}">
  <sheetPr codeName="Sheet6"/>
  <dimension ref="A1:U47"/>
  <sheetViews>
    <sheetView tabSelected="1" workbookViewId="0">
      <selection activeCell="N38" sqref="N38"/>
    </sheetView>
  </sheetViews>
  <sheetFormatPr defaultRowHeight="13.2" x14ac:dyDescent="0.25"/>
  <cols>
    <col min="1" max="1" width="25" style="2" customWidth="1"/>
    <col min="2" max="2" width="8.5546875" style="2" bestFit="1" customWidth="1"/>
    <col min="3" max="3" width="8.33203125" style="2" customWidth="1"/>
    <col min="4" max="5" width="8.88671875" style="2"/>
    <col min="6" max="6" width="2.88671875" style="2" customWidth="1"/>
    <col min="7" max="11" width="8.88671875" style="2"/>
    <col min="12" max="12" width="2.88671875" style="2" customWidth="1"/>
    <col min="13" max="13" width="12.44140625" style="2" customWidth="1"/>
    <col min="14" max="14" width="10.6640625" style="2" customWidth="1"/>
    <col min="15" max="15" width="8.88671875" style="2"/>
    <col min="16" max="16" width="3.44140625" style="2" customWidth="1"/>
    <col min="17" max="17" width="41.109375" style="2" bestFit="1" customWidth="1"/>
    <col min="18" max="18" width="21" style="2" customWidth="1"/>
    <col min="19" max="256" width="8.88671875" style="2"/>
    <col min="257" max="257" width="25" style="2" customWidth="1"/>
    <col min="258" max="258" width="8.5546875" style="2" bestFit="1" customWidth="1"/>
    <col min="259" max="259" width="8.33203125" style="2" customWidth="1"/>
    <col min="260" max="261" width="8.88671875" style="2"/>
    <col min="262" max="262" width="2.88671875" style="2" customWidth="1"/>
    <col min="263" max="267" width="8.88671875" style="2"/>
    <col min="268" max="268" width="2.88671875" style="2" customWidth="1"/>
    <col min="269" max="269" width="12.44140625" style="2" customWidth="1"/>
    <col min="270" max="270" width="10.6640625" style="2" customWidth="1"/>
    <col min="271" max="271" width="8.88671875" style="2"/>
    <col min="272" max="272" width="3.44140625" style="2" customWidth="1"/>
    <col min="273" max="273" width="41.109375" style="2" bestFit="1" customWidth="1"/>
    <col min="274" max="274" width="21" style="2" customWidth="1"/>
    <col min="275" max="512" width="8.88671875" style="2"/>
    <col min="513" max="513" width="25" style="2" customWidth="1"/>
    <col min="514" max="514" width="8.5546875" style="2" bestFit="1" customWidth="1"/>
    <col min="515" max="515" width="8.33203125" style="2" customWidth="1"/>
    <col min="516" max="517" width="8.88671875" style="2"/>
    <col min="518" max="518" width="2.88671875" style="2" customWidth="1"/>
    <col min="519" max="523" width="8.88671875" style="2"/>
    <col min="524" max="524" width="2.88671875" style="2" customWidth="1"/>
    <col min="525" max="525" width="12.44140625" style="2" customWidth="1"/>
    <col min="526" max="526" width="10.6640625" style="2" customWidth="1"/>
    <col min="527" max="527" width="8.88671875" style="2"/>
    <col min="528" max="528" width="3.44140625" style="2" customWidth="1"/>
    <col min="529" max="529" width="41.109375" style="2" bestFit="1" customWidth="1"/>
    <col min="530" max="530" width="21" style="2" customWidth="1"/>
    <col min="531" max="768" width="8.88671875" style="2"/>
    <col min="769" max="769" width="25" style="2" customWidth="1"/>
    <col min="770" max="770" width="8.5546875" style="2" bestFit="1" customWidth="1"/>
    <col min="771" max="771" width="8.33203125" style="2" customWidth="1"/>
    <col min="772" max="773" width="8.88671875" style="2"/>
    <col min="774" max="774" width="2.88671875" style="2" customWidth="1"/>
    <col min="775" max="779" width="8.88671875" style="2"/>
    <col min="780" max="780" width="2.88671875" style="2" customWidth="1"/>
    <col min="781" max="781" width="12.44140625" style="2" customWidth="1"/>
    <col min="782" max="782" width="10.6640625" style="2" customWidth="1"/>
    <col min="783" max="783" width="8.88671875" style="2"/>
    <col min="784" max="784" width="3.44140625" style="2" customWidth="1"/>
    <col min="785" max="785" width="41.109375" style="2" bestFit="1" customWidth="1"/>
    <col min="786" max="786" width="21" style="2" customWidth="1"/>
    <col min="787" max="1024" width="8.88671875" style="2"/>
    <col min="1025" max="1025" width="25" style="2" customWidth="1"/>
    <col min="1026" max="1026" width="8.5546875" style="2" bestFit="1" customWidth="1"/>
    <col min="1027" max="1027" width="8.33203125" style="2" customWidth="1"/>
    <col min="1028" max="1029" width="8.88671875" style="2"/>
    <col min="1030" max="1030" width="2.88671875" style="2" customWidth="1"/>
    <col min="1031" max="1035" width="8.88671875" style="2"/>
    <col min="1036" max="1036" width="2.88671875" style="2" customWidth="1"/>
    <col min="1037" max="1037" width="12.44140625" style="2" customWidth="1"/>
    <col min="1038" max="1038" width="10.6640625" style="2" customWidth="1"/>
    <col min="1039" max="1039" width="8.88671875" style="2"/>
    <col min="1040" max="1040" width="3.44140625" style="2" customWidth="1"/>
    <col min="1041" max="1041" width="41.109375" style="2" bestFit="1" customWidth="1"/>
    <col min="1042" max="1042" width="21" style="2" customWidth="1"/>
    <col min="1043" max="1280" width="8.88671875" style="2"/>
    <col min="1281" max="1281" width="25" style="2" customWidth="1"/>
    <col min="1282" max="1282" width="8.5546875" style="2" bestFit="1" customWidth="1"/>
    <col min="1283" max="1283" width="8.33203125" style="2" customWidth="1"/>
    <col min="1284" max="1285" width="8.88671875" style="2"/>
    <col min="1286" max="1286" width="2.88671875" style="2" customWidth="1"/>
    <col min="1287" max="1291" width="8.88671875" style="2"/>
    <col min="1292" max="1292" width="2.88671875" style="2" customWidth="1"/>
    <col min="1293" max="1293" width="12.44140625" style="2" customWidth="1"/>
    <col min="1294" max="1294" width="10.6640625" style="2" customWidth="1"/>
    <col min="1295" max="1295" width="8.88671875" style="2"/>
    <col min="1296" max="1296" width="3.44140625" style="2" customWidth="1"/>
    <col min="1297" max="1297" width="41.109375" style="2" bestFit="1" customWidth="1"/>
    <col min="1298" max="1298" width="21" style="2" customWidth="1"/>
    <col min="1299" max="1536" width="8.88671875" style="2"/>
    <col min="1537" max="1537" width="25" style="2" customWidth="1"/>
    <col min="1538" max="1538" width="8.5546875" style="2" bestFit="1" customWidth="1"/>
    <col min="1539" max="1539" width="8.33203125" style="2" customWidth="1"/>
    <col min="1540" max="1541" width="8.88671875" style="2"/>
    <col min="1542" max="1542" width="2.88671875" style="2" customWidth="1"/>
    <col min="1543" max="1547" width="8.88671875" style="2"/>
    <col min="1548" max="1548" width="2.88671875" style="2" customWidth="1"/>
    <col min="1549" max="1549" width="12.44140625" style="2" customWidth="1"/>
    <col min="1550" max="1550" width="10.6640625" style="2" customWidth="1"/>
    <col min="1551" max="1551" width="8.88671875" style="2"/>
    <col min="1552" max="1552" width="3.44140625" style="2" customWidth="1"/>
    <col min="1553" max="1553" width="41.109375" style="2" bestFit="1" customWidth="1"/>
    <col min="1554" max="1554" width="21" style="2" customWidth="1"/>
    <col min="1555" max="1792" width="8.88671875" style="2"/>
    <col min="1793" max="1793" width="25" style="2" customWidth="1"/>
    <col min="1794" max="1794" width="8.5546875" style="2" bestFit="1" customWidth="1"/>
    <col min="1795" max="1795" width="8.33203125" style="2" customWidth="1"/>
    <col min="1796" max="1797" width="8.88671875" style="2"/>
    <col min="1798" max="1798" width="2.88671875" style="2" customWidth="1"/>
    <col min="1799" max="1803" width="8.88671875" style="2"/>
    <col min="1804" max="1804" width="2.88671875" style="2" customWidth="1"/>
    <col min="1805" max="1805" width="12.44140625" style="2" customWidth="1"/>
    <col min="1806" max="1806" width="10.6640625" style="2" customWidth="1"/>
    <col min="1807" max="1807" width="8.88671875" style="2"/>
    <col min="1808" max="1808" width="3.44140625" style="2" customWidth="1"/>
    <col min="1809" max="1809" width="41.109375" style="2" bestFit="1" customWidth="1"/>
    <col min="1810" max="1810" width="21" style="2" customWidth="1"/>
    <col min="1811" max="2048" width="8.88671875" style="2"/>
    <col min="2049" max="2049" width="25" style="2" customWidth="1"/>
    <col min="2050" max="2050" width="8.5546875" style="2" bestFit="1" customWidth="1"/>
    <col min="2051" max="2051" width="8.33203125" style="2" customWidth="1"/>
    <col min="2052" max="2053" width="8.88671875" style="2"/>
    <col min="2054" max="2054" width="2.88671875" style="2" customWidth="1"/>
    <col min="2055" max="2059" width="8.88671875" style="2"/>
    <col min="2060" max="2060" width="2.88671875" style="2" customWidth="1"/>
    <col min="2061" max="2061" width="12.44140625" style="2" customWidth="1"/>
    <col min="2062" max="2062" width="10.6640625" style="2" customWidth="1"/>
    <col min="2063" max="2063" width="8.88671875" style="2"/>
    <col min="2064" max="2064" width="3.44140625" style="2" customWidth="1"/>
    <col min="2065" max="2065" width="41.109375" style="2" bestFit="1" customWidth="1"/>
    <col min="2066" max="2066" width="21" style="2" customWidth="1"/>
    <col min="2067" max="2304" width="8.88671875" style="2"/>
    <col min="2305" max="2305" width="25" style="2" customWidth="1"/>
    <col min="2306" max="2306" width="8.5546875" style="2" bestFit="1" customWidth="1"/>
    <col min="2307" max="2307" width="8.33203125" style="2" customWidth="1"/>
    <col min="2308" max="2309" width="8.88671875" style="2"/>
    <col min="2310" max="2310" width="2.88671875" style="2" customWidth="1"/>
    <col min="2311" max="2315" width="8.88671875" style="2"/>
    <col min="2316" max="2316" width="2.88671875" style="2" customWidth="1"/>
    <col min="2317" max="2317" width="12.44140625" style="2" customWidth="1"/>
    <col min="2318" max="2318" width="10.6640625" style="2" customWidth="1"/>
    <col min="2319" max="2319" width="8.88671875" style="2"/>
    <col min="2320" max="2320" width="3.44140625" style="2" customWidth="1"/>
    <col min="2321" max="2321" width="41.109375" style="2" bestFit="1" customWidth="1"/>
    <col min="2322" max="2322" width="21" style="2" customWidth="1"/>
    <col min="2323" max="2560" width="8.88671875" style="2"/>
    <col min="2561" max="2561" width="25" style="2" customWidth="1"/>
    <col min="2562" max="2562" width="8.5546875" style="2" bestFit="1" customWidth="1"/>
    <col min="2563" max="2563" width="8.33203125" style="2" customWidth="1"/>
    <col min="2564" max="2565" width="8.88671875" style="2"/>
    <col min="2566" max="2566" width="2.88671875" style="2" customWidth="1"/>
    <col min="2567" max="2571" width="8.88671875" style="2"/>
    <col min="2572" max="2572" width="2.88671875" style="2" customWidth="1"/>
    <col min="2573" max="2573" width="12.44140625" style="2" customWidth="1"/>
    <col min="2574" max="2574" width="10.6640625" style="2" customWidth="1"/>
    <col min="2575" max="2575" width="8.88671875" style="2"/>
    <col min="2576" max="2576" width="3.44140625" style="2" customWidth="1"/>
    <col min="2577" max="2577" width="41.109375" style="2" bestFit="1" customWidth="1"/>
    <col min="2578" max="2578" width="21" style="2" customWidth="1"/>
    <col min="2579" max="2816" width="8.88671875" style="2"/>
    <col min="2817" max="2817" width="25" style="2" customWidth="1"/>
    <col min="2818" max="2818" width="8.5546875" style="2" bestFit="1" customWidth="1"/>
    <col min="2819" max="2819" width="8.33203125" style="2" customWidth="1"/>
    <col min="2820" max="2821" width="8.88671875" style="2"/>
    <col min="2822" max="2822" width="2.88671875" style="2" customWidth="1"/>
    <col min="2823" max="2827" width="8.88671875" style="2"/>
    <col min="2828" max="2828" width="2.88671875" style="2" customWidth="1"/>
    <col min="2829" max="2829" width="12.44140625" style="2" customWidth="1"/>
    <col min="2830" max="2830" width="10.6640625" style="2" customWidth="1"/>
    <col min="2831" max="2831" width="8.88671875" style="2"/>
    <col min="2832" max="2832" width="3.44140625" style="2" customWidth="1"/>
    <col min="2833" max="2833" width="41.109375" style="2" bestFit="1" customWidth="1"/>
    <col min="2834" max="2834" width="21" style="2" customWidth="1"/>
    <col min="2835" max="3072" width="8.88671875" style="2"/>
    <col min="3073" max="3073" width="25" style="2" customWidth="1"/>
    <col min="3074" max="3074" width="8.5546875" style="2" bestFit="1" customWidth="1"/>
    <col min="3075" max="3075" width="8.33203125" style="2" customWidth="1"/>
    <col min="3076" max="3077" width="8.88671875" style="2"/>
    <col min="3078" max="3078" width="2.88671875" style="2" customWidth="1"/>
    <col min="3079" max="3083" width="8.88671875" style="2"/>
    <col min="3084" max="3084" width="2.88671875" style="2" customWidth="1"/>
    <col min="3085" max="3085" width="12.44140625" style="2" customWidth="1"/>
    <col min="3086" max="3086" width="10.6640625" style="2" customWidth="1"/>
    <col min="3087" max="3087" width="8.88671875" style="2"/>
    <col min="3088" max="3088" width="3.44140625" style="2" customWidth="1"/>
    <col min="3089" max="3089" width="41.109375" style="2" bestFit="1" customWidth="1"/>
    <col min="3090" max="3090" width="21" style="2" customWidth="1"/>
    <col min="3091" max="3328" width="8.88671875" style="2"/>
    <col min="3329" max="3329" width="25" style="2" customWidth="1"/>
    <col min="3330" max="3330" width="8.5546875" style="2" bestFit="1" customWidth="1"/>
    <col min="3331" max="3331" width="8.33203125" style="2" customWidth="1"/>
    <col min="3332" max="3333" width="8.88671875" style="2"/>
    <col min="3334" max="3334" width="2.88671875" style="2" customWidth="1"/>
    <col min="3335" max="3339" width="8.88671875" style="2"/>
    <col min="3340" max="3340" width="2.88671875" style="2" customWidth="1"/>
    <col min="3341" max="3341" width="12.44140625" style="2" customWidth="1"/>
    <col min="3342" max="3342" width="10.6640625" style="2" customWidth="1"/>
    <col min="3343" max="3343" width="8.88671875" style="2"/>
    <col min="3344" max="3344" width="3.44140625" style="2" customWidth="1"/>
    <col min="3345" max="3345" width="41.109375" style="2" bestFit="1" customWidth="1"/>
    <col min="3346" max="3346" width="21" style="2" customWidth="1"/>
    <col min="3347" max="3584" width="8.88671875" style="2"/>
    <col min="3585" max="3585" width="25" style="2" customWidth="1"/>
    <col min="3586" max="3586" width="8.5546875" style="2" bestFit="1" customWidth="1"/>
    <col min="3587" max="3587" width="8.33203125" style="2" customWidth="1"/>
    <col min="3588" max="3589" width="8.88671875" style="2"/>
    <col min="3590" max="3590" width="2.88671875" style="2" customWidth="1"/>
    <col min="3591" max="3595" width="8.88671875" style="2"/>
    <col min="3596" max="3596" width="2.88671875" style="2" customWidth="1"/>
    <col min="3597" max="3597" width="12.44140625" style="2" customWidth="1"/>
    <col min="3598" max="3598" width="10.6640625" style="2" customWidth="1"/>
    <col min="3599" max="3599" width="8.88671875" style="2"/>
    <col min="3600" max="3600" width="3.44140625" style="2" customWidth="1"/>
    <col min="3601" max="3601" width="41.109375" style="2" bestFit="1" customWidth="1"/>
    <col min="3602" max="3602" width="21" style="2" customWidth="1"/>
    <col min="3603" max="3840" width="8.88671875" style="2"/>
    <col min="3841" max="3841" width="25" style="2" customWidth="1"/>
    <col min="3842" max="3842" width="8.5546875" style="2" bestFit="1" customWidth="1"/>
    <col min="3843" max="3843" width="8.33203125" style="2" customWidth="1"/>
    <col min="3844" max="3845" width="8.88671875" style="2"/>
    <col min="3846" max="3846" width="2.88671875" style="2" customWidth="1"/>
    <col min="3847" max="3851" width="8.88671875" style="2"/>
    <col min="3852" max="3852" width="2.88671875" style="2" customWidth="1"/>
    <col min="3853" max="3853" width="12.44140625" style="2" customWidth="1"/>
    <col min="3854" max="3854" width="10.6640625" style="2" customWidth="1"/>
    <col min="3855" max="3855" width="8.88671875" style="2"/>
    <col min="3856" max="3856" width="3.44140625" style="2" customWidth="1"/>
    <col min="3857" max="3857" width="41.109375" style="2" bestFit="1" customWidth="1"/>
    <col min="3858" max="3858" width="21" style="2" customWidth="1"/>
    <col min="3859" max="4096" width="8.88671875" style="2"/>
    <col min="4097" max="4097" width="25" style="2" customWidth="1"/>
    <col min="4098" max="4098" width="8.5546875" style="2" bestFit="1" customWidth="1"/>
    <col min="4099" max="4099" width="8.33203125" style="2" customWidth="1"/>
    <col min="4100" max="4101" width="8.88671875" style="2"/>
    <col min="4102" max="4102" width="2.88671875" style="2" customWidth="1"/>
    <col min="4103" max="4107" width="8.88671875" style="2"/>
    <col min="4108" max="4108" width="2.88671875" style="2" customWidth="1"/>
    <col min="4109" max="4109" width="12.44140625" style="2" customWidth="1"/>
    <col min="4110" max="4110" width="10.6640625" style="2" customWidth="1"/>
    <col min="4111" max="4111" width="8.88671875" style="2"/>
    <col min="4112" max="4112" width="3.44140625" style="2" customWidth="1"/>
    <col min="4113" max="4113" width="41.109375" style="2" bestFit="1" customWidth="1"/>
    <col min="4114" max="4114" width="21" style="2" customWidth="1"/>
    <col min="4115" max="4352" width="8.88671875" style="2"/>
    <col min="4353" max="4353" width="25" style="2" customWidth="1"/>
    <col min="4354" max="4354" width="8.5546875" style="2" bestFit="1" customWidth="1"/>
    <col min="4355" max="4355" width="8.33203125" style="2" customWidth="1"/>
    <col min="4356" max="4357" width="8.88671875" style="2"/>
    <col min="4358" max="4358" width="2.88671875" style="2" customWidth="1"/>
    <col min="4359" max="4363" width="8.88671875" style="2"/>
    <col min="4364" max="4364" width="2.88671875" style="2" customWidth="1"/>
    <col min="4365" max="4365" width="12.44140625" style="2" customWidth="1"/>
    <col min="4366" max="4366" width="10.6640625" style="2" customWidth="1"/>
    <col min="4367" max="4367" width="8.88671875" style="2"/>
    <col min="4368" max="4368" width="3.44140625" style="2" customWidth="1"/>
    <col min="4369" max="4369" width="41.109375" style="2" bestFit="1" customWidth="1"/>
    <col min="4370" max="4370" width="21" style="2" customWidth="1"/>
    <col min="4371" max="4608" width="8.88671875" style="2"/>
    <col min="4609" max="4609" width="25" style="2" customWidth="1"/>
    <col min="4610" max="4610" width="8.5546875" style="2" bestFit="1" customWidth="1"/>
    <col min="4611" max="4611" width="8.33203125" style="2" customWidth="1"/>
    <col min="4612" max="4613" width="8.88671875" style="2"/>
    <col min="4614" max="4614" width="2.88671875" style="2" customWidth="1"/>
    <col min="4615" max="4619" width="8.88671875" style="2"/>
    <col min="4620" max="4620" width="2.88671875" style="2" customWidth="1"/>
    <col min="4621" max="4621" width="12.44140625" style="2" customWidth="1"/>
    <col min="4622" max="4622" width="10.6640625" style="2" customWidth="1"/>
    <col min="4623" max="4623" width="8.88671875" style="2"/>
    <col min="4624" max="4624" width="3.44140625" style="2" customWidth="1"/>
    <col min="4625" max="4625" width="41.109375" style="2" bestFit="1" customWidth="1"/>
    <col min="4626" max="4626" width="21" style="2" customWidth="1"/>
    <col min="4627" max="4864" width="8.88671875" style="2"/>
    <col min="4865" max="4865" width="25" style="2" customWidth="1"/>
    <col min="4866" max="4866" width="8.5546875" style="2" bestFit="1" customWidth="1"/>
    <col min="4867" max="4867" width="8.33203125" style="2" customWidth="1"/>
    <col min="4868" max="4869" width="8.88671875" style="2"/>
    <col min="4870" max="4870" width="2.88671875" style="2" customWidth="1"/>
    <col min="4871" max="4875" width="8.88671875" style="2"/>
    <col min="4876" max="4876" width="2.88671875" style="2" customWidth="1"/>
    <col min="4877" max="4877" width="12.44140625" style="2" customWidth="1"/>
    <col min="4878" max="4878" width="10.6640625" style="2" customWidth="1"/>
    <col min="4879" max="4879" width="8.88671875" style="2"/>
    <col min="4880" max="4880" width="3.44140625" style="2" customWidth="1"/>
    <col min="4881" max="4881" width="41.109375" style="2" bestFit="1" customWidth="1"/>
    <col min="4882" max="4882" width="21" style="2" customWidth="1"/>
    <col min="4883" max="5120" width="8.88671875" style="2"/>
    <col min="5121" max="5121" width="25" style="2" customWidth="1"/>
    <col min="5122" max="5122" width="8.5546875" style="2" bestFit="1" customWidth="1"/>
    <col min="5123" max="5123" width="8.33203125" style="2" customWidth="1"/>
    <col min="5124" max="5125" width="8.88671875" style="2"/>
    <col min="5126" max="5126" width="2.88671875" style="2" customWidth="1"/>
    <col min="5127" max="5131" width="8.88671875" style="2"/>
    <col min="5132" max="5132" width="2.88671875" style="2" customWidth="1"/>
    <col min="5133" max="5133" width="12.44140625" style="2" customWidth="1"/>
    <col min="5134" max="5134" width="10.6640625" style="2" customWidth="1"/>
    <col min="5135" max="5135" width="8.88671875" style="2"/>
    <col min="5136" max="5136" width="3.44140625" style="2" customWidth="1"/>
    <col min="5137" max="5137" width="41.109375" style="2" bestFit="1" customWidth="1"/>
    <col min="5138" max="5138" width="21" style="2" customWidth="1"/>
    <col min="5139" max="5376" width="8.88671875" style="2"/>
    <col min="5377" max="5377" width="25" style="2" customWidth="1"/>
    <col min="5378" max="5378" width="8.5546875" style="2" bestFit="1" customWidth="1"/>
    <col min="5379" max="5379" width="8.33203125" style="2" customWidth="1"/>
    <col min="5380" max="5381" width="8.88671875" style="2"/>
    <col min="5382" max="5382" width="2.88671875" style="2" customWidth="1"/>
    <col min="5383" max="5387" width="8.88671875" style="2"/>
    <col min="5388" max="5388" width="2.88671875" style="2" customWidth="1"/>
    <col min="5389" max="5389" width="12.44140625" style="2" customWidth="1"/>
    <col min="5390" max="5390" width="10.6640625" style="2" customWidth="1"/>
    <col min="5391" max="5391" width="8.88671875" style="2"/>
    <col min="5392" max="5392" width="3.44140625" style="2" customWidth="1"/>
    <col min="5393" max="5393" width="41.109375" style="2" bestFit="1" customWidth="1"/>
    <col min="5394" max="5394" width="21" style="2" customWidth="1"/>
    <col min="5395" max="5632" width="8.88671875" style="2"/>
    <col min="5633" max="5633" width="25" style="2" customWidth="1"/>
    <col min="5634" max="5634" width="8.5546875" style="2" bestFit="1" customWidth="1"/>
    <col min="5635" max="5635" width="8.33203125" style="2" customWidth="1"/>
    <col min="5636" max="5637" width="8.88671875" style="2"/>
    <col min="5638" max="5638" width="2.88671875" style="2" customWidth="1"/>
    <col min="5639" max="5643" width="8.88671875" style="2"/>
    <col min="5644" max="5644" width="2.88671875" style="2" customWidth="1"/>
    <col min="5645" max="5645" width="12.44140625" style="2" customWidth="1"/>
    <col min="5646" max="5646" width="10.6640625" style="2" customWidth="1"/>
    <col min="5647" max="5647" width="8.88671875" style="2"/>
    <col min="5648" max="5648" width="3.44140625" style="2" customWidth="1"/>
    <col min="5649" max="5649" width="41.109375" style="2" bestFit="1" customWidth="1"/>
    <col min="5650" max="5650" width="21" style="2" customWidth="1"/>
    <col min="5651" max="5888" width="8.88671875" style="2"/>
    <col min="5889" max="5889" width="25" style="2" customWidth="1"/>
    <col min="5890" max="5890" width="8.5546875" style="2" bestFit="1" customWidth="1"/>
    <col min="5891" max="5891" width="8.33203125" style="2" customWidth="1"/>
    <col min="5892" max="5893" width="8.88671875" style="2"/>
    <col min="5894" max="5894" width="2.88671875" style="2" customWidth="1"/>
    <col min="5895" max="5899" width="8.88671875" style="2"/>
    <col min="5900" max="5900" width="2.88671875" style="2" customWidth="1"/>
    <col min="5901" max="5901" width="12.44140625" style="2" customWidth="1"/>
    <col min="5902" max="5902" width="10.6640625" style="2" customWidth="1"/>
    <col min="5903" max="5903" width="8.88671875" style="2"/>
    <col min="5904" max="5904" width="3.44140625" style="2" customWidth="1"/>
    <col min="5905" max="5905" width="41.109375" style="2" bestFit="1" customWidth="1"/>
    <col min="5906" max="5906" width="21" style="2" customWidth="1"/>
    <col min="5907" max="6144" width="8.88671875" style="2"/>
    <col min="6145" max="6145" width="25" style="2" customWidth="1"/>
    <col min="6146" max="6146" width="8.5546875" style="2" bestFit="1" customWidth="1"/>
    <col min="6147" max="6147" width="8.33203125" style="2" customWidth="1"/>
    <col min="6148" max="6149" width="8.88671875" style="2"/>
    <col min="6150" max="6150" width="2.88671875" style="2" customWidth="1"/>
    <col min="6151" max="6155" width="8.88671875" style="2"/>
    <col min="6156" max="6156" width="2.88671875" style="2" customWidth="1"/>
    <col min="6157" max="6157" width="12.44140625" style="2" customWidth="1"/>
    <col min="6158" max="6158" width="10.6640625" style="2" customWidth="1"/>
    <col min="6159" max="6159" width="8.88671875" style="2"/>
    <col min="6160" max="6160" width="3.44140625" style="2" customWidth="1"/>
    <col min="6161" max="6161" width="41.109375" style="2" bestFit="1" customWidth="1"/>
    <col min="6162" max="6162" width="21" style="2" customWidth="1"/>
    <col min="6163" max="6400" width="8.88671875" style="2"/>
    <col min="6401" max="6401" width="25" style="2" customWidth="1"/>
    <col min="6402" max="6402" width="8.5546875" style="2" bestFit="1" customWidth="1"/>
    <col min="6403" max="6403" width="8.33203125" style="2" customWidth="1"/>
    <col min="6404" max="6405" width="8.88671875" style="2"/>
    <col min="6406" max="6406" width="2.88671875" style="2" customWidth="1"/>
    <col min="6407" max="6411" width="8.88671875" style="2"/>
    <col min="6412" max="6412" width="2.88671875" style="2" customWidth="1"/>
    <col min="6413" max="6413" width="12.44140625" style="2" customWidth="1"/>
    <col min="6414" max="6414" width="10.6640625" style="2" customWidth="1"/>
    <col min="6415" max="6415" width="8.88671875" style="2"/>
    <col min="6416" max="6416" width="3.44140625" style="2" customWidth="1"/>
    <col min="6417" max="6417" width="41.109375" style="2" bestFit="1" customWidth="1"/>
    <col min="6418" max="6418" width="21" style="2" customWidth="1"/>
    <col min="6419" max="6656" width="8.88671875" style="2"/>
    <col min="6657" max="6657" width="25" style="2" customWidth="1"/>
    <col min="6658" max="6658" width="8.5546875" style="2" bestFit="1" customWidth="1"/>
    <col min="6659" max="6659" width="8.33203125" style="2" customWidth="1"/>
    <col min="6660" max="6661" width="8.88671875" style="2"/>
    <col min="6662" max="6662" width="2.88671875" style="2" customWidth="1"/>
    <col min="6663" max="6667" width="8.88671875" style="2"/>
    <col min="6668" max="6668" width="2.88671875" style="2" customWidth="1"/>
    <col min="6669" max="6669" width="12.44140625" style="2" customWidth="1"/>
    <col min="6670" max="6670" width="10.6640625" style="2" customWidth="1"/>
    <col min="6671" max="6671" width="8.88671875" style="2"/>
    <col min="6672" max="6672" width="3.44140625" style="2" customWidth="1"/>
    <col min="6673" max="6673" width="41.109375" style="2" bestFit="1" customWidth="1"/>
    <col min="6674" max="6674" width="21" style="2" customWidth="1"/>
    <col min="6675" max="6912" width="8.88671875" style="2"/>
    <col min="6913" max="6913" width="25" style="2" customWidth="1"/>
    <col min="6914" max="6914" width="8.5546875" style="2" bestFit="1" customWidth="1"/>
    <col min="6915" max="6915" width="8.33203125" style="2" customWidth="1"/>
    <col min="6916" max="6917" width="8.88671875" style="2"/>
    <col min="6918" max="6918" width="2.88671875" style="2" customWidth="1"/>
    <col min="6919" max="6923" width="8.88671875" style="2"/>
    <col min="6924" max="6924" width="2.88671875" style="2" customWidth="1"/>
    <col min="6925" max="6925" width="12.44140625" style="2" customWidth="1"/>
    <col min="6926" max="6926" width="10.6640625" style="2" customWidth="1"/>
    <col min="6927" max="6927" width="8.88671875" style="2"/>
    <col min="6928" max="6928" width="3.44140625" style="2" customWidth="1"/>
    <col min="6929" max="6929" width="41.109375" style="2" bestFit="1" customWidth="1"/>
    <col min="6930" max="6930" width="21" style="2" customWidth="1"/>
    <col min="6931" max="7168" width="8.88671875" style="2"/>
    <col min="7169" max="7169" width="25" style="2" customWidth="1"/>
    <col min="7170" max="7170" width="8.5546875" style="2" bestFit="1" customWidth="1"/>
    <col min="7171" max="7171" width="8.33203125" style="2" customWidth="1"/>
    <col min="7172" max="7173" width="8.88671875" style="2"/>
    <col min="7174" max="7174" width="2.88671875" style="2" customWidth="1"/>
    <col min="7175" max="7179" width="8.88671875" style="2"/>
    <col min="7180" max="7180" width="2.88671875" style="2" customWidth="1"/>
    <col min="7181" max="7181" width="12.44140625" style="2" customWidth="1"/>
    <col min="7182" max="7182" width="10.6640625" style="2" customWidth="1"/>
    <col min="7183" max="7183" width="8.88671875" style="2"/>
    <col min="7184" max="7184" width="3.44140625" style="2" customWidth="1"/>
    <col min="7185" max="7185" width="41.109375" style="2" bestFit="1" customWidth="1"/>
    <col min="7186" max="7186" width="21" style="2" customWidth="1"/>
    <col min="7187" max="7424" width="8.88671875" style="2"/>
    <col min="7425" max="7425" width="25" style="2" customWidth="1"/>
    <col min="7426" max="7426" width="8.5546875" style="2" bestFit="1" customWidth="1"/>
    <col min="7427" max="7427" width="8.33203125" style="2" customWidth="1"/>
    <col min="7428" max="7429" width="8.88671875" style="2"/>
    <col min="7430" max="7430" width="2.88671875" style="2" customWidth="1"/>
    <col min="7431" max="7435" width="8.88671875" style="2"/>
    <col min="7436" max="7436" width="2.88671875" style="2" customWidth="1"/>
    <col min="7437" max="7437" width="12.44140625" style="2" customWidth="1"/>
    <col min="7438" max="7438" width="10.6640625" style="2" customWidth="1"/>
    <col min="7439" max="7439" width="8.88671875" style="2"/>
    <col min="7440" max="7440" width="3.44140625" style="2" customWidth="1"/>
    <col min="7441" max="7441" width="41.109375" style="2" bestFit="1" customWidth="1"/>
    <col min="7442" max="7442" width="21" style="2" customWidth="1"/>
    <col min="7443" max="7680" width="8.88671875" style="2"/>
    <col min="7681" max="7681" width="25" style="2" customWidth="1"/>
    <col min="7682" max="7682" width="8.5546875" style="2" bestFit="1" customWidth="1"/>
    <col min="7683" max="7683" width="8.33203125" style="2" customWidth="1"/>
    <col min="7684" max="7685" width="8.88671875" style="2"/>
    <col min="7686" max="7686" width="2.88671875" style="2" customWidth="1"/>
    <col min="7687" max="7691" width="8.88671875" style="2"/>
    <col min="7692" max="7692" width="2.88671875" style="2" customWidth="1"/>
    <col min="7693" max="7693" width="12.44140625" style="2" customWidth="1"/>
    <col min="7694" max="7694" width="10.6640625" style="2" customWidth="1"/>
    <col min="7695" max="7695" width="8.88671875" style="2"/>
    <col min="7696" max="7696" width="3.44140625" style="2" customWidth="1"/>
    <col min="7697" max="7697" width="41.109375" style="2" bestFit="1" customWidth="1"/>
    <col min="7698" max="7698" width="21" style="2" customWidth="1"/>
    <col min="7699" max="7936" width="8.88671875" style="2"/>
    <col min="7937" max="7937" width="25" style="2" customWidth="1"/>
    <col min="7938" max="7938" width="8.5546875" style="2" bestFit="1" customWidth="1"/>
    <col min="7939" max="7939" width="8.33203125" style="2" customWidth="1"/>
    <col min="7940" max="7941" width="8.88671875" style="2"/>
    <col min="7942" max="7942" width="2.88671875" style="2" customWidth="1"/>
    <col min="7943" max="7947" width="8.88671875" style="2"/>
    <col min="7948" max="7948" width="2.88671875" style="2" customWidth="1"/>
    <col min="7949" max="7949" width="12.44140625" style="2" customWidth="1"/>
    <col min="7950" max="7950" width="10.6640625" style="2" customWidth="1"/>
    <col min="7951" max="7951" width="8.88671875" style="2"/>
    <col min="7952" max="7952" width="3.44140625" style="2" customWidth="1"/>
    <col min="7953" max="7953" width="41.109375" style="2" bestFit="1" customWidth="1"/>
    <col min="7954" max="7954" width="21" style="2" customWidth="1"/>
    <col min="7955" max="8192" width="8.88671875" style="2"/>
    <col min="8193" max="8193" width="25" style="2" customWidth="1"/>
    <col min="8194" max="8194" width="8.5546875" style="2" bestFit="1" customWidth="1"/>
    <col min="8195" max="8195" width="8.33203125" style="2" customWidth="1"/>
    <col min="8196" max="8197" width="8.88671875" style="2"/>
    <col min="8198" max="8198" width="2.88671875" style="2" customWidth="1"/>
    <col min="8199" max="8203" width="8.88671875" style="2"/>
    <col min="8204" max="8204" width="2.88671875" style="2" customWidth="1"/>
    <col min="8205" max="8205" width="12.44140625" style="2" customWidth="1"/>
    <col min="8206" max="8206" width="10.6640625" style="2" customWidth="1"/>
    <col min="8207" max="8207" width="8.88671875" style="2"/>
    <col min="8208" max="8208" width="3.44140625" style="2" customWidth="1"/>
    <col min="8209" max="8209" width="41.109375" style="2" bestFit="1" customWidth="1"/>
    <col min="8210" max="8210" width="21" style="2" customWidth="1"/>
    <col min="8211" max="8448" width="8.88671875" style="2"/>
    <col min="8449" max="8449" width="25" style="2" customWidth="1"/>
    <col min="8450" max="8450" width="8.5546875" style="2" bestFit="1" customWidth="1"/>
    <col min="8451" max="8451" width="8.33203125" style="2" customWidth="1"/>
    <col min="8452" max="8453" width="8.88671875" style="2"/>
    <col min="8454" max="8454" width="2.88671875" style="2" customWidth="1"/>
    <col min="8455" max="8459" width="8.88671875" style="2"/>
    <col min="8460" max="8460" width="2.88671875" style="2" customWidth="1"/>
    <col min="8461" max="8461" width="12.44140625" style="2" customWidth="1"/>
    <col min="8462" max="8462" width="10.6640625" style="2" customWidth="1"/>
    <col min="8463" max="8463" width="8.88671875" style="2"/>
    <col min="8464" max="8464" width="3.44140625" style="2" customWidth="1"/>
    <col min="8465" max="8465" width="41.109375" style="2" bestFit="1" customWidth="1"/>
    <col min="8466" max="8466" width="21" style="2" customWidth="1"/>
    <col min="8467" max="8704" width="8.88671875" style="2"/>
    <col min="8705" max="8705" width="25" style="2" customWidth="1"/>
    <col min="8706" max="8706" width="8.5546875" style="2" bestFit="1" customWidth="1"/>
    <col min="8707" max="8707" width="8.33203125" style="2" customWidth="1"/>
    <col min="8708" max="8709" width="8.88671875" style="2"/>
    <col min="8710" max="8710" width="2.88671875" style="2" customWidth="1"/>
    <col min="8711" max="8715" width="8.88671875" style="2"/>
    <col min="8716" max="8716" width="2.88671875" style="2" customWidth="1"/>
    <col min="8717" max="8717" width="12.44140625" style="2" customWidth="1"/>
    <col min="8718" max="8718" width="10.6640625" style="2" customWidth="1"/>
    <col min="8719" max="8719" width="8.88671875" style="2"/>
    <col min="8720" max="8720" width="3.44140625" style="2" customWidth="1"/>
    <col min="8721" max="8721" width="41.109375" style="2" bestFit="1" customWidth="1"/>
    <col min="8722" max="8722" width="21" style="2" customWidth="1"/>
    <col min="8723" max="8960" width="8.88671875" style="2"/>
    <col min="8961" max="8961" width="25" style="2" customWidth="1"/>
    <col min="8962" max="8962" width="8.5546875" style="2" bestFit="1" customWidth="1"/>
    <col min="8963" max="8963" width="8.33203125" style="2" customWidth="1"/>
    <col min="8964" max="8965" width="8.88671875" style="2"/>
    <col min="8966" max="8966" width="2.88671875" style="2" customWidth="1"/>
    <col min="8967" max="8971" width="8.88671875" style="2"/>
    <col min="8972" max="8972" width="2.88671875" style="2" customWidth="1"/>
    <col min="8973" max="8973" width="12.44140625" style="2" customWidth="1"/>
    <col min="8974" max="8974" width="10.6640625" style="2" customWidth="1"/>
    <col min="8975" max="8975" width="8.88671875" style="2"/>
    <col min="8976" max="8976" width="3.44140625" style="2" customWidth="1"/>
    <col min="8977" max="8977" width="41.109375" style="2" bestFit="1" customWidth="1"/>
    <col min="8978" max="8978" width="21" style="2" customWidth="1"/>
    <col min="8979" max="9216" width="8.88671875" style="2"/>
    <col min="9217" max="9217" width="25" style="2" customWidth="1"/>
    <col min="9218" max="9218" width="8.5546875" style="2" bestFit="1" customWidth="1"/>
    <col min="9219" max="9219" width="8.33203125" style="2" customWidth="1"/>
    <col min="9220" max="9221" width="8.88671875" style="2"/>
    <col min="9222" max="9222" width="2.88671875" style="2" customWidth="1"/>
    <col min="9223" max="9227" width="8.88671875" style="2"/>
    <col min="9228" max="9228" width="2.88671875" style="2" customWidth="1"/>
    <col min="9229" max="9229" width="12.44140625" style="2" customWidth="1"/>
    <col min="9230" max="9230" width="10.6640625" style="2" customWidth="1"/>
    <col min="9231" max="9231" width="8.88671875" style="2"/>
    <col min="9232" max="9232" width="3.44140625" style="2" customWidth="1"/>
    <col min="9233" max="9233" width="41.109375" style="2" bestFit="1" customWidth="1"/>
    <col min="9234" max="9234" width="21" style="2" customWidth="1"/>
    <col min="9235" max="9472" width="8.88671875" style="2"/>
    <col min="9473" max="9473" width="25" style="2" customWidth="1"/>
    <col min="9474" max="9474" width="8.5546875" style="2" bestFit="1" customWidth="1"/>
    <col min="9475" max="9475" width="8.33203125" style="2" customWidth="1"/>
    <col min="9476" max="9477" width="8.88671875" style="2"/>
    <col min="9478" max="9478" width="2.88671875" style="2" customWidth="1"/>
    <col min="9479" max="9483" width="8.88671875" style="2"/>
    <col min="9484" max="9484" width="2.88671875" style="2" customWidth="1"/>
    <col min="9485" max="9485" width="12.44140625" style="2" customWidth="1"/>
    <col min="9486" max="9486" width="10.6640625" style="2" customWidth="1"/>
    <col min="9487" max="9487" width="8.88671875" style="2"/>
    <col min="9488" max="9488" width="3.44140625" style="2" customWidth="1"/>
    <col min="9489" max="9489" width="41.109375" style="2" bestFit="1" customWidth="1"/>
    <col min="9490" max="9490" width="21" style="2" customWidth="1"/>
    <col min="9491" max="9728" width="8.88671875" style="2"/>
    <col min="9729" max="9729" width="25" style="2" customWidth="1"/>
    <col min="9730" max="9730" width="8.5546875" style="2" bestFit="1" customWidth="1"/>
    <col min="9731" max="9731" width="8.33203125" style="2" customWidth="1"/>
    <col min="9732" max="9733" width="8.88671875" style="2"/>
    <col min="9734" max="9734" width="2.88671875" style="2" customWidth="1"/>
    <col min="9735" max="9739" width="8.88671875" style="2"/>
    <col min="9740" max="9740" width="2.88671875" style="2" customWidth="1"/>
    <col min="9741" max="9741" width="12.44140625" style="2" customWidth="1"/>
    <col min="9742" max="9742" width="10.6640625" style="2" customWidth="1"/>
    <col min="9743" max="9743" width="8.88671875" style="2"/>
    <col min="9744" max="9744" width="3.44140625" style="2" customWidth="1"/>
    <col min="9745" max="9745" width="41.109375" style="2" bestFit="1" customWidth="1"/>
    <col min="9746" max="9746" width="21" style="2" customWidth="1"/>
    <col min="9747" max="9984" width="8.88671875" style="2"/>
    <col min="9985" max="9985" width="25" style="2" customWidth="1"/>
    <col min="9986" max="9986" width="8.5546875" style="2" bestFit="1" customWidth="1"/>
    <col min="9987" max="9987" width="8.33203125" style="2" customWidth="1"/>
    <col min="9988" max="9989" width="8.88671875" style="2"/>
    <col min="9990" max="9990" width="2.88671875" style="2" customWidth="1"/>
    <col min="9991" max="9995" width="8.88671875" style="2"/>
    <col min="9996" max="9996" width="2.88671875" style="2" customWidth="1"/>
    <col min="9997" max="9997" width="12.44140625" style="2" customWidth="1"/>
    <col min="9998" max="9998" width="10.6640625" style="2" customWidth="1"/>
    <col min="9999" max="9999" width="8.88671875" style="2"/>
    <col min="10000" max="10000" width="3.44140625" style="2" customWidth="1"/>
    <col min="10001" max="10001" width="41.109375" style="2" bestFit="1" customWidth="1"/>
    <col min="10002" max="10002" width="21" style="2" customWidth="1"/>
    <col min="10003" max="10240" width="8.88671875" style="2"/>
    <col min="10241" max="10241" width="25" style="2" customWidth="1"/>
    <col min="10242" max="10242" width="8.5546875" style="2" bestFit="1" customWidth="1"/>
    <col min="10243" max="10243" width="8.33203125" style="2" customWidth="1"/>
    <col min="10244" max="10245" width="8.88671875" style="2"/>
    <col min="10246" max="10246" width="2.88671875" style="2" customWidth="1"/>
    <col min="10247" max="10251" width="8.88671875" style="2"/>
    <col min="10252" max="10252" width="2.88671875" style="2" customWidth="1"/>
    <col min="10253" max="10253" width="12.44140625" style="2" customWidth="1"/>
    <col min="10254" max="10254" width="10.6640625" style="2" customWidth="1"/>
    <col min="10255" max="10255" width="8.88671875" style="2"/>
    <col min="10256" max="10256" width="3.44140625" style="2" customWidth="1"/>
    <col min="10257" max="10257" width="41.109375" style="2" bestFit="1" customWidth="1"/>
    <col min="10258" max="10258" width="21" style="2" customWidth="1"/>
    <col min="10259" max="10496" width="8.88671875" style="2"/>
    <col min="10497" max="10497" width="25" style="2" customWidth="1"/>
    <col min="10498" max="10498" width="8.5546875" style="2" bestFit="1" customWidth="1"/>
    <col min="10499" max="10499" width="8.33203125" style="2" customWidth="1"/>
    <col min="10500" max="10501" width="8.88671875" style="2"/>
    <col min="10502" max="10502" width="2.88671875" style="2" customWidth="1"/>
    <col min="10503" max="10507" width="8.88671875" style="2"/>
    <col min="10508" max="10508" width="2.88671875" style="2" customWidth="1"/>
    <col min="10509" max="10509" width="12.44140625" style="2" customWidth="1"/>
    <col min="10510" max="10510" width="10.6640625" style="2" customWidth="1"/>
    <col min="10511" max="10511" width="8.88671875" style="2"/>
    <col min="10512" max="10512" width="3.44140625" style="2" customWidth="1"/>
    <col min="10513" max="10513" width="41.109375" style="2" bestFit="1" customWidth="1"/>
    <col min="10514" max="10514" width="21" style="2" customWidth="1"/>
    <col min="10515" max="10752" width="8.88671875" style="2"/>
    <col min="10753" max="10753" width="25" style="2" customWidth="1"/>
    <col min="10754" max="10754" width="8.5546875" style="2" bestFit="1" customWidth="1"/>
    <col min="10755" max="10755" width="8.33203125" style="2" customWidth="1"/>
    <col min="10756" max="10757" width="8.88671875" style="2"/>
    <col min="10758" max="10758" width="2.88671875" style="2" customWidth="1"/>
    <col min="10759" max="10763" width="8.88671875" style="2"/>
    <col min="10764" max="10764" width="2.88671875" style="2" customWidth="1"/>
    <col min="10765" max="10765" width="12.44140625" style="2" customWidth="1"/>
    <col min="10766" max="10766" width="10.6640625" style="2" customWidth="1"/>
    <col min="10767" max="10767" width="8.88671875" style="2"/>
    <col min="10768" max="10768" width="3.44140625" style="2" customWidth="1"/>
    <col min="10769" max="10769" width="41.109375" style="2" bestFit="1" customWidth="1"/>
    <col min="10770" max="10770" width="21" style="2" customWidth="1"/>
    <col min="10771" max="11008" width="8.88671875" style="2"/>
    <col min="11009" max="11009" width="25" style="2" customWidth="1"/>
    <col min="11010" max="11010" width="8.5546875" style="2" bestFit="1" customWidth="1"/>
    <col min="11011" max="11011" width="8.33203125" style="2" customWidth="1"/>
    <col min="11012" max="11013" width="8.88671875" style="2"/>
    <col min="11014" max="11014" width="2.88671875" style="2" customWidth="1"/>
    <col min="11015" max="11019" width="8.88671875" style="2"/>
    <col min="11020" max="11020" width="2.88671875" style="2" customWidth="1"/>
    <col min="11021" max="11021" width="12.44140625" style="2" customWidth="1"/>
    <col min="11022" max="11022" width="10.6640625" style="2" customWidth="1"/>
    <col min="11023" max="11023" width="8.88671875" style="2"/>
    <col min="11024" max="11024" width="3.44140625" style="2" customWidth="1"/>
    <col min="11025" max="11025" width="41.109375" style="2" bestFit="1" customWidth="1"/>
    <col min="11026" max="11026" width="21" style="2" customWidth="1"/>
    <col min="11027" max="11264" width="8.88671875" style="2"/>
    <col min="11265" max="11265" width="25" style="2" customWidth="1"/>
    <col min="11266" max="11266" width="8.5546875" style="2" bestFit="1" customWidth="1"/>
    <col min="11267" max="11267" width="8.33203125" style="2" customWidth="1"/>
    <col min="11268" max="11269" width="8.88671875" style="2"/>
    <col min="11270" max="11270" width="2.88671875" style="2" customWidth="1"/>
    <col min="11271" max="11275" width="8.88671875" style="2"/>
    <col min="11276" max="11276" width="2.88671875" style="2" customWidth="1"/>
    <col min="11277" max="11277" width="12.44140625" style="2" customWidth="1"/>
    <col min="11278" max="11278" width="10.6640625" style="2" customWidth="1"/>
    <col min="11279" max="11279" width="8.88671875" style="2"/>
    <col min="11280" max="11280" width="3.44140625" style="2" customWidth="1"/>
    <col min="11281" max="11281" width="41.109375" style="2" bestFit="1" customWidth="1"/>
    <col min="11282" max="11282" width="21" style="2" customWidth="1"/>
    <col min="11283" max="11520" width="8.88671875" style="2"/>
    <col min="11521" max="11521" width="25" style="2" customWidth="1"/>
    <col min="11522" max="11522" width="8.5546875" style="2" bestFit="1" customWidth="1"/>
    <col min="11523" max="11523" width="8.33203125" style="2" customWidth="1"/>
    <col min="11524" max="11525" width="8.88671875" style="2"/>
    <col min="11526" max="11526" width="2.88671875" style="2" customWidth="1"/>
    <col min="11527" max="11531" width="8.88671875" style="2"/>
    <col min="11532" max="11532" width="2.88671875" style="2" customWidth="1"/>
    <col min="11533" max="11533" width="12.44140625" style="2" customWidth="1"/>
    <col min="11534" max="11534" width="10.6640625" style="2" customWidth="1"/>
    <col min="11535" max="11535" width="8.88671875" style="2"/>
    <col min="11536" max="11536" width="3.44140625" style="2" customWidth="1"/>
    <col min="11537" max="11537" width="41.109375" style="2" bestFit="1" customWidth="1"/>
    <col min="11538" max="11538" width="21" style="2" customWidth="1"/>
    <col min="11539" max="11776" width="8.88671875" style="2"/>
    <col min="11777" max="11777" width="25" style="2" customWidth="1"/>
    <col min="11778" max="11778" width="8.5546875" style="2" bestFit="1" customWidth="1"/>
    <col min="11779" max="11779" width="8.33203125" style="2" customWidth="1"/>
    <col min="11780" max="11781" width="8.88671875" style="2"/>
    <col min="11782" max="11782" width="2.88671875" style="2" customWidth="1"/>
    <col min="11783" max="11787" width="8.88671875" style="2"/>
    <col min="11788" max="11788" width="2.88671875" style="2" customWidth="1"/>
    <col min="11789" max="11789" width="12.44140625" style="2" customWidth="1"/>
    <col min="11790" max="11790" width="10.6640625" style="2" customWidth="1"/>
    <col min="11791" max="11791" width="8.88671875" style="2"/>
    <col min="11792" max="11792" width="3.44140625" style="2" customWidth="1"/>
    <col min="11793" max="11793" width="41.109375" style="2" bestFit="1" customWidth="1"/>
    <col min="11794" max="11794" width="21" style="2" customWidth="1"/>
    <col min="11795" max="12032" width="8.88671875" style="2"/>
    <col min="12033" max="12033" width="25" style="2" customWidth="1"/>
    <col min="12034" max="12034" width="8.5546875" style="2" bestFit="1" customWidth="1"/>
    <col min="12035" max="12035" width="8.33203125" style="2" customWidth="1"/>
    <col min="12036" max="12037" width="8.88671875" style="2"/>
    <col min="12038" max="12038" width="2.88671875" style="2" customWidth="1"/>
    <col min="12039" max="12043" width="8.88671875" style="2"/>
    <col min="12044" max="12044" width="2.88671875" style="2" customWidth="1"/>
    <col min="12045" max="12045" width="12.44140625" style="2" customWidth="1"/>
    <col min="12046" max="12046" width="10.6640625" style="2" customWidth="1"/>
    <col min="12047" max="12047" width="8.88671875" style="2"/>
    <col min="12048" max="12048" width="3.44140625" style="2" customWidth="1"/>
    <col min="12049" max="12049" width="41.109375" style="2" bestFit="1" customWidth="1"/>
    <col min="12050" max="12050" width="21" style="2" customWidth="1"/>
    <col min="12051" max="12288" width="8.88671875" style="2"/>
    <col min="12289" max="12289" width="25" style="2" customWidth="1"/>
    <col min="12290" max="12290" width="8.5546875" style="2" bestFit="1" customWidth="1"/>
    <col min="12291" max="12291" width="8.33203125" style="2" customWidth="1"/>
    <col min="12292" max="12293" width="8.88671875" style="2"/>
    <col min="12294" max="12294" width="2.88671875" style="2" customWidth="1"/>
    <col min="12295" max="12299" width="8.88671875" style="2"/>
    <col min="12300" max="12300" width="2.88671875" style="2" customWidth="1"/>
    <col min="12301" max="12301" width="12.44140625" style="2" customWidth="1"/>
    <col min="12302" max="12302" width="10.6640625" style="2" customWidth="1"/>
    <col min="12303" max="12303" width="8.88671875" style="2"/>
    <col min="12304" max="12304" width="3.44140625" style="2" customWidth="1"/>
    <col min="12305" max="12305" width="41.109375" style="2" bestFit="1" customWidth="1"/>
    <col min="12306" max="12306" width="21" style="2" customWidth="1"/>
    <col min="12307" max="12544" width="8.88671875" style="2"/>
    <col min="12545" max="12545" width="25" style="2" customWidth="1"/>
    <col min="12546" max="12546" width="8.5546875" style="2" bestFit="1" customWidth="1"/>
    <col min="12547" max="12547" width="8.33203125" style="2" customWidth="1"/>
    <col min="12548" max="12549" width="8.88671875" style="2"/>
    <col min="12550" max="12550" width="2.88671875" style="2" customWidth="1"/>
    <col min="12551" max="12555" width="8.88671875" style="2"/>
    <col min="12556" max="12556" width="2.88671875" style="2" customWidth="1"/>
    <col min="12557" max="12557" width="12.44140625" style="2" customWidth="1"/>
    <col min="12558" max="12558" width="10.6640625" style="2" customWidth="1"/>
    <col min="12559" max="12559" width="8.88671875" style="2"/>
    <col min="12560" max="12560" width="3.44140625" style="2" customWidth="1"/>
    <col min="12561" max="12561" width="41.109375" style="2" bestFit="1" customWidth="1"/>
    <col min="12562" max="12562" width="21" style="2" customWidth="1"/>
    <col min="12563" max="12800" width="8.88671875" style="2"/>
    <col min="12801" max="12801" width="25" style="2" customWidth="1"/>
    <col min="12802" max="12802" width="8.5546875" style="2" bestFit="1" customWidth="1"/>
    <col min="12803" max="12803" width="8.33203125" style="2" customWidth="1"/>
    <col min="12804" max="12805" width="8.88671875" style="2"/>
    <col min="12806" max="12806" width="2.88671875" style="2" customWidth="1"/>
    <col min="12807" max="12811" width="8.88671875" style="2"/>
    <col min="12812" max="12812" width="2.88671875" style="2" customWidth="1"/>
    <col min="12813" max="12813" width="12.44140625" style="2" customWidth="1"/>
    <col min="12814" max="12814" width="10.6640625" style="2" customWidth="1"/>
    <col min="12815" max="12815" width="8.88671875" style="2"/>
    <col min="12816" max="12816" width="3.44140625" style="2" customWidth="1"/>
    <col min="12817" max="12817" width="41.109375" style="2" bestFit="1" customWidth="1"/>
    <col min="12818" max="12818" width="21" style="2" customWidth="1"/>
    <col min="12819" max="13056" width="8.88671875" style="2"/>
    <col min="13057" max="13057" width="25" style="2" customWidth="1"/>
    <col min="13058" max="13058" width="8.5546875" style="2" bestFit="1" customWidth="1"/>
    <col min="13059" max="13059" width="8.33203125" style="2" customWidth="1"/>
    <col min="13060" max="13061" width="8.88671875" style="2"/>
    <col min="13062" max="13062" width="2.88671875" style="2" customWidth="1"/>
    <col min="13063" max="13067" width="8.88671875" style="2"/>
    <col min="13068" max="13068" width="2.88671875" style="2" customWidth="1"/>
    <col min="13069" max="13069" width="12.44140625" style="2" customWidth="1"/>
    <col min="13070" max="13070" width="10.6640625" style="2" customWidth="1"/>
    <col min="13071" max="13071" width="8.88671875" style="2"/>
    <col min="13072" max="13072" width="3.44140625" style="2" customWidth="1"/>
    <col min="13073" max="13073" width="41.109375" style="2" bestFit="1" customWidth="1"/>
    <col min="13074" max="13074" width="21" style="2" customWidth="1"/>
    <col min="13075" max="13312" width="8.88671875" style="2"/>
    <col min="13313" max="13313" width="25" style="2" customWidth="1"/>
    <col min="13314" max="13314" width="8.5546875" style="2" bestFit="1" customWidth="1"/>
    <col min="13315" max="13315" width="8.33203125" style="2" customWidth="1"/>
    <col min="13316" max="13317" width="8.88671875" style="2"/>
    <col min="13318" max="13318" width="2.88671875" style="2" customWidth="1"/>
    <col min="13319" max="13323" width="8.88671875" style="2"/>
    <col min="13324" max="13324" width="2.88671875" style="2" customWidth="1"/>
    <col min="13325" max="13325" width="12.44140625" style="2" customWidth="1"/>
    <col min="13326" max="13326" width="10.6640625" style="2" customWidth="1"/>
    <col min="13327" max="13327" width="8.88671875" style="2"/>
    <col min="13328" max="13328" width="3.44140625" style="2" customWidth="1"/>
    <col min="13329" max="13329" width="41.109375" style="2" bestFit="1" customWidth="1"/>
    <col min="13330" max="13330" width="21" style="2" customWidth="1"/>
    <col min="13331" max="13568" width="8.88671875" style="2"/>
    <col min="13569" max="13569" width="25" style="2" customWidth="1"/>
    <col min="13570" max="13570" width="8.5546875" style="2" bestFit="1" customWidth="1"/>
    <col min="13571" max="13571" width="8.33203125" style="2" customWidth="1"/>
    <col min="13572" max="13573" width="8.88671875" style="2"/>
    <col min="13574" max="13574" width="2.88671875" style="2" customWidth="1"/>
    <col min="13575" max="13579" width="8.88671875" style="2"/>
    <col min="13580" max="13580" width="2.88671875" style="2" customWidth="1"/>
    <col min="13581" max="13581" width="12.44140625" style="2" customWidth="1"/>
    <col min="13582" max="13582" width="10.6640625" style="2" customWidth="1"/>
    <col min="13583" max="13583" width="8.88671875" style="2"/>
    <col min="13584" max="13584" width="3.44140625" style="2" customWidth="1"/>
    <col min="13585" max="13585" width="41.109375" style="2" bestFit="1" customWidth="1"/>
    <col min="13586" max="13586" width="21" style="2" customWidth="1"/>
    <col min="13587" max="13824" width="8.88671875" style="2"/>
    <col min="13825" max="13825" width="25" style="2" customWidth="1"/>
    <col min="13826" max="13826" width="8.5546875" style="2" bestFit="1" customWidth="1"/>
    <col min="13827" max="13827" width="8.33203125" style="2" customWidth="1"/>
    <col min="13828" max="13829" width="8.88671875" style="2"/>
    <col min="13830" max="13830" width="2.88671875" style="2" customWidth="1"/>
    <col min="13831" max="13835" width="8.88671875" style="2"/>
    <col min="13836" max="13836" width="2.88671875" style="2" customWidth="1"/>
    <col min="13837" max="13837" width="12.44140625" style="2" customWidth="1"/>
    <col min="13838" max="13838" width="10.6640625" style="2" customWidth="1"/>
    <col min="13839" max="13839" width="8.88671875" style="2"/>
    <col min="13840" max="13840" width="3.44140625" style="2" customWidth="1"/>
    <col min="13841" max="13841" width="41.109375" style="2" bestFit="1" customWidth="1"/>
    <col min="13842" max="13842" width="21" style="2" customWidth="1"/>
    <col min="13843" max="14080" width="8.88671875" style="2"/>
    <col min="14081" max="14081" width="25" style="2" customWidth="1"/>
    <col min="14082" max="14082" width="8.5546875" style="2" bestFit="1" customWidth="1"/>
    <col min="14083" max="14083" width="8.33203125" style="2" customWidth="1"/>
    <col min="14084" max="14085" width="8.88671875" style="2"/>
    <col min="14086" max="14086" width="2.88671875" style="2" customWidth="1"/>
    <col min="14087" max="14091" width="8.88671875" style="2"/>
    <col min="14092" max="14092" width="2.88671875" style="2" customWidth="1"/>
    <col min="14093" max="14093" width="12.44140625" style="2" customWidth="1"/>
    <col min="14094" max="14094" width="10.6640625" style="2" customWidth="1"/>
    <col min="14095" max="14095" width="8.88671875" style="2"/>
    <col min="14096" max="14096" width="3.44140625" style="2" customWidth="1"/>
    <col min="14097" max="14097" width="41.109375" style="2" bestFit="1" customWidth="1"/>
    <col min="14098" max="14098" width="21" style="2" customWidth="1"/>
    <col min="14099" max="14336" width="8.88671875" style="2"/>
    <col min="14337" max="14337" width="25" style="2" customWidth="1"/>
    <col min="14338" max="14338" width="8.5546875" style="2" bestFit="1" customWidth="1"/>
    <col min="14339" max="14339" width="8.33203125" style="2" customWidth="1"/>
    <col min="14340" max="14341" width="8.88671875" style="2"/>
    <col min="14342" max="14342" width="2.88671875" style="2" customWidth="1"/>
    <col min="14343" max="14347" width="8.88671875" style="2"/>
    <col min="14348" max="14348" width="2.88671875" style="2" customWidth="1"/>
    <col min="14349" max="14349" width="12.44140625" style="2" customWidth="1"/>
    <col min="14350" max="14350" width="10.6640625" style="2" customWidth="1"/>
    <col min="14351" max="14351" width="8.88671875" style="2"/>
    <col min="14352" max="14352" width="3.44140625" style="2" customWidth="1"/>
    <col min="14353" max="14353" width="41.109375" style="2" bestFit="1" customWidth="1"/>
    <col min="14354" max="14354" width="21" style="2" customWidth="1"/>
    <col min="14355" max="14592" width="8.88671875" style="2"/>
    <col min="14593" max="14593" width="25" style="2" customWidth="1"/>
    <col min="14594" max="14594" width="8.5546875" style="2" bestFit="1" customWidth="1"/>
    <col min="14595" max="14595" width="8.33203125" style="2" customWidth="1"/>
    <col min="14596" max="14597" width="8.88671875" style="2"/>
    <col min="14598" max="14598" width="2.88671875" style="2" customWidth="1"/>
    <col min="14599" max="14603" width="8.88671875" style="2"/>
    <col min="14604" max="14604" width="2.88671875" style="2" customWidth="1"/>
    <col min="14605" max="14605" width="12.44140625" style="2" customWidth="1"/>
    <col min="14606" max="14606" width="10.6640625" style="2" customWidth="1"/>
    <col min="14607" max="14607" width="8.88671875" style="2"/>
    <col min="14608" max="14608" width="3.44140625" style="2" customWidth="1"/>
    <col min="14609" max="14609" width="41.109375" style="2" bestFit="1" customWidth="1"/>
    <col min="14610" max="14610" width="21" style="2" customWidth="1"/>
    <col min="14611" max="14848" width="8.88671875" style="2"/>
    <col min="14849" max="14849" width="25" style="2" customWidth="1"/>
    <col min="14850" max="14850" width="8.5546875" style="2" bestFit="1" customWidth="1"/>
    <col min="14851" max="14851" width="8.33203125" style="2" customWidth="1"/>
    <col min="14852" max="14853" width="8.88671875" style="2"/>
    <col min="14854" max="14854" width="2.88671875" style="2" customWidth="1"/>
    <col min="14855" max="14859" width="8.88671875" style="2"/>
    <col min="14860" max="14860" width="2.88671875" style="2" customWidth="1"/>
    <col min="14861" max="14861" width="12.44140625" style="2" customWidth="1"/>
    <col min="14862" max="14862" width="10.6640625" style="2" customWidth="1"/>
    <col min="14863" max="14863" width="8.88671875" style="2"/>
    <col min="14864" max="14864" width="3.44140625" style="2" customWidth="1"/>
    <col min="14865" max="14865" width="41.109375" style="2" bestFit="1" customWidth="1"/>
    <col min="14866" max="14866" width="21" style="2" customWidth="1"/>
    <col min="14867" max="15104" width="8.88671875" style="2"/>
    <col min="15105" max="15105" width="25" style="2" customWidth="1"/>
    <col min="15106" max="15106" width="8.5546875" style="2" bestFit="1" customWidth="1"/>
    <col min="15107" max="15107" width="8.33203125" style="2" customWidth="1"/>
    <col min="15108" max="15109" width="8.88671875" style="2"/>
    <col min="15110" max="15110" width="2.88671875" style="2" customWidth="1"/>
    <col min="15111" max="15115" width="8.88671875" style="2"/>
    <col min="15116" max="15116" width="2.88671875" style="2" customWidth="1"/>
    <col min="15117" max="15117" width="12.44140625" style="2" customWidth="1"/>
    <col min="15118" max="15118" width="10.6640625" style="2" customWidth="1"/>
    <col min="15119" max="15119" width="8.88671875" style="2"/>
    <col min="15120" max="15120" width="3.44140625" style="2" customWidth="1"/>
    <col min="15121" max="15121" width="41.109375" style="2" bestFit="1" customWidth="1"/>
    <col min="15122" max="15122" width="21" style="2" customWidth="1"/>
    <col min="15123" max="15360" width="8.88671875" style="2"/>
    <col min="15361" max="15361" width="25" style="2" customWidth="1"/>
    <col min="15362" max="15362" width="8.5546875" style="2" bestFit="1" customWidth="1"/>
    <col min="15363" max="15363" width="8.33203125" style="2" customWidth="1"/>
    <col min="15364" max="15365" width="8.88671875" style="2"/>
    <col min="15366" max="15366" width="2.88671875" style="2" customWidth="1"/>
    <col min="15367" max="15371" width="8.88671875" style="2"/>
    <col min="15372" max="15372" width="2.88671875" style="2" customWidth="1"/>
    <col min="15373" max="15373" width="12.44140625" style="2" customWidth="1"/>
    <col min="15374" max="15374" width="10.6640625" style="2" customWidth="1"/>
    <col min="15375" max="15375" width="8.88671875" style="2"/>
    <col min="15376" max="15376" width="3.44140625" style="2" customWidth="1"/>
    <col min="15377" max="15377" width="41.109375" style="2" bestFit="1" customWidth="1"/>
    <col min="15378" max="15378" width="21" style="2" customWidth="1"/>
    <col min="15379" max="15616" width="8.88671875" style="2"/>
    <col min="15617" max="15617" width="25" style="2" customWidth="1"/>
    <col min="15618" max="15618" width="8.5546875" style="2" bestFit="1" customWidth="1"/>
    <col min="15619" max="15619" width="8.33203125" style="2" customWidth="1"/>
    <col min="15620" max="15621" width="8.88671875" style="2"/>
    <col min="15622" max="15622" width="2.88671875" style="2" customWidth="1"/>
    <col min="15623" max="15627" width="8.88671875" style="2"/>
    <col min="15628" max="15628" width="2.88671875" style="2" customWidth="1"/>
    <col min="15629" max="15629" width="12.44140625" style="2" customWidth="1"/>
    <col min="15630" max="15630" width="10.6640625" style="2" customWidth="1"/>
    <col min="15631" max="15631" width="8.88671875" style="2"/>
    <col min="15632" max="15632" width="3.44140625" style="2" customWidth="1"/>
    <col min="15633" max="15633" width="41.109375" style="2" bestFit="1" customWidth="1"/>
    <col min="15634" max="15634" width="21" style="2" customWidth="1"/>
    <col min="15635" max="15872" width="8.88671875" style="2"/>
    <col min="15873" max="15873" width="25" style="2" customWidth="1"/>
    <col min="15874" max="15874" width="8.5546875" style="2" bestFit="1" customWidth="1"/>
    <col min="15875" max="15875" width="8.33203125" style="2" customWidth="1"/>
    <col min="15876" max="15877" width="8.88671875" style="2"/>
    <col min="15878" max="15878" width="2.88671875" style="2" customWidth="1"/>
    <col min="15879" max="15883" width="8.88671875" style="2"/>
    <col min="15884" max="15884" width="2.88671875" style="2" customWidth="1"/>
    <col min="15885" max="15885" width="12.44140625" style="2" customWidth="1"/>
    <col min="15886" max="15886" width="10.6640625" style="2" customWidth="1"/>
    <col min="15887" max="15887" width="8.88671875" style="2"/>
    <col min="15888" max="15888" width="3.44140625" style="2" customWidth="1"/>
    <col min="15889" max="15889" width="41.109375" style="2" bestFit="1" customWidth="1"/>
    <col min="15890" max="15890" width="21" style="2" customWidth="1"/>
    <col min="15891" max="16128" width="8.88671875" style="2"/>
    <col min="16129" max="16129" width="25" style="2" customWidth="1"/>
    <col min="16130" max="16130" width="8.5546875" style="2" bestFit="1" customWidth="1"/>
    <col min="16131" max="16131" width="8.33203125" style="2" customWidth="1"/>
    <col min="16132" max="16133" width="8.88671875" style="2"/>
    <col min="16134" max="16134" width="2.88671875" style="2" customWidth="1"/>
    <col min="16135" max="16139" width="8.88671875" style="2"/>
    <col min="16140" max="16140" width="2.88671875" style="2" customWidth="1"/>
    <col min="16141" max="16141" width="12.44140625" style="2" customWidth="1"/>
    <col min="16142" max="16142" width="10.6640625" style="2" customWidth="1"/>
    <col min="16143" max="16143" width="8.88671875" style="2"/>
    <col min="16144" max="16144" width="3.44140625" style="2" customWidth="1"/>
    <col min="16145" max="16145" width="41.109375" style="2" bestFit="1" customWidth="1"/>
    <col min="16146" max="16146" width="21" style="2" customWidth="1"/>
    <col min="16147" max="16384" width="8.88671875" style="2"/>
  </cols>
  <sheetData>
    <row r="1" spans="1:15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5">
      <c r="A2" s="2" t="s">
        <v>1</v>
      </c>
      <c r="B2" s="2">
        <v>30</v>
      </c>
    </row>
    <row r="3" spans="1:15" x14ac:dyDescent="0.25">
      <c r="A3" s="2" t="s">
        <v>2</v>
      </c>
      <c r="B3" s="3">
        <v>1.4</v>
      </c>
    </row>
    <row r="4" spans="1:15" x14ac:dyDescent="0.25">
      <c r="A4" s="2" t="s">
        <v>3</v>
      </c>
      <c r="B4" s="3">
        <v>0.8</v>
      </c>
    </row>
    <row r="5" spans="1:15" x14ac:dyDescent="0.25">
      <c r="A5" s="2" t="s">
        <v>4</v>
      </c>
      <c r="B5" s="3">
        <v>1.08</v>
      </c>
    </row>
    <row r="6" spans="1:15" x14ac:dyDescent="0.25">
      <c r="A6" s="2" t="s">
        <v>5</v>
      </c>
      <c r="B6" s="2">
        <f>B2</f>
        <v>30</v>
      </c>
    </row>
    <row r="7" spans="1:15" x14ac:dyDescent="0.25">
      <c r="A7" s="2" t="s">
        <v>6</v>
      </c>
      <c r="B7" s="3">
        <v>50</v>
      </c>
    </row>
    <row r="9" spans="1:15" ht="15.6" x14ac:dyDescent="0.35">
      <c r="A9" s="2" t="s">
        <v>7</v>
      </c>
      <c r="B9" s="4">
        <f>(B5-B4)/(B5*(B3-B4))</f>
        <v>0.43209876543209885</v>
      </c>
      <c r="C9" s="2" t="str">
        <f ca="1">_xlfn.FORMULATEXT(B9)</f>
        <v>=(B5-B4)/(B5*(B3-B4))</v>
      </c>
    </row>
    <row r="10" spans="1:15" ht="15.6" x14ac:dyDescent="0.35">
      <c r="A10" s="2" t="s">
        <v>8</v>
      </c>
      <c r="B10" s="4">
        <f>(B3-B5)/(B5*(B3-B4))</f>
        <v>0.49382716049382697</v>
      </c>
      <c r="C10" s="2" t="str">
        <f ca="1">_xlfn.FORMULATEXT(B10)</f>
        <v>=(B3-B5)/(B5*(B3-B4))</v>
      </c>
    </row>
    <row r="11" spans="1:15" x14ac:dyDescent="0.25">
      <c r="B11" s="4"/>
      <c r="G11" s="5"/>
      <c r="H11" s="5"/>
      <c r="I11" s="5"/>
      <c r="J11" s="5"/>
      <c r="K11" s="5"/>
    </row>
    <row r="12" spans="1:15" x14ac:dyDescent="0.25">
      <c r="A12" s="2" t="s">
        <v>9</v>
      </c>
      <c r="B12" s="4">
        <f>B9*B5</f>
        <v>0.46666666666666679</v>
      </c>
      <c r="C12" s="2" t="str">
        <f ca="1">_xlfn.FORMULATEXT(B12)</f>
        <v>=B9*B5</v>
      </c>
      <c r="G12" s="5"/>
      <c r="H12" s="5"/>
      <c r="I12" s="5"/>
      <c r="J12" s="5"/>
      <c r="K12" s="6" t="str">
        <f ca="1">"Formula in cell "&amp;CHAR(COLUMN(M17)+64)&amp;ROW(M17)&amp;": "&amp;CHAR(10)&amp;_xlfn.FORMULATEXT(M17)</f>
        <v>Formula in cell M17: 
=MAX(G17:K17)&lt;$B$7</v>
      </c>
      <c r="L12" s="6"/>
      <c r="M12" s="6"/>
      <c r="N12" s="6"/>
      <c r="O12" s="6"/>
    </row>
    <row r="13" spans="1:15" x14ac:dyDescent="0.25">
      <c r="A13" s="2" t="s">
        <v>10</v>
      </c>
      <c r="B13" s="4">
        <f>B10*B5</f>
        <v>0.5333333333333331</v>
      </c>
      <c r="C13" s="2" t="str">
        <f ca="1">_xlfn.FORMULATEXT(B13)</f>
        <v>=B10*B5</v>
      </c>
      <c r="G13" s="5"/>
      <c r="H13" s="5"/>
      <c r="I13" s="5"/>
      <c r="J13" s="5"/>
      <c r="K13" s="5"/>
    </row>
    <row r="14" spans="1:15" x14ac:dyDescent="0.25">
      <c r="B14" s="4"/>
      <c r="G14" s="5"/>
      <c r="H14" s="5"/>
      <c r="I14" s="5"/>
      <c r="J14" s="5"/>
      <c r="K14" s="5"/>
    </row>
    <row r="15" spans="1:15" ht="15.6" x14ac:dyDescent="0.3">
      <c r="B15" s="4"/>
      <c r="G15" s="7" t="s">
        <v>11</v>
      </c>
      <c r="H15" s="7"/>
      <c r="I15" s="7"/>
      <c r="J15" s="7"/>
      <c r="K15" s="7"/>
    </row>
    <row r="16" spans="1:15" ht="51.75" customHeight="1" x14ac:dyDescent="0.25">
      <c r="A16" s="8" t="s">
        <v>12</v>
      </c>
      <c r="B16" s="8" t="s">
        <v>13</v>
      </c>
      <c r="C16" s="8" t="s">
        <v>14</v>
      </c>
      <c r="D16" s="8" t="s">
        <v>15</v>
      </c>
      <c r="E16" s="8" t="s">
        <v>16</v>
      </c>
      <c r="F16" s="9"/>
      <c r="G16" s="8" t="s">
        <v>17</v>
      </c>
      <c r="H16" s="8" t="s">
        <v>13</v>
      </c>
      <c r="I16" s="8" t="s">
        <v>14</v>
      </c>
      <c r="J16" s="8" t="s">
        <v>15</v>
      </c>
      <c r="K16" s="8" t="s">
        <v>16</v>
      </c>
      <c r="L16" s="9"/>
      <c r="M16" s="8" t="s">
        <v>18</v>
      </c>
      <c r="N16" s="8" t="s">
        <v>19</v>
      </c>
      <c r="O16" s="8" t="s">
        <v>20</v>
      </c>
    </row>
    <row r="17" spans="1:15" x14ac:dyDescent="0.25">
      <c r="A17" s="2" t="s">
        <v>21</v>
      </c>
      <c r="B17" s="10" t="s">
        <v>22</v>
      </c>
      <c r="C17" s="10" t="s">
        <v>22</v>
      </c>
      <c r="D17" s="10" t="s">
        <v>22</v>
      </c>
      <c r="E17" s="10" t="s">
        <v>22</v>
      </c>
      <c r="G17" s="3">
        <f>$B$2</f>
        <v>30</v>
      </c>
      <c r="H17" s="3">
        <f>IF(B17="up",G17*$B$3,B17*$B$4)</f>
        <v>42</v>
      </c>
      <c r="I17" s="3">
        <f>IF(C17="up",H17*$B$3,C17*$B$4)</f>
        <v>58.8</v>
      </c>
      <c r="J17" s="3">
        <f>IF(D17="up",I17*$B$3,D17*$B$4)</f>
        <v>82.32</v>
      </c>
      <c r="K17" s="3">
        <f>IF(E17="up",J17*$B$3,E17*$B$4)</f>
        <v>115.24799999999998</v>
      </c>
      <c r="M17" s="11" t="b">
        <f>MAX(G17:K17)&lt;$B$7</f>
        <v>0</v>
      </c>
      <c r="N17" s="4">
        <f>B12^4</f>
        <v>4.7427160493827204E-2</v>
      </c>
      <c r="O17" s="3">
        <f>(1-M17)*MAX(K17-$B$6,0)</f>
        <v>85.247999999999976</v>
      </c>
    </row>
    <row r="18" spans="1:15" x14ac:dyDescent="0.25">
      <c r="B18" s="10"/>
      <c r="C18" s="10"/>
      <c r="D18" s="10"/>
      <c r="E18" s="10"/>
      <c r="G18" s="3"/>
      <c r="H18" s="3"/>
      <c r="I18" s="3"/>
      <c r="J18" s="3"/>
      <c r="K18" s="3"/>
      <c r="M18" s="11"/>
      <c r="N18" s="4"/>
      <c r="O18" s="3"/>
    </row>
    <row r="19" spans="1:15" x14ac:dyDescent="0.25">
      <c r="A19" s="2" t="s">
        <v>23</v>
      </c>
      <c r="B19" s="10" t="s">
        <v>24</v>
      </c>
      <c r="C19" s="10" t="s">
        <v>22</v>
      </c>
      <c r="D19" s="10" t="s">
        <v>22</v>
      </c>
      <c r="E19" s="10" t="s">
        <v>22</v>
      </c>
      <c r="G19" s="3">
        <f>$B$2</f>
        <v>30</v>
      </c>
      <c r="H19" s="3">
        <f t="shared" ref="H19:K22" si="0">G19*((B19="up")*$B$3+(B19="down")*$B$4)</f>
        <v>24</v>
      </c>
      <c r="I19" s="3">
        <f t="shared" si="0"/>
        <v>33.599999999999994</v>
      </c>
      <c r="J19" s="3">
        <f t="shared" si="0"/>
        <v>47.039999999999992</v>
      </c>
      <c r="K19" s="3">
        <f t="shared" si="0"/>
        <v>65.85599999999998</v>
      </c>
      <c r="M19" s="11" t="b">
        <f>MAX(G19:K19)&lt;$B$7</f>
        <v>0</v>
      </c>
      <c r="N19" s="4">
        <f>$B$12^3*$B$13</f>
        <v>5.4202469135802483E-2</v>
      </c>
      <c r="O19" s="3">
        <f>(1-M19)*MAX(K19-$B$6,0)</f>
        <v>35.85599999999998</v>
      </c>
    </row>
    <row r="20" spans="1:15" x14ac:dyDescent="0.25">
      <c r="B20" s="10" t="s">
        <v>22</v>
      </c>
      <c r="C20" s="10" t="s">
        <v>24</v>
      </c>
      <c r="D20" s="10" t="s">
        <v>22</v>
      </c>
      <c r="E20" s="10" t="s">
        <v>22</v>
      </c>
      <c r="G20" s="3">
        <f>$B$2</f>
        <v>30</v>
      </c>
      <c r="H20" s="3">
        <f t="shared" si="0"/>
        <v>42</v>
      </c>
      <c r="I20" s="3">
        <f t="shared" si="0"/>
        <v>33.6</v>
      </c>
      <c r="J20" s="3">
        <f t="shared" si="0"/>
        <v>47.04</v>
      </c>
      <c r="K20" s="3">
        <f t="shared" si="0"/>
        <v>65.855999999999995</v>
      </c>
      <c r="M20" s="11" t="b">
        <f>MAX(G20:K20)&lt;$B$7</f>
        <v>0</v>
      </c>
      <c r="N20" s="4">
        <f>$B$12^3*$B$13</f>
        <v>5.4202469135802483E-2</v>
      </c>
      <c r="O20" s="3">
        <f>(1-M20)*MAX(K20-$B$6,0)</f>
        <v>35.855999999999995</v>
      </c>
    </row>
    <row r="21" spans="1:15" x14ac:dyDescent="0.25">
      <c r="B21" s="10" t="s">
        <v>22</v>
      </c>
      <c r="C21" s="10" t="s">
        <v>22</v>
      </c>
      <c r="D21" s="10" t="s">
        <v>24</v>
      </c>
      <c r="E21" s="10" t="s">
        <v>22</v>
      </c>
      <c r="G21" s="3">
        <f>$B$2</f>
        <v>30</v>
      </c>
      <c r="H21" s="3">
        <f t="shared" si="0"/>
        <v>42</v>
      </c>
      <c r="I21" s="3">
        <f t="shared" si="0"/>
        <v>58.8</v>
      </c>
      <c r="J21" s="3">
        <f t="shared" si="0"/>
        <v>47.04</v>
      </c>
      <c r="K21" s="3">
        <f t="shared" si="0"/>
        <v>65.855999999999995</v>
      </c>
      <c r="M21" s="11" t="b">
        <f>MAX(G21:K21)&lt;$B$7</f>
        <v>0</v>
      </c>
      <c r="N21" s="4">
        <f>$B$12^3*$B$13</f>
        <v>5.4202469135802483E-2</v>
      </c>
      <c r="O21" s="3">
        <f>(1-M21)*MAX(K21-$B$6,0)</f>
        <v>35.855999999999995</v>
      </c>
    </row>
    <row r="22" spans="1:15" x14ac:dyDescent="0.25">
      <c r="B22" s="10" t="s">
        <v>22</v>
      </c>
      <c r="C22" s="10" t="s">
        <v>22</v>
      </c>
      <c r="D22" s="10" t="s">
        <v>22</v>
      </c>
      <c r="E22" s="10" t="s">
        <v>24</v>
      </c>
      <c r="G22" s="3">
        <f>$B$2</f>
        <v>30</v>
      </c>
      <c r="H22" s="3">
        <f t="shared" si="0"/>
        <v>42</v>
      </c>
      <c r="I22" s="3">
        <f t="shared" si="0"/>
        <v>58.8</v>
      </c>
      <c r="J22" s="3">
        <f t="shared" si="0"/>
        <v>82.32</v>
      </c>
      <c r="K22" s="3">
        <f t="shared" si="0"/>
        <v>65.855999999999995</v>
      </c>
      <c r="M22" s="11" t="b">
        <f>MAX(G22:K22)&lt;$B$7</f>
        <v>0</v>
      </c>
      <c r="N22" s="4">
        <f>$B$12^3*$B$13</f>
        <v>5.4202469135802483E-2</v>
      </c>
      <c r="O22" s="3">
        <f>(1-M22)*MAX(K22-$B$6,0)</f>
        <v>35.855999999999995</v>
      </c>
    </row>
    <row r="23" spans="1:15" x14ac:dyDescent="0.25">
      <c r="B23" s="10"/>
      <c r="C23" s="10"/>
      <c r="D23" s="10"/>
      <c r="E23" s="10"/>
      <c r="G23" s="3"/>
      <c r="H23" s="3"/>
      <c r="I23" s="3"/>
      <c r="J23" s="3"/>
      <c r="K23" s="3"/>
      <c r="M23" s="11"/>
      <c r="N23" s="4"/>
      <c r="O23" s="3"/>
    </row>
    <row r="24" spans="1:15" x14ac:dyDescent="0.25">
      <c r="A24" s="2" t="s">
        <v>25</v>
      </c>
      <c r="B24" s="10" t="s">
        <v>24</v>
      </c>
      <c r="C24" s="10" t="s">
        <v>24</v>
      </c>
      <c r="D24" s="10" t="s">
        <v>22</v>
      </c>
      <c r="E24" s="10" t="s">
        <v>22</v>
      </c>
      <c r="G24" s="3">
        <f t="shared" ref="G24:G29" si="1">$B$2</f>
        <v>30</v>
      </c>
      <c r="H24" s="3">
        <f t="shared" ref="H24:K29" si="2">G24*((B24="up")*$B$3+(B24="down")*$B$4)</f>
        <v>24</v>
      </c>
      <c r="I24" s="3">
        <f t="shared" si="2"/>
        <v>19.200000000000003</v>
      </c>
      <c r="J24" s="3">
        <f t="shared" si="2"/>
        <v>26.880000000000003</v>
      </c>
      <c r="K24" s="3">
        <f t="shared" si="2"/>
        <v>37.631999999999998</v>
      </c>
      <c r="M24" s="11" t="b">
        <f t="shared" ref="M24:M29" si="3">MAX(G24:K24)&lt;$B$7</f>
        <v>1</v>
      </c>
      <c r="N24" s="4">
        <f t="shared" ref="N24:N29" si="4">$B$12^2*$B$13^2</f>
        <v>6.1945679012345656E-2</v>
      </c>
      <c r="O24" s="3">
        <f t="shared" ref="O24:O29" si="5">(1-M24)*MAX(K24-$B$6,0)</f>
        <v>0</v>
      </c>
    </row>
    <row r="25" spans="1:15" x14ac:dyDescent="0.25">
      <c r="B25" s="10" t="s">
        <v>24</v>
      </c>
      <c r="C25" s="10" t="s">
        <v>22</v>
      </c>
      <c r="D25" s="10" t="s">
        <v>24</v>
      </c>
      <c r="E25" s="10" t="s">
        <v>22</v>
      </c>
      <c r="G25" s="3">
        <f t="shared" si="1"/>
        <v>30</v>
      </c>
      <c r="H25" s="3">
        <f t="shared" si="2"/>
        <v>24</v>
      </c>
      <c r="I25" s="3">
        <f t="shared" si="2"/>
        <v>33.599999999999994</v>
      </c>
      <c r="J25" s="3">
        <f t="shared" si="2"/>
        <v>26.879999999999995</v>
      </c>
      <c r="K25" s="3">
        <f t="shared" si="2"/>
        <v>37.631999999999991</v>
      </c>
      <c r="M25" s="11" t="b">
        <f t="shared" si="3"/>
        <v>1</v>
      </c>
      <c r="N25" s="4">
        <f t="shared" si="4"/>
        <v>6.1945679012345656E-2</v>
      </c>
      <c r="O25" s="3">
        <f t="shared" si="5"/>
        <v>0</v>
      </c>
    </row>
    <row r="26" spans="1:15" x14ac:dyDescent="0.25">
      <c r="B26" s="10" t="s">
        <v>24</v>
      </c>
      <c r="C26" s="10" t="s">
        <v>22</v>
      </c>
      <c r="D26" s="10" t="s">
        <v>22</v>
      </c>
      <c r="E26" s="10" t="s">
        <v>24</v>
      </c>
      <c r="G26" s="3">
        <f t="shared" si="1"/>
        <v>30</v>
      </c>
      <c r="H26" s="3">
        <f t="shared" si="2"/>
        <v>24</v>
      </c>
      <c r="I26" s="3">
        <f t="shared" si="2"/>
        <v>33.599999999999994</v>
      </c>
      <c r="J26" s="3">
        <f t="shared" si="2"/>
        <v>47.039999999999992</v>
      </c>
      <c r="K26" s="3">
        <f t="shared" si="2"/>
        <v>37.631999999999998</v>
      </c>
      <c r="M26" s="11" t="b">
        <f t="shared" si="3"/>
        <v>1</v>
      </c>
      <c r="N26" s="4">
        <f t="shared" si="4"/>
        <v>6.1945679012345656E-2</v>
      </c>
      <c r="O26" s="3">
        <f t="shared" si="5"/>
        <v>0</v>
      </c>
    </row>
    <row r="27" spans="1:15" x14ac:dyDescent="0.25">
      <c r="B27" s="10" t="s">
        <v>22</v>
      </c>
      <c r="C27" s="10" t="s">
        <v>24</v>
      </c>
      <c r="D27" s="10" t="s">
        <v>24</v>
      </c>
      <c r="E27" s="10" t="s">
        <v>22</v>
      </c>
      <c r="G27" s="3">
        <f t="shared" si="1"/>
        <v>30</v>
      </c>
      <c r="H27" s="3">
        <f t="shared" si="2"/>
        <v>42</v>
      </c>
      <c r="I27" s="3">
        <f t="shared" si="2"/>
        <v>33.6</v>
      </c>
      <c r="J27" s="3">
        <f t="shared" si="2"/>
        <v>26.880000000000003</v>
      </c>
      <c r="K27" s="3">
        <f t="shared" si="2"/>
        <v>37.631999999999998</v>
      </c>
      <c r="M27" s="11" t="b">
        <f t="shared" si="3"/>
        <v>1</v>
      </c>
      <c r="N27" s="4">
        <f t="shared" si="4"/>
        <v>6.1945679012345656E-2</v>
      </c>
      <c r="O27" s="3">
        <f t="shared" si="5"/>
        <v>0</v>
      </c>
    </row>
    <row r="28" spans="1:15" x14ac:dyDescent="0.25">
      <c r="B28" s="10" t="s">
        <v>22</v>
      </c>
      <c r="C28" s="10" t="s">
        <v>22</v>
      </c>
      <c r="D28" s="10" t="s">
        <v>24</v>
      </c>
      <c r="E28" s="10" t="s">
        <v>24</v>
      </c>
      <c r="G28" s="3">
        <f t="shared" si="1"/>
        <v>30</v>
      </c>
      <c r="H28" s="3">
        <f t="shared" si="2"/>
        <v>42</v>
      </c>
      <c r="I28" s="3">
        <f t="shared" si="2"/>
        <v>58.8</v>
      </c>
      <c r="J28" s="3">
        <f t="shared" si="2"/>
        <v>47.04</v>
      </c>
      <c r="K28" s="3">
        <f t="shared" si="2"/>
        <v>37.631999999999998</v>
      </c>
      <c r="M28" s="11" t="b">
        <f t="shared" si="3"/>
        <v>0</v>
      </c>
      <c r="N28" s="4">
        <f t="shared" si="4"/>
        <v>6.1945679012345656E-2</v>
      </c>
      <c r="O28" s="3">
        <f t="shared" si="5"/>
        <v>7.6319999999999979</v>
      </c>
    </row>
    <row r="29" spans="1:15" x14ac:dyDescent="0.25">
      <c r="B29" s="10" t="s">
        <v>22</v>
      </c>
      <c r="C29" s="10" t="s">
        <v>24</v>
      </c>
      <c r="D29" s="10" t="s">
        <v>22</v>
      </c>
      <c r="E29" s="10" t="s">
        <v>24</v>
      </c>
      <c r="G29" s="3">
        <f t="shared" si="1"/>
        <v>30</v>
      </c>
      <c r="H29" s="3">
        <f t="shared" si="2"/>
        <v>42</v>
      </c>
      <c r="I29" s="3">
        <f t="shared" si="2"/>
        <v>33.6</v>
      </c>
      <c r="J29" s="3">
        <f t="shared" si="2"/>
        <v>47.04</v>
      </c>
      <c r="K29" s="3">
        <f t="shared" si="2"/>
        <v>37.631999999999998</v>
      </c>
      <c r="M29" s="11" t="b">
        <f t="shared" si="3"/>
        <v>1</v>
      </c>
      <c r="N29" s="4">
        <f t="shared" si="4"/>
        <v>6.1945679012345656E-2</v>
      </c>
      <c r="O29" s="3">
        <f t="shared" si="5"/>
        <v>0</v>
      </c>
    </row>
    <row r="30" spans="1:15" x14ac:dyDescent="0.25">
      <c r="B30" s="10"/>
      <c r="C30" s="10"/>
      <c r="D30" s="10"/>
      <c r="E30" s="10"/>
      <c r="G30" s="3"/>
      <c r="H30" s="3"/>
      <c r="I30" s="3"/>
      <c r="J30" s="3"/>
      <c r="K30" s="3"/>
      <c r="M30" s="11"/>
      <c r="N30" s="4"/>
      <c r="O30" s="3"/>
    </row>
    <row r="31" spans="1:15" x14ac:dyDescent="0.25">
      <c r="A31" s="2" t="s">
        <v>26</v>
      </c>
      <c r="B31" s="10" t="s">
        <v>22</v>
      </c>
      <c r="C31" s="10" t="s">
        <v>24</v>
      </c>
      <c r="D31" s="10" t="s">
        <v>24</v>
      </c>
      <c r="E31" s="10" t="s">
        <v>24</v>
      </c>
      <c r="G31" s="3">
        <f>$B$2</f>
        <v>30</v>
      </c>
      <c r="H31" s="3">
        <f t="shared" ref="H31:K34" si="6">G31*((B31="up")*$B$3+(B31="down")*$B$4)</f>
        <v>42</v>
      </c>
      <c r="I31" s="3">
        <f t="shared" si="6"/>
        <v>33.6</v>
      </c>
      <c r="J31" s="3">
        <f t="shared" si="6"/>
        <v>26.880000000000003</v>
      </c>
      <c r="K31" s="3">
        <f t="shared" si="6"/>
        <v>21.504000000000005</v>
      </c>
      <c r="M31" s="11" t="b">
        <f>MAX(G31:K31)&lt;$B$7</f>
        <v>1</v>
      </c>
      <c r="N31" s="4">
        <f>$B$12*$B$13^3</f>
        <v>7.079506172839499E-2</v>
      </c>
      <c r="O31" s="3">
        <f>(1-M31)*MAX(K31-$B$6,0)</f>
        <v>0</v>
      </c>
    </row>
    <row r="32" spans="1:15" x14ac:dyDescent="0.25">
      <c r="B32" s="10" t="s">
        <v>24</v>
      </c>
      <c r="C32" s="10" t="s">
        <v>22</v>
      </c>
      <c r="D32" s="10" t="s">
        <v>24</v>
      </c>
      <c r="E32" s="10" t="s">
        <v>24</v>
      </c>
      <c r="G32" s="3">
        <f>$B$2</f>
        <v>30</v>
      </c>
      <c r="H32" s="3">
        <f t="shared" si="6"/>
        <v>24</v>
      </c>
      <c r="I32" s="3">
        <f t="shared" si="6"/>
        <v>33.599999999999994</v>
      </c>
      <c r="J32" s="3">
        <f t="shared" si="6"/>
        <v>26.879999999999995</v>
      </c>
      <c r="K32" s="3">
        <f t="shared" si="6"/>
        <v>21.503999999999998</v>
      </c>
      <c r="M32" s="11" t="b">
        <f>MAX(G32:K32)&lt;$B$7</f>
        <v>1</v>
      </c>
      <c r="N32" s="4">
        <f>$B$12*$B$13^3</f>
        <v>7.079506172839499E-2</v>
      </c>
      <c r="O32" s="3">
        <f>(1-M32)*MAX(K32-$B$6,0)</f>
        <v>0</v>
      </c>
    </row>
    <row r="33" spans="1:21" x14ac:dyDescent="0.25">
      <c r="B33" s="10" t="s">
        <v>24</v>
      </c>
      <c r="C33" s="10" t="s">
        <v>24</v>
      </c>
      <c r="D33" s="10" t="s">
        <v>22</v>
      </c>
      <c r="E33" s="10" t="s">
        <v>24</v>
      </c>
      <c r="G33" s="3">
        <f>$B$2</f>
        <v>30</v>
      </c>
      <c r="H33" s="3">
        <f t="shared" si="6"/>
        <v>24</v>
      </c>
      <c r="I33" s="3">
        <f t="shared" si="6"/>
        <v>19.200000000000003</v>
      </c>
      <c r="J33" s="3">
        <f t="shared" si="6"/>
        <v>26.880000000000003</v>
      </c>
      <c r="K33" s="3">
        <f t="shared" si="6"/>
        <v>21.504000000000005</v>
      </c>
      <c r="M33" s="11" t="b">
        <f>MAX(G33:K33)&lt;$B$7</f>
        <v>1</v>
      </c>
      <c r="N33" s="4">
        <f>$B$12*$B$13^3</f>
        <v>7.079506172839499E-2</v>
      </c>
      <c r="O33" s="3">
        <f>(1-M33)*MAX(K33-$B$6,0)</f>
        <v>0</v>
      </c>
    </row>
    <row r="34" spans="1:21" x14ac:dyDescent="0.25">
      <c r="B34" s="10" t="s">
        <v>24</v>
      </c>
      <c r="C34" s="10" t="s">
        <v>24</v>
      </c>
      <c r="D34" s="10" t="s">
        <v>24</v>
      </c>
      <c r="E34" s="10" t="s">
        <v>22</v>
      </c>
      <c r="G34" s="3">
        <f>$B$2</f>
        <v>30</v>
      </c>
      <c r="H34" s="3">
        <f t="shared" si="6"/>
        <v>24</v>
      </c>
      <c r="I34" s="3">
        <f t="shared" si="6"/>
        <v>19.200000000000003</v>
      </c>
      <c r="J34" s="3">
        <f t="shared" si="6"/>
        <v>15.360000000000003</v>
      </c>
      <c r="K34" s="3">
        <f t="shared" si="6"/>
        <v>21.504000000000001</v>
      </c>
      <c r="M34" s="11" t="b">
        <f>MAX(G34:K34)&lt;$B$7</f>
        <v>1</v>
      </c>
      <c r="N34" s="4">
        <f>$B$12*$B$13^3</f>
        <v>7.079506172839499E-2</v>
      </c>
      <c r="O34" s="3">
        <f>(1-M34)*MAX(K34-$B$6,0)</f>
        <v>0</v>
      </c>
    </row>
    <row r="35" spans="1:21" x14ac:dyDescent="0.25">
      <c r="B35" s="10"/>
      <c r="C35" s="10"/>
      <c r="D35" s="10"/>
      <c r="E35" s="10"/>
      <c r="G35" s="3"/>
      <c r="H35" s="3"/>
      <c r="I35" s="3"/>
      <c r="J35" s="3"/>
      <c r="K35" s="3"/>
      <c r="M35" s="11"/>
      <c r="N35" s="4"/>
      <c r="O35" s="3"/>
    </row>
    <row r="36" spans="1:21" x14ac:dyDescent="0.25">
      <c r="A36" s="2" t="s">
        <v>27</v>
      </c>
      <c r="B36" s="10" t="s">
        <v>24</v>
      </c>
      <c r="C36" s="10" t="s">
        <v>24</v>
      </c>
      <c r="D36" s="10" t="s">
        <v>24</v>
      </c>
      <c r="E36" s="10" t="s">
        <v>24</v>
      </c>
      <c r="G36" s="3">
        <f>$B$2</f>
        <v>30</v>
      </c>
      <c r="H36" s="3">
        <f>G36*((B36="up")*$B$3+(B36="down")*$B$4)</f>
        <v>24</v>
      </c>
      <c r="I36" s="3">
        <f>H36*((C36="up")*$B$3+(C36="down")*$B$4)</f>
        <v>19.200000000000003</v>
      </c>
      <c r="J36" s="3">
        <f>I36*((D36="up")*$B$3+(D36="down")*$B$4)</f>
        <v>15.360000000000003</v>
      </c>
      <c r="K36" s="3">
        <f>J36*((E36="up")*$B$3+(E36="down")*$B$4)</f>
        <v>12.288000000000004</v>
      </c>
      <c r="M36" s="11" t="b">
        <f>MAX(G36:K36)&lt;$B$7</f>
        <v>1</v>
      </c>
      <c r="N36" s="4">
        <f>$B$13^4</f>
        <v>8.0908641975308518E-2</v>
      </c>
      <c r="O36" s="3">
        <f>(1-M36)*MAX(K36-$B$6,0)</f>
        <v>0</v>
      </c>
    </row>
    <row r="37" spans="1:21" x14ac:dyDescent="0.25">
      <c r="B37" s="10"/>
      <c r="C37" s="10"/>
      <c r="D37" s="10"/>
      <c r="E37" s="10"/>
    </row>
    <row r="38" spans="1:21" x14ac:dyDescent="0.25">
      <c r="B38" s="10"/>
      <c r="C38" s="10"/>
      <c r="D38" s="10"/>
      <c r="E38" s="10"/>
      <c r="L38" s="12" t="s">
        <v>28</v>
      </c>
      <c r="M38" s="12"/>
      <c r="N38" s="13">
        <f>SUMPRODUCT(O17:O36,N17:N36)/B5^4</f>
        <v>9.033351460149543</v>
      </c>
      <c r="U38" s="5"/>
    </row>
    <row r="39" spans="1:21" x14ac:dyDescent="0.25">
      <c r="B39" s="10"/>
      <c r="C39" s="10"/>
      <c r="D39" s="10"/>
      <c r="E39" s="10"/>
    </row>
    <row r="40" spans="1:21" ht="40.5" customHeight="1" x14ac:dyDescent="0.25">
      <c r="K40" s="14" t="str">
        <f ca="1">"Formula in cell "&amp;CHAR(COLUMN(N38)+64)&amp;ROW(N38)&amp;": "&amp;CHAR(10)&amp;_xlfn.FORMULATEXT(N38)</f>
        <v>Formula in cell N38: 
=SUMPRODUCT(O17:O36,N17:N36)/B5^4</v>
      </c>
      <c r="L40" s="14"/>
      <c r="M40" s="14"/>
      <c r="N40" s="14"/>
      <c r="O40" s="14"/>
    </row>
    <row r="42" spans="1:21" ht="45" customHeight="1" x14ac:dyDescent="0.25">
      <c r="L42" s="14" t="str">
        <f ca="1">"Formula in cell "&amp;CHAR(COLUMN(O36)+64)&amp;ROW(O36)&amp;": "&amp;CHAR(10)&amp;_xlfn.FORMULATEXT(O36)</f>
        <v>Formula in cell O36: 
=(1-M36)*MAX(K36-$B$6,0)</v>
      </c>
      <c r="M42" s="14"/>
      <c r="N42" s="14"/>
      <c r="O42" s="14"/>
    </row>
    <row r="47" spans="1:21" x14ac:dyDescent="0.25">
      <c r="A47" s="2">
        <f>B2</f>
        <v>30</v>
      </c>
    </row>
  </sheetData>
  <mergeCells count="5">
    <mergeCell ref="A1:O1"/>
    <mergeCell ref="K12:O12"/>
    <mergeCell ref="G15:K15"/>
    <mergeCell ref="K40:O40"/>
    <mergeCell ref="L42:O42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641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2024-12-11T09:20:52Z</dcterms:modified>
</cp:coreProperties>
</file>