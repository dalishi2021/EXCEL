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9EC59D4D-9951-4708-AB79-7CF930B0A0BD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29, 32" sheetId="4" r:id="rId2"/>
  </sheets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_xlnm.Print_Area" localSheetId="1">'Page 629, 32'!$A$1:$O$40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4" l="1"/>
  <c r="G35" i="4"/>
  <c r="H35" i="4" s="1"/>
  <c r="G33" i="4"/>
  <c r="H33" i="4" s="1"/>
  <c r="G32" i="4"/>
  <c r="H32" i="4" s="1"/>
  <c r="G31" i="4"/>
  <c r="H31" i="4" s="1"/>
  <c r="G30" i="4"/>
  <c r="H30" i="4" s="1"/>
  <c r="G28" i="4"/>
  <c r="H28" i="4" s="1"/>
  <c r="G27" i="4"/>
  <c r="H27" i="4" s="1"/>
  <c r="G26" i="4"/>
  <c r="H26" i="4" s="1"/>
  <c r="G25" i="4"/>
  <c r="H25" i="4" s="1"/>
  <c r="G24" i="4"/>
  <c r="H24" i="4" s="1"/>
  <c r="G23" i="4"/>
  <c r="H23" i="4" s="1"/>
  <c r="G21" i="4"/>
  <c r="H21" i="4" s="1"/>
  <c r="G20" i="4"/>
  <c r="H20" i="4" s="1"/>
  <c r="G19" i="4"/>
  <c r="H19" i="4" s="1"/>
  <c r="G18" i="4"/>
  <c r="H18" i="4" s="1"/>
  <c r="G16" i="4"/>
  <c r="H16" i="4" s="1"/>
  <c r="I15" i="4"/>
  <c r="E15" i="4"/>
  <c r="K15" i="4" s="1"/>
  <c r="D15" i="4"/>
  <c r="J15" i="4" s="1"/>
  <c r="C15" i="4"/>
  <c r="B15" i="4"/>
  <c r="H15" i="4" s="1"/>
  <c r="B12" i="4"/>
  <c r="O35" i="4" s="1"/>
  <c r="B11" i="4"/>
  <c r="O32" i="4" s="1"/>
  <c r="B9" i="4"/>
  <c r="B8" i="4"/>
  <c r="B6" i="4"/>
  <c r="L12" i="4"/>
  <c r="I40" i="4"/>
  <c r="M7" i="4"/>
  <c r="M8" i="4"/>
  <c r="H10" i="4"/>
  <c r="C12" i="4"/>
  <c r="C11" i="4"/>
  <c r="C9" i="4"/>
  <c r="C8" i="4"/>
  <c r="I23" i="4" l="1"/>
  <c r="J23" i="4" s="1"/>
  <c r="K23" i="4" s="1"/>
  <c r="I25" i="4"/>
  <c r="J25" i="4" s="1"/>
  <c r="K25" i="4" s="1"/>
  <c r="I26" i="4"/>
  <c r="J26" i="4" s="1"/>
  <c r="K26" i="4" s="1"/>
  <c r="I27" i="4"/>
  <c r="J27" i="4" s="1"/>
  <c r="K27" i="4" s="1"/>
  <c r="I24" i="4"/>
  <c r="J24" i="4" s="1"/>
  <c r="K24" i="4" s="1"/>
  <c r="M24" i="4"/>
  <c r="N24" i="4" s="1"/>
  <c r="I28" i="4"/>
  <c r="J28" i="4" s="1"/>
  <c r="K28" i="4" s="1"/>
  <c r="I30" i="4"/>
  <c r="J30" i="4" s="1"/>
  <c r="K30" i="4" s="1"/>
  <c r="I31" i="4"/>
  <c r="J31" i="4" s="1"/>
  <c r="K31" i="4" s="1"/>
  <c r="I20" i="4"/>
  <c r="J20" i="4" s="1"/>
  <c r="K20" i="4" s="1"/>
  <c r="I32" i="4"/>
  <c r="J32" i="4" s="1"/>
  <c r="K32" i="4" s="1"/>
  <c r="I33" i="4"/>
  <c r="J33" i="4" s="1"/>
  <c r="K33" i="4" s="1"/>
  <c r="I19" i="4"/>
  <c r="J19" i="4" s="1"/>
  <c r="K19" i="4" s="1"/>
  <c r="M19" i="4"/>
  <c r="N19" i="4" s="1"/>
  <c r="I35" i="4"/>
  <c r="J35" i="4" s="1"/>
  <c r="K35" i="4" s="1"/>
  <c r="I16" i="4"/>
  <c r="J16" i="4" s="1"/>
  <c r="K16" i="4" s="1"/>
  <c r="I21" i="4"/>
  <c r="J21" i="4" s="1"/>
  <c r="K21" i="4" s="1"/>
  <c r="M21" i="4"/>
  <c r="N21" i="4" s="1"/>
  <c r="I18" i="4"/>
  <c r="J18" i="4" s="1"/>
  <c r="K18" i="4" s="1"/>
  <c r="O16" i="4"/>
  <c r="O19" i="4"/>
  <c r="O21" i="4"/>
  <c r="O24" i="4"/>
  <c r="O26" i="4"/>
  <c r="O28" i="4"/>
  <c r="O31" i="4"/>
  <c r="O33" i="4"/>
  <c r="O18" i="4"/>
  <c r="O20" i="4"/>
  <c r="O23" i="4"/>
  <c r="O25" i="4"/>
  <c r="O27" i="4"/>
  <c r="O30" i="4"/>
  <c r="M18" i="4" l="1"/>
  <c r="N18" i="4" s="1"/>
  <c r="M30" i="4"/>
  <c r="N30" i="4" s="1"/>
  <c r="M16" i="4"/>
  <c r="N16" i="4" s="1"/>
  <c r="M28" i="4"/>
  <c r="N28" i="4" s="1"/>
  <c r="M35" i="4"/>
  <c r="N35" i="4" s="1"/>
  <c r="M27" i="4"/>
  <c r="N27" i="4" s="1"/>
  <c r="M33" i="4"/>
  <c r="N33" i="4" s="1"/>
  <c r="M26" i="4"/>
  <c r="N26" i="4" s="1"/>
  <c r="M32" i="4"/>
  <c r="N32" i="4" s="1"/>
  <c r="M25" i="4"/>
  <c r="N25" i="4" s="1"/>
  <c r="M31" i="4"/>
  <c r="N31" i="4" s="1"/>
  <c r="M20" i="4"/>
  <c r="N20" i="4" s="1"/>
  <c r="M23" i="4"/>
  <c r="N23" i="4" s="1"/>
  <c r="N37" i="4" l="1"/>
</calcChain>
</file>

<file path=xl/sharedStrings.xml><?xml version="1.0" encoding="utf-8"?>
<sst xmlns="http://schemas.openxmlformats.org/spreadsheetml/2006/main" count="86" uniqueCount="24">
  <si>
    <t>PRICING AN ASIAN OPTION BY PRICING ALL THE PATHS</t>
  </si>
  <si>
    <t>Initial stock price</t>
  </si>
  <si>
    <t>Up</t>
  </si>
  <si>
    <t>Down</t>
  </si>
  <si>
    <t>Interest</t>
  </si>
  <si>
    <t>Option exercise price</t>
  </si>
  <si>
    <r>
      <t>State price, Up:  q</t>
    </r>
    <r>
      <rPr>
        <vertAlign val="subscript"/>
        <sz val="10"/>
        <rFont val="Arial"/>
        <family val="2"/>
      </rPr>
      <t>U</t>
    </r>
  </si>
  <si>
    <r>
      <t>State price, Down, q</t>
    </r>
    <r>
      <rPr>
        <vertAlign val="subscript"/>
        <sz val="10"/>
        <rFont val="Arial"/>
        <family val="2"/>
      </rPr>
      <t>D</t>
    </r>
  </si>
  <si>
    <t>Risk-neutral prob., Up</t>
  </si>
  <si>
    <t>Risk-neutral prob., Down</t>
  </si>
  <si>
    <t>STOCK PRICE</t>
  </si>
  <si>
    <t>Paths</t>
  </si>
  <si>
    <t>Period
0</t>
  </si>
  <si>
    <t>Average
stock price</t>
  </si>
  <si>
    <t>Option
payoff</t>
  </si>
  <si>
    <t>Path
risk-neutral
probability</t>
  </si>
  <si>
    <t>All up (1 path)</t>
  </si>
  <si>
    <t>up</t>
  </si>
  <si>
    <t>One down (4 paths)</t>
  </si>
  <si>
    <t>down</t>
  </si>
  <si>
    <t>Two down (6 paths)</t>
  </si>
  <si>
    <t>Three down (4 paths)</t>
  </si>
  <si>
    <t>Four down (1 path)</t>
  </si>
  <si>
    <t>Option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</si>
</sst>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"/>
    <numFmt numFmtId="178" formatCode="0.0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2" fontId="2" fillId="0" borderId="0" xfId="1" applyNumberFormat="1"/>
    <xf numFmtId="0" fontId="2" fillId="2" borderId="0" xfId="1" applyFill="1"/>
    <xf numFmtId="176" fontId="2" fillId="0" borderId="0" xfId="1" applyNumberFormat="1"/>
    <xf numFmtId="0" fontId="5" fillId="0" borderId="0" xfId="1" applyFont="1" applyAlignment="1">
      <alignment horizontal="center"/>
    </xf>
    <xf numFmtId="0" fontId="2" fillId="2" borderId="0" xfId="1" applyFill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0" fontId="2" fillId="3" borderId="0" xfId="1" applyFill="1"/>
    <xf numFmtId="176" fontId="2" fillId="3" borderId="0" xfId="1" applyNumberFormat="1" applyFill="1" applyAlignment="1">
      <alignment wrapText="1"/>
    </xf>
    <xf numFmtId="0" fontId="2" fillId="4" borderId="0" xfId="1" applyFill="1" applyAlignment="1">
      <alignment horizontal="center"/>
    </xf>
    <xf numFmtId="0" fontId="2" fillId="4" borderId="0" xfId="1" applyFill="1"/>
    <xf numFmtId="2" fontId="2" fillId="4" borderId="0" xfId="1" applyNumberFormat="1" applyFill="1"/>
    <xf numFmtId="2" fontId="2" fillId="4" borderId="0" xfId="1" applyNumberFormat="1" applyFill="1" applyAlignment="1">
      <alignment horizontal="center"/>
    </xf>
    <xf numFmtId="176" fontId="2" fillId="4" borderId="0" xfId="1" applyNumberFormat="1" applyFill="1"/>
    <xf numFmtId="177" fontId="2" fillId="4" borderId="0" xfId="1" applyNumberFormat="1" applyFill="1" applyAlignment="1">
      <alignment horizontal="center"/>
    </xf>
    <xf numFmtId="177" fontId="2" fillId="4" borderId="0" xfId="1" applyNumberFormat="1" applyFill="1"/>
    <xf numFmtId="178" fontId="2" fillId="4" borderId="0" xfId="1" applyNumberFormat="1" applyFill="1"/>
    <xf numFmtId="0" fontId="2" fillId="2" borderId="0" xfId="1" applyFill="1" applyAlignment="1"/>
  </cellXfs>
  <cellStyles count="2">
    <cellStyle name="常规" xfId="0" builtinId="0"/>
    <cellStyle name="常规 2" xfId="1" xr:uid="{995611AB-D1F8-43B2-B04A-E92192A932D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411480</xdr:colOff>
      <xdr:row>12</xdr:row>
      <xdr:rowOff>0</xdr:rowOff>
    </xdr:from>
    <xdr:to>
      <xdr:col>13</xdr:col>
      <xdr:colOff>137160</xdr:colOff>
      <xdr:row>15</xdr:row>
      <xdr:rowOff>60960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7D469E7F-EC07-47C3-94A9-5A9F96607515}"/>
            </a:ext>
          </a:extLst>
        </xdr:cNvPr>
        <xdr:cNvSpPr>
          <a:spLocks noChangeShapeType="1"/>
        </xdr:cNvSpPr>
      </xdr:nvSpPr>
      <xdr:spPr bwMode="auto">
        <a:xfrm>
          <a:off x="7077075" y="2162175"/>
          <a:ext cx="514350" cy="933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335280</xdr:colOff>
      <xdr:row>10</xdr:row>
      <xdr:rowOff>0</xdr:rowOff>
    </xdr:from>
    <xdr:to>
      <xdr:col>12</xdr:col>
      <xdr:colOff>121920</xdr:colOff>
      <xdr:row>15</xdr:row>
      <xdr:rowOff>38100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47F04AAC-4228-4F47-9A16-BBCFEE6F6D42}"/>
            </a:ext>
          </a:extLst>
        </xdr:cNvPr>
        <xdr:cNvSpPr>
          <a:spLocks noChangeShapeType="1"/>
        </xdr:cNvSpPr>
      </xdr:nvSpPr>
      <xdr:spPr bwMode="auto">
        <a:xfrm>
          <a:off x="5800725" y="1819275"/>
          <a:ext cx="990600" cy="1257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358140</xdr:colOff>
      <xdr:row>37</xdr:row>
      <xdr:rowOff>0</xdr:rowOff>
    </xdr:from>
    <xdr:to>
      <xdr:col>13</xdr:col>
      <xdr:colOff>175260</xdr:colOff>
      <xdr:row>38</xdr:row>
      <xdr:rowOff>121920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312CF9AC-3249-4A77-9183-17F530C2EDFA}"/>
            </a:ext>
          </a:extLst>
        </xdr:cNvPr>
        <xdr:cNvSpPr>
          <a:spLocks noChangeShapeType="1"/>
        </xdr:cNvSpPr>
      </xdr:nvSpPr>
      <xdr:spPr bwMode="auto">
        <a:xfrm flipV="1">
          <a:off x="7029450" y="6810375"/>
          <a:ext cx="600075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99060</xdr:colOff>
      <xdr:row>7</xdr:row>
      <xdr:rowOff>152400</xdr:rowOff>
    </xdr:from>
    <xdr:to>
      <xdr:col>14</xdr:col>
      <xdr:colOff>342900</xdr:colOff>
      <xdr:row>15</xdr:row>
      <xdr:rowOff>60960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5ABB00F1-33C8-470E-BCA8-EFFD443B5C26}"/>
            </a:ext>
          </a:extLst>
        </xdr:cNvPr>
        <xdr:cNvSpPr>
          <a:spLocks noChangeShapeType="1"/>
        </xdr:cNvSpPr>
      </xdr:nvSpPr>
      <xdr:spPr bwMode="auto">
        <a:xfrm>
          <a:off x="7553325" y="1400175"/>
          <a:ext cx="828675" cy="1695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556260</xdr:colOff>
      <xdr:row>7</xdr:row>
      <xdr:rowOff>137160</xdr:rowOff>
    </xdr:from>
    <xdr:to>
      <xdr:col>14</xdr:col>
      <xdr:colOff>396240</xdr:colOff>
      <xdr:row>17</xdr:row>
      <xdr:rowOff>68580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041AA1AA-4F6C-49D6-9FEC-7D864FCA7E64}"/>
            </a:ext>
          </a:extLst>
        </xdr:cNvPr>
        <xdr:cNvSpPr>
          <a:spLocks noChangeShapeType="1"/>
        </xdr:cNvSpPr>
      </xdr:nvSpPr>
      <xdr:spPr bwMode="auto">
        <a:xfrm>
          <a:off x="7219950" y="1381125"/>
          <a:ext cx="1219200" cy="2066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419100</xdr:colOff>
      <xdr:row>1</xdr:row>
      <xdr:rowOff>123825</xdr:rowOff>
    </xdr:from>
    <xdr:to>
      <xdr:col>34</xdr:col>
      <xdr:colOff>287176</xdr:colOff>
      <xdr:row>46</xdr:row>
      <xdr:rowOff>164533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C60BB5FB-B811-E885-F8D9-DDE674DB9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2700" y="342900"/>
          <a:ext cx="10223656" cy="818502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88A76-15FF-4C9F-B2FE-31B6314C2B80}">
  <sheetPr codeName="Sheet2">
    <pageSetUpPr fitToPage="1"/>
  </sheetPr>
  <dimension ref="A1:R46"/>
  <sheetViews>
    <sheetView tabSelected="1" zoomScale="130" zoomScaleNormal="130" workbookViewId="0">
      <selection activeCell="Q15" sqref="Q15"/>
    </sheetView>
  </sheetViews>
  <sheetFormatPr defaultRowHeight="13.2" x14ac:dyDescent="0.25"/>
  <cols>
    <col min="1" max="1" width="21.33203125" style="2" customWidth="1"/>
    <col min="2" max="2" width="8.88671875" style="2"/>
    <col min="3" max="5" width="8" style="2" customWidth="1"/>
    <col min="6" max="6" width="1.109375" style="2" customWidth="1"/>
    <col min="7" max="11" width="8" style="2" customWidth="1"/>
    <col min="12" max="12" width="1.33203125" style="2" customWidth="1"/>
    <col min="13" max="13" width="11.5546875" style="2" customWidth="1"/>
    <col min="14" max="14" width="8.44140625" style="2" customWidth="1"/>
    <col min="15" max="15" width="13.5546875" style="2" customWidth="1"/>
    <col min="16" max="16" width="2.5546875" style="2" customWidth="1"/>
    <col min="17" max="256" width="8.88671875" style="2"/>
    <col min="257" max="257" width="21.33203125" style="2" customWidth="1"/>
    <col min="258" max="258" width="8.88671875" style="2"/>
    <col min="259" max="261" width="8" style="2" customWidth="1"/>
    <col min="262" max="262" width="1.109375" style="2" customWidth="1"/>
    <col min="263" max="267" width="8" style="2" customWidth="1"/>
    <col min="268" max="268" width="1.33203125" style="2" customWidth="1"/>
    <col min="269" max="269" width="11.5546875" style="2" customWidth="1"/>
    <col min="270" max="270" width="8.44140625" style="2" customWidth="1"/>
    <col min="271" max="271" width="13.5546875" style="2" customWidth="1"/>
    <col min="272" max="272" width="2.5546875" style="2" customWidth="1"/>
    <col min="273" max="512" width="8.88671875" style="2"/>
    <col min="513" max="513" width="21.33203125" style="2" customWidth="1"/>
    <col min="514" max="514" width="8.88671875" style="2"/>
    <col min="515" max="517" width="8" style="2" customWidth="1"/>
    <col min="518" max="518" width="1.109375" style="2" customWidth="1"/>
    <col min="519" max="523" width="8" style="2" customWidth="1"/>
    <col min="524" max="524" width="1.33203125" style="2" customWidth="1"/>
    <col min="525" max="525" width="11.5546875" style="2" customWidth="1"/>
    <col min="526" max="526" width="8.44140625" style="2" customWidth="1"/>
    <col min="527" max="527" width="13.5546875" style="2" customWidth="1"/>
    <col min="528" max="528" width="2.5546875" style="2" customWidth="1"/>
    <col min="529" max="768" width="8.88671875" style="2"/>
    <col min="769" max="769" width="21.33203125" style="2" customWidth="1"/>
    <col min="770" max="770" width="8.88671875" style="2"/>
    <col min="771" max="773" width="8" style="2" customWidth="1"/>
    <col min="774" max="774" width="1.109375" style="2" customWidth="1"/>
    <col min="775" max="779" width="8" style="2" customWidth="1"/>
    <col min="780" max="780" width="1.33203125" style="2" customWidth="1"/>
    <col min="781" max="781" width="11.5546875" style="2" customWidth="1"/>
    <col min="782" max="782" width="8.44140625" style="2" customWidth="1"/>
    <col min="783" max="783" width="13.5546875" style="2" customWidth="1"/>
    <col min="784" max="784" width="2.5546875" style="2" customWidth="1"/>
    <col min="785" max="1024" width="8.88671875" style="2"/>
    <col min="1025" max="1025" width="21.33203125" style="2" customWidth="1"/>
    <col min="1026" max="1026" width="8.88671875" style="2"/>
    <col min="1027" max="1029" width="8" style="2" customWidth="1"/>
    <col min="1030" max="1030" width="1.109375" style="2" customWidth="1"/>
    <col min="1031" max="1035" width="8" style="2" customWidth="1"/>
    <col min="1036" max="1036" width="1.33203125" style="2" customWidth="1"/>
    <col min="1037" max="1037" width="11.5546875" style="2" customWidth="1"/>
    <col min="1038" max="1038" width="8.44140625" style="2" customWidth="1"/>
    <col min="1039" max="1039" width="13.5546875" style="2" customWidth="1"/>
    <col min="1040" max="1040" width="2.5546875" style="2" customWidth="1"/>
    <col min="1041" max="1280" width="8.88671875" style="2"/>
    <col min="1281" max="1281" width="21.33203125" style="2" customWidth="1"/>
    <col min="1282" max="1282" width="8.88671875" style="2"/>
    <col min="1283" max="1285" width="8" style="2" customWidth="1"/>
    <col min="1286" max="1286" width="1.109375" style="2" customWidth="1"/>
    <col min="1287" max="1291" width="8" style="2" customWidth="1"/>
    <col min="1292" max="1292" width="1.33203125" style="2" customWidth="1"/>
    <col min="1293" max="1293" width="11.5546875" style="2" customWidth="1"/>
    <col min="1294" max="1294" width="8.44140625" style="2" customWidth="1"/>
    <col min="1295" max="1295" width="13.5546875" style="2" customWidth="1"/>
    <col min="1296" max="1296" width="2.5546875" style="2" customWidth="1"/>
    <col min="1297" max="1536" width="8.88671875" style="2"/>
    <col min="1537" max="1537" width="21.33203125" style="2" customWidth="1"/>
    <col min="1538" max="1538" width="8.88671875" style="2"/>
    <col min="1539" max="1541" width="8" style="2" customWidth="1"/>
    <col min="1542" max="1542" width="1.109375" style="2" customWidth="1"/>
    <col min="1543" max="1547" width="8" style="2" customWidth="1"/>
    <col min="1548" max="1548" width="1.33203125" style="2" customWidth="1"/>
    <col min="1549" max="1549" width="11.5546875" style="2" customWidth="1"/>
    <col min="1550" max="1550" width="8.44140625" style="2" customWidth="1"/>
    <col min="1551" max="1551" width="13.5546875" style="2" customWidth="1"/>
    <col min="1552" max="1552" width="2.5546875" style="2" customWidth="1"/>
    <col min="1553" max="1792" width="8.88671875" style="2"/>
    <col min="1793" max="1793" width="21.33203125" style="2" customWidth="1"/>
    <col min="1794" max="1794" width="8.88671875" style="2"/>
    <col min="1795" max="1797" width="8" style="2" customWidth="1"/>
    <col min="1798" max="1798" width="1.109375" style="2" customWidth="1"/>
    <col min="1799" max="1803" width="8" style="2" customWidth="1"/>
    <col min="1804" max="1804" width="1.33203125" style="2" customWidth="1"/>
    <col min="1805" max="1805" width="11.5546875" style="2" customWidth="1"/>
    <col min="1806" max="1806" width="8.44140625" style="2" customWidth="1"/>
    <col min="1807" max="1807" width="13.5546875" style="2" customWidth="1"/>
    <col min="1808" max="1808" width="2.5546875" style="2" customWidth="1"/>
    <col min="1809" max="2048" width="8.88671875" style="2"/>
    <col min="2049" max="2049" width="21.33203125" style="2" customWidth="1"/>
    <col min="2050" max="2050" width="8.88671875" style="2"/>
    <col min="2051" max="2053" width="8" style="2" customWidth="1"/>
    <col min="2054" max="2054" width="1.109375" style="2" customWidth="1"/>
    <col min="2055" max="2059" width="8" style="2" customWidth="1"/>
    <col min="2060" max="2060" width="1.33203125" style="2" customWidth="1"/>
    <col min="2061" max="2061" width="11.5546875" style="2" customWidth="1"/>
    <col min="2062" max="2062" width="8.44140625" style="2" customWidth="1"/>
    <col min="2063" max="2063" width="13.5546875" style="2" customWidth="1"/>
    <col min="2064" max="2064" width="2.5546875" style="2" customWidth="1"/>
    <col min="2065" max="2304" width="8.88671875" style="2"/>
    <col min="2305" max="2305" width="21.33203125" style="2" customWidth="1"/>
    <col min="2306" max="2306" width="8.88671875" style="2"/>
    <col min="2307" max="2309" width="8" style="2" customWidth="1"/>
    <col min="2310" max="2310" width="1.109375" style="2" customWidth="1"/>
    <col min="2311" max="2315" width="8" style="2" customWidth="1"/>
    <col min="2316" max="2316" width="1.33203125" style="2" customWidth="1"/>
    <col min="2317" max="2317" width="11.5546875" style="2" customWidth="1"/>
    <col min="2318" max="2318" width="8.44140625" style="2" customWidth="1"/>
    <col min="2319" max="2319" width="13.5546875" style="2" customWidth="1"/>
    <col min="2320" max="2320" width="2.5546875" style="2" customWidth="1"/>
    <col min="2321" max="2560" width="8.88671875" style="2"/>
    <col min="2561" max="2561" width="21.33203125" style="2" customWidth="1"/>
    <col min="2562" max="2562" width="8.88671875" style="2"/>
    <col min="2563" max="2565" width="8" style="2" customWidth="1"/>
    <col min="2566" max="2566" width="1.109375" style="2" customWidth="1"/>
    <col min="2567" max="2571" width="8" style="2" customWidth="1"/>
    <col min="2572" max="2572" width="1.33203125" style="2" customWidth="1"/>
    <col min="2573" max="2573" width="11.5546875" style="2" customWidth="1"/>
    <col min="2574" max="2574" width="8.44140625" style="2" customWidth="1"/>
    <col min="2575" max="2575" width="13.5546875" style="2" customWidth="1"/>
    <col min="2576" max="2576" width="2.5546875" style="2" customWidth="1"/>
    <col min="2577" max="2816" width="8.88671875" style="2"/>
    <col min="2817" max="2817" width="21.33203125" style="2" customWidth="1"/>
    <col min="2818" max="2818" width="8.88671875" style="2"/>
    <col min="2819" max="2821" width="8" style="2" customWidth="1"/>
    <col min="2822" max="2822" width="1.109375" style="2" customWidth="1"/>
    <col min="2823" max="2827" width="8" style="2" customWidth="1"/>
    <col min="2828" max="2828" width="1.33203125" style="2" customWidth="1"/>
    <col min="2829" max="2829" width="11.5546875" style="2" customWidth="1"/>
    <col min="2830" max="2830" width="8.44140625" style="2" customWidth="1"/>
    <col min="2831" max="2831" width="13.5546875" style="2" customWidth="1"/>
    <col min="2832" max="2832" width="2.5546875" style="2" customWidth="1"/>
    <col min="2833" max="3072" width="8.88671875" style="2"/>
    <col min="3073" max="3073" width="21.33203125" style="2" customWidth="1"/>
    <col min="3074" max="3074" width="8.88671875" style="2"/>
    <col min="3075" max="3077" width="8" style="2" customWidth="1"/>
    <col min="3078" max="3078" width="1.109375" style="2" customWidth="1"/>
    <col min="3079" max="3083" width="8" style="2" customWidth="1"/>
    <col min="3084" max="3084" width="1.33203125" style="2" customWidth="1"/>
    <col min="3085" max="3085" width="11.5546875" style="2" customWidth="1"/>
    <col min="3086" max="3086" width="8.44140625" style="2" customWidth="1"/>
    <col min="3087" max="3087" width="13.5546875" style="2" customWidth="1"/>
    <col min="3088" max="3088" width="2.5546875" style="2" customWidth="1"/>
    <col min="3089" max="3328" width="8.88671875" style="2"/>
    <col min="3329" max="3329" width="21.33203125" style="2" customWidth="1"/>
    <col min="3330" max="3330" width="8.88671875" style="2"/>
    <col min="3331" max="3333" width="8" style="2" customWidth="1"/>
    <col min="3334" max="3334" width="1.109375" style="2" customWidth="1"/>
    <col min="3335" max="3339" width="8" style="2" customWidth="1"/>
    <col min="3340" max="3340" width="1.33203125" style="2" customWidth="1"/>
    <col min="3341" max="3341" width="11.5546875" style="2" customWidth="1"/>
    <col min="3342" max="3342" width="8.44140625" style="2" customWidth="1"/>
    <col min="3343" max="3343" width="13.5546875" style="2" customWidth="1"/>
    <col min="3344" max="3344" width="2.5546875" style="2" customWidth="1"/>
    <col min="3345" max="3584" width="8.88671875" style="2"/>
    <col min="3585" max="3585" width="21.33203125" style="2" customWidth="1"/>
    <col min="3586" max="3586" width="8.88671875" style="2"/>
    <col min="3587" max="3589" width="8" style="2" customWidth="1"/>
    <col min="3590" max="3590" width="1.109375" style="2" customWidth="1"/>
    <col min="3591" max="3595" width="8" style="2" customWidth="1"/>
    <col min="3596" max="3596" width="1.33203125" style="2" customWidth="1"/>
    <col min="3597" max="3597" width="11.5546875" style="2" customWidth="1"/>
    <col min="3598" max="3598" width="8.44140625" style="2" customWidth="1"/>
    <col min="3599" max="3599" width="13.5546875" style="2" customWidth="1"/>
    <col min="3600" max="3600" width="2.5546875" style="2" customWidth="1"/>
    <col min="3601" max="3840" width="8.88671875" style="2"/>
    <col min="3841" max="3841" width="21.33203125" style="2" customWidth="1"/>
    <col min="3842" max="3842" width="8.88671875" style="2"/>
    <col min="3843" max="3845" width="8" style="2" customWidth="1"/>
    <col min="3846" max="3846" width="1.109375" style="2" customWidth="1"/>
    <col min="3847" max="3851" width="8" style="2" customWidth="1"/>
    <col min="3852" max="3852" width="1.33203125" style="2" customWidth="1"/>
    <col min="3853" max="3853" width="11.5546875" style="2" customWidth="1"/>
    <col min="3854" max="3854" width="8.44140625" style="2" customWidth="1"/>
    <col min="3855" max="3855" width="13.5546875" style="2" customWidth="1"/>
    <col min="3856" max="3856" width="2.5546875" style="2" customWidth="1"/>
    <col min="3857" max="4096" width="8.88671875" style="2"/>
    <col min="4097" max="4097" width="21.33203125" style="2" customWidth="1"/>
    <col min="4098" max="4098" width="8.88671875" style="2"/>
    <col min="4099" max="4101" width="8" style="2" customWidth="1"/>
    <col min="4102" max="4102" width="1.109375" style="2" customWidth="1"/>
    <col min="4103" max="4107" width="8" style="2" customWidth="1"/>
    <col min="4108" max="4108" width="1.33203125" style="2" customWidth="1"/>
    <col min="4109" max="4109" width="11.5546875" style="2" customWidth="1"/>
    <col min="4110" max="4110" width="8.44140625" style="2" customWidth="1"/>
    <col min="4111" max="4111" width="13.5546875" style="2" customWidth="1"/>
    <col min="4112" max="4112" width="2.5546875" style="2" customWidth="1"/>
    <col min="4113" max="4352" width="8.88671875" style="2"/>
    <col min="4353" max="4353" width="21.33203125" style="2" customWidth="1"/>
    <col min="4354" max="4354" width="8.88671875" style="2"/>
    <col min="4355" max="4357" width="8" style="2" customWidth="1"/>
    <col min="4358" max="4358" width="1.109375" style="2" customWidth="1"/>
    <col min="4359" max="4363" width="8" style="2" customWidth="1"/>
    <col min="4364" max="4364" width="1.33203125" style="2" customWidth="1"/>
    <col min="4365" max="4365" width="11.5546875" style="2" customWidth="1"/>
    <col min="4366" max="4366" width="8.44140625" style="2" customWidth="1"/>
    <col min="4367" max="4367" width="13.5546875" style="2" customWidth="1"/>
    <col min="4368" max="4368" width="2.5546875" style="2" customWidth="1"/>
    <col min="4369" max="4608" width="8.88671875" style="2"/>
    <col min="4609" max="4609" width="21.33203125" style="2" customWidth="1"/>
    <col min="4610" max="4610" width="8.88671875" style="2"/>
    <col min="4611" max="4613" width="8" style="2" customWidth="1"/>
    <col min="4614" max="4614" width="1.109375" style="2" customWidth="1"/>
    <col min="4615" max="4619" width="8" style="2" customWidth="1"/>
    <col min="4620" max="4620" width="1.33203125" style="2" customWidth="1"/>
    <col min="4621" max="4621" width="11.5546875" style="2" customWidth="1"/>
    <col min="4622" max="4622" width="8.44140625" style="2" customWidth="1"/>
    <col min="4623" max="4623" width="13.5546875" style="2" customWidth="1"/>
    <col min="4624" max="4624" width="2.5546875" style="2" customWidth="1"/>
    <col min="4625" max="4864" width="8.88671875" style="2"/>
    <col min="4865" max="4865" width="21.33203125" style="2" customWidth="1"/>
    <col min="4866" max="4866" width="8.88671875" style="2"/>
    <col min="4867" max="4869" width="8" style="2" customWidth="1"/>
    <col min="4870" max="4870" width="1.109375" style="2" customWidth="1"/>
    <col min="4871" max="4875" width="8" style="2" customWidth="1"/>
    <col min="4876" max="4876" width="1.33203125" style="2" customWidth="1"/>
    <col min="4877" max="4877" width="11.5546875" style="2" customWidth="1"/>
    <col min="4878" max="4878" width="8.44140625" style="2" customWidth="1"/>
    <col min="4879" max="4879" width="13.5546875" style="2" customWidth="1"/>
    <col min="4880" max="4880" width="2.5546875" style="2" customWidth="1"/>
    <col min="4881" max="5120" width="8.88671875" style="2"/>
    <col min="5121" max="5121" width="21.33203125" style="2" customWidth="1"/>
    <col min="5122" max="5122" width="8.88671875" style="2"/>
    <col min="5123" max="5125" width="8" style="2" customWidth="1"/>
    <col min="5126" max="5126" width="1.109375" style="2" customWidth="1"/>
    <col min="5127" max="5131" width="8" style="2" customWidth="1"/>
    <col min="5132" max="5132" width="1.33203125" style="2" customWidth="1"/>
    <col min="5133" max="5133" width="11.5546875" style="2" customWidth="1"/>
    <col min="5134" max="5134" width="8.44140625" style="2" customWidth="1"/>
    <col min="5135" max="5135" width="13.5546875" style="2" customWidth="1"/>
    <col min="5136" max="5136" width="2.5546875" style="2" customWidth="1"/>
    <col min="5137" max="5376" width="8.88671875" style="2"/>
    <col min="5377" max="5377" width="21.33203125" style="2" customWidth="1"/>
    <col min="5378" max="5378" width="8.88671875" style="2"/>
    <col min="5379" max="5381" width="8" style="2" customWidth="1"/>
    <col min="5382" max="5382" width="1.109375" style="2" customWidth="1"/>
    <col min="5383" max="5387" width="8" style="2" customWidth="1"/>
    <col min="5388" max="5388" width="1.33203125" style="2" customWidth="1"/>
    <col min="5389" max="5389" width="11.5546875" style="2" customWidth="1"/>
    <col min="5390" max="5390" width="8.44140625" style="2" customWidth="1"/>
    <col min="5391" max="5391" width="13.5546875" style="2" customWidth="1"/>
    <col min="5392" max="5392" width="2.5546875" style="2" customWidth="1"/>
    <col min="5393" max="5632" width="8.88671875" style="2"/>
    <col min="5633" max="5633" width="21.33203125" style="2" customWidth="1"/>
    <col min="5634" max="5634" width="8.88671875" style="2"/>
    <col min="5635" max="5637" width="8" style="2" customWidth="1"/>
    <col min="5638" max="5638" width="1.109375" style="2" customWidth="1"/>
    <col min="5639" max="5643" width="8" style="2" customWidth="1"/>
    <col min="5644" max="5644" width="1.33203125" style="2" customWidth="1"/>
    <col min="5645" max="5645" width="11.5546875" style="2" customWidth="1"/>
    <col min="5646" max="5646" width="8.44140625" style="2" customWidth="1"/>
    <col min="5647" max="5647" width="13.5546875" style="2" customWidth="1"/>
    <col min="5648" max="5648" width="2.5546875" style="2" customWidth="1"/>
    <col min="5649" max="5888" width="8.88671875" style="2"/>
    <col min="5889" max="5889" width="21.33203125" style="2" customWidth="1"/>
    <col min="5890" max="5890" width="8.88671875" style="2"/>
    <col min="5891" max="5893" width="8" style="2" customWidth="1"/>
    <col min="5894" max="5894" width="1.109375" style="2" customWidth="1"/>
    <col min="5895" max="5899" width="8" style="2" customWidth="1"/>
    <col min="5900" max="5900" width="1.33203125" style="2" customWidth="1"/>
    <col min="5901" max="5901" width="11.5546875" style="2" customWidth="1"/>
    <col min="5902" max="5902" width="8.44140625" style="2" customWidth="1"/>
    <col min="5903" max="5903" width="13.5546875" style="2" customWidth="1"/>
    <col min="5904" max="5904" width="2.5546875" style="2" customWidth="1"/>
    <col min="5905" max="6144" width="8.88671875" style="2"/>
    <col min="6145" max="6145" width="21.33203125" style="2" customWidth="1"/>
    <col min="6146" max="6146" width="8.88671875" style="2"/>
    <col min="6147" max="6149" width="8" style="2" customWidth="1"/>
    <col min="6150" max="6150" width="1.109375" style="2" customWidth="1"/>
    <col min="6151" max="6155" width="8" style="2" customWidth="1"/>
    <col min="6156" max="6156" width="1.33203125" style="2" customWidth="1"/>
    <col min="6157" max="6157" width="11.5546875" style="2" customWidth="1"/>
    <col min="6158" max="6158" width="8.44140625" style="2" customWidth="1"/>
    <col min="6159" max="6159" width="13.5546875" style="2" customWidth="1"/>
    <col min="6160" max="6160" width="2.5546875" style="2" customWidth="1"/>
    <col min="6161" max="6400" width="8.88671875" style="2"/>
    <col min="6401" max="6401" width="21.33203125" style="2" customWidth="1"/>
    <col min="6402" max="6402" width="8.88671875" style="2"/>
    <col min="6403" max="6405" width="8" style="2" customWidth="1"/>
    <col min="6406" max="6406" width="1.109375" style="2" customWidth="1"/>
    <col min="6407" max="6411" width="8" style="2" customWidth="1"/>
    <col min="6412" max="6412" width="1.33203125" style="2" customWidth="1"/>
    <col min="6413" max="6413" width="11.5546875" style="2" customWidth="1"/>
    <col min="6414" max="6414" width="8.44140625" style="2" customWidth="1"/>
    <col min="6415" max="6415" width="13.5546875" style="2" customWidth="1"/>
    <col min="6416" max="6416" width="2.5546875" style="2" customWidth="1"/>
    <col min="6417" max="6656" width="8.88671875" style="2"/>
    <col min="6657" max="6657" width="21.33203125" style="2" customWidth="1"/>
    <col min="6658" max="6658" width="8.88671875" style="2"/>
    <col min="6659" max="6661" width="8" style="2" customWidth="1"/>
    <col min="6662" max="6662" width="1.109375" style="2" customWidth="1"/>
    <col min="6663" max="6667" width="8" style="2" customWidth="1"/>
    <col min="6668" max="6668" width="1.33203125" style="2" customWidth="1"/>
    <col min="6669" max="6669" width="11.5546875" style="2" customWidth="1"/>
    <col min="6670" max="6670" width="8.44140625" style="2" customWidth="1"/>
    <col min="6671" max="6671" width="13.5546875" style="2" customWidth="1"/>
    <col min="6672" max="6672" width="2.5546875" style="2" customWidth="1"/>
    <col min="6673" max="6912" width="8.88671875" style="2"/>
    <col min="6913" max="6913" width="21.33203125" style="2" customWidth="1"/>
    <col min="6914" max="6914" width="8.88671875" style="2"/>
    <col min="6915" max="6917" width="8" style="2" customWidth="1"/>
    <col min="6918" max="6918" width="1.109375" style="2" customWidth="1"/>
    <col min="6919" max="6923" width="8" style="2" customWidth="1"/>
    <col min="6924" max="6924" width="1.33203125" style="2" customWidth="1"/>
    <col min="6925" max="6925" width="11.5546875" style="2" customWidth="1"/>
    <col min="6926" max="6926" width="8.44140625" style="2" customWidth="1"/>
    <col min="6927" max="6927" width="13.5546875" style="2" customWidth="1"/>
    <col min="6928" max="6928" width="2.5546875" style="2" customWidth="1"/>
    <col min="6929" max="7168" width="8.88671875" style="2"/>
    <col min="7169" max="7169" width="21.33203125" style="2" customWidth="1"/>
    <col min="7170" max="7170" width="8.88671875" style="2"/>
    <col min="7171" max="7173" width="8" style="2" customWidth="1"/>
    <col min="7174" max="7174" width="1.109375" style="2" customWidth="1"/>
    <col min="7175" max="7179" width="8" style="2" customWidth="1"/>
    <col min="7180" max="7180" width="1.33203125" style="2" customWidth="1"/>
    <col min="7181" max="7181" width="11.5546875" style="2" customWidth="1"/>
    <col min="7182" max="7182" width="8.44140625" style="2" customWidth="1"/>
    <col min="7183" max="7183" width="13.5546875" style="2" customWidth="1"/>
    <col min="7184" max="7184" width="2.5546875" style="2" customWidth="1"/>
    <col min="7185" max="7424" width="8.88671875" style="2"/>
    <col min="7425" max="7425" width="21.33203125" style="2" customWidth="1"/>
    <col min="7426" max="7426" width="8.88671875" style="2"/>
    <col min="7427" max="7429" width="8" style="2" customWidth="1"/>
    <col min="7430" max="7430" width="1.109375" style="2" customWidth="1"/>
    <col min="7431" max="7435" width="8" style="2" customWidth="1"/>
    <col min="7436" max="7436" width="1.33203125" style="2" customWidth="1"/>
    <col min="7437" max="7437" width="11.5546875" style="2" customWidth="1"/>
    <col min="7438" max="7438" width="8.44140625" style="2" customWidth="1"/>
    <col min="7439" max="7439" width="13.5546875" style="2" customWidth="1"/>
    <col min="7440" max="7440" width="2.5546875" style="2" customWidth="1"/>
    <col min="7441" max="7680" width="8.88671875" style="2"/>
    <col min="7681" max="7681" width="21.33203125" style="2" customWidth="1"/>
    <col min="7682" max="7682" width="8.88671875" style="2"/>
    <col min="7683" max="7685" width="8" style="2" customWidth="1"/>
    <col min="7686" max="7686" width="1.109375" style="2" customWidth="1"/>
    <col min="7687" max="7691" width="8" style="2" customWidth="1"/>
    <col min="7692" max="7692" width="1.33203125" style="2" customWidth="1"/>
    <col min="7693" max="7693" width="11.5546875" style="2" customWidth="1"/>
    <col min="7694" max="7694" width="8.44140625" style="2" customWidth="1"/>
    <col min="7695" max="7695" width="13.5546875" style="2" customWidth="1"/>
    <col min="7696" max="7696" width="2.5546875" style="2" customWidth="1"/>
    <col min="7697" max="7936" width="8.88671875" style="2"/>
    <col min="7937" max="7937" width="21.33203125" style="2" customWidth="1"/>
    <col min="7938" max="7938" width="8.88671875" style="2"/>
    <col min="7939" max="7941" width="8" style="2" customWidth="1"/>
    <col min="7942" max="7942" width="1.109375" style="2" customWidth="1"/>
    <col min="7943" max="7947" width="8" style="2" customWidth="1"/>
    <col min="7948" max="7948" width="1.33203125" style="2" customWidth="1"/>
    <col min="7949" max="7949" width="11.5546875" style="2" customWidth="1"/>
    <col min="7950" max="7950" width="8.44140625" style="2" customWidth="1"/>
    <col min="7951" max="7951" width="13.5546875" style="2" customWidth="1"/>
    <col min="7952" max="7952" width="2.5546875" style="2" customWidth="1"/>
    <col min="7953" max="8192" width="8.88671875" style="2"/>
    <col min="8193" max="8193" width="21.33203125" style="2" customWidth="1"/>
    <col min="8194" max="8194" width="8.88671875" style="2"/>
    <col min="8195" max="8197" width="8" style="2" customWidth="1"/>
    <col min="8198" max="8198" width="1.109375" style="2" customWidth="1"/>
    <col min="8199" max="8203" width="8" style="2" customWidth="1"/>
    <col min="8204" max="8204" width="1.33203125" style="2" customWidth="1"/>
    <col min="8205" max="8205" width="11.5546875" style="2" customWidth="1"/>
    <col min="8206" max="8206" width="8.44140625" style="2" customWidth="1"/>
    <col min="8207" max="8207" width="13.5546875" style="2" customWidth="1"/>
    <col min="8208" max="8208" width="2.5546875" style="2" customWidth="1"/>
    <col min="8209" max="8448" width="8.88671875" style="2"/>
    <col min="8449" max="8449" width="21.33203125" style="2" customWidth="1"/>
    <col min="8450" max="8450" width="8.88671875" style="2"/>
    <col min="8451" max="8453" width="8" style="2" customWidth="1"/>
    <col min="8454" max="8454" width="1.109375" style="2" customWidth="1"/>
    <col min="8455" max="8459" width="8" style="2" customWidth="1"/>
    <col min="8460" max="8460" width="1.33203125" style="2" customWidth="1"/>
    <col min="8461" max="8461" width="11.5546875" style="2" customWidth="1"/>
    <col min="8462" max="8462" width="8.44140625" style="2" customWidth="1"/>
    <col min="8463" max="8463" width="13.5546875" style="2" customWidth="1"/>
    <col min="8464" max="8464" width="2.5546875" style="2" customWidth="1"/>
    <col min="8465" max="8704" width="8.88671875" style="2"/>
    <col min="8705" max="8705" width="21.33203125" style="2" customWidth="1"/>
    <col min="8706" max="8706" width="8.88671875" style="2"/>
    <col min="8707" max="8709" width="8" style="2" customWidth="1"/>
    <col min="8710" max="8710" width="1.109375" style="2" customWidth="1"/>
    <col min="8711" max="8715" width="8" style="2" customWidth="1"/>
    <col min="8716" max="8716" width="1.33203125" style="2" customWidth="1"/>
    <col min="8717" max="8717" width="11.5546875" style="2" customWidth="1"/>
    <col min="8718" max="8718" width="8.44140625" style="2" customWidth="1"/>
    <col min="8719" max="8719" width="13.5546875" style="2" customWidth="1"/>
    <col min="8720" max="8720" width="2.5546875" style="2" customWidth="1"/>
    <col min="8721" max="8960" width="8.88671875" style="2"/>
    <col min="8961" max="8961" width="21.33203125" style="2" customWidth="1"/>
    <col min="8962" max="8962" width="8.88671875" style="2"/>
    <col min="8963" max="8965" width="8" style="2" customWidth="1"/>
    <col min="8966" max="8966" width="1.109375" style="2" customWidth="1"/>
    <col min="8967" max="8971" width="8" style="2" customWidth="1"/>
    <col min="8972" max="8972" width="1.33203125" style="2" customWidth="1"/>
    <col min="8973" max="8973" width="11.5546875" style="2" customWidth="1"/>
    <col min="8974" max="8974" width="8.44140625" style="2" customWidth="1"/>
    <col min="8975" max="8975" width="13.5546875" style="2" customWidth="1"/>
    <col min="8976" max="8976" width="2.5546875" style="2" customWidth="1"/>
    <col min="8977" max="9216" width="8.88671875" style="2"/>
    <col min="9217" max="9217" width="21.33203125" style="2" customWidth="1"/>
    <col min="9218" max="9218" width="8.88671875" style="2"/>
    <col min="9219" max="9221" width="8" style="2" customWidth="1"/>
    <col min="9222" max="9222" width="1.109375" style="2" customWidth="1"/>
    <col min="9223" max="9227" width="8" style="2" customWidth="1"/>
    <col min="9228" max="9228" width="1.33203125" style="2" customWidth="1"/>
    <col min="9229" max="9229" width="11.5546875" style="2" customWidth="1"/>
    <col min="9230" max="9230" width="8.44140625" style="2" customWidth="1"/>
    <col min="9231" max="9231" width="13.5546875" style="2" customWidth="1"/>
    <col min="9232" max="9232" width="2.5546875" style="2" customWidth="1"/>
    <col min="9233" max="9472" width="8.88671875" style="2"/>
    <col min="9473" max="9473" width="21.33203125" style="2" customWidth="1"/>
    <col min="9474" max="9474" width="8.88671875" style="2"/>
    <col min="9475" max="9477" width="8" style="2" customWidth="1"/>
    <col min="9478" max="9478" width="1.109375" style="2" customWidth="1"/>
    <col min="9479" max="9483" width="8" style="2" customWidth="1"/>
    <col min="9484" max="9484" width="1.33203125" style="2" customWidth="1"/>
    <col min="9485" max="9485" width="11.5546875" style="2" customWidth="1"/>
    <col min="9486" max="9486" width="8.44140625" style="2" customWidth="1"/>
    <col min="9487" max="9487" width="13.5546875" style="2" customWidth="1"/>
    <col min="9488" max="9488" width="2.5546875" style="2" customWidth="1"/>
    <col min="9489" max="9728" width="8.88671875" style="2"/>
    <col min="9729" max="9729" width="21.33203125" style="2" customWidth="1"/>
    <col min="9730" max="9730" width="8.88671875" style="2"/>
    <col min="9731" max="9733" width="8" style="2" customWidth="1"/>
    <col min="9734" max="9734" width="1.109375" style="2" customWidth="1"/>
    <col min="9735" max="9739" width="8" style="2" customWidth="1"/>
    <col min="9740" max="9740" width="1.33203125" style="2" customWidth="1"/>
    <col min="9741" max="9741" width="11.5546875" style="2" customWidth="1"/>
    <col min="9742" max="9742" width="8.44140625" style="2" customWidth="1"/>
    <col min="9743" max="9743" width="13.5546875" style="2" customWidth="1"/>
    <col min="9744" max="9744" width="2.5546875" style="2" customWidth="1"/>
    <col min="9745" max="9984" width="8.88671875" style="2"/>
    <col min="9985" max="9985" width="21.33203125" style="2" customWidth="1"/>
    <col min="9986" max="9986" width="8.88671875" style="2"/>
    <col min="9987" max="9989" width="8" style="2" customWidth="1"/>
    <col min="9990" max="9990" width="1.109375" style="2" customWidth="1"/>
    <col min="9991" max="9995" width="8" style="2" customWidth="1"/>
    <col min="9996" max="9996" width="1.33203125" style="2" customWidth="1"/>
    <col min="9997" max="9997" width="11.5546875" style="2" customWidth="1"/>
    <col min="9998" max="9998" width="8.44140625" style="2" customWidth="1"/>
    <col min="9999" max="9999" width="13.5546875" style="2" customWidth="1"/>
    <col min="10000" max="10000" width="2.5546875" style="2" customWidth="1"/>
    <col min="10001" max="10240" width="8.88671875" style="2"/>
    <col min="10241" max="10241" width="21.33203125" style="2" customWidth="1"/>
    <col min="10242" max="10242" width="8.88671875" style="2"/>
    <col min="10243" max="10245" width="8" style="2" customWidth="1"/>
    <col min="10246" max="10246" width="1.109375" style="2" customWidth="1"/>
    <col min="10247" max="10251" width="8" style="2" customWidth="1"/>
    <col min="10252" max="10252" width="1.33203125" style="2" customWidth="1"/>
    <col min="10253" max="10253" width="11.5546875" style="2" customWidth="1"/>
    <col min="10254" max="10254" width="8.44140625" style="2" customWidth="1"/>
    <col min="10255" max="10255" width="13.5546875" style="2" customWidth="1"/>
    <col min="10256" max="10256" width="2.5546875" style="2" customWidth="1"/>
    <col min="10257" max="10496" width="8.88671875" style="2"/>
    <col min="10497" max="10497" width="21.33203125" style="2" customWidth="1"/>
    <col min="10498" max="10498" width="8.88671875" style="2"/>
    <col min="10499" max="10501" width="8" style="2" customWidth="1"/>
    <col min="10502" max="10502" width="1.109375" style="2" customWidth="1"/>
    <col min="10503" max="10507" width="8" style="2" customWidth="1"/>
    <col min="10508" max="10508" width="1.33203125" style="2" customWidth="1"/>
    <col min="10509" max="10509" width="11.5546875" style="2" customWidth="1"/>
    <col min="10510" max="10510" width="8.44140625" style="2" customWidth="1"/>
    <col min="10511" max="10511" width="13.5546875" style="2" customWidth="1"/>
    <col min="10512" max="10512" width="2.5546875" style="2" customWidth="1"/>
    <col min="10513" max="10752" width="8.88671875" style="2"/>
    <col min="10753" max="10753" width="21.33203125" style="2" customWidth="1"/>
    <col min="10754" max="10754" width="8.88671875" style="2"/>
    <col min="10755" max="10757" width="8" style="2" customWidth="1"/>
    <col min="10758" max="10758" width="1.109375" style="2" customWidth="1"/>
    <col min="10759" max="10763" width="8" style="2" customWidth="1"/>
    <col min="10764" max="10764" width="1.33203125" style="2" customWidth="1"/>
    <col min="10765" max="10765" width="11.5546875" style="2" customWidth="1"/>
    <col min="10766" max="10766" width="8.44140625" style="2" customWidth="1"/>
    <col min="10767" max="10767" width="13.5546875" style="2" customWidth="1"/>
    <col min="10768" max="10768" width="2.5546875" style="2" customWidth="1"/>
    <col min="10769" max="11008" width="8.88671875" style="2"/>
    <col min="11009" max="11009" width="21.33203125" style="2" customWidth="1"/>
    <col min="11010" max="11010" width="8.88671875" style="2"/>
    <col min="11011" max="11013" width="8" style="2" customWidth="1"/>
    <col min="11014" max="11014" width="1.109375" style="2" customWidth="1"/>
    <col min="11015" max="11019" width="8" style="2" customWidth="1"/>
    <col min="11020" max="11020" width="1.33203125" style="2" customWidth="1"/>
    <col min="11021" max="11021" width="11.5546875" style="2" customWidth="1"/>
    <col min="11022" max="11022" width="8.44140625" style="2" customWidth="1"/>
    <col min="11023" max="11023" width="13.5546875" style="2" customWidth="1"/>
    <col min="11024" max="11024" width="2.5546875" style="2" customWidth="1"/>
    <col min="11025" max="11264" width="8.88671875" style="2"/>
    <col min="11265" max="11265" width="21.33203125" style="2" customWidth="1"/>
    <col min="11266" max="11266" width="8.88671875" style="2"/>
    <col min="11267" max="11269" width="8" style="2" customWidth="1"/>
    <col min="11270" max="11270" width="1.109375" style="2" customWidth="1"/>
    <col min="11271" max="11275" width="8" style="2" customWidth="1"/>
    <col min="11276" max="11276" width="1.33203125" style="2" customWidth="1"/>
    <col min="11277" max="11277" width="11.5546875" style="2" customWidth="1"/>
    <col min="11278" max="11278" width="8.44140625" style="2" customWidth="1"/>
    <col min="11279" max="11279" width="13.5546875" style="2" customWidth="1"/>
    <col min="11280" max="11280" width="2.5546875" style="2" customWidth="1"/>
    <col min="11281" max="11520" width="8.88671875" style="2"/>
    <col min="11521" max="11521" width="21.33203125" style="2" customWidth="1"/>
    <col min="11522" max="11522" width="8.88671875" style="2"/>
    <col min="11523" max="11525" width="8" style="2" customWidth="1"/>
    <col min="11526" max="11526" width="1.109375" style="2" customWidth="1"/>
    <col min="11527" max="11531" width="8" style="2" customWidth="1"/>
    <col min="11532" max="11532" width="1.33203125" style="2" customWidth="1"/>
    <col min="11533" max="11533" width="11.5546875" style="2" customWidth="1"/>
    <col min="11534" max="11534" width="8.44140625" style="2" customWidth="1"/>
    <col min="11535" max="11535" width="13.5546875" style="2" customWidth="1"/>
    <col min="11536" max="11536" width="2.5546875" style="2" customWidth="1"/>
    <col min="11537" max="11776" width="8.88671875" style="2"/>
    <col min="11777" max="11777" width="21.33203125" style="2" customWidth="1"/>
    <col min="11778" max="11778" width="8.88671875" style="2"/>
    <col min="11779" max="11781" width="8" style="2" customWidth="1"/>
    <col min="11782" max="11782" width="1.109375" style="2" customWidth="1"/>
    <col min="11783" max="11787" width="8" style="2" customWidth="1"/>
    <col min="11788" max="11788" width="1.33203125" style="2" customWidth="1"/>
    <col min="11789" max="11789" width="11.5546875" style="2" customWidth="1"/>
    <col min="11790" max="11790" width="8.44140625" style="2" customWidth="1"/>
    <col min="11791" max="11791" width="13.5546875" style="2" customWidth="1"/>
    <col min="11792" max="11792" width="2.5546875" style="2" customWidth="1"/>
    <col min="11793" max="12032" width="8.88671875" style="2"/>
    <col min="12033" max="12033" width="21.33203125" style="2" customWidth="1"/>
    <col min="12034" max="12034" width="8.88671875" style="2"/>
    <col min="12035" max="12037" width="8" style="2" customWidth="1"/>
    <col min="12038" max="12038" width="1.109375" style="2" customWidth="1"/>
    <col min="12039" max="12043" width="8" style="2" customWidth="1"/>
    <col min="12044" max="12044" width="1.33203125" style="2" customWidth="1"/>
    <col min="12045" max="12045" width="11.5546875" style="2" customWidth="1"/>
    <col min="12046" max="12046" width="8.44140625" style="2" customWidth="1"/>
    <col min="12047" max="12047" width="13.5546875" style="2" customWidth="1"/>
    <col min="12048" max="12048" width="2.5546875" style="2" customWidth="1"/>
    <col min="12049" max="12288" width="8.88671875" style="2"/>
    <col min="12289" max="12289" width="21.33203125" style="2" customWidth="1"/>
    <col min="12290" max="12290" width="8.88671875" style="2"/>
    <col min="12291" max="12293" width="8" style="2" customWidth="1"/>
    <col min="12294" max="12294" width="1.109375" style="2" customWidth="1"/>
    <col min="12295" max="12299" width="8" style="2" customWidth="1"/>
    <col min="12300" max="12300" width="1.33203125" style="2" customWidth="1"/>
    <col min="12301" max="12301" width="11.5546875" style="2" customWidth="1"/>
    <col min="12302" max="12302" width="8.44140625" style="2" customWidth="1"/>
    <col min="12303" max="12303" width="13.5546875" style="2" customWidth="1"/>
    <col min="12304" max="12304" width="2.5546875" style="2" customWidth="1"/>
    <col min="12305" max="12544" width="8.88671875" style="2"/>
    <col min="12545" max="12545" width="21.33203125" style="2" customWidth="1"/>
    <col min="12546" max="12546" width="8.88671875" style="2"/>
    <col min="12547" max="12549" width="8" style="2" customWidth="1"/>
    <col min="12550" max="12550" width="1.109375" style="2" customWidth="1"/>
    <col min="12551" max="12555" width="8" style="2" customWidth="1"/>
    <col min="12556" max="12556" width="1.33203125" style="2" customWidth="1"/>
    <col min="12557" max="12557" width="11.5546875" style="2" customWidth="1"/>
    <col min="12558" max="12558" width="8.44140625" style="2" customWidth="1"/>
    <col min="12559" max="12559" width="13.5546875" style="2" customWidth="1"/>
    <col min="12560" max="12560" width="2.5546875" style="2" customWidth="1"/>
    <col min="12561" max="12800" width="8.88671875" style="2"/>
    <col min="12801" max="12801" width="21.33203125" style="2" customWidth="1"/>
    <col min="12802" max="12802" width="8.88671875" style="2"/>
    <col min="12803" max="12805" width="8" style="2" customWidth="1"/>
    <col min="12806" max="12806" width="1.109375" style="2" customWidth="1"/>
    <col min="12807" max="12811" width="8" style="2" customWidth="1"/>
    <col min="12812" max="12812" width="1.33203125" style="2" customWidth="1"/>
    <col min="12813" max="12813" width="11.5546875" style="2" customWidth="1"/>
    <col min="12814" max="12814" width="8.44140625" style="2" customWidth="1"/>
    <col min="12815" max="12815" width="13.5546875" style="2" customWidth="1"/>
    <col min="12816" max="12816" width="2.5546875" style="2" customWidth="1"/>
    <col min="12817" max="13056" width="8.88671875" style="2"/>
    <col min="13057" max="13057" width="21.33203125" style="2" customWidth="1"/>
    <col min="13058" max="13058" width="8.88671875" style="2"/>
    <col min="13059" max="13061" width="8" style="2" customWidth="1"/>
    <col min="13062" max="13062" width="1.109375" style="2" customWidth="1"/>
    <col min="13063" max="13067" width="8" style="2" customWidth="1"/>
    <col min="13068" max="13068" width="1.33203125" style="2" customWidth="1"/>
    <col min="13069" max="13069" width="11.5546875" style="2" customWidth="1"/>
    <col min="13070" max="13070" width="8.44140625" style="2" customWidth="1"/>
    <col min="13071" max="13071" width="13.5546875" style="2" customWidth="1"/>
    <col min="13072" max="13072" width="2.5546875" style="2" customWidth="1"/>
    <col min="13073" max="13312" width="8.88671875" style="2"/>
    <col min="13313" max="13313" width="21.33203125" style="2" customWidth="1"/>
    <col min="13314" max="13314" width="8.88671875" style="2"/>
    <col min="13315" max="13317" width="8" style="2" customWidth="1"/>
    <col min="13318" max="13318" width="1.109375" style="2" customWidth="1"/>
    <col min="13319" max="13323" width="8" style="2" customWidth="1"/>
    <col min="13324" max="13324" width="1.33203125" style="2" customWidth="1"/>
    <col min="13325" max="13325" width="11.5546875" style="2" customWidth="1"/>
    <col min="13326" max="13326" width="8.44140625" style="2" customWidth="1"/>
    <col min="13327" max="13327" width="13.5546875" style="2" customWidth="1"/>
    <col min="13328" max="13328" width="2.5546875" style="2" customWidth="1"/>
    <col min="13329" max="13568" width="8.88671875" style="2"/>
    <col min="13569" max="13569" width="21.33203125" style="2" customWidth="1"/>
    <col min="13570" max="13570" width="8.88671875" style="2"/>
    <col min="13571" max="13573" width="8" style="2" customWidth="1"/>
    <col min="13574" max="13574" width="1.109375" style="2" customWidth="1"/>
    <col min="13575" max="13579" width="8" style="2" customWidth="1"/>
    <col min="13580" max="13580" width="1.33203125" style="2" customWidth="1"/>
    <col min="13581" max="13581" width="11.5546875" style="2" customWidth="1"/>
    <col min="13582" max="13582" width="8.44140625" style="2" customWidth="1"/>
    <col min="13583" max="13583" width="13.5546875" style="2" customWidth="1"/>
    <col min="13584" max="13584" width="2.5546875" style="2" customWidth="1"/>
    <col min="13585" max="13824" width="8.88671875" style="2"/>
    <col min="13825" max="13825" width="21.33203125" style="2" customWidth="1"/>
    <col min="13826" max="13826" width="8.88671875" style="2"/>
    <col min="13827" max="13829" width="8" style="2" customWidth="1"/>
    <col min="13830" max="13830" width="1.109375" style="2" customWidth="1"/>
    <col min="13831" max="13835" width="8" style="2" customWidth="1"/>
    <col min="13836" max="13836" width="1.33203125" style="2" customWidth="1"/>
    <col min="13837" max="13837" width="11.5546875" style="2" customWidth="1"/>
    <col min="13838" max="13838" width="8.44140625" style="2" customWidth="1"/>
    <col min="13839" max="13839" width="13.5546875" style="2" customWidth="1"/>
    <col min="13840" max="13840" width="2.5546875" style="2" customWidth="1"/>
    <col min="13841" max="14080" width="8.88671875" style="2"/>
    <col min="14081" max="14081" width="21.33203125" style="2" customWidth="1"/>
    <col min="14082" max="14082" width="8.88671875" style="2"/>
    <col min="14083" max="14085" width="8" style="2" customWidth="1"/>
    <col min="14086" max="14086" width="1.109375" style="2" customWidth="1"/>
    <col min="14087" max="14091" width="8" style="2" customWidth="1"/>
    <col min="14092" max="14092" width="1.33203125" style="2" customWidth="1"/>
    <col min="14093" max="14093" width="11.5546875" style="2" customWidth="1"/>
    <col min="14094" max="14094" width="8.44140625" style="2" customWidth="1"/>
    <col min="14095" max="14095" width="13.5546875" style="2" customWidth="1"/>
    <col min="14096" max="14096" width="2.5546875" style="2" customWidth="1"/>
    <col min="14097" max="14336" width="8.88671875" style="2"/>
    <col min="14337" max="14337" width="21.33203125" style="2" customWidth="1"/>
    <col min="14338" max="14338" width="8.88671875" style="2"/>
    <col min="14339" max="14341" width="8" style="2" customWidth="1"/>
    <col min="14342" max="14342" width="1.109375" style="2" customWidth="1"/>
    <col min="14343" max="14347" width="8" style="2" customWidth="1"/>
    <col min="14348" max="14348" width="1.33203125" style="2" customWidth="1"/>
    <col min="14349" max="14349" width="11.5546875" style="2" customWidth="1"/>
    <col min="14350" max="14350" width="8.44140625" style="2" customWidth="1"/>
    <col min="14351" max="14351" width="13.5546875" style="2" customWidth="1"/>
    <col min="14352" max="14352" width="2.5546875" style="2" customWidth="1"/>
    <col min="14353" max="14592" width="8.88671875" style="2"/>
    <col min="14593" max="14593" width="21.33203125" style="2" customWidth="1"/>
    <col min="14594" max="14594" width="8.88671875" style="2"/>
    <col min="14595" max="14597" width="8" style="2" customWidth="1"/>
    <col min="14598" max="14598" width="1.109375" style="2" customWidth="1"/>
    <col min="14599" max="14603" width="8" style="2" customWidth="1"/>
    <col min="14604" max="14604" width="1.33203125" style="2" customWidth="1"/>
    <col min="14605" max="14605" width="11.5546875" style="2" customWidth="1"/>
    <col min="14606" max="14606" width="8.44140625" style="2" customWidth="1"/>
    <col min="14607" max="14607" width="13.5546875" style="2" customWidth="1"/>
    <col min="14608" max="14608" width="2.5546875" style="2" customWidth="1"/>
    <col min="14609" max="14848" width="8.88671875" style="2"/>
    <col min="14849" max="14849" width="21.33203125" style="2" customWidth="1"/>
    <col min="14850" max="14850" width="8.88671875" style="2"/>
    <col min="14851" max="14853" width="8" style="2" customWidth="1"/>
    <col min="14854" max="14854" width="1.109375" style="2" customWidth="1"/>
    <col min="14855" max="14859" width="8" style="2" customWidth="1"/>
    <col min="14860" max="14860" width="1.33203125" style="2" customWidth="1"/>
    <col min="14861" max="14861" width="11.5546875" style="2" customWidth="1"/>
    <col min="14862" max="14862" width="8.44140625" style="2" customWidth="1"/>
    <col min="14863" max="14863" width="13.5546875" style="2" customWidth="1"/>
    <col min="14864" max="14864" width="2.5546875" style="2" customWidth="1"/>
    <col min="14865" max="15104" width="8.88671875" style="2"/>
    <col min="15105" max="15105" width="21.33203125" style="2" customWidth="1"/>
    <col min="15106" max="15106" width="8.88671875" style="2"/>
    <col min="15107" max="15109" width="8" style="2" customWidth="1"/>
    <col min="15110" max="15110" width="1.109375" style="2" customWidth="1"/>
    <col min="15111" max="15115" width="8" style="2" customWidth="1"/>
    <col min="15116" max="15116" width="1.33203125" style="2" customWidth="1"/>
    <col min="15117" max="15117" width="11.5546875" style="2" customWidth="1"/>
    <col min="15118" max="15118" width="8.44140625" style="2" customWidth="1"/>
    <col min="15119" max="15119" width="13.5546875" style="2" customWidth="1"/>
    <col min="15120" max="15120" width="2.5546875" style="2" customWidth="1"/>
    <col min="15121" max="15360" width="8.88671875" style="2"/>
    <col min="15361" max="15361" width="21.33203125" style="2" customWidth="1"/>
    <col min="15362" max="15362" width="8.88671875" style="2"/>
    <col min="15363" max="15365" width="8" style="2" customWidth="1"/>
    <col min="15366" max="15366" width="1.109375" style="2" customWidth="1"/>
    <col min="15367" max="15371" width="8" style="2" customWidth="1"/>
    <col min="15372" max="15372" width="1.33203125" style="2" customWidth="1"/>
    <col min="15373" max="15373" width="11.5546875" style="2" customWidth="1"/>
    <col min="15374" max="15374" width="8.44140625" style="2" customWidth="1"/>
    <col min="15375" max="15375" width="13.5546875" style="2" customWidth="1"/>
    <col min="15376" max="15376" width="2.5546875" style="2" customWidth="1"/>
    <col min="15377" max="15616" width="8.88671875" style="2"/>
    <col min="15617" max="15617" width="21.33203125" style="2" customWidth="1"/>
    <col min="15618" max="15618" width="8.88671875" style="2"/>
    <col min="15619" max="15621" width="8" style="2" customWidth="1"/>
    <col min="15622" max="15622" width="1.109375" style="2" customWidth="1"/>
    <col min="15623" max="15627" width="8" style="2" customWidth="1"/>
    <col min="15628" max="15628" width="1.33203125" style="2" customWidth="1"/>
    <col min="15629" max="15629" width="11.5546875" style="2" customWidth="1"/>
    <col min="15630" max="15630" width="8.44140625" style="2" customWidth="1"/>
    <col min="15631" max="15631" width="13.5546875" style="2" customWidth="1"/>
    <col min="15632" max="15632" width="2.5546875" style="2" customWidth="1"/>
    <col min="15633" max="15872" width="8.88671875" style="2"/>
    <col min="15873" max="15873" width="21.33203125" style="2" customWidth="1"/>
    <col min="15874" max="15874" width="8.88671875" style="2"/>
    <col min="15875" max="15877" width="8" style="2" customWidth="1"/>
    <col min="15878" max="15878" width="1.109375" style="2" customWidth="1"/>
    <col min="15879" max="15883" width="8" style="2" customWidth="1"/>
    <col min="15884" max="15884" width="1.33203125" style="2" customWidth="1"/>
    <col min="15885" max="15885" width="11.5546875" style="2" customWidth="1"/>
    <col min="15886" max="15886" width="8.44140625" style="2" customWidth="1"/>
    <col min="15887" max="15887" width="13.5546875" style="2" customWidth="1"/>
    <col min="15888" max="15888" width="2.5546875" style="2" customWidth="1"/>
    <col min="15889" max="16128" width="8.88671875" style="2"/>
    <col min="16129" max="16129" width="21.33203125" style="2" customWidth="1"/>
    <col min="16130" max="16130" width="8.88671875" style="2"/>
    <col min="16131" max="16133" width="8" style="2" customWidth="1"/>
    <col min="16134" max="16134" width="1.109375" style="2" customWidth="1"/>
    <col min="16135" max="16139" width="8" style="2" customWidth="1"/>
    <col min="16140" max="16140" width="1.33203125" style="2" customWidth="1"/>
    <col min="16141" max="16141" width="11.5546875" style="2" customWidth="1"/>
    <col min="16142" max="16142" width="8.44140625" style="2" customWidth="1"/>
    <col min="16143" max="16143" width="13.5546875" style="2" customWidth="1"/>
    <col min="16144" max="16144" width="2.5546875" style="2" customWidth="1"/>
    <col min="16145" max="16384" width="8.88671875" style="2"/>
  </cols>
  <sheetData>
    <row r="1" spans="1:18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8" x14ac:dyDescent="0.25">
      <c r="A2" s="2" t="s">
        <v>1</v>
      </c>
      <c r="B2" s="2">
        <v>30</v>
      </c>
    </row>
    <row r="3" spans="1:18" x14ac:dyDescent="0.25">
      <c r="A3" s="2" t="s">
        <v>2</v>
      </c>
      <c r="B3" s="3">
        <v>1.4</v>
      </c>
    </row>
    <row r="4" spans="1:18" x14ac:dyDescent="0.25">
      <c r="A4" s="2" t="s">
        <v>3</v>
      </c>
      <c r="B4" s="3">
        <v>0.8</v>
      </c>
    </row>
    <row r="5" spans="1:18" x14ac:dyDescent="0.25">
      <c r="A5" s="2" t="s">
        <v>4</v>
      </c>
      <c r="B5" s="3">
        <v>1.08</v>
      </c>
    </row>
    <row r="6" spans="1:18" x14ac:dyDescent="0.25">
      <c r="A6" s="2" t="s">
        <v>5</v>
      </c>
      <c r="B6" s="2">
        <f>B2</f>
        <v>30</v>
      </c>
    </row>
    <row r="7" spans="1:18" x14ac:dyDescent="0.25">
      <c r="M7" s="4" t="str">
        <f ca="1">"Formula in cell "&amp;CHAR(COLUMN(O16)+64)&amp;ROW(O16)&amp;": "&amp;_xlfn.FORMULATEXT(O16)</f>
        <v>Formula in cell O16: =$B$11^4</v>
      </c>
      <c r="N7" s="4"/>
      <c r="O7" s="4"/>
    </row>
    <row r="8" spans="1:18" ht="15.6" x14ac:dyDescent="0.35">
      <c r="A8" s="2" t="s">
        <v>6</v>
      </c>
      <c r="B8" s="5">
        <f>(B5-B4)/(B5*(B3-B4))</f>
        <v>0.43209876543209885</v>
      </c>
      <c r="C8" s="2" t="str">
        <f ca="1">_xlfn.FORMULATEXT(B8)</f>
        <v>=(B5-B4)/(B5*(B3-B4))</v>
      </c>
      <c r="M8" s="4" t="str">
        <f ca="1">"Formula in cell "&amp;CHAR(COLUMN(O18)+64)&amp;ROW(O18)&amp;": "&amp;_xlfn.FORMULATEXT(O18)</f>
        <v>Formula in cell O18: =$B$11^3*$B$12</v>
      </c>
      <c r="N8" s="4"/>
      <c r="O8" s="4"/>
    </row>
    <row r="9" spans="1:18" ht="15.6" x14ac:dyDescent="0.35">
      <c r="A9" s="2" t="s">
        <v>7</v>
      </c>
      <c r="B9" s="5">
        <f>(B3-B5)/(B5*(B3-B4))</f>
        <v>0.49382716049382697</v>
      </c>
      <c r="C9" s="2" t="str">
        <f ca="1">_xlfn.FORMULATEXT(B9)</f>
        <v>=(B3-B5)/(B5*(B3-B4))</v>
      </c>
    </row>
    <row r="10" spans="1:18" x14ac:dyDescent="0.25">
      <c r="B10" s="5"/>
      <c r="G10" s="6"/>
      <c r="H10" s="7" t="str">
        <f ca="1">"Formula in cell "&amp;CHAR(COLUMN(M16)+64)&amp;ROW(M16)&amp;" "&amp;_xlfn.FORMULATEXT(M16)</f>
        <v>Formula in cell M16 =AVERAGE(G16:K16)</v>
      </c>
      <c r="I10" s="7"/>
      <c r="J10" s="7"/>
      <c r="K10" s="7"/>
      <c r="L10" s="7"/>
      <c r="M10" s="7"/>
    </row>
    <row r="11" spans="1:18" x14ac:dyDescent="0.25">
      <c r="A11" s="2" t="s">
        <v>8</v>
      </c>
      <c r="B11" s="5">
        <f>B8*B5</f>
        <v>0.46666666666666679</v>
      </c>
      <c r="C11" s="2" t="str">
        <f ca="1">_xlfn.FORMULATEXT(B11)</f>
        <v>=B8*B5</v>
      </c>
      <c r="G11" s="6"/>
      <c r="H11" s="6"/>
      <c r="I11" s="6"/>
      <c r="J11" s="6"/>
      <c r="K11" s="6"/>
    </row>
    <row r="12" spans="1:18" ht="14.4" customHeight="1" x14ac:dyDescent="0.25">
      <c r="A12" s="2" t="s">
        <v>9</v>
      </c>
      <c r="B12" s="5">
        <f>B9*B5</f>
        <v>0.5333333333333331</v>
      </c>
      <c r="C12" s="2" t="str">
        <f ca="1">_xlfn.FORMULATEXT(B12)</f>
        <v>=B9*B5</v>
      </c>
      <c r="G12" s="6"/>
      <c r="H12" s="6"/>
      <c r="I12" s="6"/>
      <c r="J12" s="6"/>
      <c r="K12" s="6"/>
      <c r="L12" s="24" t="str">
        <f ca="1">"Formula in cell "&amp;CHAR(COLUMN(N16)+64)&amp;ROW(N16)&amp;"  "&amp;_xlfn.FORMULATEXT(N16)</f>
        <v>Formula in cell N16  =MAX(M16-$B$6,0)</v>
      </c>
      <c r="M12" s="24"/>
      <c r="N12" s="24"/>
      <c r="O12" s="24"/>
      <c r="P12" s="24"/>
      <c r="Q12" s="24"/>
      <c r="R12" s="24"/>
    </row>
    <row r="13" spans="1:18" x14ac:dyDescent="0.25">
      <c r="B13" s="5"/>
      <c r="G13" s="6"/>
      <c r="H13" s="6"/>
      <c r="I13" s="6"/>
      <c r="J13" s="6"/>
      <c r="K13" s="6"/>
    </row>
    <row r="14" spans="1:18" ht="15.6" x14ac:dyDescent="0.3">
      <c r="B14" s="5"/>
      <c r="G14" s="8" t="s">
        <v>10</v>
      </c>
      <c r="H14" s="8"/>
      <c r="I14" s="8"/>
      <c r="J14" s="8"/>
      <c r="K14" s="8"/>
    </row>
    <row r="15" spans="1:18" ht="39.6" x14ac:dyDescent="0.25">
      <c r="A15" s="6" t="s">
        <v>11</v>
      </c>
      <c r="B15" s="9" t="str">
        <f>"Period"&amp;CHAR(10)&amp;COLUMN(B2)-1</f>
        <v>Period
1</v>
      </c>
      <c r="C15" s="9" t="str">
        <f>"Period"&amp;CHAR(10)&amp;COLUMN(C2)-1</f>
        <v>Period
2</v>
      </c>
      <c r="D15" s="9" t="str">
        <f>"Period"&amp;CHAR(10)&amp;COLUMN(D2)-1</f>
        <v>Period
3</v>
      </c>
      <c r="E15" s="9" t="str">
        <f>"Period"&amp;CHAR(10)&amp;COLUMN(E2)-1</f>
        <v>Period
4</v>
      </c>
      <c r="F15" s="10"/>
      <c r="G15" s="9" t="s">
        <v>12</v>
      </c>
      <c r="H15" s="9" t="str">
        <f>B15</f>
        <v>Period
1</v>
      </c>
      <c r="I15" s="9" t="str">
        <f>C15</f>
        <v>Period
2</v>
      </c>
      <c r="J15" s="9" t="str">
        <f>D15</f>
        <v>Period
3</v>
      </c>
      <c r="K15" s="9" t="str">
        <f>E15</f>
        <v>Period
4</v>
      </c>
      <c r="M15" s="11" t="s">
        <v>13</v>
      </c>
      <c r="N15" s="11" t="s">
        <v>14</v>
      </c>
      <c r="O15" s="11" t="s">
        <v>15</v>
      </c>
    </row>
    <row r="16" spans="1:18" x14ac:dyDescent="0.25">
      <c r="A16" s="2" t="s">
        <v>16</v>
      </c>
      <c r="B16" s="12" t="s">
        <v>17</v>
      </c>
      <c r="C16" s="12" t="s">
        <v>17</v>
      </c>
      <c r="D16" s="12" t="s">
        <v>17</v>
      </c>
      <c r="E16" s="12" t="s">
        <v>17</v>
      </c>
      <c r="G16" s="3">
        <f>B2</f>
        <v>30</v>
      </c>
      <c r="H16" s="3">
        <f>IF(B16="up",G16*$B$3,B16*$B$4)</f>
        <v>42</v>
      </c>
      <c r="I16" s="3">
        <f>IF(C16="up",H16*$B$3,C16*$B$4)</f>
        <v>58.8</v>
      </c>
      <c r="J16" s="3">
        <f>IF(D16="up",I16*$B$3,D16*$B$4)</f>
        <v>82.32</v>
      </c>
      <c r="K16" s="3">
        <f>IF(E16="up",J16*$B$3,E16*$B$4)</f>
        <v>115.24799999999998</v>
      </c>
      <c r="M16" s="13">
        <f>AVERAGE(G16:K16)</f>
        <v>65.673599999999993</v>
      </c>
      <c r="N16" s="3">
        <f>MAX(M16-$B$6,0)</f>
        <v>35.673599999999993</v>
      </c>
      <c r="O16" s="5">
        <f>$B$11^4</f>
        <v>4.7427160493827204E-2</v>
      </c>
    </row>
    <row r="17" spans="1:15" x14ac:dyDescent="0.25">
      <c r="B17" s="12"/>
      <c r="C17" s="12"/>
      <c r="D17" s="12"/>
      <c r="E17" s="12"/>
      <c r="G17" s="3"/>
      <c r="H17" s="3"/>
      <c r="I17" s="3"/>
      <c r="J17" s="3"/>
      <c r="K17" s="3"/>
      <c r="M17" s="13"/>
      <c r="N17" s="3"/>
      <c r="O17" s="5"/>
    </row>
    <row r="18" spans="1:15" x14ac:dyDescent="0.25">
      <c r="A18" s="2" t="s">
        <v>18</v>
      </c>
      <c r="B18" s="12" t="s">
        <v>19</v>
      </c>
      <c r="C18" s="12" t="s">
        <v>17</v>
      </c>
      <c r="D18" s="12" t="s">
        <v>17</v>
      </c>
      <c r="E18" s="12" t="s">
        <v>17</v>
      </c>
      <c r="G18" s="3">
        <f t="shared" ref="G18:G35" si="0">$B$2</f>
        <v>30</v>
      </c>
      <c r="H18" s="3">
        <f>G18*((B18="up")*$B$3+(B18="down")*$B$4)</f>
        <v>24</v>
      </c>
      <c r="I18" s="3">
        <f>H18*((C18="up")*$B$3+(C18="down")*$B$4)</f>
        <v>33.599999999999994</v>
      </c>
      <c r="J18" s="3">
        <f>I18*((D18="up")*$B$3+(D18="down")*$B$4)</f>
        <v>47.039999999999992</v>
      </c>
      <c r="K18" s="3">
        <f>J18*((E18="up")*$B$3+(E18="down")*$B$4)</f>
        <v>65.85599999999998</v>
      </c>
      <c r="M18" s="13">
        <f>AVERAGE(G18:K18)</f>
        <v>40.099199999999996</v>
      </c>
      <c r="N18" s="3">
        <f>MAX(M18-$B$6,0)</f>
        <v>10.099199999999996</v>
      </c>
      <c r="O18" s="5">
        <f>$B$11^3*$B$12</f>
        <v>5.4202469135802483E-2</v>
      </c>
    </row>
    <row r="19" spans="1:15" x14ac:dyDescent="0.25">
      <c r="B19" s="16" t="s">
        <v>17</v>
      </c>
      <c r="C19" s="16" t="s">
        <v>19</v>
      </c>
      <c r="D19" s="16" t="s">
        <v>17</v>
      </c>
      <c r="E19" s="16" t="s">
        <v>17</v>
      </c>
      <c r="F19" s="17"/>
      <c r="G19" s="18">
        <f t="shared" si="0"/>
        <v>30</v>
      </c>
      <c r="H19" s="18">
        <f t="shared" ref="H19:K35" si="1">G19*((B19="up")*$B$3+(B19="down")*$B$4)</f>
        <v>42</v>
      </c>
      <c r="I19" s="18">
        <f t="shared" si="1"/>
        <v>33.6</v>
      </c>
      <c r="J19" s="18">
        <f t="shared" si="1"/>
        <v>47.04</v>
      </c>
      <c r="K19" s="18">
        <f t="shared" si="1"/>
        <v>65.855999999999995</v>
      </c>
      <c r="L19" s="17"/>
      <c r="M19" s="21">
        <f t="shared" ref="M19:M35" si="2">AVERAGE(G19:K19)</f>
        <v>43.699199999999998</v>
      </c>
      <c r="N19" s="22">
        <f>MAX(M19-$B$6,0)</f>
        <v>13.699199999999998</v>
      </c>
      <c r="O19" s="23">
        <f>$B$11^3*$B$12</f>
        <v>5.4202469135802483E-2</v>
      </c>
    </row>
    <row r="20" spans="1:15" x14ac:dyDescent="0.25">
      <c r="B20" s="16" t="s">
        <v>17</v>
      </c>
      <c r="C20" s="16" t="s">
        <v>17</v>
      </c>
      <c r="D20" s="16" t="s">
        <v>19</v>
      </c>
      <c r="E20" s="16" t="s">
        <v>17</v>
      </c>
      <c r="F20" s="17"/>
      <c r="G20" s="18">
        <f t="shared" si="0"/>
        <v>30</v>
      </c>
      <c r="H20" s="18">
        <f t="shared" si="1"/>
        <v>42</v>
      </c>
      <c r="I20" s="18">
        <f t="shared" si="1"/>
        <v>58.8</v>
      </c>
      <c r="J20" s="18">
        <f t="shared" si="1"/>
        <v>47.04</v>
      </c>
      <c r="K20" s="18">
        <f t="shared" si="1"/>
        <v>65.855999999999995</v>
      </c>
      <c r="L20" s="17"/>
      <c r="M20" s="19">
        <f t="shared" si="2"/>
        <v>48.739199999999997</v>
      </c>
      <c r="N20" s="18">
        <f>MAX(M20-$B$6,0)</f>
        <v>18.739199999999997</v>
      </c>
      <c r="O20" s="20">
        <f>$B$11^3*$B$12</f>
        <v>5.4202469135802483E-2</v>
      </c>
    </row>
    <row r="21" spans="1:15" x14ac:dyDescent="0.25">
      <c r="B21" s="12" t="s">
        <v>17</v>
      </c>
      <c r="C21" s="12" t="s">
        <v>17</v>
      </c>
      <c r="D21" s="12" t="s">
        <v>17</v>
      </c>
      <c r="E21" s="12" t="s">
        <v>19</v>
      </c>
      <c r="G21" s="3">
        <f t="shared" si="0"/>
        <v>30</v>
      </c>
      <c r="H21" s="3">
        <f t="shared" si="1"/>
        <v>42</v>
      </c>
      <c r="I21" s="3">
        <f t="shared" si="1"/>
        <v>58.8</v>
      </c>
      <c r="J21" s="3">
        <f t="shared" si="1"/>
        <v>82.32</v>
      </c>
      <c r="K21" s="3">
        <f t="shared" si="1"/>
        <v>65.855999999999995</v>
      </c>
      <c r="M21" s="13">
        <f t="shared" si="2"/>
        <v>55.795200000000001</v>
      </c>
      <c r="N21" s="3">
        <f>MAX(M21-$B$6,0)</f>
        <v>25.795200000000001</v>
      </c>
      <c r="O21" s="5">
        <f>$B$11^3*$B$12</f>
        <v>5.4202469135802483E-2</v>
      </c>
    </row>
    <row r="22" spans="1:15" x14ac:dyDescent="0.25">
      <c r="B22" s="12"/>
      <c r="C22" s="12"/>
      <c r="D22" s="12"/>
      <c r="E22" s="12"/>
      <c r="G22" s="3"/>
      <c r="H22" s="3"/>
      <c r="I22" s="3"/>
      <c r="J22" s="3"/>
      <c r="K22" s="3"/>
      <c r="M22" s="13"/>
      <c r="N22" s="3"/>
      <c r="O22" s="5"/>
    </row>
    <row r="23" spans="1:15" x14ac:dyDescent="0.25">
      <c r="A23" s="2" t="s">
        <v>20</v>
      </c>
      <c r="B23" s="12" t="s">
        <v>19</v>
      </c>
      <c r="C23" s="12" t="s">
        <v>19</v>
      </c>
      <c r="D23" s="12" t="s">
        <v>17</v>
      </c>
      <c r="E23" s="12" t="s">
        <v>17</v>
      </c>
      <c r="G23" s="3">
        <f t="shared" si="0"/>
        <v>30</v>
      </c>
      <c r="H23" s="3">
        <f t="shared" si="1"/>
        <v>24</v>
      </c>
      <c r="I23" s="3">
        <f t="shared" si="1"/>
        <v>19.200000000000003</v>
      </c>
      <c r="J23" s="3">
        <f t="shared" si="1"/>
        <v>26.880000000000003</v>
      </c>
      <c r="K23" s="3">
        <f t="shared" si="1"/>
        <v>37.631999999999998</v>
      </c>
      <c r="M23" s="13">
        <f t="shared" si="2"/>
        <v>27.542400000000004</v>
      </c>
      <c r="N23" s="3">
        <f t="shared" ref="N23:N28" si="3">MAX(M23-$B$6,0)</f>
        <v>0</v>
      </c>
      <c r="O23" s="5">
        <f t="shared" ref="O23:O28" si="4">$B$11^2*$B$12^2</f>
        <v>6.1945679012345656E-2</v>
      </c>
    </row>
    <row r="24" spans="1:15" x14ac:dyDescent="0.25">
      <c r="B24" s="12" t="s">
        <v>19</v>
      </c>
      <c r="C24" s="12" t="s">
        <v>17</v>
      </c>
      <c r="D24" s="12" t="s">
        <v>19</v>
      </c>
      <c r="E24" s="12" t="s">
        <v>17</v>
      </c>
      <c r="G24" s="3">
        <f t="shared" si="0"/>
        <v>30</v>
      </c>
      <c r="H24" s="3">
        <f t="shared" si="1"/>
        <v>24</v>
      </c>
      <c r="I24" s="3">
        <f t="shared" si="1"/>
        <v>33.599999999999994</v>
      </c>
      <c r="J24" s="3">
        <f t="shared" si="1"/>
        <v>26.879999999999995</v>
      </c>
      <c r="K24" s="3">
        <f t="shared" si="1"/>
        <v>37.631999999999991</v>
      </c>
      <c r="M24" s="13">
        <f t="shared" si="2"/>
        <v>30.422399999999993</v>
      </c>
      <c r="N24" s="3">
        <f t="shared" si="3"/>
        <v>0.42239999999999256</v>
      </c>
      <c r="O24" s="5">
        <f t="shared" si="4"/>
        <v>6.1945679012345656E-2</v>
      </c>
    </row>
    <row r="25" spans="1:15" x14ac:dyDescent="0.25">
      <c r="B25" s="12" t="s">
        <v>19</v>
      </c>
      <c r="C25" s="12" t="s">
        <v>17</v>
      </c>
      <c r="D25" s="12" t="s">
        <v>17</v>
      </c>
      <c r="E25" s="12" t="s">
        <v>19</v>
      </c>
      <c r="G25" s="3">
        <f t="shared" si="0"/>
        <v>30</v>
      </c>
      <c r="H25" s="3">
        <f t="shared" si="1"/>
        <v>24</v>
      </c>
      <c r="I25" s="3">
        <f t="shared" si="1"/>
        <v>33.599999999999994</v>
      </c>
      <c r="J25" s="3">
        <f t="shared" si="1"/>
        <v>47.039999999999992</v>
      </c>
      <c r="K25" s="3">
        <f t="shared" si="1"/>
        <v>37.631999999999998</v>
      </c>
      <c r="M25" s="13">
        <f t="shared" si="2"/>
        <v>34.4544</v>
      </c>
      <c r="N25" s="3">
        <f t="shared" si="3"/>
        <v>4.4543999999999997</v>
      </c>
      <c r="O25" s="5">
        <f t="shared" si="4"/>
        <v>6.1945679012345656E-2</v>
      </c>
    </row>
    <row r="26" spans="1:15" x14ac:dyDescent="0.25">
      <c r="B26" s="12" t="s">
        <v>17</v>
      </c>
      <c r="C26" s="12" t="s">
        <v>19</v>
      </c>
      <c r="D26" s="12" t="s">
        <v>19</v>
      </c>
      <c r="E26" s="12" t="s">
        <v>17</v>
      </c>
      <c r="G26" s="3">
        <f t="shared" si="0"/>
        <v>30</v>
      </c>
      <c r="H26" s="3">
        <f t="shared" si="1"/>
        <v>42</v>
      </c>
      <c r="I26" s="3">
        <f t="shared" si="1"/>
        <v>33.6</v>
      </c>
      <c r="J26" s="3">
        <f t="shared" si="1"/>
        <v>26.880000000000003</v>
      </c>
      <c r="K26" s="3">
        <f t="shared" si="1"/>
        <v>37.631999999999998</v>
      </c>
      <c r="M26" s="13">
        <f t="shared" si="2"/>
        <v>34.022399999999998</v>
      </c>
      <c r="N26" s="3">
        <f t="shared" si="3"/>
        <v>4.0223999999999975</v>
      </c>
      <c r="O26" s="5">
        <f t="shared" si="4"/>
        <v>6.1945679012345656E-2</v>
      </c>
    </row>
    <row r="27" spans="1:15" x14ac:dyDescent="0.25">
      <c r="B27" s="12" t="s">
        <v>17</v>
      </c>
      <c r="C27" s="12" t="s">
        <v>17</v>
      </c>
      <c r="D27" s="12" t="s">
        <v>19</v>
      </c>
      <c r="E27" s="12" t="s">
        <v>19</v>
      </c>
      <c r="G27" s="3">
        <f t="shared" si="0"/>
        <v>30</v>
      </c>
      <c r="H27" s="3">
        <f t="shared" si="1"/>
        <v>42</v>
      </c>
      <c r="I27" s="3">
        <f t="shared" si="1"/>
        <v>58.8</v>
      </c>
      <c r="J27" s="3">
        <f t="shared" si="1"/>
        <v>47.04</v>
      </c>
      <c r="K27" s="3">
        <f t="shared" si="1"/>
        <v>37.631999999999998</v>
      </c>
      <c r="M27" s="13">
        <f t="shared" si="2"/>
        <v>43.0944</v>
      </c>
      <c r="N27" s="3">
        <f t="shared" si="3"/>
        <v>13.0944</v>
      </c>
      <c r="O27" s="5">
        <f t="shared" si="4"/>
        <v>6.1945679012345656E-2</v>
      </c>
    </row>
    <row r="28" spans="1:15" x14ac:dyDescent="0.25">
      <c r="B28" s="12" t="s">
        <v>17</v>
      </c>
      <c r="C28" s="12" t="s">
        <v>19</v>
      </c>
      <c r="D28" s="12" t="s">
        <v>17</v>
      </c>
      <c r="E28" s="12" t="s">
        <v>19</v>
      </c>
      <c r="G28" s="3">
        <f t="shared" si="0"/>
        <v>30</v>
      </c>
      <c r="H28" s="3">
        <f t="shared" si="1"/>
        <v>42</v>
      </c>
      <c r="I28" s="3">
        <f t="shared" si="1"/>
        <v>33.6</v>
      </c>
      <c r="J28" s="3">
        <f t="shared" si="1"/>
        <v>47.04</v>
      </c>
      <c r="K28" s="3">
        <f t="shared" si="1"/>
        <v>37.631999999999998</v>
      </c>
      <c r="M28" s="13">
        <f t="shared" si="2"/>
        <v>38.054400000000001</v>
      </c>
      <c r="N28" s="3">
        <f t="shared" si="3"/>
        <v>8.0544000000000011</v>
      </c>
      <c r="O28" s="5">
        <f t="shared" si="4"/>
        <v>6.1945679012345656E-2</v>
      </c>
    </row>
    <row r="29" spans="1:15" x14ac:dyDescent="0.25">
      <c r="B29" s="12"/>
      <c r="C29" s="12"/>
      <c r="D29" s="12"/>
      <c r="E29" s="12"/>
      <c r="G29" s="3"/>
      <c r="H29" s="3"/>
      <c r="I29" s="3"/>
      <c r="J29" s="3"/>
      <c r="K29" s="3"/>
      <c r="M29" s="13"/>
      <c r="N29" s="3"/>
      <c r="O29" s="5"/>
    </row>
    <row r="30" spans="1:15" x14ac:dyDescent="0.25">
      <c r="A30" s="2" t="s">
        <v>21</v>
      </c>
      <c r="B30" s="12" t="s">
        <v>17</v>
      </c>
      <c r="C30" s="12" t="s">
        <v>19</v>
      </c>
      <c r="D30" s="12" t="s">
        <v>19</v>
      </c>
      <c r="E30" s="12" t="s">
        <v>19</v>
      </c>
      <c r="G30" s="3">
        <f t="shared" si="0"/>
        <v>30</v>
      </c>
      <c r="H30" s="3">
        <f t="shared" si="1"/>
        <v>42</v>
      </c>
      <c r="I30" s="3">
        <f t="shared" si="1"/>
        <v>33.6</v>
      </c>
      <c r="J30" s="3">
        <f t="shared" si="1"/>
        <v>26.880000000000003</v>
      </c>
      <c r="K30" s="3">
        <f t="shared" si="1"/>
        <v>21.504000000000005</v>
      </c>
      <c r="M30" s="13">
        <f t="shared" si="2"/>
        <v>30.796799999999998</v>
      </c>
      <c r="N30" s="3">
        <f>MAX(M30-$B$6,0)</f>
        <v>0.79679999999999751</v>
      </c>
      <c r="O30" s="5">
        <f>$B$11*$B$12^3</f>
        <v>7.079506172839499E-2</v>
      </c>
    </row>
    <row r="31" spans="1:15" x14ac:dyDescent="0.25">
      <c r="B31" s="12" t="s">
        <v>19</v>
      </c>
      <c r="C31" s="12" t="s">
        <v>17</v>
      </c>
      <c r="D31" s="12" t="s">
        <v>19</v>
      </c>
      <c r="E31" s="12" t="s">
        <v>19</v>
      </c>
      <c r="G31" s="3">
        <f t="shared" si="0"/>
        <v>30</v>
      </c>
      <c r="H31" s="3">
        <f t="shared" si="1"/>
        <v>24</v>
      </c>
      <c r="I31" s="3">
        <f t="shared" si="1"/>
        <v>33.599999999999994</v>
      </c>
      <c r="J31" s="3">
        <f t="shared" si="1"/>
        <v>26.879999999999995</v>
      </c>
      <c r="K31" s="3">
        <f t="shared" si="1"/>
        <v>21.503999999999998</v>
      </c>
      <c r="M31" s="13">
        <f t="shared" si="2"/>
        <v>27.196799999999996</v>
      </c>
      <c r="N31" s="3">
        <f>MAX(M31-$B$6,0)</f>
        <v>0</v>
      </c>
      <c r="O31" s="5">
        <f>$B$11*$B$12^3</f>
        <v>7.079506172839499E-2</v>
      </c>
    </row>
    <row r="32" spans="1:15" x14ac:dyDescent="0.25">
      <c r="B32" s="12" t="s">
        <v>19</v>
      </c>
      <c r="C32" s="12" t="s">
        <v>19</v>
      </c>
      <c r="D32" s="12" t="s">
        <v>17</v>
      </c>
      <c r="E32" s="12" t="s">
        <v>19</v>
      </c>
      <c r="G32" s="3">
        <f t="shared" si="0"/>
        <v>30</v>
      </c>
      <c r="H32" s="3">
        <f t="shared" si="1"/>
        <v>24</v>
      </c>
      <c r="I32" s="3">
        <f t="shared" si="1"/>
        <v>19.200000000000003</v>
      </c>
      <c r="J32" s="3">
        <f t="shared" si="1"/>
        <v>26.880000000000003</v>
      </c>
      <c r="K32" s="3">
        <f t="shared" si="1"/>
        <v>21.504000000000005</v>
      </c>
      <c r="M32" s="13">
        <f t="shared" si="2"/>
        <v>24.316800000000004</v>
      </c>
      <c r="N32" s="3">
        <f>MAX(M32-$B$6,0)</f>
        <v>0</v>
      </c>
      <c r="O32" s="5">
        <f>$B$11*$B$12^3</f>
        <v>7.079506172839499E-2</v>
      </c>
    </row>
    <row r="33" spans="1:18" x14ac:dyDescent="0.25">
      <c r="B33" s="12" t="s">
        <v>19</v>
      </c>
      <c r="C33" s="12" t="s">
        <v>19</v>
      </c>
      <c r="D33" s="12" t="s">
        <v>19</v>
      </c>
      <c r="E33" s="12" t="s">
        <v>17</v>
      </c>
      <c r="G33" s="3">
        <f t="shared" si="0"/>
        <v>30</v>
      </c>
      <c r="H33" s="3">
        <f t="shared" si="1"/>
        <v>24</v>
      </c>
      <c r="I33" s="3">
        <f t="shared" si="1"/>
        <v>19.200000000000003</v>
      </c>
      <c r="J33" s="3">
        <f t="shared" si="1"/>
        <v>15.360000000000003</v>
      </c>
      <c r="K33" s="3">
        <f t="shared" si="1"/>
        <v>21.504000000000001</v>
      </c>
      <c r="M33" s="13">
        <f t="shared" si="2"/>
        <v>22.012800000000002</v>
      </c>
      <c r="N33" s="3">
        <f>MAX(M33-$B$6,0)</f>
        <v>0</v>
      </c>
      <c r="O33" s="5">
        <f>$B$11*$B$12^3</f>
        <v>7.079506172839499E-2</v>
      </c>
    </row>
    <row r="34" spans="1:18" x14ac:dyDescent="0.25">
      <c r="B34" s="12"/>
      <c r="C34" s="12"/>
      <c r="D34" s="12"/>
      <c r="E34" s="12"/>
      <c r="G34" s="3"/>
      <c r="H34" s="3"/>
      <c r="I34" s="3"/>
      <c r="J34" s="3"/>
      <c r="K34" s="3"/>
      <c r="M34" s="13"/>
      <c r="N34" s="3"/>
      <c r="O34" s="5"/>
    </row>
    <row r="35" spans="1:18" x14ac:dyDescent="0.25">
      <c r="A35" s="2" t="s">
        <v>22</v>
      </c>
      <c r="B35" s="12" t="s">
        <v>19</v>
      </c>
      <c r="C35" s="12" t="s">
        <v>19</v>
      </c>
      <c r="D35" s="12" t="s">
        <v>19</v>
      </c>
      <c r="E35" s="12" t="s">
        <v>19</v>
      </c>
      <c r="G35" s="3">
        <f t="shared" si="0"/>
        <v>30</v>
      </c>
      <c r="H35" s="3">
        <f t="shared" si="1"/>
        <v>24</v>
      </c>
      <c r="I35" s="3">
        <f t="shared" si="1"/>
        <v>19.200000000000003</v>
      </c>
      <c r="J35" s="3">
        <f t="shared" si="1"/>
        <v>15.360000000000003</v>
      </c>
      <c r="K35" s="3">
        <f t="shared" si="1"/>
        <v>12.288000000000004</v>
      </c>
      <c r="M35" s="13">
        <f t="shared" si="2"/>
        <v>20.169600000000003</v>
      </c>
      <c r="N35" s="3">
        <f>MAX(M35-$B$6,0)</f>
        <v>0</v>
      </c>
      <c r="O35" s="5">
        <f>$B$12^4</f>
        <v>8.0908641975308518E-2</v>
      </c>
    </row>
    <row r="36" spans="1:18" x14ac:dyDescent="0.25">
      <c r="B36" s="12"/>
      <c r="C36" s="12"/>
      <c r="D36" s="12"/>
      <c r="E36" s="12"/>
    </row>
    <row r="37" spans="1:18" x14ac:dyDescent="0.25">
      <c r="B37" s="12"/>
      <c r="C37" s="12"/>
      <c r="D37" s="12"/>
      <c r="E37" s="12"/>
      <c r="M37" s="14" t="s">
        <v>23</v>
      </c>
      <c r="N37" s="15">
        <f>SUMPRODUCT(N16:N35,O16:O35)/B5^4</f>
        <v>5.3756094453744803</v>
      </c>
      <c r="R37" s="6"/>
    </row>
    <row r="38" spans="1:18" x14ac:dyDescent="0.25">
      <c r="B38" s="12"/>
      <c r="C38" s="12"/>
      <c r="D38" s="12"/>
      <c r="E38" s="12"/>
    </row>
    <row r="40" spans="1:18" x14ac:dyDescent="0.25">
      <c r="I40" s="7" t="str">
        <f ca="1">"Formula in cell "&amp;CHAR(COLUMN(N37)+64)&amp;ROW(N37)&amp;"  "&amp;_xlfn.FORMULATEXT(N37)</f>
        <v>Formula in cell N37  =SUMPRODUCT(N16:N35,O16:O35)/B5^4</v>
      </c>
      <c r="J40" s="7"/>
      <c r="K40" s="7"/>
      <c r="L40" s="7"/>
      <c r="M40" s="7"/>
      <c r="N40" s="7"/>
      <c r="O40" s="7"/>
    </row>
    <row r="46" spans="1:18" x14ac:dyDescent="0.25">
      <c r="A46" s="2">
        <f>B2</f>
        <v>30</v>
      </c>
    </row>
  </sheetData>
  <mergeCells count="4">
    <mergeCell ref="A1:O1"/>
    <mergeCell ref="H10:M10"/>
    <mergeCell ref="G14:K14"/>
    <mergeCell ref="I40:O40"/>
  </mergeCells>
  <phoneticPr fontId="1" type="noConversion"/>
  <printOptions horizontalCentered="1" headings="1" gridLines="1"/>
  <pageMargins left="0" right="0" top="0.98425196850393704" bottom="0" header="0.51181102362204722" footer="0.51181102362204722"/>
  <pageSetup scale="9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Page 629, 32</vt:lpstr>
      <vt:lpstr>'Page 629, 32'!Print_Area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2024-12-11T08:15:09Z</cp:lastPrinted>
  <dcterms:created xsi:type="dcterms:W3CDTF">2024-10-05T13:27:14Z</dcterms:created>
  <dcterms:modified xsi:type="dcterms:W3CDTF">2024-12-11T08:15:14Z</dcterms:modified>
</cp:coreProperties>
</file>