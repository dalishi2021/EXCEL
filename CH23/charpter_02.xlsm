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codeName="ThisWorkbook" defaultThemeVersion="166925"/>
  <mc:AlternateContent xmlns:mc="http://schemas.openxmlformats.org/markup-compatibility/2006">
    <mc:Choice Requires="x15">
      <x15ac:absPath xmlns:x15ac="http://schemas.microsoft.com/office/spreadsheetml/2010/11/ac" url="D:\lizhengdong\交易框架\5_工具箱\_书库\编程\Excel\CH23\"/>
    </mc:Choice>
  </mc:AlternateContent>
  <xr:revisionPtr revIDLastSave="0" documentId="13_ncr:1_{5CB95725-1853-4450-A1A5-7B5B44D527BF}" xr6:coauthVersionLast="47" xr6:coauthVersionMax="47" xr10:uidLastSave="{00000000-0000-0000-0000-000000000000}"/>
  <bookViews>
    <workbookView xWindow="-38520" yWindow="-120" windowWidth="38640" windowHeight="21120" activeTab="1" xr2:uid="{EA6F33A8-FE0E-48B1-8C74-8B2321C6BA8B}"/>
  </bookViews>
  <sheets>
    <sheet name="Sheet1" sheetId="1" r:id="rId1"/>
    <sheet name="Page 618" sheetId="2" r:id="rId2"/>
  </sheets>
  <externalReferences>
    <externalReference r:id="rId3"/>
    <externalReference r:id="rId4"/>
  </externalReferences>
  <definedNames>
    <definedName name="Call">#REF!</definedName>
    <definedName name="down" localSheetId="1">'Page 618'!$B$6</definedName>
    <definedName name="down">#REF!</definedName>
    <definedName name="implied_call_volatility">'[2]Page 304'!$B$13</definedName>
    <definedName name="Interest">'[2]Page 300'!$B$6</definedName>
    <definedName name="q_down" localSheetId="1">'Page 618'!$B$11</definedName>
    <definedName name="q_down">#REF!</definedName>
    <definedName name="q_up" localSheetId="1">'Page 618'!$B$10</definedName>
    <definedName name="q_up">#REF!</definedName>
    <definedName name="R_" localSheetId="1">'Page 618'!$B$7</definedName>
    <definedName name="R_">#REF!</definedName>
    <definedName name="s">'[2]Page 300'!$B$3</definedName>
    <definedName name="sigma">'[2]Page 300'!$B$7</definedName>
    <definedName name="T">'[2]Page 300'!$B$5</definedName>
    <definedName name="target_call_price">'[2]Page 304'!$B$11</definedName>
    <definedName name="up" localSheetId="1">'Page 618'!$B$5</definedName>
    <definedName name="up">#REF!</definedName>
    <definedName name="X">'[2]Page 300'!$B$4</definedName>
  </definedNames>
  <calcPr calcId="191029" iterate="1" iterateDelta="1.0000000000000001E-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1" i="2" l="1"/>
  <c r="B30" i="2"/>
  <c r="B29" i="2"/>
  <c r="IV19" i="2"/>
  <c r="HY19" i="2"/>
  <c r="HP19" i="2"/>
  <c r="GS19" i="2"/>
  <c r="GJ19" i="2"/>
  <c r="FM19" i="2"/>
  <c r="FD19" i="2"/>
  <c r="EH19" i="2"/>
  <c r="EF19" i="2"/>
  <c r="DF19" i="2"/>
  <c r="DD19" i="2"/>
  <c r="CK19" i="2"/>
  <c r="CF19" i="2"/>
  <c r="BL19" i="2"/>
  <c r="BI19" i="2"/>
  <c r="AP19" i="2"/>
  <c r="AN19" i="2"/>
  <c r="R19" i="2"/>
  <c r="N19" i="2"/>
  <c r="IQ18" i="2"/>
  <c r="IO18" i="2"/>
  <c r="HW18" i="2"/>
  <c r="HS18" i="2"/>
  <c r="HA18" i="2"/>
  <c r="GW18" i="2"/>
  <c r="GE18" i="2"/>
  <c r="GC18" i="2"/>
  <c r="FK18" i="2"/>
  <c r="FG18" i="2"/>
  <c r="EO18" i="2"/>
  <c r="EK18" i="2"/>
  <c r="DS18" i="2"/>
  <c r="DQ18" i="2"/>
  <c r="CY18" i="2"/>
  <c r="CU18" i="2"/>
  <c r="CC18" i="2"/>
  <c r="BY18" i="2"/>
  <c r="BG18" i="2"/>
  <c r="BE18" i="2"/>
  <c r="AM18" i="2"/>
  <c r="AI18" i="2"/>
  <c r="Q18" i="2"/>
  <c r="M18" i="2"/>
  <c r="B11" i="2"/>
  <c r="B15" i="2" s="1"/>
  <c r="ID19" i="2" s="1"/>
  <c r="B10" i="2"/>
  <c r="C32" i="2"/>
  <c r="C31" i="2"/>
  <c r="C30" i="2"/>
  <c r="C29" i="2"/>
  <c r="C25" i="2"/>
  <c r="C15" i="2"/>
  <c r="C14" i="2"/>
  <c r="C11" i="2"/>
  <c r="C10" i="2"/>
  <c r="G8" i="2"/>
  <c r="AQ19" i="2" l="1"/>
  <c r="K18" i="2"/>
  <c r="AG18" i="2"/>
  <c r="BC18" i="2"/>
  <c r="BW18" i="2"/>
  <c r="CS18" i="2"/>
  <c r="DO18" i="2"/>
  <c r="EI18" i="2"/>
  <c r="FE18" i="2"/>
  <c r="GA18" i="2"/>
  <c r="GU18" i="2"/>
  <c r="HQ18" i="2"/>
  <c r="IM18" i="2"/>
  <c r="L19" i="2"/>
  <c r="AI19" i="2"/>
  <c r="AI21" i="2" s="1"/>
  <c r="AI22" i="2" s="1"/>
  <c r="AI23" i="2" s="1"/>
  <c r="BG19" i="2"/>
  <c r="BG21" i="2" s="1"/>
  <c r="BG22" i="2" s="1"/>
  <c r="BG23" i="2" s="1"/>
  <c r="CD19" i="2"/>
  <c r="DB19" i="2"/>
  <c r="DZ19" i="2"/>
  <c r="FA19" i="2"/>
  <c r="GG19" i="2"/>
  <c r="HM19" i="2"/>
  <c r="IS19" i="2"/>
  <c r="L18" i="2"/>
  <c r="AH18" i="2"/>
  <c r="BD18" i="2"/>
  <c r="BX18" i="2"/>
  <c r="CT18" i="2"/>
  <c r="DP18" i="2"/>
  <c r="EJ18" i="2"/>
  <c r="FF18" i="2"/>
  <c r="GB18" i="2"/>
  <c r="GV18" i="2"/>
  <c r="HR18" i="2"/>
  <c r="IN18" i="2"/>
  <c r="M19" i="2"/>
  <c r="M21" i="2" s="1"/>
  <c r="M22" i="2" s="1"/>
  <c r="M23" i="2" s="1"/>
  <c r="AJ19" i="2"/>
  <c r="BH19" i="2"/>
  <c r="CE19" i="2"/>
  <c r="DC19" i="2"/>
  <c r="EA19" i="2"/>
  <c r="FB19" i="2"/>
  <c r="GH19" i="2"/>
  <c r="HN19" i="2"/>
  <c r="IT19" i="2"/>
  <c r="B32" i="2"/>
  <c r="B14" i="2"/>
  <c r="O18" i="2"/>
  <c r="AJ18" i="2"/>
  <c r="BF18" i="2"/>
  <c r="CA18" i="2"/>
  <c r="CV18" i="2"/>
  <c r="DR18" i="2"/>
  <c r="EM18" i="2"/>
  <c r="FH18" i="2"/>
  <c r="GD18" i="2"/>
  <c r="GY18" i="2"/>
  <c r="HT18" i="2"/>
  <c r="IP18" i="2"/>
  <c r="P19" i="2"/>
  <c r="AO19" i="2"/>
  <c r="BJ19" i="2"/>
  <c r="CJ19" i="2"/>
  <c r="DE19" i="2"/>
  <c r="EG19" i="2"/>
  <c r="FL19" i="2"/>
  <c r="GR19" i="2"/>
  <c r="HX19" i="2"/>
  <c r="BH18" i="2"/>
  <c r="S18" i="2"/>
  <c r="AO18" i="2"/>
  <c r="BI18" i="2"/>
  <c r="BI21" i="2" s="1"/>
  <c r="BI22" i="2" s="1"/>
  <c r="BI23" i="2" s="1"/>
  <c r="CE18" i="2"/>
  <c r="DA18" i="2"/>
  <c r="DU18" i="2"/>
  <c r="EQ18" i="2"/>
  <c r="FM18" i="2"/>
  <c r="FM21" i="2" s="1"/>
  <c r="FM22" i="2" s="1"/>
  <c r="FM23" i="2" s="1"/>
  <c r="GG18" i="2"/>
  <c r="HC18" i="2"/>
  <c r="HY18" i="2"/>
  <c r="HY21" i="2" s="1"/>
  <c r="HY22" i="2" s="1"/>
  <c r="HY23" i="2" s="1"/>
  <c r="IS18" i="2"/>
  <c r="T19" i="2"/>
  <c r="AR19" i="2"/>
  <c r="BO19" i="2"/>
  <c r="CM19" i="2"/>
  <c r="DJ19" i="2"/>
  <c r="EJ19" i="2"/>
  <c r="FO19" i="2"/>
  <c r="GU19" i="2"/>
  <c r="IA19" i="2"/>
  <c r="R18" i="2"/>
  <c r="R21" i="2" s="1"/>
  <c r="R22" i="2" s="1"/>
  <c r="R23" i="2" s="1"/>
  <c r="HB18" i="2"/>
  <c r="EI19" i="2"/>
  <c r="T18" i="2"/>
  <c r="AP18" i="2"/>
  <c r="AP21" i="2" s="1"/>
  <c r="AP22" i="2" s="1"/>
  <c r="AP23" i="2" s="1"/>
  <c r="BK18" i="2"/>
  <c r="CF18" i="2"/>
  <c r="CF21" i="2" s="1"/>
  <c r="CF22" i="2" s="1"/>
  <c r="CF23" i="2" s="1"/>
  <c r="DB18" i="2"/>
  <c r="DB21" i="2" s="1"/>
  <c r="DB22" i="2" s="1"/>
  <c r="DB23" i="2" s="1"/>
  <c r="DW18" i="2"/>
  <c r="ER18" i="2"/>
  <c r="FN18" i="2"/>
  <c r="GI18" i="2"/>
  <c r="HD18" i="2"/>
  <c r="HZ18" i="2"/>
  <c r="IU18" i="2"/>
  <c r="X19" i="2"/>
  <c r="AS19" i="2"/>
  <c r="BP19" i="2"/>
  <c r="CN19" i="2"/>
  <c r="DK19" i="2"/>
  <c r="EK19" i="2"/>
  <c r="EK21" i="2" s="1"/>
  <c r="EK22" i="2" s="1"/>
  <c r="EK23" i="2" s="1"/>
  <c r="FP19" i="2"/>
  <c r="GV19" i="2"/>
  <c r="IB19" i="2"/>
  <c r="GF18" i="2"/>
  <c r="W18" i="2"/>
  <c r="AQ18" i="2"/>
  <c r="BM18" i="2"/>
  <c r="CI18" i="2"/>
  <c r="DC18" i="2"/>
  <c r="DY18" i="2"/>
  <c r="EU18" i="2"/>
  <c r="FO18" i="2"/>
  <c r="GK18" i="2"/>
  <c r="HG18" i="2"/>
  <c r="IA18" i="2"/>
  <c r="B19" i="2"/>
  <c r="Y19" i="2"/>
  <c r="AT19" i="2"/>
  <c r="BT19" i="2"/>
  <c r="CO19" i="2"/>
  <c r="DP19" i="2"/>
  <c r="EL19" i="2"/>
  <c r="FQ19" i="2"/>
  <c r="GW19" i="2"/>
  <c r="GW21" i="2" s="1"/>
  <c r="GW22" i="2" s="1"/>
  <c r="GW23" i="2" s="1"/>
  <c r="IC19" i="2"/>
  <c r="CD18" i="2"/>
  <c r="B18" i="2"/>
  <c r="X18" i="2"/>
  <c r="AR18" i="2"/>
  <c r="BN18" i="2"/>
  <c r="CJ18" i="2"/>
  <c r="DD18" i="2"/>
  <c r="DD21" i="2" s="1"/>
  <c r="DD22" i="2" s="1"/>
  <c r="DD23" i="2" s="1"/>
  <c r="DZ18" i="2"/>
  <c r="EV18" i="2"/>
  <c r="FP18" i="2"/>
  <c r="GL18" i="2"/>
  <c r="HH18" i="2"/>
  <c r="IB18" i="2"/>
  <c r="C19" i="2"/>
  <c r="Z19" i="2"/>
  <c r="AV19" i="2"/>
  <c r="BU19" i="2"/>
  <c r="CP19" i="2"/>
  <c r="DQ19" i="2"/>
  <c r="DQ21" i="2" s="1"/>
  <c r="DQ22" i="2" s="1"/>
  <c r="DQ23" i="2" s="1"/>
  <c r="EN19" i="2"/>
  <c r="FR19" i="2"/>
  <c r="GX19" i="2"/>
  <c r="IM19" i="2"/>
  <c r="HW19" i="2"/>
  <c r="HW21" i="2" s="1"/>
  <c r="HW22" i="2" s="1"/>
  <c r="HW23" i="2" s="1"/>
  <c r="HG19" i="2"/>
  <c r="GQ19" i="2"/>
  <c r="GA19" i="2"/>
  <c r="FK19" i="2"/>
  <c r="FK21" i="2" s="1"/>
  <c r="FK22" i="2" s="1"/>
  <c r="FK23" i="2" s="1"/>
  <c r="EU19" i="2"/>
  <c r="EE19" i="2"/>
  <c r="DO19" i="2"/>
  <c r="CY19" i="2"/>
  <c r="CY21" i="2" s="1"/>
  <c r="CY22" i="2" s="1"/>
  <c r="CY23" i="2" s="1"/>
  <c r="CI19" i="2"/>
  <c r="BS19" i="2"/>
  <c r="BC19" i="2"/>
  <c r="AM19" i="2"/>
  <c r="AM21" i="2" s="1"/>
  <c r="AM22" i="2" s="1"/>
  <c r="AM23" i="2" s="1"/>
  <c r="W19" i="2"/>
  <c r="G19" i="2"/>
  <c r="IL18" i="2"/>
  <c r="HV18" i="2"/>
  <c r="HF18" i="2"/>
  <c r="GP18" i="2"/>
  <c r="FZ18" i="2"/>
  <c r="FJ18" i="2"/>
  <c r="ET18" i="2"/>
  <c r="ED18" i="2"/>
  <c r="DN18" i="2"/>
  <c r="CX18" i="2"/>
  <c r="CH18" i="2"/>
  <c r="BR18" i="2"/>
  <c r="BB18" i="2"/>
  <c r="AL18" i="2"/>
  <c r="V18" i="2"/>
  <c r="F18" i="2"/>
  <c r="HU19" i="2"/>
  <c r="FI19" i="2"/>
  <c r="DM19" i="2"/>
  <c r="CG19" i="2"/>
  <c r="AK19" i="2"/>
  <c r="IL19" i="2"/>
  <c r="HV19" i="2"/>
  <c r="HF19" i="2"/>
  <c r="GP19" i="2"/>
  <c r="FZ19" i="2"/>
  <c r="FJ19" i="2"/>
  <c r="ET19" i="2"/>
  <c r="ED19" i="2"/>
  <c r="DN19" i="2"/>
  <c r="CX19" i="2"/>
  <c r="CH19" i="2"/>
  <c r="BR19" i="2"/>
  <c r="BB19" i="2"/>
  <c r="AL19" i="2"/>
  <c r="V19" i="2"/>
  <c r="F19" i="2"/>
  <c r="IK18" i="2"/>
  <c r="HU18" i="2"/>
  <c r="HE18" i="2"/>
  <c r="GO18" i="2"/>
  <c r="FY18" i="2"/>
  <c r="FI18" i="2"/>
  <c r="ES18" i="2"/>
  <c r="EC18" i="2"/>
  <c r="DM18" i="2"/>
  <c r="CW18" i="2"/>
  <c r="CG18" i="2"/>
  <c r="BQ18" i="2"/>
  <c r="BA18" i="2"/>
  <c r="AK18" i="2"/>
  <c r="U18" i="2"/>
  <c r="E18" i="2"/>
  <c r="EC19" i="2"/>
  <c r="BQ19" i="2"/>
  <c r="U19" i="2"/>
  <c r="IK19" i="2"/>
  <c r="HE19" i="2"/>
  <c r="GO19" i="2"/>
  <c r="FY19" i="2"/>
  <c r="ES19" i="2"/>
  <c r="CW19" i="2"/>
  <c r="BA19" i="2"/>
  <c r="IJ19" i="2"/>
  <c r="HT19" i="2"/>
  <c r="HD19" i="2"/>
  <c r="GN19" i="2"/>
  <c r="FX19" i="2"/>
  <c r="FH19" i="2"/>
  <c r="ER19" i="2"/>
  <c r="EB19" i="2"/>
  <c r="DL19" i="2"/>
  <c r="II19" i="2"/>
  <c r="HS19" i="2"/>
  <c r="HS21" i="2" s="1"/>
  <c r="HS22" i="2" s="1"/>
  <c r="HS23" i="2" s="1"/>
  <c r="HC19" i="2"/>
  <c r="GM19" i="2"/>
  <c r="FW19" i="2"/>
  <c r="FG19" i="2"/>
  <c r="FG21" i="2" s="1"/>
  <c r="FG22" i="2" s="1"/>
  <c r="FG23" i="2" s="1"/>
  <c r="IH19" i="2"/>
  <c r="HR19" i="2"/>
  <c r="HB19" i="2"/>
  <c r="GL19" i="2"/>
  <c r="FV19" i="2"/>
  <c r="FF19" i="2"/>
  <c r="EP19" i="2"/>
  <c r="IG19" i="2"/>
  <c r="HQ19" i="2"/>
  <c r="HA19" i="2"/>
  <c r="HA21" i="2" s="1"/>
  <c r="HA22" i="2" s="1"/>
  <c r="HA23" i="2" s="1"/>
  <c r="GK19" i="2"/>
  <c r="FU19" i="2"/>
  <c r="FE19" i="2"/>
  <c r="EO19" i="2"/>
  <c r="EO21" i="2" s="1"/>
  <c r="EO22" i="2" s="1"/>
  <c r="EO23" i="2" s="1"/>
  <c r="DY19" i="2"/>
  <c r="DI19" i="2"/>
  <c r="CS19" i="2"/>
  <c r="CC19" i="2"/>
  <c r="CC21" i="2" s="1"/>
  <c r="CC22" i="2" s="1"/>
  <c r="CC23" i="2" s="1"/>
  <c r="BM19" i="2"/>
  <c r="AW19" i="2"/>
  <c r="AG19" i="2"/>
  <c r="Q19" i="2"/>
  <c r="Q21" i="2" s="1"/>
  <c r="Q22" i="2" s="1"/>
  <c r="Q23" i="2" s="1"/>
  <c r="IV18" i="2"/>
  <c r="IV21" i="2" s="1"/>
  <c r="IV22" i="2" s="1"/>
  <c r="IV23" i="2" s="1"/>
  <c r="IF18" i="2"/>
  <c r="HP18" i="2"/>
  <c r="HP21" i="2" s="1"/>
  <c r="HP22" i="2" s="1"/>
  <c r="HP23" i="2" s="1"/>
  <c r="GZ18" i="2"/>
  <c r="GJ18" i="2"/>
  <c r="GJ21" i="2" s="1"/>
  <c r="GJ22" i="2" s="1"/>
  <c r="GJ23" i="2" s="1"/>
  <c r="FT18" i="2"/>
  <c r="FD18" i="2"/>
  <c r="FD21" i="2" s="1"/>
  <c r="FD22" i="2" s="1"/>
  <c r="FD23" i="2" s="1"/>
  <c r="EN18" i="2"/>
  <c r="DX18" i="2"/>
  <c r="DH18" i="2"/>
  <c r="CR18" i="2"/>
  <c r="CB18" i="2"/>
  <c r="BL18" i="2"/>
  <c r="BL21" i="2" s="1"/>
  <c r="BL22" i="2" s="1"/>
  <c r="BL23" i="2" s="1"/>
  <c r="AV18" i="2"/>
  <c r="AF18" i="2"/>
  <c r="P18" i="2"/>
  <c r="IU19" i="2"/>
  <c r="IE19" i="2"/>
  <c r="HO19" i="2"/>
  <c r="GY19" i="2"/>
  <c r="GI19" i="2"/>
  <c r="FS19" i="2"/>
  <c r="FC19" i="2"/>
  <c r="EM19" i="2"/>
  <c r="DW19" i="2"/>
  <c r="DG19" i="2"/>
  <c r="CQ19" i="2"/>
  <c r="CA19" i="2"/>
  <c r="BK19" i="2"/>
  <c r="AU19" i="2"/>
  <c r="AE19" i="2"/>
  <c r="O19" i="2"/>
  <c r="IT18" i="2"/>
  <c r="ID18" i="2"/>
  <c r="ID21" i="2" s="1"/>
  <c r="ID22" i="2" s="1"/>
  <c r="ID23" i="2" s="1"/>
  <c r="HN18" i="2"/>
  <c r="GX18" i="2"/>
  <c r="GH18" i="2"/>
  <c r="FR18" i="2"/>
  <c r="FB18" i="2"/>
  <c r="EL18" i="2"/>
  <c r="DV18" i="2"/>
  <c r="DF18" i="2"/>
  <c r="DF21" i="2" s="1"/>
  <c r="DF22" i="2" s="1"/>
  <c r="DF23" i="2" s="1"/>
  <c r="CP18" i="2"/>
  <c r="BZ18" i="2"/>
  <c r="BJ18" i="2"/>
  <c r="AT18" i="2"/>
  <c r="AD18" i="2"/>
  <c r="N18" i="2"/>
  <c r="N21" i="2" s="1"/>
  <c r="N22" i="2" s="1"/>
  <c r="N23" i="2" s="1"/>
  <c r="EP18" i="2"/>
  <c r="EP21" i="2" s="1"/>
  <c r="EP22" i="2" s="1"/>
  <c r="EP23" i="2" s="1"/>
  <c r="S19" i="2"/>
  <c r="HZ19" i="2"/>
  <c r="C18" i="2"/>
  <c r="C21" i="2" s="1"/>
  <c r="C22" i="2" s="1"/>
  <c r="C23" i="2" s="1"/>
  <c r="Y18" i="2"/>
  <c r="AS18" i="2"/>
  <c r="BO18" i="2"/>
  <c r="CK18" i="2"/>
  <c r="CK21" i="2" s="1"/>
  <c r="CK22" i="2" s="1"/>
  <c r="CK23" i="2" s="1"/>
  <c r="DE18" i="2"/>
  <c r="EA18" i="2"/>
  <c r="EW18" i="2"/>
  <c r="FQ18" i="2"/>
  <c r="FQ21" i="2" s="1"/>
  <c r="FQ22" i="2" s="1"/>
  <c r="FQ23" i="2" s="1"/>
  <c r="GM18" i="2"/>
  <c r="HI18" i="2"/>
  <c r="IC18" i="2"/>
  <c r="D19" i="2"/>
  <c r="AA19" i="2"/>
  <c r="AX19" i="2"/>
  <c r="BV19" i="2"/>
  <c r="CR19" i="2"/>
  <c r="DR19" i="2"/>
  <c r="EQ19" i="2"/>
  <c r="FT19" i="2"/>
  <c r="GZ19" i="2"/>
  <c r="IF19" i="2"/>
  <c r="FL18" i="2"/>
  <c r="FL21" i="2" s="1"/>
  <c r="FL22" i="2" s="1"/>
  <c r="FL23" i="2" s="1"/>
  <c r="CL19" i="2"/>
  <c r="D18" i="2"/>
  <c r="Z18" i="2"/>
  <c r="AU18" i="2"/>
  <c r="BP18" i="2"/>
  <c r="CL18" i="2"/>
  <c r="DG18" i="2"/>
  <c r="EB18" i="2"/>
  <c r="EX18" i="2"/>
  <c r="FS18" i="2"/>
  <c r="GN18" i="2"/>
  <c r="HJ18" i="2"/>
  <c r="IE18" i="2"/>
  <c r="E19" i="2"/>
  <c r="AB19" i="2"/>
  <c r="AY19" i="2"/>
  <c r="BW19" i="2"/>
  <c r="CT19" i="2"/>
  <c r="DS19" i="2"/>
  <c r="DS21" i="2" s="1"/>
  <c r="DS22" i="2" s="1"/>
  <c r="DS23" i="2" s="1"/>
  <c r="EV19" i="2"/>
  <c r="GB19" i="2"/>
  <c r="HH19" i="2"/>
  <c r="IN19" i="2"/>
  <c r="DT18" i="2"/>
  <c r="BN19" i="2"/>
  <c r="AA18" i="2"/>
  <c r="AW18" i="2"/>
  <c r="CM18" i="2"/>
  <c r="DI18" i="2"/>
  <c r="EE18" i="2"/>
  <c r="EY18" i="2"/>
  <c r="FU18" i="2"/>
  <c r="GQ18" i="2"/>
  <c r="HK18" i="2"/>
  <c r="IG18" i="2"/>
  <c r="H19" i="2"/>
  <c r="AC19" i="2"/>
  <c r="AZ19" i="2"/>
  <c r="BX19" i="2"/>
  <c r="CU19" i="2"/>
  <c r="CU21" i="2" s="1"/>
  <c r="CU22" i="2" s="1"/>
  <c r="CU23" i="2" s="1"/>
  <c r="DT19" i="2"/>
  <c r="EW19" i="2"/>
  <c r="GC19" i="2"/>
  <c r="GC21" i="2" s="1"/>
  <c r="GC22" i="2" s="1"/>
  <c r="GC23" i="2" s="1"/>
  <c r="HI19" i="2"/>
  <c r="IO19" i="2"/>
  <c r="IO21" i="2" s="1"/>
  <c r="IO22" i="2" s="1"/>
  <c r="IO23" i="2" s="1"/>
  <c r="DH19" i="2"/>
  <c r="G18" i="2"/>
  <c r="BS18" i="2"/>
  <c r="H18" i="2"/>
  <c r="AB18" i="2"/>
  <c r="AX18" i="2"/>
  <c r="BT18" i="2"/>
  <c r="CN18" i="2"/>
  <c r="DJ18" i="2"/>
  <c r="EF18" i="2"/>
  <c r="EF21" i="2" s="1"/>
  <c r="EF22" i="2" s="1"/>
  <c r="EF23" i="2" s="1"/>
  <c r="EZ18" i="2"/>
  <c r="FV18" i="2"/>
  <c r="GR18" i="2"/>
  <c r="HL18" i="2"/>
  <c r="IH18" i="2"/>
  <c r="I19" i="2"/>
  <c r="AD19" i="2"/>
  <c r="BD19" i="2"/>
  <c r="BY19" i="2"/>
  <c r="BY21" i="2" s="1"/>
  <c r="BY22" i="2" s="1"/>
  <c r="BY23" i="2" s="1"/>
  <c r="CV19" i="2"/>
  <c r="DU19" i="2"/>
  <c r="EX19" i="2"/>
  <c r="GD19" i="2"/>
  <c r="HJ19" i="2"/>
  <c r="IP19" i="2"/>
  <c r="AN18" i="2"/>
  <c r="AN21" i="2" s="1"/>
  <c r="AN22" i="2" s="1"/>
  <c r="AN23" i="2" s="1"/>
  <c r="HX18" i="2"/>
  <c r="HX21" i="2" s="1"/>
  <c r="HX22" i="2" s="1"/>
  <c r="HX23" i="2" s="1"/>
  <c r="GT19" i="2"/>
  <c r="I18" i="2"/>
  <c r="AC18" i="2"/>
  <c r="AY18" i="2"/>
  <c r="BU18" i="2"/>
  <c r="BU21" i="2" s="1"/>
  <c r="BU22" i="2" s="1"/>
  <c r="BU23" i="2" s="1"/>
  <c r="CO18" i="2"/>
  <c r="DK18" i="2"/>
  <c r="EG18" i="2"/>
  <c r="EG21" i="2" s="1"/>
  <c r="EG22" i="2" s="1"/>
  <c r="EG23" i="2" s="1"/>
  <c r="FA18" i="2"/>
  <c r="FW18" i="2"/>
  <c r="GS18" i="2"/>
  <c r="GS21" i="2" s="1"/>
  <c r="GS22" i="2" s="1"/>
  <c r="GS23" i="2" s="1"/>
  <c r="HM18" i="2"/>
  <c r="II18" i="2"/>
  <c r="J19" i="2"/>
  <c r="AF19" i="2"/>
  <c r="BE19" i="2"/>
  <c r="BE21" i="2" s="1"/>
  <c r="BE22" i="2" s="1"/>
  <c r="BE23" i="2" s="1"/>
  <c r="BZ19" i="2"/>
  <c r="CZ19" i="2"/>
  <c r="DV19" i="2"/>
  <c r="EY19" i="2"/>
  <c r="GE19" i="2"/>
  <c r="GE21" i="2" s="1"/>
  <c r="GE22" i="2" s="1"/>
  <c r="GE23" i="2" s="1"/>
  <c r="HK19" i="2"/>
  <c r="IQ19" i="2"/>
  <c r="IQ21" i="2" s="1"/>
  <c r="IQ22" i="2" s="1"/>
  <c r="IQ23" i="2" s="1"/>
  <c r="CZ18" i="2"/>
  <c r="IR18" i="2"/>
  <c r="FN19" i="2"/>
  <c r="J18" i="2"/>
  <c r="AE18" i="2"/>
  <c r="AE21" i="2" s="1"/>
  <c r="AE22" i="2" s="1"/>
  <c r="AE23" i="2" s="1"/>
  <c r="AZ18" i="2"/>
  <c r="BV18" i="2"/>
  <c r="CQ18" i="2"/>
  <c r="DL18" i="2"/>
  <c r="EH18" i="2"/>
  <c r="EH21" i="2" s="1"/>
  <c r="EH22" i="2" s="1"/>
  <c r="EH23" i="2" s="1"/>
  <c r="FC18" i="2"/>
  <c r="FX18" i="2"/>
  <c r="GT18" i="2"/>
  <c r="HO18" i="2"/>
  <c r="IJ18" i="2"/>
  <c r="K19" i="2"/>
  <c r="AH19" i="2"/>
  <c r="BF19" i="2"/>
  <c r="CB19" i="2"/>
  <c r="DA19" i="2"/>
  <c r="DX19" i="2"/>
  <c r="EZ19" i="2"/>
  <c r="GF19" i="2"/>
  <c r="HL19" i="2"/>
  <c r="IR19" i="2"/>
  <c r="EA21" i="2" l="1"/>
  <c r="EA22" i="2" s="1"/>
  <c r="EA23" i="2" s="1"/>
  <c r="AZ21" i="2"/>
  <c r="AZ22" i="2" s="1"/>
  <c r="AZ23" i="2" s="1"/>
  <c r="BT21" i="2"/>
  <c r="BT22" i="2" s="1"/>
  <c r="BT23" i="2" s="1"/>
  <c r="AT21" i="2"/>
  <c r="AT22" i="2" s="1"/>
  <c r="AT23" i="2" s="1"/>
  <c r="AR21" i="2"/>
  <c r="AR22" i="2" s="1"/>
  <c r="AR23" i="2" s="1"/>
  <c r="GN21" i="2"/>
  <c r="GN22" i="2" s="1"/>
  <c r="GN23" i="2" s="1"/>
  <c r="GR21" i="2"/>
  <c r="GR22" i="2" s="1"/>
  <c r="GR23" i="2" s="1"/>
  <c r="AA21" i="2"/>
  <c r="AA22" i="2" s="1"/>
  <c r="AA23" i="2" s="1"/>
  <c r="CD21" i="2"/>
  <c r="CD22" i="2" s="1"/>
  <c r="CD23" i="2" s="1"/>
  <c r="HJ21" i="2"/>
  <c r="HJ22" i="2" s="1"/>
  <c r="HJ23" i="2" s="1"/>
  <c r="AC21" i="2"/>
  <c r="AC22" i="2" s="1"/>
  <c r="AC23" i="2" s="1"/>
  <c r="FV21" i="2"/>
  <c r="FV22" i="2" s="1"/>
  <c r="FV23" i="2" s="1"/>
  <c r="AQ21" i="2"/>
  <c r="AQ22" i="2" s="1"/>
  <c r="AQ23" i="2" s="1"/>
  <c r="DZ21" i="2"/>
  <c r="DZ22" i="2" s="1"/>
  <c r="DZ23" i="2" s="1"/>
  <c r="HO21" i="2"/>
  <c r="HO22" i="2" s="1"/>
  <c r="HO23" i="2" s="1"/>
  <c r="CO21" i="2"/>
  <c r="CO22" i="2" s="1"/>
  <c r="CO23" i="2" s="1"/>
  <c r="EL21" i="2"/>
  <c r="EL22" i="2" s="1"/>
  <c r="EL23" i="2" s="1"/>
  <c r="CM21" i="2"/>
  <c r="CM22" i="2" s="1"/>
  <c r="CM23" i="2" s="1"/>
  <c r="GQ21" i="2"/>
  <c r="GQ22" i="2" s="1"/>
  <c r="GQ23" i="2" s="1"/>
  <c r="DX21" i="2"/>
  <c r="DX22" i="2" s="1"/>
  <c r="DX23" i="2" s="1"/>
  <c r="IE21" i="2"/>
  <c r="IE22" i="2" s="1"/>
  <c r="IE23" i="2" s="1"/>
  <c r="BO21" i="2"/>
  <c r="BO22" i="2" s="1"/>
  <c r="BO23" i="2" s="1"/>
  <c r="FX21" i="2"/>
  <c r="FX22" i="2" s="1"/>
  <c r="FX23" i="2" s="1"/>
  <c r="HM21" i="2"/>
  <c r="HM22" i="2" s="1"/>
  <c r="HM23" i="2" s="1"/>
  <c r="EC21" i="2"/>
  <c r="EC22" i="2" s="1"/>
  <c r="EC23" i="2" s="1"/>
  <c r="CE21" i="2"/>
  <c r="CE22" i="2" s="1"/>
  <c r="CE23" i="2" s="1"/>
  <c r="IH21" i="2"/>
  <c r="IH22" i="2" s="1"/>
  <c r="IH23" i="2" s="1"/>
  <c r="DL21" i="2"/>
  <c r="DL22" i="2" s="1"/>
  <c r="DL23" i="2" s="1"/>
  <c r="CQ21" i="2"/>
  <c r="CQ22" i="2" s="1"/>
  <c r="CQ23" i="2" s="1"/>
  <c r="DJ21" i="2"/>
  <c r="DJ22" i="2" s="1"/>
  <c r="DJ23" i="2" s="1"/>
  <c r="FR21" i="2"/>
  <c r="FR22" i="2" s="1"/>
  <c r="FR23" i="2" s="1"/>
  <c r="FA21" i="2"/>
  <c r="FA22" i="2" s="1"/>
  <c r="FA23" i="2" s="1"/>
  <c r="FB21" i="2"/>
  <c r="FB22" i="2" s="1"/>
  <c r="FB23" i="2" s="1"/>
  <c r="FC21" i="2"/>
  <c r="FC22" i="2" s="1"/>
  <c r="FC23" i="2" s="1"/>
  <c r="AS21" i="2"/>
  <c r="AS22" i="2" s="1"/>
  <c r="AS23" i="2" s="1"/>
  <c r="GH21" i="2"/>
  <c r="GH22" i="2" s="1"/>
  <c r="GH23" i="2" s="1"/>
  <c r="IB21" i="2"/>
  <c r="IB22" i="2" s="1"/>
  <c r="IB23" i="2" s="1"/>
  <c r="AU21" i="2"/>
  <c r="AU22" i="2" s="1"/>
  <c r="AU23" i="2" s="1"/>
  <c r="BJ21" i="2"/>
  <c r="BJ22" i="2" s="1"/>
  <c r="BJ23" i="2" s="1"/>
  <c r="BQ21" i="2"/>
  <c r="BQ22" i="2" s="1"/>
  <c r="BQ23" i="2" s="1"/>
  <c r="IJ21" i="2"/>
  <c r="IJ22" i="2" s="1"/>
  <c r="IJ23" i="2" s="1"/>
  <c r="HB21" i="2"/>
  <c r="HB22" i="2" s="1"/>
  <c r="HB23" i="2" s="1"/>
  <c r="HQ21" i="2"/>
  <c r="HQ22" i="2" s="1"/>
  <c r="HQ23" i="2" s="1"/>
  <c r="DK21" i="2"/>
  <c r="DK22" i="2" s="1"/>
  <c r="DK23" i="2" s="1"/>
  <c r="G21" i="2"/>
  <c r="G22" i="2" s="1"/>
  <c r="G23" i="2" s="1"/>
  <c r="DE21" i="2"/>
  <c r="DE22" i="2" s="1"/>
  <c r="DE23" i="2" s="1"/>
  <c r="EN21" i="2"/>
  <c r="EN22" i="2" s="1"/>
  <c r="EN23" i="2" s="1"/>
  <c r="BR21" i="2"/>
  <c r="BR22" i="2" s="1"/>
  <c r="BR23" i="2" s="1"/>
  <c r="B21" i="2"/>
  <c r="B22" i="2" s="1"/>
  <c r="B23" i="2" s="1"/>
  <c r="EU21" i="2"/>
  <c r="EU22" i="2" s="1"/>
  <c r="EU23" i="2" s="1"/>
  <c r="DI21" i="2"/>
  <c r="DI22" i="2" s="1"/>
  <c r="DI23" i="2" s="1"/>
  <c r="CH21" i="2"/>
  <c r="CH22" i="2" s="1"/>
  <c r="CH23" i="2" s="1"/>
  <c r="AY21" i="2"/>
  <c r="AY22" i="2" s="1"/>
  <c r="AY23" i="2" s="1"/>
  <c r="CX21" i="2"/>
  <c r="CX22" i="2" s="1"/>
  <c r="CX23" i="2" s="1"/>
  <c r="AW21" i="2"/>
  <c r="AW22" i="2" s="1"/>
  <c r="AW23" i="2" s="1"/>
  <c r="Y21" i="2"/>
  <c r="Y22" i="2" s="1"/>
  <c r="Y23" i="2" s="1"/>
  <c r="DN21" i="2"/>
  <c r="DN22" i="2" s="1"/>
  <c r="DN23" i="2" s="1"/>
  <c r="GX21" i="2"/>
  <c r="GX22" i="2" s="1"/>
  <c r="GX23" i="2" s="1"/>
  <c r="BV21" i="2"/>
  <c r="BV22" i="2" s="1"/>
  <c r="BV23" i="2" s="1"/>
  <c r="EB21" i="2"/>
  <c r="EB22" i="2" s="1"/>
  <c r="EB23" i="2" s="1"/>
  <c r="DG21" i="2"/>
  <c r="DG22" i="2" s="1"/>
  <c r="DG23" i="2" s="1"/>
  <c r="CL21" i="2"/>
  <c r="CL22" i="2" s="1"/>
  <c r="CL23" i="2" s="1"/>
  <c r="CN21" i="2"/>
  <c r="CN22" i="2" s="1"/>
  <c r="CN23" i="2" s="1"/>
  <c r="BB21" i="2"/>
  <c r="BB22" i="2" s="1"/>
  <c r="BB23" i="2" s="1"/>
  <c r="FO21" i="2"/>
  <c r="FO22" i="2" s="1"/>
  <c r="FO23" i="2" s="1"/>
  <c r="EQ21" i="2"/>
  <c r="EQ22" i="2" s="1"/>
  <c r="EQ23" i="2" s="1"/>
  <c r="IP21" i="2"/>
  <c r="IP22" i="2" s="1"/>
  <c r="IP23" i="2" s="1"/>
  <c r="BX21" i="2"/>
  <c r="BX22" i="2" s="1"/>
  <c r="BX23" i="2" s="1"/>
  <c r="GU21" i="2"/>
  <c r="GU22" i="2" s="1"/>
  <c r="GU23" i="2" s="1"/>
  <c r="FI21" i="2"/>
  <c r="FI22" i="2" s="1"/>
  <c r="FI23" i="2" s="1"/>
  <c r="DA21" i="2"/>
  <c r="DA22" i="2" s="1"/>
  <c r="DA23" i="2" s="1"/>
  <c r="HT21" i="2"/>
  <c r="HT22" i="2" s="1"/>
  <c r="HT23" i="2" s="1"/>
  <c r="BD21" i="2"/>
  <c r="BD22" i="2" s="1"/>
  <c r="BD23" i="2" s="1"/>
  <c r="DC21" i="2"/>
  <c r="DC22" i="2" s="1"/>
  <c r="DC23" i="2" s="1"/>
  <c r="IU21" i="2"/>
  <c r="IU22" i="2" s="1"/>
  <c r="IU23" i="2" s="1"/>
  <c r="I21" i="2"/>
  <c r="I22" i="2" s="1"/>
  <c r="I23" i="2" s="1"/>
  <c r="FS21" i="2"/>
  <c r="FS22" i="2" s="1"/>
  <c r="FS23" i="2" s="1"/>
  <c r="GZ21" i="2"/>
  <c r="GZ22" i="2" s="1"/>
  <c r="GZ23" i="2" s="1"/>
  <c r="HE21" i="2"/>
  <c r="HE22" i="2" s="1"/>
  <c r="HE23" i="2" s="1"/>
  <c r="ED21" i="2"/>
  <c r="ED22" i="2" s="1"/>
  <c r="ED23" i="2" s="1"/>
  <c r="HD21" i="2"/>
  <c r="HD22" i="2" s="1"/>
  <c r="HD23" i="2" s="1"/>
  <c r="EX21" i="2"/>
  <c r="EX22" i="2" s="1"/>
  <c r="EX23" i="2" s="1"/>
  <c r="HN21" i="2"/>
  <c r="HN22" i="2" s="1"/>
  <c r="HN23" i="2" s="1"/>
  <c r="BH21" i="2"/>
  <c r="BH22" i="2" s="1"/>
  <c r="BH23" i="2" s="1"/>
  <c r="GL21" i="2"/>
  <c r="GL22" i="2" s="1"/>
  <c r="GL23" i="2" s="1"/>
  <c r="P21" i="2"/>
  <c r="P22" i="2" s="1"/>
  <c r="P23" i="2" s="1"/>
  <c r="FP21" i="2"/>
  <c r="FP22" i="2" s="1"/>
  <c r="FP23" i="2" s="1"/>
  <c r="J21" i="2"/>
  <c r="J22" i="2" s="1"/>
  <c r="J23" i="2" s="1"/>
  <c r="AK21" i="2"/>
  <c r="AK22" i="2" s="1"/>
  <c r="AK23" i="2" s="1"/>
  <c r="GM21" i="2"/>
  <c r="GM22" i="2" s="1"/>
  <c r="GM23" i="2" s="1"/>
  <c r="FW21" i="2"/>
  <c r="FW22" i="2" s="1"/>
  <c r="FW23" i="2" s="1"/>
  <c r="H21" i="2"/>
  <c r="H22" i="2" s="1"/>
  <c r="H23" i="2" s="1"/>
  <c r="CW21" i="2"/>
  <c r="CW22" i="2" s="1"/>
  <c r="CW23" i="2" s="1"/>
  <c r="T21" i="2"/>
  <c r="T22" i="2" s="1"/>
  <c r="T23" i="2" s="1"/>
  <c r="GG21" i="2"/>
  <c r="GG22" i="2" s="1"/>
  <c r="GG23" i="2" s="1"/>
  <c r="EJ21" i="2"/>
  <c r="EJ22" i="2" s="1"/>
  <c r="EJ23" i="2" s="1"/>
  <c r="DP21" i="2"/>
  <c r="DP22" i="2" s="1"/>
  <c r="DP23" i="2" s="1"/>
  <c r="GT21" i="2"/>
  <c r="GT22" i="2" s="1"/>
  <c r="GT23" i="2" s="1"/>
  <c r="EE21" i="2"/>
  <c r="EE22" i="2" s="1"/>
  <c r="EE23" i="2" s="1"/>
  <c r="DV21" i="2"/>
  <c r="DV22" i="2" s="1"/>
  <c r="DV23" i="2" s="1"/>
  <c r="GK21" i="2"/>
  <c r="GK22" i="2" s="1"/>
  <c r="GK23" i="2" s="1"/>
  <c r="FF21" i="2"/>
  <c r="FF22" i="2" s="1"/>
  <c r="FF23" i="2" s="1"/>
  <c r="ES21" i="2"/>
  <c r="ES22" i="2" s="1"/>
  <c r="ES23" i="2" s="1"/>
  <c r="X21" i="2"/>
  <c r="X22" i="2" s="1"/>
  <c r="X23" i="2" s="1"/>
  <c r="HL21" i="2"/>
  <c r="HL22" i="2" s="1"/>
  <c r="HL23" i="2" s="1"/>
  <c r="FT21" i="2"/>
  <c r="FT22" i="2" s="1"/>
  <c r="FT23" i="2" s="1"/>
  <c r="FY21" i="2"/>
  <c r="FY22" i="2" s="1"/>
  <c r="FY23" i="2" s="1"/>
  <c r="DY21" i="2"/>
  <c r="DY22" i="2" s="1"/>
  <c r="DY23" i="2" s="1"/>
  <c r="DU21" i="2"/>
  <c r="DU22" i="2" s="1"/>
  <c r="DU23" i="2" s="1"/>
  <c r="CT21" i="2"/>
  <c r="CT22" i="2" s="1"/>
  <c r="CT23" i="2" s="1"/>
  <c r="IM21" i="2"/>
  <c r="IM22" i="2" s="1"/>
  <c r="IM23" i="2" s="1"/>
  <c r="EZ21" i="2"/>
  <c r="EZ22" i="2" s="1"/>
  <c r="EZ23" i="2" s="1"/>
  <c r="DT21" i="2"/>
  <c r="DT22" i="2" s="1"/>
  <c r="DT23" i="2" s="1"/>
  <c r="HU21" i="2"/>
  <c r="HU22" i="2" s="1"/>
  <c r="HU23" i="2" s="1"/>
  <c r="ET21" i="2"/>
  <c r="ET22" i="2" s="1"/>
  <c r="ET23" i="2" s="1"/>
  <c r="BM21" i="2"/>
  <c r="BM22" i="2" s="1"/>
  <c r="BM23" i="2" s="1"/>
  <c r="HZ21" i="2"/>
  <c r="HZ22" i="2" s="1"/>
  <c r="HZ23" i="2" s="1"/>
  <c r="GY21" i="2"/>
  <c r="GY22" i="2" s="1"/>
  <c r="GY23" i="2" s="1"/>
  <c r="AH21" i="2"/>
  <c r="AH22" i="2" s="1"/>
  <c r="AH23" i="2" s="1"/>
  <c r="GA21" i="2"/>
  <c r="GA22" i="2" s="1"/>
  <c r="GA23" i="2" s="1"/>
  <c r="IF21" i="2"/>
  <c r="IF22" i="2" s="1"/>
  <c r="IF23" i="2" s="1"/>
  <c r="IK21" i="2"/>
  <c r="IK22" i="2" s="1"/>
  <c r="IK23" i="2" s="1"/>
  <c r="FJ21" i="2"/>
  <c r="FJ22" i="2" s="1"/>
  <c r="FJ23" i="2" s="1"/>
  <c r="AO21" i="2"/>
  <c r="AO22" i="2" s="1"/>
  <c r="AO23" i="2" s="1"/>
  <c r="GD21" i="2"/>
  <c r="GD22" i="2" s="1"/>
  <c r="GD23" i="2" s="1"/>
  <c r="L21" i="2"/>
  <c r="L22" i="2" s="1"/>
  <c r="L23" i="2" s="1"/>
  <c r="FE21" i="2"/>
  <c r="FE22" i="2" s="1"/>
  <c r="FE23" i="2" s="1"/>
  <c r="GO21" i="2"/>
  <c r="GO22" i="2" s="1"/>
  <c r="GO23" i="2" s="1"/>
  <c r="IT21" i="2"/>
  <c r="IT22" i="2" s="1"/>
  <c r="IT23" i="2" s="1"/>
  <c r="E21" i="2"/>
  <c r="E22" i="2" s="1"/>
  <c r="E23" i="2" s="1"/>
  <c r="FZ21" i="2"/>
  <c r="FZ22" i="2" s="1"/>
  <c r="FZ23" i="2" s="1"/>
  <c r="HH21" i="2"/>
  <c r="HH22" i="2" s="1"/>
  <c r="HH23" i="2" s="1"/>
  <c r="W21" i="2"/>
  <c r="W22" i="2" s="1"/>
  <c r="W23" i="2" s="1"/>
  <c r="GI21" i="2"/>
  <c r="GI22" i="2" s="1"/>
  <c r="GI23" i="2" s="1"/>
  <c r="S21" i="2"/>
  <c r="S22" i="2" s="1"/>
  <c r="S23" i="2" s="1"/>
  <c r="FH21" i="2"/>
  <c r="FH22" i="2" s="1"/>
  <c r="FH23" i="2" s="1"/>
  <c r="EI21" i="2"/>
  <c r="EI22" i="2" s="1"/>
  <c r="EI23" i="2" s="1"/>
  <c r="II21" i="2"/>
  <c r="II22" i="2" s="1"/>
  <c r="II23" i="2" s="1"/>
  <c r="U21" i="2"/>
  <c r="U22" i="2" s="1"/>
  <c r="U23" i="2" s="1"/>
  <c r="GP21" i="2"/>
  <c r="GP22" i="2" s="1"/>
  <c r="GP23" i="2" s="1"/>
  <c r="GF21" i="2"/>
  <c r="GF22" i="2" s="1"/>
  <c r="GF23" i="2" s="1"/>
  <c r="FN21" i="2"/>
  <c r="FN22" i="2" s="1"/>
  <c r="FN23" i="2" s="1"/>
  <c r="EM21" i="2"/>
  <c r="EM22" i="2" s="1"/>
  <c r="EM23" i="2" s="1"/>
  <c r="DO21" i="2"/>
  <c r="DO22" i="2" s="1"/>
  <c r="DO23" i="2" s="1"/>
  <c r="BP21" i="2"/>
  <c r="BP22" i="2" s="1"/>
  <c r="BP23" i="2" s="1"/>
  <c r="IC21" i="2"/>
  <c r="IC22" i="2" s="1"/>
  <c r="IC23" i="2" s="1"/>
  <c r="AD21" i="2"/>
  <c r="AD22" i="2" s="1"/>
  <c r="AD23" i="2" s="1"/>
  <c r="AF21" i="2"/>
  <c r="AF22" i="2" s="1"/>
  <c r="AF23" i="2" s="1"/>
  <c r="HF21" i="2"/>
  <c r="HF22" i="2" s="1"/>
  <c r="HF23" i="2" s="1"/>
  <c r="ER21" i="2"/>
  <c r="ER22" i="2" s="1"/>
  <c r="ER23" i="2" s="1"/>
  <c r="DR21" i="2"/>
  <c r="DR22" i="2" s="1"/>
  <c r="DR23" i="2" s="1"/>
  <c r="CS21" i="2"/>
  <c r="CS22" i="2" s="1"/>
  <c r="CS23" i="2" s="1"/>
  <c r="IR21" i="2"/>
  <c r="IR22" i="2" s="1"/>
  <c r="IR23" i="2" s="1"/>
  <c r="AX21" i="2"/>
  <c r="AX22" i="2" s="1"/>
  <c r="AX23" i="2" s="1"/>
  <c r="IG21" i="2"/>
  <c r="IG22" i="2" s="1"/>
  <c r="IG23" i="2" s="1"/>
  <c r="HI21" i="2"/>
  <c r="HI22" i="2" s="1"/>
  <c r="HI23" i="2" s="1"/>
  <c r="AV21" i="2"/>
  <c r="AV22" i="2" s="1"/>
  <c r="AV23" i="2" s="1"/>
  <c r="BA21" i="2"/>
  <c r="BA22" i="2" s="1"/>
  <c r="BA23" i="2" s="1"/>
  <c r="HV21" i="2"/>
  <c r="HV22" i="2" s="1"/>
  <c r="HV23" i="2" s="1"/>
  <c r="EV21" i="2"/>
  <c r="EV22" i="2" s="1"/>
  <c r="EV23" i="2" s="1"/>
  <c r="DW21" i="2"/>
  <c r="DW22" i="2" s="1"/>
  <c r="DW23" i="2" s="1"/>
  <c r="CV21" i="2"/>
  <c r="CV22" i="2" s="1"/>
  <c r="CV23" i="2" s="1"/>
  <c r="BW21" i="2"/>
  <c r="BW22" i="2" s="1"/>
  <c r="BW23" i="2" s="1"/>
  <c r="CI21" i="2"/>
  <c r="CI22" i="2" s="1"/>
  <c r="CI23" i="2" s="1"/>
  <c r="CZ21" i="2"/>
  <c r="CZ22" i="2" s="1"/>
  <c r="CZ23" i="2" s="1"/>
  <c r="AB21" i="2"/>
  <c r="AB22" i="2" s="1"/>
  <c r="AB23" i="2" s="1"/>
  <c r="HK21" i="2"/>
  <c r="HK22" i="2" s="1"/>
  <c r="HK23" i="2" s="1"/>
  <c r="Z21" i="2"/>
  <c r="Z22" i="2" s="1"/>
  <c r="Z23" i="2" s="1"/>
  <c r="IL21" i="2"/>
  <c r="IL22" i="2" s="1"/>
  <c r="IL23" i="2" s="1"/>
  <c r="CA21" i="2"/>
  <c r="CA22" i="2" s="1"/>
  <c r="CA23" i="2" s="1"/>
  <c r="IN21" i="2"/>
  <c r="IN22" i="2" s="1"/>
  <c r="IN23" i="2" s="1"/>
  <c r="BC21" i="2"/>
  <c r="BC22" i="2" s="1"/>
  <c r="BC23" i="2" s="1"/>
  <c r="D21" i="2"/>
  <c r="D22" i="2" s="1"/>
  <c r="D23" i="2" s="1"/>
  <c r="BZ21" i="2"/>
  <c r="BZ22" i="2" s="1"/>
  <c r="BZ23" i="2" s="1"/>
  <c r="CB21" i="2"/>
  <c r="CB22" i="2" s="1"/>
  <c r="CB23" i="2" s="1"/>
  <c r="CG21" i="2"/>
  <c r="CG22" i="2" s="1"/>
  <c r="CG23" i="2" s="1"/>
  <c r="F21" i="2"/>
  <c r="F22" i="2" s="1"/>
  <c r="F23" i="2" s="1"/>
  <c r="IS21" i="2"/>
  <c r="IS22" i="2" s="1"/>
  <c r="IS23" i="2" s="1"/>
  <c r="BF21" i="2"/>
  <c r="BF22" i="2" s="1"/>
  <c r="BF23" i="2" s="1"/>
  <c r="HR21" i="2"/>
  <c r="HR22" i="2" s="1"/>
  <c r="HR23" i="2" s="1"/>
  <c r="AG21" i="2"/>
  <c r="AG22" i="2" s="1"/>
  <c r="AG23" i="2" s="1"/>
  <c r="BS21" i="2"/>
  <c r="BS22" i="2" s="1"/>
  <c r="BS23" i="2" s="1"/>
  <c r="FU21" i="2"/>
  <c r="FU22" i="2" s="1"/>
  <c r="FU23" i="2" s="1"/>
  <c r="EW21" i="2"/>
  <c r="EW22" i="2" s="1"/>
  <c r="EW23" i="2" s="1"/>
  <c r="CP21" i="2"/>
  <c r="CP22" i="2" s="1"/>
  <c r="CP23" i="2" s="1"/>
  <c r="CR21" i="2"/>
  <c r="CR22" i="2" s="1"/>
  <c r="CR23" i="2" s="1"/>
  <c r="V21" i="2"/>
  <c r="V22" i="2" s="1"/>
  <c r="V23" i="2" s="1"/>
  <c r="CJ21" i="2"/>
  <c r="CJ22" i="2" s="1"/>
  <c r="CJ23" i="2" s="1"/>
  <c r="IA21" i="2"/>
  <c r="IA22" i="2" s="1"/>
  <c r="IA23" i="2" s="1"/>
  <c r="BK21" i="2"/>
  <c r="BK22" i="2" s="1"/>
  <c r="BK23" i="2" s="1"/>
  <c r="AJ21" i="2"/>
  <c r="AJ22" i="2" s="1"/>
  <c r="AJ23" i="2" s="1"/>
  <c r="GV21" i="2"/>
  <c r="GV22" i="2" s="1"/>
  <c r="GV23" i="2" s="1"/>
  <c r="K21" i="2"/>
  <c r="K22" i="2" s="1"/>
  <c r="K23" i="2" s="1"/>
  <c r="EY21" i="2"/>
  <c r="EY22" i="2" s="1"/>
  <c r="EY23" i="2" s="1"/>
  <c r="DH21" i="2"/>
  <c r="DH22" i="2" s="1"/>
  <c r="DH23" i="2" s="1"/>
  <c r="DM21" i="2"/>
  <c r="DM22" i="2" s="1"/>
  <c r="DM23" i="2" s="1"/>
  <c r="AL21" i="2"/>
  <c r="AL22" i="2" s="1"/>
  <c r="AL23" i="2" s="1"/>
  <c r="BN21" i="2"/>
  <c r="BN22" i="2" s="1"/>
  <c r="BN23" i="2" s="1"/>
  <c r="HG21" i="2"/>
  <c r="HG22" i="2" s="1"/>
  <c r="HG23" i="2" s="1"/>
  <c r="HC21" i="2"/>
  <c r="HC22" i="2" s="1"/>
  <c r="HC23" i="2" s="1"/>
  <c r="O21" i="2"/>
  <c r="O22" i="2" s="1"/>
  <c r="O23" i="2" s="1"/>
  <c r="GB21" i="2"/>
  <c r="GB22" i="2" s="1"/>
  <c r="GB23" i="2" s="1"/>
  <c r="B25" i="2" l="1"/>
</calcChain>
</file>

<file path=xl/sharedStrings.xml><?xml version="1.0" encoding="utf-8"?>
<sst xmlns="http://schemas.openxmlformats.org/spreadsheetml/2006/main" count="25" uniqueCount="25">
  <si>
    <t>SIMPLE SIMULATION:  A TWO-DATE MODEL
as many price paths as there are columns
pressing F9 runs the simulation and will change the value in cell B25
This value should be compared to the actual option price in cell B32</t>
  </si>
  <si>
    <t>Initial stock price</t>
  </si>
  <si>
    <t>X</t>
  </si>
  <si>
    <t>Up</t>
  </si>
  <si>
    <t>Down</t>
  </si>
  <si>
    <t>R</t>
  </si>
  <si>
    <t>State prices</t>
  </si>
  <si>
    <r>
      <t>q</t>
    </r>
    <r>
      <rPr>
        <vertAlign val="subscript"/>
        <sz val="10"/>
        <rFont val="Arial"/>
        <family val="2"/>
      </rPr>
      <t>u</t>
    </r>
  </si>
  <si>
    <r>
      <t>q</t>
    </r>
    <r>
      <rPr>
        <vertAlign val="subscript"/>
        <sz val="10"/>
        <rFont val="Arial"/>
        <family val="2"/>
      </rPr>
      <t>d</t>
    </r>
  </si>
  <si>
    <t>Risk-neutral probabilities</t>
  </si>
  <si>
    <r>
      <t>p</t>
    </r>
    <r>
      <rPr>
        <vertAlign val="subscript"/>
        <sz val="10"/>
        <rFont val="Arial"/>
        <family val="2"/>
      </rPr>
      <t>u</t>
    </r>
  </si>
  <si>
    <r>
      <t>p</t>
    </r>
    <r>
      <rPr>
        <vertAlign val="subscript"/>
        <sz val="10"/>
        <rFont val="Arial"/>
        <family val="2"/>
      </rPr>
      <t>d</t>
    </r>
  </si>
  <si>
    <t>Random paths and the Monte Carlo price</t>
  </si>
  <si>
    <t>First period, up (1) or down (0)?</t>
  </si>
  <si>
    <t>Second period, up (1) or down (0)?</t>
  </si>
  <si>
    <t>Total ups</t>
  </si>
  <si>
    <t>Terminal stock price</t>
  </si>
  <si>
    <t>Option payoff</t>
  </si>
  <si>
    <t>Average discounted payoff</t>
  </si>
  <si>
    <t>Computing the actual option price with state prices</t>
  </si>
  <si>
    <t>Payoffs</t>
  </si>
  <si>
    <t xml:space="preserve">   top</t>
  </si>
  <si>
    <t xml:space="preserve">   middle</t>
  </si>
  <si>
    <t xml:space="preserve">   bottom</t>
  </si>
  <si>
    <t>Actual option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</si>
</sst>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
  </numFmts>
  <fonts count="7" x14ac:knownFonts="1">
    <font>
      <sz val="11"/>
      <color theme="1"/>
      <name val="等线"/>
      <family val="2"/>
      <charset val="134"/>
      <scheme val="minor"/>
    </font>
    <font>
      <sz val="9"/>
      <name val="等线"/>
      <family val="2"/>
      <charset val="134"/>
      <scheme val="minor"/>
    </font>
    <font>
      <sz val="10"/>
      <name val="Arial"/>
      <family val="2"/>
    </font>
    <font>
      <b/>
      <sz val="14"/>
      <name val="Arial"/>
      <family val="2"/>
    </font>
    <font>
      <b/>
      <sz val="10"/>
      <name val="Arial"/>
      <family val="2"/>
    </font>
    <font>
      <vertAlign val="subscript"/>
      <sz val="10"/>
      <name val="Arial"/>
      <family val="2"/>
    </font>
    <font>
      <sz val="10"/>
      <name val="Symbol"/>
      <family val="1"/>
      <charset val="2"/>
    </font>
  </fonts>
  <fills count="4">
    <fill>
      <patternFill patternType="none"/>
    </fill>
    <fill>
      <patternFill patternType="gray125"/>
    </fill>
    <fill>
      <patternFill patternType="solid">
        <fgColor indexed="13"/>
        <bgColor indexed="64"/>
      </patternFill>
    </fill>
    <fill>
      <patternFill patternType="solid">
        <fgColor indexed="41"/>
        <bgColor indexed="64"/>
      </patternFill>
    </fill>
  </fills>
  <borders count="1">
    <border>
      <left/>
      <right/>
      <top/>
      <bottom/>
      <diagonal/>
    </border>
  </borders>
  <cellStyleXfs count="2">
    <xf numFmtId="0" fontId="0" fillId="0" borderId="0">
      <alignment vertical="center"/>
    </xf>
    <xf numFmtId="0" fontId="2" fillId="0" borderId="0"/>
  </cellStyleXfs>
  <cellXfs count="11">
    <xf numFmtId="0" fontId="0" fillId="0" borderId="0" xfId="0">
      <alignment vertical="center"/>
    </xf>
    <xf numFmtId="0" fontId="3" fillId="0" borderId="0" xfId="1" applyFont="1" applyAlignment="1">
      <alignment horizontal="center" vertical="center" wrapText="1"/>
    </xf>
    <xf numFmtId="0" fontId="2" fillId="0" borderId="0" xfId="1"/>
    <xf numFmtId="0" fontId="4" fillId="0" borderId="0" xfId="1" applyFont="1"/>
    <xf numFmtId="176" fontId="2" fillId="0" borderId="0" xfId="1" applyNumberFormat="1"/>
    <xf numFmtId="0" fontId="6" fillId="2" borderId="0" xfId="1" applyFont="1" applyFill="1"/>
    <xf numFmtId="176" fontId="2" fillId="2" borderId="0" xfId="1" applyNumberFormat="1" applyFill="1"/>
    <xf numFmtId="0" fontId="4" fillId="3" borderId="0" xfId="1" applyFont="1" applyFill="1" applyAlignment="1">
      <alignment horizontal="center"/>
    </xf>
    <xf numFmtId="0" fontId="4" fillId="0" borderId="0" xfId="1" applyFont="1" applyAlignment="1">
      <alignment wrapText="1"/>
    </xf>
    <xf numFmtId="0" fontId="4" fillId="2" borderId="0" xfId="1" applyFont="1" applyFill="1"/>
    <xf numFmtId="176" fontId="4" fillId="2" borderId="0" xfId="1" applyNumberFormat="1" applyFont="1" applyFill="1"/>
  </cellXfs>
  <cellStyles count="2">
    <cellStyle name="常规" xfId="0" builtinId="0"/>
    <cellStyle name="常规 2" xfId="1" xr:uid="{71D635D5-BB9D-4F09-A2FA-3C8B185B4C2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523875</xdr:colOff>
      <xdr:row>30</xdr:row>
      <xdr:rowOff>28575</xdr:rowOff>
    </xdr:from>
    <xdr:to>
      <xdr:col>25</xdr:col>
      <xdr:colOff>365364</xdr:colOff>
      <xdr:row>75</xdr:row>
      <xdr:rowOff>60136</xdr:rowOff>
    </xdr:to>
    <xdr:pic>
      <xdr:nvPicPr>
        <xdr:cNvPr id="2" name="图片 1">
          <a:extLst>
            <a:ext uri="{FF2B5EF4-FFF2-40B4-BE49-F238E27FC236}">
              <a16:creationId xmlns:a16="http://schemas.microsoft.com/office/drawing/2014/main" id="{1937AE4E-86DB-B11C-5CBA-5E3067978AD2}"/>
            </a:ext>
          </a:extLst>
        </xdr:cNvPr>
        <xdr:cNvPicPr>
          <a:picLocks noChangeAspect="1"/>
        </xdr:cNvPicPr>
      </xdr:nvPicPr>
      <xdr:blipFill>
        <a:blip xmlns:r="http://schemas.openxmlformats.org/officeDocument/2006/relationships" r:embed="rId1"/>
        <a:stretch>
          <a:fillRect/>
        </a:stretch>
      </xdr:blipFill>
      <xdr:spPr>
        <a:xfrm>
          <a:off x="6257925" y="6181725"/>
          <a:ext cx="10810479" cy="77430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lizhengdong\&#20132;&#26131;&#26694;&#26550;\5_&#24037;&#20855;&#31665;\_&#20070;&#24211;\&#32534;&#31243;\Excel\&#36130;&#21153;&#37329;&#34701;&#24314;&#27169;&#31532;&#19977;&#29256;&#65288;&#29992;ECCEL&#24037;&#20855;&#65289;\Chapter%20files\fm3_chapter23.1plainvanilla.xls" TargetMode="External"/><Relationship Id="rId1" Type="http://schemas.openxmlformats.org/officeDocument/2006/relationships/externalLinkPath" Target="/lizhengdong/&#20132;&#26131;&#26694;&#26550;/5_&#24037;&#20855;&#31665;/_&#20070;&#24211;/&#32534;&#31243;/Excel/&#36130;&#21153;&#37329;&#34701;&#24314;&#27169;&#31532;&#19977;&#29256;&#65288;&#29992;ECCEL&#24037;&#20855;&#65289;/Chapter%20files/fm3_chapter23.1plainvanill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WORK/FM,%20Second%20edition/Disk%20with%20book/Chapter%20files/Chapter%201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ge 615"/>
      <sheetName val="Page 615 中文"/>
      <sheetName val="Page 616, top"/>
      <sheetName val="Page 616, top 中文"/>
      <sheetName val="Page 616, bottom"/>
      <sheetName val="Page 616, bottom 中文"/>
      <sheetName val="Page 618"/>
      <sheetName val="Page 618 中文"/>
      <sheetName val="Page 621"/>
      <sheetName val="Page 621 中文"/>
      <sheetName val="Page 622"/>
      <sheetName val="Page 622 中文"/>
      <sheetName val="Page 624"/>
      <sheetName val="Page 624 中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 298-299"/>
      <sheetName val="VBA functions, pp. 199-200, 203"/>
      <sheetName val="Page 300"/>
      <sheetName val="Page 301"/>
      <sheetName val="Page 302"/>
      <sheetName val="Page 304"/>
      <sheetName val="Page 305-306"/>
      <sheetName val="Page 306 chart"/>
    </sheetNames>
    <sheetDataSet>
      <sheetData sheetId="0" refreshError="1"/>
      <sheetData sheetId="1" refreshError="1"/>
      <sheetData sheetId="2">
        <row r="3">
          <cell r="B3">
            <v>100</v>
          </cell>
        </row>
        <row r="4">
          <cell r="B4">
            <v>100</v>
          </cell>
        </row>
        <row r="5">
          <cell r="B5">
            <v>1</v>
          </cell>
        </row>
        <row r="6">
          <cell r="B6">
            <v>0.1</v>
          </cell>
        </row>
        <row r="7">
          <cell r="B7">
            <v>0.4</v>
          </cell>
        </row>
      </sheetData>
      <sheetData sheetId="3" refreshError="1"/>
      <sheetData sheetId="4" refreshError="1"/>
      <sheetData sheetId="5">
        <row r="11">
          <cell r="B11">
            <v>6</v>
          </cell>
        </row>
        <row r="13">
          <cell r="B13" t="e">
            <v>#NAME?</v>
          </cell>
        </row>
      </sheetData>
      <sheetData sheetId="6" refreshError="1"/>
      <sheetData sheetId="7"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B0C1-0DD8-4FB5-B5BC-87C496726FA1}">
  <sheetPr codeName="Sheet1"/>
  <dimension ref="A1"/>
  <sheetViews>
    <sheetView workbookViewId="0">
      <selection activeCell="F9" sqref="F9"/>
    </sheetView>
  </sheetViews>
  <sheetFormatPr defaultRowHeight="13.8" x14ac:dyDescent="0.25"/>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9CCC6-7C72-4B03-8067-D9B539962944}">
  <sheetPr codeName="Sheet6"/>
  <dimension ref="A1:IV32"/>
  <sheetViews>
    <sheetView tabSelected="1" zoomScale="115" zoomScaleNormal="115" workbookViewId="0">
      <selection activeCell="F29" sqref="F29"/>
    </sheetView>
  </sheetViews>
  <sheetFormatPr defaultRowHeight="13.2" x14ac:dyDescent="0.25"/>
  <cols>
    <col min="1" max="1" width="30.33203125" style="2" bestFit="1" customWidth="1"/>
    <col min="2" max="256" width="8.88671875" style="2"/>
    <col min="257" max="257" width="30.33203125" style="2" bestFit="1" customWidth="1"/>
    <col min="258" max="512" width="8.88671875" style="2"/>
    <col min="513" max="513" width="30.33203125" style="2" bestFit="1" customWidth="1"/>
    <col min="514" max="768" width="8.88671875" style="2"/>
    <col min="769" max="769" width="30.33203125" style="2" bestFit="1" customWidth="1"/>
    <col min="770" max="1024" width="8.88671875" style="2"/>
    <col min="1025" max="1025" width="30.33203125" style="2" bestFit="1" customWidth="1"/>
    <col min="1026" max="1280" width="8.88671875" style="2"/>
    <col min="1281" max="1281" width="30.33203125" style="2" bestFit="1" customWidth="1"/>
    <col min="1282" max="1536" width="8.88671875" style="2"/>
    <col min="1537" max="1537" width="30.33203125" style="2" bestFit="1" customWidth="1"/>
    <col min="1538" max="1792" width="8.88671875" style="2"/>
    <col min="1793" max="1793" width="30.33203125" style="2" bestFit="1" customWidth="1"/>
    <col min="1794" max="2048" width="8.88671875" style="2"/>
    <col min="2049" max="2049" width="30.33203125" style="2" bestFit="1" customWidth="1"/>
    <col min="2050" max="2304" width="8.88671875" style="2"/>
    <col min="2305" max="2305" width="30.33203125" style="2" bestFit="1" customWidth="1"/>
    <col min="2306" max="2560" width="8.88671875" style="2"/>
    <col min="2561" max="2561" width="30.33203125" style="2" bestFit="1" customWidth="1"/>
    <col min="2562" max="2816" width="8.88671875" style="2"/>
    <col min="2817" max="2817" width="30.33203125" style="2" bestFit="1" customWidth="1"/>
    <col min="2818" max="3072" width="8.88671875" style="2"/>
    <col min="3073" max="3073" width="30.33203125" style="2" bestFit="1" customWidth="1"/>
    <col min="3074" max="3328" width="8.88671875" style="2"/>
    <col min="3329" max="3329" width="30.33203125" style="2" bestFit="1" customWidth="1"/>
    <col min="3330" max="3584" width="8.88671875" style="2"/>
    <col min="3585" max="3585" width="30.33203125" style="2" bestFit="1" customWidth="1"/>
    <col min="3586" max="3840" width="8.88671875" style="2"/>
    <col min="3841" max="3841" width="30.33203125" style="2" bestFit="1" customWidth="1"/>
    <col min="3842" max="4096" width="8.88671875" style="2"/>
    <col min="4097" max="4097" width="30.33203125" style="2" bestFit="1" customWidth="1"/>
    <col min="4098" max="4352" width="8.88671875" style="2"/>
    <col min="4353" max="4353" width="30.33203125" style="2" bestFit="1" customWidth="1"/>
    <col min="4354" max="4608" width="8.88671875" style="2"/>
    <col min="4609" max="4609" width="30.33203125" style="2" bestFit="1" customWidth="1"/>
    <col min="4610" max="4864" width="8.88671875" style="2"/>
    <col min="4865" max="4865" width="30.33203125" style="2" bestFit="1" customWidth="1"/>
    <col min="4866" max="5120" width="8.88671875" style="2"/>
    <col min="5121" max="5121" width="30.33203125" style="2" bestFit="1" customWidth="1"/>
    <col min="5122" max="5376" width="8.88671875" style="2"/>
    <col min="5377" max="5377" width="30.33203125" style="2" bestFit="1" customWidth="1"/>
    <col min="5378" max="5632" width="8.88671875" style="2"/>
    <col min="5633" max="5633" width="30.33203125" style="2" bestFit="1" customWidth="1"/>
    <col min="5634" max="5888" width="8.88671875" style="2"/>
    <col min="5889" max="5889" width="30.33203125" style="2" bestFit="1" customWidth="1"/>
    <col min="5890" max="6144" width="8.88671875" style="2"/>
    <col min="6145" max="6145" width="30.33203125" style="2" bestFit="1" customWidth="1"/>
    <col min="6146" max="6400" width="8.88671875" style="2"/>
    <col min="6401" max="6401" width="30.33203125" style="2" bestFit="1" customWidth="1"/>
    <col min="6402" max="6656" width="8.88671875" style="2"/>
    <col min="6657" max="6657" width="30.33203125" style="2" bestFit="1" customWidth="1"/>
    <col min="6658" max="6912" width="8.88671875" style="2"/>
    <col min="6913" max="6913" width="30.33203125" style="2" bestFit="1" customWidth="1"/>
    <col min="6914" max="7168" width="8.88671875" style="2"/>
    <col min="7169" max="7169" width="30.33203125" style="2" bestFit="1" customWidth="1"/>
    <col min="7170" max="7424" width="8.88671875" style="2"/>
    <col min="7425" max="7425" width="30.33203125" style="2" bestFit="1" customWidth="1"/>
    <col min="7426" max="7680" width="8.88671875" style="2"/>
    <col min="7681" max="7681" width="30.33203125" style="2" bestFit="1" customWidth="1"/>
    <col min="7682" max="7936" width="8.88671875" style="2"/>
    <col min="7937" max="7937" width="30.33203125" style="2" bestFit="1" customWidth="1"/>
    <col min="7938" max="8192" width="8.88671875" style="2"/>
    <col min="8193" max="8193" width="30.33203125" style="2" bestFit="1" customWidth="1"/>
    <col min="8194" max="8448" width="8.88671875" style="2"/>
    <col min="8449" max="8449" width="30.33203125" style="2" bestFit="1" customWidth="1"/>
    <col min="8450" max="8704" width="8.88671875" style="2"/>
    <col min="8705" max="8705" width="30.33203125" style="2" bestFit="1" customWidth="1"/>
    <col min="8706" max="8960" width="8.88671875" style="2"/>
    <col min="8961" max="8961" width="30.33203125" style="2" bestFit="1" customWidth="1"/>
    <col min="8962" max="9216" width="8.88671875" style="2"/>
    <col min="9217" max="9217" width="30.33203125" style="2" bestFit="1" customWidth="1"/>
    <col min="9218" max="9472" width="8.88671875" style="2"/>
    <col min="9473" max="9473" width="30.33203125" style="2" bestFit="1" customWidth="1"/>
    <col min="9474" max="9728" width="8.88671875" style="2"/>
    <col min="9729" max="9729" width="30.33203125" style="2" bestFit="1" customWidth="1"/>
    <col min="9730" max="9984" width="8.88671875" style="2"/>
    <col min="9985" max="9985" width="30.33203125" style="2" bestFit="1" customWidth="1"/>
    <col min="9986" max="10240" width="8.88671875" style="2"/>
    <col min="10241" max="10241" width="30.33203125" style="2" bestFit="1" customWidth="1"/>
    <col min="10242" max="10496" width="8.88671875" style="2"/>
    <col min="10497" max="10497" width="30.33203125" style="2" bestFit="1" customWidth="1"/>
    <col min="10498" max="10752" width="8.88671875" style="2"/>
    <col min="10753" max="10753" width="30.33203125" style="2" bestFit="1" customWidth="1"/>
    <col min="10754" max="11008" width="8.88671875" style="2"/>
    <col min="11009" max="11009" width="30.33203125" style="2" bestFit="1" customWidth="1"/>
    <col min="11010" max="11264" width="8.88671875" style="2"/>
    <col min="11265" max="11265" width="30.33203125" style="2" bestFit="1" customWidth="1"/>
    <col min="11266" max="11520" width="8.88671875" style="2"/>
    <col min="11521" max="11521" width="30.33203125" style="2" bestFit="1" customWidth="1"/>
    <col min="11522" max="11776" width="8.88671875" style="2"/>
    <col min="11777" max="11777" width="30.33203125" style="2" bestFit="1" customWidth="1"/>
    <col min="11778" max="12032" width="8.88671875" style="2"/>
    <col min="12033" max="12033" width="30.33203125" style="2" bestFit="1" customWidth="1"/>
    <col min="12034" max="12288" width="8.88671875" style="2"/>
    <col min="12289" max="12289" width="30.33203125" style="2" bestFit="1" customWidth="1"/>
    <col min="12290" max="12544" width="8.88671875" style="2"/>
    <col min="12545" max="12545" width="30.33203125" style="2" bestFit="1" customWidth="1"/>
    <col min="12546" max="12800" width="8.88671875" style="2"/>
    <col min="12801" max="12801" width="30.33203125" style="2" bestFit="1" customWidth="1"/>
    <col min="12802" max="13056" width="8.88671875" style="2"/>
    <col min="13057" max="13057" width="30.33203125" style="2" bestFit="1" customWidth="1"/>
    <col min="13058" max="13312" width="8.88671875" style="2"/>
    <col min="13313" max="13313" width="30.33203125" style="2" bestFit="1" customWidth="1"/>
    <col min="13314" max="13568" width="8.88671875" style="2"/>
    <col min="13569" max="13569" width="30.33203125" style="2" bestFit="1" customWidth="1"/>
    <col min="13570" max="13824" width="8.88671875" style="2"/>
    <col min="13825" max="13825" width="30.33203125" style="2" bestFit="1" customWidth="1"/>
    <col min="13826" max="14080" width="8.88671875" style="2"/>
    <col min="14081" max="14081" width="30.33203125" style="2" bestFit="1" customWidth="1"/>
    <col min="14082" max="14336" width="8.88671875" style="2"/>
    <col min="14337" max="14337" width="30.33203125" style="2" bestFit="1" customWidth="1"/>
    <col min="14338" max="14592" width="8.88671875" style="2"/>
    <col min="14593" max="14593" width="30.33203125" style="2" bestFit="1" customWidth="1"/>
    <col min="14594" max="14848" width="8.88671875" style="2"/>
    <col min="14849" max="14849" width="30.33203125" style="2" bestFit="1" customWidth="1"/>
    <col min="14850" max="15104" width="8.88671875" style="2"/>
    <col min="15105" max="15105" width="30.33203125" style="2" bestFit="1" customWidth="1"/>
    <col min="15106" max="15360" width="8.88671875" style="2"/>
    <col min="15361" max="15361" width="30.33203125" style="2" bestFit="1" customWidth="1"/>
    <col min="15362" max="15616" width="8.88671875" style="2"/>
    <col min="15617" max="15617" width="30.33203125" style="2" bestFit="1" customWidth="1"/>
    <col min="15618" max="15872" width="8.88671875" style="2"/>
    <col min="15873" max="15873" width="30.33203125" style="2" bestFit="1" customWidth="1"/>
    <col min="15874" max="16128" width="8.88671875" style="2"/>
    <col min="16129" max="16129" width="30.33203125" style="2" bestFit="1" customWidth="1"/>
    <col min="16130" max="16384" width="8.88671875" style="2"/>
  </cols>
  <sheetData>
    <row r="1" spans="1:9" ht="84" customHeight="1" x14ac:dyDescent="0.25">
      <c r="A1" s="1" t="s">
        <v>0</v>
      </c>
      <c r="B1" s="1"/>
      <c r="C1" s="1"/>
      <c r="D1" s="1"/>
      <c r="E1" s="1"/>
      <c r="F1" s="1"/>
      <c r="G1" s="1"/>
      <c r="H1" s="1"/>
      <c r="I1" s="1"/>
    </row>
    <row r="2" spans="1:9" x14ac:dyDescent="0.25">
      <c r="A2" s="2" t="s">
        <v>1</v>
      </c>
      <c r="B2" s="2">
        <v>50</v>
      </c>
    </row>
    <row r="3" spans="1:9" x14ac:dyDescent="0.25">
      <c r="A3" s="2" t="s">
        <v>2</v>
      </c>
      <c r="B3" s="2">
        <v>50</v>
      </c>
    </row>
    <row r="5" spans="1:9" x14ac:dyDescent="0.25">
      <c r="A5" s="2" t="s">
        <v>3</v>
      </c>
      <c r="B5" s="2">
        <v>1.4</v>
      </c>
    </row>
    <row r="6" spans="1:9" x14ac:dyDescent="0.25">
      <c r="A6" s="2" t="s">
        <v>4</v>
      </c>
      <c r="B6" s="2">
        <v>0.9</v>
      </c>
    </row>
    <row r="7" spans="1:9" x14ac:dyDescent="0.25">
      <c r="A7" s="2" t="s">
        <v>5</v>
      </c>
      <c r="B7" s="2">
        <v>1.05</v>
      </c>
    </row>
    <row r="8" spans="1:9" x14ac:dyDescent="0.25">
      <c r="G8" s="2" t="e">
        <f ca="1">_xlfn.FORMULATEXT(F8)</f>
        <v>#N/A</v>
      </c>
    </row>
    <row r="9" spans="1:9" x14ac:dyDescent="0.25">
      <c r="A9" s="3" t="s">
        <v>6</v>
      </c>
    </row>
    <row r="10" spans="1:9" ht="15.6" x14ac:dyDescent="0.35">
      <c r="A10" s="2" t="s">
        <v>7</v>
      </c>
      <c r="B10" s="4">
        <f>(B7-B6)/(B7*(B5-B6))</f>
        <v>0.28571428571428581</v>
      </c>
      <c r="C10" s="2" t="str">
        <f ca="1">_xlfn.FORMULATEXT(q_up)</f>
        <v>=(B7-B6)/(B7*(B5-B6))</v>
      </c>
    </row>
    <row r="11" spans="1:9" ht="15.6" x14ac:dyDescent="0.35">
      <c r="A11" s="2" t="s">
        <v>8</v>
      </c>
      <c r="B11" s="4">
        <f>(B5-B7)/(B7*(B5-B6))</f>
        <v>0.66666666666666652</v>
      </c>
      <c r="C11" s="2" t="str">
        <f ca="1">_xlfn.FORMULATEXT(q_up)</f>
        <v>=(B7-B6)/(B7*(B5-B6))</v>
      </c>
    </row>
    <row r="13" spans="1:9" x14ac:dyDescent="0.25">
      <c r="A13" s="3" t="s">
        <v>9</v>
      </c>
    </row>
    <row r="14" spans="1:9" ht="15.6" x14ac:dyDescent="0.35">
      <c r="A14" s="5" t="s">
        <v>10</v>
      </c>
      <c r="B14" s="6">
        <f>B10*$B$7</f>
        <v>0.3000000000000001</v>
      </c>
      <c r="C14" s="2" t="str">
        <f ca="1">_xlfn.FORMULATEXT(q_up)</f>
        <v>=(B7-B6)/(B7*(B5-B6))</v>
      </c>
    </row>
    <row r="15" spans="1:9" ht="15.6" x14ac:dyDescent="0.35">
      <c r="A15" s="5" t="s">
        <v>11</v>
      </c>
      <c r="B15" s="6">
        <f>B11*$B$7</f>
        <v>0.69999999999999984</v>
      </c>
      <c r="C15" s="2" t="str">
        <f ca="1">_xlfn.FORMULATEXT(q_up)</f>
        <v>=(B7-B6)/(B7*(B5-B6))</v>
      </c>
    </row>
    <row r="17" spans="1:256" x14ac:dyDescent="0.25">
      <c r="A17" s="7" t="s">
        <v>12</v>
      </c>
      <c r="B17" s="7"/>
      <c r="C17" s="7"/>
    </row>
    <row r="18" spans="1:256" x14ac:dyDescent="0.25">
      <c r="A18" s="2" t="s">
        <v>13</v>
      </c>
      <c r="B18" s="2">
        <f t="shared" ref="B18:Q19" ca="1" si="0">IF(RAND()&gt;$B$15,1,0)</f>
        <v>0</v>
      </c>
      <c r="C18" s="2">
        <f t="shared" ca="1" si="0"/>
        <v>0</v>
      </c>
      <c r="D18" s="2">
        <f t="shared" ca="1" si="0"/>
        <v>0</v>
      </c>
      <c r="E18" s="2">
        <f t="shared" ca="1" si="0"/>
        <v>1</v>
      </c>
      <c r="F18" s="2">
        <f t="shared" ca="1" si="0"/>
        <v>1</v>
      </c>
      <c r="G18" s="2">
        <f t="shared" ca="1" si="0"/>
        <v>1</v>
      </c>
      <c r="H18" s="2">
        <f t="shared" ca="1" si="0"/>
        <v>0</v>
      </c>
      <c r="I18" s="2">
        <f t="shared" ca="1" si="0"/>
        <v>0</v>
      </c>
      <c r="J18" s="2">
        <f t="shared" ca="1" si="0"/>
        <v>0</v>
      </c>
      <c r="K18" s="2">
        <f t="shared" ca="1" si="0"/>
        <v>0</v>
      </c>
      <c r="L18" s="2">
        <f t="shared" ca="1" si="0"/>
        <v>1</v>
      </c>
      <c r="M18" s="2">
        <f t="shared" ca="1" si="0"/>
        <v>0</v>
      </c>
      <c r="N18" s="2">
        <f t="shared" ca="1" si="0"/>
        <v>0</v>
      </c>
      <c r="O18" s="2">
        <f t="shared" ca="1" si="0"/>
        <v>0</v>
      </c>
      <c r="P18" s="2">
        <f t="shared" ca="1" si="0"/>
        <v>1</v>
      </c>
      <c r="Q18" s="2">
        <f t="shared" ca="1" si="0"/>
        <v>0</v>
      </c>
      <c r="R18" s="2">
        <f t="shared" ref="R18:AG19" ca="1" si="1">IF(RAND()&gt;$B$15,1,0)</f>
        <v>0</v>
      </c>
      <c r="S18" s="2">
        <f t="shared" ca="1" si="1"/>
        <v>0</v>
      </c>
      <c r="T18" s="2">
        <f t="shared" ca="1" si="1"/>
        <v>0</v>
      </c>
      <c r="U18" s="2">
        <f t="shared" ca="1" si="1"/>
        <v>0</v>
      </c>
      <c r="V18" s="2">
        <f t="shared" ca="1" si="1"/>
        <v>0</v>
      </c>
      <c r="W18" s="2">
        <f t="shared" ca="1" si="1"/>
        <v>0</v>
      </c>
      <c r="X18" s="2">
        <f t="shared" ca="1" si="1"/>
        <v>0</v>
      </c>
      <c r="Y18" s="2">
        <f t="shared" ca="1" si="1"/>
        <v>0</v>
      </c>
      <c r="Z18" s="2">
        <f t="shared" ca="1" si="1"/>
        <v>0</v>
      </c>
      <c r="AA18" s="2">
        <f t="shared" ca="1" si="1"/>
        <v>0</v>
      </c>
      <c r="AB18" s="2">
        <f t="shared" ca="1" si="1"/>
        <v>0</v>
      </c>
      <c r="AC18" s="2">
        <f t="shared" ca="1" si="1"/>
        <v>1</v>
      </c>
      <c r="AD18" s="2">
        <f t="shared" ca="1" si="1"/>
        <v>0</v>
      </c>
      <c r="AE18" s="2">
        <f t="shared" ca="1" si="1"/>
        <v>0</v>
      </c>
      <c r="AF18" s="2">
        <f t="shared" ca="1" si="1"/>
        <v>0</v>
      </c>
      <c r="AG18" s="2">
        <f t="shared" ca="1" si="1"/>
        <v>1</v>
      </c>
      <c r="AH18" s="2">
        <f t="shared" ref="AH18:AW19" ca="1" si="2">IF(RAND()&gt;$B$15,1,0)</f>
        <v>1</v>
      </c>
      <c r="AI18" s="2">
        <f t="shared" ca="1" si="2"/>
        <v>0</v>
      </c>
      <c r="AJ18" s="2">
        <f t="shared" ca="1" si="2"/>
        <v>1</v>
      </c>
      <c r="AK18" s="2">
        <f t="shared" ca="1" si="2"/>
        <v>1</v>
      </c>
      <c r="AL18" s="2">
        <f t="shared" ca="1" si="2"/>
        <v>1</v>
      </c>
      <c r="AM18" s="2">
        <f t="shared" ca="1" si="2"/>
        <v>0</v>
      </c>
      <c r="AN18" s="2">
        <f t="shared" ca="1" si="2"/>
        <v>0</v>
      </c>
      <c r="AO18" s="2">
        <f t="shared" ca="1" si="2"/>
        <v>0</v>
      </c>
      <c r="AP18" s="2">
        <f t="shared" ca="1" si="2"/>
        <v>0</v>
      </c>
      <c r="AQ18" s="2">
        <f t="shared" ca="1" si="2"/>
        <v>0</v>
      </c>
      <c r="AR18" s="2">
        <f t="shared" ca="1" si="2"/>
        <v>0</v>
      </c>
      <c r="AS18" s="2">
        <f t="shared" ca="1" si="2"/>
        <v>0</v>
      </c>
      <c r="AT18" s="2">
        <f t="shared" ca="1" si="2"/>
        <v>0</v>
      </c>
      <c r="AU18" s="2">
        <f t="shared" ca="1" si="2"/>
        <v>0</v>
      </c>
      <c r="AV18" s="2">
        <f t="shared" ca="1" si="2"/>
        <v>0</v>
      </c>
      <c r="AW18" s="2">
        <f t="shared" ca="1" si="2"/>
        <v>0</v>
      </c>
      <c r="AX18" s="2">
        <f t="shared" ref="AX18:BM19" ca="1" si="3">IF(RAND()&gt;$B$15,1,0)</f>
        <v>0</v>
      </c>
      <c r="AY18" s="2">
        <f t="shared" ca="1" si="3"/>
        <v>0</v>
      </c>
      <c r="AZ18" s="2">
        <f t="shared" ca="1" si="3"/>
        <v>1</v>
      </c>
      <c r="BA18" s="2">
        <f t="shared" ca="1" si="3"/>
        <v>0</v>
      </c>
      <c r="BB18" s="2">
        <f t="shared" ca="1" si="3"/>
        <v>0</v>
      </c>
      <c r="BC18" s="2">
        <f t="shared" ca="1" si="3"/>
        <v>0</v>
      </c>
      <c r="BD18" s="2">
        <f t="shared" ca="1" si="3"/>
        <v>0</v>
      </c>
      <c r="BE18" s="2">
        <f t="shared" ca="1" si="3"/>
        <v>1</v>
      </c>
      <c r="BF18" s="2">
        <f t="shared" ca="1" si="3"/>
        <v>1</v>
      </c>
      <c r="BG18" s="2">
        <f t="shared" ca="1" si="3"/>
        <v>1</v>
      </c>
      <c r="BH18" s="2">
        <f t="shared" ca="1" si="3"/>
        <v>0</v>
      </c>
      <c r="BI18" s="2">
        <f t="shared" ca="1" si="3"/>
        <v>0</v>
      </c>
      <c r="BJ18" s="2">
        <f t="shared" ca="1" si="3"/>
        <v>0</v>
      </c>
      <c r="BK18" s="2">
        <f t="shared" ca="1" si="3"/>
        <v>1</v>
      </c>
      <c r="BL18" s="2">
        <f t="shared" ca="1" si="3"/>
        <v>0</v>
      </c>
      <c r="BM18" s="2">
        <f t="shared" ca="1" si="3"/>
        <v>1</v>
      </c>
      <c r="BN18" s="2">
        <f t="shared" ref="BN18:CC19" ca="1" si="4">IF(RAND()&gt;$B$15,1,0)</f>
        <v>0</v>
      </c>
      <c r="BO18" s="2">
        <f t="shared" ca="1" si="4"/>
        <v>1</v>
      </c>
      <c r="BP18" s="2">
        <f t="shared" ca="1" si="4"/>
        <v>1</v>
      </c>
      <c r="BQ18" s="2">
        <f t="shared" ca="1" si="4"/>
        <v>1</v>
      </c>
      <c r="BR18" s="2">
        <f t="shared" ca="1" si="4"/>
        <v>1</v>
      </c>
      <c r="BS18" s="2">
        <f t="shared" ca="1" si="4"/>
        <v>1</v>
      </c>
      <c r="BT18" s="2">
        <f t="shared" ca="1" si="4"/>
        <v>0</v>
      </c>
      <c r="BU18" s="2">
        <f t="shared" ca="1" si="4"/>
        <v>0</v>
      </c>
      <c r="BV18" s="2">
        <f t="shared" ca="1" si="4"/>
        <v>0</v>
      </c>
      <c r="BW18" s="2">
        <f t="shared" ca="1" si="4"/>
        <v>1</v>
      </c>
      <c r="BX18" s="2">
        <f t="shared" ca="1" si="4"/>
        <v>0</v>
      </c>
      <c r="BY18" s="2">
        <f t="shared" ca="1" si="4"/>
        <v>0</v>
      </c>
      <c r="BZ18" s="2">
        <f t="shared" ca="1" si="4"/>
        <v>0</v>
      </c>
      <c r="CA18" s="2">
        <f t="shared" ca="1" si="4"/>
        <v>1</v>
      </c>
      <c r="CB18" s="2">
        <f t="shared" ca="1" si="4"/>
        <v>1</v>
      </c>
      <c r="CC18" s="2">
        <f t="shared" ca="1" si="4"/>
        <v>0</v>
      </c>
      <c r="CD18" s="2">
        <f t="shared" ref="CD18:CS19" ca="1" si="5">IF(RAND()&gt;$B$15,1,0)</f>
        <v>0</v>
      </c>
      <c r="CE18" s="2">
        <f t="shared" ca="1" si="5"/>
        <v>0</v>
      </c>
      <c r="CF18" s="2">
        <f t="shared" ca="1" si="5"/>
        <v>1</v>
      </c>
      <c r="CG18" s="2">
        <f t="shared" ca="1" si="5"/>
        <v>0</v>
      </c>
      <c r="CH18" s="2">
        <f t="shared" ca="1" si="5"/>
        <v>0</v>
      </c>
      <c r="CI18" s="2">
        <f t="shared" ca="1" si="5"/>
        <v>0</v>
      </c>
      <c r="CJ18" s="2">
        <f t="shared" ca="1" si="5"/>
        <v>0</v>
      </c>
      <c r="CK18" s="2">
        <f t="shared" ca="1" si="5"/>
        <v>0</v>
      </c>
      <c r="CL18" s="2">
        <f t="shared" ca="1" si="5"/>
        <v>1</v>
      </c>
      <c r="CM18" s="2">
        <f t="shared" ca="1" si="5"/>
        <v>0</v>
      </c>
      <c r="CN18" s="2">
        <f t="shared" ca="1" si="5"/>
        <v>1</v>
      </c>
      <c r="CO18" s="2">
        <f t="shared" ca="1" si="5"/>
        <v>0</v>
      </c>
      <c r="CP18" s="2">
        <f t="shared" ca="1" si="5"/>
        <v>0</v>
      </c>
      <c r="CQ18" s="2">
        <f t="shared" ca="1" si="5"/>
        <v>0</v>
      </c>
      <c r="CR18" s="2">
        <f t="shared" ca="1" si="5"/>
        <v>1</v>
      </c>
      <c r="CS18" s="2">
        <f t="shared" ca="1" si="5"/>
        <v>1</v>
      </c>
      <c r="CT18" s="2">
        <f t="shared" ref="CT18:DI19" ca="1" si="6">IF(RAND()&gt;$B$15,1,0)</f>
        <v>1</v>
      </c>
      <c r="CU18" s="2">
        <f t="shared" ca="1" si="6"/>
        <v>0</v>
      </c>
      <c r="CV18" s="2">
        <f t="shared" ca="1" si="6"/>
        <v>1</v>
      </c>
      <c r="CW18" s="2">
        <f t="shared" ca="1" si="6"/>
        <v>1</v>
      </c>
      <c r="CX18" s="2">
        <f t="shared" ca="1" si="6"/>
        <v>0</v>
      </c>
      <c r="CY18" s="2">
        <f t="shared" ca="1" si="6"/>
        <v>0</v>
      </c>
      <c r="CZ18" s="2">
        <f t="shared" ca="1" si="6"/>
        <v>1</v>
      </c>
      <c r="DA18" s="2">
        <f t="shared" ca="1" si="6"/>
        <v>0</v>
      </c>
      <c r="DB18" s="2">
        <f t="shared" ca="1" si="6"/>
        <v>1</v>
      </c>
      <c r="DC18" s="2">
        <f t="shared" ca="1" si="6"/>
        <v>0</v>
      </c>
      <c r="DD18" s="2">
        <f t="shared" ca="1" si="6"/>
        <v>0</v>
      </c>
      <c r="DE18" s="2">
        <f t="shared" ca="1" si="6"/>
        <v>0</v>
      </c>
      <c r="DF18" s="2">
        <f t="shared" ca="1" si="6"/>
        <v>0</v>
      </c>
      <c r="DG18" s="2">
        <f t="shared" ca="1" si="6"/>
        <v>1</v>
      </c>
      <c r="DH18" s="2">
        <f t="shared" ca="1" si="6"/>
        <v>0</v>
      </c>
      <c r="DI18" s="2">
        <f t="shared" ca="1" si="6"/>
        <v>0</v>
      </c>
      <c r="DJ18" s="2">
        <f t="shared" ref="DJ18:DY19" ca="1" si="7">IF(RAND()&gt;$B$15,1,0)</f>
        <v>1</v>
      </c>
      <c r="DK18" s="2">
        <f t="shared" ca="1" si="7"/>
        <v>1</v>
      </c>
      <c r="DL18" s="2">
        <f t="shared" ca="1" si="7"/>
        <v>0</v>
      </c>
      <c r="DM18" s="2">
        <f t="shared" ca="1" si="7"/>
        <v>0</v>
      </c>
      <c r="DN18" s="2">
        <f t="shared" ca="1" si="7"/>
        <v>0</v>
      </c>
      <c r="DO18" s="2">
        <f t="shared" ca="1" si="7"/>
        <v>0</v>
      </c>
      <c r="DP18" s="2">
        <f t="shared" ca="1" si="7"/>
        <v>0</v>
      </c>
      <c r="DQ18" s="2">
        <f t="shared" ca="1" si="7"/>
        <v>0</v>
      </c>
      <c r="DR18" s="2">
        <f t="shared" ca="1" si="7"/>
        <v>0</v>
      </c>
      <c r="DS18" s="2">
        <f t="shared" ca="1" si="7"/>
        <v>0</v>
      </c>
      <c r="DT18" s="2">
        <f t="shared" ca="1" si="7"/>
        <v>0</v>
      </c>
      <c r="DU18" s="2">
        <f t="shared" ca="1" si="7"/>
        <v>0</v>
      </c>
      <c r="DV18" s="2">
        <f t="shared" ca="1" si="7"/>
        <v>0</v>
      </c>
      <c r="DW18" s="2">
        <f t="shared" ca="1" si="7"/>
        <v>0</v>
      </c>
      <c r="DX18" s="2">
        <f t="shared" ca="1" si="7"/>
        <v>0</v>
      </c>
      <c r="DY18" s="2">
        <f t="shared" ca="1" si="7"/>
        <v>1</v>
      </c>
      <c r="DZ18" s="2">
        <f t="shared" ref="DZ18:EO19" ca="1" si="8">IF(RAND()&gt;$B$15,1,0)</f>
        <v>1</v>
      </c>
      <c r="EA18" s="2">
        <f t="shared" ca="1" si="8"/>
        <v>0</v>
      </c>
      <c r="EB18" s="2">
        <f t="shared" ca="1" si="8"/>
        <v>1</v>
      </c>
      <c r="EC18" s="2">
        <f t="shared" ca="1" si="8"/>
        <v>0</v>
      </c>
      <c r="ED18" s="2">
        <f t="shared" ca="1" si="8"/>
        <v>1</v>
      </c>
      <c r="EE18" s="2">
        <f t="shared" ca="1" si="8"/>
        <v>0</v>
      </c>
      <c r="EF18" s="2">
        <f t="shared" ca="1" si="8"/>
        <v>0</v>
      </c>
      <c r="EG18" s="2">
        <f t="shared" ca="1" si="8"/>
        <v>0</v>
      </c>
      <c r="EH18" s="2">
        <f t="shared" ca="1" si="8"/>
        <v>0</v>
      </c>
      <c r="EI18" s="2">
        <f t="shared" ca="1" si="8"/>
        <v>0</v>
      </c>
      <c r="EJ18" s="2">
        <f t="shared" ca="1" si="8"/>
        <v>0</v>
      </c>
      <c r="EK18" s="2">
        <f t="shared" ca="1" si="8"/>
        <v>0</v>
      </c>
      <c r="EL18" s="2">
        <f t="shared" ca="1" si="8"/>
        <v>0</v>
      </c>
      <c r="EM18" s="2">
        <f t="shared" ca="1" si="8"/>
        <v>0</v>
      </c>
      <c r="EN18" s="2">
        <f t="shared" ca="1" si="8"/>
        <v>0</v>
      </c>
      <c r="EO18" s="2">
        <f t="shared" ca="1" si="8"/>
        <v>0</v>
      </c>
      <c r="EP18" s="2">
        <f t="shared" ref="EP18:FE19" ca="1" si="9">IF(RAND()&gt;$B$15,1,0)</f>
        <v>1</v>
      </c>
      <c r="EQ18" s="2">
        <f t="shared" ca="1" si="9"/>
        <v>0</v>
      </c>
      <c r="ER18" s="2">
        <f t="shared" ca="1" si="9"/>
        <v>1</v>
      </c>
      <c r="ES18" s="2">
        <f t="shared" ca="1" si="9"/>
        <v>1</v>
      </c>
      <c r="ET18" s="2">
        <f t="shared" ca="1" si="9"/>
        <v>1</v>
      </c>
      <c r="EU18" s="2">
        <f t="shared" ca="1" si="9"/>
        <v>1</v>
      </c>
      <c r="EV18" s="2">
        <f t="shared" ca="1" si="9"/>
        <v>0</v>
      </c>
      <c r="EW18" s="2">
        <f t="shared" ca="1" si="9"/>
        <v>0</v>
      </c>
      <c r="EX18" s="2">
        <f t="shared" ca="1" si="9"/>
        <v>1</v>
      </c>
      <c r="EY18" s="2">
        <f t="shared" ca="1" si="9"/>
        <v>0</v>
      </c>
      <c r="EZ18" s="2">
        <f t="shared" ca="1" si="9"/>
        <v>1</v>
      </c>
      <c r="FA18" s="2">
        <f t="shared" ca="1" si="9"/>
        <v>0</v>
      </c>
      <c r="FB18" s="2">
        <f t="shared" ca="1" si="9"/>
        <v>0</v>
      </c>
      <c r="FC18" s="2">
        <f t="shared" ca="1" si="9"/>
        <v>1</v>
      </c>
      <c r="FD18" s="2">
        <f t="shared" ca="1" si="9"/>
        <v>1</v>
      </c>
      <c r="FE18" s="2">
        <f t="shared" ca="1" si="9"/>
        <v>1</v>
      </c>
      <c r="FF18" s="2">
        <f t="shared" ref="FF18:FU19" ca="1" si="10">IF(RAND()&gt;$B$15,1,0)</f>
        <v>0</v>
      </c>
      <c r="FG18" s="2">
        <f t="shared" ca="1" si="10"/>
        <v>0</v>
      </c>
      <c r="FH18" s="2">
        <f t="shared" ca="1" si="10"/>
        <v>0</v>
      </c>
      <c r="FI18" s="2">
        <f t="shared" ca="1" si="10"/>
        <v>0</v>
      </c>
      <c r="FJ18" s="2">
        <f t="shared" ca="1" si="10"/>
        <v>1</v>
      </c>
      <c r="FK18" s="2">
        <f t="shared" ca="1" si="10"/>
        <v>1</v>
      </c>
      <c r="FL18" s="2">
        <f t="shared" ca="1" si="10"/>
        <v>0</v>
      </c>
      <c r="FM18" s="2">
        <f t="shared" ca="1" si="10"/>
        <v>1</v>
      </c>
      <c r="FN18" s="2">
        <f t="shared" ca="1" si="10"/>
        <v>0</v>
      </c>
      <c r="FO18" s="2">
        <f t="shared" ca="1" si="10"/>
        <v>0</v>
      </c>
      <c r="FP18" s="2">
        <f t="shared" ca="1" si="10"/>
        <v>1</v>
      </c>
      <c r="FQ18" s="2">
        <f t="shared" ca="1" si="10"/>
        <v>1</v>
      </c>
      <c r="FR18" s="2">
        <f t="shared" ca="1" si="10"/>
        <v>0</v>
      </c>
      <c r="FS18" s="2">
        <f t="shared" ca="1" si="10"/>
        <v>0</v>
      </c>
      <c r="FT18" s="2">
        <f t="shared" ca="1" si="10"/>
        <v>1</v>
      </c>
      <c r="FU18" s="2">
        <f t="shared" ca="1" si="10"/>
        <v>1</v>
      </c>
      <c r="FV18" s="2">
        <f t="shared" ref="FV18:GK19" ca="1" si="11">IF(RAND()&gt;$B$15,1,0)</f>
        <v>0</v>
      </c>
      <c r="FW18" s="2">
        <f t="shared" ca="1" si="11"/>
        <v>0</v>
      </c>
      <c r="FX18" s="2">
        <f t="shared" ca="1" si="11"/>
        <v>0</v>
      </c>
      <c r="FY18" s="2">
        <f t="shared" ca="1" si="11"/>
        <v>0</v>
      </c>
      <c r="FZ18" s="2">
        <f t="shared" ca="1" si="11"/>
        <v>1</v>
      </c>
      <c r="GA18" s="2">
        <f t="shared" ca="1" si="11"/>
        <v>0</v>
      </c>
      <c r="GB18" s="2">
        <f t="shared" ca="1" si="11"/>
        <v>0</v>
      </c>
      <c r="GC18" s="2">
        <f t="shared" ca="1" si="11"/>
        <v>1</v>
      </c>
      <c r="GD18" s="2">
        <f t="shared" ca="1" si="11"/>
        <v>0</v>
      </c>
      <c r="GE18" s="2">
        <f t="shared" ca="1" si="11"/>
        <v>0</v>
      </c>
      <c r="GF18" s="2">
        <f t="shared" ca="1" si="11"/>
        <v>1</v>
      </c>
      <c r="GG18" s="2">
        <f t="shared" ca="1" si="11"/>
        <v>0</v>
      </c>
      <c r="GH18" s="2">
        <f t="shared" ca="1" si="11"/>
        <v>0</v>
      </c>
      <c r="GI18" s="2">
        <f t="shared" ca="1" si="11"/>
        <v>0</v>
      </c>
      <c r="GJ18" s="2">
        <f t="shared" ca="1" si="11"/>
        <v>0</v>
      </c>
      <c r="GK18" s="2">
        <f t="shared" ca="1" si="11"/>
        <v>0</v>
      </c>
      <c r="GL18" s="2">
        <f t="shared" ref="GL18:HA19" ca="1" si="12">IF(RAND()&gt;$B$15,1,0)</f>
        <v>0</v>
      </c>
      <c r="GM18" s="2">
        <f t="shared" ca="1" si="12"/>
        <v>0</v>
      </c>
      <c r="GN18" s="2">
        <f t="shared" ca="1" si="12"/>
        <v>1</v>
      </c>
      <c r="GO18" s="2">
        <f t="shared" ca="1" si="12"/>
        <v>0</v>
      </c>
      <c r="GP18" s="2">
        <f t="shared" ca="1" si="12"/>
        <v>0</v>
      </c>
      <c r="GQ18" s="2">
        <f t="shared" ca="1" si="12"/>
        <v>0</v>
      </c>
      <c r="GR18" s="2">
        <f t="shared" ca="1" si="12"/>
        <v>0</v>
      </c>
      <c r="GS18" s="2">
        <f t="shared" ca="1" si="12"/>
        <v>0</v>
      </c>
      <c r="GT18" s="2">
        <f t="shared" ca="1" si="12"/>
        <v>0</v>
      </c>
      <c r="GU18" s="2">
        <f t="shared" ca="1" si="12"/>
        <v>0</v>
      </c>
      <c r="GV18" s="2">
        <f t="shared" ca="1" si="12"/>
        <v>0</v>
      </c>
      <c r="GW18" s="2">
        <f t="shared" ca="1" si="12"/>
        <v>0</v>
      </c>
      <c r="GX18" s="2">
        <f t="shared" ca="1" si="12"/>
        <v>1</v>
      </c>
      <c r="GY18" s="2">
        <f t="shared" ca="1" si="12"/>
        <v>0</v>
      </c>
      <c r="GZ18" s="2">
        <f t="shared" ca="1" si="12"/>
        <v>1</v>
      </c>
      <c r="HA18" s="2">
        <f t="shared" ca="1" si="12"/>
        <v>0</v>
      </c>
      <c r="HB18" s="2">
        <f t="shared" ref="HB18:HQ19" ca="1" si="13">IF(RAND()&gt;$B$15,1,0)</f>
        <v>1</v>
      </c>
      <c r="HC18" s="2">
        <f t="shared" ca="1" si="13"/>
        <v>0</v>
      </c>
      <c r="HD18" s="2">
        <f t="shared" ca="1" si="13"/>
        <v>0</v>
      </c>
      <c r="HE18" s="2">
        <f t="shared" ca="1" si="13"/>
        <v>0</v>
      </c>
      <c r="HF18" s="2">
        <f t="shared" ca="1" si="13"/>
        <v>0</v>
      </c>
      <c r="HG18" s="2">
        <f t="shared" ca="1" si="13"/>
        <v>0</v>
      </c>
      <c r="HH18" s="2">
        <f t="shared" ca="1" si="13"/>
        <v>1</v>
      </c>
      <c r="HI18" s="2">
        <f t="shared" ca="1" si="13"/>
        <v>1</v>
      </c>
      <c r="HJ18" s="2">
        <f t="shared" ca="1" si="13"/>
        <v>0</v>
      </c>
      <c r="HK18" s="2">
        <f t="shared" ca="1" si="13"/>
        <v>1</v>
      </c>
      <c r="HL18" s="2">
        <f t="shared" ca="1" si="13"/>
        <v>0</v>
      </c>
      <c r="HM18" s="2">
        <f t="shared" ca="1" si="13"/>
        <v>1</v>
      </c>
      <c r="HN18" s="2">
        <f t="shared" ca="1" si="13"/>
        <v>1</v>
      </c>
      <c r="HO18" s="2">
        <f t="shared" ca="1" si="13"/>
        <v>0</v>
      </c>
      <c r="HP18" s="2">
        <f t="shared" ca="1" si="13"/>
        <v>0</v>
      </c>
      <c r="HQ18" s="2">
        <f t="shared" ca="1" si="13"/>
        <v>0</v>
      </c>
      <c r="HR18" s="2">
        <f t="shared" ref="HR18:IG19" ca="1" si="14">IF(RAND()&gt;$B$15,1,0)</f>
        <v>1</v>
      </c>
      <c r="HS18" s="2">
        <f t="shared" ca="1" si="14"/>
        <v>0</v>
      </c>
      <c r="HT18" s="2">
        <f t="shared" ca="1" si="14"/>
        <v>0</v>
      </c>
      <c r="HU18" s="2">
        <f t="shared" ca="1" si="14"/>
        <v>0</v>
      </c>
      <c r="HV18" s="2">
        <f t="shared" ca="1" si="14"/>
        <v>0</v>
      </c>
      <c r="HW18" s="2">
        <f t="shared" ca="1" si="14"/>
        <v>1</v>
      </c>
      <c r="HX18" s="2">
        <f t="shared" ca="1" si="14"/>
        <v>0</v>
      </c>
      <c r="HY18" s="2">
        <f t="shared" ca="1" si="14"/>
        <v>0</v>
      </c>
      <c r="HZ18" s="2">
        <f t="shared" ca="1" si="14"/>
        <v>0</v>
      </c>
      <c r="IA18" s="2">
        <f t="shared" ca="1" si="14"/>
        <v>0</v>
      </c>
      <c r="IB18" s="2">
        <f t="shared" ca="1" si="14"/>
        <v>0</v>
      </c>
      <c r="IC18" s="2">
        <f t="shared" ca="1" si="14"/>
        <v>0</v>
      </c>
      <c r="ID18" s="2">
        <f t="shared" ca="1" si="14"/>
        <v>0</v>
      </c>
      <c r="IE18" s="2">
        <f t="shared" ca="1" si="14"/>
        <v>0</v>
      </c>
      <c r="IF18" s="2">
        <f t="shared" ca="1" si="14"/>
        <v>0</v>
      </c>
      <c r="IG18" s="2">
        <f t="shared" ca="1" si="14"/>
        <v>0</v>
      </c>
      <c r="IH18" s="2">
        <f t="shared" ref="IH18:IV19" ca="1" si="15">IF(RAND()&gt;$B$15,1,0)</f>
        <v>0</v>
      </c>
      <c r="II18" s="2">
        <f t="shared" ca="1" si="15"/>
        <v>0</v>
      </c>
      <c r="IJ18" s="2">
        <f t="shared" ca="1" si="15"/>
        <v>1</v>
      </c>
      <c r="IK18" s="2">
        <f t="shared" ca="1" si="15"/>
        <v>0</v>
      </c>
      <c r="IL18" s="2">
        <f t="shared" ca="1" si="15"/>
        <v>1</v>
      </c>
      <c r="IM18" s="2">
        <f t="shared" ca="1" si="15"/>
        <v>0</v>
      </c>
      <c r="IN18" s="2">
        <f t="shared" ca="1" si="15"/>
        <v>0</v>
      </c>
      <c r="IO18" s="2">
        <f t="shared" ca="1" si="15"/>
        <v>0</v>
      </c>
      <c r="IP18" s="2">
        <f t="shared" ca="1" si="15"/>
        <v>0</v>
      </c>
      <c r="IQ18" s="2">
        <f t="shared" ca="1" si="15"/>
        <v>1</v>
      </c>
      <c r="IR18" s="2">
        <f t="shared" ca="1" si="15"/>
        <v>1</v>
      </c>
      <c r="IS18" s="2">
        <f t="shared" ca="1" si="15"/>
        <v>0</v>
      </c>
      <c r="IT18" s="2">
        <f t="shared" ca="1" si="15"/>
        <v>1</v>
      </c>
      <c r="IU18" s="2">
        <f t="shared" ca="1" si="15"/>
        <v>1</v>
      </c>
      <c r="IV18" s="2">
        <f t="shared" ca="1" si="15"/>
        <v>0</v>
      </c>
    </row>
    <row r="19" spans="1:256" x14ac:dyDescent="0.25">
      <c r="A19" s="2" t="s">
        <v>14</v>
      </c>
      <c r="B19" s="2">
        <f t="shared" ca="1" si="0"/>
        <v>1</v>
      </c>
      <c r="C19" s="2">
        <f t="shared" ca="1" si="0"/>
        <v>0</v>
      </c>
      <c r="D19" s="2">
        <f t="shared" ca="1" si="0"/>
        <v>0</v>
      </c>
      <c r="E19" s="2">
        <f t="shared" ca="1" si="0"/>
        <v>0</v>
      </c>
      <c r="F19" s="2">
        <f t="shared" ca="1" si="0"/>
        <v>0</v>
      </c>
      <c r="G19" s="2">
        <f t="shared" ca="1" si="0"/>
        <v>0</v>
      </c>
      <c r="H19" s="2">
        <f t="shared" ca="1" si="0"/>
        <v>0</v>
      </c>
      <c r="I19" s="2">
        <f t="shared" ca="1" si="0"/>
        <v>0</v>
      </c>
      <c r="J19" s="2">
        <f t="shared" ca="1" si="0"/>
        <v>0</v>
      </c>
      <c r="K19" s="2">
        <f t="shared" ca="1" si="0"/>
        <v>1</v>
      </c>
      <c r="L19" s="2">
        <f t="shared" ca="1" si="0"/>
        <v>0</v>
      </c>
      <c r="M19" s="2">
        <f t="shared" ca="1" si="0"/>
        <v>1</v>
      </c>
      <c r="N19" s="2">
        <f t="shared" ca="1" si="0"/>
        <v>1</v>
      </c>
      <c r="O19" s="2">
        <f t="shared" ca="1" si="0"/>
        <v>0</v>
      </c>
      <c r="P19" s="2">
        <f t="shared" ca="1" si="0"/>
        <v>0</v>
      </c>
      <c r="Q19" s="2">
        <f t="shared" ca="1" si="0"/>
        <v>0</v>
      </c>
      <c r="R19" s="2">
        <f t="shared" ca="1" si="1"/>
        <v>0</v>
      </c>
      <c r="S19" s="2">
        <f t="shared" ca="1" si="1"/>
        <v>0</v>
      </c>
      <c r="T19" s="2">
        <f t="shared" ca="1" si="1"/>
        <v>1</v>
      </c>
      <c r="U19" s="2">
        <f t="shared" ca="1" si="1"/>
        <v>0</v>
      </c>
      <c r="V19" s="2">
        <f t="shared" ca="1" si="1"/>
        <v>1</v>
      </c>
      <c r="W19" s="2">
        <f t="shared" ca="1" si="1"/>
        <v>0</v>
      </c>
      <c r="X19" s="2">
        <f t="shared" ca="1" si="1"/>
        <v>0</v>
      </c>
      <c r="Y19" s="2">
        <f t="shared" ca="1" si="1"/>
        <v>0</v>
      </c>
      <c r="Z19" s="2">
        <f t="shared" ca="1" si="1"/>
        <v>1</v>
      </c>
      <c r="AA19" s="2">
        <f t="shared" ca="1" si="1"/>
        <v>0</v>
      </c>
      <c r="AB19" s="2">
        <f t="shared" ca="1" si="1"/>
        <v>0</v>
      </c>
      <c r="AC19" s="2">
        <f t="shared" ca="1" si="1"/>
        <v>1</v>
      </c>
      <c r="AD19" s="2">
        <f t="shared" ca="1" si="1"/>
        <v>1</v>
      </c>
      <c r="AE19" s="2">
        <f t="shared" ca="1" si="1"/>
        <v>0</v>
      </c>
      <c r="AF19" s="2">
        <f t="shared" ca="1" si="1"/>
        <v>0</v>
      </c>
      <c r="AG19" s="2">
        <f t="shared" ca="1" si="1"/>
        <v>0</v>
      </c>
      <c r="AH19" s="2">
        <f t="shared" ca="1" si="2"/>
        <v>0</v>
      </c>
      <c r="AI19" s="2">
        <f t="shared" ca="1" si="2"/>
        <v>0</v>
      </c>
      <c r="AJ19" s="2">
        <f t="shared" ca="1" si="2"/>
        <v>0</v>
      </c>
      <c r="AK19" s="2">
        <f t="shared" ca="1" si="2"/>
        <v>1</v>
      </c>
      <c r="AL19" s="2">
        <f t="shared" ca="1" si="2"/>
        <v>0</v>
      </c>
      <c r="AM19" s="2">
        <f t="shared" ca="1" si="2"/>
        <v>1</v>
      </c>
      <c r="AN19" s="2">
        <f t="shared" ca="1" si="2"/>
        <v>0</v>
      </c>
      <c r="AO19" s="2">
        <f t="shared" ca="1" si="2"/>
        <v>1</v>
      </c>
      <c r="AP19" s="2">
        <f t="shared" ca="1" si="2"/>
        <v>0</v>
      </c>
      <c r="AQ19" s="2">
        <f t="shared" ca="1" si="2"/>
        <v>0</v>
      </c>
      <c r="AR19" s="2">
        <f t="shared" ca="1" si="2"/>
        <v>1</v>
      </c>
      <c r="AS19" s="2">
        <f t="shared" ca="1" si="2"/>
        <v>0</v>
      </c>
      <c r="AT19" s="2">
        <f t="shared" ca="1" si="2"/>
        <v>0</v>
      </c>
      <c r="AU19" s="2">
        <f t="shared" ca="1" si="2"/>
        <v>0</v>
      </c>
      <c r="AV19" s="2">
        <f t="shared" ca="1" si="2"/>
        <v>0</v>
      </c>
      <c r="AW19" s="2">
        <f t="shared" ca="1" si="2"/>
        <v>0</v>
      </c>
      <c r="AX19" s="2">
        <f t="shared" ca="1" si="3"/>
        <v>1</v>
      </c>
      <c r="AY19" s="2">
        <f t="shared" ca="1" si="3"/>
        <v>0</v>
      </c>
      <c r="AZ19" s="2">
        <f t="shared" ca="1" si="3"/>
        <v>1</v>
      </c>
      <c r="BA19" s="2">
        <f t="shared" ca="1" si="3"/>
        <v>0</v>
      </c>
      <c r="BB19" s="2">
        <f t="shared" ca="1" si="3"/>
        <v>0</v>
      </c>
      <c r="BC19" s="2">
        <f t="shared" ca="1" si="3"/>
        <v>0</v>
      </c>
      <c r="BD19" s="2">
        <f t="shared" ca="1" si="3"/>
        <v>0</v>
      </c>
      <c r="BE19" s="2">
        <f t="shared" ca="1" si="3"/>
        <v>0</v>
      </c>
      <c r="BF19" s="2">
        <f t="shared" ca="1" si="3"/>
        <v>0</v>
      </c>
      <c r="BG19" s="2">
        <f t="shared" ca="1" si="3"/>
        <v>0</v>
      </c>
      <c r="BH19" s="2">
        <f t="shared" ca="1" si="3"/>
        <v>1</v>
      </c>
      <c r="BI19" s="2">
        <f t="shared" ca="1" si="3"/>
        <v>0</v>
      </c>
      <c r="BJ19" s="2">
        <f t="shared" ca="1" si="3"/>
        <v>1</v>
      </c>
      <c r="BK19" s="2">
        <f t="shared" ca="1" si="3"/>
        <v>0</v>
      </c>
      <c r="BL19" s="2">
        <f t="shared" ca="1" si="3"/>
        <v>0</v>
      </c>
      <c r="BM19" s="2">
        <f t="shared" ca="1" si="3"/>
        <v>0</v>
      </c>
      <c r="BN19" s="2">
        <f t="shared" ca="1" si="4"/>
        <v>0</v>
      </c>
      <c r="BO19" s="2">
        <f t="shared" ca="1" si="4"/>
        <v>0</v>
      </c>
      <c r="BP19" s="2">
        <f t="shared" ca="1" si="4"/>
        <v>0</v>
      </c>
      <c r="BQ19" s="2">
        <f t="shared" ca="1" si="4"/>
        <v>0</v>
      </c>
      <c r="BR19" s="2">
        <f t="shared" ca="1" si="4"/>
        <v>1</v>
      </c>
      <c r="BS19" s="2">
        <f t="shared" ca="1" si="4"/>
        <v>0</v>
      </c>
      <c r="BT19" s="2">
        <f t="shared" ca="1" si="4"/>
        <v>1</v>
      </c>
      <c r="BU19" s="2">
        <f t="shared" ca="1" si="4"/>
        <v>0</v>
      </c>
      <c r="BV19" s="2">
        <f t="shared" ca="1" si="4"/>
        <v>0</v>
      </c>
      <c r="BW19" s="2">
        <f t="shared" ca="1" si="4"/>
        <v>0</v>
      </c>
      <c r="BX19" s="2">
        <f t="shared" ca="1" si="4"/>
        <v>0</v>
      </c>
      <c r="BY19" s="2">
        <f t="shared" ca="1" si="4"/>
        <v>1</v>
      </c>
      <c r="BZ19" s="2">
        <f t="shared" ca="1" si="4"/>
        <v>1</v>
      </c>
      <c r="CA19" s="2">
        <f t="shared" ca="1" si="4"/>
        <v>0</v>
      </c>
      <c r="CB19" s="2">
        <f t="shared" ca="1" si="4"/>
        <v>0</v>
      </c>
      <c r="CC19" s="2">
        <f t="shared" ca="1" si="4"/>
        <v>0</v>
      </c>
      <c r="CD19" s="2">
        <f t="shared" ca="1" si="5"/>
        <v>0</v>
      </c>
      <c r="CE19" s="2">
        <f t="shared" ca="1" si="5"/>
        <v>1</v>
      </c>
      <c r="CF19" s="2">
        <f t="shared" ca="1" si="5"/>
        <v>1</v>
      </c>
      <c r="CG19" s="2">
        <f t="shared" ca="1" si="5"/>
        <v>0</v>
      </c>
      <c r="CH19" s="2">
        <f t="shared" ca="1" si="5"/>
        <v>1</v>
      </c>
      <c r="CI19" s="2">
        <f t="shared" ca="1" si="5"/>
        <v>0</v>
      </c>
      <c r="CJ19" s="2">
        <f t="shared" ca="1" si="5"/>
        <v>0</v>
      </c>
      <c r="CK19" s="2">
        <f t="shared" ca="1" si="5"/>
        <v>0</v>
      </c>
      <c r="CL19" s="2">
        <f t="shared" ca="1" si="5"/>
        <v>1</v>
      </c>
      <c r="CM19" s="2">
        <f t="shared" ca="1" si="5"/>
        <v>0</v>
      </c>
      <c r="CN19" s="2">
        <f t="shared" ca="1" si="5"/>
        <v>1</v>
      </c>
      <c r="CO19" s="2">
        <f t="shared" ca="1" si="5"/>
        <v>1</v>
      </c>
      <c r="CP19" s="2">
        <f t="shared" ca="1" si="5"/>
        <v>0</v>
      </c>
      <c r="CQ19" s="2">
        <f t="shared" ca="1" si="5"/>
        <v>0</v>
      </c>
      <c r="CR19" s="2">
        <f t="shared" ca="1" si="5"/>
        <v>0</v>
      </c>
      <c r="CS19" s="2">
        <f t="shared" ca="1" si="5"/>
        <v>0</v>
      </c>
      <c r="CT19" s="2">
        <f t="shared" ca="1" si="6"/>
        <v>0</v>
      </c>
      <c r="CU19" s="2">
        <f t="shared" ca="1" si="6"/>
        <v>0</v>
      </c>
      <c r="CV19" s="2">
        <f t="shared" ca="1" si="6"/>
        <v>0</v>
      </c>
      <c r="CW19" s="2">
        <f t="shared" ca="1" si="6"/>
        <v>0</v>
      </c>
      <c r="CX19" s="2">
        <f t="shared" ca="1" si="6"/>
        <v>0</v>
      </c>
      <c r="CY19" s="2">
        <f t="shared" ca="1" si="6"/>
        <v>0</v>
      </c>
      <c r="CZ19" s="2">
        <f t="shared" ca="1" si="6"/>
        <v>1</v>
      </c>
      <c r="DA19" s="2">
        <f t="shared" ca="1" si="6"/>
        <v>0</v>
      </c>
      <c r="DB19" s="2">
        <f t="shared" ca="1" si="6"/>
        <v>1</v>
      </c>
      <c r="DC19" s="2">
        <f t="shared" ca="1" si="6"/>
        <v>0</v>
      </c>
      <c r="DD19" s="2">
        <f t="shared" ca="1" si="6"/>
        <v>0</v>
      </c>
      <c r="DE19" s="2">
        <f t="shared" ca="1" si="6"/>
        <v>0</v>
      </c>
      <c r="DF19" s="2">
        <f t="shared" ca="1" si="6"/>
        <v>0</v>
      </c>
      <c r="DG19" s="2">
        <f t="shared" ca="1" si="6"/>
        <v>0</v>
      </c>
      <c r="DH19" s="2">
        <f t="shared" ca="1" si="6"/>
        <v>0</v>
      </c>
      <c r="DI19" s="2">
        <f t="shared" ca="1" si="6"/>
        <v>1</v>
      </c>
      <c r="DJ19" s="2">
        <f t="shared" ca="1" si="7"/>
        <v>0</v>
      </c>
      <c r="DK19" s="2">
        <f t="shared" ca="1" si="7"/>
        <v>1</v>
      </c>
      <c r="DL19" s="2">
        <f t="shared" ca="1" si="7"/>
        <v>0</v>
      </c>
      <c r="DM19" s="2">
        <f t="shared" ca="1" si="7"/>
        <v>0</v>
      </c>
      <c r="DN19" s="2">
        <f t="shared" ca="1" si="7"/>
        <v>0</v>
      </c>
      <c r="DO19" s="2">
        <f t="shared" ca="1" si="7"/>
        <v>0</v>
      </c>
      <c r="DP19" s="2">
        <f t="shared" ca="1" si="7"/>
        <v>1</v>
      </c>
      <c r="DQ19" s="2">
        <f t="shared" ca="1" si="7"/>
        <v>1</v>
      </c>
      <c r="DR19" s="2">
        <f t="shared" ca="1" si="7"/>
        <v>0</v>
      </c>
      <c r="DS19" s="2">
        <f t="shared" ca="1" si="7"/>
        <v>0</v>
      </c>
      <c r="DT19" s="2">
        <f t="shared" ca="1" si="7"/>
        <v>1</v>
      </c>
      <c r="DU19" s="2">
        <f t="shared" ca="1" si="7"/>
        <v>0</v>
      </c>
      <c r="DV19" s="2">
        <f t="shared" ca="1" si="7"/>
        <v>0</v>
      </c>
      <c r="DW19" s="2">
        <f t="shared" ca="1" si="7"/>
        <v>0</v>
      </c>
      <c r="DX19" s="2">
        <f t="shared" ca="1" si="7"/>
        <v>0</v>
      </c>
      <c r="DY19" s="2">
        <f t="shared" ca="1" si="7"/>
        <v>0</v>
      </c>
      <c r="DZ19" s="2">
        <f t="shared" ca="1" si="8"/>
        <v>0</v>
      </c>
      <c r="EA19" s="2">
        <f t="shared" ca="1" si="8"/>
        <v>1</v>
      </c>
      <c r="EB19" s="2">
        <f t="shared" ca="1" si="8"/>
        <v>0</v>
      </c>
      <c r="EC19" s="2">
        <f t="shared" ca="1" si="8"/>
        <v>0</v>
      </c>
      <c r="ED19" s="2">
        <f t="shared" ca="1" si="8"/>
        <v>0</v>
      </c>
      <c r="EE19" s="2">
        <f t="shared" ca="1" si="8"/>
        <v>0</v>
      </c>
      <c r="EF19" s="2">
        <f t="shared" ca="1" si="8"/>
        <v>1</v>
      </c>
      <c r="EG19" s="2">
        <f t="shared" ca="1" si="8"/>
        <v>0</v>
      </c>
      <c r="EH19" s="2">
        <f t="shared" ca="1" si="8"/>
        <v>1</v>
      </c>
      <c r="EI19" s="2">
        <f t="shared" ca="1" si="8"/>
        <v>0</v>
      </c>
      <c r="EJ19" s="2">
        <f t="shared" ca="1" si="8"/>
        <v>1</v>
      </c>
      <c r="EK19" s="2">
        <f t="shared" ca="1" si="8"/>
        <v>0</v>
      </c>
      <c r="EL19" s="2">
        <f t="shared" ca="1" si="8"/>
        <v>0</v>
      </c>
      <c r="EM19" s="2">
        <f t="shared" ca="1" si="8"/>
        <v>0</v>
      </c>
      <c r="EN19" s="2">
        <f t="shared" ca="1" si="8"/>
        <v>1</v>
      </c>
      <c r="EO19" s="2">
        <f t="shared" ca="1" si="8"/>
        <v>1</v>
      </c>
      <c r="EP19" s="2">
        <f t="shared" ca="1" si="9"/>
        <v>0</v>
      </c>
      <c r="EQ19" s="2">
        <f t="shared" ca="1" si="9"/>
        <v>1</v>
      </c>
      <c r="ER19" s="2">
        <f t="shared" ca="1" si="9"/>
        <v>0</v>
      </c>
      <c r="ES19" s="2">
        <f t="shared" ca="1" si="9"/>
        <v>1</v>
      </c>
      <c r="ET19" s="2">
        <f t="shared" ca="1" si="9"/>
        <v>0</v>
      </c>
      <c r="EU19" s="2">
        <f t="shared" ca="1" si="9"/>
        <v>0</v>
      </c>
      <c r="EV19" s="2">
        <f t="shared" ca="1" si="9"/>
        <v>0</v>
      </c>
      <c r="EW19" s="2">
        <f t="shared" ca="1" si="9"/>
        <v>0</v>
      </c>
      <c r="EX19" s="2">
        <f t="shared" ca="1" si="9"/>
        <v>0</v>
      </c>
      <c r="EY19" s="2">
        <f t="shared" ca="1" si="9"/>
        <v>0</v>
      </c>
      <c r="EZ19" s="2">
        <f t="shared" ca="1" si="9"/>
        <v>0</v>
      </c>
      <c r="FA19" s="2">
        <f t="shared" ca="1" si="9"/>
        <v>0</v>
      </c>
      <c r="FB19" s="2">
        <f t="shared" ca="1" si="9"/>
        <v>0</v>
      </c>
      <c r="FC19" s="2">
        <f t="shared" ca="1" si="9"/>
        <v>0</v>
      </c>
      <c r="FD19" s="2">
        <f t="shared" ca="1" si="9"/>
        <v>0</v>
      </c>
      <c r="FE19" s="2">
        <f t="shared" ca="1" si="9"/>
        <v>0</v>
      </c>
      <c r="FF19" s="2">
        <f t="shared" ca="1" si="10"/>
        <v>0</v>
      </c>
      <c r="FG19" s="2">
        <f t="shared" ca="1" si="10"/>
        <v>1</v>
      </c>
      <c r="FH19" s="2">
        <f t="shared" ca="1" si="10"/>
        <v>1</v>
      </c>
      <c r="FI19" s="2">
        <f t="shared" ca="1" si="10"/>
        <v>1</v>
      </c>
      <c r="FJ19" s="2">
        <f t="shared" ca="1" si="10"/>
        <v>0</v>
      </c>
      <c r="FK19" s="2">
        <f t="shared" ca="1" si="10"/>
        <v>1</v>
      </c>
      <c r="FL19" s="2">
        <f t="shared" ca="1" si="10"/>
        <v>0</v>
      </c>
      <c r="FM19" s="2">
        <f t="shared" ca="1" si="10"/>
        <v>0</v>
      </c>
      <c r="FN19" s="2">
        <f t="shared" ca="1" si="10"/>
        <v>0</v>
      </c>
      <c r="FO19" s="2">
        <f t="shared" ca="1" si="10"/>
        <v>1</v>
      </c>
      <c r="FP19" s="2">
        <f t="shared" ca="1" si="10"/>
        <v>0</v>
      </c>
      <c r="FQ19" s="2">
        <f t="shared" ca="1" si="10"/>
        <v>1</v>
      </c>
      <c r="FR19" s="2">
        <f t="shared" ca="1" si="10"/>
        <v>0</v>
      </c>
      <c r="FS19" s="2">
        <f t="shared" ca="1" si="10"/>
        <v>0</v>
      </c>
      <c r="FT19" s="2">
        <f t="shared" ca="1" si="10"/>
        <v>0</v>
      </c>
      <c r="FU19" s="2">
        <f t="shared" ca="1" si="10"/>
        <v>0</v>
      </c>
      <c r="FV19" s="2">
        <f t="shared" ca="1" si="11"/>
        <v>0</v>
      </c>
      <c r="FW19" s="2">
        <f t="shared" ca="1" si="11"/>
        <v>0</v>
      </c>
      <c r="FX19" s="2">
        <f t="shared" ca="1" si="11"/>
        <v>1</v>
      </c>
      <c r="FY19" s="2">
        <f t="shared" ca="1" si="11"/>
        <v>0</v>
      </c>
      <c r="FZ19" s="2">
        <f t="shared" ca="1" si="11"/>
        <v>0</v>
      </c>
      <c r="GA19" s="2">
        <f t="shared" ca="1" si="11"/>
        <v>0</v>
      </c>
      <c r="GB19" s="2">
        <f t="shared" ca="1" si="11"/>
        <v>1</v>
      </c>
      <c r="GC19" s="2">
        <f t="shared" ca="1" si="11"/>
        <v>0</v>
      </c>
      <c r="GD19" s="2">
        <f t="shared" ca="1" si="11"/>
        <v>0</v>
      </c>
      <c r="GE19" s="2">
        <f t="shared" ca="1" si="11"/>
        <v>0</v>
      </c>
      <c r="GF19" s="2">
        <f t="shared" ca="1" si="11"/>
        <v>0</v>
      </c>
      <c r="GG19" s="2">
        <f t="shared" ca="1" si="11"/>
        <v>0</v>
      </c>
      <c r="GH19" s="2">
        <f t="shared" ca="1" si="11"/>
        <v>0</v>
      </c>
      <c r="GI19" s="2">
        <f t="shared" ca="1" si="11"/>
        <v>0</v>
      </c>
      <c r="GJ19" s="2">
        <f t="shared" ca="1" si="11"/>
        <v>0</v>
      </c>
      <c r="GK19" s="2">
        <f t="shared" ca="1" si="11"/>
        <v>0</v>
      </c>
      <c r="GL19" s="2">
        <f t="shared" ca="1" si="12"/>
        <v>0</v>
      </c>
      <c r="GM19" s="2">
        <f t="shared" ca="1" si="12"/>
        <v>1</v>
      </c>
      <c r="GN19" s="2">
        <f t="shared" ca="1" si="12"/>
        <v>0</v>
      </c>
      <c r="GO19" s="2">
        <f t="shared" ca="1" si="12"/>
        <v>0</v>
      </c>
      <c r="GP19" s="2">
        <f t="shared" ca="1" si="12"/>
        <v>0</v>
      </c>
      <c r="GQ19" s="2">
        <f t="shared" ca="1" si="12"/>
        <v>0</v>
      </c>
      <c r="GR19" s="2">
        <f t="shared" ca="1" si="12"/>
        <v>0</v>
      </c>
      <c r="GS19" s="2">
        <f t="shared" ca="1" si="12"/>
        <v>0</v>
      </c>
      <c r="GT19" s="2">
        <f t="shared" ca="1" si="12"/>
        <v>0</v>
      </c>
      <c r="GU19" s="2">
        <f t="shared" ca="1" si="12"/>
        <v>1</v>
      </c>
      <c r="GV19" s="2">
        <f t="shared" ca="1" si="12"/>
        <v>0</v>
      </c>
      <c r="GW19" s="2">
        <f t="shared" ca="1" si="12"/>
        <v>0</v>
      </c>
      <c r="GX19" s="2">
        <f t="shared" ca="1" si="12"/>
        <v>1</v>
      </c>
      <c r="GY19" s="2">
        <f t="shared" ca="1" si="12"/>
        <v>0</v>
      </c>
      <c r="GZ19" s="2">
        <f t="shared" ca="1" si="12"/>
        <v>1</v>
      </c>
      <c r="HA19" s="2">
        <f t="shared" ca="1" si="12"/>
        <v>0</v>
      </c>
      <c r="HB19" s="2">
        <f t="shared" ca="1" si="13"/>
        <v>0</v>
      </c>
      <c r="HC19" s="2">
        <f t="shared" ca="1" si="13"/>
        <v>1</v>
      </c>
      <c r="HD19" s="2">
        <f t="shared" ca="1" si="13"/>
        <v>0</v>
      </c>
      <c r="HE19" s="2">
        <f t="shared" ca="1" si="13"/>
        <v>0</v>
      </c>
      <c r="HF19" s="2">
        <f t="shared" ca="1" si="13"/>
        <v>1</v>
      </c>
      <c r="HG19" s="2">
        <f t="shared" ca="1" si="13"/>
        <v>0</v>
      </c>
      <c r="HH19" s="2">
        <f t="shared" ca="1" si="13"/>
        <v>0</v>
      </c>
      <c r="HI19" s="2">
        <f t="shared" ca="1" si="13"/>
        <v>0</v>
      </c>
      <c r="HJ19" s="2">
        <f t="shared" ca="1" si="13"/>
        <v>0</v>
      </c>
      <c r="HK19" s="2">
        <f t="shared" ca="1" si="13"/>
        <v>0</v>
      </c>
      <c r="HL19" s="2">
        <f t="shared" ca="1" si="13"/>
        <v>0</v>
      </c>
      <c r="HM19" s="2">
        <f t="shared" ca="1" si="13"/>
        <v>0</v>
      </c>
      <c r="HN19" s="2">
        <f t="shared" ca="1" si="13"/>
        <v>0</v>
      </c>
      <c r="HO19" s="2">
        <f t="shared" ca="1" si="13"/>
        <v>0</v>
      </c>
      <c r="HP19" s="2">
        <f t="shared" ca="1" si="13"/>
        <v>1</v>
      </c>
      <c r="HQ19" s="2">
        <f t="shared" ca="1" si="13"/>
        <v>0</v>
      </c>
      <c r="HR19" s="2">
        <f t="shared" ca="1" si="14"/>
        <v>0</v>
      </c>
      <c r="HS19" s="2">
        <f t="shared" ca="1" si="14"/>
        <v>1</v>
      </c>
      <c r="HT19" s="2">
        <f t="shared" ca="1" si="14"/>
        <v>1</v>
      </c>
      <c r="HU19" s="2">
        <f t="shared" ca="1" si="14"/>
        <v>0</v>
      </c>
      <c r="HV19" s="2">
        <f t="shared" ca="1" si="14"/>
        <v>1</v>
      </c>
      <c r="HW19" s="2">
        <f t="shared" ca="1" si="14"/>
        <v>0</v>
      </c>
      <c r="HX19" s="2">
        <f t="shared" ca="1" si="14"/>
        <v>0</v>
      </c>
      <c r="HY19" s="2">
        <f t="shared" ca="1" si="14"/>
        <v>1</v>
      </c>
      <c r="HZ19" s="2">
        <f t="shared" ca="1" si="14"/>
        <v>1</v>
      </c>
      <c r="IA19" s="2">
        <f t="shared" ca="1" si="14"/>
        <v>1</v>
      </c>
      <c r="IB19" s="2">
        <f t="shared" ca="1" si="14"/>
        <v>1</v>
      </c>
      <c r="IC19" s="2">
        <f t="shared" ca="1" si="14"/>
        <v>0</v>
      </c>
      <c r="ID19" s="2">
        <f t="shared" ca="1" si="14"/>
        <v>1</v>
      </c>
      <c r="IE19" s="2">
        <f t="shared" ca="1" si="14"/>
        <v>0</v>
      </c>
      <c r="IF19" s="2">
        <f t="shared" ca="1" si="14"/>
        <v>0</v>
      </c>
      <c r="IG19" s="2">
        <f t="shared" ca="1" si="14"/>
        <v>0</v>
      </c>
      <c r="IH19" s="2">
        <f t="shared" ca="1" si="15"/>
        <v>0</v>
      </c>
      <c r="II19" s="2">
        <f t="shared" ca="1" si="15"/>
        <v>1</v>
      </c>
      <c r="IJ19" s="2">
        <f t="shared" ca="1" si="15"/>
        <v>0</v>
      </c>
      <c r="IK19" s="2">
        <f t="shared" ca="1" si="15"/>
        <v>0</v>
      </c>
      <c r="IL19" s="2">
        <f t="shared" ca="1" si="15"/>
        <v>0</v>
      </c>
      <c r="IM19" s="2">
        <f t="shared" ca="1" si="15"/>
        <v>0</v>
      </c>
      <c r="IN19" s="2">
        <f t="shared" ca="1" si="15"/>
        <v>0</v>
      </c>
      <c r="IO19" s="2">
        <f t="shared" ca="1" si="15"/>
        <v>0</v>
      </c>
      <c r="IP19" s="2">
        <f t="shared" ca="1" si="15"/>
        <v>1</v>
      </c>
      <c r="IQ19" s="2">
        <f t="shared" ca="1" si="15"/>
        <v>0</v>
      </c>
      <c r="IR19" s="2">
        <f t="shared" ca="1" si="15"/>
        <v>0</v>
      </c>
      <c r="IS19" s="2">
        <f t="shared" ca="1" si="15"/>
        <v>1</v>
      </c>
      <c r="IT19" s="2">
        <f t="shared" ca="1" si="15"/>
        <v>0</v>
      </c>
      <c r="IU19" s="2">
        <f t="shared" ca="1" si="15"/>
        <v>1</v>
      </c>
      <c r="IV19" s="2">
        <f t="shared" ca="1" si="15"/>
        <v>0</v>
      </c>
    </row>
    <row r="21" spans="1:256" x14ac:dyDescent="0.25">
      <c r="A21" s="3" t="s">
        <v>15</v>
      </c>
      <c r="B21" s="2">
        <f t="shared" ref="B21:BM21" ca="1" si="16">SUM(B18:B19)</f>
        <v>1</v>
      </c>
      <c r="C21" s="2">
        <f t="shared" ca="1" si="16"/>
        <v>0</v>
      </c>
      <c r="D21" s="2">
        <f t="shared" ca="1" si="16"/>
        <v>0</v>
      </c>
      <c r="E21" s="2">
        <f t="shared" ca="1" si="16"/>
        <v>1</v>
      </c>
      <c r="F21" s="2">
        <f t="shared" ca="1" si="16"/>
        <v>1</v>
      </c>
      <c r="G21" s="2">
        <f t="shared" ca="1" si="16"/>
        <v>1</v>
      </c>
      <c r="H21" s="2">
        <f t="shared" ca="1" si="16"/>
        <v>0</v>
      </c>
      <c r="I21" s="2">
        <f t="shared" ca="1" si="16"/>
        <v>0</v>
      </c>
      <c r="J21" s="2">
        <f t="shared" ca="1" si="16"/>
        <v>0</v>
      </c>
      <c r="K21" s="2">
        <f t="shared" ca="1" si="16"/>
        <v>1</v>
      </c>
      <c r="L21" s="2">
        <f t="shared" ca="1" si="16"/>
        <v>1</v>
      </c>
      <c r="M21" s="2">
        <f t="shared" ca="1" si="16"/>
        <v>1</v>
      </c>
      <c r="N21" s="2">
        <f t="shared" ca="1" si="16"/>
        <v>1</v>
      </c>
      <c r="O21" s="2">
        <f t="shared" ca="1" si="16"/>
        <v>0</v>
      </c>
      <c r="P21" s="2">
        <f t="shared" ca="1" si="16"/>
        <v>1</v>
      </c>
      <c r="Q21" s="2">
        <f t="shared" ca="1" si="16"/>
        <v>0</v>
      </c>
      <c r="R21" s="2">
        <f t="shared" ca="1" si="16"/>
        <v>0</v>
      </c>
      <c r="S21" s="2">
        <f t="shared" ca="1" si="16"/>
        <v>0</v>
      </c>
      <c r="T21" s="2">
        <f t="shared" ca="1" si="16"/>
        <v>1</v>
      </c>
      <c r="U21" s="2">
        <f t="shared" ca="1" si="16"/>
        <v>0</v>
      </c>
      <c r="V21" s="2">
        <f t="shared" ca="1" si="16"/>
        <v>1</v>
      </c>
      <c r="W21" s="2">
        <f t="shared" ca="1" si="16"/>
        <v>0</v>
      </c>
      <c r="X21" s="2">
        <f t="shared" ca="1" si="16"/>
        <v>0</v>
      </c>
      <c r="Y21" s="2">
        <f t="shared" ca="1" si="16"/>
        <v>0</v>
      </c>
      <c r="Z21" s="2">
        <f t="shared" ca="1" si="16"/>
        <v>1</v>
      </c>
      <c r="AA21" s="2">
        <f t="shared" ca="1" si="16"/>
        <v>0</v>
      </c>
      <c r="AB21" s="2">
        <f t="shared" ca="1" si="16"/>
        <v>0</v>
      </c>
      <c r="AC21" s="2">
        <f t="shared" ca="1" si="16"/>
        <v>2</v>
      </c>
      <c r="AD21" s="2">
        <f t="shared" ca="1" si="16"/>
        <v>1</v>
      </c>
      <c r="AE21" s="2">
        <f t="shared" ca="1" si="16"/>
        <v>0</v>
      </c>
      <c r="AF21" s="2">
        <f t="shared" ca="1" si="16"/>
        <v>0</v>
      </c>
      <c r="AG21" s="2">
        <f t="shared" ca="1" si="16"/>
        <v>1</v>
      </c>
      <c r="AH21" s="2">
        <f t="shared" ca="1" si="16"/>
        <v>1</v>
      </c>
      <c r="AI21" s="2">
        <f t="shared" ca="1" si="16"/>
        <v>0</v>
      </c>
      <c r="AJ21" s="2">
        <f t="shared" ca="1" si="16"/>
        <v>1</v>
      </c>
      <c r="AK21" s="2">
        <f t="shared" ca="1" si="16"/>
        <v>2</v>
      </c>
      <c r="AL21" s="2">
        <f t="shared" ca="1" si="16"/>
        <v>1</v>
      </c>
      <c r="AM21" s="2">
        <f t="shared" ca="1" si="16"/>
        <v>1</v>
      </c>
      <c r="AN21" s="2">
        <f t="shared" ca="1" si="16"/>
        <v>0</v>
      </c>
      <c r="AO21" s="2">
        <f t="shared" ca="1" si="16"/>
        <v>1</v>
      </c>
      <c r="AP21" s="2">
        <f t="shared" ca="1" si="16"/>
        <v>0</v>
      </c>
      <c r="AQ21" s="2">
        <f t="shared" ca="1" si="16"/>
        <v>0</v>
      </c>
      <c r="AR21" s="2">
        <f t="shared" ca="1" si="16"/>
        <v>1</v>
      </c>
      <c r="AS21" s="2">
        <f t="shared" ca="1" si="16"/>
        <v>0</v>
      </c>
      <c r="AT21" s="2">
        <f t="shared" ca="1" si="16"/>
        <v>0</v>
      </c>
      <c r="AU21" s="2">
        <f t="shared" ca="1" si="16"/>
        <v>0</v>
      </c>
      <c r="AV21" s="2">
        <f t="shared" ca="1" si="16"/>
        <v>0</v>
      </c>
      <c r="AW21" s="2">
        <f t="shared" ca="1" si="16"/>
        <v>0</v>
      </c>
      <c r="AX21" s="2">
        <f t="shared" ca="1" si="16"/>
        <v>1</v>
      </c>
      <c r="AY21" s="2">
        <f t="shared" ca="1" si="16"/>
        <v>0</v>
      </c>
      <c r="AZ21" s="2">
        <f t="shared" ca="1" si="16"/>
        <v>2</v>
      </c>
      <c r="BA21" s="2">
        <f t="shared" ca="1" si="16"/>
        <v>0</v>
      </c>
      <c r="BB21" s="2">
        <f t="shared" ca="1" si="16"/>
        <v>0</v>
      </c>
      <c r="BC21" s="2">
        <f t="shared" ca="1" si="16"/>
        <v>0</v>
      </c>
      <c r="BD21" s="2">
        <f t="shared" ca="1" si="16"/>
        <v>0</v>
      </c>
      <c r="BE21" s="2">
        <f t="shared" ca="1" si="16"/>
        <v>1</v>
      </c>
      <c r="BF21" s="2">
        <f t="shared" ca="1" si="16"/>
        <v>1</v>
      </c>
      <c r="BG21" s="2">
        <f t="shared" ca="1" si="16"/>
        <v>1</v>
      </c>
      <c r="BH21" s="2">
        <f t="shared" ca="1" si="16"/>
        <v>1</v>
      </c>
      <c r="BI21" s="2">
        <f t="shared" ca="1" si="16"/>
        <v>0</v>
      </c>
      <c r="BJ21" s="2">
        <f t="shared" ca="1" si="16"/>
        <v>1</v>
      </c>
      <c r="BK21" s="2">
        <f t="shared" ca="1" si="16"/>
        <v>1</v>
      </c>
      <c r="BL21" s="2">
        <f t="shared" ca="1" si="16"/>
        <v>0</v>
      </c>
      <c r="BM21" s="2">
        <f t="shared" ca="1" si="16"/>
        <v>1</v>
      </c>
      <c r="BN21" s="2">
        <f t="shared" ref="BN21:DY21" ca="1" si="17">SUM(BN18:BN19)</f>
        <v>0</v>
      </c>
      <c r="BO21" s="2">
        <f t="shared" ca="1" si="17"/>
        <v>1</v>
      </c>
      <c r="BP21" s="2">
        <f t="shared" ca="1" si="17"/>
        <v>1</v>
      </c>
      <c r="BQ21" s="2">
        <f t="shared" ca="1" si="17"/>
        <v>1</v>
      </c>
      <c r="BR21" s="2">
        <f t="shared" ca="1" si="17"/>
        <v>2</v>
      </c>
      <c r="BS21" s="2">
        <f t="shared" ca="1" si="17"/>
        <v>1</v>
      </c>
      <c r="BT21" s="2">
        <f t="shared" ca="1" si="17"/>
        <v>1</v>
      </c>
      <c r="BU21" s="2">
        <f t="shared" ca="1" si="17"/>
        <v>0</v>
      </c>
      <c r="BV21" s="2">
        <f t="shared" ca="1" si="17"/>
        <v>0</v>
      </c>
      <c r="BW21" s="2">
        <f t="shared" ca="1" si="17"/>
        <v>1</v>
      </c>
      <c r="BX21" s="2">
        <f t="shared" ca="1" si="17"/>
        <v>0</v>
      </c>
      <c r="BY21" s="2">
        <f t="shared" ca="1" si="17"/>
        <v>1</v>
      </c>
      <c r="BZ21" s="2">
        <f t="shared" ca="1" si="17"/>
        <v>1</v>
      </c>
      <c r="CA21" s="2">
        <f t="shared" ca="1" si="17"/>
        <v>1</v>
      </c>
      <c r="CB21" s="2">
        <f t="shared" ca="1" si="17"/>
        <v>1</v>
      </c>
      <c r="CC21" s="2">
        <f t="shared" ca="1" si="17"/>
        <v>0</v>
      </c>
      <c r="CD21" s="2">
        <f t="shared" ca="1" si="17"/>
        <v>0</v>
      </c>
      <c r="CE21" s="2">
        <f t="shared" ca="1" si="17"/>
        <v>1</v>
      </c>
      <c r="CF21" s="2">
        <f t="shared" ca="1" si="17"/>
        <v>2</v>
      </c>
      <c r="CG21" s="2">
        <f t="shared" ca="1" si="17"/>
        <v>0</v>
      </c>
      <c r="CH21" s="2">
        <f t="shared" ca="1" si="17"/>
        <v>1</v>
      </c>
      <c r="CI21" s="2">
        <f t="shared" ca="1" si="17"/>
        <v>0</v>
      </c>
      <c r="CJ21" s="2">
        <f t="shared" ca="1" si="17"/>
        <v>0</v>
      </c>
      <c r="CK21" s="2">
        <f t="shared" ca="1" si="17"/>
        <v>0</v>
      </c>
      <c r="CL21" s="2">
        <f t="shared" ca="1" si="17"/>
        <v>2</v>
      </c>
      <c r="CM21" s="2">
        <f t="shared" ca="1" si="17"/>
        <v>0</v>
      </c>
      <c r="CN21" s="2">
        <f t="shared" ca="1" si="17"/>
        <v>2</v>
      </c>
      <c r="CO21" s="2">
        <f t="shared" ca="1" si="17"/>
        <v>1</v>
      </c>
      <c r="CP21" s="2">
        <f t="shared" ca="1" si="17"/>
        <v>0</v>
      </c>
      <c r="CQ21" s="2">
        <f t="shared" ca="1" si="17"/>
        <v>0</v>
      </c>
      <c r="CR21" s="2">
        <f t="shared" ca="1" si="17"/>
        <v>1</v>
      </c>
      <c r="CS21" s="2">
        <f t="shared" ca="1" si="17"/>
        <v>1</v>
      </c>
      <c r="CT21" s="2">
        <f t="shared" ca="1" si="17"/>
        <v>1</v>
      </c>
      <c r="CU21" s="2">
        <f t="shared" ca="1" si="17"/>
        <v>0</v>
      </c>
      <c r="CV21" s="2">
        <f t="shared" ca="1" si="17"/>
        <v>1</v>
      </c>
      <c r="CW21" s="2">
        <f t="shared" ca="1" si="17"/>
        <v>1</v>
      </c>
      <c r="CX21" s="2">
        <f t="shared" ca="1" si="17"/>
        <v>0</v>
      </c>
      <c r="CY21" s="2">
        <f t="shared" ca="1" si="17"/>
        <v>0</v>
      </c>
      <c r="CZ21" s="2">
        <f t="shared" ca="1" si="17"/>
        <v>2</v>
      </c>
      <c r="DA21" s="2">
        <f t="shared" ca="1" si="17"/>
        <v>0</v>
      </c>
      <c r="DB21" s="2">
        <f t="shared" ca="1" si="17"/>
        <v>2</v>
      </c>
      <c r="DC21" s="2">
        <f t="shared" ca="1" si="17"/>
        <v>0</v>
      </c>
      <c r="DD21" s="2">
        <f t="shared" ca="1" si="17"/>
        <v>0</v>
      </c>
      <c r="DE21" s="2">
        <f t="shared" ca="1" si="17"/>
        <v>0</v>
      </c>
      <c r="DF21" s="2">
        <f t="shared" ca="1" si="17"/>
        <v>0</v>
      </c>
      <c r="DG21" s="2">
        <f t="shared" ca="1" si="17"/>
        <v>1</v>
      </c>
      <c r="DH21" s="2">
        <f t="shared" ca="1" si="17"/>
        <v>0</v>
      </c>
      <c r="DI21" s="2">
        <f t="shared" ca="1" si="17"/>
        <v>1</v>
      </c>
      <c r="DJ21" s="2">
        <f t="shared" ca="1" si="17"/>
        <v>1</v>
      </c>
      <c r="DK21" s="2">
        <f t="shared" ca="1" si="17"/>
        <v>2</v>
      </c>
      <c r="DL21" s="2">
        <f t="shared" ca="1" si="17"/>
        <v>0</v>
      </c>
      <c r="DM21" s="2">
        <f t="shared" ca="1" si="17"/>
        <v>0</v>
      </c>
      <c r="DN21" s="2">
        <f t="shared" ca="1" si="17"/>
        <v>0</v>
      </c>
      <c r="DO21" s="2">
        <f t="shared" ca="1" si="17"/>
        <v>0</v>
      </c>
      <c r="DP21" s="2">
        <f t="shared" ca="1" si="17"/>
        <v>1</v>
      </c>
      <c r="DQ21" s="2">
        <f t="shared" ca="1" si="17"/>
        <v>1</v>
      </c>
      <c r="DR21" s="2">
        <f t="shared" ca="1" si="17"/>
        <v>0</v>
      </c>
      <c r="DS21" s="2">
        <f t="shared" ca="1" si="17"/>
        <v>0</v>
      </c>
      <c r="DT21" s="2">
        <f t="shared" ca="1" si="17"/>
        <v>1</v>
      </c>
      <c r="DU21" s="2">
        <f t="shared" ca="1" si="17"/>
        <v>0</v>
      </c>
      <c r="DV21" s="2">
        <f t="shared" ca="1" si="17"/>
        <v>0</v>
      </c>
      <c r="DW21" s="2">
        <f t="shared" ca="1" si="17"/>
        <v>0</v>
      </c>
      <c r="DX21" s="2">
        <f t="shared" ca="1" si="17"/>
        <v>0</v>
      </c>
      <c r="DY21" s="2">
        <f t="shared" ca="1" si="17"/>
        <v>1</v>
      </c>
      <c r="DZ21" s="2">
        <f t="shared" ref="DZ21:GK21" ca="1" si="18">SUM(DZ18:DZ19)</f>
        <v>1</v>
      </c>
      <c r="EA21" s="2">
        <f t="shared" ca="1" si="18"/>
        <v>1</v>
      </c>
      <c r="EB21" s="2">
        <f t="shared" ca="1" si="18"/>
        <v>1</v>
      </c>
      <c r="EC21" s="2">
        <f t="shared" ca="1" si="18"/>
        <v>0</v>
      </c>
      <c r="ED21" s="2">
        <f t="shared" ca="1" si="18"/>
        <v>1</v>
      </c>
      <c r="EE21" s="2">
        <f t="shared" ca="1" si="18"/>
        <v>0</v>
      </c>
      <c r="EF21" s="2">
        <f t="shared" ca="1" si="18"/>
        <v>1</v>
      </c>
      <c r="EG21" s="2">
        <f t="shared" ca="1" si="18"/>
        <v>0</v>
      </c>
      <c r="EH21" s="2">
        <f t="shared" ca="1" si="18"/>
        <v>1</v>
      </c>
      <c r="EI21" s="2">
        <f t="shared" ca="1" si="18"/>
        <v>0</v>
      </c>
      <c r="EJ21" s="2">
        <f t="shared" ca="1" si="18"/>
        <v>1</v>
      </c>
      <c r="EK21" s="2">
        <f t="shared" ca="1" si="18"/>
        <v>0</v>
      </c>
      <c r="EL21" s="2">
        <f t="shared" ca="1" si="18"/>
        <v>0</v>
      </c>
      <c r="EM21" s="2">
        <f t="shared" ca="1" si="18"/>
        <v>0</v>
      </c>
      <c r="EN21" s="2">
        <f t="shared" ca="1" si="18"/>
        <v>1</v>
      </c>
      <c r="EO21" s="2">
        <f t="shared" ca="1" si="18"/>
        <v>1</v>
      </c>
      <c r="EP21" s="2">
        <f t="shared" ca="1" si="18"/>
        <v>1</v>
      </c>
      <c r="EQ21" s="2">
        <f t="shared" ca="1" si="18"/>
        <v>1</v>
      </c>
      <c r="ER21" s="2">
        <f t="shared" ca="1" si="18"/>
        <v>1</v>
      </c>
      <c r="ES21" s="2">
        <f t="shared" ca="1" si="18"/>
        <v>2</v>
      </c>
      <c r="ET21" s="2">
        <f t="shared" ca="1" si="18"/>
        <v>1</v>
      </c>
      <c r="EU21" s="2">
        <f t="shared" ca="1" si="18"/>
        <v>1</v>
      </c>
      <c r="EV21" s="2">
        <f t="shared" ca="1" si="18"/>
        <v>0</v>
      </c>
      <c r="EW21" s="2">
        <f t="shared" ca="1" si="18"/>
        <v>0</v>
      </c>
      <c r="EX21" s="2">
        <f t="shared" ca="1" si="18"/>
        <v>1</v>
      </c>
      <c r="EY21" s="2">
        <f t="shared" ca="1" si="18"/>
        <v>0</v>
      </c>
      <c r="EZ21" s="2">
        <f t="shared" ca="1" si="18"/>
        <v>1</v>
      </c>
      <c r="FA21" s="2">
        <f t="shared" ca="1" si="18"/>
        <v>0</v>
      </c>
      <c r="FB21" s="2">
        <f t="shared" ca="1" si="18"/>
        <v>0</v>
      </c>
      <c r="FC21" s="2">
        <f t="shared" ca="1" si="18"/>
        <v>1</v>
      </c>
      <c r="FD21" s="2">
        <f t="shared" ca="1" si="18"/>
        <v>1</v>
      </c>
      <c r="FE21" s="2">
        <f t="shared" ca="1" si="18"/>
        <v>1</v>
      </c>
      <c r="FF21" s="2">
        <f t="shared" ca="1" si="18"/>
        <v>0</v>
      </c>
      <c r="FG21" s="2">
        <f t="shared" ca="1" si="18"/>
        <v>1</v>
      </c>
      <c r="FH21" s="2">
        <f t="shared" ca="1" si="18"/>
        <v>1</v>
      </c>
      <c r="FI21" s="2">
        <f t="shared" ca="1" si="18"/>
        <v>1</v>
      </c>
      <c r="FJ21" s="2">
        <f t="shared" ca="1" si="18"/>
        <v>1</v>
      </c>
      <c r="FK21" s="2">
        <f t="shared" ca="1" si="18"/>
        <v>2</v>
      </c>
      <c r="FL21" s="2">
        <f t="shared" ca="1" si="18"/>
        <v>0</v>
      </c>
      <c r="FM21" s="2">
        <f t="shared" ca="1" si="18"/>
        <v>1</v>
      </c>
      <c r="FN21" s="2">
        <f t="shared" ca="1" si="18"/>
        <v>0</v>
      </c>
      <c r="FO21" s="2">
        <f t="shared" ca="1" si="18"/>
        <v>1</v>
      </c>
      <c r="FP21" s="2">
        <f t="shared" ca="1" si="18"/>
        <v>1</v>
      </c>
      <c r="FQ21" s="2">
        <f t="shared" ca="1" si="18"/>
        <v>2</v>
      </c>
      <c r="FR21" s="2">
        <f t="shared" ca="1" si="18"/>
        <v>0</v>
      </c>
      <c r="FS21" s="2">
        <f t="shared" ca="1" si="18"/>
        <v>0</v>
      </c>
      <c r="FT21" s="2">
        <f t="shared" ca="1" si="18"/>
        <v>1</v>
      </c>
      <c r="FU21" s="2">
        <f t="shared" ca="1" si="18"/>
        <v>1</v>
      </c>
      <c r="FV21" s="2">
        <f t="shared" ca="1" si="18"/>
        <v>0</v>
      </c>
      <c r="FW21" s="2">
        <f t="shared" ca="1" si="18"/>
        <v>0</v>
      </c>
      <c r="FX21" s="2">
        <f t="shared" ca="1" si="18"/>
        <v>1</v>
      </c>
      <c r="FY21" s="2">
        <f t="shared" ca="1" si="18"/>
        <v>0</v>
      </c>
      <c r="FZ21" s="2">
        <f t="shared" ca="1" si="18"/>
        <v>1</v>
      </c>
      <c r="GA21" s="2">
        <f t="shared" ca="1" si="18"/>
        <v>0</v>
      </c>
      <c r="GB21" s="2">
        <f t="shared" ca="1" si="18"/>
        <v>1</v>
      </c>
      <c r="GC21" s="2">
        <f t="shared" ca="1" si="18"/>
        <v>1</v>
      </c>
      <c r="GD21" s="2">
        <f t="shared" ca="1" si="18"/>
        <v>0</v>
      </c>
      <c r="GE21" s="2">
        <f t="shared" ca="1" si="18"/>
        <v>0</v>
      </c>
      <c r="GF21" s="2">
        <f t="shared" ca="1" si="18"/>
        <v>1</v>
      </c>
      <c r="GG21" s="2">
        <f t="shared" ca="1" si="18"/>
        <v>0</v>
      </c>
      <c r="GH21" s="2">
        <f t="shared" ca="1" si="18"/>
        <v>0</v>
      </c>
      <c r="GI21" s="2">
        <f t="shared" ca="1" si="18"/>
        <v>0</v>
      </c>
      <c r="GJ21" s="2">
        <f t="shared" ca="1" si="18"/>
        <v>0</v>
      </c>
      <c r="GK21" s="2">
        <f t="shared" ca="1" si="18"/>
        <v>0</v>
      </c>
      <c r="GL21" s="2">
        <f t="shared" ref="GL21:IV21" ca="1" si="19">SUM(GL18:GL19)</f>
        <v>0</v>
      </c>
      <c r="GM21" s="2">
        <f t="shared" ca="1" si="19"/>
        <v>1</v>
      </c>
      <c r="GN21" s="2">
        <f t="shared" ca="1" si="19"/>
        <v>1</v>
      </c>
      <c r="GO21" s="2">
        <f t="shared" ca="1" si="19"/>
        <v>0</v>
      </c>
      <c r="GP21" s="2">
        <f t="shared" ca="1" si="19"/>
        <v>0</v>
      </c>
      <c r="GQ21" s="2">
        <f t="shared" ca="1" si="19"/>
        <v>0</v>
      </c>
      <c r="GR21" s="2">
        <f t="shared" ca="1" si="19"/>
        <v>0</v>
      </c>
      <c r="GS21" s="2">
        <f t="shared" ca="1" si="19"/>
        <v>0</v>
      </c>
      <c r="GT21" s="2">
        <f t="shared" ca="1" si="19"/>
        <v>0</v>
      </c>
      <c r="GU21" s="2">
        <f t="shared" ca="1" si="19"/>
        <v>1</v>
      </c>
      <c r="GV21" s="2">
        <f t="shared" ca="1" si="19"/>
        <v>0</v>
      </c>
      <c r="GW21" s="2">
        <f t="shared" ca="1" si="19"/>
        <v>0</v>
      </c>
      <c r="GX21" s="2">
        <f t="shared" ca="1" si="19"/>
        <v>2</v>
      </c>
      <c r="GY21" s="2">
        <f t="shared" ca="1" si="19"/>
        <v>0</v>
      </c>
      <c r="GZ21" s="2">
        <f t="shared" ca="1" si="19"/>
        <v>2</v>
      </c>
      <c r="HA21" s="2">
        <f t="shared" ca="1" si="19"/>
        <v>0</v>
      </c>
      <c r="HB21" s="2">
        <f t="shared" ca="1" si="19"/>
        <v>1</v>
      </c>
      <c r="HC21" s="2">
        <f t="shared" ca="1" si="19"/>
        <v>1</v>
      </c>
      <c r="HD21" s="2">
        <f t="shared" ca="1" si="19"/>
        <v>0</v>
      </c>
      <c r="HE21" s="2">
        <f t="shared" ca="1" si="19"/>
        <v>0</v>
      </c>
      <c r="HF21" s="2">
        <f t="shared" ca="1" si="19"/>
        <v>1</v>
      </c>
      <c r="HG21" s="2">
        <f t="shared" ca="1" si="19"/>
        <v>0</v>
      </c>
      <c r="HH21" s="2">
        <f t="shared" ca="1" si="19"/>
        <v>1</v>
      </c>
      <c r="HI21" s="2">
        <f t="shared" ca="1" si="19"/>
        <v>1</v>
      </c>
      <c r="HJ21" s="2">
        <f t="shared" ca="1" si="19"/>
        <v>0</v>
      </c>
      <c r="HK21" s="2">
        <f t="shared" ca="1" si="19"/>
        <v>1</v>
      </c>
      <c r="HL21" s="2">
        <f t="shared" ca="1" si="19"/>
        <v>0</v>
      </c>
      <c r="HM21" s="2">
        <f t="shared" ca="1" si="19"/>
        <v>1</v>
      </c>
      <c r="HN21" s="2">
        <f t="shared" ca="1" si="19"/>
        <v>1</v>
      </c>
      <c r="HO21" s="2">
        <f t="shared" ca="1" si="19"/>
        <v>0</v>
      </c>
      <c r="HP21" s="2">
        <f t="shared" ca="1" si="19"/>
        <v>1</v>
      </c>
      <c r="HQ21" s="2">
        <f t="shared" ca="1" si="19"/>
        <v>0</v>
      </c>
      <c r="HR21" s="2">
        <f t="shared" ca="1" si="19"/>
        <v>1</v>
      </c>
      <c r="HS21" s="2">
        <f t="shared" ca="1" si="19"/>
        <v>1</v>
      </c>
      <c r="HT21" s="2">
        <f t="shared" ca="1" si="19"/>
        <v>1</v>
      </c>
      <c r="HU21" s="2">
        <f t="shared" ca="1" si="19"/>
        <v>0</v>
      </c>
      <c r="HV21" s="2">
        <f t="shared" ca="1" si="19"/>
        <v>1</v>
      </c>
      <c r="HW21" s="2">
        <f t="shared" ca="1" si="19"/>
        <v>1</v>
      </c>
      <c r="HX21" s="2">
        <f t="shared" ca="1" si="19"/>
        <v>0</v>
      </c>
      <c r="HY21" s="2">
        <f t="shared" ca="1" si="19"/>
        <v>1</v>
      </c>
      <c r="HZ21" s="2">
        <f t="shared" ca="1" si="19"/>
        <v>1</v>
      </c>
      <c r="IA21" s="2">
        <f t="shared" ca="1" si="19"/>
        <v>1</v>
      </c>
      <c r="IB21" s="2">
        <f t="shared" ca="1" si="19"/>
        <v>1</v>
      </c>
      <c r="IC21" s="2">
        <f t="shared" ca="1" si="19"/>
        <v>0</v>
      </c>
      <c r="ID21" s="2">
        <f t="shared" ca="1" si="19"/>
        <v>1</v>
      </c>
      <c r="IE21" s="2">
        <f t="shared" ca="1" si="19"/>
        <v>0</v>
      </c>
      <c r="IF21" s="2">
        <f t="shared" ca="1" si="19"/>
        <v>0</v>
      </c>
      <c r="IG21" s="2">
        <f t="shared" ca="1" si="19"/>
        <v>0</v>
      </c>
      <c r="IH21" s="2">
        <f t="shared" ca="1" si="19"/>
        <v>0</v>
      </c>
      <c r="II21" s="2">
        <f t="shared" ca="1" si="19"/>
        <v>1</v>
      </c>
      <c r="IJ21" s="2">
        <f t="shared" ca="1" si="19"/>
        <v>1</v>
      </c>
      <c r="IK21" s="2">
        <f t="shared" ca="1" si="19"/>
        <v>0</v>
      </c>
      <c r="IL21" s="2">
        <f t="shared" ca="1" si="19"/>
        <v>1</v>
      </c>
      <c r="IM21" s="2">
        <f t="shared" ca="1" si="19"/>
        <v>0</v>
      </c>
      <c r="IN21" s="2">
        <f t="shared" ca="1" si="19"/>
        <v>0</v>
      </c>
      <c r="IO21" s="2">
        <f t="shared" ca="1" si="19"/>
        <v>0</v>
      </c>
      <c r="IP21" s="2">
        <f t="shared" ca="1" si="19"/>
        <v>1</v>
      </c>
      <c r="IQ21" s="2">
        <f t="shared" ca="1" si="19"/>
        <v>1</v>
      </c>
      <c r="IR21" s="2">
        <f t="shared" ca="1" si="19"/>
        <v>1</v>
      </c>
      <c r="IS21" s="2">
        <f t="shared" ca="1" si="19"/>
        <v>1</v>
      </c>
      <c r="IT21" s="2">
        <f t="shared" ca="1" si="19"/>
        <v>1</v>
      </c>
      <c r="IU21" s="2">
        <f t="shared" ca="1" si="19"/>
        <v>2</v>
      </c>
      <c r="IV21" s="2">
        <f t="shared" ca="1" si="19"/>
        <v>0</v>
      </c>
    </row>
    <row r="22" spans="1:256" x14ac:dyDescent="0.25">
      <c r="A22" s="8" t="s">
        <v>16</v>
      </c>
      <c r="B22" s="2">
        <f t="shared" ref="B22:BM22" ca="1" si="20">$B$2*up^B21*down^(2-B21)</f>
        <v>63</v>
      </c>
      <c r="C22" s="2">
        <f t="shared" ca="1" si="20"/>
        <v>40.5</v>
      </c>
      <c r="D22" s="2">
        <f t="shared" ca="1" si="20"/>
        <v>40.5</v>
      </c>
      <c r="E22" s="2">
        <f t="shared" ca="1" si="20"/>
        <v>63</v>
      </c>
      <c r="F22" s="2">
        <f t="shared" ca="1" si="20"/>
        <v>63</v>
      </c>
      <c r="G22" s="2">
        <f t="shared" ca="1" si="20"/>
        <v>63</v>
      </c>
      <c r="H22" s="2">
        <f t="shared" ca="1" si="20"/>
        <v>40.5</v>
      </c>
      <c r="I22" s="2">
        <f t="shared" ca="1" si="20"/>
        <v>40.5</v>
      </c>
      <c r="J22" s="2">
        <f t="shared" ca="1" si="20"/>
        <v>40.5</v>
      </c>
      <c r="K22" s="2">
        <f t="shared" ca="1" si="20"/>
        <v>63</v>
      </c>
      <c r="L22" s="2">
        <f t="shared" ca="1" si="20"/>
        <v>63</v>
      </c>
      <c r="M22" s="2">
        <f t="shared" ca="1" si="20"/>
        <v>63</v>
      </c>
      <c r="N22" s="2">
        <f t="shared" ca="1" si="20"/>
        <v>63</v>
      </c>
      <c r="O22" s="2">
        <f t="shared" ca="1" si="20"/>
        <v>40.5</v>
      </c>
      <c r="P22" s="2">
        <f t="shared" ca="1" si="20"/>
        <v>63</v>
      </c>
      <c r="Q22" s="2">
        <f t="shared" ca="1" si="20"/>
        <v>40.5</v>
      </c>
      <c r="R22" s="2">
        <f t="shared" ca="1" si="20"/>
        <v>40.5</v>
      </c>
      <c r="S22" s="2">
        <f t="shared" ca="1" si="20"/>
        <v>40.5</v>
      </c>
      <c r="T22" s="2">
        <f t="shared" ca="1" si="20"/>
        <v>63</v>
      </c>
      <c r="U22" s="2">
        <f t="shared" ca="1" si="20"/>
        <v>40.5</v>
      </c>
      <c r="V22" s="2">
        <f t="shared" ca="1" si="20"/>
        <v>63</v>
      </c>
      <c r="W22" s="2">
        <f t="shared" ca="1" si="20"/>
        <v>40.5</v>
      </c>
      <c r="X22" s="2">
        <f t="shared" ca="1" si="20"/>
        <v>40.5</v>
      </c>
      <c r="Y22" s="2">
        <f t="shared" ca="1" si="20"/>
        <v>40.5</v>
      </c>
      <c r="Z22" s="2">
        <f t="shared" ca="1" si="20"/>
        <v>63</v>
      </c>
      <c r="AA22" s="2">
        <f t="shared" ca="1" si="20"/>
        <v>40.5</v>
      </c>
      <c r="AB22" s="2">
        <f t="shared" ca="1" si="20"/>
        <v>40.5</v>
      </c>
      <c r="AC22" s="2">
        <f t="shared" ca="1" si="20"/>
        <v>97.999999999999986</v>
      </c>
      <c r="AD22" s="2">
        <f t="shared" ca="1" si="20"/>
        <v>63</v>
      </c>
      <c r="AE22" s="2">
        <f t="shared" ca="1" si="20"/>
        <v>40.5</v>
      </c>
      <c r="AF22" s="2">
        <f t="shared" ca="1" si="20"/>
        <v>40.5</v>
      </c>
      <c r="AG22" s="2">
        <f t="shared" ca="1" si="20"/>
        <v>63</v>
      </c>
      <c r="AH22" s="2">
        <f t="shared" ca="1" si="20"/>
        <v>63</v>
      </c>
      <c r="AI22" s="2">
        <f t="shared" ca="1" si="20"/>
        <v>40.5</v>
      </c>
      <c r="AJ22" s="2">
        <f t="shared" ca="1" si="20"/>
        <v>63</v>
      </c>
      <c r="AK22" s="2">
        <f t="shared" ca="1" si="20"/>
        <v>97.999999999999986</v>
      </c>
      <c r="AL22" s="2">
        <f t="shared" ca="1" si="20"/>
        <v>63</v>
      </c>
      <c r="AM22" s="2">
        <f t="shared" ca="1" si="20"/>
        <v>63</v>
      </c>
      <c r="AN22" s="2">
        <f t="shared" ca="1" si="20"/>
        <v>40.5</v>
      </c>
      <c r="AO22" s="2">
        <f t="shared" ca="1" si="20"/>
        <v>63</v>
      </c>
      <c r="AP22" s="2">
        <f t="shared" ca="1" si="20"/>
        <v>40.5</v>
      </c>
      <c r="AQ22" s="2">
        <f t="shared" ca="1" si="20"/>
        <v>40.5</v>
      </c>
      <c r="AR22" s="2">
        <f t="shared" ca="1" si="20"/>
        <v>63</v>
      </c>
      <c r="AS22" s="2">
        <f t="shared" ca="1" si="20"/>
        <v>40.5</v>
      </c>
      <c r="AT22" s="2">
        <f t="shared" ca="1" si="20"/>
        <v>40.5</v>
      </c>
      <c r="AU22" s="2">
        <f t="shared" ca="1" si="20"/>
        <v>40.5</v>
      </c>
      <c r="AV22" s="2">
        <f t="shared" ca="1" si="20"/>
        <v>40.5</v>
      </c>
      <c r="AW22" s="2">
        <f t="shared" ca="1" si="20"/>
        <v>40.5</v>
      </c>
      <c r="AX22" s="2">
        <f t="shared" ca="1" si="20"/>
        <v>63</v>
      </c>
      <c r="AY22" s="2">
        <f t="shared" ca="1" si="20"/>
        <v>40.5</v>
      </c>
      <c r="AZ22" s="2">
        <f t="shared" ca="1" si="20"/>
        <v>97.999999999999986</v>
      </c>
      <c r="BA22" s="2">
        <f t="shared" ca="1" si="20"/>
        <v>40.5</v>
      </c>
      <c r="BB22" s="2">
        <f t="shared" ca="1" si="20"/>
        <v>40.5</v>
      </c>
      <c r="BC22" s="2">
        <f t="shared" ca="1" si="20"/>
        <v>40.5</v>
      </c>
      <c r="BD22" s="2">
        <f t="shared" ca="1" si="20"/>
        <v>40.5</v>
      </c>
      <c r="BE22" s="2">
        <f t="shared" ca="1" si="20"/>
        <v>63</v>
      </c>
      <c r="BF22" s="2">
        <f t="shared" ca="1" si="20"/>
        <v>63</v>
      </c>
      <c r="BG22" s="2">
        <f t="shared" ca="1" si="20"/>
        <v>63</v>
      </c>
      <c r="BH22" s="2">
        <f t="shared" ca="1" si="20"/>
        <v>63</v>
      </c>
      <c r="BI22" s="2">
        <f t="shared" ca="1" si="20"/>
        <v>40.5</v>
      </c>
      <c r="BJ22" s="2">
        <f t="shared" ca="1" si="20"/>
        <v>63</v>
      </c>
      <c r="BK22" s="2">
        <f t="shared" ca="1" si="20"/>
        <v>63</v>
      </c>
      <c r="BL22" s="2">
        <f t="shared" ca="1" si="20"/>
        <v>40.5</v>
      </c>
      <c r="BM22" s="2">
        <f t="shared" ca="1" si="20"/>
        <v>63</v>
      </c>
      <c r="BN22" s="2">
        <f t="shared" ref="BN22:DY22" ca="1" si="21">$B$2*up^BN21*down^(2-BN21)</f>
        <v>40.5</v>
      </c>
      <c r="BO22" s="2">
        <f t="shared" ca="1" si="21"/>
        <v>63</v>
      </c>
      <c r="BP22" s="2">
        <f t="shared" ca="1" si="21"/>
        <v>63</v>
      </c>
      <c r="BQ22" s="2">
        <f t="shared" ca="1" si="21"/>
        <v>63</v>
      </c>
      <c r="BR22" s="2">
        <f t="shared" ca="1" si="21"/>
        <v>97.999999999999986</v>
      </c>
      <c r="BS22" s="2">
        <f t="shared" ca="1" si="21"/>
        <v>63</v>
      </c>
      <c r="BT22" s="2">
        <f t="shared" ca="1" si="21"/>
        <v>63</v>
      </c>
      <c r="BU22" s="2">
        <f t="shared" ca="1" si="21"/>
        <v>40.5</v>
      </c>
      <c r="BV22" s="2">
        <f t="shared" ca="1" si="21"/>
        <v>40.5</v>
      </c>
      <c r="BW22" s="2">
        <f t="shared" ca="1" si="21"/>
        <v>63</v>
      </c>
      <c r="BX22" s="2">
        <f t="shared" ca="1" si="21"/>
        <v>40.5</v>
      </c>
      <c r="BY22" s="2">
        <f t="shared" ca="1" si="21"/>
        <v>63</v>
      </c>
      <c r="BZ22" s="2">
        <f t="shared" ca="1" si="21"/>
        <v>63</v>
      </c>
      <c r="CA22" s="2">
        <f t="shared" ca="1" si="21"/>
        <v>63</v>
      </c>
      <c r="CB22" s="2">
        <f t="shared" ca="1" si="21"/>
        <v>63</v>
      </c>
      <c r="CC22" s="2">
        <f t="shared" ca="1" si="21"/>
        <v>40.5</v>
      </c>
      <c r="CD22" s="2">
        <f t="shared" ca="1" si="21"/>
        <v>40.5</v>
      </c>
      <c r="CE22" s="2">
        <f t="shared" ca="1" si="21"/>
        <v>63</v>
      </c>
      <c r="CF22" s="2">
        <f t="shared" ca="1" si="21"/>
        <v>97.999999999999986</v>
      </c>
      <c r="CG22" s="2">
        <f t="shared" ca="1" si="21"/>
        <v>40.5</v>
      </c>
      <c r="CH22" s="2">
        <f t="shared" ca="1" si="21"/>
        <v>63</v>
      </c>
      <c r="CI22" s="2">
        <f t="shared" ca="1" si="21"/>
        <v>40.5</v>
      </c>
      <c r="CJ22" s="2">
        <f t="shared" ca="1" si="21"/>
        <v>40.5</v>
      </c>
      <c r="CK22" s="2">
        <f t="shared" ca="1" si="21"/>
        <v>40.5</v>
      </c>
      <c r="CL22" s="2">
        <f t="shared" ca="1" si="21"/>
        <v>97.999999999999986</v>
      </c>
      <c r="CM22" s="2">
        <f t="shared" ca="1" si="21"/>
        <v>40.5</v>
      </c>
      <c r="CN22" s="2">
        <f t="shared" ca="1" si="21"/>
        <v>97.999999999999986</v>
      </c>
      <c r="CO22" s="2">
        <f t="shared" ca="1" si="21"/>
        <v>63</v>
      </c>
      <c r="CP22" s="2">
        <f t="shared" ca="1" si="21"/>
        <v>40.5</v>
      </c>
      <c r="CQ22" s="2">
        <f t="shared" ca="1" si="21"/>
        <v>40.5</v>
      </c>
      <c r="CR22" s="2">
        <f t="shared" ca="1" si="21"/>
        <v>63</v>
      </c>
      <c r="CS22" s="2">
        <f t="shared" ca="1" si="21"/>
        <v>63</v>
      </c>
      <c r="CT22" s="2">
        <f t="shared" ca="1" si="21"/>
        <v>63</v>
      </c>
      <c r="CU22" s="2">
        <f t="shared" ca="1" si="21"/>
        <v>40.5</v>
      </c>
      <c r="CV22" s="2">
        <f t="shared" ca="1" si="21"/>
        <v>63</v>
      </c>
      <c r="CW22" s="2">
        <f t="shared" ca="1" si="21"/>
        <v>63</v>
      </c>
      <c r="CX22" s="2">
        <f t="shared" ca="1" si="21"/>
        <v>40.5</v>
      </c>
      <c r="CY22" s="2">
        <f t="shared" ca="1" si="21"/>
        <v>40.5</v>
      </c>
      <c r="CZ22" s="2">
        <f t="shared" ca="1" si="21"/>
        <v>97.999999999999986</v>
      </c>
      <c r="DA22" s="2">
        <f t="shared" ca="1" si="21"/>
        <v>40.5</v>
      </c>
      <c r="DB22" s="2">
        <f t="shared" ca="1" si="21"/>
        <v>97.999999999999986</v>
      </c>
      <c r="DC22" s="2">
        <f t="shared" ca="1" si="21"/>
        <v>40.5</v>
      </c>
      <c r="DD22" s="2">
        <f t="shared" ca="1" si="21"/>
        <v>40.5</v>
      </c>
      <c r="DE22" s="2">
        <f t="shared" ca="1" si="21"/>
        <v>40.5</v>
      </c>
      <c r="DF22" s="2">
        <f t="shared" ca="1" si="21"/>
        <v>40.5</v>
      </c>
      <c r="DG22" s="2">
        <f t="shared" ca="1" si="21"/>
        <v>63</v>
      </c>
      <c r="DH22" s="2">
        <f t="shared" ca="1" si="21"/>
        <v>40.5</v>
      </c>
      <c r="DI22" s="2">
        <f t="shared" ca="1" si="21"/>
        <v>63</v>
      </c>
      <c r="DJ22" s="2">
        <f t="shared" ca="1" si="21"/>
        <v>63</v>
      </c>
      <c r="DK22" s="2">
        <f t="shared" ca="1" si="21"/>
        <v>97.999999999999986</v>
      </c>
      <c r="DL22" s="2">
        <f t="shared" ca="1" si="21"/>
        <v>40.5</v>
      </c>
      <c r="DM22" s="2">
        <f t="shared" ca="1" si="21"/>
        <v>40.5</v>
      </c>
      <c r="DN22" s="2">
        <f t="shared" ca="1" si="21"/>
        <v>40.5</v>
      </c>
      <c r="DO22" s="2">
        <f t="shared" ca="1" si="21"/>
        <v>40.5</v>
      </c>
      <c r="DP22" s="2">
        <f t="shared" ca="1" si="21"/>
        <v>63</v>
      </c>
      <c r="DQ22" s="2">
        <f t="shared" ca="1" si="21"/>
        <v>63</v>
      </c>
      <c r="DR22" s="2">
        <f t="shared" ca="1" si="21"/>
        <v>40.5</v>
      </c>
      <c r="DS22" s="2">
        <f t="shared" ca="1" si="21"/>
        <v>40.5</v>
      </c>
      <c r="DT22" s="2">
        <f t="shared" ca="1" si="21"/>
        <v>63</v>
      </c>
      <c r="DU22" s="2">
        <f t="shared" ca="1" si="21"/>
        <v>40.5</v>
      </c>
      <c r="DV22" s="2">
        <f t="shared" ca="1" si="21"/>
        <v>40.5</v>
      </c>
      <c r="DW22" s="2">
        <f t="shared" ca="1" si="21"/>
        <v>40.5</v>
      </c>
      <c r="DX22" s="2">
        <f t="shared" ca="1" si="21"/>
        <v>40.5</v>
      </c>
      <c r="DY22" s="2">
        <f t="shared" ca="1" si="21"/>
        <v>63</v>
      </c>
      <c r="DZ22" s="2">
        <f t="shared" ref="DZ22:GK22" ca="1" si="22">$B$2*up^DZ21*down^(2-DZ21)</f>
        <v>63</v>
      </c>
      <c r="EA22" s="2">
        <f t="shared" ca="1" si="22"/>
        <v>63</v>
      </c>
      <c r="EB22" s="2">
        <f t="shared" ca="1" si="22"/>
        <v>63</v>
      </c>
      <c r="EC22" s="2">
        <f t="shared" ca="1" si="22"/>
        <v>40.5</v>
      </c>
      <c r="ED22" s="2">
        <f t="shared" ca="1" si="22"/>
        <v>63</v>
      </c>
      <c r="EE22" s="2">
        <f t="shared" ca="1" si="22"/>
        <v>40.5</v>
      </c>
      <c r="EF22" s="2">
        <f t="shared" ca="1" si="22"/>
        <v>63</v>
      </c>
      <c r="EG22" s="2">
        <f t="shared" ca="1" si="22"/>
        <v>40.5</v>
      </c>
      <c r="EH22" s="2">
        <f t="shared" ca="1" si="22"/>
        <v>63</v>
      </c>
      <c r="EI22" s="2">
        <f t="shared" ca="1" si="22"/>
        <v>40.5</v>
      </c>
      <c r="EJ22" s="2">
        <f t="shared" ca="1" si="22"/>
        <v>63</v>
      </c>
      <c r="EK22" s="2">
        <f t="shared" ca="1" si="22"/>
        <v>40.5</v>
      </c>
      <c r="EL22" s="2">
        <f t="shared" ca="1" si="22"/>
        <v>40.5</v>
      </c>
      <c r="EM22" s="2">
        <f t="shared" ca="1" si="22"/>
        <v>40.5</v>
      </c>
      <c r="EN22" s="2">
        <f t="shared" ca="1" si="22"/>
        <v>63</v>
      </c>
      <c r="EO22" s="2">
        <f t="shared" ca="1" si="22"/>
        <v>63</v>
      </c>
      <c r="EP22" s="2">
        <f t="shared" ca="1" si="22"/>
        <v>63</v>
      </c>
      <c r="EQ22" s="2">
        <f t="shared" ca="1" si="22"/>
        <v>63</v>
      </c>
      <c r="ER22" s="2">
        <f t="shared" ca="1" si="22"/>
        <v>63</v>
      </c>
      <c r="ES22" s="2">
        <f t="shared" ca="1" si="22"/>
        <v>97.999999999999986</v>
      </c>
      <c r="ET22" s="2">
        <f t="shared" ca="1" si="22"/>
        <v>63</v>
      </c>
      <c r="EU22" s="2">
        <f t="shared" ca="1" si="22"/>
        <v>63</v>
      </c>
      <c r="EV22" s="2">
        <f t="shared" ca="1" si="22"/>
        <v>40.5</v>
      </c>
      <c r="EW22" s="2">
        <f t="shared" ca="1" si="22"/>
        <v>40.5</v>
      </c>
      <c r="EX22" s="2">
        <f t="shared" ca="1" si="22"/>
        <v>63</v>
      </c>
      <c r="EY22" s="2">
        <f t="shared" ca="1" si="22"/>
        <v>40.5</v>
      </c>
      <c r="EZ22" s="2">
        <f t="shared" ca="1" si="22"/>
        <v>63</v>
      </c>
      <c r="FA22" s="2">
        <f t="shared" ca="1" si="22"/>
        <v>40.5</v>
      </c>
      <c r="FB22" s="2">
        <f t="shared" ca="1" si="22"/>
        <v>40.5</v>
      </c>
      <c r="FC22" s="2">
        <f t="shared" ca="1" si="22"/>
        <v>63</v>
      </c>
      <c r="FD22" s="2">
        <f t="shared" ca="1" si="22"/>
        <v>63</v>
      </c>
      <c r="FE22" s="2">
        <f t="shared" ca="1" si="22"/>
        <v>63</v>
      </c>
      <c r="FF22" s="2">
        <f t="shared" ca="1" si="22"/>
        <v>40.5</v>
      </c>
      <c r="FG22" s="2">
        <f t="shared" ca="1" si="22"/>
        <v>63</v>
      </c>
      <c r="FH22" s="2">
        <f t="shared" ca="1" si="22"/>
        <v>63</v>
      </c>
      <c r="FI22" s="2">
        <f t="shared" ca="1" si="22"/>
        <v>63</v>
      </c>
      <c r="FJ22" s="2">
        <f t="shared" ca="1" si="22"/>
        <v>63</v>
      </c>
      <c r="FK22" s="2">
        <f t="shared" ca="1" si="22"/>
        <v>97.999999999999986</v>
      </c>
      <c r="FL22" s="2">
        <f t="shared" ca="1" si="22"/>
        <v>40.5</v>
      </c>
      <c r="FM22" s="2">
        <f t="shared" ca="1" si="22"/>
        <v>63</v>
      </c>
      <c r="FN22" s="2">
        <f t="shared" ca="1" si="22"/>
        <v>40.5</v>
      </c>
      <c r="FO22" s="2">
        <f t="shared" ca="1" si="22"/>
        <v>63</v>
      </c>
      <c r="FP22" s="2">
        <f t="shared" ca="1" si="22"/>
        <v>63</v>
      </c>
      <c r="FQ22" s="2">
        <f t="shared" ca="1" si="22"/>
        <v>97.999999999999986</v>
      </c>
      <c r="FR22" s="2">
        <f t="shared" ca="1" si="22"/>
        <v>40.5</v>
      </c>
      <c r="FS22" s="2">
        <f t="shared" ca="1" si="22"/>
        <v>40.5</v>
      </c>
      <c r="FT22" s="2">
        <f t="shared" ca="1" si="22"/>
        <v>63</v>
      </c>
      <c r="FU22" s="2">
        <f t="shared" ca="1" si="22"/>
        <v>63</v>
      </c>
      <c r="FV22" s="2">
        <f t="shared" ca="1" si="22"/>
        <v>40.5</v>
      </c>
      <c r="FW22" s="2">
        <f t="shared" ca="1" si="22"/>
        <v>40.5</v>
      </c>
      <c r="FX22" s="2">
        <f t="shared" ca="1" si="22"/>
        <v>63</v>
      </c>
      <c r="FY22" s="2">
        <f t="shared" ca="1" si="22"/>
        <v>40.5</v>
      </c>
      <c r="FZ22" s="2">
        <f t="shared" ca="1" si="22"/>
        <v>63</v>
      </c>
      <c r="GA22" s="2">
        <f t="shared" ca="1" si="22"/>
        <v>40.5</v>
      </c>
      <c r="GB22" s="2">
        <f t="shared" ca="1" si="22"/>
        <v>63</v>
      </c>
      <c r="GC22" s="2">
        <f t="shared" ca="1" si="22"/>
        <v>63</v>
      </c>
      <c r="GD22" s="2">
        <f t="shared" ca="1" si="22"/>
        <v>40.5</v>
      </c>
      <c r="GE22" s="2">
        <f t="shared" ca="1" si="22"/>
        <v>40.5</v>
      </c>
      <c r="GF22" s="2">
        <f t="shared" ca="1" si="22"/>
        <v>63</v>
      </c>
      <c r="GG22" s="2">
        <f t="shared" ca="1" si="22"/>
        <v>40.5</v>
      </c>
      <c r="GH22" s="2">
        <f t="shared" ca="1" si="22"/>
        <v>40.5</v>
      </c>
      <c r="GI22" s="2">
        <f t="shared" ca="1" si="22"/>
        <v>40.5</v>
      </c>
      <c r="GJ22" s="2">
        <f t="shared" ca="1" si="22"/>
        <v>40.5</v>
      </c>
      <c r="GK22" s="2">
        <f t="shared" ca="1" si="22"/>
        <v>40.5</v>
      </c>
      <c r="GL22" s="2">
        <f t="shared" ref="GL22:IV22" ca="1" si="23">$B$2*up^GL21*down^(2-GL21)</f>
        <v>40.5</v>
      </c>
      <c r="GM22" s="2">
        <f t="shared" ca="1" si="23"/>
        <v>63</v>
      </c>
      <c r="GN22" s="2">
        <f t="shared" ca="1" si="23"/>
        <v>63</v>
      </c>
      <c r="GO22" s="2">
        <f t="shared" ca="1" si="23"/>
        <v>40.5</v>
      </c>
      <c r="GP22" s="2">
        <f t="shared" ca="1" si="23"/>
        <v>40.5</v>
      </c>
      <c r="GQ22" s="2">
        <f t="shared" ca="1" si="23"/>
        <v>40.5</v>
      </c>
      <c r="GR22" s="2">
        <f t="shared" ca="1" si="23"/>
        <v>40.5</v>
      </c>
      <c r="GS22" s="2">
        <f t="shared" ca="1" si="23"/>
        <v>40.5</v>
      </c>
      <c r="GT22" s="2">
        <f t="shared" ca="1" si="23"/>
        <v>40.5</v>
      </c>
      <c r="GU22" s="2">
        <f t="shared" ca="1" si="23"/>
        <v>63</v>
      </c>
      <c r="GV22" s="2">
        <f t="shared" ca="1" si="23"/>
        <v>40.5</v>
      </c>
      <c r="GW22" s="2">
        <f t="shared" ca="1" si="23"/>
        <v>40.5</v>
      </c>
      <c r="GX22" s="2">
        <f t="shared" ca="1" si="23"/>
        <v>97.999999999999986</v>
      </c>
      <c r="GY22" s="2">
        <f t="shared" ca="1" si="23"/>
        <v>40.5</v>
      </c>
      <c r="GZ22" s="2">
        <f t="shared" ca="1" si="23"/>
        <v>97.999999999999986</v>
      </c>
      <c r="HA22" s="2">
        <f t="shared" ca="1" si="23"/>
        <v>40.5</v>
      </c>
      <c r="HB22" s="2">
        <f t="shared" ca="1" si="23"/>
        <v>63</v>
      </c>
      <c r="HC22" s="2">
        <f t="shared" ca="1" si="23"/>
        <v>63</v>
      </c>
      <c r="HD22" s="2">
        <f t="shared" ca="1" si="23"/>
        <v>40.5</v>
      </c>
      <c r="HE22" s="2">
        <f t="shared" ca="1" si="23"/>
        <v>40.5</v>
      </c>
      <c r="HF22" s="2">
        <f t="shared" ca="1" si="23"/>
        <v>63</v>
      </c>
      <c r="HG22" s="2">
        <f t="shared" ca="1" si="23"/>
        <v>40.5</v>
      </c>
      <c r="HH22" s="2">
        <f t="shared" ca="1" si="23"/>
        <v>63</v>
      </c>
      <c r="HI22" s="2">
        <f t="shared" ca="1" si="23"/>
        <v>63</v>
      </c>
      <c r="HJ22" s="2">
        <f t="shared" ca="1" si="23"/>
        <v>40.5</v>
      </c>
      <c r="HK22" s="2">
        <f t="shared" ca="1" si="23"/>
        <v>63</v>
      </c>
      <c r="HL22" s="2">
        <f t="shared" ca="1" si="23"/>
        <v>40.5</v>
      </c>
      <c r="HM22" s="2">
        <f t="shared" ca="1" si="23"/>
        <v>63</v>
      </c>
      <c r="HN22" s="2">
        <f t="shared" ca="1" si="23"/>
        <v>63</v>
      </c>
      <c r="HO22" s="2">
        <f t="shared" ca="1" si="23"/>
        <v>40.5</v>
      </c>
      <c r="HP22" s="2">
        <f t="shared" ca="1" si="23"/>
        <v>63</v>
      </c>
      <c r="HQ22" s="2">
        <f t="shared" ca="1" si="23"/>
        <v>40.5</v>
      </c>
      <c r="HR22" s="2">
        <f t="shared" ca="1" si="23"/>
        <v>63</v>
      </c>
      <c r="HS22" s="2">
        <f t="shared" ca="1" si="23"/>
        <v>63</v>
      </c>
      <c r="HT22" s="2">
        <f t="shared" ca="1" si="23"/>
        <v>63</v>
      </c>
      <c r="HU22" s="2">
        <f t="shared" ca="1" si="23"/>
        <v>40.5</v>
      </c>
      <c r="HV22" s="2">
        <f t="shared" ca="1" si="23"/>
        <v>63</v>
      </c>
      <c r="HW22" s="2">
        <f t="shared" ca="1" si="23"/>
        <v>63</v>
      </c>
      <c r="HX22" s="2">
        <f t="shared" ca="1" si="23"/>
        <v>40.5</v>
      </c>
      <c r="HY22" s="2">
        <f t="shared" ca="1" si="23"/>
        <v>63</v>
      </c>
      <c r="HZ22" s="2">
        <f t="shared" ca="1" si="23"/>
        <v>63</v>
      </c>
      <c r="IA22" s="2">
        <f t="shared" ca="1" si="23"/>
        <v>63</v>
      </c>
      <c r="IB22" s="2">
        <f t="shared" ca="1" si="23"/>
        <v>63</v>
      </c>
      <c r="IC22" s="2">
        <f t="shared" ca="1" si="23"/>
        <v>40.5</v>
      </c>
      <c r="ID22" s="2">
        <f t="shared" ca="1" si="23"/>
        <v>63</v>
      </c>
      <c r="IE22" s="2">
        <f t="shared" ca="1" si="23"/>
        <v>40.5</v>
      </c>
      <c r="IF22" s="2">
        <f t="shared" ca="1" si="23"/>
        <v>40.5</v>
      </c>
      <c r="IG22" s="2">
        <f t="shared" ca="1" si="23"/>
        <v>40.5</v>
      </c>
      <c r="IH22" s="2">
        <f t="shared" ca="1" si="23"/>
        <v>40.5</v>
      </c>
      <c r="II22" s="2">
        <f t="shared" ca="1" si="23"/>
        <v>63</v>
      </c>
      <c r="IJ22" s="2">
        <f t="shared" ca="1" si="23"/>
        <v>63</v>
      </c>
      <c r="IK22" s="2">
        <f t="shared" ca="1" si="23"/>
        <v>40.5</v>
      </c>
      <c r="IL22" s="2">
        <f t="shared" ca="1" si="23"/>
        <v>63</v>
      </c>
      <c r="IM22" s="2">
        <f t="shared" ca="1" si="23"/>
        <v>40.5</v>
      </c>
      <c r="IN22" s="2">
        <f t="shared" ca="1" si="23"/>
        <v>40.5</v>
      </c>
      <c r="IO22" s="2">
        <f t="shared" ca="1" si="23"/>
        <v>40.5</v>
      </c>
      <c r="IP22" s="2">
        <f t="shared" ca="1" si="23"/>
        <v>63</v>
      </c>
      <c r="IQ22" s="2">
        <f t="shared" ca="1" si="23"/>
        <v>63</v>
      </c>
      <c r="IR22" s="2">
        <f t="shared" ca="1" si="23"/>
        <v>63</v>
      </c>
      <c r="IS22" s="2">
        <f t="shared" ca="1" si="23"/>
        <v>63</v>
      </c>
      <c r="IT22" s="2">
        <f t="shared" ca="1" si="23"/>
        <v>63</v>
      </c>
      <c r="IU22" s="2">
        <f t="shared" ca="1" si="23"/>
        <v>97.999999999999986</v>
      </c>
      <c r="IV22" s="2">
        <f t="shared" ca="1" si="23"/>
        <v>40.5</v>
      </c>
    </row>
    <row r="23" spans="1:256" x14ac:dyDescent="0.25">
      <c r="A23" s="3" t="s">
        <v>17</v>
      </c>
      <c r="B23" s="2">
        <f t="shared" ref="B23:BM23" ca="1" si="24">MAX(B22-$B$3,0)</f>
        <v>13</v>
      </c>
      <c r="C23" s="2">
        <f t="shared" ca="1" si="24"/>
        <v>0</v>
      </c>
      <c r="D23" s="2">
        <f t="shared" ca="1" si="24"/>
        <v>0</v>
      </c>
      <c r="E23" s="2">
        <f t="shared" ca="1" si="24"/>
        <v>13</v>
      </c>
      <c r="F23" s="2">
        <f t="shared" ca="1" si="24"/>
        <v>13</v>
      </c>
      <c r="G23" s="2">
        <f t="shared" ca="1" si="24"/>
        <v>13</v>
      </c>
      <c r="H23" s="2">
        <f t="shared" ca="1" si="24"/>
        <v>0</v>
      </c>
      <c r="I23" s="2">
        <f t="shared" ca="1" si="24"/>
        <v>0</v>
      </c>
      <c r="J23" s="2">
        <f t="shared" ca="1" si="24"/>
        <v>0</v>
      </c>
      <c r="K23" s="2">
        <f t="shared" ca="1" si="24"/>
        <v>13</v>
      </c>
      <c r="L23" s="2">
        <f t="shared" ca="1" si="24"/>
        <v>13</v>
      </c>
      <c r="M23" s="2">
        <f t="shared" ca="1" si="24"/>
        <v>13</v>
      </c>
      <c r="N23" s="2">
        <f t="shared" ca="1" si="24"/>
        <v>13</v>
      </c>
      <c r="O23" s="2">
        <f t="shared" ca="1" si="24"/>
        <v>0</v>
      </c>
      <c r="P23" s="2">
        <f t="shared" ca="1" si="24"/>
        <v>13</v>
      </c>
      <c r="Q23" s="2">
        <f t="shared" ca="1" si="24"/>
        <v>0</v>
      </c>
      <c r="R23" s="2">
        <f t="shared" ca="1" si="24"/>
        <v>0</v>
      </c>
      <c r="S23" s="2">
        <f t="shared" ca="1" si="24"/>
        <v>0</v>
      </c>
      <c r="T23" s="2">
        <f t="shared" ca="1" si="24"/>
        <v>13</v>
      </c>
      <c r="U23" s="2">
        <f t="shared" ca="1" si="24"/>
        <v>0</v>
      </c>
      <c r="V23" s="2">
        <f t="shared" ca="1" si="24"/>
        <v>13</v>
      </c>
      <c r="W23" s="2">
        <f t="shared" ca="1" si="24"/>
        <v>0</v>
      </c>
      <c r="X23" s="2">
        <f t="shared" ca="1" si="24"/>
        <v>0</v>
      </c>
      <c r="Y23" s="2">
        <f t="shared" ca="1" si="24"/>
        <v>0</v>
      </c>
      <c r="Z23" s="2">
        <f t="shared" ca="1" si="24"/>
        <v>13</v>
      </c>
      <c r="AA23" s="2">
        <f t="shared" ca="1" si="24"/>
        <v>0</v>
      </c>
      <c r="AB23" s="2">
        <f t="shared" ca="1" si="24"/>
        <v>0</v>
      </c>
      <c r="AC23" s="2">
        <f t="shared" ca="1" si="24"/>
        <v>47.999999999999986</v>
      </c>
      <c r="AD23" s="2">
        <f t="shared" ca="1" si="24"/>
        <v>13</v>
      </c>
      <c r="AE23" s="2">
        <f t="shared" ca="1" si="24"/>
        <v>0</v>
      </c>
      <c r="AF23" s="2">
        <f t="shared" ca="1" si="24"/>
        <v>0</v>
      </c>
      <c r="AG23" s="2">
        <f t="shared" ca="1" si="24"/>
        <v>13</v>
      </c>
      <c r="AH23" s="2">
        <f t="shared" ca="1" si="24"/>
        <v>13</v>
      </c>
      <c r="AI23" s="2">
        <f t="shared" ca="1" si="24"/>
        <v>0</v>
      </c>
      <c r="AJ23" s="2">
        <f t="shared" ca="1" si="24"/>
        <v>13</v>
      </c>
      <c r="AK23" s="2">
        <f t="shared" ca="1" si="24"/>
        <v>47.999999999999986</v>
      </c>
      <c r="AL23" s="2">
        <f t="shared" ca="1" si="24"/>
        <v>13</v>
      </c>
      <c r="AM23" s="2">
        <f t="shared" ca="1" si="24"/>
        <v>13</v>
      </c>
      <c r="AN23" s="2">
        <f t="shared" ca="1" si="24"/>
        <v>0</v>
      </c>
      <c r="AO23" s="2">
        <f t="shared" ca="1" si="24"/>
        <v>13</v>
      </c>
      <c r="AP23" s="2">
        <f t="shared" ca="1" si="24"/>
        <v>0</v>
      </c>
      <c r="AQ23" s="2">
        <f t="shared" ca="1" si="24"/>
        <v>0</v>
      </c>
      <c r="AR23" s="2">
        <f t="shared" ca="1" si="24"/>
        <v>13</v>
      </c>
      <c r="AS23" s="2">
        <f t="shared" ca="1" si="24"/>
        <v>0</v>
      </c>
      <c r="AT23" s="2">
        <f t="shared" ca="1" si="24"/>
        <v>0</v>
      </c>
      <c r="AU23" s="2">
        <f t="shared" ca="1" si="24"/>
        <v>0</v>
      </c>
      <c r="AV23" s="2">
        <f t="shared" ca="1" si="24"/>
        <v>0</v>
      </c>
      <c r="AW23" s="2">
        <f t="shared" ca="1" si="24"/>
        <v>0</v>
      </c>
      <c r="AX23" s="2">
        <f t="shared" ca="1" si="24"/>
        <v>13</v>
      </c>
      <c r="AY23" s="2">
        <f t="shared" ca="1" si="24"/>
        <v>0</v>
      </c>
      <c r="AZ23" s="2">
        <f t="shared" ca="1" si="24"/>
        <v>47.999999999999986</v>
      </c>
      <c r="BA23" s="2">
        <f t="shared" ca="1" si="24"/>
        <v>0</v>
      </c>
      <c r="BB23" s="2">
        <f t="shared" ca="1" si="24"/>
        <v>0</v>
      </c>
      <c r="BC23" s="2">
        <f t="shared" ca="1" si="24"/>
        <v>0</v>
      </c>
      <c r="BD23" s="2">
        <f t="shared" ca="1" si="24"/>
        <v>0</v>
      </c>
      <c r="BE23" s="2">
        <f t="shared" ca="1" si="24"/>
        <v>13</v>
      </c>
      <c r="BF23" s="2">
        <f t="shared" ca="1" si="24"/>
        <v>13</v>
      </c>
      <c r="BG23" s="2">
        <f t="shared" ca="1" si="24"/>
        <v>13</v>
      </c>
      <c r="BH23" s="2">
        <f t="shared" ca="1" si="24"/>
        <v>13</v>
      </c>
      <c r="BI23" s="2">
        <f t="shared" ca="1" si="24"/>
        <v>0</v>
      </c>
      <c r="BJ23" s="2">
        <f t="shared" ca="1" si="24"/>
        <v>13</v>
      </c>
      <c r="BK23" s="2">
        <f t="shared" ca="1" si="24"/>
        <v>13</v>
      </c>
      <c r="BL23" s="2">
        <f t="shared" ca="1" si="24"/>
        <v>0</v>
      </c>
      <c r="BM23" s="2">
        <f t="shared" ca="1" si="24"/>
        <v>13</v>
      </c>
      <c r="BN23" s="2">
        <f t="shared" ref="BN23:DY23" ca="1" si="25">MAX(BN22-$B$3,0)</f>
        <v>0</v>
      </c>
      <c r="BO23" s="2">
        <f t="shared" ca="1" si="25"/>
        <v>13</v>
      </c>
      <c r="BP23" s="2">
        <f t="shared" ca="1" si="25"/>
        <v>13</v>
      </c>
      <c r="BQ23" s="2">
        <f t="shared" ca="1" si="25"/>
        <v>13</v>
      </c>
      <c r="BR23" s="2">
        <f t="shared" ca="1" si="25"/>
        <v>47.999999999999986</v>
      </c>
      <c r="BS23" s="2">
        <f t="shared" ca="1" si="25"/>
        <v>13</v>
      </c>
      <c r="BT23" s="2">
        <f t="shared" ca="1" si="25"/>
        <v>13</v>
      </c>
      <c r="BU23" s="2">
        <f t="shared" ca="1" si="25"/>
        <v>0</v>
      </c>
      <c r="BV23" s="2">
        <f t="shared" ca="1" si="25"/>
        <v>0</v>
      </c>
      <c r="BW23" s="2">
        <f t="shared" ca="1" si="25"/>
        <v>13</v>
      </c>
      <c r="BX23" s="2">
        <f t="shared" ca="1" si="25"/>
        <v>0</v>
      </c>
      <c r="BY23" s="2">
        <f t="shared" ca="1" si="25"/>
        <v>13</v>
      </c>
      <c r="BZ23" s="2">
        <f t="shared" ca="1" si="25"/>
        <v>13</v>
      </c>
      <c r="CA23" s="2">
        <f t="shared" ca="1" si="25"/>
        <v>13</v>
      </c>
      <c r="CB23" s="2">
        <f t="shared" ca="1" si="25"/>
        <v>13</v>
      </c>
      <c r="CC23" s="2">
        <f t="shared" ca="1" si="25"/>
        <v>0</v>
      </c>
      <c r="CD23" s="2">
        <f t="shared" ca="1" si="25"/>
        <v>0</v>
      </c>
      <c r="CE23" s="2">
        <f t="shared" ca="1" si="25"/>
        <v>13</v>
      </c>
      <c r="CF23" s="2">
        <f t="shared" ca="1" si="25"/>
        <v>47.999999999999986</v>
      </c>
      <c r="CG23" s="2">
        <f t="shared" ca="1" si="25"/>
        <v>0</v>
      </c>
      <c r="CH23" s="2">
        <f t="shared" ca="1" si="25"/>
        <v>13</v>
      </c>
      <c r="CI23" s="2">
        <f t="shared" ca="1" si="25"/>
        <v>0</v>
      </c>
      <c r="CJ23" s="2">
        <f t="shared" ca="1" si="25"/>
        <v>0</v>
      </c>
      <c r="CK23" s="2">
        <f t="shared" ca="1" si="25"/>
        <v>0</v>
      </c>
      <c r="CL23" s="2">
        <f t="shared" ca="1" si="25"/>
        <v>47.999999999999986</v>
      </c>
      <c r="CM23" s="2">
        <f t="shared" ca="1" si="25"/>
        <v>0</v>
      </c>
      <c r="CN23" s="2">
        <f t="shared" ca="1" si="25"/>
        <v>47.999999999999986</v>
      </c>
      <c r="CO23" s="2">
        <f t="shared" ca="1" si="25"/>
        <v>13</v>
      </c>
      <c r="CP23" s="2">
        <f t="shared" ca="1" si="25"/>
        <v>0</v>
      </c>
      <c r="CQ23" s="2">
        <f t="shared" ca="1" si="25"/>
        <v>0</v>
      </c>
      <c r="CR23" s="2">
        <f t="shared" ca="1" si="25"/>
        <v>13</v>
      </c>
      <c r="CS23" s="2">
        <f t="shared" ca="1" si="25"/>
        <v>13</v>
      </c>
      <c r="CT23" s="2">
        <f t="shared" ca="1" si="25"/>
        <v>13</v>
      </c>
      <c r="CU23" s="2">
        <f t="shared" ca="1" si="25"/>
        <v>0</v>
      </c>
      <c r="CV23" s="2">
        <f t="shared" ca="1" si="25"/>
        <v>13</v>
      </c>
      <c r="CW23" s="2">
        <f t="shared" ca="1" si="25"/>
        <v>13</v>
      </c>
      <c r="CX23" s="2">
        <f t="shared" ca="1" si="25"/>
        <v>0</v>
      </c>
      <c r="CY23" s="2">
        <f t="shared" ca="1" si="25"/>
        <v>0</v>
      </c>
      <c r="CZ23" s="2">
        <f t="shared" ca="1" si="25"/>
        <v>47.999999999999986</v>
      </c>
      <c r="DA23" s="2">
        <f t="shared" ca="1" si="25"/>
        <v>0</v>
      </c>
      <c r="DB23" s="2">
        <f t="shared" ca="1" si="25"/>
        <v>47.999999999999986</v>
      </c>
      <c r="DC23" s="2">
        <f t="shared" ca="1" si="25"/>
        <v>0</v>
      </c>
      <c r="DD23" s="2">
        <f t="shared" ca="1" si="25"/>
        <v>0</v>
      </c>
      <c r="DE23" s="2">
        <f t="shared" ca="1" si="25"/>
        <v>0</v>
      </c>
      <c r="DF23" s="2">
        <f t="shared" ca="1" si="25"/>
        <v>0</v>
      </c>
      <c r="DG23" s="2">
        <f t="shared" ca="1" si="25"/>
        <v>13</v>
      </c>
      <c r="DH23" s="2">
        <f t="shared" ca="1" si="25"/>
        <v>0</v>
      </c>
      <c r="DI23" s="2">
        <f t="shared" ca="1" si="25"/>
        <v>13</v>
      </c>
      <c r="DJ23" s="2">
        <f t="shared" ca="1" si="25"/>
        <v>13</v>
      </c>
      <c r="DK23" s="2">
        <f t="shared" ca="1" si="25"/>
        <v>47.999999999999986</v>
      </c>
      <c r="DL23" s="2">
        <f t="shared" ca="1" si="25"/>
        <v>0</v>
      </c>
      <c r="DM23" s="2">
        <f t="shared" ca="1" si="25"/>
        <v>0</v>
      </c>
      <c r="DN23" s="2">
        <f t="shared" ca="1" si="25"/>
        <v>0</v>
      </c>
      <c r="DO23" s="2">
        <f t="shared" ca="1" si="25"/>
        <v>0</v>
      </c>
      <c r="DP23" s="2">
        <f t="shared" ca="1" si="25"/>
        <v>13</v>
      </c>
      <c r="DQ23" s="2">
        <f t="shared" ca="1" si="25"/>
        <v>13</v>
      </c>
      <c r="DR23" s="2">
        <f t="shared" ca="1" si="25"/>
        <v>0</v>
      </c>
      <c r="DS23" s="2">
        <f t="shared" ca="1" si="25"/>
        <v>0</v>
      </c>
      <c r="DT23" s="2">
        <f t="shared" ca="1" si="25"/>
        <v>13</v>
      </c>
      <c r="DU23" s="2">
        <f t="shared" ca="1" si="25"/>
        <v>0</v>
      </c>
      <c r="DV23" s="2">
        <f t="shared" ca="1" si="25"/>
        <v>0</v>
      </c>
      <c r="DW23" s="2">
        <f t="shared" ca="1" si="25"/>
        <v>0</v>
      </c>
      <c r="DX23" s="2">
        <f t="shared" ca="1" si="25"/>
        <v>0</v>
      </c>
      <c r="DY23" s="2">
        <f t="shared" ca="1" si="25"/>
        <v>13</v>
      </c>
      <c r="DZ23" s="2">
        <f t="shared" ref="DZ23:GK23" ca="1" si="26">MAX(DZ22-$B$3,0)</f>
        <v>13</v>
      </c>
      <c r="EA23" s="2">
        <f t="shared" ca="1" si="26"/>
        <v>13</v>
      </c>
      <c r="EB23" s="2">
        <f t="shared" ca="1" si="26"/>
        <v>13</v>
      </c>
      <c r="EC23" s="2">
        <f t="shared" ca="1" si="26"/>
        <v>0</v>
      </c>
      <c r="ED23" s="2">
        <f t="shared" ca="1" si="26"/>
        <v>13</v>
      </c>
      <c r="EE23" s="2">
        <f t="shared" ca="1" si="26"/>
        <v>0</v>
      </c>
      <c r="EF23" s="2">
        <f t="shared" ca="1" si="26"/>
        <v>13</v>
      </c>
      <c r="EG23" s="2">
        <f t="shared" ca="1" si="26"/>
        <v>0</v>
      </c>
      <c r="EH23" s="2">
        <f t="shared" ca="1" si="26"/>
        <v>13</v>
      </c>
      <c r="EI23" s="2">
        <f t="shared" ca="1" si="26"/>
        <v>0</v>
      </c>
      <c r="EJ23" s="2">
        <f t="shared" ca="1" si="26"/>
        <v>13</v>
      </c>
      <c r="EK23" s="2">
        <f t="shared" ca="1" si="26"/>
        <v>0</v>
      </c>
      <c r="EL23" s="2">
        <f t="shared" ca="1" si="26"/>
        <v>0</v>
      </c>
      <c r="EM23" s="2">
        <f t="shared" ca="1" si="26"/>
        <v>0</v>
      </c>
      <c r="EN23" s="2">
        <f t="shared" ca="1" si="26"/>
        <v>13</v>
      </c>
      <c r="EO23" s="2">
        <f t="shared" ca="1" si="26"/>
        <v>13</v>
      </c>
      <c r="EP23" s="2">
        <f t="shared" ca="1" si="26"/>
        <v>13</v>
      </c>
      <c r="EQ23" s="2">
        <f t="shared" ca="1" si="26"/>
        <v>13</v>
      </c>
      <c r="ER23" s="2">
        <f t="shared" ca="1" si="26"/>
        <v>13</v>
      </c>
      <c r="ES23" s="2">
        <f t="shared" ca="1" si="26"/>
        <v>47.999999999999986</v>
      </c>
      <c r="ET23" s="2">
        <f t="shared" ca="1" si="26"/>
        <v>13</v>
      </c>
      <c r="EU23" s="2">
        <f t="shared" ca="1" si="26"/>
        <v>13</v>
      </c>
      <c r="EV23" s="2">
        <f t="shared" ca="1" si="26"/>
        <v>0</v>
      </c>
      <c r="EW23" s="2">
        <f t="shared" ca="1" si="26"/>
        <v>0</v>
      </c>
      <c r="EX23" s="2">
        <f t="shared" ca="1" si="26"/>
        <v>13</v>
      </c>
      <c r="EY23" s="2">
        <f t="shared" ca="1" si="26"/>
        <v>0</v>
      </c>
      <c r="EZ23" s="2">
        <f t="shared" ca="1" si="26"/>
        <v>13</v>
      </c>
      <c r="FA23" s="2">
        <f t="shared" ca="1" si="26"/>
        <v>0</v>
      </c>
      <c r="FB23" s="2">
        <f t="shared" ca="1" si="26"/>
        <v>0</v>
      </c>
      <c r="FC23" s="2">
        <f t="shared" ca="1" si="26"/>
        <v>13</v>
      </c>
      <c r="FD23" s="2">
        <f t="shared" ca="1" si="26"/>
        <v>13</v>
      </c>
      <c r="FE23" s="2">
        <f t="shared" ca="1" si="26"/>
        <v>13</v>
      </c>
      <c r="FF23" s="2">
        <f t="shared" ca="1" si="26"/>
        <v>0</v>
      </c>
      <c r="FG23" s="2">
        <f t="shared" ca="1" si="26"/>
        <v>13</v>
      </c>
      <c r="FH23" s="2">
        <f t="shared" ca="1" si="26"/>
        <v>13</v>
      </c>
      <c r="FI23" s="2">
        <f t="shared" ca="1" si="26"/>
        <v>13</v>
      </c>
      <c r="FJ23" s="2">
        <f t="shared" ca="1" si="26"/>
        <v>13</v>
      </c>
      <c r="FK23" s="2">
        <f t="shared" ca="1" si="26"/>
        <v>47.999999999999986</v>
      </c>
      <c r="FL23" s="2">
        <f t="shared" ca="1" si="26"/>
        <v>0</v>
      </c>
      <c r="FM23" s="2">
        <f t="shared" ca="1" si="26"/>
        <v>13</v>
      </c>
      <c r="FN23" s="2">
        <f t="shared" ca="1" si="26"/>
        <v>0</v>
      </c>
      <c r="FO23" s="2">
        <f t="shared" ca="1" si="26"/>
        <v>13</v>
      </c>
      <c r="FP23" s="2">
        <f t="shared" ca="1" si="26"/>
        <v>13</v>
      </c>
      <c r="FQ23" s="2">
        <f t="shared" ca="1" si="26"/>
        <v>47.999999999999986</v>
      </c>
      <c r="FR23" s="2">
        <f t="shared" ca="1" si="26"/>
        <v>0</v>
      </c>
      <c r="FS23" s="2">
        <f t="shared" ca="1" si="26"/>
        <v>0</v>
      </c>
      <c r="FT23" s="2">
        <f t="shared" ca="1" si="26"/>
        <v>13</v>
      </c>
      <c r="FU23" s="2">
        <f t="shared" ca="1" si="26"/>
        <v>13</v>
      </c>
      <c r="FV23" s="2">
        <f t="shared" ca="1" si="26"/>
        <v>0</v>
      </c>
      <c r="FW23" s="2">
        <f t="shared" ca="1" si="26"/>
        <v>0</v>
      </c>
      <c r="FX23" s="2">
        <f t="shared" ca="1" si="26"/>
        <v>13</v>
      </c>
      <c r="FY23" s="2">
        <f t="shared" ca="1" si="26"/>
        <v>0</v>
      </c>
      <c r="FZ23" s="2">
        <f t="shared" ca="1" si="26"/>
        <v>13</v>
      </c>
      <c r="GA23" s="2">
        <f t="shared" ca="1" si="26"/>
        <v>0</v>
      </c>
      <c r="GB23" s="2">
        <f t="shared" ca="1" si="26"/>
        <v>13</v>
      </c>
      <c r="GC23" s="2">
        <f t="shared" ca="1" si="26"/>
        <v>13</v>
      </c>
      <c r="GD23" s="2">
        <f t="shared" ca="1" si="26"/>
        <v>0</v>
      </c>
      <c r="GE23" s="2">
        <f t="shared" ca="1" si="26"/>
        <v>0</v>
      </c>
      <c r="GF23" s="2">
        <f t="shared" ca="1" si="26"/>
        <v>13</v>
      </c>
      <c r="GG23" s="2">
        <f t="shared" ca="1" si="26"/>
        <v>0</v>
      </c>
      <c r="GH23" s="2">
        <f t="shared" ca="1" si="26"/>
        <v>0</v>
      </c>
      <c r="GI23" s="2">
        <f t="shared" ca="1" si="26"/>
        <v>0</v>
      </c>
      <c r="GJ23" s="2">
        <f t="shared" ca="1" si="26"/>
        <v>0</v>
      </c>
      <c r="GK23" s="2">
        <f t="shared" ca="1" si="26"/>
        <v>0</v>
      </c>
      <c r="GL23" s="2">
        <f t="shared" ref="GL23:IV23" ca="1" si="27">MAX(GL22-$B$3,0)</f>
        <v>0</v>
      </c>
      <c r="GM23" s="2">
        <f t="shared" ca="1" si="27"/>
        <v>13</v>
      </c>
      <c r="GN23" s="2">
        <f t="shared" ca="1" si="27"/>
        <v>13</v>
      </c>
      <c r="GO23" s="2">
        <f t="shared" ca="1" si="27"/>
        <v>0</v>
      </c>
      <c r="GP23" s="2">
        <f t="shared" ca="1" si="27"/>
        <v>0</v>
      </c>
      <c r="GQ23" s="2">
        <f t="shared" ca="1" si="27"/>
        <v>0</v>
      </c>
      <c r="GR23" s="2">
        <f t="shared" ca="1" si="27"/>
        <v>0</v>
      </c>
      <c r="GS23" s="2">
        <f t="shared" ca="1" si="27"/>
        <v>0</v>
      </c>
      <c r="GT23" s="2">
        <f t="shared" ca="1" si="27"/>
        <v>0</v>
      </c>
      <c r="GU23" s="2">
        <f t="shared" ca="1" si="27"/>
        <v>13</v>
      </c>
      <c r="GV23" s="2">
        <f t="shared" ca="1" si="27"/>
        <v>0</v>
      </c>
      <c r="GW23" s="2">
        <f t="shared" ca="1" si="27"/>
        <v>0</v>
      </c>
      <c r="GX23" s="2">
        <f t="shared" ca="1" si="27"/>
        <v>47.999999999999986</v>
      </c>
      <c r="GY23" s="2">
        <f t="shared" ca="1" si="27"/>
        <v>0</v>
      </c>
      <c r="GZ23" s="2">
        <f t="shared" ca="1" si="27"/>
        <v>47.999999999999986</v>
      </c>
      <c r="HA23" s="2">
        <f t="shared" ca="1" si="27"/>
        <v>0</v>
      </c>
      <c r="HB23" s="2">
        <f t="shared" ca="1" si="27"/>
        <v>13</v>
      </c>
      <c r="HC23" s="2">
        <f t="shared" ca="1" si="27"/>
        <v>13</v>
      </c>
      <c r="HD23" s="2">
        <f t="shared" ca="1" si="27"/>
        <v>0</v>
      </c>
      <c r="HE23" s="2">
        <f t="shared" ca="1" si="27"/>
        <v>0</v>
      </c>
      <c r="HF23" s="2">
        <f t="shared" ca="1" si="27"/>
        <v>13</v>
      </c>
      <c r="HG23" s="2">
        <f t="shared" ca="1" si="27"/>
        <v>0</v>
      </c>
      <c r="HH23" s="2">
        <f t="shared" ca="1" si="27"/>
        <v>13</v>
      </c>
      <c r="HI23" s="2">
        <f t="shared" ca="1" si="27"/>
        <v>13</v>
      </c>
      <c r="HJ23" s="2">
        <f t="shared" ca="1" si="27"/>
        <v>0</v>
      </c>
      <c r="HK23" s="2">
        <f t="shared" ca="1" si="27"/>
        <v>13</v>
      </c>
      <c r="HL23" s="2">
        <f t="shared" ca="1" si="27"/>
        <v>0</v>
      </c>
      <c r="HM23" s="2">
        <f t="shared" ca="1" si="27"/>
        <v>13</v>
      </c>
      <c r="HN23" s="2">
        <f t="shared" ca="1" si="27"/>
        <v>13</v>
      </c>
      <c r="HO23" s="2">
        <f t="shared" ca="1" si="27"/>
        <v>0</v>
      </c>
      <c r="HP23" s="2">
        <f t="shared" ca="1" si="27"/>
        <v>13</v>
      </c>
      <c r="HQ23" s="2">
        <f t="shared" ca="1" si="27"/>
        <v>0</v>
      </c>
      <c r="HR23" s="2">
        <f t="shared" ca="1" si="27"/>
        <v>13</v>
      </c>
      <c r="HS23" s="2">
        <f t="shared" ca="1" si="27"/>
        <v>13</v>
      </c>
      <c r="HT23" s="2">
        <f t="shared" ca="1" si="27"/>
        <v>13</v>
      </c>
      <c r="HU23" s="2">
        <f t="shared" ca="1" si="27"/>
        <v>0</v>
      </c>
      <c r="HV23" s="2">
        <f t="shared" ca="1" si="27"/>
        <v>13</v>
      </c>
      <c r="HW23" s="2">
        <f t="shared" ca="1" si="27"/>
        <v>13</v>
      </c>
      <c r="HX23" s="2">
        <f t="shared" ca="1" si="27"/>
        <v>0</v>
      </c>
      <c r="HY23" s="2">
        <f t="shared" ca="1" si="27"/>
        <v>13</v>
      </c>
      <c r="HZ23" s="2">
        <f t="shared" ca="1" si="27"/>
        <v>13</v>
      </c>
      <c r="IA23" s="2">
        <f t="shared" ca="1" si="27"/>
        <v>13</v>
      </c>
      <c r="IB23" s="2">
        <f t="shared" ca="1" si="27"/>
        <v>13</v>
      </c>
      <c r="IC23" s="2">
        <f t="shared" ca="1" si="27"/>
        <v>0</v>
      </c>
      <c r="ID23" s="2">
        <f t="shared" ca="1" si="27"/>
        <v>13</v>
      </c>
      <c r="IE23" s="2">
        <f t="shared" ca="1" si="27"/>
        <v>0</v>
      </c>
      <c r="IF23" s="2">
        <f t="shared" ca="1" si="27"/>
        <v>0</v>
      </c>
      <c r="IG23" s="2">
        <f t="shared" ca="1" si="27"/>
        <v>0</v>
      </c>
      <c r="IH23" s="2">
        <f t="shared" ca="1" si="27"/>
        <v>0</v>
      </c>
      <c r="II23" s="2">
        <f t="shared" ca="1" si="27"/>
        <v>13</v>
      </c>
      <c r="IJ23" s="2">
        <f t="shared" ca="1" si="27"/>
        <v>13</v>
      </c>
      <c r="IK23" s="2">
        <f t="shared" ca="1" si="27"/>
        <v>0</v>
      </c>
      <c r="IL23" s="2">
        <f t="shared" ca="1" si="27"/>
        <v>13</v>
      </c>
      <c r="IM23" s="2">
        <f t="shared" ca="1" si="27"/>
        <v>0</v>
      </c>
      <c r="IN23" s="2">
        <f t="shared" ca="1" si="27"/>
        <v>0</v>
      </c>
      <c r="IO23" s="2">
        <f t="shared" ca="1" si="27"/>
        <v>0</v>
      </c>
      <c r="IP23" s="2">
        <f t="shared" ca="1" si="27"/>
        <v>13</v>
      </c>
      <c r="IQ23" s="2">
        <f t="shared" ca="1" si="27"/>
        <v>13</v>
      </c>
      <c r="IR23" s="2">
        <f t="shared" ca="1" si="27"/>
        <v>13</v>
      </c>
      <c r="IS23" s="2">
        <f t="shared" ca="1" si="27"/>
        <v>13</v>
      </c>
      <c r="IT23" s="2">
        <f t="shared" ca="1" si="27"/>
        <v>13</v>
      </c>
      <c r="IU23" s="2">
        <f t="shared" ca="1" si="27"/>
        <v>47.999999999999986</v>
      </c>
      <c r="IV23" s="2">
        <f t="shared" ca="1" si="27"/>
        <v>0</v>
      </c>
    </row>
    <row r="25" spans="1:256" x14ac:dyDescent="0.25">
      <c r="A25" s="9" t="s">
        <v>18</v>
      </c>
      <c r="B25" s="10">
        <f ca="1">AVERAGE(23:23)/R_^2</f>
        <v>8.0956827175314565</v>
      </c>
      <c r="C25" s="2" t="str">
        <f ca="1">_xlfn.FORMULATEXT(B25)</f>
        <v>=AVERAGE(23:23)/R_^2</v>
      </c>
    </row>
    <row r="27" spans="1:256" x14ac:dyDescent="0.25">
      <c r="A27" s="3" t="s">
        <v>19</v>
      </c>
    </row>
    <row r="28" spans="1:256" x14ac:dyDescent="0.25">
      <c r="A28" s="3" t="s">
        <v>20</v>
      </c>
    </row>
    <row r="29" spans="1:256" x14ac:dyDescent="0.25">
      <c r="A29" s="2" t="s">
        <v>21</v>
      </c>
      <c r="B29" s="2">
        <f>MAX(B2*up^2-B3,0)</f>
        <v>47.999999999999986</v>
      </c>
      <c r="C29" s="2" t="str">
        <f ca="1">_xlfn.FORMULATEXT(B29)</f>
        <v>=MAX(B2*up^2-B3,0)</v>
      </c>
    </row>
    <row r="30" spans="1:256" x14ac:dyDescent="0.25">
      <c r="A30" s="2" t="s">
        <v>22</v>
      </c>
      <c r="B30" s="2">
        <f>MAX(B2*up*down-B3,0)</f>
        <v>13</v>
      </c>
      <c r="C30" s="2" t="str">
        <f ca="1">_xlfn.FORMULATEXT(B30)</f>
        <v>=MAX(B2*up*down-B3,0)</v>
      </c>
    </row>
    <row r="31" spans="1:256" x14ac:dyDescent="0.25">
      <c r="A31" s="2" t="s">
        <v>23</v>
      </c>
      <c r="B31" s="2">
        <f>MAX(B2*down^2-B3,0)</f>
        <v>0</v>
      </c>
      <c r="C31" s="2" t="str">
        <f ca="1">_xlfn.FORMULATEXT(B31)</f>
        <v>=MAX(B2*down^2-B3,0)</v>
      </c>
    </row>
    <row r="32" spans="1:256" x14ac:dyDescent="0.25">
      <c r="A32" s="9" t="s">
        <v>24</v>
      </c>
      <c r="B32" s="10">
        <f>q_up^2*B29+2*q_up*q_down*B30+q_down^2*B31</f>
        <v>8.8707482993197289</v>
      </c>
      <c r="C32" s="2" t="str">
        <f ca="1">_xlfn.FORMULATEXT(B32)</f>
        <v>=q_up^2*B29+2*q_up*q_down*B30+q_down^2*B31</v>
      </c>
    </row>
  </sheetData>
  <mergeCells count="2">
    <mergeCell ref="A1:I1"/>
    <mergeCell ref="A17:C17"/>
  </mergeCells>
  <phoneticPr fontId="1" type="noConversion"/>
  <printOptions headings="1" gridLines="1"/>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5</vt:i4>
      </vt:variant>
    </vt:vector>
  </HeadingPairs>
  <TitlesOfParts>
    <vt:vector size="7" baseType="lpstr">
      <vt:lpstr>Sheet1</vt:lpstr>
      <vt:lpstr>Page 618</vt:lpstr>
      <vt:lpstr>'Page 618'!down</vt:lpstr>
      <vt:lpstr>'Page 618'!q_down</vt:lpstr>
      <vt:lpstr>'Page 618'!q_up</vt:lpstr>
      <vt:lpstr>'Page 618'!R_</vt:lpstr>
      <vt:lpstr>'Page 618'!up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正东 李</dc:creator>
  <cp:lastModifiedBy>正东 李</cp:lastModifiedBy>
  <dcterms:created xsi:type="dcterms:W3CDTF">2024-10-05T13:27:14Z</dcterms:created>
  <dcterms:modified xsi:type="dcterms:W3CDTF">2024-12-11T03:14:20Z</dcterms:modified>
</cp:coreProperties>
</file>