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3\"/>
    </mc:Choice>
  </mc:AlternateContent>
  <xr:revisionPtr revIDLastSave="0" documentId="13_ncr:1_{9401B40D-04FE-4BB8-B183-A9CC246C68AD}" xr6:coauthVersionLast="47" xr6:coauthVersionMax="47" xr10:uidLastSave="{00000000-0000-0000-0000-000000000000}"/>
  <bookViews>
    <workbookView xWindow="-38520" yWindow="-120" windowWidth="38640" windowHeight="21120" activeTab="3" xr2:uid="{EA6F33A8-FE0E-48B1-8C74-8B2321C6BA8B}"/>
  </bookViews>
  <sheets>
    <sheet name="Sheet1" sheetId="1" r:id="rId1"/>
    <sheet name="Page 615" sheetId="2" r:id="rId2"/>
    <sheet name="Page 616, top" sheetId="3" r:id="rId3"/>
    <sheet name="Page 616, bottom" sheetId="4" r:id="rId4"/>
  </sheets>
  <externalReferences>
    <externalReference r:id="rId5"/>
    <externalReference r:id="rId6"/>
  </externalReferences>
  <definedNames>
    <definedName name="Call">#REF!</definedName>
    <definedName name="down" localSheetId="3">'Page 616, bottom'!$B$6</definedName>
    <definedName name="down">#REF!</definedName>
    <definedName name="implied_call_volatility">'[2]Page 304'!$B$13</definedName>
    <definedName name="Interest">'[2]Page 300'!$B$6</definedName>
    <definedName name="q_down" localSheetId="3">'Page 616, bottom'!$B$11</definedName>
    <definedName name="q_down">#REF!</definedName>
    <definedName name="q_up" localSheetId="3">'Page 616, bottom'!$B$10</definedName>
    <definedName name="q_up">#REF!</definedName>
    <definedName name="R_" localSheetId="1">#REF!</definedName>
    <definedName name="R_" localSheetId="3">'Page 616, bottom'!$B$7</definedName>
    <definedName name="r_" localSheetId="2">'[2]Page 300'!$B$6</definedName>
    <definedName name="R_">#REF!</definedName>
    <definedName name="s">'[2]Page 300'!$B$3</definedName>
    <definedName name="sigma">'[2]Page 300'!$B$7</definedName>
    <definedName name="T">'[2]Page 300'!$B$5</definedName>
    <definedName name="target_call_price">'[2]Page 304'!$B$11</definedName>
    <definedName name="up" localSheetId="3">'Page 616, bottom'!$B$5</definedName>
    <definedName name="up">#REF!</definedName>
    <definedName name="X">'[2]Page 300'!$B$4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4" l="1"/>
  <c r="B18" i="4"/>
  <c r="B11" i="4"/>
  <c r="B10" i="4"/>
  <c r="B14" i="4" s="1"/>
  <c r="B31" i="4"/>
  <c r="B30" i="4"/>
  <c r="B29" i="4"/>
  <c r="B32" i="4" s="1"/>
  <c r="B15" i="4"/>
  <c r="C29" i="4"/>
  <c r="C30" i="4"/>
  <c r="C31" i="4"/>
  <c r="C32" i="4"/>
  <c r="C25" i="4"/>
  <c r="D21" i="4"/>
  <c r="D22" i="4"/>
  <c r="D23" i="4"/>
  <c r="D19" i="4"/>
  <c r="D18" i="4"/>
  <c r="C14" i="4"/>
  <c r="C15" i="4"/>
  <c r="C10" i="4"/>
  <c r="C11" i="4"/>
  <c r="B21" i="4" l="1"/>
  <c r="B22" i="4" s="1"/>
  <c r="B23" i="4" s="1"/>
  <c r="C18" i="4"/>
  <c r="C19" i="4"/>
  <c r="C21" i="4" l="1"/>
  <c r="C22" i="4" s="1"/>
  <c r="C23" i="4" s="1"/>
  <c r="B25" i="4" s="1"/>
</calcChain>
</file>

<file path=xl/sharedStrings.xml><?xml version="1.0" encoding="utf-8"?>
<sst xmlns="http://schemas.openxmlformats.org/spreadsheetml/2006/main" count="63" uniqueCount="51">
  <si>
    <t>UNDERLYING ASSETS AND PATH-INDEPENDENT 
VERSUS PATH-DEPENDENT PAYOFFS</t>
  </si>
  <si>
    <t>Stock prices</t>
  </si>
  <si>
    <t>Bond value</t>
  </si>
  <si>
    <r>
      <t>S</t>
    </r>
    <r>
      <rPr>
        <vertAlign val="subscript"/>
        <sz val="10"/>
        <rFont val="Arial"/>
        <family val="2"/>
      </rPr>
      <t>UU</t>
    </r>
  </si>
  <si>
    <r>
      <t>R</t>
    </r>
    <r>
      <rPr>
        <vertAlign val="superscript"/>
        <sz val="10"/>
        <rFont val="Arial"/>
        <family val="2"/>
      </rPr>
      <t>2</t>
    </r>
  </si>
  <si>
    <r>
      <t>S</t>
    </r>
    <r>
      <rPr>
        <vertAlign val="subscript"/>
        <sz val="10"/>
        <rFont val="Arial"/>
        <family val="2"/>
      </rPr>
      <t>U</t>
    </r>
  </si>
  <si>
    <t>R</t>
  </si>
  <si>
    <r>
      <t>S</t>
    </r>
    <r>
      <rPr>
        <vertAlign val="subscript"/>
        <sz val="10"/>
        <rFont val="Arial"/>
        <family val="2"/>
      </rPr>
      <t>0</t>
    </r>
  </si>
  <si>
    <r>
      <t>S</t>
    </r>
    <r>
      <rPr>
        <vertAlign val="subscript"/>
        <sz val="10"/>
        <rFont val="Arial"/>
        <family val="2"/>
      </rPr>
      <t>UD</t>
    </r>
    <r>
      <rPr>
        <sz val="11"/>
        <color theme="1"/>
        <rFont val="等线"/>
        <family val="2"/>
        <charset val="134"/>
        <scheme val="minor"/>
      </rPr>
      <t xml:space="preserve"> = S</t>
    </r>
    <r>
      <rPr>
        <vertAlign val="subscript"/>
        <sz val="10"/>
        <rFont val="Arial"/>
        <family val="2"/>
      </rPr>
      <t>DU</t>
    </r>
  </si>
  <si>
    <r>
      <t>S</t>
    </r>
    <r>
      <rPr>
        <vertAlign val="subscript"/>
        <sz val="10"/>
        <rFont val="Arial"/>
        <family val="2"/>
      </rPr>
      <t>D</t>
    </r>
  </si>
  <si>
    <r>
      <t>S</t>
    </r>
    <r>
      <rPr>
        <vertAlign val="subscript"/>
        <sz val="10"/>
        <rFont val="Arial"/>
        <family val="2"/>
      </rPr>
      <t>DD</t>
    </r>
  </si>
  <si>
    <t xml:space="preserve">              Date 0       Date 1       Date 2</t>
  </si>
  <si>
    <t>Path-independent asset with payoffs at Date 2</t>
  </si>
  <si>
    <t>Path-dependent asset with payoffs at Date 2</t>
  </si>
  <si>
    <r>
      <t>Payoff</t>
    </r>
    <r>
      <rPr>
        <vertAlign val="subscript"/>
        <sz val="10"/>
        <rFont val="Arial"/>
        <family val="2"/>
      </rPr>
      <t>UU</t>
    </r>
  </si>
  <si>
    <r>
      <t>Payoff</t>
    </r>
    <r>
      <rPr>
        <vertAlign val="subscript"/>
        <sz val="10"/>
        <rFont val="Arial"/>
        <family val="2"/>
      </rPr>
      <t>UD</t>
    </r>
  </si>
  <si>
    <t>Value today</t>
  </si>
  <si>
    <r>
      <t>Payoff</t>
    </r>
    <r>
      <rPr>
        <vertAlign val="subscript"/>
        <sz val="10"/>
        <rFont val="Arial"/>
        <family val="2"/>
      </rPr>
      <t>UD</t>
    </r>
    <r>
      <rPr>
        <sz val="11"/>
        <color theme="1"/>
        <rFont val="等线"/>
        <family val="2"/>
        <charset val="134"/>
        <scheme val="minor"/>
      </rPr>
      <t xml:space="preserve"> = Payoff</t>
    </r>
    <r>
      <rPr>
        <vertAlign val="subscript"/>
        <sz val="10"/>
        <rFont val="Arial"/>
        <family val="2"/>
      </rPr>
      <t>DU</t>
    </r>
  </si>
  <si>
    <r>
      <t>Payoff</t>
    </r>
    <r>
      <rPr>
        <vertAlign val="subscript"/>
        <sz val="10"/>
        <rFont val="Arial"/>
        <family val="2"/>
      </rPr>
      <t>DU</t>
    </r>
  </si>
  <si>
    <r>
      <t>Payoff</t>
    </r>
    <r>
      <rPr>
        <vertAlign val="subscript"/>
        <sz val="10"/>
        <rFont val="Arial"/>
        <family val="2"/>
      </rPr>
      <t>DD</t>
    </r>
  </si>
  <si>
    <t>Up</t>
  </si>
  <si>
    <t>Down</t>
  </si>
  <si>
    <r>
      <t>S</t>
    </r>
    <r>
      <rPr>
        <vertAlign val="subscript"/>
        <sz val="10"/>
        <rFont val="Arial"/>
        <family val="2"/>
      </rPr>
      <t xml:space="preserve">UU </t>
    </r>
    <r>
      <rPr>
        <sz val="10"/>
        <rFont val="Arial"/>
        <family val="2"/>
      </rPr>
      <t>= 98 = 50*1.4</t>
    </r>
    <r>
      <rPr>
        <vertAlign val="superscript"/>
        <sz val="10"/>
        <rFont val="Arial"/>
        <family val="2"/>
      </rPr>
      <t>2</t>
    </r>
  </si>
  <si>
    <r>
      <t xml:space="preserve">        S</t>
    </r>
    <r>
      <rPr>
        <vertAlign val="subscript"/>
        <sz val="10"/>
        <rFont val="Arial"/>
        <family val="2"/>
      </rPr>
      <t xml:space="preserve">U </t>
    </r>
    <r>
      <rPr>
        <sz val="10"/>
        <rFont val="Arial"/>
        <family val="2"/>
      </rPr>
      <t>= 70</t>
    </r>
  </si>
  <si>
    <r>
      <t>S</t>
    </r>
    <r>
      <rPr>
        <vertAlign val="subscript"/>
        <sz val="10"/>
        <rFont val="Arial"/>
        <family val="2"/>
      </rPr>
      <t xml:space="preserve">0 </t>
    </r>
    <r>
      <rPr>
        <sz val="10"/>
        <rFont val="Arial"/>
        <family val="2"/>
      </rPr>
      <t>= 50</t>
    </r>
  </si>
  <si>
    <r>
      <t>S</t>
    </r>
    <r>
      <rPr>
        <vertAlign val="subscript"/>
        <sz val="10"/>
        <rFont val="Arial"/>
        <family val="2"/>
      </rPr>
      <t>UD</t>
    </r>
    <r>
      <rPr>
        <sz val="11"/>
        <color theme="1"/>
        <rFont val="等线"/>
        <family val="2"/>
        <charset val="134"/>
        <scheme val="minor"/>
      </rPr>
      <t xml:space="preserve"> = S</t>
    </r>
    <r>
      <rPr>
        <vertAlign val="subscript"/>
        <sz val="10"/>
        <rFont val="Arial"/>
        <family val="2"/>
      </rPr>
      <t xml:space="preserve">DU </t>
    </r>
    <r>
      <rPr>
        <sz val="10"/>
        <rFont val="Arial"/>
        <family val="2"/>
      </rPr>
      <t>= 63 = 50*1.4*0.9</t>
    </r>
  </si>
  <si>
    <r>
      <t xml:space="preserve">       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 45    </t>
    </r>
  </si>
  <si>
    <r>
      <t>S</t>
    </r>
    <r>
      <rPr>
        <vertAlign val="subscript"/>
        <sz val="10"/>
        <rFont val="Arial"/>
        <family val="2"/>
      </rPr>
      <t xml:space="preserve">DD </t>
    </r>
    <r>
      <rPr>
        <sz val="10"/>
        <rFont val="Arial"/>
        <family val="2"/>
      </rPr>
      <t>= 40.5 = 50*0.9</t>
    </r>
    <r>
      <rPr>
        <vertAlign val="superscript"/>
        <sz val="10"/>
        <rFont val="Arial"/>
        <family val="2"/>
      </rPr>
      <t xml:space="preserve"> 2</t>
    </r>
  </si>
  <si>
    <t xml:space="preserve">          Date 0       Date 1       Date 2</t>
  </si>
  <si>
    <t>SIMPLE SIMULATION:  
TWO PATHS IN A TWO-DATE MODEL</t>
  </si>
  <si>
    <t>Initial stock price</t>
  </si>
  <si>
    <t>X</t>
  </si>
  <si>
    <t>State prices</t>
  </si>
  <si>
    <r>
      <t>q</t>
    </r>
    <r>
      <rPr>
        <vertAlign val="subscript"/>
        <sz val="10"/>
        <rFont val="Arial"/>
        <family val="2"/>
      </rPr>
      <t>u</t>
    </r>
  </si>
  <si>
    <r>
      <t>q</t>
    </r>
    <r>
      <rPr>
        <vertAlign val="subscript"/>
        <sz val="10"/>
        <rFont val="Arial"/>
        <family val="2"/>
      </rPr>
      <t>d</t>
    </r>
  </si>
  <si>
    <t>Risk-neutral probabilities</t>
  </si>
  <si>
    <r>
      <t>p</t>
    </r>
    <r>
      <rPr>
        <vertAlign val="subscript"/>
        <sz val="10"/>
        <rFont val="Arial"/>
        <family val="2"/>
      </rPr>
      <t>u</t>
    </r>
  </si>
  <si>
    <r>
      <t>p</t>
    </r>
    <r>
      <rPr>
        <vertAlign val="subscript"/>
        <sz val="10"/>
        <rFont val="Arial"/>
        <family val="2"/>
      </rPr>
      <t>d</t>
    </r>
  </si>
  <si>
    <t>Random paths and the Monte Carlo price</t>
  </si>
  <si>
    <t>First period, up (1) or down (0)?</t>
  </si>
  <si>
    <t>Second period, up (1) or down (0)?</t>
  </si>
  <si>
    <t>Total ups</t>
  </si>
  <si>
    <t>Terminal stock price</t>
  </si>
  <si>
    <t>Option payoff</t>
  </si>
  <si>
    <t>Average discounted payoff</t>
  </si>
  <si>
    <t>Computing the actual option price with state prices</t>
  </si>
  <si>
    <t>Payoffs</t>
  </si>
  <si>
    <t xml:space="preserve">   top</t>
  </si>
  <si>
    <t xml:space="preserve">   middle</t>
  </si>
  <si>
    <t xml:space="preserve">   bottom</t>
  </si>
  <si>
    <t>Actual option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</si>
</sst>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sz val="10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8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4" fillId="2" borderId="0" xfId="1" applyFont="1" applyFill="1" applyAlignment="1">
      <alignment horizontal="center"/>
    </xf>
    <xf numFmtId="0" fontId="2" fillId="0" borderId="0" xfId="1" applyAlignment="1">
      <alignment horizontal="center"/>
    </xf>
    <xf numFmtId="0" fontId="2" fillId="0" borderId="0" xfId="1" applyAlignment="1">
      <alignment horizontal="center"/>
    </xf>
    <xf numFmtId="0" fontId="4" fillId="0" borderId="0" xfId="1" applyFont="1"/>
    <xf numFmtId="0" fontId="2" fillId="0" borderId="0" xfId="1" applyAlignment="1">
      <alignment horizontal="left"/>
    </xf>
    <xf numFmtId="0" fontId="2" fillId="0" borderId="0" xfId="1" applyAlignment="1">
      <alignment horizontal="left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vertical="center"/>
    </xf>
    <xf numFmtId="0" fontId="3" fillId="0" borderId="0" xfId="1" applyFont="1"/>
    <xf numFmtId="176" fontId="2" fillId="0" borderId="0" xfId="1" applyNumberFormat="1"/>
    <xf numFmtId="0" fontId="7" fillId="3" borderId="0" xfId="1" applyFont="1" applyFill="1"/>
    <xf numFmtId="176" fontId="2" fillId="3" borderId="0" xfId="1" applyNumberFormat="1" applyFill="1"/>
    <xf numFmtId="0" fontId="4" fillId="0" borderId="0" xfId="1" applyFont="1" applyAlignment="1">
      <alignment wrapText="1"/>
    </xf>
    <xf numFmtId="0" fontId="4" fillId="3" borderId="0" xfId="1" applyFont="1" applyFill="1"/>
    <xf numFmtId="0" fontId="2" fillId="3" borderId="0" xfId="1" applyFill="1"/>
  </cellXfs>
  <cellStyles count="2">
    <cellStyle name="常规" xfId="0" builtinId="0"/>
    <cellStyle name="常规 2" xfId="1" xr:uid="{01D72F7E-9CA9-4516-96F6-AA5886B3414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4</xdr:row>
      <xdr:rowOff>60960</xdr:rowOff>
    </xdr:from>
    <xdr:to>
      <xdr:col>2</xdr:col>
      <xdr:colOff>0</xdr:colOff>
      <xdr:row>6</xdr:row>
      <xdr:rowOff>114300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F1BEBCE6-7CCA-40D1-9E40-5ED200EA2928}"/>
            </a:ext>
          </a:extLst>
        </xdr:cNvPr>
        <xdr:cNvSpPr>
          <a:spLocks noChangeShapeType="1"/>
        </xdr:cNvSpPr>
      </xdr:nvSpPr>
      <xdr:spPr bwMode="auto">
        <a:xfrm flipV="1">
          <a:off x="619125" y="1190625"/>
          <a:ext cx="771525" cy="400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617220</xdr:colOff>
      <xdr:row>6</xdr:row>
      <xdr:rowOff>106680</xdr:rowOff>
    </xdr:from>
    <xdr:to>
      <xdr:col>2</xdr:col>
      <xdr:colOff>0</xdr:colOff>
      <xdr:row>8</xdr:row>
      <xdr:rowOff>83820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634E7573-54F9-464A-B996-C78093F45BF6}"/>
            </a:ext>
          </a:extLst>
        </xdr:cNvPr>
        <xdr:cNvSpPr>
          <a:spLocks noChangeShapeType="1"/>
        </xdr:cNvSpPr>
      </xdr:nvSpPr>
      <xdr:spPr bwMode="auto">
        <a:xfrm>
          <a:off x="619125" y="1581150"/>
          <a:ext cx="771525" cy="400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</xdr:row>
      <xdr:rowOff>60960</xdr:rowOff>
    </xdr:from>
    <xdr:to>
      <xdr:col>3</xdr:col>
      <xdr:colOff>7620</xdr:colOff>
      <xdr:row>6</xdr:row>
      <xdr:rowOff>99060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57159665-E110-4C5C-9825-52F963F45826}"/>
            </a:ext>
          </a:extLst>
        </xdr:cNvPr>
        <xdr:cNvSpPr>
          <a:spLocks noChangeShapeType="1"/>
        </xdr:cNvSpPr>
      </xdr:nvSpPr>
      <xdr:spPr bwMode="auto">
        <a:xfrm>
          <a:off x="1390650" y="1190625"/>
          <a:ext cx="619125" cy="381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6</xdr:row>
      <xdr:rowOff>99060</xdr:rowOff>
    </xdr:from>
    <xdr:to>
      <xdr:col>3</xdr:col>
      <xdr:colOff>15240</xdr:colOff>
      <xdr:row>8</xdr:row>
      <xdr:rowOff>83820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B965E547-E771-4800-9743-AC4E9D04E28C}"/>
            </a:ext>
          </a:extLst>
        </xdr:cNvPr>
        <xdr:cNvSpPr>
          <a:spLocks noChangeShapeType="1"/>
        </xdr:cNvSpPr>
      </xdr:nvSpPr>
      <xdr:spPr bwMode="auto">
        <a:xfrm flipV="1">
          <a:off x="1390650" y="1571625"/>
          <a:ext cx="628650" cy="409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449580</xdr:colOff>
      <xdr:row>8</xdr:row>
      <xdr:rowOff>60960</xdr:rowOff>
    </xdr:from>
    <xdr:to>
      <xdr:col>3</xdr:col>
      <xdr:colOff>7620</xdr:colOff>
      <xdr:row>10</xdr:row>
      <xdr:rowOff>76200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65602E0C-3ACE-4E34-9C38-CA82EA67DDA8}"/>
            </a:ext>
          </a:extLst>
        </xdr:cNvPr>
        <xdr:cNvSpPr>
          <a:spLocks noChangeShapeType="1"/>
        </xdr:cNvSpPr>
      </xdr:nvSpPr>
      <xdr:spPr bwMode="auto">
        <a:xfrm>
          <a:off x="1228725" y="1952625"/>
          <a:ext cx="781050" cy="390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480060</xdr:colOff>
      <xdr:row>2</xdr:row>
      <xdr:rowOff>83820</xdr:rowOff>
    </xdr:from>
    <xdr:to>
      <xdr:col>3</xdr:col>
      <xdr:colOff>15240</xdr:colOff>
      <xdr:row>4</xdr:row>
      <xdr:rowOff>60960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A1CD3208-0ED8-42DC-B581-6A20A871DC9E}"/>
            </a:ext>
          </a:extLst>
        </xdr:cNvPr>
        <xdr:cNvSpPr>
          <a:spLocks noChangeShapeType="1"/>
        </xdr:cNvSpPr>
      </xdr:nvSpPr>
      <xdr:spPr bwMode="auto">
        <a:xfrm flipV="1">
          <a:off x="1257300" y="771525"/>
          <a:ext cx="762000" cy="4191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617220</xdr:colOff>
      <xdr:row>16</xdr:row>
      <xdr:rowOff>60960</xdr:rowOff>
    </xdr:from>
    <xdr:to>
      <xdr:col>2</xdr:col>
      <xdr:colOff>0</xdr:colOff>
      <xdr:row>18</xdr:row>
      <xdr:rowOff>76200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A7C27FCE-E7AD-4817-BFE2-B2957D3D985C}"/>
            </a:ext>
          </a:extLst>
        </xdr:cNvPr>
        <xdr:cNvSpPr>
          <a:spLocks noChangeShapeType="1"/>
        </xdr:cNvSpPr>
      </xdr:nvSpPr>
      <xdr:spPr bwMode="auto">
        <a:xfrm flipV="1">
          <a:off x="619125" y="3457575"/>
          <a:ext cx="771525" cy="390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609600</xdr:colOff>
      <xdr:row>18</xdr:row>
      <xdr:rowOff>76200</xdr:rowOff>
    </xdr:from>
    <xdr:to>
      <xdr:col>2</xdr:col>
      <xdr:colOff>0</xdr:colOff>
      <xdr:row>20</xdr:row>
      <xdr:rowOff>83820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FEC8F86F-0F9F-4E9B-9E74-3590915A486F}"/>
            </a:ext>
          </a:extLst>
        </xdr:cNvPr>
        <xdr:cNvSpPr>
          <a:spLocks noChangeShapeType="1"/>
        </xdr:cNvSpPr>
      </xdr:nvSpPr>
      <xdr:spPr bwMode="auto">
        <a:xfrm>
          <a:off x="609600" y="3848100"/>
          <a:ext cx="781050" cy="409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16</xdr:row>
      <xdr:rowOff>60960</xdr:rowOff>
    </xdr:from>
    <xdr:to>
      <xdr:col>3</xdr:col>
      <xdr:colOff>7620</xdr:colOff>
      <xdr:row>18</xdr:row>
      <xdr:rowOff>99060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A89D6028-7F64-4F88-A830-46BE4030B051}"/>
            </a:ext>
          </a:extLst>
        </xdr:cNvPr>
        <xdr:cNvSpPr>
          <a:spLocks noChangeShapeType="1"/>
        </xdr:cNvSpPr>
      </xdr:nvSpPr>
      <xdr:spPr bwMode="auto">
        <a:xfrm>
          <a:off x="1390650" y="3457575"/>
          <a:ext cx="619125" cy="409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18</xdr:row>
      <xdr:rowOff>99060</xdr:rowOff>
    </xdr:from>
    <xdr:to>
      <xdr:col>3</xdr:col>
      <xdr:colOff>15240</xdr:colOff>
      <xdr:row>20</xdr:row>
      <xdr:rowOff>83820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3C9DC291-9D61-4F45-9502-8CC971FAF51D}"/>
            </a:ext>
          </a:extLst>
        </xdr:cNvPr>
        <xdr:cNvSpPr>
          <a:spLocks noChangeShapeType="1"/>
        </xdr:cNvSpPr>
      </xdr:nvSpPr>
      <xdr:spPr bwMode="auto">
        <a:xfrm flipV="1">
          <a:off x="1390650" y="3867150"/>
          <a:ext cx="628650" cy="390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449580</xdr:colOff>
      <xdr:row>20</xdr:row>
      <xdr:rowOff>60960</xdr:rowOff>
    </xdr:from>
    <xdr:to>
      <xdr:col>3</xdr:col>
      <xdr:colOff>7620</xdr:colOff>
      <xdr:row>22</xdr:row>
      <xdr:rowOff>76200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DF53973E-A034-4320-9984-0EC70D92074D}"/>
            </a:ext>
          </a:extLst>
        </xdr:cNvPr>
        <xdr:cNvSpPr>
          <a:spLocks noChangeShapeType="1"/>
        </xdr:cNvSpPr>
      </xdr:nvSpPr>
      <xdr:spPr bwMode="auto">
        <a:xfrm>
          <a:off x="1228725" y="4229100"/>
          <a:ext cx="781050" cy="3619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480060</xdr:colOff>
      <xdr:row>14</xdr:row>
      <xdr:rowOff>83820</xdr:rowOff>
    </xdr:from>
    <xdr:to>
      <xdr:col>3</xdr:col>
      <xdr:colOff>15240</xdr:colOff>
      <xdr:row>16</xdr:row>
      <xdr:rowOff>60960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936D8618-E7B0-4FEB-BF3E-7799AB65EFDD}"/>
            </a:ext>
          </a:extLst>
        </xdr:cNvPr>
        <xdr:cNvSpPr>
          <a:spLocks noChangeShapeType="1"/>
        </xdr:cNvSpPr>
      </xdr:nvSpPr>
      <xdr:spPr bwMode="auto">
        <a:xfrm flipV="1">
          <a:off x="1257300" y="3114675"/>
          <a:ext cx="76200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16</xdr:row>
      <xdr:rowOff>60960</xdr:rowOff>
    </xdr:from>
    <xdr:to>
      <xdr:col>7</xdr:col>
      <xdr:colOff>0</xdr:colOff>
      <xdr:row>18</xdr:row>
      <xdr:rowOff>60960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5297336C-3DFF-457B-9CA1-D07F59569F44}"/>
            </a:ext>
          </a:extLst>
        </xdr:cNvPr>
        <xdr:cNvSpPr>
          <a:spLocks noChangeShapeType="1"/>
        </xdr:cNvSpPr>
      </xdr:nvSpPr>
      <xdr:spPr bwMode="auto">
        <a:xfrm flipV="1">
          <a:off x="4381500" y="3457575"/>
          <a:ext cx="609600" cy="371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18</xdr:row>
      <xdr:rowOff>68580</xdr:rowOff>
    </xdr:from>
    <xdr:to>
      <xdr:col>7</xdr:col>
      <xdr:colOff>0</xdr:colOff>
      <xdr:row>20</xdr:row>
      <xdr:rowOff>83820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D61B1441-5F41-4978-8495-B77873D93B73}"/>
            </a:ext>
          </a:extLst>
        </xdr:cNvPr>
        <xdr:cNvSpPr>
          <a:spLocks noChangeShapeType="1"/>
        </xdr:cNvSpPr>
      </xdr:nvSpPr>
      <xdr:spPr bwMode="auto">
        <a:xfrm>
          <a:off x="4381500" y="3838575"/>
          <a:ext cx="609600" cy="4191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16</xdr:row>
      <xdr:rowOff>60960</xdr:rowOff>
    </xdr:from>
    <xdr:to>
      <xdr:col>8</xdr:col>
      <xdr:colOff>0</xdr:colOff>
      <xdr:row>17</xdr:row>
      <xdr:rowOff>83820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45B7D970-6719-474D-BD55-B14CCE09DB8C}"/>
            </a:ext>
          </a:extLst>
        </xdr:cNvPr>
        <xdr:cNvSpPr>
          <a:spLocks noChangeShapeType="1"/>
        </xdr:cNvSpPr>
      </xdr:nvSpPr>
      <xdr:spPr bwMode="auto">
        <a:xfrm>
          <a:off x="4991100" y="3457575"/>
          <a:ext cx="60960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19</xdr:row>
      <xdr:rowOff>53340</xdr:rowOff>
    </xdr:from>
    <xdr:to>
      <xdr:col>8</xdr:col>
      <xdr:colOff>15240</xdr:colOff>
      <xdr:row>20</xdr:row>
      <xdr:rowOff>83820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B9AE9759-48C1-4DE6-8BB5-0B06563E5804}"/>
            </a:ext>
          </a:extLst>
        </xdr:cNvPr>
        <xdr:cNvSpPr>
          <a:spLocks noChangeShapeType="1"/>
        </xdr:cNvSpPr>
      </xdr:nvSpPr>
      <xdr:spPr bwMode="auto">
        <a:xfrm flipV="1">
          <a:off x="4991100" y="4029075"/>
          <a:ext cx="628650" cy="2286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449580</xdr:colOff>
      <xdr:row>20</xdr:row>
      <xdr:rowOff>60960</xdr:rowOff>
    </xdr:from>
    <xdr:to>
      <xdr:col>8</xdr:col>
      <xdr:colOff>7620</xdr:colOff>
      <xdr:row>22</xdr:row>
      <xdr:rowOff>76200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06704533-BA15-442E-B045-9EBD3D89356F}"/>
            </a:ext>
          </a:extLst>
        </xdr:cNvPr>
        <xdr:cNvSpPr>
          <a:spLocks noChangeShapeType="1"/>
        </xdr:cNvSpPr>
      </xdr:nvSpPr>
      <xdr:spPr bwMode="auto">
        <a:xfrm>
          <a:off x="4829175" y="4229100"/>
          <a:ext cx="781050" cy="3619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480060</xdr:colOff>
      <xdr:row>14</xdr:row>
      <xdr:rowOff>83820</xdr:rowOff>
    </xdr:from>
    <xdr:to>
      <xdr:col>8</xdr:col>
      <xdr:colOff>15240</xdr:colOff>
      <xdr:row>16</xdr:row>
      <xdr:rowOff>60960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2545D7BA-0ECD-42D9-8DCF-E8083FB60356}"/>
            </a:ext>
          </a:extLst>
        </xdr:cNvPr>
        <xdr:cNvSpPr>
          <a:spLocks noChangeShapeType="1"/>
        </xdr:cNvSpPr>
      </xdr:nvSpPr>
      <xdr:spPr bwMode="auto">
        <a:xfrm flipV="1">
          <a:off x="4857750" y="3114675"/>
          <a:ext cx="76200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</xdr:row>
      <xdr:rowOff>60960</xdr:rowOff>
    </xdr:from>
    <xdr:to>
      <xdr:col>7</xdr:col>
      <xdr:colOff>0</xdr:colOff>
      <xdr:row>6</xdr:row>
      <xdr:rowOff>114300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8F862DB6-F6FF-4653-84E1-CD1E7758FEEE}"/>
            </a:ext>
          </a:extLst>
        </xdr:cNvPr>
        <xdr:cNvSpPr>
          <a:spLocks noChangeShapeType="1"/>
        </xdr:cNvSpPr>
      </xdr:nvSpPr>
      <xdr:spPr bwMode="auto">
        <a:xfrm flipV="1">
          <a:off x="4381500" y="1190625"/>
          <a:ext cx="609600" cy="400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106680</xdr:rowOff>
    </xdr:from>
    <xdr:to>
      <xdr:col>7</xdr:col>
      <xdr:colOff>0</xdr:colOff>
      <xdr:row>8</xdr:row>
      <xdr:rowOff>91440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1D02FE21-9B6F-4069-B482-F624DC746264}"/>
            </a:ext>
          </a:extLst>
        </xdr:cNvPr>
        <xdr:cNvSpPr>
          <a:spLocks noChangeShapeType="1"/>
        </xdr:cNvSpPr>
      </xdr:nvSpPr>
      <xdr:spPr bwMode="auto">
        <a:xfrm>
          <a:off x="4381500" y="1581150"/>
          <a:ext cx="609600" cy="409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4</xdr:row>
      <xdr:rowOff>60960</xdr:rowOff>
    </xdr:from>
    <xdr:to>
      <xdr:col>8</xdr:col>
      <xdr:colOff>7620</xdr:colOff>
      <xdr:row>6</xdr:row>
      <xdr:rowOff>99060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04E3223A-BC3D-4285-BADD-0D7E2E597030}"/>
            </a:ext>
          </a:extLst>
        </xdr:cNvPr>
        <xdr:cNvSpPr>
          <a:spLocks noChangeShapeType="1"/>
        </xdr:cNvSpPr>
      </xdr:nvSpPr>
      <xdr:spPr bwMode="auto">
        <a:xfrm>
          <a:off x="4991100" y="1190625"/>
          <a:ext cx="619125" cy="381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99060</xdr:rowOff>
    </xdr:from>
    <xdr:to>
      <xdr:col>8</xdr:col>
      <xdr:colOff>15240</xdr:colOff>
      <xdr:row>8</xdr:row>
      <xdr:rowOff>83820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9FEE6710-F274-4445-84D0-CAAD5E354C35}"/>
            </a:ext>
          </a:extLst>
        </xdr:cNvPr>
        <xdr:cNvSpPr>
          <a:spLocks noChangeShapeType="1"/>
        </xdr:cNvSpPr>
      </xdr:nvSpPr>
      <xdr:spPr bwMode="auto">
        <a:xfrm flipV="1">
          <a:off x="4991100" y="1571625"/>
          <a:ext cx="628650" cy="409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449580</xdr:colOff>
      <xdr:row>8</xdr:row>
      <xdr:rowOff>60960</xdr:rowOff>
    </xdr:from>
    <xdr:to>
      <xdr:col>8</xdr:col>
      <xdr:colOff>7620</xdr:colOff>
      <xdr:row>10</xdr:row>
      <xdr:rowOff>76200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FE134684-7A07-4629-AD07-17F33F2BEF16}"/>
            </a:ext>
          </a:extLst>
        </xdr:cNvPr>
        <xdr:cNvSpPr>
          <a:spLocks noChangeShapeType="1"/>
        </xdr:cNvSpPr>
      </xdr:nvSpPr>
      <xdr:spPr bwMode="auto">
        <a:xfrm>
          <a:off x="4829175" y="1952625"/>
          <a:ext cx="781050" cy="390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480060</xdr:colOff>
      <xdr:row>2</xdr:row>
      <xdr:rowOff>83820</xdr:rowOff>
    </xdr:from>
    <xdr:to>
      <xdr:col>8</xdr:col>
      <xdr:colOff>15240</xdr:colOff>
      <xdr:row>4</xdr:row>
      <xdr:rowOff>60960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60BC16E8-C70E-4B1D-B074-806E3981185B}"/>
            </a:ext>
          </a:extLst>
        </xdr:cNvPr>
        <xdr:cNvSpPr>
          <a:spLocks noChangeShapeType="1"/>
        </xdr:cNvSpPr>
      </xdr:nvSpPr>
      <xdr:spPr bwMode="auto">
        <a:xfrm flipV="1">
          <a:off x="4857750" y="771525"/>
          <a:ext cx="762000" cy="4191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480060</xdr:colOff>
      <xdr:row>6</xdr:row>
      <xdr:rowOff>60960</xdr:rowOff>
    </xdr:from>
    <xdr:to>
      <xdr:col>2</xdr:col>
      <xdr:colOff>0</xdr:colOff>
      <xdr:row>8</xdr:row>
      <xdr:rowOff>60960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2BE25AE3-1909-48E8-A0AA-82B58C34CBCF}"/>
            </a:ext>
          </a:extLst>
        </xdr:cNvPr>
        <xdr:cNvSpPr>
          <a:spLocks noChangeShapeType="1"/>
        </xdr:cNvSpPr>
      </xdr:nvSpPr>
      <xdr:spPr bwMode="auto">
        <a:xfrm flipV="1">
          <a:off x="476250" y="1152525"/>
          <a:ext cx="74295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480060</xdr:colOff>
      <xdr:row>8</xdr:row>
      <xdr:rowOff>60960</xdr:rowOff>
    </xdr:from>
    <xdr:to>
      <xdr:col>2</xdr:col>
      <xdr:colOff>0</xdr:colOff>
      <xdr:row>10</xdr:row>
      <xdr:rowOff>83820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DE60990D-3554-474A-9F7F-99EDE5AAF6C5}"/>
            </a:ext>
          </a:extLst>
        </xdr:cNvPr>
        <xdr:cNvSpPr>
          <a:spLocks noChangeShapeType="1"/>
        </xdr:cNvSpPr>
      </xdr:nvSpPr>
      <xdr:spPr bwMode="auto">
        <a:xfrm>
          <a:off x="476250" y="1495425"/>
          <a:ext cx="742950" cy="400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6</xdr:row>
      <xdr:rowOff>60960</xdr:rowOff>
    </xdr:from>
    <xdr:to>
      <xdr:col>3</xdr:col>
      <xdr:colOff>7620</xdr:colOff>
      <xdr:row>8</xdr:row>
      <xdr:rowOff>99060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40D79A11-23B0-4DAA-ABB9-F97877C69617}"/>
            </a:ext>
          </a:extLst>
        </xdr:cNvPr>
        <xdr:cNvSpPr>
          <a:spLocks noChangeShapeType="1"/>
        </xdr:cNvSpPr>
      </xdr:nvSpPr>
      <xdr:spPr bwMode="auto">
        <a:xfrm>
          <a:off x="1219200" y="1152525"/>
          <a:ext cx="619125" cy="381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8</xdr:row>
      <xdr:rowOff>99060</xdr:rowOff>
    </xdr:from>
    <xdr:to>
      <xdr:col>3</xdr:col>
      <xdr:colOff>15240</xdr:colOff>
      <xdr:row>10</xdr:row>
      <xdr:rowOff>83820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B558C798-0CFF-4B2C-834A-4B3AF59E3B38}"/>
            </a:ext>
          </a:extLst>
        </xdr:cNvPr>
        <xdr:cNvSpPr>
          <a:spLocks noChangeShapeType="1"/>
        </xdr:cNvSpPr>
      </xdr:nvSpPr>
      <xdr:spPr bwMode="auto">
        <a:xfrm flipV="1">
          <a:off x="1219200" y="1533525"/>
          <a:ext cx="628650" cy="3619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449580</xdr:colOff>
      <xdr:row>10</xdr:row>
      <xdr:rowOff>60960</xdr:rowOff>
    </xdr:from>
    <xdr:to>
      <xdr:col>3</xdr:col>
      <xdr:colOff>7620</xdr:colOff>
      <xdr:row>12</xdr:row>
      <xdr:rowOff>83820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600C8CD6-A894-43E8-9EAF-F6209337D6E5}"/>
            </a:ext>
          </a:extLst>
        </xdr:cNvPr>
        <xdr:cNvSpPr>
          <a:spLocks noChangeShapeType="1"/>
        </xdr:cNvSpPr>
      </xdr:nvSpPr>
      <xdr:spPr bwMode="auto">
        <a:xfrm>
          <a:off x="1057275" y="1866900"/>
          <a:ext cx="781050" cy="400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480060</xdr:colOff>
      <xdr:row>4</xdr:row>
      <xdr:rowOff>91440</xdr:rowOff>
    </xdr:from>
    <xdr:to>
      <xdr:col>3</xdr:col>
      <xdr:colOff>15240</xdr:colOff>
      <xdr:row>6</xdr:row>
      <xdr:rowOff>60960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E812552F-939E-4087-9D5B-9AC955FFC288}"/>
            </a:ext>
          </a:extLst>
        </xdr:cNvPr>
        <xdr:cNvSpPr>
          <a:spLocks noChangeShapeType="1"/>
        </xdr:cNvSpPr>
      </xdr:nvSpPr>
      <xdr:spPr bwMode="auto">
        <a:xfrm flipV="1">
          <a:off x="1085850" y="781050"/>
          <a:ext cx="762000" cy="371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54806</xdr:colOff>
      <xdr:row>0</xdr:row>
      <xdr:rowOff>146538</xdr:rowOff>
    </xdr:from>
    <xdr:to>
      <xdr:col>13</xdr:col>
      <xdr:colOff>229889</xdr:colOff>
      <xdr:row>36</xdr:row>
      <xdr:rowOff>130052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C04B5030-CB39-ED30-5A62-58B412417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16344" y="146538"/>
          <a:ext cx="8190737" cy="68246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3.1plainvanilla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.1plainvanill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FM,%20Second%20edition/Disk%20with%20book/Chapter%20files/Chapter%20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15"/>
      <sheetName val="Page 615 中文"/>
      <sheetName val="Page 616, top"/>
      <sheetName val="Page 616, top 中文"/>
      <sheetName val="Page 616, bottom"/>
      <sheetName val="Page 616, bottom 中文"/>
      <sheetName val="Page 618"/>
      <sheetName val="Page 618 中文"/>
      <sheetName val="Page 621"/>
      <sheetName val="Page 621 中文"/>
      <sheetName val="Page 622"/>
      <sheetName val="Page 622 中文"/>
      <sheetName val="Page 624"/>
      <sheetName val="Page 624 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 t="e">
            <v>#NAME?</v>
          </cell>
        </row>
      </sheetData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M34" sqref="M34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3FB69-23FB-43E1-966C-CB1B232A8A10}">
  <sheetPr codeName="Sheet8"/>
  <dimension ref="A1:I24"/>
  <sheetViews>
    <sheetView workbookViewId="0">
      <selection activeCell="D32" sqref="D32"/>
    </sheetView>
  </sheetViews>
  <sheetFormatPr defaultRowHeight="13.2" x14ac:dyDescent="0.25"/>
  <cols>
    <col min="1" max="1" width="11.44140625" style="2" customWidth="1"/>
    <col min="2" max="3" width="8.88671875" style="2"/>
    <col min="4" max="4" width="17.88671875" style="2" bestFit="1" customWidth="1"/>
    <col min="5" max="5" width="5.44140625" style="2" customWidth="1"/>
    <col min="6" max="6" width="11.44140625" style="2" customWidth="1"/>
    <col min="7" max="8" width="8.88671875" style="2"/>
    <col min="9" max="9" width="12.33203125" style="2" customWidth="1"/>
    <col min="10" max="256" width="8.88671875" style="2"/>
    <col min="257" max="257" width="11.44140625" style="2" customWidth="1"/>
    <col min="258" max="259" width="8.88671875" style="2"/>
    <col min="260" max="260" width="17.88671875" style="2" bestFit="1" customWidth="1"/>
    <col min="261" max="261" width="5.44140625" style="2" customWidth="1"/>
    <col min="262" max="262" width="11.44140625" style="2" customWidth="1"/>
    <col min="263" max="264" width="8.88671875" style="2"/>
    <col min="265" max="265" width="12.33203125" style="2" customWidth="1"/>
    <col min="266" max="512" width="8.88671875" style="2"/>
    <col min="513" max="513" width="11.44140625" style="2" customWidth="1"/>
    <col min="514" max="515" width="8.88671875" style="2"/>
    <col min="516" max="516" width="17.88671875" style="2" bestFit="1" customWidth="1"/>
    <col min="517" max="517" width="5.44140625" style="2" customWidth="1"/>
    <col min="518" max="518" width="11.44140625" style="2" customWidth="1"/>
    <col min="519" max="520" width="8.88671875" style="2"/>
    <col min="521" max="521" width="12.33203125" style="2" customWidth="1"/>
    <col min="522" max="768" width="8.88671875" style="2"/>
    <col min="769" max="769" width="11.44140625" style="2" customWidth="1"/>
    <col min="770" max="771" width="8.88671875" style="2"/>
    <col min="772" max="772" width="17.88671875" style="2" bestFit="1" customWidth="1"/>
    <col min="773" max="773" width="5.44140625" style="2" customWidth="1"/>
    <col min="774" max="774" width="11.44140625" style="2" customWidth="1"/>
    <col min="775" max="776" width="8.88671875" style="2"/>
    <col min="777" max="777" width="12.33203125" style="2" customWidth="1"/>
    <col min="778" max="1024" width="8.88671875" style="2"/>
    <col min="1025" max="1025" width="11.44140625" style="2" customWidth="1"/>
    <col min="1026" max="1027" width="8.88671875" style="2"/>
    <col min="1028" max="1028" width="17.88671875" style="2" bestFit="1" customWidth="1"/>
    <col min="1029" max="1029" width="5.44140625" style="2" customWidth="1"/>
    <col min="1030" max="1030" width="11.44140625" style="2" customWidth="1"/>
    <col min="1031" max="1032" width="8.88671875" style="2"/>
    <col min="1033" max="1033" width="12.33203125" style="2" customWidth="1"/>
    <col min="1034" max="1280" width="8.88671875" style="2"/>
    <col min="1281" max="1281" width="11.44140625" style="2" customWidth="1"/>
    <col min="1282" max="1283" width="8.88671875" style="2"/>
    <col min="1284" max="1284" width="17.88671875" style="2" bestFit="1" customWidth="1"/>
    <col min="1285" max="1285" width="5.44140625" style="2" customWidth="1"/>
    <col min="1286" max="1286" width="11.44140625" style="2" customWidth="1"/>
    <col min="1287" max="1288" width="8.88671875" style="2"/>
    <col min="1289" max="1289" width="12.33203125" style="2" customWidth="1"/>
    <col min="1290" max="1536" width="8.88671875" style="2"/>
    <col min="1537" max="1537" width="11.44140625" style="2" customWidth="1"/>
    <col min="1538" max="1539" width="8.88671875" style="2"/>
    <col min="1540" max="1540" width="17.88671875" style="2" bestFit="1" customWidth="1"/>
    <col min="1541" max="1541" width="5.44140625" style="2" customWidth="1"/>
    <col min="1542" max="1542" width="11.44140625" style="2" customWidth="1"/>
    <col min="1543" max="1544" width="8.88671875" style="2"/>
    <col min="1545" max="1545" width="12.33203125" style="2" customWidth="1"/>
    <col min="1546" max="1792" width="8.88671875" style="2"/>
    <col min="1793" max="1793" width="11.44140625" style="2" customWidth="1"/>
    <col min="1794" max="1795" width="8.88671875" style="2"/>
    <col min="1796" max="1796" width="17.88671875" style="2" bestFit="1" customWidth="1"/>
    <col min="1797" max="1797" width="5.44140625" style="2" customWidth="1"/>
    <col min="1798" max="1798" width="11.44140625" style="2" customWidth="1"/>
    <col min="1799" max="1800" width="8.88671875" style="2"/>
    <col min="1801" max="1801" width="12.33203125" style="2" customWidth="1"/>
    <col min="1802" max="2048" width="8.88671875" style="2"/>
    <col min="2049" max="2049" width="11.44140625" style="2" customWidth="1"/>
    <col min="2050" max="2051" width="8.88671875" style="2"/>
    <col min="2052" max="2052" width="17.88671875" style="2" bestFit="1" customWidth="1"/>
    <col min="2053" max="2053" width="5.44140625" style="2" customWidth="1"/>
    <col min="2054" max="2054" width="11.44140625" style="2" customWidth="1"/>
    <col min="2055" max="2056" width="8.88671875" style="2"/>
    <col min="2057" max="2057" width="12.33203125" style="2" customWidth="1"/>
    <col min="2058" max="2304" width="8.88671875" style="2"/>
    <col min="2305" max="2305" width="11.44140625" style="2" customWidth="1"/>
    <col min="2306" max="2307" width="8.88671875" style="2"/>
    <col min="2308" max="2308" width="17.88671875" style="2" bestFit="1" customWidth="1"/>
    <col min="2309" max="2309" width="5.44140625" style="2" customWidth="1"/>
    <col min="2310" max="2310" width="11.44140625" style="2" customWidth="1"/>
    <col min="2311" max="2312" width="8.88671875" style="2"/>
    <col min="2313" max="2313" width="12.33203125" style="2" customWidth="1"/>
    <col min="2314" max="2560" width="8.88671875" style="2"/>
    <col min="2561" max="2561" width="11.44140625" style="2" customWidth="1"/>
    <col min="2562" max="2563" width="8.88671875" style="2"/>
    <col min="2564" max="2564" width="17.88671875" style="2" bestFit="1" customWidth="1"/>
    <col min="2565" max="2565" width="5.44140625" style="2" customWidth="1"/>
    <col min="2566" max="2566" width="11.44140625" style="2" customWidth="1"/>
    <col min="2567" max="2568" width="8.88671875" style="2"/>
    <col min="2569" max="2569" width="12.33203125" style="2" customWidth="1"/>
    <col min="2570" max="2816" width="8.88671875" style="2"/>
    <col min="2817" max="2817" width="11.44140625" style="2" customWidth="1"/>
    <col min="2818" max="2819" width="8.88671875" style="2"/>
    <col min="2820" max="2820" width="17.88671875" style="2" bestFit="1" customWidth="1"/>
    <col min="2821" max="2821" width="5.44140625" style="2" customWidth="1"/>
    <col min="2822" max="2822" width="11.44140625" style="2" customWidth="1"/>
    <col min="2823" max="2824" width="8.88671875" style="2"/>
    <col min="2825" max="2825" width="12.33203125" style="2" customWidth="1"/>
    <col min="2826" max="3072" width="8.88671875" style="2"/>
    <col min="3073" max="3073" width="11.44140625" style="2" customWidth="1"/>
    <col min="3074" max="3075" width="8.88671875" style="2"/>
    <col min="3076" max="3076" width="17.88671875" style="2" bestFit="1" customWidth="1"/>
    <col min="3077" max="3077" width="5.44140625" style="2" customWidth="1"/>
    <col min="3078" max="3078" width="11.44140625" style="2" customWidth="1"/>
    <col min="3079" max="3080" width="8.88671875" style="2"/>
    <col min="3081" max="3081" width="12.33203125" style="2" customWidth="1"/>
    <col min="3082" max="3328" width="8.88671875" style="2"/>
    <col min="3329" max="3329" width="11.44140625" style="2" customWidth="1"/>
    <col min="3330" max="3331" width="8.88671875" style="2"/>
    <col min="3332" max="3332" width="17.88671875" style="2" bestFit="1" customWidth="1"/>
    <col min="3333" max="3333" width="5.44140625" style="2" customWidth="1"/>
    <col min="3334" max="3334" width="11.44140625" style="2" customWidth="1"/>
    <col min="3335" max="3336" width="8.88671875" style="2"/>
    <col min="3337" max="3337" width="12.33203125" style="2" customWidth="1"/>
    <col min="3338" max="3584" width="8.88671875" style="2"/>
    <col min="3585" max="3585" width="11.44140625" style="2" customWidth="1"/>
    <col min="3586" max="3587" width="8.88671875" style="2"/>
    <col min="3588" max="3588" width="17.88671875" style="2" bestFit="1" customWidth="1"/>
    <col min="3589" max="3589" width="5.44140625" style="2" customWidth="1"/>
    <col min="3590" max="3590" width="11.44140625" style="2" customWidth="1"/>
    <col min="3591" max="3592" width="8.88671875" style="2"/>
    <col min="3593" max="3593" width="12.33203125" style="2" customWidth="1"/>
    <col min="3594" max="3840" width="8.88671875" style="2"/>
    <col min="3841" max="3841" width="11.44140625" style="2" customWidth="1"/>
    <col min="3842" max="3843" width="8.88671875" style="2"/>
    <col min="3844" max="3844" width="17.88671875" style="2" bestFit="1" customWidth="1"/>
    <col min="3845" max="3845" width="5.44140625" style="2" customWidth="1"/>
    <col min="3846" max="3846" width="11.44140625" style="2" customWidth="1"/>
    <col min="3847" max="3848" width="8.88671875" style="2"/>
    <col min="3849" max="3849" width="12.33203125" style="2" customWidth="1"/>
    <col min="3850" max="4096" width="8.88671875" style="2"/>
    <col min="4097" max="4097" width="11.44140625" style="2" customWidth="1"/>
    <col min="4098" max="4099" width="8.88671875" style="2"/>
    <col min="4100" max="4100" width="17.88671875" style="2" bestFit="1" customWidth="1"/>
    <col min="4101" max="4101" width="5.44140625" style="2" customWidth="1"/>
    <col min="4102" max="4102" width="11.44140625" style="2" customWidth="1"/>
    <col min="4103" max="4104" width="8.88671875" style="2"/>
    <col min="4105" max="4105" width="12.33203125" style="2" customWidth="1"/>
    <col min="4106" max="4352" width="8.88671875" style="2"/>
    <col min="4353" max="4353" width="11.44140625" style="2" customWidth="1"/>
    <col min="4354" max="4355" width="8.88671875" style="2"/>
    <col min="4356" max="4356" width="17.88671875" style="2" bestFit="1" customWidth="1"/>
    <col min="4357" max="4357" width="5.44140625" style="2" customWidth="1"/>
    <col min="4358" max="4358" width="11.44140625" style="2" customWidth="1"/>
    <col min="4359" max="4360" width="8.88671875" style="2"/>
    <col min="4361" max="4361" width="12.33203125" style="2" customWidth="1"/>
    <col min="4362" max="4608" width="8.88671875" style="2"/>
    <col min="4609" max="4609" width="11.44140625" style="2" customWidth="1"/>
    <col min="4610" max="4611" width="8.88671875" style="2"/>
    <col min="4612" max="4612" width="17.88671875" style="2" bestFit="1" customWidth="1"/>
    <col min="4613" max="4613" width="5.44140625" style="2" customWidth="1"/>
    <col min="4614" max="4614" width="11.44140625" style="2" customWidth="1"/>
    <col min="4615" max="4616" width="8.88671875" style="2"/>
    <col min="4617" max="4617" width="12.33203125" style="2" customWidth="1"/>
    <col min="4618" max="4864" width="8.88671875" style="2"/>
    <col min="4865" max="4865" width="11.44140625" style="2" customWidth="1"/>
    <col min="4866" max="4867" width="8.88671875" style="2"/>
    <col min="4868" max="4868" width="17.88671875" style="2" bestFit="1" customWidth="1"/>
    <col min="4869" max="4869" width="5.44140625" style="2" customWidth="1"/>
    <col min="4870" max="4870" width="11.44140625" style="2" customWidth="1"/>
    <col min="4871" max="4872" width="8.88671875" style="2"/>
    <col min="4873" max="4873" width="12.33203125" style="2" customWidth="1"/>
    <col min="4874" max="5120" width="8.88671875" style="2"/>
    <col min="5121" max="5121" width="11.44140625" style="2" customWidth="1"/>
    <col min="5122" max="5123" width="8.88671875" style="2"/>
    <col min="5124" max="5124" width="17.88671875" style="2" bestFit="1" customWidth="1"/>
    <col min="5125" max="5125" width="5.44140625" style="2" customWidth="1"/>
    <col min="5126" max="5126" width="11.44140625" style="2" customWidth="1"/>
    <col min="5127" max="5128" width="8.88671875" style="2"/>
    <col min="5129" max="5129" width="12.33203125" style="2" customWidth="1"/>
    <col min="5130" max="5376" width="8.88671875" style="2"/>
    <col min="5377" max="5377" width="11.44140625" style="2" customWidth="1"/>
    <col min="5378" max="5379" width="8.88671875" style="2"/>
    <col min="5380" max="5380" width="17.88671875" style="2" bestFit="1" customWidth="1"/>
    <col min="5381" max="5381" width="5.44140625" style="2" customWidth="1"/>
    <col min="5382" max="5382" width="11.44140625" style="2" customWidth="1"/>
    <col min="5383" max="5384" width="8.88671875" style="2"/>
    <col min="5385" max="5385" width="12.33203125" style="2" customWidth="1"/>
    <col min="5386" max="5632" width="8.88671875" style="2"/>
    <col min="5633" max="5633" width="11.44140625" style="2" customWidth="1"/>
    <col min="5634" max="5635" width="8.88671875" style="2"/>
    <col min="5636" max="5636" width="17.88671875" style="2" bestFit="1" customWidth="1"/>
    <col min="5637" max="5637" width="5.44140625" style="2" customWidth="1"/>
    <col min="5638" max="5638" width="11.44140625" style="2" customWidth="1"/>
    <col min="5639" max="5640" width="8.88671875" style="2"/>
    <col min="5641" max="5641" width="12.33203125" style="2" customWidth="1"/>
    <col min="5642" max="5888" width="8.88671875" style="2"/>
    <col min="5889" max="5889" width="11.44140625" style="2" customWidth="1"/>
    <col min="5890" max="5891" width="8.88671875" style="2"/>
    <col min="5892" max="5892" width="17.88671875" style="2" bestFit="1" customWidth="1"/>
    <col min="5893" max="5893" width="5.44140625" style="2" customWidth="1"/>
    <col min="5894" max="5894" width="11.44140625" style="2" customWidth="1"/>
    <col min="5895" max="5896" width="8.88671875" style="2"/>
    <col min="5897" max="5897" width="12.33203125" style="2" customWidth="1"/>
    <col min="5898" max="6144" width="8.88671875" style="2"/>
    <col min="6145" max="6145" width="11.44140625" style="2" customWidth="1"/>
    <col min="6146" max="6147" width="8.88671875" style="2"/>
    <col min="6148" max="6148" width="17.88671875" style="2" bestFit="1" customWidth="1"/>
    <col min="6149" max="6149" width="5.44140625" style="2" customWidth="1"/>
    <col min="6150" max="6150" width="11.44140625" style="2" customWidth="1"/>
    <col min="6151" max="6152" width="8.88671875" style="2"/>
    <col min="6153" max="6153" width="12.33203125" style="2" customWidth="1"/>
    <col min="6154" max="6400" width="8.88671875" style="2"/>
    <col min="6401" max="6401" width="11.44140625" style="2" customWidth="1"/>
    <col min="6402" max="6403" width="8.88671875" style="2"/>
    <col min="6404" max="6404" width="17.88671875" style="2" bestFit="1" customWidth="1"/>
    <col min="6405" max="6405" width="5.44140625" style="2" customWidth="1"/>
    <col min="6406" max="6406" width="11.44140625" style="2" customWidth="1"/>
    <col min="6407" max="6408" width="8.88671875" style="2"/>
    <col min="6409" max="6409" width="12.33203125" style="2" customWidth="1"/>
    <col min="6410" max="6656" width="8.88671875" style="2"/>
    <col min="6657" max="6657" width="11.44140625" style="2" customWidth="1"/>
    <col min="6658" max="6659" width="8.88671875" style="2"/>
    <col min="6660" max="6660" width="17.88671875" style="2" bestFit="1" customWidth="1"/>
    <col min="6661" max="6661" width="5.44140625" style="2" customWidth="1"/>
    <col min="6662" max="6662" width="11.44140625" style="2" customWidth="1"/>
    <col min="6663" max="6664" width="8.88671875" style="2"/>
    <col min="6665" max="6665" width="12.33203125" style="2" customWidth="1"/>
    <col min="6666" max="6912" width="8.88671875" style="2"/>
    <col min="6913" max="6913" width="11.44140625" style="2" customWidth="1"/>
    <col min="6914" max="6915" width="8.88671875" style="2"/>
    <col min="6916" max="6916" width="17.88671875" style="2" bestFit="1" customWidth="1"/>
    <col min="6917" max="6917" width="5.44140625" style="2" customWidth="1"/>
    <col min="6918" max="6918" width="11.44140625" style="2" customWidth="1"/>
    <col min="6919" max="6920" width="8.88671875" style="2"/>
    <col min="6921" max="6921" width="12.33203125" style="2" customWidth="1"/>
    <col min="6922" max="7168" width="8.88671875" style="2"/>
    <col min="7169" max="7169" width="11.44140625" style="2" customWidth="1"/>
    <col min="7170" max="7171" width="8.88671875" style="2"/>
    <col min="7172" max="7172" width="17.88671875" style="2" bestFit="1" customWidth="1"/>
    <col min="7173" max="7173" width="5.44140625" style="2" customWidth="1"/>
    <col min="7174" max="7174" width="11.44140625" style="2" customWidth="1"/>
    <col min="7175" max="7176" width="8.88671875" style="2"/>
    <col min="7177" max="7177" width="12.33203125" style="2" customWidth="1"/>
    <col min="7178" max="7424" width="8.88671875" style="2"/>
    <col min="7425" max="7425" width="11.44140625" style="2" customWidth="1"/>
    <col min="7426" max="7427" width="8.88671875" style="2"/>
    <col min="7428" max="7428" width="17.88671875" style="2" bestFit="1" customWidth="1"/>
    <col min="7429" max="7429" width="5.44140625" style="2" customWidth="1"/>
    <col min="7430" max="7430" width="11.44140625" style="2" customWidth="1"/>
    <col min="7431" max="7432" width="8.88671875" style="2"/>
    <col min="7433" max="7433" width="12.33203125" style="2" customWidth="1"/>
    <col min="7434" max="7680" width="8.88671875" style="2"/>
    <col min="7681" max="7681" width="11.44140625" style="2" customWidth="1"/>
    <col min="7682" max="7683" width="8.88671875" style="2"/>
    <col min="7684" max="7684" width="17.88671875" style="2" bestFit="1" customWidth="1"/>
    <col min="7685" max="7685" width="5.44140625" style="2" customWidth="1"/>
    <col min="7686" max="7686" width="11.44140625" style="2" customWidth="1"/>
    <col min="7687" max="7688" width="8.88671875" style="2"/>
    <col min="7689" max="7689" width="12.33203125" style="2" customWidth="1"/>
    <col min="7690" max="7936" width="8.88671875" style="2"/>
    <col min="7937" max="7937" width="11.44140625" style="2" customWidth="1"/>
    <col min="7938" max="7939" width="8.88671875" style="2"/>
    <col min="7940" max="7940" width="17.88671875" style="2" bestFit="1" customWidth="1"/>
    <col min="7941" max="7941" width="5.44140625" style="2" customWidth="1"/>
    <col min="7942" max="7942" width="11.44140625" style="2" customWidth="1"/>
    <col min="7943" max="7944" width="8.88671875" style="2"/>
    <col min="7945" max="7945" width="12.33203125" style="2" customWidth="1"/>
    <col min="7946" max="8192" width="8.88671875" style="2"/>
    <col min="8193" max="8193" width="11.44140625" style="2" customWidth="1"/>
    <col min="8194" max="8195" width="8.88671875" style="2"/>
    <col min="8196" max="8196" width="17.88671875" style="2" bestFit="1" customWidth="1"/>
    <col min="8197" max="8197" width="5.44140625" style="2" customWidth="1"/>
    <col min="8198" max="8198" width="11.44140625" style="2" customWidth="1"/>
    <col min="8199" max="8200" width="8.88671875" style="2"/>
    <col min="8201" max="8201" width="12.33203125" style="2" customWidth="1"/>
    <col min="8202" max="8448" width="8.88671875" style="2"/>
    <col min="8449" max="8449" width="11.44140625" style="2" customWidth="1"/>
    <col min="8450" max="8451" width="8.88671875" style="2"/>
    <col min="8452" max="8452" width="17.88671875" style="2" bestFit="1" customWidth="1"/>
    <col min="8453" max="8453" width="5.44140625" style="2" customWidth="1"/>
    <col min="8454" max="8454" width="11.44140625" style="2" customWidth="1"/>
    <col min="8455" max="8456" width="8.88671875" style="2"/>
    <col min="8457" max="8457" width="12.33203125" style="2" customWidth="1"/>
    <col min="8458" max="8704" width="8.88671875" style="2"/>
    <col min="8705" max="8705" width="11.44140625" style="2" customWidth="1"/>
    <col min="8706" max="8707" width="8.88671875" style="2"/>
    <col min="8708" max="8708" width="17.88671875" style="2" bestFit="1" customWidth="1"/>
    <col min="8709" max="8709" width="5.44140625" style="2" customWidth="1"/>
    <col min="8710" max="8710" width="11.44140625" style="2" customWidth="1"/>
    <col min="8711" max="8712" width="8.88671875" style="2"/>
    <col min="8713" max="8713" width="12.33203125" style="2" customWidth="1"/>
    <col min="8714" max="8960" width="8.88671875" style="2"/>
    <col min="8961" max="8961" width="11.44140625" style="2" customWidth="1"/>
    <col min="8962" max="8963" width="8.88671875" style="2"/>
    <col min="8964" max="8964" width="17.88671875" style="2" bestFit="1" customWidth="1"/>
    <col min="8965" max="8965" width="5.44140625" style="2" customWidth="1"/>
    <col min="8966" max="8966" width="11.44140625" style="2" customWidth="1"/>
    <col min="8967" max="8968" width="8.88671875" style="2"/>
    <col min="8969" max="8969" width="12.33203125" style="2" customWidth="1"/>
    <col min="8970" max="9216" width="8.88671875" style="2"/>
    <col min="9217" max="9217" width="11.44140625" style="2" customWidth="1"/>
    <col min="9218" max="9219" width="8.88671875" style="2"/>
    <col min="9220" max="9220" width="17.88671875" style="2" bestFit="1" customWidth="1"/>
    <col min="9221" max="9221" width="5.44140625" style="2" customWidth="1"/>
    <col min="9222" max="9222" width="11.44140625" style="2" customWidth="1"/>
    <col min="9223" max="9224" width="8.88671875" style="2"/>
    <col min="9225" max="9225" width="12.33203125" style="2" customWidth="1"/>
    <col min="9226" max="9472" width="8.88671875" style="2"/>
    <col min="9473" max="9473" width="11.44140625" style="2" customWidth="1"/>
    <col min="9474" max="9475" width="8.88671875" style="2"/>
    <col min="9476" max="9476" width="17.88671875" style="2" bestFit="1" customWidth="1"/>
    <col min="9477" max="9477" width="5.44140625" style="2" customWidth="1"/>
    <col min="9478" max="9478" width="11.44140625" style="2" customWidth="1"/>
    <col min="9479" max="9480" width="8.88671875" style="2"/>
    <col min="9481" max="9481" width="12.33203125" style="2" customWidth="1"/>
    <col min="9482" max="9728" width="8.88671875" style="2"/>
    <col min="9729" max="9729" width="11.44140625" style="2" customWidth="1"/>
    <col min="9730" max="9731" width="8.88671875" style="2"/>
    <col min="9732" max="9732" width="17.88671875" style="2" bestFit="1" customWidth="1"/>
    <col min="9733" max="9733" width="5.44140625" style="2" customWidth="1"/>
    <col min="9734" max="9734" width="11.44140625" style="2" customWidth="1"/>
    <col min="9735" max="9736" width="8.88671875" style="2"/>
    <col min="9737" max="9737" width="12.33203125" style="2" customWidth="1"/>
    <col min="9738" max="9984" width="8.88671875" style="2"/>
    <col min="9985" max="9985" width="11.44140625" style="2" customWidth="1"/>
    <col min="9986" max="9987" width="8.88671875" style="2"/>
    <col min="9988" max="9988" width="17.88671875" style="2" bestFit="1" customWidth="1"/>
    <col min="9989" max="9989" width="5.44140625" style="2" customWidth="1"/>
    <col min="9990" max="9990" width="11.44140625" style="2" customWidth="1"/>
    <col min="9991" max="9992" width="8.88671875" style="2"/>
    <col min="9993" max="9993" width="12.33203125" style="2" customWidth="1"/>
    <col min="9994" max="10240" width="8.88671875" style="2"/>
    <col min="10241" max="10241" width="11.44140625" style="2" customWidth="1"/>
    <col min="10242" max="10243" width="8.88671875" style="2"/>
    <col min="10244" max="10244" width="17.88671875" style="2" bestFit="1" customWidth="1"/>
    <col min="10245" max="10245" width="5.44140625" style="2" customWidth="1"/>
    <col min="10246" max="10246" width="11.44140625" style="2" customWidth="1"/>
    <col min="10247" max="10248" width="8.88671875" style="2"/>
    <col min="10249" max="10249" width="12.33203125" style="2" customWidth="1"/>
    <col min="10250" max="10496" width="8.88671875" style="2"/>
    <col min="10497" max="10497" width="11.44140625" style="2" customWidth="1"/>
    <col min="10498" max="10499" width="8.88671875" style="2"/>
    <col min="10500" max="10500" width="17.88671875" style="2" bestFit="1" customWidth="1"/>
    <col min="10501" max="10501" width="5.44140625" style="2" customWidth="1"/>
    <col min="10502" max="10502" width="11.44140625" style="2" customWidth="1"/>
    <col min="10503" max="10504" width="8.88671875" style="2"/>
    <col min="10505" max="10505" width="12.33203125" style="2" customWidth="1"/>
    <col min="10506" max="10752" width="8.88671875" style="2"/>
    <col min="10753" max="10753" width="11.44140625" style="2" customWidth="1"/>
    <col min="10754" max="10755" width="8.88671875" style="2"/>
    <col min="10756" max="10756" width="17.88671875" style="2" bestFit="1" customWidth="1"/>
    <col min="10757" max="10757" width="5.44140625" style="2" customWidth="1"/>
    <col min="10758" max="10758" width="11.44140625" style="2" customWidth="1"/>
    <col min="10759" max="10760" width="8.88671875" style="2"/>
    <col min="10761" max="10761" width="12.33203125" style="2" customWidth="1"/>
    <col min="10762" max="11008" width="8.88671875" style="2"/>
    <col min="11009" max="11009" width="11.44140625" style="2" customWidth="1"/>
    <col min="11010" max="11011" width="8.88671875" style="2"/>
    <col min="11012" max="11012" width="17.88671875" style="2" bestFit="1" customWidth="1"/>
    <col min="11013" max="11013" width="5.44140625" style="2" customWidth="1"/>
    <col min="11014" max="11014" width="11.44140625" style="2" customWidth="1"/>
    <col min="11015" max="11016" width="8.88671875" style="2"/>
    <col min="11017" max="11017" width="12.33203125" style="2" customWidth="1"/>
    <col min="11018" max="11264" width="8.88671875" style="2"/>
    <col min="11265" max="11265" width="11.44140625" style="2" customWidth="1"/>
    <col min="11266" max="11267" width="8.88671875" style="2"/>
    <col min="11268" max="11268" width="17.88671875" style="2" bestFit="1" customWidth="1"/>
    <col min="11269" max="11269" width="5.44140625" style="2" customWidth="1"/>
    <col min="11270" max="11270" width="11.44140625" style="2" customWidth="1"/>
    <col min="11271" max="11272" width="8.88671875" style="2"/>
    <col min="11273" max="11273" width="12.33203125" style="2" customWidth="1"/>
    <col min="11274" max="11520" width="8.88671875" style="2"/>
    <col min="11521" max="11521" width="11.44140625" style="2" customWidth="1"/>
    <col min="11522" max="11523" width="8.88671875" style="2"/>
    <col min="11524" max="11524" width="17.88671875" style="2" bestFit="1" customWidth="1"/>
    <col min="11525" max="11525" width="5.44140625" style="2" customWidth="1"/>
    <col min="11526" max="11526" width="11.44140625" style="2" customWidth="1"/>
    <col min="11527" max="11528" width="8.88671875" style="2"/>
    <col min="11529" max="11529" width="12.33203125" style="2" customWidth="1"/>
    <col min="11530" max="11776" width="8.88671875" style="2"/>
    <col min="11777" max="11777" width="11.44140625" style="2" customWidth="1"/>
    <col min="11778" max="11779" width="8.88671875" style="2"/>
    <col min="11780" max="11780" width="17.88671875" style="2" bestFit="1" customWidth="1"/>
    <col min="11781" max="11781" width="5.44140625" style="2" customWidth="1"/>
    <col min="11782" max="11782" width="11.44140625" style="2" customWidth="1"/>
    <col min="11783" max="11784" width="8.88671875" style="2"/>
    <col min="11785" max="11785" width="12.33203125" style="2" customWidth="1"/>
    <col min="11786" max="12032" width="8.88671875" style="2"/>
    <col min="12033" max="12033" width="11.44140625" style="2" customWidth="1"/>
    <col min="12034" max="12035" width="8.88671875" style="2"/>
    <col min="12036" max="12036" width="17.88671875" style="2" bestFit="1" customWidth="1"/>
    <col min="12037" max="12037" width="5.44140625" style="2" customWidth="1"/>
    <col min="12038" max="12038" width="11.44140625" style="2" customWidth="1"/>
    <col min="12039" max="12040" width="8.88671875" style="2"/>
    <col min="12041" max="12041" width="12.33203125" style="2" customWidth="1"/>
    <col min="12042" max="12288" width="8.88671875" style="2"/>
    <col min="12289" max="12289" width="11.44140625" style="2" customWidth="1"/>
    <col min="12290" max="12291" width="8.88671875" style="2"/>
    <col min="12292" max="12292" width="17.88671875" style="2" bestFit="1" customWidth="1"/>
    <col min="12293" max="12293" width="5.44140625" style="2" customWidth="1"/>
    <col min="12294" max="12294" width="11.44140625" style="2" customWidth="1"/>
    <col min="12295" max="12296" width="8.88671875" style="2"/>
    <col min="12297" max="12297" width="12.33203125" style="2" customWidth="1"/>
    <col min="12298" max="12544" width="8.88671875" style="2"/>
    <col min="12545" max="12545" width="11.44140625" style="2" customWidth="1"/>
    <col min="12546" max="12547" width="8.88671875" style="2"/>
    <col min="12548" max="12548" width="17.88671875" style="2" bestFit="1" customWidth="1"/>
    <col min="12549" max="12549" width="5.44140625" style="2" customWidth="1"/>
    <col min="12550" max="12550" width="11.44140625" style="2" customWidth="1"/>
    <col min="12551" max="12552" width="8.88671875" style="2"/>
    <col min="12553" max="12553" width="12.33203125" style="2" customWidth="1"/>
    <col min="12554" max="12800" width="8.88671875" style="2"/>
    <col min="12801" max="12801" width="11.44140625" style="2" customWidth="1"/>
    <col min="12802" max="12803" width="8.88671875" style="2"/>
    <col min="12804" max="12804" width="17.88671875" style="2" bestFit="1" customWidth="1"/>
    <col min="12805" max="12805" width="5.44140625" style="2" customWidth="1"/>
    <col min="12806" max="12806" width="11.44140625" style="2" customWidth="1"/>
    <col min="12807" max="12808" width="8.88671875" style="2"/>
    <col min="12809" max="12809" width="12.33203125" style="2" customWidth="1"/>
    <col min="12810" max="13056" width="8.88671875" style="2"/>
    <col min="13057" max="13057" width="11.44140625" style="2" customWidth="1"/>
    <col min="13058" max="13059" width="8.88671875" style="2"/>
    <col min="13060" max="13060" width="17.88671875" style="2" bestFit="1" customWidth="1"/>
    <col min="13061" max="13061" width="5.44140625" style="2" customWidth="1"/>
    <col min="13062" max="13062" width="11.44140625" style="2" customWidth="1"/>
    <col min="13063" max="13064" width="8.88671875" style="2"/>
    <col min="13065" max="13065" width="12.33203125" style="2" customWidth="1"/>
    <col min="13066" max="13312" width="8.88671875" style="2"/>
    <col min="13313" max="13313" width="11.44140625" style="2" customWidth="1"/>
    <col min="13314" max="13315" width="8.88671875" style="2"/>
    <col min="13316" max="13316" width="17.88671875" style="2" bestFit="1" customWidth="1"/>
    <col min="13317" max="13317" width="5.44140625" style="2" customWidth="1"/>
    <col min="13318" max="13318" width="11.44140625" style="2" customWidth="1"/>
    <col min="13319" max="13320" width="8.88671875" style="2"/>
    <col min="13321" max="13321" width="12.33203125" style="2" customWidth="1"/>
    <col min="13322" max="13568" width="8.88671875" style="2"/>
    <col min="13569" max="13569" width="11.44140625" style="2" customWidth="1"/>
    <col min="13570" max="13571" width="8.88671875" style="2"/>
    <col min="13572" max="13572" width="17.88671875" style="2" bestFit="1" customWidth="1"/>
    <col min="13573" max="13573" width="5.44140625" style="2" customWidth="1"/>
    <col min="13574" max="13574" width="11.44140625" style="2" customWidth="1"/>
    <col min="13575" max="13576" width="8.88671875" style="2"/>
    <col min="13577" max="13577" width="12.33203125" style="2" customWidth="1"/>
    <col min="13578" max="13824" width="8.88671875" style="2"/>
    <col min="13825" max="13825" width="11.44140625" style="2" customWidth="1"/>
    <col min="13826" max="13827" width="8.88671875" style="2"/>
    <col min="13828" max="13828" width="17.88671875" style="2" bestFit="1" customWidth="1"/>
    <col min="13829" max="13829" width="5.44140625" style="2" customWidth="1"/>
    <col min="13830" max="13830" width="11.44140625" style="2" customWidth="1"/>
    <col min="13831" max="13832" width="8.88671875" style="2"/>
    <col min="13833" max="13833" width="12.33203125" style="2" customWidth="1"/>
    <col min="13834" max="14080" width="8.88671875" style="2"/>
    <col min="14081" max="14081" width="11.44140625" style="2" customWidth="1"/>
    <col min="14082" max="14083" width="8.88671875" style="2"/>
    <col min="14084" max="14084" width="17.88671875" style="2" bestFit="1" customWidth="1"/>
    <col min="14085" max="14085" width="5.44140625" style="2" customWidth="1"/>
    <col min="14086" max="14086" width="11.44140625" style="2" customWidth="1"/>
    <col min="14087" max="14088" width="8.88671875" style="2"/>
    <col min="14089" max="14089" width="12.33203125" style="2" customWidth="1"/>
    <col min="14090" max="14336" width="8.88671875" style="2"/>
    <col min="14337" max="14337" width="11.44140625" style="2" customWidth="1"/>
    <col min="14338" max="14339" width="8.88671875" style="2"/>
    <col min="14340" max="14340" width="17.88671875" style="2" bestFit="1" customWidth="1"/>
    <col min="14341" max="14341" width="5.44140625" style="2" customWidth="1"/>
    <col min="14342" max="14342" width="11.44140625" style="2" customWidth="1"/>
    <col min="14343" max="14344" width="8.88671875" style="2"/>
    <col min="14345" max="14345" width="12.33203125" style="2" customWidth="1"/>
    <col min="14346" max="14592" width="8.88671875" style="2"/>
    <col min="14593" max="14593" width="11.44140625" style="2" customWidth="1"/>
    <col min="14594" max="14595" width="8.88671875" style="2"/>
    <col min="14596" max="14596" width="17.88671875" style="2" bestFit="1" customWidth="1"/>
    <col min="14597" max="14597" width="5.44140625" style="2" customWidth="1"/>
    <col min="14598" max="14598" width="11.44140625" style="2" customWidth="1"/>
    <col min="14599" max="14600" width="8.88671875" style="2"/>
    <col min="14601" max="14601" width="12.33203125" style="2" customWidth="1"/>
    <col min="14602" max="14848" width="8.88671875" style="2"/>
    <col min="14849" max="14849" width="11.44140625" style="2" customWidth="1"/>
    <col min="14850" max="14851" width="8.88671875" style="2"/>
    <col min="14852" max="14852" width="17.88671875" style="2" bestFit="1" customWidth="1"/>
    <col min="14853" max="14853" width="5.44140625" style="2" customWidth="1"/>
    <col min="14854" max="14854" width="11.44140625" style="2" customWidth="1"/>
    <col min="14855" max="14856" width="8.88671875" style="2"/>
    <col min="14857" max="14857" width="12.33203125" style="2" customWidth="1"/>
    <col min="14858" max="15104" width="8.88671875" style="2"/>
    <col min="15105" max="15105" width="11.44140625" style="2" customWidth="1"/>
    <col min="15106" max="15107" width="8.88671875" style="2"/>
    <col min="15108" max="15108" width="17.88671875" style="2" bestFit="1" customWidth="1"/>
    <col min="15109" max="15109" width="5.44140625" style="2" customWidth="1"/>
    <col min="15110" max="15110" width="11.44140625" style="2" customWidth="1"/>
    <col min="15111" max="15112" width="8.88671875" style="2"/>
    <col min="15113" max="15113" width="12.33203125" style="2" customWidth="1"/>
    <col min="15114" max="15360" width="8.88671875" style="2"/>
    <col min="15361" max="15361" width="11.44140625" style="2" customWidth="1"/>
    <col min="15362" max="15363" width="8.88671875" style="2"/>
    <col min="15364" max="15364" width="17.88671875" style="2" bestFit="1" customWidth="1"/>
    <col min="15365" max="15365" width="5.44140625" style="2" customWidth="1"/>
    <col min="15366" max="15366" width="11.44140625" style="2" customWidth="1"/>
    <col min="15367" max="15368" width="8.88671875" style="2"/>
    <col min="15369" max="15369" width="12.33203125" style="2" customWidth="1"/>
    <col min="15370" max="15616" width="8.88671875" style="2"/>
    <col min="15617" max="15617" width="11.44140625" style="2" customWidth="1"/>
    <col min="15618" max="15619" width="8.88671875" style="2"/>
    <col min="15620" max="15620" width="17.88671875" style="2" bestFit="1" customWidth="1"/>
    <col min="15621" max="15621" width="5.44140625" style="2" customWidth="1"/>
    <col min="15622" max="15622" width="11.44140625" style="2" customWidth="1"/>
    <col min="15623" max="15624" width="8.88671875" style="2"/>
    <col min="15625" max="15625" width="12.33203125" style="2" customWidth="1"/>
    <col min="15626" max="15872" width="8.88671875" style="2"/>
    <col min="15873" max="15873" width="11.44140625" style="2" customWidth="1"/>
    <col min="15874" max="15875" width="8.88671875" style="2"/>
    <col min="15876" max="15876" width="17.88671875" style="2" bestFit="1" customWidth="1"/>
    <col min="15877" max="15877" width="5.44140625" style="2" customWidth="1"/>
    <col min="15878" max="15878" width="11.44140625" style="2" customWidth="1"/>
    <col min="15879" max="15880" width="8.88671875" style="2"/>
    <col min="15881" max="15881" width="12.33203125" style="2" customWidth="1"/>
    <col min="15882" max="16128" width="8.88671875" style="2"/>
    <col min="16129" max="16129" width="11.44140625" style="2" customWidth="1"/>
    <col min="16130" max="16131" width="8.88671875" style="2"/>
    <col min="16132" max="16132" width="17.88671875" style="2" bestFit="1" customWidth="1"/>
    <col min="16133" max="16133" width="5.44140625" style="2" customWidth="1"/>
    <col min="16134" max="16134" width="11.44140625" style="2" customWidth="1"/>
    <col min="16135" max="16136" width="8.88671875" style="2"/>
    <col min="16137" max="16137" width="12.33203125" style="2" customWidth="1"/>
    <col min="16138" max="16384" width="8.88671875" style="2"/>
  </cols>
  <sheetData>
    <row r="1" spans="1:9" ht="40.5" customHeight="1" x14ac:dyDescent="0.25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9" x14ac:dyDescent="0.25">
      <c r="A2" s="3" t="s">
        <v>1</v>
      </c>
      <c r="B2" s="3"/>
      <c r="C2" s="3"/>
      <c r="D2" s="3"/>
      <c r="F2" s="3" t="s">
        <v>2</v>
      </c>
      <c r="G2" s="3"/>
      <c r="H2" s="3"/>
      <c r="I2" s="3"/>
    </row>
    <row r="3" spans="1:9" ht="19.5" customHeight="1" x14ac:dyDescent="0.35">
      <c r="D3" s="4" t="s">
        <v>3</v>
      </c>
      <c r="I3" s="4" t="s">
        <v>4</v>
      </c>
    </row>
    <row r="4" spans="1:9" ht="15.6" x14ac:dyDescent="0.35">
      <c r="B4" s="5" t="s">
        <v>5</v>
      </c>
      <c r="C4" s="5"/>
      <c r="G4" s="5" t="s">
        <v>6</v>
      </c>
      <c r="H4" s="5"/>
    </row>
    <row r="7" spans="1:9" ht="19.5" customHeight="1" x14ac:dyDescent="0.35">
      <c r="A7" s="4" t="s">
        <v>7</v>
      </c>
      <c r="D7" s="4" t="s">
        <v>8</v>
      </c>
      <c r="F7" s="4">
        <v>1</v>
      </c>
      <c r="I7" s="4" t="s">
        <v>4</v>
      </c>
    </row>
    <row r="10" spans="1:9" ht="15.6" x14ac:dyDescent="0.35">
      <c r="B10" s="5" t="s">
        <v>9</v>
      </c>
      <c r="C10" s="5"/>
      <c r="G10" s="5" t="s">
        <v>6</v>
      </c>
      <c r="H10" s="5"/>
    </row>
    <row r="11" spans="1:9" ht="19.5" customHeight="1" x14ac:dyDescent="0.35">
      <c r="D11" s="4" t="s">
        <v>10</v>
      </c>
      <c r="I11" s="4" t="s">
        <v>4</v>
      </c>
    </row>
    <row r="12" spans="1:9" x14ac:dyDescent="0.25">
      <c r="A12" s="6" t="s">
        <v>11</v>
      </c>
      <c r="F12" s="6" t="s">
        <v>11</v>
      </c>
    </row>
    <row r="14" spans="1:9" x14ac:dyDescent="0.25">
      <c r="A14" s="3" t="s">
        <v>12</v>
      </c>
      <c r="B14" s="3"/>
      <c r="C14" s="3"/>
      <c r="D14" s="3"/>
      <c r="F14" s="3" t="s">
        <v>13</v>
      </c>
      <c r="G14" s="3"/>
      <c r="H14" s="3"/>
      <c r="I14" s="3"/>
    </row>
    <row r="15" spans="1:9" ht="15.6" x14ac:dyDescent="0.35">
      <c r="D15" s="7" t="s">
        <v>14</v>
      </c>
      <c r="I15" s="7" t="s">
        <v>14</v>
      </c>
    </row>
    <row r="16" spans="1:9" x14ac:dyDescent="0.25">
      <c r="B16" s="5">
        <v>0</v>
      </c>
      <c r="C16" s="5"/>
      <c r="G16" s="5">
        <v>0</v>
      </c>
      <c r="H16" s="5"/>
      <c r="I16" s="7"/>
    </row>
    <row r="17" spans="1:9" x14ac:dyDescent="0.25">
      <c r="I17" s="7"/>
    </row>
    <row r="18" spans="1:9" ht="15.6" x14ac:dyDescent="0.35">
      <c r="I18" s="7" t="s">
        <v>15</v>
      </c>
    </row>
    <row r="19" spans="1:9" ht="15.6" x14ac:dyDescent="0.35">
      <c r="A19" s="4" t="s">
        <v>16</v>
      </c>
      <c r="D19" s="7" t="s">
        <v>17</v>
      </c>
      <c r="F19" s="4" t="s">
        <v>16</v>
      </c>
      <c r="I19" s="7"/>
    </row>
    <row r="20" spans="1:9" ht="15.6" x14ac:dyDescent="0.35">
      <c r="I20" s="7" t="s">
        <v>18</v>
      </c>
    </row>
    <row r="21" spans="1:9" x14ac:dyDescent="0.25">
      <c r="I21" s="7"/>
    </row>
    <row r="22" spans="1:9" x14ac:dyDescent="0.25">
      <c r="B22" s="5">
        <v>0</v>
      </c>
      <c r="C22" s="5"/>
      <c r="G22" s="5">
        <v>0</v>
      </c>
      <c r="H22" s="5"/>
      <c r="I22" s="7"/>
    </row>
    <row r="23" spans="1:9" ht="15.6" x14ac:dyDescent="0.35">
      <c r="D23" s="7" t="s">
        <v>19</v>
      </c>
      <c r="I23" s="7" t="s">
        <v>19</v>
      </c>
    </row>
    <row r="24" spans="1:9" x14ac:dyDescent="0.25">
      <c r="A24" s="6" t="s">
        <v>11</v>
      </c>
      <c r="F24" s="6" t="s">
        <v>11</v>
      </c>
    </row>
  </sheetData>
  <mergeCells count="13">
    <mergeCell ref="A14:D14"/>
    <mergeCell ref="F14:I14"/>
    <mergeCell ref="B16:C16"/>
    <mergeCell ref="G16:H16"/>
    <mergeCell ref="B22:C22"/>
    <mergeCell ref="G22:H22"/>
    <mergeCell ref="A1:I1"/>
    <mergeCell ref="A2:D2"/>
    <mergeCell ref="F2:I2"/>
    <mergeCell ref="B4:C4"/>
    <mergeCell ref="G4:H4"/>
    <mergeCell ref="B10:C10"/>
    <mergeCell ref="G10:H10"/>
  </mergeCells>
  <phoneticPr fontId="1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5F1C4-DCD7-4B59-A126-C2523D632F7A}">
  <sheetPr codeName="Sheet13"/>
  <dimension ref="A2:D14"/>
  <sheetViews>
    <sheetView workbookViewId="0">
      <selection activeCell="G40" sqref="G40"/>
    </sheetView>
  </sheetViews>
  <sheetFormatPr defaultRowHeight="13.2" x14ac:dyDescent="0.25"/>
  <cols>
    <col min="1" max="3" width="8.88671875" style="2"/>
    <col min="4" max="4" width="25.33203125" style="2" bestFit="1" customWidth="1"/>
    <col min="5" max="259" width="8.88671875" style="2"/>
    <col min="260" max="260" width="25.33203125" style="2" bestFit="1" customWidth="1"/>
    <col min="261" max="515" width="8.88671875" style="2"/>
    <col min="516" max="516" width="25.33203125" style="2" bestFit="1" customWidth="1"/>
    <col min="517" max="771" width="8.88671875" style="2"/>
    <col min="772" max="772" width="25.33203125" style="2" bestFit="1" customWidth="1"/>
    <col min="773" max="1027" width="8.88671875" style="2"/>
    <col min="1028" max="1028" width="25.33203125" style="2" bestFit="1" customWidth="1"/>
    <col min="1029" max="1283" width="8.88671875" style="2"/>
    <col min="1284" max="1284" width="25.33203125" style="2" bestFit="1" customWidth="1"/>
    <col min="1285" max="1539" width="8.88671875" style="2"/>
    <col min="1540" max="1540" width="25.33203125" style="2" bestFit="1" customWidth="1"/>
    <col min="1541" max="1795" width="8.88671875" style="2"/>
    <col min="1796" max="1796" width="25.33203125" style="2" bestFit="1" customWidth="1"/>
    <col min="1797" max="2051" width="8.88671875" style="2"/>
    <col min="2052" max="2052" width="25.33203125" style="2" bestFit="1" customWidth="1"/>
    <col min="2053" max="2307" width="8.88671875" style="2"/>
    <col min="2308" max="2308" width="25.33203125" style="2" bestFit="1" customWidth="1"/>
    <col min="2309" max="2563" width="8.88671875" style="2"/>
    <col min="2564" max="2564" width="25.33203125" style="2" bestFit="1" customWidth="1"/>
    <col min="2565" max="2819" width="8.88671875" style="2"/>
    <col min="2820" max="2820" width="25.33203125" style="2" bestFit="1" customWidth="1"/>
    <col min="2821" max="3075" width="8.88671875" style="2"/>
    <col min="3076" max="3076" width="25.33203125" style="2" bestFit="1" customWidth="1"/>
    <col min="3077" max="3331" width="8.88671875" style="2"/>
    <col min="3332" max="3332" width="25.33203125" style="2" bestFit="1" customWidth="1"/>
    <col min="3333" max="3587" width="8.88671875" style="2"/>
    <col min="3588" max="3588" width="25.33203125" style="2" bestFit="1" customWidth="1"/>
    <col min="3589" max="3843" width="8.88671875" style="2"/>
    <col min="3844" max="3844" width="25.33203125" style="2" bestFit="1" customWidth="1"/>
    <col min="3845" max="4099" width="8.88671875" style="2"/>
    <col min="4100" max="4100" width="25.33203125" style="2" bestFit="1" customWidth="1"/>
    <col min="4101" max="4355" width="8.88671875" style="2"/>
    <col min="4356" max="4356" width="25.33203125" style="2" bestFit="1" customWidth="1"/>
    <col min="4357" max="4611" width="8.88671875" style="2"/>
    <col min="4612" max="4612" width="25.33203125" style="2" bestFit="1" customWidth="1"/>
    <col min="4613" max="4867" width="8.88671875" style="2"/>
    <col min="4868" max="4868" width="25.33203125" style="2" bestFit="1" customWidth="1"/>
    <col min="4869" max="5123" width="8.88671875" style="2"/>
    <col min="5124" max="5124" width="25.33203125" style="2" bestFit="1" customWidth="1"/>
    <col min="5125" max="5379" width="8.88671875" style="2"/>
    <col min="5380" max="5380" width="25.33203125" style="2" bestFit="1" customWidth="1"/>
    <col min="5381" max="5635" width="8.88671875" style="2"/>
    <col min="5636" max="5636" width="25.33203125" style="2" bestFit="1" customWidth="1"/>
    <col min="5637" max="5891" width="8.88671875" style="2"/>
    <col min="5892" max="5892" width="25.33203125" style="2" bestFit="1" customWidth="1"/>
    <col min="5893" max="6147" width="8.88671875" style="2"/>
    <col min="6148" max="6148" width="25.33203125" style="2" bestFit="1" customWidth="1"/>
    <col min="6149" max="6403" width="8.88671875" style="2"/>
    <col min="6404" max="6404" width="25.33203125" style="2" bestFit="1" customWidth="1"/>
    <col min="6405" max="6659" width="8.88671875" style="2"/>
    <col min="6660" max="6660" width="25.33203125" style="2" bestFit="1" customWidth="1"/>
    <col min="6661" max="6915" width="8.88671875" style="2"/>
    <col min="6916" max="6916" width="25.33203125" style="2" bestFit="1" customWidth="1"/>
    <col min="6917" max="7171" width="8.88671875" style="2"/>
    <col min="7172" max="7172" width="25.33203125" style="2" bestFit="1" customWidth="1"/>
    <col min="7173" max="7427" width="8.88671875" style="2"/>
    <col min="7428" max="7428" width="25.33203125" style="2" bestFit="1" customWidth="1"/>
    <col min="7429" max="7683" width="8.88671875" style="2"/>
    <col min="7684" max="7684" width="25.33203125" style="2" bestFit="1" customWidth="1"/>
    <col min="7685" max="7939" width="8.88671875" style="2"/>
    <col min="7940" max="7940" width="25.33203125" style="2" bestFit="1" customWidth="1"/>
    <col min="7941" max="8195" width="8.88671875" style="2"/>
    <col min="8196" max="8196" width="25.33203125" style="2" bestFit="1" customWidth="1"/>
    <col min="8197" max="8451" width="8.88671875" style="2"/>
    <col min="8452" max="8452" width="25.33203125" style="2" bestFit="1" customWidth="1"/>
    <col min="8453" max="8707" width="8.88671875" style="2"/>
    <col min="8708" max="8708" width="25.33203125" style="2" bestFit="1" customWidth="1"/>
    <col min="8709" max="8963" width="8.88671875" style="2"/>
    <col min="8964" max="8964" width="25.33203125" style="2" bestFit="1" customWidth="1"/>
    <col min="8965" max="9219" width="8.88671875" style="2"/>
    <col min="9220" max="9220" width="25.33203125" style="2" bestFit="1" customWidth="1"/>
    <col min="9221" max="9475" width="8.88671875" style="2"/>
    <col min="9476" max="9476" width="25.33203125" style="2" bestFit="1" customWidth="1"/>
    <col min="9477" max="9731" width="8.88671875" style="2"/>
    <col min="9732" max="9732" width="25.33203125" style="2" bestFit="1" customWidth="1"/>
    <col min="9733" max="9987" width="8.88671875" style="2"/>
    <col min="9988" max="9988" width="25.33203125" style="2" bestFit="1" customWidth="1"/>
    <col min="9989" max="10243" width="8.88671875" style="2"/>
    <col min="10244" max="10244" width="25.33203125" style="2" bestFit="1" customWidth="1"/>
    <col min="10245" max="10499" width="8.88671875" style="2"/>
    <col min="10500" max="10500" width="25.33203125" style="2" bestFit="1" customWidth="1"/>
    <col min="10501" max="10755" width="8.88671875" style="2"/>
    <col min="10756" max="10756" width="25.33203125" style="2" bestFit="1" customWidth="1"/>
    <col min="10757" max="11011" width="8.88671875" style="2"/>
    <col min="11012" max="11012" width="25.33203125" style="2" bestFit="1" customWidth="1"/>
    <col min="11013" max="11267" width="8.88671875" style="2"/>
    <col min="11268" max="11268" width="25.33203125" style="2" bestFit="1" customWidth="1"/>
    <col min="11269" max="11523" width="8.88671875" style="2"/>
    <col min="11524" max="11524" width="25.33203125" style="2" bestFit="1" customWidth="1"/>
    <col min="11525" max="11779" width="8.88671875" style="2"/>
    <col min="11780" max="11780" width="25.33203125" style="2" bestFit="1" customWidth="1"/>
    <col min="11781" max="12035" width="8.88671875" style="2"/>
    <col min="12036" max="12036" width="25.33203125" style="2" bestFit="1" customWidth="1"/>
    <col min="12037" max="12291" width="8.88671875" style="2"/>
    <col min="12292" max="12292" width="25.33203125" style="2" bestFit="1" customWidth="1"/>
    <col min="12293" max="12547" width="8.88671875" style="2"/>
    <col min="12548" max="12548" width="25.33203125" style="2" bestFit="1" customWidth="1"/>
    <col min="12549" max="12803" width="8.88671875" style="2"/>
    <col min="12804" max="12804" width="25.33203125" style="2" bestFit="1" customWidth="1"/>
    <col min="12805" max="13059" width="8.88671875" style="2"/>
    <col min="13060" max="13060" width="25.33203125" style="2" bestFit="1" customWidth="1"/>
    <col min="13061" max="13315" width="8.88671875" style="2"/>
    <col min="13316" max="13316" width="25.33203125" style="2" bestFit="1" customWidth="1"/>
    <col min="13317" max="13571" width="8.88671875" style="2"/>
    <col min="13572" max="13572" width="25.33203125" style="2" bestFit="1" customWidth="1"/>
    <col min="13573" max="13827" width="8.88671875" style="2"/>
    <col min="13828" max="13828" width="25.33203125" style="2" bestFit="1" customWidth="1"/>
    <col min="13829" max="14083" width="8.88671875" style="2"/>
    <col min="14084" max="14084" width="25.33203125" style="2" bestFit="1" customWidth="1"/>
    <col min="14085" max="14339" width="8.88671875" style="2"/>
    <col min="14340" max="14340" width="25.33203125" style="2" bestFit="1" customWidth="1"/>
    <col min="14341" max="14595" width="8.88671875" style="2"/>
    <col min="14596" max="14596" width="25.33203125" style="2" bestFit="1" customWidth="1"/>
    <col min="14597" max="14851" width="8.88671875" style="2"/>
    <col min="14852" max="14852" width="25.33203125" style="2" bestFit="1" customWidth="1"/>
    <col min="14853" max="15107" width="8.88671875" style="2"/>
    <col min="15108" max="15108" width="25.33203125" style="2" bestFit="1" customWidth="1"/>
    <col min="15109" max="15363" width="8.88671875" style="2"/>
    <col min="15364" max="15364" width="25.33203125" style="2" bestFit="1" customWidth="1"/>
    <col min="15365" max="15619" width="8.88671875" style="2"/>
    <col min="15620" max="15620" width="25.33203125" style="2" bestFit="1" customWidth="1"/>
    <col min="15621" max="15875" width="8.88671875" style="2"/>
    <col min="15876" max="15876" width="25.33203125" style="2" bestFit="1" customWidth="1"/>
    <col min="15877" max="16131" width="8.88671875" style="2"/>
    <col min="16132" max="16132" width="25.33203125" style="2" bestFit="1" customWidth="1"/>
    <col min="16133" max="16384" width="8.88671875" style="2"/>
  </cols>
  <sheetData>
    <row r="2" spans="1:4" x14ac:dyDescent="0.25">
      <c r="A2" s="2" t="s">
        <v>20</v>
      </c>
      <c r="B2" s="2">
        <v>1.4</v>
      </c>
    </row>
    <row r="3" spans="1:4" x14ac:dyDescent="0.25">
      <c r="A3" s="2" t="s">
        <v>21</v>
      </c>
      <c r="B3" s="2">
        <v>0.9</v>
      </c>
    </row>
    <row r="5" spans="1:4" ht="16.8" x14ac:dyDescent="0.35">
      <c r="D5" s="7" t="s">
        <v>22</v>
      </c>
    </row>
    <row r="6" spans="1:4" ht="15.6" x14ac:dyDescent="0.35">
      <c r="B6" s="8" t="s">
        <v>23</v>
      </c>
      <c r="C6" s="8"/>
    </row>
    <row r="9" spans="1:4" ht="15.6" x14ac:dyDescent="0.35">
      <c r="A9" s="4" t="s">
        <v>24</v>
      </c>
      <c r="D9" s="7" t="s">
        <v>25</v>
      </c>
    </row>
    <row r="12" spans="1:4" ht="15.6" x14ac:dyDescent="0.35">
      <c r="B12" s="8" t="s">
        <v>26</v>
      </c>
      <c r="C12" s="8"/>
    </row>
    <row r="13" spans="1:4" ht="16.8" x14ac:dyDescent="0.35">
      <c r="D13" s="7" t="s">
        <v>27</v>
      </c>
    </row>
    <row r="14" spans="1:4" x14ac:dyDescent="0.25">
      <c r="A14" s="6" t="s">
        <v>28</v>
      </c>
    </row>
  </sheetData>
  <mergeCells count="2">
    <mergeCell ref="B6:C6"/>
    <mergeCell ref="B12:C12"/>
  </mergeCells>
  <phoneticPr fontId="1" type="noConversion"/>
  <pageMargins left="0.75" right="0.75" top="1" bottom="1" header="0.5" footer="0.5"/>
  <pageSetup orientation="portrait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8D8E6-49FF-488C-BCE6-82DB2CC395BD}">
  <sheetPr codeName="Sheet4"/>
  <dimension ref="A1:G32"/>
  <sheetViews>
    <sheetView tabSelected="1" zoomScale="130" zoomScaleNormal="130" workbookViewId="0">
      <selection activeCell="D14" sqref="D14"/>
    </sheetView>
  </sheetViews>
  <sheetFormatPr defaultRowHeight="13.2" x14ac:dyDescent="0.25"/>
  <cols>
    <col min="1" max="1" width="30.33203125" style="2" bestFit="1" customWidth="1"/>
    <col min="2" max="3" width="8.88671875" style="2"/>
    <col min="4" max="4" width="37.5546875" style="2" customWidth="1"/>
    <col min="5" max="5" width="29.6640625" style="2" customWidth="1"/>
    <col min="6" max="6" width="25.109375" style="2" bestFit="1" customWidth="1"/>
    <col min="7" max="256" width="8.88671875" style="2"/>
    <col min="257" max="257" width="30.33203125" style="2" bestFit="1" customWidth="1"/>
    <col min="258" max="259" width="8.88671875" style="2"/>
    <col min="260" max="260" width="37.5546875" style="2" customWidth="1"/>
    <col min="261" max="261" width="29.6640625" style="2" customWidth="1"/>
    <col min="262" max="262" width="25.109375" style="2" bestFit="1" customWidth="1"/>
    <col min="263" max="512" width="8.88671875" style="2"/>
    <col min="513" max="513" width="30.33203125" style="2" bestFit="1" customWidth="1"/>
    <col min="514" max="515" width="8.88671875" style="2"/>
    <col min="516" max="516" width="37.5546875" style="2" customWidth="1"/>
    <col min="517" max="517" width="29.6640625" style="2" customWidth="1"/>
    <col min="518" max="518" width="25.109375" style="2" bestFit="1" customWidth="1"/>
    <col min="519" max="768" width="8.88671875" style="2"/>
    <col min="769" max="769" width="30.33203125" style="2" bestFit="1" customWidth="1"/>
    <col min="770" max="771" width="8.88671875" style="2"/>
    <col min="772" max="772" width="37.5546875" style="2" customWidth="1"/>
    <col min="773" max="773" width="29.6640625" style="2" customWidth="1"/>
    <col min="774" max="774" width="25.109375" style="2" bestFit="1" customWidth="1"/>
    <col min="775" max="1024" width="8.88671875" style="2"/>
    <col min="1025" max="1025" width="30.33203125" style="2" bestFit="1" customWidth="1"/>
    <col min="1026" max="1027" width="8.88671875" style="2"/>
    <col min="1028" max="1028" width="37.5546875" style="2" customWidth="1"/>
    <col min="1029" max="1029" width="29.6640625" style="2" customWidth="1"/>
    <col min="1030" max="1030" width="25.109375" style="2" bestFit="1" customWidth="1"/>
    <col min="1031" max="1280" width="8.88671875" style="2"/>
    <col min="1281" max="1281" width="30.33203125" style="2" bestFit="1" customWidth="1"/>
    <col min="1282" max="1283" width="8.88671875" style="2"/>
    <col min="1284" max="1284" width="37.5546875" style="2" customWidth="1"/>
    <col min="1285" max="1285" width="29.6640625" style="2" customWidth="1"/>
    <col min="1286" max="1286" width="25.109375" style="2" bestFit="1" customWidth="1"/>
    <col min="1287" max="1536" width="8.88671875" style="2"/>
    <col min="1537" max="1537" width="30.33203125" style="2" bestFit="1" customWidth="1"/>
    <col min="1538" max="1539" width="8.88671875" style="2"/>
    <col min="1540" max="1540" width="37.5546875" style="2" customWidth="1"/>
    <col min="1541" max="1541" width="29.6640625" style="2" customWidth="1"/>
    <col min="1542" max="1542" width="25.109375" style="2" bestFit="1" customWidth="1"/>
    <col min="1543" max="1792" width="8.88671875" style="2"/>
    <col min="1793" max="1793" width="30.33203125" style="2" bestFit="1" customWidth="1"/>
    <col min="1794" max="1795" width="8.88671875" style="2"/>
    <col min="1796" max="1796" width="37.5546875" style="2" customWidth="1"/>
    <col min="1797" max="1797" width="29.6640625" style="2" customWidth="1"/>
    <col min="1798" max="1798" width="25.109375" style="2" bestFit="1" customWidth="1"/>
    <col min="1799" max="2048" width="8.88671875" style="2"/>
    <col min="2049" max="2049" width="30.33203125" style="2" bestFit="1" customWidth="1"/>
    <col min="2050" max="2051" width="8.88671875" style="2"/>
    <col min="2052" max="2052" width="37.5546875" style="2" customWidth="1"/>
    <col min="2053" max="2053" width="29.6640625" style="2" customWidth="1"/>
    <col min="2054" max="2054" width="25.109375" style="2" bestFit="1" customWidth="1"/>
    <col min="2055" max="2304" width="8.88671875" style="2"/>
    <col min="2305" max="2305" width="30.33203125" style="2" bestFit="1" customWidth="1"/>
    <col min="2306" max="2307" width="8.88671875" style="2"/>
    <col min="2308" max="2308" width="37.5546875" style="2" customWidth="1"/>
    <col min="2309" max="2309" width="29.6640625" style="2" customWidth="1"/>
    <col min="2310" max="2310" width="25.109375" style="2" bestFit="1" customWidth="1"/>
    <col min="2311" max="2560" width="8.88671875" style="2"/>
    <col min="2561" max="2561" width="30.33203125" style="2" bestFit="1" customWidth="1"/>
    <col min="2562" max="2563" width="8.88671875" style="2"/>
    <col min="2564" max="2564" width="37.5546875" style="2" customWidth="1"/>
    <col min="2565" max="2565" width="29.6640625" style="2" customWidth="1"/>
    <col min="2566" max="2566" width="25.109375" style="2" bestFit="1" customWidth="1"/>
    <col min="2567" max="2816" width="8.88671875" style="2"/>
    <col min="2817" max="2817" width="30.33203125" style="2" bestFit="1" customWidth="1"/>
    <col min="2818" max="2819" width="8.88671875" style="2"/>
    <col min="2820" max="2820" width="37.5546875" style="2" customWidth="1"/>
    <col min="2821" max="2821" width="29.6640625" style="2" customWidth="1"/>
    <col min="2822" max="2822" width="25.109375" style="2" bestFit="1" customWidth="1"/>
    <col min="2823" max="3072" width="8.88671875" style="2"/>
    <col min="3073" max="3073" width="30.33203125" style="2" bestFit="1" customWidth="1"/>
    <col min="3074" max="3075" width="8.88671875" style="2"/>
    <col min="3076" max="3076" width="37.5546875" style="2" customWidth="1"/>
    <col min="3077" max="3077" width="29.6640625" style="2" customWidth="1"/>
    <col min="3078" max="3078" width="25.109375" style="2" bestFit="1" customWidth="1"/>
    <col min="3079" max="3328" width="8.88671875" style="2"/>
    <col min="3329" max="3329" width="30.33203125" style="2" bestFit="1" customWidth="1"/>
    <col min="3330" max="3331" width="8.88671875" style="2"/>
    <col min="3332" max="3332" width="37.5546875" style="2" customWidth="1"/>
    <col min="3333" max="3333" width="29.6640625" style="2" customWidth="1"/>
    <col min="3334" max="3334" width="25.109375" style="2" bestFit="1" customWidth="1"/>
    <col min="3335" max="3584" width="8.88671875" style="2"/>
    <col min="3585" max="3585" width="30.33203125" style="2" bestFit="1" customWidth="1"/>
    <col min="3586" max="3587" width="8.88671875" style="2"/>
    <col min="3588" max="3588" width="37.5546875" style="2" customWidth="1"/>
    <col min="3589" max="3589" width="29.6640625" style="2" customWidth="1"/>
    <col min="3590" max="3590" width="25.109375" style="2" bestFit="1" customWidth="1"/>
    <col min="3591" max="3840" width="8.88671875" style="2"/>
    <col min="3841" max="3841" width="30.33203125" style="2" bestFit="1" customWidth="1"/>
    <col min="3842" max="3843" width="8.88671875" style="2"/>
    <col min="3844" max="3844" width="37.5546875" style="2" customWidth="1"/>
    <col min="3845" max="3845" width="29.6640625" style="2" customWidth="1"/>
    <col min="3846" max="3846" width="25.109375" style="2" bestFit="1" customWidth="1"/>
    <col min="3847" max="4096" width="8.88671875" style="2"/>
    <col min="4097" max="4097" width="30.33203125" style="2" bestFit="1" customWidth="1"/>
    <col min="4098" max="4099" width="8.88671875" style="2"/>
    <col min="4100" max="4100" width="37.5546875" style="2" customWidth="1"/>
    <col min="4101" max="4101" width="29.6640625" style="2" customWidth="1"/>
    <col min="4102" max="4102" width="25.109375" style="2" bestFit="1" customWidth="1"/>
    <col min="4103" max="4352" width="8.88671875" style="2"/>
    <col min="4353" max="4353" width="30.33203125" style="2" bestFit="1" customWidth="1"/>
    <col min="4354" max="4355" width="8.88671875" style="2"/>
    <col min="4356" max="4356" width="37.5546875" style="2" customWidth="1"/>
    <col min="4357" max="4357" width="29.6640625" style="2" customWidth="1"/>
    <col min="4358" max="4358" width="25.109375" style="2" bestFit="1" customWidth="1"/>
    <col min="4359" max="4608" width="8.88671875" style="2"/>
    <col min="4609" max="4609" width="30.33203125" style="2" bestFit="1" customWidth="1"/>
    <col min="4610" max="4611" width="8.88671875" style="2"/>
    <col min="4612" max="4612" width="37.5546875" style="2" customWidth="1"/>
    <col min="4613" max="4613" width="29.6640625" style="2" customWidth="1"/>
    <col min="4614" max="4614" width="25.109375" style="2" bestFit="1" customWidth="1"/>
    <col min="4615" max="4864" width="8.88671875" style="2"/>
    <col min="4865" max="4865" width="30.33203125" style="2" bestFit="1" customWidth="1"/>
    <col min="4866" max="4867" width="8.88671875" style="2"/>
    <col min="4868" max="4868" width="37.5546875" style="2" customWidth="1"/>
    <col min="4869" max="4869" width="29.6640625" style="2" customWidth="1"/>
    <col min="4870" max="4870" width="25.109375" style="2" bestFit="1" customWidth="1"/>
    <col min="4871" max="5120" width="8.88671875" style="2"/>
    <col min="5121" max="5121" width="30.33203125" style="2" bestFit="1" customWidth="1"/>
    <col min="5122" max="5123" width="8.88671875" style="2"/>
    <col min="5124" max="5124" width="37.5546875" style="2" customWidth="1"/>
    <col min="5125" max="5125" width="29.6640625" style="2" customWidth="1"/>
    <col min="5126" max="5126" width="25.109375" style="2" bestFit="1" customWidth="1"/>
    <col min="5127" max="5376" width="8.88671875" style="2"/>
    <col min="5377" max="5377" width="30.33203125" style="2" bestFit="1" customWidth="1"/>
    <col min="5378" max="5379" width="8.88671875" style="2"/>
    <col min="5380" max="5380" width="37.5546875" style="2" customWidth="1"/>
    <col min="5381" max="5381" width="29.6640625" style="2" customWidth="1"/>
    <col min="5382" max="5382" width="25.109375" style="2" bestFit="1" customWidth="1"/>
    <col min="5383" max="5632" width="8.88671875" style="2"/>
    <col min="5633" max="5633" width="30.33203125" style="2" bestFit="1" customWidth="1"/>
    <col min="5634" max="5635" width="8.88671875" style="2"/>
    <col min="5636" max="5636" width="37.5546875" style="2" customWidth="1"/>
    <col min="5637" max="5637" width="29.6640625" style="2" customWidth="1"/>
    <col min="5638" max="5638" width="25.109375" style="2" bestFit="1" customWidth="1"/>
    <col min="5639" max="5888" width="8.88671875" style="2"/>
    <col min="5889" max="5889" width="30.33203125" style="2" bestFit="1" customWidth="1"/>
    <col min="5890" max="5891" width="8.88671875" style="2"/>
    <col min="5892" max="5892" width="37.5546875" style="2" customWidth="1"/>
    <col min="5893" max="5893" width="29.6640625" style="2" customWidth="1"/>
    <col min="5894" max="5894" width="25.109375" style="2" bestFit="1" customWidth="1"/>
    <col min="5895" max="6144" width="8.88671875" style="2"/>
    <col min="6145" max="6145" width="30.33203125" style="2" bestFit="1" customWidth="1"/>
    <col min="6146" max="6147" width="8.88671875" style="2"/>
    <col min="6148" max="6148" width="37.5546875" style="2" customWidth="1"/>
    <col min="6149" max="6149" width="29.6640625" style="2" customWidth="1"/>
    <col min="6150" max="6150" width="25.109375" style="2" bestFit="1" customWidth="1"/>
    <col min="6151" max="6400" width="8.88671875" style="2"/>
    <col min="6401" max="6401" width="30.33203125" style="2" bestFit="1" customWidth="1"/>
    <col min="6402" max="6403" width="8.88671875" style="2"/>
    <col min="6404" max="6404" width="37.5546875" style="2" customWidth="1"/>
    <col min="6405" max="6405" width="29.6640625" style="2" customWidth="1"/>
    <col min="6406" max="6406" width="25.109375" style="2" bestFit="1" customWidth="1"/>
    <col min="6407" max="6656" width="8.88671875" style="2"/>
    <col min="6657" max="6657" width="30.33203125" style="2" bestFit="1" customWidth="1"/>
    <col min="6658" max="6659" width="8.88671875" style="2"/>
    <col min="6660" max="6660" width="37.5546875" style="2" customWidth="1"/>
    <col min="6661" max="6661" width="29.6640625" style="2" customWidth="1"/>
    <col min="6662" max="6662" width="25.109375" style="2" bestFit="1" customWidth="1"/>
    <col min="6663" max="6912" width="8.88671875" style="2"/>
    <col min="6913" max="6913" width="30.33203125" style="2" bestFit="1" customWidth="1"/>
    <col min="6914" max="6915" width="8.88671875" style="2"/>
    <col min="6916" max="6916" width="37.5546875" style="2" customWidth="1"/>
    <col min="6917" max="6917" width="29.6640625" style="2" customWidth="1"/>
    <col min="6918" max="6918" width="25.109375" style="2" bestFit="1" customWidth="1"/>
    <col min="6919" max="7168" width="8.88671875" style="2"/>
    <col min="7169" max="7169" width="30.33203125" style="2" bestFit="1" customWidth="1"/>
    <col min="7170" max="7171" width="8.88671875" style="2"/>
    <col min="7172" max="7172" width="37.5546875" style="2" customWidth="1"/>
    <col min="7173" max="7173" width="29.6640625" style="2" customWidth="1"/>
    <col min="7174" max="7174" width="25.109375" style="2" bestFit="1" customWidth="1"/>
    <col min="7175" max="7424" width="8.88671875" style="2"/>
    <col min="7425" max="7425" width="30.33203125" style="2" bestFit="1" customWidth="1"/>
    <col min="7426" max="7427" width="8.88671875" style="2"/>
    <col min="7428" max="7428" width="37.5546875" style="2" customWidth="1"/>
    <col min="7429" max="7429" width="29.6640625" style="2" customWidth="1"/>
    <col min="7430" max="7430" width="25.109375" style="2" bestFit="1" customWidth="1"/>
    <col min="7431" max="7680" width="8.88671875" style="2"/>
    <col min="7681" max="7681" width="30.33203125" style="2" bestFit="1" customWidth="1"/>
    <col min="7682" max="7683" width="8.88671875" style="2"/>
    <col min="7684" max="7684" width="37.5546875" style="2" customWidth="1"/>
    <col min="7685" max="7685" width="29.6640625" style="2" customWidth="1"/>
    <col min="7686" max="7686" width="25.109375" style="2" bestFit="1" customWidth="1"/>
    <col min="7687" max="7936" width="8.88671875" style="2"/>
    <col min="7937" max="7937" width="30.33203125" style="2" bestFit="1" customWidth="1"/>
    <col min="7938" max="7939" width="8.88671875" style="2"/>
    <col min="7940" max="7940" width="37.5546875" style="2" customWidth="1"/>
    <col min="7941" max="7941" width="29.6640625" style="2" customWidth="1"/>
    <col min="7942" max="7942" width="25.109375" style="2" bestFit="1" customWidth="1"/>
    <col min="7943" max="8192" width="8.88671875" style="2"/>
    <col min="8193" max="8193" width="30.33203125" style="2" bestFit="1" customWidth="1"/>
    <col min="8194" max="8195" width="8.88671875" style="2"/>
    <col min="8196" max="8196" width="37.5546875" style="2" customWidth="1"/>
    <col min="8197" max="8197" width="29.6640625" style="2" customWidth="1"/>
    <col min="8198" max="8198" width="25.109375" style="2" bestFit="1" customWidth="1"/>
    <col min="8199" max="8448" width="8.88671875" style="2"/>
    <col min="8449" max="8449" width="30.33203125" style="2" bestFit="1" customWidth="1"/>
    <col min="8450" max="8451" width="8.88671875" style="2"/>
    <col min="8452" max="8452" width="37.5546875" style="2" customWidth="1"/>
    <col min="8453" max="8453" width="29.6640625" style="2" customWidth="1"/>
    <col min="8454" max="8454" width="25.109375" style="2" bestFit="1" customWidth="1"/>
    <col min="8455" max="8704" width="8.88671875" style="2"/>
    <col min="8705" max="8705" width="30.33203125" style="2" bestFit="1" customWidth="1"/>
    <col min="8706" max="8707" width="8.88671875" style="2"/>
    <col min="8708" max="8708" width="37.5546875" style="2" customWidth="1"/>
    <col min="8709" max="8709" width="29.6640625" style="2" customWidth="1"/>
    <col min="8710" max="8710" width="25.109375" style="2" bestFit="1" customWidth="1"/>
    <col min="8711" max="8960" width="8.88671875" style="2"/>
    <col min="8961" max="8961" width="30.33203125" style="2" bestFit="1" customWidth="1"/>
    <col min="8962" max="8963" width="8.88671875" style="2"/>
    <col min="8964" max="8964" width="37.5546875" style="2" customWidth="1"/>
    <col min="8965" max="8965" width="29.6640625" style="2" customWidth="1"/>
    <col min="8966" max="8966" width="25.109375" style="2" bestFit="1" customWidth="1"/>
    <col min="8967" max="9216" width="8.88671875" style="2"/>
    <col min="9217" max="9217" width="30.33203125" style="2" bestFit="1" customWidth="1"/>
    <col min="9218" max="9219" width="8.88671875" style="2"/>
    <col min="9220" max="9220" width="37.5546875" style="2" customWidth="1"/>
    <col min="9221" max="9221" width="29.6640625" style="2" customWidth="1"/>
    <col min="9222" max="9222" width="25.109375" style="2" bestFit="1" customWidth="1"/>
    <col min="9223" max="9472" width="8.88671875" style="2"/>
    <col min="9473" max="9473" width="30.33203125" style="2" bestFit="1" customWidth="1"/>
    <col min="9474" max="9475" width="8.88671875" style="2"/>
    <col min="9476" max="9476" width="37.5546875" style="2" customWidth="1"/>
    <col min="9477" max="9477" width="29.6640625" style="2" customWidth="1"/>
    <col min="9478" max="9478" width="25.109375" style="2" bestFit="1" customWidth="1"/>
    <col min="9479" max="9728" width="8.88671875" style="2"/>
    <col min="9729" max="9729" width="30.33203125" style="2" bestFit="1" customWidth="1"/>
    <col min="9730" max="9731" width="8.88671875" style="2"/>
    <col min="9732" max="9732" width="37.5546875" style="2" customWidth="1"/>
    <col min="9733" max="9733" width="29.6640625" style="2" customWidth="1"/>
    <col min="9734" max="9734" width="25.109375" style="2" bestFit="1" customWidth="1"/>
    <col min="9735" max="9984" width="8.88671875" style="2"/>
    <col min="9985" max="9985" width="30.33203125" style="2" bestFit="1" customWidth="1"/>
    <col min="9986" max="9987" width="8.88671875" style="2"/>
    <col min="9988" max="9988" width="37.5546875" style="2" customWidth="1"/>
    <col min="9989" max="9989" width="29.6640625" style="2" customWidth="1"/>
    <col min="9990" max="9990" width="25.109375" style="2" bestFit="1" customWidth="1"/>
    <col min="9991" max="10240" width="8.88671875" style="2"/>
    <col min="10241" max="10241" width="30.33203125" style="2" bestFit="1" customWidth="1"/>
    <col min="10242" max="10243" width="8.88671875" style="2"/>
    <col min="10244" max="10244" width="37.5546875" style="2" customWidth="1"/>
    <col min="10245" max="10245" width="29.6640625" style="2" customWidth="1"/>
    <col min="10246" max="10246" width="25.109375" style="2" bestFit="1" customWidth="1"/>
    <col min="10247" max="10496" width="8.88671875" style="2"/>
    <col min="10497" max="10497" width="30.33203125" style="2" bestFit="1" customWidth="1"/>
    <col min="10498" max="10499" width="8.88671875" style="2"/>
    <col min="10500" max="10500" width="37.5546875" style="2" customWidth="1"/>
    <col min="10501" max="10501" width="29.6640625" style="2" customWidth="1"/>
    <col min="10502" max="10502" width="25.109375" style="2" bestFit="1" customWidth="1"/>
    <col min="10503" max="10752" width="8.88671875" style="2"/>
    <col min="10753" max="10753" width="30.33203125" style="2" bestFit="1" customWidth="1"/>
    <col min="10754" max="10755" width="8.88671875" style="2"/>
    <col min="10756" max="10756" width="37.5546875" style="2" customWidth="1"/>
    <col min="10757" max="10757" width="29.6640625" style="2" customWidth="1"/>
    <col min="10758" max="10758" width="25.109375" style="2" bestFit="1" customWidth="1"/>
    <col min="10759" max="11008" width="8.88671875" style="2"/>
    <col min="11009" max="11009" width="30.33203125" style="2" bestFit="1" customWidth="1"/>
    <col min="11010" max="11011" width="8.88671875" style="2"/>
    <col min="11012" max="11012" width="37.5546875" style="2" customWidth="1"/>
    <col min="11013" max="11013" width="29.6640625" style="2" customWidth="1"/>
    <col min="11014" max="11014" width="25.109375" style="2" bestFit="1" customWidth="1"/>
    <col min="11015" max="11264" width="8.88671875" style="2"/>
    <col min="11265" max="11265" width="30.33203125" style="2" bestFit="1" customWidth="1"/>
    <col min="11266" max="11267" width="8.88671875" style="2"/>
    <col min="11268" max="11268" width="37.5546875" style="2" customWidth="1"/>
    <col min="11269" max="11269" width="29.6640625" style="2" customWidth="1"/>
    <col min="11270" max="11270" width="25.109375" style="2" bestFit="1" customWidth="1"/>
    <col min="11271" max="11520" width="8.88671875" style="2"/>
    <col min="11521" max="11521" width="30.33203125" style="2" bestFit="1" customWidth="1"/>
    <col min="11522" max="11523" width="8.88671875" style="2"/>
    <col min="11524" max="11524" width="37.5546875" style="2" customWidth="1"/>
    <col min="11525" max="11525" width="29.6640625" style="2" customWidth="1"/>
    <col min="11526" max="11526" width="25.109375" style="2" bestFit="1" customWidth="1"/>
    <col min="11527" max="11776" width="8.88671875" style="2"/>
    <col min="11777" max="11777" width="30.33203125" style="2" bestFit="1" customWidth="1"/>
    <col min="11778" max="11779" width="8.88671875" style="2"/>
    <col min="11780" max="11780" width="37.5546875" style="2" customWidth="1"/>
    <col min="11781" max="11781" width="29.6640625" style="2" customWidth="1"/>
    <col min="11782" max="11782" width="25.109375" style="2" bestFit="1" customWidth="1"/>
    <col min="11783" max="12032" width="8.88671875" style="2"/>
    <col min="12033" max="12033" width="30.33203125" style="2" bestFit="1" customWidth="1"/>
    <col min="12034" max="12035" width="8.88671875" style="2"/>
    <col min="12036" max="12036" width="37.5546875" style="2" customWidth="1"/>
    <col min="12037" max="12037" width="29.6640625" style="2" customWidth="1"/>
    <col min="12038" max="12038" width="25.109375" style="2" bestFit="1" customWidth="1"/>
    <col min="12039" max="12288" width="8.88671875" style="2"/>
    <col min="12289" max="12289" width="30.33203125" style="2" bestFit="1" customWidth="1"/>
    <col min="12290" max="12291" width="8.88671875" style="2"/>
    <col min="12292" max="12292" width="37.5546875" style="2" customWidth="1"/>
    <col min="12293" max="12293" width="29.6640625" style="2" customWidth="1"/>
    <col min="12294" max="12294" width="25.109375" style="2" bestFit="1" customWidth="1"/>
    <col min="12295" max="12544" width="8.88671875" style="2"/>
    <col min="12545" max="12545" width="30.33203125" style="2" bestFit="1" customWidth="1"/>
    <col min="12546" max="12547" width="8.88671875" style="2"/>
    <col min="12548" max="12548" width="37.5546875" style="2" customWidth="1"/>
    <col min="12549" max="12549" width="29.6640625" style="2" customWidth="1"/>
    <col min="12550" max="12550" width="25.109375" style="2" bestFit="1" customWidth="1"/>
    <col min="12551" max="12800" width="8.88671875" style="2"/>
    <col min="12801" max="12801" width="30.33203125" style="2" bestFit="1" customWidth="1"/>
    <col min="12802" max="12803" width="8.88671875" style="2"/>
    <col min="12804" max="12804" width="37.5546875" style="2" customWidth="1"/>
    <col min="12805" max="12805" width="29.6640625" style="2" customWidth="1"/>
    <col min="12806" max="12806" width="25.109375" style="2" bestFit="1" customWidth="1"/>
    <col min="12807" max="13056" width="8.88671875" style="2"/>
    <col min="13057" max="13057" width="30.33203125" style="2" bestFit="1" customWidth="1"/>
    <col min="13058" max="13059" width="8.88671875" style="2"/>
    <col min="13060" max="13060" width="37.5546875" style="2" customWidth="1"/>
    <col min="13061" max="13061" width="29.6640625" style="2" customWidth="1"/>
    <col min="13062" max="13062" width="25.109375" style="2" bestFit="1" customWidth="1"/>
    <col min="13063" max="13312" width="8.88671875" style="2"/>
    <col min="13313" max="13313" width="30.33203125" style="2" bestFit="1" customWidth="1"/>
    <col min="13314" max="13315" width="8.88671875" style="2"/>
    <col min="13316" max="13316" width="37.5546875" style="2" customWidth="1"/>
    <col min="13317" max="13317" width="29.6640625" style="2" customWidth="1"/>
    <col min="13318" max="13318" width="25.109375" style="2" bestFit="1" customWidth="1"/>
    <col min="13319" max="13568" width="8.88671875" style="2"/>
    <col min="13569" max="13569" width="30.33203125" style="2" bestFit="1" customWidth="1"/>
    <col min="13570" max="13571" width="8.88671875" style="2"/>
    <col min="13572" max="13572" width="37.5546875" style="2" customWidth="1"/>
    <col min="13573" max="13573" width="29.6640625" style="2" customWidth="1"/>
    <col min="13574" max="13574" width="25.109375" style="2" bestFit="1" customWidth="1"/>
    <col min="13575" max="13824" width="8.88671875" style="2"/>
    <col min="13825" max="13825" width="30.33203125" style="2" bestFit="1" customWidth="1"/>
    <col min="13826" max="13827" width="8.88671875" style="2"/>
    <col min="13828" max="13828" width="37.5546875" style="2" customWidth="1"/>
    <col min="13829" max="13829" width="29.6640625" style="2" customWidth="1"/>
    <col min="13830" max="13830" width="25.109375" style="2" bestFit="1" customWidth="1"/>
    <col min="13831" max="14080" width="8.88671875" style="2"/>
    <col min="14081" max="14081" width="30.33203125" style="2" bestFit="1" customWidth="1"/>
    <col min="14082" max="14083" width="8.88671875" style="2"/>
    <col min="14084" max="14084" width="37.5546875" style="2" customWidth="1"/>
    <col min="14085" max="14085" width="29.6640625" style="2" customWidth="1"/>
    <col min="14086" max="14086" width="25.109375" style="2" bestFit="1" customWidth="1"/>
    <col min="14087" max="14336" width="8.88671875" style="2"/>
    <col min="14337" max="14337" width="30.33203125" style="2" bestFit="1" customWidth="1"/>
    <col min="14338" max="14339" width="8.88671875" style="2"/>
    <col min="14340" max="14340" width="37.5546875" style="2" customWidth="1"/>
    <col min="14341" max="14341" width="29.6640625" style="2" customWidth="1"/>
    <col min="14342" max="14342" width="25.109375" style="2" bestFit="1" customWidth="1"/>
    <col min="14343" max="14592" width="8.88671875" style="2"/>
    <col min="14593" max="14593" width="30.33203125" style="2" bestFit="1" customWidth="1"/>
    <col min="14594" max="14595" width="8.88671875" style="2"/>
    <col min="14596" max="14596" width="37.5546875" style="2" customWidth="1"/>
    <col min="14597" max="14597" width="29.6640625" style="2" customWidth="1"/>
    <col min="14598" max="14598" width="25.109375" style="2" bestFit="1" customWidth="1"/>
    <col min="14599" max="14848" width="8.88671875" style="2"/>
    <col min="14849" max="14849" width="30.33203125" style="2" bestFit="1" customWidth="1"/>
    <col min="14850" max="14851" width="8.88671875" style="2"/>
    <col min="14852" max="14852" width="37.5546875" style="2" customWidth="1"/>
    <col min="14853" max="14853" width="29.6640625" style="2" customWidth="1"/>
    <col min="14854" max="14854" width="25.109375" style="2" bestFit="1" customWidth="1"/>
    <col min="14855" max="15104" width="8.88671875" style="2"/>
    <col min="15105" max="15105" width="30.33203125" style="2" bestFit="1" customWidth="1"/>
    <col min="15106" max="15107" width="8.88671875" style="2"/>
    <col min="15108" max="15108" width="37.5546875" style="2" customWidth="1"/>
    <col min="15109" max="15109" width="29.6640625" style="2" customWidth="1"/>
    <col min="15110" max="15110" width="25.109375" style="2" bestFit="1" customWidth="1"/>
    <col min="15111" max="15360" width="8.88671875" style="2"/>
    <col min="15361" max="15361" width="30.33203125" style="2" bestFit="1" customWidth="1"/>
    <col min="15362" max="15363" width="8.88671875" style="2"/>
    <col min="15364" max="15364" width="37.5546875" style="2" customWidth="1"/>
    <col min="15365" max="15365" width="29.6640625" style="2" customWidth="1"/>
    <col min="15366" max="15366" width="25.109375" style="2" bestFit="1" customWidth="1"/>
    <col min="15367" max="15616" width="8.88671875" style="2"/>
    <col min="15617" max="15617" width="30.33203125" style="2" bestFit="1" customWidth="1"/>
    <col min="15618" max="15619" width="8.88671875" style="2"/>
    <col min="15620" max="15620" width="37.5546875" style="2" customWidth="1"/>
    <col min="15621" max="15621" width="29.6640625" style="2" customWidth="1"/>
    <col min="15622" max="15622" width="25.109375" style="2" bestFit="1" customWidth="1"/>
    <col min="15623" max="15872" width="8.88671875" style="2"/>
    <col min="15873" max="15873" width="30.33203125" style="2" bestFit="1" customWidth="1"/>
    <col min="15874" max="15875" width="8.88671875" style="2"/>
    <col min="15876" max="15876" width="37.5546875" style="2" customWidth="1"/>
    <col min="15877" max="15877" width="29.6640625" style="2" customWidth="1"/>
    <col min="15878" max="15878" width="25.109375" style="2" bestFit="1" customWidth="1"/>
    <col min="15879" max="16128" width="8.88671875" style="2"/>
    <col min="16129" max="16129" width="30.33203125" style="2" bestFit="1" customWidth="1"/>
    <col min="16130" max="16131" width="8.88671875" style="2"/>
    <col min="16132" max="16132" width="37.5546875" style="2" customWidth="1"/>
    <col min="16133" max="16133" width="29.6640625" style="2" customWidth="1"/>
    <col min="16134" max="16134" width="25.109375" style="2" bestFit="1" customWidth="1"/>
    <col min="16135" max="16384" width="8.88671875" style="2"/>
  </cols>
  <sheetData>
    <row r="1" spans="1:7" ht="66" customHeight="1" x14ac:dyDescent="0.3">
      <c r="A1" s="1" t="s">
        <v>29</v>
      </c>
      <c r="B1" s="9"/>
      <c r="C1" s="9"/>
      <c r="D1" s="9"/>
      <c r="E1" s="10"/>
      <c r="F1" s="11"/>
      <c r="G1" s="11"/>
    </row>
    <row r="2" spans="1:7" x14ac:dyDescent="0.25">
      <c r="A2" s="2" t="s">
        <v>30</v>
      </c>
      <c r="B2" s="2">
        <v>50</v>
      </c>
    </row>
    <row r="3" spans="1:7" x14ac:dyDescent="0.25">
      <c r="A3" s="2" t="s">
        <v>31</v>
      </c>
      <c r="B3" s="2">
        <v>50</v>
      </c>
    </row>
    <row r="5" spans="1:7" x14ac:dyDescent="0.25">
      <c r="A5" s="2" t="s">
        <v>20</v>
      </c>
      <c r="B5" s="2">
        <v>1.4</v>
      </c>
    </row>
    <row r="6" spans="1:7" x14ac:dyDescent="0.25">
      <c r="A6" s="2" t="s">
        <v>21</v>
      </c>
      <c r="B6" s="2">
        <v>0.9</v>
      </c>
    </row>
    <row r="7" spans="1:7" x14ac:dyDescent="0.25">
      <c r="A7" s="2" t="s">
        <v>6</v>
      </c>
      <c r="B7" s="2">
        <v>1.05</v>
      </c>
    </row>
    <row r="9" spans="1:7" x14ac:dyDescent="0.25">
      <c r="A9" s="6" t="s">
        <v>32</v>
      </c>
    </row>
    <row r="10" spans="1:7" ht="15.6" x14ac:dyDescent="0.35">
      <c r="A10" s="2" t="s">
        <v>33</v>
      </c>
      <c r="B10" s="12">
        <f>(R_-down)/(R_*(up-down))</f>
        <v>0.28571428571428581</v>
      </c>
      <c r="C10" s="2" t="str">
        <f t="shared" ref="C10:C11" ca="1" si="0">_xlfn.FORMULATEXT(B10)</f>
        <v>=(R_-down)/(R_*(up-down))</v>
      </c>
    </row>
    <row r="11" spans="1:7" ht="15.6" x14ac:dyDescent="0.35">
      <c r="A11" s="2" t="s">
        <v>34</v>
      </c>
      <c r="B11" s="12">
        <f>(up-R_)/(R_*(up-down))</f>
        <v>0.66666666666666652</v>
      </c>
      <c r="C11" s="2" t="str">
        <f t="shared" ca="1" si="0"/>
        <v>=(up-R_)/(R_*(up-down))</v>
      </c>
    </row>
    <row r="13" spans="1:7" x14ac:dyDescent="0.25">
      <c r="A13" s="6" t="s">
        <v>35</v>
      </c>
    </row>
    <row r="14" spans="1:7" ht="15.6" x14ac:dyDescent="0.35">
      <c r="A14" s="13" t="s">
        <v>36</v>
      </c>
      <c r="B14" s="14">
        <f>B10*$B$7</f>
        <v>0.3000000000000001</v>
      </c>
      <c r="C14" s="2" t="str">
        <f t="shared" ref="C14:C15" ca="1" si="1">_xlfn.FORMULATEXT(B14)</f>
        <v>=B10*$B$7</v>
      </c>
    </row>
    <row r="15" spans="1:7" ht="15.6" x14ac:dyDescent="0.35">
      <c r="A15" s="13" t="s">
        <v>37</v>
      </c>
      <c r="B15" s="14">
        <f>B11*$B$7</f>
        <v>0.69999999999999984</v>
      </c>
      <c r="C15" s="2" t="str">
        <f t="shared" ca="1" si="1"/>
        <v>=B11*$B$7</v>
      </c>
    </row>
    <row r="17" spans="1:4" x14ac:dyDescent="0.25">
      <c r="A17" s="3" t="s">
        <v>38</v>
      </c>
      <c r="B17" s="3"/>
      <c r="C17" s="3"/>
    </row>
    <row r="18" spans="1:4" x14ac:dyDescent="0.25">
      <c r="A18" s="2" t="s">
        <v>39</v>
      </c>
      <c r="B18" s="2">
        <f ca="1">IF(RAND()&gt;$B$15,1,0)</f>
        <v>0</v>
      </c>
      <c r="C18" s="2">
        <f ca="1">IF(RAND()&gt;$B$15,1,0)</f>
        <v>1</v>
      </c>
      <c r="D18" s="2" t="str">
        <f ca="1">_xlfn.FORMULATEXT(C18)</f>
        <v>=IF(RAND()&gt;$B$15,1,0)</v>
      </c>
    </row>
    <row r="19" spans="1:4" x14ac:dyDescent="0.25">
      <c r="A19" s="2" t="s">
        <v>40</v>
      </c>
      <c r="B19" s="2">
        <f ca="1">IF(RAND()&gt;$B$15,1,0)</f>
        <v>1</v>
      </c>
      <c r="C19" s="2">
        <f ca="1">IF(RAND()&gt;$B$15,1,0)</f>
        <v>0</v>
      </c>
      <c r="D19" s="2" t="str">
        <f ca="1">_xlfn.FORMULATEXT(C19)</f>
        <v>=IF(RAND()&gt;$B$15,1,0)</v>
      </c>
    </row>
    <row r="21" spans="1:4" x14ac:dyDescent="0.25">
      <c r="A21" s="6" t="s">
        <v>41</v>
      </c>
      <c r="B21" s="2">
        <f ca="1">SUM(B18:B19)</f>
        <v>1</v>
      </c>
      <c r="C21" s="2">
        <f ca="1">SUM(C18:C19)</f>
        <v>1</v>
      </c>
      <c r="D21" s="2" t="str">
        <f t="shared" ref="D21:D23" ca="1" si="2">_xlfn.FORMULATEXT(C21)</f>
        <v>=SUM(C18:C19)</v>
      </c>
    </row>
    <row r="22" spans="1:4" x14ac:dyDescent="0.25">
      <c r="A22" s="15" t="s">
        <v>42</v>
      </c>
      <c r="B22" s="2">
        <f ca="1">$B$2*up^B21*down^(2-B21)</f>
        <v>63</v>
      </c>
      <c r="C22" s="2">
        <f ca="1">$B$2*up^C21*down^(2-C21)</f>
        <v>63</v>
      </c>
      <c r="D22" s="2" t="str">
        <f t="shared" ca="1" si="2"/>
        <v>=$B$2*up^C21*down^(2-C21)</v>
      </c>
    </row>
    <row r="23" spans="1:4" x14ac:dyDescent="0.25">
      <c r="A23" s="6" t="s">
        <v>43</v>
      </c>
      <c r="B23" s="2">
        <f ca="1">MAX(B22-$B$3,0)</f>
        <v>13</v>
      </c>
      <c r="C23" s="2">
        <f ca="1">MAX(C22-$B$3,0)</f>
        <v>13</v>
      </c>
      <c r="D23" s="2" t="str">
        <f t="shared" ca="1" si="2"/>
        <v>=MAX(C22-$B$3,0)</v>
      </c>
    </row>
    <row r="25" spans="1:4" x14ac:dyDescent="0.25">
      <c r="A25" s="16" t="s">
        <v>44</v>
      </c>
      <c r="B25" s="14">
        <f ca="1">AVERAGE(23:23)/R_^2</f>
        <v>11.791383219954648</v>
      </c>
      <c r="C25" s="2" t="str">
        <f ca="1">_xlfn.FORMULATEXT(B25)</f>
        <v>=AVERAGE(23:23)/R_^2</v>
      </c>
    </row>
    <row r="27" spans="1:4" x14ac:dyDescent="0.25">
      <c r="A27" s="6" t="s">
        <v>45</v>
      </c>
    </row>
    <row r="28" spans="1:4" x14ac:dyDescent="0.25">
      <c r="A28" s="6" t="s">
        <v>46</v>
      </c>
    </row>
    <row r="29" spans="1:4" x14ac:dyDescent="0.25">
      <c r="A29" s="2" t="s">
        <v>47</v>
      </c>
      <c r="B29" s="2">
        <f>MAX(B2*up^2-B3,0)</f>
        <v>47.999999999999986</v>
      </c>
      <c r="C29" s="2" t="str">
        <f t="shared" ref="C29:C32" ca="1" si="3">_xlfn.FORMULATEXT(B29)</f>
        <v>=MAX(B2*up^2-B3,0)</v>
      </c>
    </row>
    <row r="30" spans="1:4" x14ac:dyDescent="0.25">
      <c r="A30" s="2" t="s">
        <v>48</v>
      </c>
      <c r="B30" s="2">
        <f>MAX(B2*up*down-B3,0)</f>
        <v>13</v>
      </c>
      <c r="C30" s="2" t="str">
        <f t="shared" ca="1" si="3"/>
        <v>=MAX(B2*up*down-B3,0)</v>
      </c>
    </row>
    <row r="31" spans="1:4" x14ac:dyDescent="0.25">
      <c r="A31" s="2" t="s">
        <v>49</v>
      </c>
      <c r="B31" s="2">
        <f>MAX(B2*down^2-B3,0)</f>
        <v>0</v>
      </c>
      <c r="C31" s="2" t="str">
        <f t="shared" ca="1" si="3"/>
        <v>=MAX(B2*down^2-B3,0)</v>
      </c>
    </row>
    <row r="32" spans="1:4" x14ac:dyDescent="0.25">
      <c r="A32" s="17" t="s">
        <v>50</v>
      </c>
      <c r="B32" s="14">
        <f>q_up^2*B29+2*q_up*q_down*B30+q_down^2*B31</f>
        <v>8.8707482993197289</v>
      </c>
      <c r="C32" s="2" t="str">
        <f t="shared" ca="1" si="3"/>
        <v>=q_up^2*B29+2*q_up*q_down*B30+q_down^2*B31</v>
      </c>
    </row>
  </sheetData>
  <mergeCells count="2">
    <mergeCell ref="A1:D1"/>
    <mergeCell ref="A17:C17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5</vt:i4>
      </vt:variant>
    </vt:vector>
  </HeadingPairs>
  <TitlesOfParts>
    <vt:vector size="9" baseType="lpstr">
      <vt:lpstr>Sheet1</vt:lpstr>
      <vt:lpstr>Page 615</vt:lpstr>
      <vt:lpstr>Page 616, top</vt:lpstr>
      <vt:lpstr>Page 616, bottom</vt:lpstr>
      <vt:lpstr>'Page 616, bottom'!down</vt:lpstr>
      <vt:lpstr>'Page 616, bottom'!q_down</vt:lpstr>
      <vt:lpstr>'Page 616, bottom'!q_up</vt:lpstr>
      <vt:lpstr>'Page 616, bottom'!R_</vt:lpstr>
      <vt:lpstr>'Page 616, bottom'!up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2024-12-11T03:14:11Z</dcterms:modified>
</cp:coreProperties>
</file>