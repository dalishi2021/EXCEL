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C4FD27B0-FEBF-46FF-9357-54DFAD95B81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45" sheetId="2" r:id="rId2"/>
  </sheets>
  <functionGroups builtInGroupCount="19"/>
  <externalReferences>
    <externalReference r:id="rId3"/>
    <externalReference r:id="rId4"/>
    <externalReference r:id="rId5"/>
  </externalReferences>
  <definedNames>
    <definedName name="Call">#REF!</definedName>
    <definedName name="Down" localSheetId="1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 localSheetId="1">#REF!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" l="1"/>
  <c r="B14" i="2"/>
  <c r="B13" i="2"/>
  <c r="B11" i="2"/>
  <c r="A1" i="2"/>
  <c r="F26" i="2"/>
  <c r="B24" i="2"/>
  <c r="D21" i="2"/>
  <c r="E26" i="2"/>
  <c r="A24" i="2"/>
  <c r="C21" i="2"/>
  <c r="D26" i="2"/>
  <c r="F23" i="2"/>
  <c r="B21" i="2"/>
  <c r="C26" i="2"/>
  <c r="E23" i="2"/>
  <c r="A21" i="2"/>
  <c r="B26" i="2"/>
  <c r="D23" i="2"/>
  <c r="F20" i="2"/>
  <c r="A26" i="2"/>
  <c r="C23" i="2"/>
  <c r="E20" i="2"/>
  <c r="F25" i="2"/>
  <c r="B23" i="2"/>
  <c r="D20" i="2"/>
  <c r="E25" i="2"/>
  <c r="A23" i="2"/>
  <c r="C20" i="2"/>
  <c r="D25" i="2"/>
  <c r="F22" i="2"/>
  <c r="B20" i="2"/>
  <c r="E24" i="2"/>
  <c r="C25" i="2"/>
  <c r="E22" i="2"/>
  <c r="A20" i="2"/>
  <c r="B25" i="2"/>
  <c r="D22" i="2"/>
  <c r="F19" i="2"/>
  <c r="A22" i="2"/>
  <c r="A25" i="2"/>
  <c r="C22" i="2"/>
  <c r="E19" i="2"/>
  <c r="F24" i="2"/>
  <c r="B22" i="2"/>
  <c r="D19" i="2"/>
  <c r="D24" i="2"/>
  <c r="F21" i="2"/>
  <c r="B19" i="2"/>
  <c r="C24" i="2"/>
  <c r="E21" i="2"/>
  <c r="A19" i="2"/>
  <c r="C19" i="2"/>
  <c r="G35" i="2"/>
  <c r="C31" i="2"/>
  <c r="C30" i="2"/>
  <c r="C29" i="2"/>
  <c r="C28" i="2"/>
  <c r="G19" i="2"/>
  <c r="C15" i="2"/>
  <c r="C14" i="2"/>
  <c r="C13" i="2"/>
  <c r="C11" i="2"/>
  <c r="B31" i="2" l="1"/>
  <c r="F35" i="2" s="1"/>
  <c r="B28" i="2"/>
  <c r="C35" i="2" s="1"/>
  <c r="B29" i="2"/>
  <c r="D35" i="2" s="1"/>
  <c r="B30" i="2"/>
  <c r="E35" i="2" s="1"/>
</calcChain>
</file>

<file path=xl/sharedStrings.xml><?xml version="1.0" encoding="utf-8"?>
<sst xmlns="http://schemas.openxmlformats.org/spreadsheetml/2006/main" count="23" uniqueCount="21">
  <si>
    <r>
      <t>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current stock price</t>
    </r>
  </si>
  <si>
    <t>X, exercise price</t>
  </si>
  <si>
    <t>Barrier</t>
  </si>
  <si>
    <t>T, time to option exercise</t>
  </si>
  <si>
    <t>r, interest rate</t>
  </si>
  <si>
    <r>
      <t>m</t>
    </r>
    <r>
      <rPr>
        <sz val="10"/>
        <rFont val="Arial"/>
        <family val="2"/>
      </rPr>
      <t>, mean stock return</t>
    </r>
  </si>
  <si>
    <r>
      <t>s</t>
    </r>
    <r>
      <rPr>
        <sz val="10"/>
        <rFont val="Arial"/>
        <family val="2"/>
      </rPr>
      <t>, standard deviation of stock return</t>
    </r>
  </si>
  <si>
    <t>n, number of sub-intervals of 1 period</t>
  </si>
  <si>
    <t>Delta t</t>
  </si>
  <si>
    <t>Up over 1 sub-interval</t>
  </si>
  <si>
    <t>Down over 1 sub-interval</t>
  </si>
  <si>
    <t>Interest over 1 sub-interval</t>
  </si>
  <si>
    <t>Runs</t>
  </si>
  <si>
    <t>Average of above</t>
  </si>
  <si>
    <t>Minimum</t>
  </si>
  <si>
    <t>Maxmimum</t>
  </si>
  <si>
    <t xml:space="preserve">Standard deviation </t>
  </si>
  <si>
    <t>Data table:  Sensitivity of results on number of runs</t>
  </si>
  <si>
    <t>Average
of 48 MCBarrierIn</t>
  </si>
  <si>
    <t>Maximum</t>
  </si>
  <si>
    <t>Standard
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</si>
</sst>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;;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left" vertical="center" wrapText="1"/>
    </xf>
    <xf numFmtId="0" fontId="2" fillId="0" borderId="0" xfId="1" applyAlignment="1">
      <alignment horizontal="right" vertical="center" wrapText="1"/>
    </xf>
    <xf numFmtId="0" fontId="2" fillId="0" borderId="0" xfId="1" applyAlignment="1">
      <alignment horizontal="center" vertical="center" wrapText="1"/>
    </xf>
    <xf numFmtId="9" fontId="2" fillId="0" borderId="0" xfId="1" applyNumberFormat="1" applyAlignment="1">
      <alignment horizontal="right" vertical="center" wrapText="1"/>
    </xf>
    <xf numFmtId="0" fontId="5" fillId="0" borderId="0" xfId="1" applyFont="1" applyAlignment="1">
      <alignment horizontal="left" vertical="center" wrapText="1"/>
    </xf>
    <xf numFmtId="176" fontId="2" fillId="0" borderId="0" xfId="1" applyNumberFormat="1"/>
    <xf numFmtId="0" fontId="2" fillId="2" borderId="0" xfId="1" applyFill="1" applyAlignment="1">
      <alignment horizontal="left" indent="3"/>
    </xf>
    <xf numFmtId="176" fontId="2" fillId="2" borderId="0" xfId="1" applyNumberFormat="1" applyFill="1"/>
    <xf numFmtId="0" fontId="2" fillId="0" borderId="0" xfId="1" applyAlignment="1">
      <alignment horizontal="left" indent="3"/>
    </xf>
    <xf numFmtId="0" fontId="6" fillId="0" borderId="0" xfId="1" applyFont="1"/>
    <xf numFmtId="0" fontId="7" fillId="0" borderId="0" xfId="1" applyFont="1" applyAlignment="1">
      <alignment horizontal="center" vertical="center" wrapText="1"/>
    </xf>
    <xf numFmtId="0" fontId="7" fillId="0" borderId="0" xfId="1" applyFont="1" applyAlignment="1">
      <alignment horizontal="center" vertical="center"/>
    </xf>
    <xf numFmtId="177" fontId="2" fillId="0" borderId="0" xfId="1" applyNumberFormat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EB728301-B37C-42A8-985F-D2D4897F5F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48 MCBarrierIn Simulations for Various Numbers of Runs</a:t>
            </a:r>
          </a:p>
        </c:rich>
      </c:tx>
      <c:layout>
        <c:manualLayout>
          <c:xMode val="edge"/>
          <c:yMode val="edge"/>
          <c:x val="0.135000054931663"/>
          <c:y val="3.7783386932568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3333855523216"/>
          <c:y val="8.8161236175994084E-2"/>
          <c:w val="0.77166698065876504"/>
          <c:h val="0.710327674332295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645'!$C$34</c:f>
              <c:strCache>
                <c:ptCount val="1"/>
                <c:pt idx="0">
                  <c:v>Average
of 48 MCBarrierIn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645'!$B$36:$B$46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645'!$C$36:$C$46</c:f>
              <c:numCache>
                <c:formatCode>0.0000</c:formatCode>
                <c:ptCount val="11"/>
                <c:pt idx="0">
                  <c:v>6.8512194482475595</c:v>
                </c:pt>
                <c:pt idx="1">
                  <c:v>6.9626821385494644</c:v>
                </c:pt>
                <c:pt idx="2">
                  <c:v>7.0178642717113533</c:v>
                </c:pt>
                <c:pt idx="3">
                  <c:v>6.8795043778994662</c:v>
                </c:pt>
                <c:pt idx="4">
                  <c:v>6.896469957234646</c:v>
                </c:pt>
                <c:pt idx="5">
                  <c:v>6.9174801305329723</c:v>
                </c:pt>
                <c:pt idx="6">
                  <c:v>6.9412449700474239</c:v>
                </c:pt>
                <c:pt idx="7">
                  <c:v>7.01529255230093</c:v>
                </c:pt>
                <c:pt idx="8">
                  <c:v>6.9512653837036131</c:v>
                </c:pt>
                <c:pt idx="9">
                  <c:v>6.8781908369563389</c:v>
                </c:pt>
                <c:pt idx="10">
                  <c:v>6.9044609330911273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E2-40EC-964A-BDF0277A0A0F}"/>
            </c:ext>
          </c:extLst>
        </c:ser>
        <c:ser>
          <c:idx val="1"/>
          <c:order val="1"/>
          <c:tx>
            <c:strRef>
              <c:f>'Page 645'!$D$34</c:f>
              <c:strCache>
                <c:ptCount val="1"/>
                <c:pt idx="0">
                  <c:v>Minimum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645'!$B$36:$B$46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645'!$D$36:$D$46</c:f>
              <c:numCache>
                <c:formatCode>0.0000</c:formatCode>
                <c:ptCount val="11"/>
                <c:pt idx="0">
                  <c:v>5.0275284087888839</c:v>
                </c:pt>
                <c:pt idx="1">
                  <c:v>5.5685583019032228</c:v>
                </c:pt>
                <c:pt idx="2">
                  <c:v>6.0684845368621803</c:v>
                </c:pt>
                <c:pt idx="3">
                  <c:v>5.9237589173960625</c:v>
                </c:pt>
                <c:pt idx="4">
                  <c:v>5.920967903655395</c:v>
                </c:pt>
                <c:pt idx="5">
                  <c:v>5.981318198583164</c:v>
                </c:pt>
                <c:pt idx="6">
                  <c:v>6.3514724496631052</c:v>
                </c:pt>
                <c:pt idx="7">
                  <c:v>6.0940577245601961</c:v>
                </c:pt>
                <c:pt idx="8">
                  <c:v>6.2048487467577322</c:v>
                </c:pt>
                <c:pt idx="9">
                  <c:v>6.2289291203553629</c:v>
                </c:pt>
                <c:pt idx="10">
                  <c:v>6.4025093336334535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E2-40EC-964A-BDF0277A0A0F}"/>
            </c:ext>
          </c:extLst>
        </c:ser>
        <c:ser>
          <c:idx val="2"/>
          <c:order val="2"/>
          <c:tx>
            <c:strRef>
              <c:f>'Page 645'!$E$34</c:f>
              <c:strCache>
                <c:ptCount val="1"/>
                <c:pt idx="0">
                  <c:v>Maximum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'Page 645'!$B$36:$B$46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645'!$E$36:$E$46</c:f>
              <c:numCache>
                <c:formatCode>0.0000</c:formatCode>
                <c:ptCount val="11"/>
                <c:pt idx="0">
                  <c:v>8.6504960346635826</c:v>
                </c:pt>
                <c:pt idx="1">
                  <c:v>8.2033757001238872</c:v>
                </c:pt>
                <c:pt idx="2">
                  <c:v>8.2433406355676873</c:v>
                </c:pt>
                <c:pt idx="3">
                  <c:v>7.5114990867009421</c:v>
                </c:pt>
                <c:pt idx="4">
                  <c:v>7.6398127235324358</c:v>
                </c:pt>
                <c:pt idx="5">
                  <c:v>7.615638163803145</c:v>
                </c:pt>
                <c:pt idx="6">
                  <c:v>7.7743469171488657</c:v>
                </c:pt>
                <c:pt idx="7">
                  <c:v>7.7698389145481519</c:v>
                </c:pt>
                <c:pt idx="8">
                  <c:v>7.5251616726762238</c:v>
                </c:pt>
                <c:pt idx="9">
                  <c:v>7.6637879350252343</c:v>
                </c:pt>
                <c:pt idx="10">
                  <c:v>7.504709222928013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E2-40EC-964A-BDF0277A0A0F}"/>
            </c:ext>
          </c:extLst>
        </c:ser>
        <c:ser>
          <c:idx val="3"/>
          <c:order val="3"/>
          <c:tx>
            <c:strRef>
              <c:f>'Page 645'!$F$34</c:f>
              <c:strCache>
                <c:ptCount val="1"/>
                <c:pt idx="0">
                  <c:v>Standard
deviation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'Page 645'!$B$36:$B$46</c:f>
              <c:numCache>
                <c:formatCode>General</c:formatCode>
                <c:ptCount val="11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</c:numCache>
            </c:numRef>
          </c:xVal>
          <c:yVal>
            <c:numRef>
              <c:f>'Page 645'!$F$36:$F$46</c:f>
              <c:numCache>
                <c:formatCode>0.0000</c:formatCode>
                <c:ptCount val="11"/>
                <c:pt idx="0">
                  <c:v>0.85030242577908566</c:v>
                </c:pt>
                <c:pt idx="1">
                  <c:v>0.59272902266842931</c:v>
                </c:pt>
                <c:pt idx="2">
                  <c:v>0.51133927617590436</c:v>
                </c:pt>
                <c:pt idx="3">
                  <c:v>0.38302877150170128</c:v>
                </c:pt>
                <c:pt idx="4">
                  <c:v>0.35723982768543117</c:v>
                </c:pt>
                <c:pt idx="5">
                  <c:v>0.33692076952762201</c:v>
                </c:pt>
                <c:pt idx="6">
                  <c:v>0.34236532351279741</c:v>
                </c:pt>
                <c:pt idx="7">
                  <c:v>0.37279181952766305</c:v>
                </c:pt>
                <c:pt idx="8">
                  <c:v>0.28655822816696336</c:v>
                </c:pt>
                <c:pt idx="9">
                  <c:v>0.32640345931682146</c:v>
                </c:pt>
                <c:pt idx="10">
                  <c:v>0.25792077859133455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E2-40EC-964A-BDF0277A0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224760"/>
        <c:axId val="1"/>
      </c:scatterChart>
      <c:valAx>
        <c:axId val="466224760"/>
        <c:scaling>
          <c:orientation val="minMax"/>
          <c:max val="55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Runs per simulation</a:t>
                </a:r>
              </a:p>
            </c:rich>
          </c:tx>
          <c:layout>
            <c:manualLayout>
              <c:xMode val="edge"/>
              <c:yMode val="edge"/>
              <c:x val="0.41666683620883632"/>
              <c:y val="0.886650146684283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66224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0666687282994505"/>
          <c:y val="0.39042833163654528"/>
          <c:w val="0.24166676500112511"/>
          <c:h val="0.375314976863517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35</xdr:row>
      <xdr:rowOff>0</xdr:rowOff>
    </xdr:from>
    <xdr:to>
      <xdr:col>10</xdr:col>
      <xdr:colOff>0</xdr:colOff>
      <xdr:row>57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AED130C-1A74-42BB-8B63-F8928E495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3barrier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3barri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39"/>
      <sheetName val="Page 639中文"/>
      <sheetName val="Page 641"/>
      <sheetName val="Page 641中文"/>
      <sheetName val="Page 642"/>
      <sheetName val="Page 642 中文"/>
      <sheetName val="Page 644"/>
      <sheetName val="Page 644中文"/>
      <sheetName val="Page 645"/>
      <sheetName val="Page 645中文"/>
      <sheetName val="Page 646"/>
      <sheetName val="Page 646中文"/>
    </sheetNames>
    <sheetDataSet>
      <sheetData sheetId="0">
        <row r="38">
          <cell r="N38">
            <v>1.7374981941133196</v>
          </cell>
        </row>
      </sheetData>
      <sheetData sheetId="1" refreshError="1"/>
      <sheetData sheetId="2">
        <row r="38">
          <cell r="N38">
            <v>9.033351460149543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4">
          <cell r="C34" t="str">
            <v>Average
of 48 MCBarrierIn</v>
          </cell>
          <cell r="D34" t="str">
            <v>Minimum</v>
          </cell>
          <cell r="E34" t="str">
            <v>Maximum</v>
          </cell>
          <cell r="F34" t="str">
            <v>Standard
deviation</v>
          </cell>
        </row>
        <row r="36">
          <cell r="B36">
            <v>50</v>
          </cell>
          <cell r="C36">
            <v>6.9566918725605831</v>
          </cell>
          <cell r="D36">
            <v>5.4917891847696261</v>
          </cell>
          <cell r="E36">
            <v>9.0318687828752449</v>
          </cell>
          <cell r="F36">
            <v>0.86960787477422585</v>
          </cell>
        </row>
        <row r="37">
          <cell r="B37">
            <v>100</v>
          </cell>
          <cell r="C37">
            <v>7.0070218112912199</v>
          </cell>
          <cell r="D37">
            <v>5.1934625987476783</v>
          </cell>
          <cell r="E37">
            <v>9.1429724134029247</v>
          </cell>
          <cell r="F37">
            <v>0.77743973072752126</v>
          </cell>
        </row>
        <row r="38">
          <cell r="B38">
            <v>150</v>
          </cell>
          <cell r="C38">
            <v>6.8380401676402274</v>
          </cell>
          <cell r="D38">
            <v>5.8725925018895602</v>
          </cell>
          <cell r="E38">
            <v>7.9891765661002649</v>
          </cell>
          <cell r="F38">
            <v>0.50541901705178249</v>
          </cell>
        </row>
        <row r="39">
          <cell r="B39">
            <v>200</v>
          </cell>
          <cell r="C39">
            <v>7.0774116726242022</v>
          </cell>
          <cell r="D39">
            <v>6.3490701129013472</v>
          </cell>
          <cell r="E39">
            <v>7.8093721290086364</v>
          </cell>
          <cell r="F39">
            <v>0.40290502016216989</v>
          </cell>
        </row>
        <row r="40">
          <cell r="B40">
            <v>250</v>
          </cell>
          <cell r="C40">
            <v>6.9681856582981991</v>
          </cell>
          <cell r="D40">
            <v>5.8876977661078325</v>
          </cell>
          <cell r="E40">
            <v>7.7981131415409584</v>
          </cell>
          <cell r="F40">
            <v>0.43363135728338853</v>
          </cell>
        </row>
        <row r="41">
          <cell r="B41">
            <v>300</v>
          </cell>
          <cell r="C41">
            <v>6.9871111443031664</v>
          </cell>
          <cell r="D41">
            <v>6.1271444319730968</v>
          </cell>
          <cell r="E41">
            <v>7.7289909577783238</v>
          </cell>
          <cell r="F41">
            <v>0.36063478563043799</v>
          </cell>
        </row>
        <row r="42">
          <cell r="B42">
            <v>350</v>
          </cell>
          <cell r="C42">
            <v>6.8863284398094855</v>
          </cell>
          <cell r="D42">
            <v>6.2123704851396493</v>
          </cell>
          <cell r="E42">
            <v>7.6049897912671325</v>
          </cell>
          <cell r="F42">
            <v>0.3193252526329452</v>
          </cell>
        </row>
        <row r="43">
          <cell r="B43">
            <v>400</v>
          </cell>
          <cell r="C43">
            <v>6.8979740634535807</v>
          </cell>
          <cell r="D43">
            <v>5.7610645570281109</v>
          </cell>
          <cell r="E43">
            <v>7.5543819795032867</v>
          </cell>
          <cell r="F43">
            <v>0.31869927524250724</v>
          </cell>
        </row>
        <row r="44">
          <cell r="B44">
            <v>450</v>
          </cell>
          <cell r="C44">
            <v>6.9143797758031225</v>
          </cell>
          <cell r="D44">
            <v>6.2000201784846025</v>
          </cell>
          <cell r="E44">
            <v>7.5711134942439307</v>
          </cell>
          <cell r="F44">
            <v>0.33465403915742642</v>
          </cell>
        </row>
        <row r="45">
          <cell r="B45">
            <v>500</v>
          </cell>
          <cell r="C45">
            <v>6.9566536024290846</v>
          </cell>
          <cell r="D45">
            <v>6.3078447812194396</v>
          </cell>
          <cell r="E45">
            <v>7.3576676978405722</v>
          </cell>
          <cell r="F45">
            <v>0.2368848973948269</v>
          </cell>
        </row>
        <row r="46">
          <cell r="B46">
            <v>550</v>
          </cell>
          <cell r="C46">
            <v>6.9704119247952514</v>
          </cell>
          <cell r="D46">
            <v>6.2516755834811528</v>
          </cell>
          <cell r="E46">
            <v>7.5715285329686974</v>
          </cell>
          <cell r="F46">
            <v>0.28711243613139031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  <sheetName val="Chap16 B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4B20E-B520-4B2A-BB8C-A6C4CD892AAA}">
  <sheetPr codeName="Sheet3"/>
  <dimension ref="A1:H46"/>
  <sheetViews>
    <sheetView tabSelected="1" workbookViewId="0">
      <selection activeCell="S20" sqref="S20"/>
    </sheetView>
  </sheetViews>
  <sheetFormatPr defaultRowHeight="13.2" x14ac:dyDescent="0.25"/>
  <cols>
    <col min="1" max="1" width="31.109375" style="2" bestFit="1" customWidth="1"/>
    <col min="2" max="2" width="8.88671875" style="2"/>
    <col min="3" max="3" width="12.6640625" style="2" customWidth="1"/>
    <col min="4" max="4" width="11" style="2" customWidth="1"/>
    <col min="5" max="7" width="8.88671875" style="2"/>
    <col min="8" max="8" width="59.109375" style="2" customWidth="1"/>
    <col min="9" max="256" width="8.88671875" style="2"/>
    <col min="257" max="257" width="31.109375" style="2" bestFit="1" customWidth="1"/>
    <col min="258" max="258" width="8.88671875" style="2"/>
    <col min="259" max="259" width="12.6640625" style="2" customWidth="1"/>
    <col min="260" max="260" width="11" style="2" customWidth="1"/>
    <col min="261" max="263" width="8.88671875" style="2"/>
    <col min="264" max="264" width="59.109375" style="2" customWidth="1"/>
    <col min="265" max="512" width="8.88671875" style="2"/>
    <col min="513" max="513" width="31.109375" style="2" bestFit="1" customWidth="1"/>
    <col min="514" max="514" width="8.88671875" style="2"/>
    <col min="515" max="515" width="12.6640625" style="2" customWidth="1"/>
    <col min="516" max="516" width="11" style="2" customWidth="1"/>
    <col min="517" max="519" width="8.88671875" style="2"/>
    <col min="520" max="520" width="59.109375" style="2" customWidth="1"/>
    <col min="521" max="768" width="8.88671875" style="2"/>
    <col min="769" max="769" width="31.109375" style="2" bestFit="1" customWidth="1"/>
    <col min="770" max="770" width="8.88671875" style="2"/>
    <col min="771" max="771" width="12.6640625" style="2" customWidth="1"/>
    <col min="772" max="772" width="11" style="2" customWidth="1"/>
    <col min="773" max="775" width="8.88671875" style="2"/>
    <col min="776" max="776" width="59.109375" style="2" customWidth="1"/>
    <col min="777" max="1024" width="8.88671875" style="2"/>
    <col min="1025" max="1025" width="31.109375" style="2" bestFit="1" customWidth="1"/>
    <col min="1026" max="1026" width="8.88671875" style="2"/>
    <col min="1027" max="1027" width="12.6640625" style="2" customWidth="1"/>
    <col min="1028" max="1028" width="11" style="2" customWidth="1"/>
    <col min="1029" max="1031" width="8.88671875" style="2"/>
    <col min="1032" max="1032" width="59.109375" style="2" customWidth="1"/>
    <col min="1033" max="1280" width="8.88671875" style="2"/>
    <col min="1281" max="1281" width="31.109375" style="2" bestFit="1" customWidth="1"/>
    <col min="1282" max="1282" width="8.88671875" style="2"/>
    <col min="1283" max="1283" width="12.6640625" style="2" customWidth="1"/>
    <col min="1284" max="1284" width="11" style="2" customWidth="1"/>
    <col min="1285" max="1287" width="8.88671875" style="2"/>
    <col min="1288" max="1288" width="59.109375" style="2" customWidth="1"/>
    <col min="1289" max="1536" width="8.88671875" style="2"/>
    <col min="1537" max="1537" width="31.109375" style="2" bestFit="1" customWidth="1"/>
    <col min="1538" max="1538" width="8.88671875" style="2"/>
    <col min="1539" max="1539" width="12.6640625" style="2" customWidth="1"/>
    <col min="1540" max="1540" width="11" style="2" customWidth="1"/>
    <col min="1541" max="1543" width="8.88671875" style="2"/>
    <col min="1544" max="1544" width="59.109375" style="2" customWidth="1"/>
    <col min="1545" max="1792" width="8.88671875" style="2"/>
    <col min="1793" max="1793" width="31.109375" style="2" bestFit="1" customWidth="1"/>
    <col min="1794" max="1794" width="8.88671875" style="2"/>
    <col min="1795" max="1795" width="12.6640625" style="2" customWidth="1"/>
    <col min="1796" max="1796" width="11" style="2" customWidth="1"/>
    <col min="1797" max="1799" width="8.88671875" style="2"/>
    <col min="1800" max="1800" width="59.109375" style="2" customWidth="1"/>
    <col min="1801" max="2048" width="8.88671875" style="2"/>
    <col min="2049" max="2049" width="31.109375" style="2" bestFit="1" customWidth="1"/>
    <col min="2050" max="2050" width="8.88671875" style="2"/>
    <col min="2051" max="2051" width="12.6640625" style="2" customWidth="1"/>
    <col min="2052" max="2052" width="11" style="2" customWidth="1"/>
    <col min="2053" max="2055" width="8.88671875" style="2"/>
    <col min="2056" max="2056" width="59.109375" style="2" customWidth="1"/>
    <col min="2057" max="2304" width="8.88671875" style="2"/>
    <col min="2305" max="2305" width="31.109375" style="2" bestFit="1" customWidth="1"/>
    <col min="2306" max="2306" width="8.88671875" style="2"/>
    <col min="2307" max="2307" width="12.6640625" style="2" customWidth="1"/>
    <col min="2308" max="2308" width="11" style="2" customWidth="1"/>
    <col min="2309" max="2311" width="8.88671875" style="2"/>
    <col min="2312" max="2312" width="59.109375" style="2" customWidth="1"/>
    <col min="2313" max="2560" width="8.88671875" style="2"/>
    <col min="2561" max="2561" width="31.109375" style="2" bestFit="1" customWidth="1"/>
    <col min="2562" max="2562" width="8.88671875" style="2"/>
    <col min="2563" max="2563" width="12.6640625" style="2" customWidth="1"/>
    <col min="2564" max="2564" width="11" style="2" customWidth="1"/>
    <col min="2565" max="2567" width="8.88671875" style="2"/>
    <col min="2568" max="2568" width="59.109375" style="2" customWidth="1"/>
    <col min="2569" max="2816" width="8.88671875" style="2"/>
    <col min="2817" max="2817" width="31.109375" style="2" bestFit="1" customWidth="1"/>
    <col min="2818" max="2818" width="8.88671875" style="2"/>
    <col min="2819" max="2819" width="12.6640625" style="2" customWidth="1"/>
    <col min="2820" max="2820" width="11" style="2" customWidth="1"/>
    <col min="2821" max="2823" width="8.88671875" style="2"/>
    <col min="2824" max="2824" width="59.109375" style="2" customWidth="1"/>
    <col min="2825" max="3072" width="8.88671875" style="2"/>
    <col min="3073" max="3073" width="31.109375" style="2" bestFit="1" customWidth="1"/>
    <col min="3074" max="3074" width="8.88671875" style="2"/>
    <col min="3075" max="3075" width="12.6640625" style="2" customWidth="1"/>
    <col min="3076" max="3076" width="11" style="2" customWidth="1"/>
    <col min="3077" max="3079" width="8.88671875" style="2"/>
    <col min="3080" max="3080" width="59.109375" style="2" customWidth="1"/>
    <col min="3081" max="3328" width="8.88671875" style="2"/>
    <col min="3329" max="3329" width="31.109375" style="2" bestFit="1" customWidth="1"/>
    <col min="3330" max="3330" width="8.88671875" style="2"/>
    <col min="3331" max="3331" width="12.6640625" style="2" customWidth="1"/>
    <col min="3332" max="3332" width="11" style="2" customWidth="1"/>
    <col min="3333" max="3335" width="8.88671875" style="2"/>
    <col min="3336" max="3336" width="59.109375" style="2" customWidth="1"/>
    <col min="3337" max="3584" width="8.88671875" style="2"/>
    <col min="3585" max="3585" width="31.109375" style="2" bestFit="1" customWidth="1"/>
    <col min="3586" max="3586" width="8.88671875" style="2"/>
    <col min="3587" max="3587" width="12.6640625" style="2" customWidth="1"/>
    <col min="3588" max="3588" width="11" style="2" customWidth="1"/>
    <col min="3589" max="3591" width="8.88671875" style="2"/>
    <col min="3592" max="3592" width="59.109375" style="2" customWidth="1"/>
    <col min="3593" max="3840" width="8.88671875" style="2"/>
    <col min="3841" max="3841" width="31.109375" style="2" bestFit="1" customWidth="1"/>
    <col min="3842" max="3842" width="8.88671875" style="2"/>
    <col min="3843" max="3843" width="12.6640625" style="2" customWidth="1"/>
    <col min="3844" max="3844" width="11" style="2" customWidth="1"/>
    <col min="3845" max="3847" width="8.88671875" style="2"/>
    <col min="3848" max="3848" width="59.109375" style="2" customWidth="1"/>
    <col min="3849" max="4096" width="8.88671875" style="2"/>
    <col min="4097" max="4097" width="31.109375" style="2" bestFit="1" customWidth="1"/>
    <col min="4098" max="4098" width="8.88671875" style="2"/>
    <col min="4099" max="4099" width="12.6640625" style="2" customWidth="1"/>
    <col min="4100" max="4100" width="11" style="2" customWidth="1"/>
    <col min="4101" max="4103" width="8.88671875" style="2"/>
    <col min="4104" max="4104" width="59.109375" style="2" customWidth="1"/>
    <col min="4105" max="4352" width="8.88671875" style="2"/>
    <col min="4353" max="4353" width="31.109375" style="2" bestFit="1" customWidth="1"/>
    <col min="4354" max="4354" width="8.88671875" style="2"/>
    <col min="4355" max="4355" width="12.6640625" style="2" customWidth="1"/>
    <col min="4356" max="4356" width="11" style="2" customWidth="1"/>
    <col min="4357" max="4359" width="8.88671875" style="2"/>
    <col min="4360" max="4360" width="59.109375" style="2" customWidth="1"/>
    <col min="4361" max="4608" width="8.88671875" style="2"/>
    <col min="4609" max="4609" width="31.109375" style="2" bestFit="1" customWidth="1"/>
    <col min="4610" max="4610" width="8.88671875" style="2"/>
    <col min="4611" max="4611" width="12.6640625" style="2" customWidth="1"/>
    <col min="4612" max="4612" width="11" style="2" customWidth="1"/>
    <col min="4613" max="4615" width="8.88671875" style="2"/>
    <col min="4616" max="4616" width="59.109375" style="2" customWidth="1"/>
    <col min="4617" max="4864" width="8.88671875" style="2"/>
    <col min="4865" max="4865" width="31.109375" style="2" bestFit="1" customWidth="1"/>
    <col min="4866" max="4866" width="8.88671875" style="2"/>
    <col min="4867" max="4867" width="12.6640625" style="2" customWidth="1"/>
    <col min="4868" max="4868" width="11" style="2" customWidth="1"/>
    <col min="4869" max="4871" width="8.88671875" style="2"/>
    <col min="4872" max="4872" width="59.109375" style="2" customWidth="1"/>
    <col min="4873" max="5120" width="8.88671875" style="2"/>
    <col min="5121" max="5121" width="31.109375" style="2" bestFit="1" customWidth="1"/>
    <col min="5122" max="5122" width="8.88671875" style="2"/>
    <col min="5123" max="5123" width="12.6640625" style="2" customWidth="1"/>
    <col min="5124" max="5124" width="11" style="2" customWidth="1"/>
    <col min="5125" max="5127" width="8.88671875" style="2"/>
    <col min="5128" max="5128" width="59.109375" style="2" customWidth="1"/>
    <col min="5129" max="5376" width="8.88671875" style="2"/>
    <col min="5377" max="5377" width="31.109375" style="2" bestFit="1" customWidth="1"/>
    <col min="5378" max="5378" width="8.88671875" style="2"/>
    <col min="5379" max="5379" width="12.6640625" style="2" customWidth="1"/>
    <col min="5380" max="5380" width="11" style="2" customWidth="1"/>
    <col min="5381" max="5383" width="8.88671875" style="2"/>
    <col min="5384" max="5384" width="59.109375" style="2" customWidth="1"/>
    <col min="5385" max="5632" width="8.88671875" style="2"/>
    <col min="5633" max="5633" width="31.109375" style="2" bestFit="1" customWidth="1"/>
    <col min="5634" max="5634" width="8.88671875" style="2"/>
    <col min="5635" max="5635" width="12.6640625" style="2" customWidth="1"/>
    <col min="5636" max="5636" width="11" style="2" customWidth="1"/>
    <col min="5637" max="5639" width="8.88671875" style="2"/>
    <col min="5640" max="5640" width="59.109375" style="2" customWidth="1"/>
    <col min="5641" max="5888" width="8.88671875" style="2"/>
    <col min="5889" max="5889" width="31.109375" style="2" bestFit="1" customWidth="1"/>
    <col min="5890" max="5890" width="8.88671875" style="2"/>
    <col min="5891" max="5891" width="12.6640625" style="2" customWidth="1"/>
    <col min="5892" max="5892" width="11" style="2" customWidth="1"/>
    <col min="5893" max="5895" width="8.88671875" style="2"/>
    <col min="5896" max="5896" width="59.109375" style="2" customWidth="1"/>
    <col min="5897" max="6144" width="8.88671875" style="2"/>
    <col min="6145" max="6145" width="31.109375" style="2" bestFit="1" customWidth="1"/>
    <col min="6146" max="6146" width="8.88671875" style="2"/>
    <col min="6147" max="6147" width="12.6640625" style="2" customWidth="1"/>
    <col min="6148" max="6148" width="11" style="2" customWidth="1"/>
    <col min="6149" max="6151" width="8.88671875" style="2"/>
    <col min="6152" max="6152" width="59.109375" style="2" customWidth="1"/>
    <col min="6153" max="6400" width="8.88671875" style="2"/>
    <col min="6401" max="6401" width="31.109375" style="2" bestFit="1" customWidth="1"/>
    <col min="6402" max="6402" width="8.88671875" style="2"/>
    <col min="6403" max="6403" width="12.6640625" style="2" customWidth="1"/>
    <col min="6404" max="6404" width="11" style="2" customWidth="1"/>
    <col min="6405" max="6407" width="8.88671875" style="2"/>
    <col min="6408" max="6408" width="59.109375" style="2" customWidth="1"/>
    <col min="6409" max="6656" width="8.88671875" style="2"/>
    <col min="6657" max="6657" width="31.109375" style="2" bestFit="1" customWidth="1"/>
    <col min="6658" max="6658" width="8.88671875" style="2"/>
    <col min="6659" max="6659" width="12.6640625" style="2" customWidth="1"/>
    <col min="6660" max="6660" width="11" style="2" customWidth="1"/>
    <col min="6661" max="6663" width="8.88671875" style="2"/>
    <col min="6664" max="6664" width="59.109375" style="2" customWidth="1"/>
    <col min="6665" max="6912" width="8.88671875" style="2"/>
    <col min="6913" max="6913" width="31.109375" style="2" bestFit="1" customWidth="1"/>
    <col min="6914" max="6914" width="8.88671875" style="2"/>
    <col min="6915" max="6915" width="12.6640625" style="2" customWidth="1"/>
    <col min="6916" max="6916" width="11" style="2" customWidth="1"/>
    <col min="6917" max="6919" width="8.88671875" style="2"/>
    <col min="6920" max="6920" width="59.109375" style="2" customWidth="1"/>
    <col min="6921" max="7168" width="8.88671875" style="2"/>
    <col min="7169" max="7169" width="31.109375" style="2" bestFit="1" customWidth="1"/>
    <col min="7170" max="7170" width="8.88671875" style="2"/>
    <col min="7171" max="7171" width="12.6640625" style="2" customWidth="1"/>
    <col min="7172" max="7172" width="11" style="2" customWidth="1"/>
    <col min="7173" max="7175" width="8.88671875" style="2"/>
    <col min="7176" max="7176" width="59.109375" style="2" customWidth="1"/>
    <col min="7177" max="7424" width="8.88671875" style="2"/>
    <col min="7425" max="7425" width="31.109375" style="2" bestFit="1" customWidth="1"/>
    <col min="7426" max="7426" width="8.88671875" style="2"/>
    <col min="7427" max="7427" width="12.6640625" style="2" customWidth="1"/>
    <col min="7428" max="7428" width="11" style="2" customWidth="1"/>
    <col min="7429" max="7431" width="8.88671875" style="2"/>
    <col min="7432" max="7432" width="59.109375" style="2" customWidth="1"/>
    <col min="7433" max="7680" width="8.88671875" style="2"/>
    <col min="7681" max="7681" width="31.109375" style="2" bestFit="1" customWidth="1"/>
    <col min="7682" max="7682" width="8.88671875" style="2"/>
    <col min="7683" max="7683" width="12.6640625" style="2" customWidth="1"/>
    <col min="7684" max="7684" width="11" style="2" customWidth="1"/>
    <col min="7685" max="7687" width="8.88671875" style="2"/>
    <col min="7688" max="7688" width="59.109375" style="2" customWidth="1"/>
    <col min="7689" max="7936" width="8.88671875" style="2"/>
    <col min="7937" max="7937" width="31.109375" style="2" bestFit="1" customWidth="1"/>
    <col min="7938" max="7938" width="8.88671875" style="2"/>
    <col min="7939" max="7939" width="12.6640625" style="2" customWidth="1"/>
    <col min="7940" max="7940" width="11" style="2" customWidth="1"/>
    <col min="7941" max="7943" width="8.88671875" style="2"/>
    <col min="7944" max="7944" width="59.109375" style="2" customWidth="1"/>
    <col min="7945" max="8192" width="8.88671875" style="2"/>
    <col min="8193" max="8193" width="31.109375" style="2" bestFit="1" customWidth="1"/>
    <col min="8194" max="8194" width="8.88671875" style="2"/>
    <col min="8195" max="8195" width="12.6640625" style="2" customWidth="1"/>
    <col min="8196" max="8196" width="11" style="2" customWidth="1"/>
    <col min="8197" max="8199" width="8.88671875" style="2"/>
    <col min="8200" max="8200" width="59.109375" style="2" customWidth="1"/>
    <col min="8201" max="8448" width="8.88671875" style="2"/>
    <col min="8449" max="8449" width="31.109375" style="2" bestFit="1" customWidth="1"/>
    <col min="8450" max="8450" width="8.88671875" style="2"/>
    <col min="8451" max="8451" width="12.6640625" style="2" customWidth="1"/>
    <col min="8452" max="8452" width="11" style="2" customWidth="1"/>
    <col min="8453" max="8455" width="8.88671875" style="2"/>
    <col min="8456" max="8456" width="59.109375" style="2" customWidth="1"/>
    <col min="8457" max="8704" width="8.88671875" style="2"/>
    <col min="8705" max="8705" width="31.109375" style="2" bestFit="1" customWidth="1"/>
    <col min="8706" max="8706" width="8.88671875" style="2"/>
    <col min="8707" max="8707" width="12.6640625" style="2" customWidth="1"/>
    <col min="8708" max="8708" width="11" style="2" customWidth="1"/>
    <col min="8709" max="8711" width="8.88671875" style="2"/>
    <col min="8712" max="8712" width="59.109375" style="2" customWidth="1"/>
    <col min="8713" max="8960" width="8.88671875" style="2"/>
    <col min="8961" max="8961" width="31.109375" style="2" bestFit="1" customWidth="1"/>
    <col min="8962" max="8962" width="8.88671875" style="2"/>
    <col min="8963" max="8963" width="12.6640625" style="2" customWidth="1"/>
    <col min="8964" max="8964" width="11" style="2" customWidth="1"/>
    <col min="8965" max="8967" width="8.88671875" style="2"/>
    <col min="8968" max="8968" width="59.109375" style="2" customWidth="1"/>
    <col min="8969" max="9216" width="8.88671875" style="2"/>
    <col min="9217" max="9217" width="31.109375" style="2" bestFit="1" customWidth="1"/>
    <col min="9218" max="9218" width="8.88671875" style="2"/>
    <col min="9219" max="9219" width="12.6640625" style="2" customWidth="1"/>
    <col min="9220" max="9220" width="11" style="2" customWidth="1"/>
    <col min="9221" max="9223" width="8.88671875" style="2"/>
    <col min="9224" max="9224" width="59.109375" style="2" customWidth="1"/>
    <col min="9225" max="9472" width="8.88671875" style="2"/>
    <col min="9473" max="9473" width="31.109375" style="2" bestFit="1" customWidth="1"/>
    <col min="9474" max="9474" width="8.88671875" style="2"/>
    <col min="9475" max="9475" width="12.6640625" style="2" customWidth="1"/>
    <col min="9476" max="9476" width="11" style="2" customWidth="1"/>
    <col min="9477" max="9479" width="8.88671875" style="2"/>
    <col min="9480" max="9480" width="59.109375" style="2" customWidth="1"/>
    <col min="9481" max="9728" width="8.88671875" style="2"/>
    <col min="9729" max="9729" width="31.109375" style="2" bestFit="1" customWidth="1"/>
    <col min="9730" max="9730" width="8.88671875" style="2"/>
    <col min="9731" max="9731" width="12.6640625" style="2" customWidth="1"/>
    <col min="9732" max="9732" width="11" style="2" customWidth="1"/>
    <col min="9733" max="9735" width="8.88671875" style="2"/>
    <col min="9736" max="9736" width="59.109375" style="2" customWidth="1"/>
    <col min="9737" max="9984" width="8.88671875" style="2"/>
    <col min="9985" max="9985" width="31.109375" style="2" bestFit="1" customWidth="1"/>
    <col min="9986" max="9986" width="8.88671875" style="2"/>
    <col min="9987" max="9987" width="12.6640625" style="2" customWidth="1"/>
    <col min="9988" max="9988" width="11" style="2" customWidth="1"/>
    <col min="9989" max="9991" width="8.88671875" style="2"/>
    <col min="9992" max="9992" width="59.109375" style="2" customWidth="1"/>
    <col min="9993" max="10240" width="8.88671875" style="2"/>
    <col min="10241" max="10241" width="31.109375" style="2" bestFit="1" customWidth="1"/>
    <col min="10242" max="10242" width="8.88671875" style="2"/>
    <col min="10243" max="10243" width="12.6640625" style="2" customWidth="1"/>
    <col min="10244" max="10244" width="11" style="2" customWidth="1"/>
    <col min="10245" max="10247" width="8.88671875" style="2"/>
    <col min="10248" max="10248" width="59.109375" style="2" customWidth="1"/>
    <col min="10249" max="10496" width="8.88671875" style="2"/>
    <col min="10497" max="10497" width="31.109375" style="2" bestFit="1" customWidth="1"/>
    <col min="10498" max="10498" width="8.88671875" style="2"/>
    <col min="10499" max="10499" width="12.6640625" style="2" customWidth="1"/>
    <col min="10500" max="10500" width="11" style="2" customWidth="1"/>
    <col min="10501" max="10503" width="8.88671875" style="2"/>
    <col min="10504" max="10504" width="59.109375" style="2" customWidth="1"/>
    <col min="10505" max="10752" width="8.88671875" style="2"/>
    <col min="10753" max="10753" width="31.109375" style="2" bestFit="1" customWidth="1"/>
    <col min="10754" max="10754" width="8.88671875" style="2"/>
    <col min="10755" max="10755" width="12.6640625" style="2" customWidth="1"/>
    <col min="10756" max="10756" width="11" style="2" customWidth="1"/>
    <col min="10757" max="10759" width="8.88671875" style="2"/>
    <col min="10760" max="10760" width="59.109375" style="2" customWidth="1"/>
    <col min="10761" max="11008" width="8.88671875" style="2"/>
    <col min="11009" max="11009" width="31.109375" style="2" bestFit="1" customWidth="1"/>
    <col min="11010" max="11010" width="8.88671875" style="2"/>
    <col min="11011" max="11011" width="12.6640625" style="2" customWidth="1"/>
    <col min="11012" max="11012" width="11" style="2" customWidth="1"/>
    <col min="11013" max="11015" width="8.88671875" style="2"/>
    <col min="11016" max="11016" width="59.109375" style="2" customWidth="1"/>
    <col min="11017" max="11264" width="8.88671875" style="2"/>
    <col min="11265" max="11265" width="31.109375" style="2" bestFit="1" customWidth="1"/>
    <col min="11266" max="11266" width="8.88671875" style="2"/>
    <col min="11267" max="11267" width="12.6640625" style="2" customWidth="1"/>
    <col min="11268" max="11268" width="11" style="2" customWidth="1"/>
    <col min="11269" max="11271" width="8.88671875" style="2"/>
    <col min="11272" max="11272" width="59.109375" style="2" customWidth="1"/>
    <col min="11273" max="11520" width="8.88671875" style="2"/>
    <col min="11521" max="11521" width="31.109375" style="2" bestFit="1" customWidth="1"/>
    <col min="11522" max="11522" width="8.88671875" style="2"/>
    <col min="11523" max="11523" width="12.6640625" style="2" customWidth="1"/>
    <col min="11524" max="11524" width="11" style="2" customWidth="1"/>
    <col min="11525" max="11527" width="8.88671875" style="2"/>
    <col min="11528" max="11528" width="59.109375" style="2" customWidth="1"/>
    <col min="11529" max="11776" width="8.88671875" style="2"/>
    <col min="11777" max="11777" width="31.109375" style="2" bestFit="1" customWidth="1"/>
    <col min="11778" max="11778" width="8.88671875" style="2"/>
    <col min="11779" max="11779" width="12.6640625" style="2" customWidth="1"/>
    <col min="11780" max="11780" width="11" style="2" customWidth="1"/>
    <col min="11781" max="11783" width="8.88671875" style="2"/>
    <col min="11784" max="11784" width="59.109375" style="2" customWidth="1"/>
    <col min="11785" max="12032" width="8.88671875" style="2"/>
    <col min="12033" max="12033" width="31.109375" style="2" bestFit="1" customWidth="1"/>
    <col min="12034" max="12034" width="8.88671875" style="2"/>
    <col min="12035" max="12035" width="12.6640625" style="2" customWidth="1"/>
    <col min="12036" max="12036" width="11" style="2" customWidth="1"/>
    <col min="12037" max="12039" width="8.88671875" style="2"/>
    <col min="12040" max="12040" width="59.109375" style="2" customWidth="1"/>
    <col min="12041" max="12288" width="8.88671875" style="2"/>
    <col min="12289" max="12289" width="31.109375" style="2" bestFit="1" customWidth="1"/>
    <col min="12290" max="12290" width="8.88671875" style="2"/>
    <col min="12291" max="12291" width="12.6640625" style="2" customWidth="1"/>
    <col min="12292" max="12292" width="11" style="2" customWidth="1"/>
    <col min="12293" max="12295" width="8.88671875" style="2"/>
    <col min="12296" max="12296" width="59.109375" style="2" customWidth="1"/>
    <col min="12297" max="12544" width="8.88671875" style="2"/>
    <col min="12545" max="12545" width="31.109375" style="2" bestFit="1" customWidth="1"/>
    <col min="12546" max="12546" width="8.88671875" style="2"/>
    <col min="12547" max="12547" width="12.6640625" style="2" customWidth="1"/>
    <col min="12548" max="12548" width="11" style="2" customWidth="1"/>
    <col min="12549" max="12551" width="8.88671875" style="2"/>
    <col min="12552" max="12552" width="59.109375" style="2" customWidth="1"/>
    <col min="12553" max="12800" width="8.88671875" style="2"/>
    <col min="12801" max="12801" width="31.109375" style="2" bestFit="1" customWidth="1"/>
    <col min="12802" max="12802" width="8.88671875" style="2"/>
    <col min="12803" max="12803" width="12.6640625" style="2" customWidth="1"/>
    <col min="12804" max="12804" width="11" style="2" customWidth="1"/>
    <col min="12805" max="12807" width="8.88671875" style="2"/>
    <col min="12808" max="12808" width="59.109375" style="2" customWidth="1"/>
    <col min="12809" max="13056" width="8.88671875" style="2"/>
    <col min="13057" max="13057" width="31.109375" style="2" bestFit="1" customWidth="1"/>
    <col min="13058" max="13058" width="8.88671875" style="2"/>
    <col min="13059" max="13059" width="12.6640625" style="2" customWidth="1"/>
    <col min="13060" max="13060" width="11" style="2" customWidth="1"/>
    <col min="13061" max="13063" width="8.88671875" style="2"/>
    <col min="13064" max="13064" width="59.109375" style="2" customWidth="1"/>
    <col min="13065" max="13312" width="8.88671875" style="2"/>
    <col min="13313" max="13313" width="31.109375" style="2" bestFit="1" customWidth="1"/>
    <col min="13314" max="13314" width="8.88671875" style="2"/>
    <col min="13315" max="13315" width="12.6640625" style="2" customWidth="1"/>
    <col min="13316" max="13316" width="11" style="2" customWidth="1"/>
    <col min="13317" max="13319" width="8.88671875" style="2"/>
    <col min="13320" max="13320" width="59.109375" style="2" customWidth="1"/>
    <col min="13321" max="13568" width="8.88671875" style="2"/>
    <col min="13569" max="13569" width="31.109375" style="2" bestFit="1" customWidth="1"/>
    <col min="13570" max="13570" width="8.88671875" style="2"/>
    <col min="13571" max="13571" width="12.6640625" style="2" customWidth="1"/>
    <col min="13572" max="13572" width="11" style="2" customWidth="1"/>
    <col min="13573" max="13575" width="8.88671875" style="2"/>
    <col min="13576" max="13576" width="59.109375" style="2" customWidth="1"/>
    <col min="13577" max="13824" width="8.88671875" style="2"/>
    <col min="13825" max="13825" width="31.109375" style="2" bestFit="1" customWidth="1"/>
    <col min="13826" max="13826" width="8.88671875" style="2"/>
    <col min="13827" max="13827" width="12.6640625" style="2" customWidth="1"/>
    <col min="13828" max="13828" width="11" style="2" customWidth="1"/>
    <col min="13829" max="13831" width="8.88671875" style="2"/>
    <col min="13832" max="13832" width="59.109375" style="2" customWidth="1"/>
    <col min="13833" max="14080" width="8.88671875" style="2"/>
    <col min="14081" max="14081" width="31.109375" style="2" bestFit="1" customWidth="1"/>
    <col min="14082" max="14082" width="8.88671875" style="2"/>
    <col min="14083" max="14083" width="12.6640625" style="2" customWidth="1"/>
    <col min="14084" max="14084" width="11" style="2" customWidth="1"/>
    <col min="14085" max="14087" width="8.88671875" style="2"/>
    <col min="14088" max="14088" width="59.109375" style="2" customWidth="1"/>
    <col min="14089" max="14336" width="8.88671875" style="2"/>
    <col min="14337" max="14337" width="31.109375" style="2" bestFit="1" customWidth="1"/>
    <col min="14338" max="14338" width="8.88671875" style="2"/>
    <col min="14339" max="14339" width="12.6640625" style="2" customWidth="1"/>
    <col min="14340" max="14340" width="11" style="2" customWidth="1"/>
    <col min="14341" max="14343" width="8.88671875" style="2"/>
    <col min="14344" max="14344" width="59.109375" style="2" customWidth="1"/>
    <col min="14345" max="14592" width="8.88671875" style="2"/>
    <col min="14593" max="14593" width="31.109375" style="2" bestFit="1" customWidth="1"/>
    <col min="14594" max="14594" width="8.88671875" style="2"/>
    <col min="14595" max="14595" width="12.6640625" style="2" customWidth="1"/>
    <col min="14596" max="14596" width="11" style="2" customWidth="1"/>
    <col min="14597" max="14599" width="8.88671875" style="2"/>
    <col min="14600" max="14600" width="59.109375" style="2" customWidth="1"/>
    <col min="14601" max="14848" width="8.88671875" style="2"/>
    <col min="14849" max="14849" width="31.109375" style="2" bestFit="1" customWidth="1"/>
    <col min="14850" max="14850" width="8.88671875" style="2"/>
    <col min="14851" max="14851" width="12.6640625" style="2" customWidth="1"/>
    <col min="14852" max="14852" width="11" style="2" customWidth="1"/>
    <col min="14853" max="14855" width="8.88671875" style="2"/>
    <col min="14856" max="14856" width="59.109375" style="2" customWidth="1"/>
    <col min="14857" max="15104" width="8.88671875" style="2"/>
    <col min="15105" max="15105" width="31.109375" style="2" bestFit="1" customWidth="1"/>
    <col min="15106" max="15106" width="8.88671875" style="2"/>
    <col min="15107" max="15107" width="12.6640625" style="2" customWidth="1"/>
    <col min="15108" max="15108" width="11" style="2" customWidth="1"/>
    <col min="15109" max="15111" width="8.88671875" style="2"/>
    <col min="15112" max="15112" width="59.109375" style="2" customWidth="1"/>
    <col min="15113" max="15360" width="8.88671875" style="2"/>
    <col min="15361" max="15361" width="31.109375" style="2" bestFit="1" customWidth="1"/>
    <col min="15362" max="15362" width="8.88671875" style="2"/>
    <col min="15363" max="15363" width="12.6640625" style="2" customWidth="1"/>
    <col min="15364" max="15364" width="11" style="2" customWidth="1"/>
    <col min="15365" max="15367" width="8.88671875" style="2"/>
    <col min="15368" max="15368" width="59.109375" style="2" customWidth="1"/>
    <col min="15369" max="15616" width="8.88671875" style="2"/>
    <col min="15617" max="15617" width="31.109375" style="2" bestFit="1" customWidth="1"/>
    <col min="15618" max="15618" width="8.88671875" style="2"/>
    <col min="15619" max="15619" width="12.6640625" style="2" customWidth="1"/>
    <col min="15620" max="15620" width="11" style="2" customWidth="1"/>
    <col min="15621" max="15623" width="8.88671875" style="2"/>
    <col min="15624" max="15624" width="59.109375" style="2" customWidth="1"/>
    <col min="15625" max="15872" width="8.88671875" style="2"/>
    <col min="15873" max="15873" width="31.109375" style="2" bestFit="1" customWidth="1"/>
    <col min="15874" max="15874" width="8.88671875" style="2"/>
    <col min="15875" max="15875" width="12.6640625" style="2" customWidth="1"/>
    <col min="15876" max="15876" width="11" style="2" customWidth="1"/>
    <col min="15877" max="15879" width="8.88671875" style="2"/>
    <col min="15880" max="15880" width="59.109375" style="2" customWidth="1"/>
    <col min="15881" max="16128" width="8.88671875" style="2"/>
    <col min="16129" max="16129" width="31.109375" style="2" bestFit="1" customWidth="1"/>
    <col min="16130" max="16130" width="8.88671875" style="2"/>
    <col min="16131" max="16131" width="12.6640625" style="2" customWidth="1"/>
    <col min="16132" max="16132" width="11" style="2" customWidth="1"/>
    <col min="16133" max="16135" width="8.88671875" style="2"/>
    <col min="16136" max="16136" width="59.109375" style="2" customWidth="1"/>
    <col min="16137" max="16384" width="8.88671875" style="2"/>
  </cols>
  <sheetData>
    <row r="1" spans="1:8" ht="106.5" customHeight="1" x14ac:dyDescent="0.25">
      <c r="A1" s="1" t="str">
        <f>"PRICING BARRIER OPTIONS--VBA FUNCTION "&amp;CHAR(10)&amp;"Each time interval is divided into n subintervals.  In this simulation the initial stock price = "&amp;TEXT(B2,"0.00")&amp;", the exercise price = "&amp;TEXT(B3,"0.00")&amp;", the time to maturity = "&amp;TEXT(B5,"0.00")&amp;", and the unit time interval is divided into "&amp;TEXT(B10,"0")&amp;" subintervals.  The stock price process has mean return = "&amp;TEXT(B7,"0.00%")&amp;" and standard deviation = "&amp;TEXT(B11,"0.00%")&amp;", and the interest rate = "&amp;TEXT(B6,"0.00%")&amp;"."&amp;CHAR(10)&amp;"There are "&amp;TEXT(B17,"0")&amp;" runs in each Monte Carlo simulation"</f>
        <v>PRICING BARRIER OPTIONS--VBA FUNCTION 
Each time interval is divided into n subintervals.  In this simulation the initial stock price = 50.00, the exercise price = 45.00, the time to maturity = 0.40, and the unit time interval is divided into 80 subintervals.  The stock price process has mean return = 15.00% and standard deviation = 1.25%, and the interest rate = 8.00%.
There are 100 runs in each Monte Carlo simulation</v>
      </c>
      <c r="B1" s="1"/>
      <c r="C1" s="1"/>
      <c r="D1" s="1"/>
      <c r="E1" s="1"/>
      <c r="F1" s="1"/>
      <c r="G1" s="1"/>
      <c r="H1" s="1"/>
    </row>
    <row r="2" spans="1:8" ht="12.75" customHeight="1" x14ac:dyDescent="0.25">
      <c r="A2" s="3" t="s">
        <v>0</v>
      </c>
      <c r="B2" s="4">
        <v>50</v>
      </c>
      <c r="C2" s="5"/>
      <c r="D2" s="5"/>
      <c r="E2" s="5"/>
      <c r="F2" s="5"/>
      <c r="G2" s="5"/>
      <c r="H2" s="5"/>
    </row>
    <row r="3" spans="1:8" ht="12.75" customHeight="1" x14ac:dyDescent="0.25">
      <c r="A3" s="3" t="s">
        <v>1</v>
      </c>
      <c r="B3" s="4">
        <v>45</v>
      </c>
      <c r="C3" s="5"/>
      <c r="D3" s="5"/>
      <c r="E3" s="5"/>
      <c r="F3" s="5"/>
      <c r="G3" s="5"/>
      <c r="H3" s="5"/>
    </row>
    <row r="4" spans="1:8" ht="12.75" customHeight="1" x14ac:dyDescent="0.25">
      <c r="A4" s="3" t="s">
        <v>2</v>
      </c>
      <c r="B4" s="4">
        <v>50</v>
      </c>
      <c r="C4" s="5"/>
      <c r="D4" s="5"/>
      <c r="E4" s="5"/>
      <c r="F4" s="5"/>
      <c r="G4" s="5"/>
      <c r="H4" s="5"/>
    </row>
    <row r="5" spans="1:8" ht="12.75" customHeight="1" x14ac:dyDescent="0.25">
      <c r="A5" s="3" t="s">
        <v>3</v>
      </c>
      <c r="B5" s="4">
        <v>0.4</v>
      </c>
      <c r="C5" s="5"/>
      <c r="D5" s="5"/>
      <c r="E5" s="5"/>
      <c r="F5" s="5"/>
      <c r="G5" s="5"/>
      <c r="H5" s="5"/>
    </row>
    <row r="6" spans="1:8" ht="12.75" customHeight="1" x14ac:dyDescent="0.25">
      <c r="A6" s="3" t="s">
        <v>4</v>
      </c>
      <c r="B6" s="6">
        <v>0.08</v>
      </c>
      <c r="C6" s="5"/>
      <c r="D6" s="5"/>
      <c r="E6" s="5"/>
      <c r="F6" s="5"/>
      <c r="G6" s="5"/>
      <c r="H6" s="5"/>
    </row>
    <row r="7" spans="1:8" ht="12.75" customHeight="1" x14ac:dyDescent="0.25">
      <c r="A7" s="7" t="s">
        <v>5</v>
      </c>
      <c r="B7" s="6">
        <v>0.15</v>
      </c>
      <c r="C7" s="5"/>
      <c r="D7" s="5"/>
      <c r="E7" s="5"/>
      <c r="F7" s="5"/>
      <c r="G7" s="5"/>
      <c r="H7" s="5"/>
    </row>
    <row r="8" spans="1:8" ht="12.75" customHeight="1" x14ac:dyDescent="0.25">
      <c r="A8" s="7" t="s">
        <v>6</v>
      </c>
      <c r="B8" s="6">
        <v>0.22</v>
      </c>
      <c r="C8" s="5"/>
      <c r="D8" s="5"/>
      <c r="E8" s="5"/>
      <c r="F8" s="5"/>
      <c r="G8" s="5"/>
      <c r="H8" s="5"/>
    </row>
    <row r="9" spans="1:8" ht="12.75" customHeight="1" x14ac:dyDescent="0.25">
      <c r="A9" s="3"/>
      <c r="B9" s="5"/>
      <c r="C9" s="5"/>
      <c r="D9" s="5"/>
      <c r="E9" s="5"/>
      <c r="F9" s="5"/>
      <c r="G9" s="5"/>
      <c r="H9" s="5"/>
    </row>
    <row r="10" spans="1:8" x14ac:dyDescent="0.25">
      <c r="A10" s="2" t="s">
        <v>7</v>
      </c>
      <c r="B10" s="2">
        <v>80</v>
      </c>
    </row>
    <row r="11" spans="1:8" ht="12.75" customHeight="1" x14ac:dyDescent="0.25">
      <c r="A11" s="2" t="s">
        <v>8</v>
      </c>
      <c r="B11" s="8">
        <f>1/B10</f>
        <v>1.2500000000000001E-2</v>
      </c>
      <c r="C11" s="2" t="str">
        <f ca="1">_xlfn.FORMULATEXT(B11)</f>
        <v>=1/B10</v>
      </c>
    </row>
    <row r="13" spans="1:8" x14ac:dyDescent="0.25">
      <c r="A13" s="2" t="s">
        <v>9</v>
      </c>
      <c r="B13" s="8">
        <f>EXP(B7*B11+B8*SQRT(B11))</f>
        <v>1.0268252367311481</v>
      </c>
      <c r="C13" s="2" t="str">
        <f ca="1">_xlfn.FORMULATEXT(B13)</f>
        <v>=EXP(B7*B11+B8*SQRT(B11))</v>
      </c>
    </row>
    <row r="14" spans="1:8" x14ac:dyDescent="0.25">
      <c r="A14" s="2" t="s">
        <v>10</v>
      </c>
      <c r="B14" s="8">
        <f>EXP(B7*B11-B8*SQRT(B11))</f>
        <v>0.97753444709123416</v>
      </c>
      <c r="C14" s="2" t="str">
        <f ca="1">_xlfn.FORMULATEXT(B14)</f>
        <v>=EXP(B7*B11-B8*SQRT(B11))</v>
      </c>
    </row>
    <row r="15" spans="1:8" x14ac:dyDescent="0.25">
      <c r="A15" s="2" t="s">
        <v>11</v>
      </c>
      <c r="B15" s="8">
        <f>EXP(B6*B11)</f>
        <v>1.0010005001667084</v>
      </c>
      <c r="C15" s="2" t="str">
        <f ca="1">_xlfn.FORMULATEXT(B15)</f>
        <v>=EXP(B6*B11)</v>
      </c>
    </row>
    <row r="16" spans="1:8" x14ac:dyDescent="0.25">
      <c r="B16" s="8"/>
    </row>
    <row r="17" spans="1:8" x14ac:dyDescent="0.25">
      <c r="A17" s="2" t="s">
        <v>12</v>
      </c>
      <c r="B17" s="2">
        <v>100</v>
      </c>
    </row>
    <row r="18" spans="1:8" x14ac:dyDescent="0.25">
      <c r="H18" s="8"/>
    </row>
    <row r="19" spans="1:8" x14ac:dyDescent="0.25">
      <c r="A19" s="8">
        <f t="shared" ref="A19:F19" si="0">mcbarrierin($B$2,$B$3,$B$4,$B$13,$B$14,$B$15,INT($B$10*$B$5),$B$17)</f>
        <v>6.9269584303637348</v>
      </c>
      <c r="B19" s="8">
        <f t="shared" si="0"/>
        <v>8.3595657934453307</v>
      </c>
      <c r="C19" s="8">
        <f t="shared" si="0"/>
        <v>9.2104057950745553</v>
      </c>
      <c r="D19" s="8">
        <f t="shared" si="0"/>
        <v>6.6604674821717422</v>
      </c>
      <c r="E19" s="8">
        <f t="shared" si="0"/>
        <v>7.3831163984865791</v>
      </c>
      <c r="F19" s="8">
        <f t="shared" si="0"/>
        <v>6.7180369193856704</v>
      </c>
      <c r="G19" s="8" t="str">
        <f ca="1">_xlfn.FORMULATEXT(F19)</f>
        <v>=mcbarrierin($B$2,$B$3,$B$4,$B$13,$B$14,$B$15,INT($B$10*$B$5),$B$17)</v>
      </c>
      <c r="H19" s="8"/>
    </row>
    <row r="20" spans="1:8" x14ac:dyDescent="0.25">
      <c r="A20" s="8">
        <f t="shared" ref="A20:F26" si="1">mcbarrierin($B$2,$B$3,$B$4,$B$13,$B$14,$B$15,INT($B$10*$B$5),$B$17)</f>
        <v>7.605492795821303</v>
      </c>
      <c r="B20" s="8">
        <f t="shared" si="1"/>
        <v>6.7565952871958386</v>
      </c>
      <c r="C20" s="8">
        <f t="shared" si="1"/>
        <v>6.3132590637793999</v>
      </c>
      <c r="D20" s="8">
        <f t="shared" si="1"/>
        <v>6.7400063639090355</v>
      </c>
      <c r="E20" s="8">
        <f t="shared" si="1"/>
        <v>6.9896038693546325</v>
      </c>
      <c r="F20" s="8">
        <f t="shared" si="1"/>
        <v>7.5183098189322637</v>
      </c>
      <c r="H20" s="8"/>
    </row>
    <row r="21" spans="1:8" x14ac:dyDescent="0.25">
      <c r="A21" s="8">
        <f t="shared" si="1"/>
        <v>6.3911561371631738</v>
      </c>
      <c r="B21" s="8">
        <f t="shared" si="1"/>
        <v>7.4549565244971259</v>
      </c>
      <c r="C21" s="8">
        <f t="shared" si="1"/>
        <v>6.8552610960188654</v>
      </c>
      <c r="D21" s="8">
        <f t="shared" si="1"/>
        <v>6.7038476570633927</v>
      </c>
      <c r="E21" s="8">
        <f t="shared" si="1"/>
        <v>7.3609953222983373</v>
      </c>
      <c r="F21" s="8">
        <f t="shared" si="1"/>
        <v>7.3490251808242784</v>
      </c>
      <c r="H21" s="8"/>
    </row>
    <row r="22" spans="1:8" x14ac:dyDescent="0.25">
      <c r="A22" s="8">
        <f t="shared" si="1"/>
        <v>7.0197169040360823</v>
      </c>
      <c r="B22" s="8">
        <f t="shared" si="1"/>
        <v>8.0362785883735093</v>
      </c>
      <c r="C22" s="8">
        <f t="shared" si="1"/>
        <v>6.3334228206382424</v>
      </c>
      <c r="D22" s="8">
        <f t="shared" si="1"/>
        <v>7.1735234514848445</v>
      </c>
      <c r="E22" s="8">
        <f t="shared" si="1"/>
        <v>6.7877383548658097</v>
      </c>
      <c r="F22" s="8">
        <f t="shared" si="1"/>
        <v>7.1626100906866448</v>
      </c>
      <c r="H22" s="8"/>
    </row>
    <row r="23" spans="1:8" x14ac:dyDescent="0.25">
      <c r="A23" s="8">
        <f t="shared" si="1"/>
        <v>6.7211706587094193</v>
      </c>
      <c r="B23" s="8">
        <f t="shared" si="1"/>
        <v>7.4224584290185849</v>
      </c>
      <c r="C23" s="8">
        <f t="shared" si="1"/>
        <v>7.7868201967790629</v>
      </c>
      <c r="D23" s="8">
        <f t="shared" si="1"/>
        <v>7.5379681645366352</v>
      </c>
      <c r="E23" s="8">
        <f t="shared" si="1"/>
        <v>8.3900238958139468</v>
      </c>
      <c r="F23" s="8">
        <f t="shared" si="1"/>
        <v>7.0844847547977157</v>
      </c>
      <c r="H23" s="8"/>
    </row>
    <row r="24" spans="1:8" x14ac:dyDescent="0.25">
      <c r="A24" s="8">
        <f t="shared" si="1"/>
        <v>6.3520339056788133</v>
      </c>
      <c r="B24" s="8">
        <f t="shared" si="1"/>
        <v>7.1327452477267066</v>
      </c>
      <c r="C24" s="8">
        <f t="shared" si="1"/>
        <v>6.5969589614811355</v>
      </c>
      <c r="D24" s="8">
        <f t="shared" si="1"/>
        <v>6.1959251269695708</v>
      </c>
      <c r="E24" s="8">
        <f t="shared" si="1"/>
        <v>6.7916720406724043</v>
      </c>
      <c r="F24" s="8">
        <f t="shared" si="1"/>
        <v>6.6670778355490654</v>
      </c>
      <c r="H24" s="8"/>
    </row>
    <row r="25" spans="1:8" x14ac:dyDescent="0.25">
      <c r="A25" s="8">
        <f t="shared" si="1"/>
        <v>7.5146461564139759</v>
      </c>
      <c r="B25" s="8">
        <f t="shared" si="1"/>
        <v>7.4901298118187727</v>
      </c>
      <c r="C25" s="8">
        <f t="shared" si="1"/>
        <v>7.8978136855365006</v>
      </c>
      <c r="D25" s="8">
        <f t="shared" si="1"/>
        <v>7.7101154515497035</v>
      </c>
      <c r="E25" s="8">
        <f t="shared" si="1"/>
        <v>6.2350937164325737</v>
      </c>
      <c r="F25" s="8">
        <f t="shared" si="1"/>
        <v>6.5498145531127765</v>
      </c>
      <c r="H25" s="8"/>
    </row>
    <row r="26" spans="1:8" x14ac:dyDescent="0.25">
      <c r="A26" s="8">
        <f t="shared" si="1"/>
        <v>7.1935418352720264</v>
      </c>
      <c r="B26" s="8">
        <f t="shared" si="1"/>
        <v>6.6134735234063804</v>
      </c>
      <c r="C26" s="8">
        <f t="shared" si="1"/>
        <v>6.33711241188184</v>
      </c>
      <c r="D26" s="8">
        <f t="shared" si="1"/>
        <v>6.8570759125509229</v>
      </c>
      <c r="E26" s="8">
        <f t="shared" si="1"/>
        <v>7.8570623221472147</v>
      </c>
      <c r="F26" s="8">
        <f t="shared" si="1"/>
        <v>6.8602169725738271</v>
      </c>
    </row>
    <row r="27" spans="1:8" x14ac:dyDescent="0.25">
      <c r="A27" s="8"/>
    </row>
    <row r="28" spans="1:8" x14ac:dyDescent="0.25">
      <c r="A28" s="9" t="s">
        <v>13</v>
      </c>
      <c r="B28" s="10">
        <f>AVERAGE(A19:F26)</f>
        <v>7.1167872024229135</v>
      </c>
      <c r="C28" s="2" t="str">
        <f ca="1">_xlfn.FORMULATEXT(B28)</f>
        <v>=AVERAGE(A19:F26)</v>
      </c>
    </row>
    <row r="29" spans="1:8" x14ac:dyDescent="0.25">
      <c r="A29" s="11" t="s">
        <v>14</v>
      </c>
      <c r="B29" s="8">
        <f>MIN(A19:F26)</f>
        <v>6.1959251269695708</v>
      </c>
      <c r="C29" s="2" t="str">
        <f ca="1">_xlfn.FORMULATEXT(B29)</f>
        <v>=MIN(A19:F26)</v>
      </c>
    </row>
    <row r="30" spans="1:8" x14ac:dyDescent="0.25">
      <c r="A30" s="11" t="s">
        <v>15</v>
      </c>
      <c r="B30" s="8">
        <f>MAX(A19:F26)</f>
        <v>9.2104057950745553</v>
      </c>
      <c r="C30" s="2" t="str">
        <f ca="1">_xlfn.FORMULATEXT(B30)</f>
        <v>=MAX(A19:F26)</v>
      </c>
    </row>
    <row r="31" spans="1:8" x14ac:dyDescent="0.25">
      <c r="A31" s="11" t="s">
        <v>16</v>
      </c>
      <c r="B31" s="8">
        <f>STDEV(A19:F26)</f>
        <v>0.63123837036098041</v>
      </c>
      <c r="C31" s="2" t="str">
        <f ca="1">_xlfn.FORMULATEXT(B31)</f>
        <v>=STDEV(A19:F26)</v>
      </c>
    </row>
    <row r="33" spans="2:7" ht="15.6" x14ac:dyDescent="0.3">
      <c r="B33" s="12" t="s">
        <v>17</v>
      </c>
    </row>
    <row r="34" spans="2:7" ht="39.6" x14ac:dyDescent="0.25">
      <c r="B34" s="13" t="s">
        <v>12</v>
      </c>
      <c r="C34" s="13" t="s">
        <v>18</v>
      </c>
      <c r="D34" s="14" t="s">
        <v>14</v>
      </c>
      <c r="E34" s="14" t="s">
        <v>19</v>
      </c>
      <c r="F34" s="13" t="s">
        <v>20</v>
      </c>
    </row>
    <row r="35" spans="2:7" x14ac:dyDescent="0.25">
      <c r="C35" s="15">
        <f>B28</f>
        <v>7.1167872024229135</v>
      </c>
      <c r="D35" s="15">
        <f>B29</f>
        <v>6.1959251269695708</v>
      </c>
      <c r="E35" s="15">
        <f>B30</f>
        <v>9.2104057950745553</v>
      </c>
      <c r="F35" s="15">
        <f>B31</f>
        <v>0.63123837036098041</v>
      </c>
      <c r="G35" s="2" t="str">
        <f ca="1">_xlfn.FORMULATEXT(F35)&amp;" , data table header (hidden)"</f>
        <v>=B31 , data table header (hidden)</v>
      </c>
    </row>
    <row r="36" spans="2:7" x14ac:dyDescent="0.25">
      <c r="B36" s="16">
        <v>50</v>
      </c>
      <c r="C36" s="8">
        <f t="dataTable" ref="C36:F46" dt2D="0" dtr="0" r1="B17"/>
        <v>6.8512194482475595</v>
      </c>
      <c r="D36" s="8">
        <v>5.0275284087888839</v>
      </c>
      <c r="E36" s="8">
        <v>8.6504960346635826</v>
      </c>
      <c r="F36" s="8">
        <v>0.85030242577908566</v>
      </c>
    </row>
    <row r="37" spans="2:7" x14ac:dyDescent="0.25">
      <c r="B37" s="16">
        <v>100</v>
      </c>
      <c r="C37" s="8">
        <v>6.9626821385494644</v>
      </c>
      <c r="D37" s="8">
        <v>5.5685583019032228</v>
      </c>
      <c r="E37" s="8">
        <v>8.2033757001238872</v>
      </c>
      <c r="F37" s="8">
        <v>0.59272902266842931</v>
      </c>
    </row>
    <row r="38" spans="2:7" x14ac:dyDescent="0.25">
      <c r="B38" s="16">
        <v>150</v>
      </c>
      <c r="C38" s="8">
        <v>7.0178642717113533</v>
      </c>
      <c r="D38" s="8">
        <v>6.0684845368621803</v>
      </c>
      <c r="E38" s="8">
        <v>8.2433406355676873</v>
      </c>
      <c r="F38" s="8">
        <v>0.51133927617590436</v>
      </c>
    </row>
    <row r="39" spans="2:7" x14ac:dyDescent="0.25">
      <c r="B39" s="16">
        <v>200</v>
      </c>
      <c r="C39" s="8">
        <v>6.8795043778994662</v>
      </c>
      <c r="D39" s="8">
        <v>5.9237589173960625</v>
      </c>
      <c r="E39" s="8">
        <v>7.5114990867009421</v>
      </c>
      <c r="F39" s="8">
        <v>0.38302877150170128</v>
      </c>
    </row>
    <row r="40" spans="2:7" x14ac:dyDescent="0.25">
      <c r="B40" s="16">
        <v>250</v>
      </c>
      <c r="C40" s="8">
        <v>6.896469957234646</v>
      </c>
      <c r="D40" s="8">
        <v>5.920967903655395</v>
      </c>
      <c r="E40" s="8">
        <v>7.6398127235324358</v>
      </c>
      <c r="F40" s="8">
        <v>0.35723982768543117</v>
      </c>
    </row>
    <row r="41" spans="2:7" x14ac:dyDescent="0.25">
      <c r="B41" s="16">
        <v>300</v>
      </c>
      <c r="C41" s="8">
        <v>6.9174801305329723</v>
      </c>
      <c r="D41" s="8">
        <v>5.981318198583164</v>
      </c>
      <c r="E41" s="8">
        <v>7.615638163803145</v>
      </c>
      <c r="F41" s="8">
        <v>0.33692076952762201</v>
      </c>
    </row>
    <row r="42" spans="2:7" x14ac:dyDescent="0.25">
      <c r="B42" s="16">
        <v>350</v>
      </c>
      <c r="C42" s="8">
        <v>6.9412449700474239</v>
      </c>
      <c r="D42" s="8">
        <v>6.3514724496631052</v>
      </c>
      <c r="E42" s="8">
        <v>7.7743469171488657</v>
      </c>
      <c r="F42" s="8">
        <v>0.34236532351279741</v>
      </c>
    </row>
    <row r="43" spans="2:7" x14ac:dyDescent="0.25">
      <c r="B43" s="16">
        <v>400</v>
      </c>
      <c r="C43" s="8">
        <v>7.01529255230093</v>
      </c>
      <c r="D43" s="8">
        <v>6.0940577245601961</v>
      </c>
      <c r="E43" s="8">
        <v>7.7698389145481519</v>
      </c>
      <c r="F43" s="8">
        <v>0.37279181952766305</v>
      </c>
    </row>
    <row r="44" spans="2:7" x14ac:dyDescent="0.25">
      <c r="B44" s="16">
        <v>450</v>
      </c>
      <c r="C44" s="8">
        <v>6.9512653837036131</v>
      </c>
      <c r="D44" s="8">
        <v>6.2048487467577322</v>
      </c>
      <c r="E44" s="8">
        <v>7.5251616726762238</v>
      </c>
      <c r="F44" s="8">
        <v>0.28655822816696336</v>
      </c>
    </row>
    <row r="45" spans="2:7" x14ac:dyDescent="0.25">
      <c r="B45" s="16">
        <v>500</v>
      </c>
      <c r="C45" s="8">
        <v>6.8781908369563389</v>
      </c>
      <c r="D45" s="8">
        <v>6.2289291203553629</v>
      </c>
      <c r="E45" s="8">
        <v>7.6637879350252343</v>
      </c>
      <c r="F45" s="8">
        <v>0.32640345931682146</v>
      </c>
    </row>
    <row r="46" spans="2:7" x14ac:dyDescent="0.25">
      <c r="B46" s="16">
        <v>550</v>
      </c>
      <c r="C46" s="8">
        <v>6.9044609330911273</v>
      </c>
      <c r="D46" s="8">
        <v>6.4025093336334535</v>
      </c>
      <c r="E46" s="8">
        <v>7.504709222928013</v>
      </c>
      <c r="F46" s="8">
        <v>0.25792077859133455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645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2024-12-11T09:44:24Z</dcterms:modified>
</cp:coreProperties>
</file>