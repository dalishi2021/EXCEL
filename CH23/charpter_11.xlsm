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3\"/>
    </mc:Choice>
  </mc:AlternateContent>
  <xr:revisionPtr revIDLastSave="0" documentId="13_ncr:1_{5EB52B18-F406-4709-B8D0-C27F0EBAC2BE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35" sheetId="2" r:id="rId2"/>
  </sheets>
  <functionGroups builtInGroupCount="19"/>
  <externalReferences>
    <externalReference r:id="rId3"/>
    <externalReference r:id="rId4"/>
    <externalReference r:id="rId5"/>
    <externalReference r:id="rId6"/>
  </externalReferences>
  <definedNames>
    <definedName name="Call">#REF!</definedName>
    <definedName name="Down">#REF!</definedName>
    <definedName name="implied_call_volatility">'[3]Page 304'!$B$13</definedName>
    <definedName name="Interest">'[3]Page 300'!$B$6</definedName>
    <definedName name="q_down">#REF!</definedName>
    <definedName name="q_up">#REF!</definedName>
    <definedName name="r_">'[3]Page 300'!$B$6</definedName>
    <definedName name="s">'[3]Page 300'!$B$3</definedName>
    <definedName name="sigma">'[3]Page 300'!$B$7</definedName>
    <definedName name="T">'[3]Page 300'!$B$5</definedName>
    <definedName name="target_call_price">'[3]Page 304'!$B$11</definedName>
    <definedName name="Up">#REF!</definedName>
    <definedName name="X">'[3]Page 300'!$B$4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2" l="1"/>
  <c r="A1" i="2"/>
  <c r="C24" i="2"/>
  <c r="C23" i="2"/>
  <c r="A16" i="2"/>
  <c r="C13" i="2"/>
  <c r="E10" i="2"/>
  <c r="D12" i="2"/>
  <c r="D11" i="2"/>
  <c r="B11" i="2"/>
  <c r="F10" i="2"/>
  <c r="C22" i="2"/>
  <c r="F15" i="2"/>
  <c r="B13" i="2"/>
  <c r="D10" i="2"/>
  <c r="B12" i="2"/>
  <c r="A14" i="2"/>
  <c r="E13" i="2"/>
  <c r="C19" i="2"/>
  <c r="E15" i="2"/>
  <c r="A13" i="2"/>
  <c r="C10" i="2"/>
  <c r="B15" i="2"/>
  <c r="E14" i="2"/>
  <c r="F13" i="2"/>
  <c r="G10" i="2"/>
  <c r="D15" i="2"/>
  <c r="F12" i="2"/>
  <c r="B10" i="2"/>
  <c r="C12" i="2"/>
  <c r="A12" i="2"/>
  <c r="C16" i="2"/>
  <c r="C15" i="2"/>
  <c r="E12" i="2"/>
  <c r="A10" i="2"/>
  <c r="A15" i="2"/>
  <c r="E16" i="2"/>
  <c r="A11" i="2"/>
  <c r="F17" i="2"/>
  <c r="E17" i="2"/>
  <c r="D17" i="2"/>
  <c r="F14" i="2"/>
  <c r="C17" i="2"/>
  <c r="B17" i="2"/>
  <c r="D14" i="2"/>
  <c r="F11" i="2"/>
  <c r="F16" i="2"/>
  <c r="D16" i="2"/>
  <c r="D13" i="2"/>
  <c r="A17" i="2"/>
  <c r="C14" i="2"/>
  <c r="E11" i="2"/>
  <c r="B14" i="2"/>
  <c r="C11" i="2"/>
  <c r="B16" i="2"/>
  <c r="B24" i="2" l="1"/>
  <c r="B22" i="2"/>
  <c r="B19" i="2"/>
  <c r="B23" i="2"/>
</calcChain>
</file>

<file path=xl/sharedStrings.xml><?xml version="1.0" encoding="utf-8"?>
<sst xmlns="http://schemas.openxmlformats.org/spreadsheetml/2006/main" count="10" uniqueCount="10">
  <si>
    <t>Up</t>
  </si>
  <si>
    <t>Down</t>
  </si>
  <si>
    <t>Interest</t>
  </si>
  <si>
    <t>Initialprice</t>
  </si>
  <si>
    <t>Periods</t>
  </si>
  <si>
    <t>Exercise</t>
  </si>
  <si>
    <t>Runs</t>
  </si>
  <si>
    <t>Average of MC simulations</t>
  </si>
  <si>
    <t xml:space="preserve">True value </t>
  </si>
  <si>
    <t>&lt;-- From Section 23.5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</si>
</sst>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7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3" fontId="2" fillId="0" borderId="0" xfId="1" applyNumberFormat="1"/>
    <xf numFmtId="176" fontId="2" fillId="0" borderId="0" xfId="1" applyNumberFormat="1"/>
    <xf numFmtId="0" fontId="2" fillId="2" borderId="0" xfId="1" applyFill="1" applyAlignment="1">
      <alignment horizontal="center"/>
    </xf>
    <xf numFmtId="176" fontId="2" fillId="2" borderId="0" xfId="1" applyNumberFormat="1" applyFill="1"/>
  </cellXfs>
  <cellStyles count="2">
    <cellStyle name="常规" xfId="0" builtinId="0"/>
    <cellStyle name="常规 2" xfId="1" xr:uid="{DA57A44D-5AA4-4D38-B510-AA7E61DD92E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plainvanilla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3.2asian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.2asian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FM,%20Second%20edition/Disk%20with%20book/Chapter%20files/Chapter%2016.xl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23\charpter_07.xlsm" TargetMode="External"/><Relationship Id="rId1" Type="http://schemas.openxmlformats.org/officeDocument/2006/relationships/externalLinkPath" Target="charpter_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wo-period picture (2)"/>
      <sheetName val="Another drawing"/>
      <sheetName val="Simple--two paths"/>
      <sheetName val="Simple--two paths, for book"/>
      <sheetName val="Simple--many paths"/>
      <sheetName val="Vanilla call"/>
      <sheetName val="Multiple runs"/>
      <sheetName val="More efficie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28"/>
      <sheetName val="Page 628 中文"/>
      <sheetName val="Page 629, 32"/>
      <sheetName val="Page 629, 32 中文"/>
      <sheetName val="Page 630"/>
      <sheetName val="Page 630中文"/>
      <sheetName val="Page 631"/>
      <sheetName val="Page 631中文"/>
      <sheetName val="Page 634"/>
      <sheetName val="Page 634中文"/>
      <sheetName val="Page 635"/>
      <sheetName val="Page 635中文"/>
      <sheetName val="Page 636"/>
      <sheetName val="Page636中文"/>
      <sheetName val="Page 637"/>
      <sheetName val="Page 637中文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 t="e">
            <v>#NAME?</v>
          </cell>
        </row>
      </sheetData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Page 629, 32"/>
    </sheetNames>
    <sheetDataSet>
      <sheetData sheetId="0" refreshError="1"/>
      <sheetData sheetId="1">
        <row r="37">
          <cell r="N37">
            <v>5.3756094453744803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7C86E-C720-4BC8-A64D-51185AD140B0}">
  <sheetPr codeName="Sheet6"/>
  <dimension ref="A1:H24"/>
  <sheetViews>
    <sheetView tabSelected="1" workbookViewId="0">
      <selection activeCell="P27" sqref="P27"/>
    </sheetView>
  </sheetViews>
  <sheetFormatPr defaultRowHeight="13.2" x14ac:dyDescent="0.25"/>
  <cols>
    <col min="1" max="1" width="24.44140625" style="2" customWidth="1"/>
    <col min="2" max="6" width="8.88671875" style="2"/>
    <col min="7" max="7" width="48.44140625" style="2" bestFit="1" customWidth="1"/>
    <col min="8" max="8" width="12.44140625" style="2" customWidth="1"/>
    <col min="9" max="256" width="8.88671875" style="2"/>
    <col min="257" max="257" width="24.44140625" style="2" customWidth="1"/>
    <col min="258" max="262" width="8.88671875" style="2"/>
    <col min="263" max="263" width="48.44140625" style="2" bestFit="1" customWidth="1"/>
    <col min="264" max="264" width="12.44140625" style="2" customWidth="1"/>
    <col min="265" max="512" width="8.88671875" style="2"/>
    <col min="513" max="513" width="24.44140625" style="2" customWidth="1"/>
    <col min="514" max="518" width="8.88671875" style="2"/>
    <col min="519" max="519" width="48.44140625" style="2" bestFit="1" customWidth="1"/>
    <col min="520" max="520" width="12.44140625" style="2" customWidth="1"/>
    <col min="521" max="768" width="8.88671875" style="2"/>
    <col min="769" max="769" width="24.44140625" style="2" customWidth="1"/>
    <col min="770" max="774" width="8.88671875" style="2"/>
    <col min="775" max="775" width="48.44140625" style="2" bestFit="1" customWidth="1"/>
    <col min="776" max="776" width="12.44140625" style="2" customWidth="1"/>
    <col min="777" max="1024" width="8.88671875" style="2"/>
    <col min="1025" max="1025" width="24.44140625" style="2" customWidth="1"/>
    <col min="1026" max="1030" width="8.88671875" style="2"/>
    <col min="1031" max="1031" width="48.44140625" style="2" bestFit="1" customWidth="1"/>
    <col min="1032" max="1032" width="12.44140625" style="2" customWidth="1"/>
    <col min="1033" max="1280" width="8.88671875" style="2"/>
    <col min="1281" max="1281" width="24.44140625" style="2" customWidth="1"/>
    <col min="1282" max="1286" width="8.88671875" style="2"/>
    <col min="1287" max="1287" width="48.44140625" style="2" bestFit="1" customWidth="1"/>
    <col min="1288" max="1288" width="12.44140625" style="2" customWidth="1"/>
    <col min="1289" max="1536" width="8.88671875" style="2"/>
    <col min="1537" max="1537" width="24.44140625" style="2" customWidth="1"/>
    <col min="1538" max="1542" width="8.88671875" style="2"/>
    <col min="1543" max="1543" width="48.44140625" style="2" bestFit="1" customWidth="1"/>
    <col min="1544" max="1544" width="12.44140625" style="2" customWidth="1"/>
    <col min="1545" max="1792" width="8.88671875" style="2"/>
    <col min="1793" max="1793" width="24.44140625" style="2" customWidth="1"/>
    <col min="1794" max="1798" width="8.88671875" style="2"/>
    <col min="1799" max="1799" width="48.44140625" style="2" bestFit="1" customWidth="1"/>
    <col min="1800" max="1800" width="12.44140625" style="2" customWidth="1"/>
    <col min="1801" max="2048" width="8.88671875" style="2"/>
    <col min="2049" max="2049" width="24.44140625" style="2" customWidth="1"/>
    <col min="2050" max="2054" width="8.88671875" style="2"/>
    <col min="2055" max="2055" width="48.44140625" style="2" bestFit="1" customWidth="1"/>
    <col min="2056" max="2056" width="12.44140625" style="2" customWidth="1"/>
    <col min="2057" max="2304" width="8.88671875" style="2"/>
    <col min="2305" max="2305" width="24.44140625" style="2" customWidth="1"/>
    <col min="2306" max="2310" width="8.88671875" style="2"/>
    <col min="2311" max="2311" width="48.44140625" style="2" bestFit="1" customWidth="1"/>
    <col min="2312" max="2312" width="12.44140625" style="2" customWidth="1"/>
    <col min="2313" max="2560" width="8.88671875" style="2"/>
    <col min="2561" max="2561" width="24.44140625" style="2" customWidth="1"/>
    <col min="2562" max="2566" width="8.88671875" style="2"/>
    <col min="2567" max="2567" width="48.44140625" style="2" bestFit="1" customWidth="1"/>
    <col min="2568" max="2568" width="12.44140625" style="2" customWidth="1"/>
    <col min="2569" max="2816" width="8.88671875" style="2"/>
    <col min="2817" max="2817" width="24.44140625" style="2" customWidth="1"/>
    <col min="2818" max="2822" width="8.88671875" style="2"/>
    <col min="2823" max="2823" width="48.44140625" style="2" bestFit="1" customWidth="1"/>
    <col min="2824" max="2824" width="12.44140625" style="2" customWidth="1"/>
    <col min="2825" max="3072" width="8.88671875" style="2"/>
    <col min="3073" max="3073" width="24.44140625" style="2" customWidth="1"/>
    <col min="3074" max="3078" width="8.88671875" style="2"/>
    <col min="3079" max="3079" width="48.44140625" style="2" bestFit="1" customWidth="1"/>
    <col min="3080" max="3080" width="12.44140625" style="2" customWidth="1"/>
    <col min="3081" max="3328" width="8.88671875" style="2"/>
    <col min="3329" max="3329" width="24.44140625" style="2" customWidth="1"/>
    <col min="3330" max="3334" width="8.88671875" style="2"/>
    <col min="3335" max="3335" width="48.44140625" style="2" bestFit="1" customWidth="1"/>
    <col min="3336" max="3336" width="12.44140625" style="2" customWidth="1"/>
    <col min="3337" max="3584" width="8.88671875" style="2"/>
    <col min="3585" max="3585" width="24.44140625" style="2" customWidth="1"/>
    <col min="3586" max="3590" width="8.88671875" style="2"/>
    <col min="3591" max="3591" width="48.44140625" style="2" bestFit="1" customWidth="1"/>
    <col min="3592" max="3592" width="12.44140625" style="2" customWidth="1"/>
    <col min="3593" max="3840" width="8.88671875" style="2"/>
    <col min="3841" max="3841" width="24.44140625" style="2" customWidth="1"/>
    <col min="3842" max="3846" width="8.88671875" style="2"/>
    <col min="3847" max="3847" width="48.44140625" style="2" bestFit="1" customWidth="1"/>
    <col min="3848" max="3848" width="12.44140625" style="2" customWidth="1"/>
    <col min="3849" max="4096" width="8.88671875" style="2"/>
    <col min="4097" max="4097" width="24.44140625" style="2" customWidth="1"/>
    <col min="4098" max="4102" width="8.88671875" style="2"/>
    <col min="4103" max="4103" width="48.44140625" style="2" bestFit="1" customWidth="1"/>
    <col min="4104" max="4104" width="12.44140625" style="2" customWidth="1"/>
    <col min="4105" max="4352" width="8.88671875" style="2"/>
    <col min="4353" max="4353" width="24.44140625" style="2" customWidth="1"/>
    <col min="4354" max="4358" width="8.88671875" style="2"/>
    <col min="4359" max="4359" width="48.44140625" style="2" bestFit="1" customWidth="1"/>
    <col min="4360" max="4360" width="12.44140625" style="2" customWidth="1"/>
    <col min="4361" max="4608" width="8.88671875" style="2"/>
    <col min="4609" max="4609" width="24.44140625" style="2" customWidth="1"/>
    <col min="4610" max="4614" width="8.88671875" style="2"/>
    <col min="4615" max="4615" width="48.44140625" style="2" bestFit="1" customWidth="1"/>
    <col min="4616" max="4616" width="12.44140625" style="2" customWidth="1"/>
    <col min="4617" max="4864" width="8.88671875" style="2"/>
    <col min="4865" max="4865" width="24.44140625" style="2" customWidth="1"/>
    <col min="4866" max="4870" width="8.88671875" style="2"/>
    <col min="4871" max="4871" width="48.44140625" style="2" bestFit="1" customWidth="1"/>
    <col min="4872" max="4872" width="12.44140625" style="2" customWidth="1"/>
    <col min="4873" max="5120" width="8.88671875" style="2"/>
    <col min="5121" max="5121" width="24.44140625" style="2" customWidth="1"/>
    <col min="5122" max="5126" width="8.88671875" style="2"/>
    <col min="5127" max="5127" width="48.44140625" style="2" bestFit="1" customWidth="1"/>
    <col min="5128" max="5128" width="12.44140625" style="2" customWidth="1"/>
    <col min="5129" max="5376" width="8.88671875" style="2"/>
    <col min="5377" max="5377" width="24.44140625" style="2" customWidth="1"/>
    <col min="5378" max="5382" width="8.88671875" style="2"/>
    <col min="5383" max="5383" width="48.44140625" style="2" bestFit="1" customWidth="1"/>
    <col min="5384" max="5384" width="12.44140625" style="2" customWidth="1"/>
    <col min="5385" max="5632" width="8.88671875" style="2"/>
    <col min="5633" max="5633" width="24.44140625" style="2" customWidth="1"/>
    <col min="5634" max="5638" width="8.88671875" style="2"/>
    <col min="5639" max="5639" width="48.44140625" style="2" bestFit="1" customWidth="1"/>
    <col min="5640" max="5640" width="12.44140625" style="2" customWidth="1"/>
    <col min="5641" max="5888" width="8.88671875" style="2"/>
    <col min="5889" max="5889" width="24.44140625" style="2" customWidth="1"/>
    <col min="5890" max="5894" width="8.88671875" style="2"/>
    <col min="5895" max="5895" width="48.44140625" style="2" bestFit="1" customWidth="1"/>
    <col min="5896" max="5896" width="12.44140625" style="2" customWidth="1"/>
    <col min="5897" max="6144" width="8.88671875" style="2"/>
    <col min="6145" max="6145" width="24.44140625" style="2" customWidth="1"/>
    <col min="6146" max="6150" width="8.88671875" style="2"/>
    <col min="6151" max="6151" width="48.44140625" style="2" bestFit="1" customWidth="1"/>
    <col min="6152" max="6152" width="12.44140625" style="2" customWidth="1"/>
    <col min="6153" max="6400" width="8.88671875" style="2"/>
    <col min="6401" max="6401" width="24.44140625" style="2" customWidth="1"/>
    <col min="6402" max="6406" width="8.88671875" style="2"/>
    <col min="6407" max="6407" width="48.44140625" style="2" bestFit="1" customWidth="1"/>
    <col min="6408" max="6408" width="12.44140625" style="2" customWidth="1"/>
    <col min="6409" max="6656" width="8.88671875" style="2"/>
    <col min="6657" max="6657" width="24.44140625" style="2" customWidth="1"/>
    <col min="6658" max="6662" width="8.88671875" style="2"/>
    <col min="6663" max="6663" width="48.44140625" style="2" bestFit="1" customWidth="1"/>
    <col min="6664" max="6664" width="12.44140625" style="2" customWidth="1"/>
    <col min="6665" max="6912" width="8.88671875" style="2"/>
    <col min="6913" max="6913" width="24.44140625" style="2" customWidth="1"/>
    <col min="6914" max="6918" width="8.88671875" style="2"/>
    <col min="6919" max="6919" width="48.44140625" style="2" bestFit="1" customWidth="1"/>
    <col min="6920" max="6920" width="12.44140625" style="2" customWidth="1"/>
    <col min="6921" max="7168" width="8.88671875" style="2"/>
    <col min="7169" max="7169" width="24.44140625" style="2" customWidth="1"/>
    <col min="7170" max="7174" width="8.88671875" style="2"/>
    <col min="7175" max="7175" width="48.44140625" style="2" bestFit="1" customWidth="1"/>
    <col min="7176" max="7176" width="12.44140625" style="2" customWidth="1"/>
    <col min="7177" max="7424" width="8.88671875" style="2"/>
    <col min="7425" max="7425" width="24.44140625" style="2" customWidth="1"/>
    <col min="7426" max="7430" width="8.88671875" style="2"/>
    <col min="7431" max="7431" width="48.44140625" style="2" bestFit="1" customWidth="1"/>
    <col min="7432" max="7432" width="12.44140625" style="2" customWidth="1"/>
    <col min="7433" max="7680" width="8.88671875" style="2"/>
    <col min="7681" max="7681" width="24.44140625" style="2" customWidth="1"/>
    <col min="7682" max="7686" width="8.88671875" style="2"/>
    <col min="7687" max="7687" width="48.44140625" style="2" bestFit="1" customWidth="1"/>
    <col min="7688" max="7688" width="12.44140625" style="2" customWidth="1"/>
    <col min="7689" max="7936" width="8.88671875" style="2"/>
    <col min="7937" max="7937" width="24.44140625" style="2" customWidth="1"/>
    <col min="7938" max="7942" width="8.88671875" style="2"/>
    <col min="7943" max="7943" width="48.44140625" style="2" bestFit="1" customWidth="1"/>
    <col min="7944" max="7944" width="12.44140625" style="2" customWidth="1"/>
    <col min="7945" max="8192" width="8.88671875" style="2"/>
    <col min="8193" max="8193" width="24.44140625" style="2" customWidth="1"/>
    <col min="8194" max="8198" width="8.88671875" style="2"/>
    <col min="8199" max="8199" width="48.44140625" style="2" bestFit="1" customWidth="1"/>
    <col min="8200" max="8200" width="12.44140625" style="2" customWidth="1"/>
    <col min="8201" max="8448" width="8.88671875" style="2"/>
    <col min="8449" max="8449" width="24.44140625" style="2" customWidth="1"/>
    <col min="8450" max="8454" width="8.88671875" style="2"/>
    <col min="8455" max="8455" width="48.44140625" style="2" bestFit="1" customWidth="1"/>
    <col min="8456" max="8456" width="12.44140625" style="2" customWidth="1"/>
    <col min="8457" max="8704" width="8.88671875" style="2"/>
    <col min="8705" max="8705" width="24.44140625" style="2" customWidth="1"/>
    <col min="8706" max="8710" width="8.88671875" style="2"/>
    <col min="8711" max="8711" width="48.44140625" style="2" bestFit="1" customWidth="1"/>
    <col min="8712" max="8712" width="12.44140625" style="2" customWidth="1"/>
    <col min="8713" max="8960" width="8.88671875" style="2"/>
    <col min="8961" max="8961" width="24.44140625" style="2" customWidth="1"/>
    <col min="8962" max="8966" width="8.88671875" style="2"/>
    <col min="8967" max="8967" width="48.44140625" style="2" bestFit="1" customWidth="1"/>
    <col min="8968" max="8968" width="12.44140625" style="2" customWidth="1"/>
    <col min="8969" max="9216" width="8.88671875" style="2"/>
    <col min="9217" max="9217" width="24.44140625" style="2" customWidth="1"/>
    <col min="9218" max="9222" width="8.88671875" style="2"/>
    <col min="9223" max="9223" width="48.44140625" style="2" bestFit="1" customWidth="1"/>
    <col min="9224" max="9224" width="12.44140625" style="2" customWidth="1"/>
    <col min="9225" max="9472" width="8.88671875" style="2"/>
    <col min="9473" max="9473" width="24.44140625" style="2" customWidth="1"/>
    <col min="9474" max="9478" width="8.88671875" style="2"/>
    <col min="9479" max="9479" width="48.44140625" style="2" bestFit="1" customWidth="1"/>
    <col min="9480" max="9480" width="12.44140625" style="2" customWidth="1"/>
    <col min="9481" max="9728" width="8.88671875" style="2"/>
    <col min="9729" max="9729" width="24.44140625" style="2" customWidth="1"/>
    <col min="9730" max="9734" width="8.88671875" style="2"/>
    <col min="9735" max="9735" width="48.44140625" style="2" bestFit="1" customWidth="1"/>
    <col min="9736" max="9736" width="12.44140625" style="2" customWidth="1"/>
    <col min="9737" max="9984" width="8.88671875" style="2"/>
    <col min="9985" max="9985" width="24.44140625" style="2" customWidth="1"/>
    <col min="9986" max="9990" width="8.88671875" style="2"/>
    <col min="9991" max="9991" width="48.44140625" style="2" bestFit="1" customWidth="1"/>
    <col min="9992" max="9992" width="12.44140625" style="2" customWidth="1"/>
    <col min="9993" max="10240" width="8.88671875" style="2"/>
    <col min="10241" max="10241" width="24.44140625" style="2" customWidth="1"/>
    <col min="10242" max="10246" width="8.88671875" style="2"/>
    <col min="10247" max="10247" width="48.44140625" style="2" bestFit="1" customWidth="1"/>
    <col min="10248" max="10248" width="12.44140625" style="2" customWidth="1"/>
    <col min="10249" max="10496" width="8.88671875" style="2"/>
    <col min="10497" max="10497" width="24.44140625" style="2" customWidth="1"/>
    <col min="10498" max="10502" width="8.88671875" style="2"/>
    <col min="10503" max="10503" width="48.44140625" style="2" bestFit="1" customWidth="1"/>
    <col min="10504" max="10504" width="12.44140625" style="2" customWidth="1"/>
    <col min="10505" max="10752" width="8.88671875" style="2"/>
    <col min="10753" max="10753" width="24.44140625" style="2" customWidth="1"/>
    <col min="10754" max="10758" width="8.88671875" style="2"/>
    <col min="10759" max="10759" width="48.44140625" style="2" bestFit="1" customWidth="1"/>
    <col min="10760" max="10760" width="12.44140625" style="2" customWidth="1"/>
    <col min="10761" max="11008" width="8.88671875" style="2"/>
    <col min="11009" max="11009" width="24.44140625" style="2" customWidth="1"/>
    <col min="11010" max="11014" width="8.88671875" style="2"/>
    <col min="11015" max="11015" width="48.44140625" style="2" bestFit="1" customWidth="1"/>
    <col min="11016" max="11016" width="12.44140625" style="2" customWidth="1"/>
    <col min="11017" max="11264" width="8.88671875" style="2"/>
    <col min="11265" max="11265" width="24.44140625" style="2" customWidth="1"/>
    <col min="11266" max="11270" width="8.88671875" style="2"/>
    <col min="11271" max="11271" width="48.44140625" style="2" bestFit="1" customWidth="1"/>
    <col min="11272" max="11272" width="12.44140625" style="2" customWidth="1"/>
    <col min="11273" max="11520" width="8.88671875" style="2"/>
    <col min="11521" max="11521" width="24.44140625" style="2" customWidth="1"/>
    <col min="11522" max="11526" width="8.88671875" style="2"/>
    <col min="11527" max="11527" width="48.44140625" style="2" bestFit="1" customWidth="1"/>
    <col min="11528" max="11528" width="12.44140625" style="2" customWidth="1"/>
    <col min="11529" max="11776" width="8.88671875" style="2"/>
    <col min="11777" max="11777" width="24.44140625" style="2" customWidth="1"/>
    <col min="11778" max="11782" width="8.88671875" style="2"/>
    <col min="11783" max="11783" width="48.44140625" style="2" bestFit="1" customWidth="1"/>
    <col min="11784" max="11784" width="12.44140625" style="2" customWidth="1"/>
    <col min="11785" max="12032" width="8.88671875" style="2"/>
    <col min="12033" max="12033" width="24.44140625" style="2" customWidth="1"/>
    <col min="12034" max="12038" width="8.88671875" style="2"/>
    <col min="12039" max="12039" width="48.44140625" style="2" bestFit="1" customWidth="1"/>
    <col min="12040" max="12040" width="12.44140625" style="2" customWidth="1"/>
    <col min="12041" max="12288" width="8.88671875" style="2"/>
    <col min="12289" max="12289" width="24.44140625" style="2" customWidth="1"/>
    <col min="12290" max="12294" width="8.88671875" style="2"/>
    <col min="12295" max="12295" width="48.44140625" style="2" bestFit="1" customWidth="1"/>
    <col min="12296" max="12296" width="12.44140625" style="2" customWidth="1"/>
    <col min="12297" max="12544" width="8.88671875" style="2"/>
    <col min="12545" max="12545" width="24.44140625" style="2" customWidth="1"/>
    <col min="12546" max="12550" width="8.88671875" style="2"/>
    <col min="12551" max="12551" width="48.44140625" style="2" bestFit="1" customWidth="1"/>
    <col min="12552" max="12552" width="12.44140625" style="2" customWidth="1"/>
    <col min="12553" max="12800" width="8.88671875" style="2"/>
    <col min="12801" max="12801" width="24.44140625" style="2" customWidth="1"/>
    <col min="12802" max="12806" width="8.88671875" style="2"/>
    <col min="12807" max="12807" width="48.44140625" style="2" bestFit="1" customWidth="1"/>
    <col min="12808" max="12808" width="12.44140625" style="2" customWidth="1"/>
    <col min="12809" max="13056" width="8.88671875" style="2"/>
    <col min="13057" max="13057" width="24.44140625" style="2" customWidth="1"/>
    <col min="13058" max="13062" width="8.88671875" style="2"/>
    <col min="13063" max="13063" width="48.44140625" style="2" bestFit="1" customWidth="1"/>
    <col min="13064" max="13064" width="12.44140625" style="2" customWidth="1"/>
    <col min="13065" max="13312" width="8.88671875" style="2"/>
    <col min="13313" max="13313" width="24.44140625" style="2" customWidth="1"/>
    <col min="13314" max="13318" width="8.88671875" style="2"/>
    <col min="13319" max="13319" width="48.44140625" style="2" bestFit="1" customWidth="1"/>
    <col min="13320" max="13320" width="12.44140625" style="2" customWidth="1"/>
    <col min="13321" max="13568" width="8.88671875" style="2"/>
    <col min="13569" max="13569" width="24.44140625" style="2" customWidth="1"/>
    <col min="13570" max="13574" width="8.88671875" style="2"/>
    <col min="13575" max="13575" width="48.44140625" style="2" bestFit="1" customWidth="1"/>
    <col min="13576" max="13576" width="12.44140625" style="2" customWidth="1"/>
    <col min="13577" max="13824" width="8.88671875" style="2"/>
    <col min="13825" max="13825" width="24.44140625" style="2" customWidth="1"/>
    <col min="13826" max="13830" width="8.88671875" style="2"/>
    <col min="13831" max="13831" width="48.44140625" style="2" bestFit="1" customWidth="1"/>
    <col min="13832" max="13832" width="12.44140625" style="2" customWidth="1"/>
    <col min="13833" max="14080" width="8.88671875" style="2"/>
    <col min="14081" max="14081" width="24.44140625" style="2" customWidth="1"/>
    <col min="14082" max="14086" width="8.88671875" style="2"/>
    <col min="14087" max="14087" width="48.44140625" style="2" bestFit="1" customWidth="1"/>
    <col min="14088" max="14088" width="12.44140625" style="2" customWidth="1"/>
    <col min="14089" max="14336" width="8.88671875" style="2"/>
    <col min="14337" max="14337" width="24.44140625" style="2" customWidth="1"/>
    <col min="14338" max="14342" width="8.88671875" style="2"/>
    <col min="14343" max="14343" width="48.44140625" style="2" bestFit="1" customWidth="1"/>
    <col min="14344" max="14344" width="12.44140625" style="2" customWidth="1"/>
    <col min="14345" max="14592" width="8.88671875" style="2"/>
    <col min="14593" max="14593" width="24.44140625" style="2" customWidth="1"/>
    <col min="14594" max="14598" width="8.88671875" style="2"/>
    <col min="14599" max="14599" width="48.44140625" style="2" bestFit="1" customWidth="1"/>
    <col min="14600" max="14600" width="12.44140625" style="2" customWidth="1"/>
    <col min="14601" max="14848" width="8.88671875" style="2"/>
    <col min="14849" max="14849" width="24.44140625" style="2" customWidth="1"/>
    <col min="14850" max="14854" width="8.88671875" style="2"/>
    <col min="14855" max="14855" width="48.44140625" style="2" bestFit="1" customWidth="1"/>
    <col min="14856" max="14856" width="12.44140625" style="2" customWidth="1"/>
    <col min="14857" max="15104" width="8.88671875" style="2"/>
    <col min="15105" max="15105" width="24.44140625" style="2" customWidth="1"/>
    <col min="15106" max="15110" width="8.88671875" style="2"/>
    <col min="15111" max="15111" width="48.44140625" style="2" bestFit="1" customWidth="1"/>
    <col min="15112" max="15112" width="12.44140625" style="2" customWidth="1"/>
    <col min="15113" max="15360" width="8.88671875" style="2"/>
    <col min="15361" max="15361" width="24.44140625" style="2" customWidth="1"/>
    <col min="15362" max="15366" width="8.88671875" style="2"/>
    <col min="15367" max="15367" width="48.44140625" style="2" bestFit="1" customWidth="1"/>
    <col min="15368" max="15368" width="12.44140625" style="2" customWidth="1"/>
    <col min="15369" max="15616" width="8.88671875" style="2"/>
    <col min="15617" max="15617" width="24.44140625" style="2" customWidth="1"/>
    <col min="15618" max="15622" width="8.88671875" style="2"/>
    <col min="15623" max="15623" width="48.44140625" style="2" bestFit="1" customWidth="1"/>
    <col min="15624" max="15624" width="12.44140625" style="2" customWidth="1"/>
    <col min="15625" max="15872" width="8.88671875" style="2"/>
    <col min="15873" max="15873" width="24.44140625" style="2" customWidth="1"/>
    <col min="15874" max="15878" width="8.88671875" style="2"/>
    <col min="15879" max="15879" width="48.44140625" style="2" bestFit="1" customWidth="1"/>
    <col min="15880" max="15880" width="12.44140625" style="2" customWidth="1"/>
    <col min="15881" max="16128" width="8.88671875" style="2"/>
    <col min="16129" max="16129" width="24.44140625" style="2" customWidth="1"/>
    <col min="16130" max="16134" width="8.88671875" style="2"/>
    <col min="16135" max="16135" width="48.44140625" style="2" bestFit="1" customWidth="1"/>
    <col min="16136" max="16136" width="12.44140625" style="2" customWidth="1"/>
    <col min="16137" max="16384" width="8.88671875" style="2"/>
  </cols>
  <sheetData>
    <row r="1" spans="1:8" ht="41.25" customHeight="1" x14ac:dyDescent="0.25">
      <c r="A1" s="1" t="str">
        <f>"PRICING AN ASIAN OPTION--VBA FUNCTION
Prices an Asian option with "&amp;TEXT(B6,"0")&amp;" periods and "&amp;TEXT(B8,"0")&amp;" runs for each simulation"</f>
        <v>PRICING AN ASIAN OPTION--VBA FUNCTION
Prices an Asian option with 4 periods and 500 runs for each simulation</v>
      </c>
      <c r="B1" s="1"/>
      <c r="C1" s="1"/>
      <c r="D1" s="1"/>
      <c r="E1" s="1"/>
      <c r="F1" s="1"/>
      <c r="G1" s="1"/>
    </row>
    <row r="2" spans="1:8" x14ac:dyDescent="0.25">
      <c r="A2" s="2" t="s">
        <v>0</v>
      </c>
      <c r="B2" s="2">
        <v>1.4</v>
      </c>
    </row>
    <row r="3" spans="1:8" x14ac:dyDescent="0.25">
      <c r="A3" s="2" t="s">
        <v>1</v>
      </c>
      <c r="B3" s="2">
        <v>0.8</v>
      </c>
    </row>
    <row r="4" spans="1:8" x14ac:dyDescent="0.25">
      <c r="A4" s="2" t="s">
        <v>2</v>
      </c>
      <c r="B4" s="2">
        <v>1.08</v>
      </c>
    </row>
    <row r="5" spans="1:8" x14ac:dyDescent="0.25">
      <c r="A5" s="2" t="s">
        <v>3</v>
      </c>
      <c r="B5" s="2">
        <v>30</v>
      </c>
    </row>
    <row r="6" spans="1:8" x14ac:dyDescent="0.25">
      <c r="A6" s="2" t="s">
        <v>4</v>
      </c>
      <c r="B6" s="2">
        <v>4</v>
      </c>
    </row>
    <row r="7" spans="1:8" x14ac:dyDescent="0.25">
      <c r="A7" s="2" t="s">
        <v>5</v>
      </c>
      <c r="B7" s="2">
        <v>30</v>
      </c>
    </row>
    <row r="8" spans="1:8" x14ac:dyDescent="0.25">
      <c r="A8" s="2" t="s">
        <v>6</v>
      </c>
      <c r="B8" s="3">
        <v>500</v>
      </c>
    </row>
    <row r="9" spans="1:8" x14ac:dyDescent="0.25">
      <c r="H9" s="4"/>
    </row>
    <row r="10" spans="1:8" x14ac:dyDescent="0.25">
      <c r="A10" s="4">
        <f t="shared" ref="A10:F17" si="0">MCAsian($B$5,$B$7,$B$2,$B$3,$B$4,$B$6,$B$8)</f>
        <v>5.7837699763473269</v>
      </c>
      <c r="B10" s="4">
        <f t="shared" si="0"/>
        <v>4.50038668450496</v>
      </c>
      <c r="C10" s="4">
        <f t="shared" si="0"/>
        <v>5.9842673034259706</v>
      </c>
      <c r="D10" s="4">
        <f>MCAsian($B$5,$B$7,$B$2,$B$3,$B$4,$B$6,$B$8)</f>
        <v>5.1103462096450958</v>
      </c>
      <c r="E10" s="4">
        <f t="shared" si="0"/>
        <v>5.3267201815441414</v>
      </c>
      <c r="F10" s="4">
        <f t="shared" si="0"/>
        <v>5.3481289550486331</v>
      </c>
      <c r="G10" s="4" t="str">
        <f ca="1">_xlfn.FORMULATEXT(F10)</f>
        <v>=MCAsian($B$5,$B$7,$B$2,$B$3,$B$4,$B$6,$B$8)</v>
      </c>
      <c r="H10" s="4"/>
    </row>
    <row r="11" spans="1:8" x14ac:dyDescent="0.25">
      <c r="A11" s="4">
        <f t="shared" si="0"/>
        <v>4.9618960524310332</v>
      </c>
      <c r="B11" s="4">
        <f t="shared" si="0"/>
        <v>5.1354807024674418</v>
      </c>
      <c r="C11" s="4">
        <f t="shared" si="0"/>
        <v>5.6198101012153767</v>
      </c>
      <c r="D11" s="4">
        <f t="shared" si="0"/>
        <v>5.3950250357048111</v>
      </c>
      <c r="E11" s="4">
        <f t="shared" si="0"/>
        <v>5.3746888177615215</v>
      </c>
      <c r="F11" s="4">
        <f t="shared" si="0"/>
        <v>5.5388180437715553</v>
      </c>
      <c r="H11" s="4"/>
    </row>
    <row r="12" spans="1:8" x14ac:dyDescent="0.25">
      <c r="A12" s="4">
        <f t="shared" si="0"/>
        <v>5.793465314117654</v>
      </c>
      <c r="B12" s="4">
        <f t="shared" si="0"/>
        <v>5.1258982652825065</v>
      </c>
      <c r="C12" s="4">
        <f t="shared" si="0"/>
        <v>5.3084302867110349</v>
      </c>
      <c r="D12" s="4">
        <f t="shared" si="0"/>
        <v>5.1801469965621791</v>
      </c>
      <c r="E12" s="4">
        <f t="shared" si="0"/>
        <v>5.2805015044003012</v>
      </c>
      <c r="F12" s="4">
        <f t="shared" si="0"/>
        <v>5.4601545609014002</v>
      </c>
      <c r="H12" s="4"/>
    </row>
    <row r="13" spans="1:8" x14ac:dyDescent="0.25">
      <c r="A13" s="4">
        <f t="shared" si="0"/>
        <v>5.7071528165873522</v>
      </c>
      <c r="B13" s="4">
        <f t="shared" si="0"/>
        <v>5.198211090224504</v>
      </c>
      <c r="C13" s="4">
        <f t="shared" si="0"/>
        <v>5.6926874290843212</v>
      </c>
      <c r="D13" s="4">
        <f t="shared" si="0"/>
        <v>5.3120995557361974</v>
      </c>
      <c r="E13" s="4">
        <f t="shared" si="0"/>
        <v>5.578050997194425</v>
      </c>
      <c r="F13" s="4">
        <f t="shared" si="0"/>
        <v>5.4346813663228843</v>
      </c>
      <c r="H13" s="4"/>
    </row>
    <row r="14" spans="1:8" x14ac:dyDescent="0.25">
      <c r="A14" s="4">
        <f t="shared" si="0"/>
        <v>5.8981664944932755</v>
      </c>
      <c r="B14" s="4">
        <f t="shared" si="0"/>
        <v>5.2011465054446333</v>
      </c>
      <c r="C14" s="4">
        <f t="shared" si="0"/>
        <v>5.6583515385527301</v>
      </c>
      <c r="D14" s="4">
        <f t="shared" si="0"/>
        <v>5.0485613642906753</v>
      </c>
      <c r="E14" s="4">
        <f t="shared" si="0"/>
        <v>5.7247511953349468</v>
      </c>
      <c r="F14" s="4">
        <f t="shared" si="0"/>
        <v>5.1678690579010684</v>
      </c>
      <c r="H14" s="4"/>
    </row>
    <row r="15" spans="1:8" x14ac:dyDescent="0.25">
      <c r="A15" s="4">
        <f t="shared" si="0"/>
        <v>5.5266388931226613</v>
      </c>
      <c r="B15" s="4">
        <f t="shared" si="0"/>
        <v>5.7986446284723998</v>
      </c>
      <c r="C15" s="4">
        <f t="shared" si="0"/>
        <v>5.1414079832003932</v>
      </c>
      <c r="D15" s="4">
        <f t="shared" si="0"/>
        <v>5.2749693757162142</v>
      </c>
      <c r="E15" s="4">
        <f t="shared" si="0"/>
        <v>5.4288105358826284</v>
      </c>
      <c r="F15" s="4">
        <f t="shared" si="0"/>
        <v>5.5009398973733692</v>
      </c>
      <c r="H15" s="4"/>
    </row>
    <row r="16" spans="1:8" x14ac:dyDescent="0.25">
      <c r="A16" s="4">
        <f t="shared" si="0"/>
        <v>6.2278785415502425</v>
      </c>
      <c r="B16" s="4">
        <f t="shared" si="0"/>
        <v>5.541372419515997</v>
      </c>
      <c r="C16" s="4">
        <f t="shared" si="0"/>
        <v>5.0916893879094758</v>
      </c>
      <c r="D16" s="4">
        <f t="shared" si="0"/>
        <v>5.4758195171241981</v>
      </c>
      <c r="E16" s="4">
        <f t="shared" si="0"/>
        <v>6.1082321461836795</v>
      </c>
      <c r="F16" s="4">
        <f t="shared" si="0"/>
        <v>5.5808593992559832</v>
      </c>
      <c r="H16" s="4"/>
    </row>
    <row r="17" spans="1:6" x14ac:dyDescent="0.25">
      <c r="A17" s="4">
        <f t="shared" si="0"/>
        <v>5.8672740718160625</v>
      </c>
      <c r="B17" s="4">
        <f t="shared" si="0"/>
        <v>5.1951627744189857</v>
      </c>
      <c r="C17" s="4">
        <f t="shared" si="0"/>
        <v>5.3345385470823663</v>
      </c>
      <c r="D17" s="4">
        <f t="shared" si="0"/>
        <v>5.3713441379193565</v>
      </c>
      <c r="E17" s="4">
        <f t="shared" si="0"/>
        <v>5.3866421672396374</v>
      </c>
      <c r="F17" s="4">
        <f t="shared" si="0"/>
        <v>5.1539399481786319</v>
      </c>
    </row>
    <row r="19" spans="1:6" x14ac:dyDescent="0.25">
      <c r="A19" s="5" t="s">
        <v>7</v>
      </c>
      <c r="B19" s="6">
        <f>AVERAGE(A10:F17)</f>
        <v>5.4344964328119199</v>
      </c>
      <c r="C19" s="2" t="str">
        <f ca="1">_xlfn.FORMULATEXT(B19)</f>
        <v>=AVERAGE(A10:F17)</v>
      </c>
    </row>
    <row r="20" spans="1:6" x14ac:dyDescent="0.25">
      <c r="A20" s="5" t="s">
        <v>8</v>
      </c>
      <c r="B20" s="6">
        <f>'[4]Page 629, 32'!$N$37</f>
        <v>5.3756094453744803</v>
      </c>
      <c r="C20" s="2" t="s">
        <v>9</v>
      </c>
    </row>
    <row r="22" spans="1:6" x14ac:dyDescent="0.25">
      <c r="B22" s="4">
        <f>MIN(A10:F17)</f>
        <v>4.50038668450496</v>
      </c>
      <c r="C22" s="2" t="str">
        <f ca="1">_xlfn.FORMULATEXT(B22)</f>
        <v>=MIN(A10:F17)</v>
      </c>
    </row>
    <row r="23" spans="1:6" x14ac:dyDescent="0.25">
      <c r="B23" s="4">
        <f>MAX(A10:F17)</f>
        <v>6.2278785415502425</v>
      </c>
      <c r="C23" s="2" t="str">
        <f ca="1">_xlfn.FORMULATEXT(B23)</f>
        <v>=MAX(A10:F17)</v>
      </c>
    </row>
    <row r="24" spans="1:6" x14ac:dyDescent="0.25">
      <c r="B24" s="4">
        <f>STDEV(A10:F17)</f>
        <v>0.31961663096228138</v>
      </c>
      <c r="C24" s="2" t="str">
        <f ca="1">_xlfn.FORMULATEXT(B24)</f>
        <v>=STDEV(A10:F17)</v>
      </c>
    </row>
  </sheetData>
  <mergeCells count="1">
    <mergeCell ref="A1:G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635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2024-12-11T08:15:31Z</dcterms:modified>
</cp:coreProperties>
</file>