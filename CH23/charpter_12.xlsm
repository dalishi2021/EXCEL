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9865EA25-5FD2-4A9F-9AAC-48A74F9E696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7" sheetId="2" r:id="rId2"/>
  </sheets>
  <functionGroups builtInGroupCount="19"/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B13" i="2" s="1"/>
  <c r="A1" i="2"/>
  <c r="F25" i="2"/>
  <c r="B23" i="2"/>
  <c r="D20" i="2"/>
  <c r="C21" i="2"/>
  <c r="E25" i="2"/>
  <c r="A23" i="2"/>
  <c r="C20" i="2"/>
  <c r="C24" i="2"/>
  <c r="B21" i="2"/>
  <c r="A18" i="2"/>
  <c r="D25" i="2"/>
  <c r="F22" i="2"/>
  <c r="B20" i="2"/>
  <c r="E23" i="2"/>
  <c r="C25" i="2"/>
  <c r="E22" i="2"/>
  <c r="A20" i="2"/>
  <c r="A19" i="2"/>
  <c r="E18" i="2"/>
  <c r="A21" i="2"/>
  <c r="B25" i="2"/>
  <c r="D22" i="2"/>
  <c r="F19" i="2"/>
  <c r="F18" i="2"/>
  <c r="A25" i="2"/>
  <c r="C22" i="2"/>
  <c r="E19" i="2"/>
  <c r="E21" i="2"/>
  <c r="A24" i="2"/>
  <c r="F20" i="2"/>
  <c r="F24" i="2"/>
  <c r="B22" i="2"/>
  <c r="D19" i="2"/>
  <c r="B19" i="2"/>
  <c r="B24" i="2"/>
  <c r="B18" i="2"/>
  <c r="E24" i="2"/>
  <c r="A22" i="2"/>
  <c r="C19" i="2"/>
  <c r="F21" i="2"/>
  <c r="D21" i="2"/>
  <c r="C18" i="2"/>
  <c r="E20" i="2"/>
  <c r="D24" i="2"/>
  <c r="D18" i="2"/>
  <c r="C23" i="2"/>
  <c r="F23" i="2"/>
  <c r="D23" i="2"/>
  <c r="G34" i="2"/>
  <c r="C30" i="2"/>
  <c r="C29" i="2"/>
  <c r="C28" i="2"/>
  <c r="C27" i="2"/>
  <c r="G18" i="2"/>
  <c r="C14" i="2"/>
  <c r="C13" i="2"/>
  <c r="C12" i="2"/>
  <c r="C10" i="2"/>
  <c r="B30" i="2" l="1"/>
  <c r="F34" i="2" s="1"/>
  <c r="B27" i="2"/>
  <c r="C34" i="2" s="1"/>
  <c r="B28" i="2"/>
  <c r="D34" i="2" s="1"/>
  <c r="B29" i="2"/>
  <c r="E34" i="2" s="1"/>
  <c r="B14" i="2"/>
  <c r="B12" i="2"/>
</calcChain>
</file>

<file path=xl/sharedStrings.xml><?xml version="1.0" encoding="utf-8"?>
<sst xmlns="http://schemas.openxmlformats.org/spreadsheetml/2006/main" count="22" uniqueCount="20">
  <si>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current stock price</t>
    </r>
  </si>
  <si>
    <t>X, exercise price</t>
  </si>
  <si>
    <t>T, time to option exercise</t>
  </si>
  <si>
    <t>r, interest rate</t>
  </si>
  <si>
    <r>
      <t>m</t>
    </r>
    <r>
      <rPr>
        <sz val="10"/>
        <rFont val="Arial"/>
        <family val="2"/>
      </rPr>
      <t>, mean stock return</t>
    </r>
  </si>
  <si>
    <r>
      <t>s</t>
    </r>
    <r>
      <rPr>
        <sz val="10"/>
        <rFont val="Arial"/>
        <family val="2"/>
      </rPr>
      <t>, standard deviation of stock return</t>
    </r>
  </si>
  <si>
    <t>n, number of sub-intervals of T</t>
  </si>
  <si>
    <t>Delta t</t>
  </si>
  <si>
    <t>Up over 1 sub-interval</t>
  </si>
  <si>
    <t>Down over 1 sub-interval</t>
  </si>
  <si>
    <t>Interest over 1 sub-interval</t>
  </si>
  <si>
    <t>Runs</t>
  </si>
  <si>
    <t>Average of above</t>
  </si>
  <si>
    <t>Minimum</t>
  </si>
  <si>
    <t>Maxmimum</t>
  </si>
  <si>
    <t xml:space="preserve">Standard deviation </t>
  </si>
  <si>
    <t>Data table:  Sensitivity of results on number of runs</t>
  </si>
  <si>
    <t>Average
of 48 MCAsian</t>
  </si>
  <si>
    <t>Maximum</t>
  </si>
  <si>
    <t>Standard
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</si>
</sst>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;;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left" vertical="center" wrapText="1"/>
    </xf>
    <xf numFmtId="0" fontId="2" fillId="0" borderId="0" xfId="1" applyAlignment="1">
      <alignment horizontal="right" vertical="center" wrapText="1"/>
    </xf>
    <xf numFmtId="0" fontId="2" fillId="0" borderId="0" xfId="1" applyAlignment="1">
      <alignment horizontal="center" vertical="center" wrapText="1"/>
    </xf>
    <xf numFmtId="9" fontId="2" fillId="0" borderId="0" xfId="1" applyNumberFormat="1" applyAlignment="1">
      <alignment horizontal="right" vertical="center" wrapText="1"/>
    </xf>
    <xf numFmtId="0" fontId="5" fillId="0" borderId="0" xfId="1" applyFont="1" applyAlignment="1">
      <alignment horizontal="left" vertical="center" wrapText="1"/>
    </xf>
    <xf numFmtId="176" fontId="2" fillId="0" borderId="0" xfId="1" applyNumberFormat="1"/>
    <xf numFmtId="0" fontId="2" fillId="2" borderId="0" xfId="1" applyFill="1" applyAlignment="1">
      <alignment horizontal="left" indent="3"/>
    </xf>
    <xf numFmtId="176" fontId="2" fillId="2" borderId="0" xfId="1" applyNumberFormat="1" applyFill="1"/>
    <xf numFmtId="0" fontId="2" fillId="0" borderId="0" xfId="1" applyAlignment="1">
      <alignment horizontal="left" indent="3"/>
    </xf>
    <xf numFmtId="0" fontId="6" fillId="0" borderId="0" xfId="1" applyFont="1"/>
    <xf numFmtId="0" fontId="7" fillId="0" borderId="0" xfId="1" applyFont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177" fontId="2" fillId="0" borderId="0" xfId="1" applyNumberForma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456946BD-E7A1-4900-9F24-03CDE51803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48 MCAsian Simulations for Various Numbers of Runs</a:t>
            </a:r>
          </a:p>
        </c:rich>
      </c:tx>
      <c:layout>
        <c:manualLayout>
          <c:xMode val="edge"/>
          <c:yMode val="edge"/>
          <c:x val="0.14150982507506193"/>
          <c:y val="3.7783386932568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86825306305204"/>
          <c:y val="8.3123451251651562E-2"/>
          <c:w val="0.77924743674667452"/>
          <c:h val="0.738035491416179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637'!$C$33</c:f>
              <c:strCache>
                <c:ptCount val="1"/>
                <c:pt idx="0">
                  <c:v>Average
of 48 MCAsian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637'!$B$35:$B$45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637'!$C$35:$C$45</c:f>
              <c:numCache>
                <c:formatCode>0.0000</c:formatCode>
                <c:ptCount val="11"/>
                <c:pt idx="0">
                  <c:v>5.6944308743104166</c:v>
                </c:pt>
                <c:pt idx="1">
                  <c:v>5.6824486350695906</c:v>
                </c:pt>
                <c:pt idx="2">
                  <c:v>5.7777449633948583</c:v>
                </c:pt>
                <c:pt idx="3">
                  <c:v>5.6662027019706045</c:v>
                </c:pt>
                <c:pt idx="4">
                  <c:v>5.7136216927782071</c:v>
                </c:pt>
                <c:pt idx="5">
                  <c:v>5.7173459725423506</c:v>
                </c:pt>
                <c:pt idx="6">
                  <c:v>5.7005655978945873</c:v>
                </c:pt>
                <c:pt idx="7">
                  <c:v>5.7530905153105012</c:v>
                </c:pt>
                <c:pt idx="8">
                  <c:v>5.7287106555316187</c:v>
                </c:pt>
                <c:pt idx="9">
                  <c:v>5.6944678143310048</c:v>
                </c:pt>
                <c:pt idx="10">
                  <c:v>5.7149934052018159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1-4811-B8BD-D39660A5B25A}"/>
            </c:ext>
          </c:extLst>
        </c:ser>
        <c:ser>
          <c:idx val="1"/>
          <c:order val="1"/>
          <c:tx>
            <c:strRef>
              <c:f>'Page 637'!$D$33</c:f>
              <c:strCache>
                <c:ptCount val="1"/>
                <c:pt idx="0">
                  <c:v>Minimum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637'!$B$35:$B$45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637'!$D$35:$D$45</c:f>
              <c:numCache>
                <c:formatCode>0.0000</c:formatCode>
                <c:ptCount val="11"/>
                <c:pt idx="0">
                  <c:v>4.4509402832259131</c:v>
                </c:pt>
                <c:pt idx="1">
                  <c:v>4.9640555163672282</c:v>
                </c:pt>
                <c:pt idx="2">
                  <c:v>5.1204275548575682</c:v>
                </c:pt>
                <c:pt idx="3">
                  <c:v>5.1728396010015683</c:v>
                </c:pt>
                <c:pt idx="4">
                  <c:v>5.1411685419252926</c:v>
                </c:pt>
                <c:pt idx="5">
                  <c:v>5.1423657780614729</c:v>
                </c:pt>
                <c:pt idx="6">
                  <c:v>5.309122764915652</c:v>
                </c:pt>
                <c:pt idx="7">
                  <c:v>5.2673099896726718</c:v>
                </c:pt>
                <c:pt idx="8">
                  <c:v>5.2046241788102314</c:v>
                </c:pt>
                <c:pt idx="9">
                  <c:v>5.305167047320011</c:v>
                </c:pt>
                <c:pt idx="10">
                  <c:v>5.4459981316942114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61-4811-B8BD-D39660A5B25A}"/>
            </c:ext>
          </c:extLst>
        </c:ser>
        <c:ser>
          <c:idx val="2"/>
          <c:order val="2"/>
          <c:tx>
            <c:strRef>
              <c:f>'Page 637'!$E$33</c:f>
              <c:strCache>
                <c:ptCount val="1"/>
                <c:pt idx="0">
                  <c:v>Maximum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'Page 637'!$B$35:$B$45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637'!$E$35:$E$45</c:f>
              <c:numCache>
                <c:formatCode>0.0000</c:formatCode>
                <c:ptCount val="11"/>
                <c:pt idx="0">
                  <c:v>6.7584156145400787</c:v>
                </c:pt>
                <c:pt idx="1">
                  <c:v>6.277839392293564</c:v>
                </c:pt>
                <c:pt idx="2">
                  <c:v>6.4160675711500215</c:v>
                </c:pt>
                <c:pt idx="3">
                  <c:v>6.1016580079004408</c:v>
                </c:pt>
                <c:pt idx="4">
                  <c:v>6.1564423308843281</c:v>
                </c:pt>
                <c:pt idx="5">
                  <c:v>6.1830983931794137</c:v>
                </c:pt>
                <c:pt idx="6">
                  <c:v>6.0956258744546536</c:v>
                </c:pt>
                <c:pt idx="7">
                  <c:v>6.3156530333161927</c:v>
                </c:pt>
                <c:pt idx="8">
                  <c:v>6.1286958164096879</c:v>
                </c:pt>
                <c:pt idx="9">
                  <c:v>6.060692299476802</c:v>
                </c:pt>
                <c:pt idx="10">
                  <c:v>6.0773797613703771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61-4811-B8BD-D39660A5B25A}"/>
            </c:ext>
          </c:extLst>
        </c:ser>
        <c:ser>
          <c:idx val="3"/>
          <c:order val="3"/>
          <c:tx>
            <c:strRef>
              <c:f>'Page 637'!$F$33</c:f>
              <c:strCache>
                <c:ptCount val="1"/>
                <c:pt idx="0">
                  <c:v>Standard
deviation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'Page 637'!$B$35:$B$45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637'!$F$35:$F$45</c:f>
              <c:numCache>
                <c:formatCode>0.0000</c:formatCode>
                <c:ptCount val="11"/>
                <c:pt idx="0">
                  <c:v>0.51355186354490523</c:v>
                </c:pt>
                <c:pt idx="1">
                  <c:v>0.32879813845250105</c:v>
                </c:pt>
                <c:pt idx="2">
                  <c:v>0.2942560414203586</c:v>
                </c:pt>
                <c:pt idx="3">
                  <c:v>0.24198883950494038</c:v>
                </c:pt>
                <c:pt idx="4">
                  <c:v>0.22809641640914305</c:v>
                </c:pt>
                <c:pt idx="5">
                  <c:v>0.23445476690272624</c:v>
                </c:pt>
                <c:pt idx="6">
                  <c:v>0.19304545085117183</c:v>
                </c:pt>
                <c:pt idx="7">
                  <c:v>0.22223053143556262</c:v>
                </c:pt>
                <c:pt idx="8">
                  <c:v>0.18252992731770751</c:v>
                </c:pt>
                <c:pt idx="9">
                  <c:v>0.19190283265991565</c:v>
                </c:pt>
                <c:pt idx="10">
                  <c:v>0.15045000371928302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61-4811-B8BD-D39660A5B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05960"/>
        <c:axId val="1"/>
      </c:scatterChart>
      <c:valAx>
        <c:axId val="721005960"/>
        <c:scaling>
          <c:orientation val="minMax"/>
          <c:max val="55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Runs per simulation</a:t>
                </a:r>
              </a:p>
            </c:rich>
          </c:tx>
          <c:layout>
            <c:manualLayout>
              <c:xMode val="edge"/>
              <c:yMode val="edge"/>
              <c:x val="0.40000110554550844"/>
              <c:y val="0.899244608995139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10059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981317202195978"/>
          <c:y val="0.39546611656088776"/>
          <c:w val="0.24528369679677403"/>
          <c:h val="0.375314976863517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34</xdr:row>
      <xdr:rowOff>0</xdr:rowOff>
    </xdr:from>
    <xdr:to>
      <xdr:col>10</xdr:col>
      <xdr:colOff>0</xdr:colOff>
      <xdr:row>56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409974-3799-4699-96FA-FC3A8068E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571500</xdr:colOff>
      <xdr:row>0</xdr:row>
      <xdr:rowOff>257175</xdr:rowOff>
    </xdr:from>
    <xdr:to>
      <xdr:col>34</xdr:col>
      <xdr:colOff>234404</xdr:colOff>
      <xdr:row>55</xdr:row>
      <xdr:rowOff>26254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84B9A96-0871-7484-54C0-A14598872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15675" y="257175"/>
          <a:ext cx="14293304" cy="10665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3">
          <cell r="C33" t="str">
            <v>Average
of 48 MCAsian</v>
          </cell>
          <cell r="D33" t="str">
            <v>Minimum</v>
          </cell>
          <cell r="E33" t="str">
            <v>Maximum</v>
          </cell>
          <cell r="F33" t="str">
            <v>Standard
deviation</v>
          </cell>
        </row>
        <row r="35">
          <cell r="B35">
            <v>50</v>
          </cell>
          <cell r="C35">
            <v>5.8020354727196803</v>
          </cell>
          <cell r="D35">
            <v>4.5750439265485383</v>
          </cell>
          <cell r="E35">
            <v>6.7497209562243583</v>
          </cell>
          <cell r="F35">
            <v>0.55167736845116322</v>
          </cell>
        </row>
        <row r="36">
          <cell r="B36">
            <v>100</v>
          </cell>
          <cell r="C36">
            <v>5.7613049917495998</v>
          </cell>
          <cell r="D36">
            <v>4.8460123431487743</v>
          </cell>
          <cell r="E36">
            <v>6.7924759776153465</v>
          </cell>
          <cell r="F36">
            <v>0.39937566155900328</v>
          </cell>
        </row>
        <row r="37">
          <cell r="B37">
            <v>150</v>
          </cell>
          <cell r="C37">
            <v>5.668354323197252</v>
          </cell>
          <cell r="D37">
            <v>4.9484645680882133</v>
          </cell>
          <cell r="E37">
            <v>6.3001696475776701</v>
          </cell>
          <cell r="F37">
            <v>0.30415687148753795</v>
          </cell>
        </row>
        <row r="38">
          <cell r="B38">
            <v>200</v>
          </cell>
          <cell r="C38">
            <v>5.667458286936248</v>
          </cell>
          <cell r="D38">
            <v>4.9763884379562358</v>
          </cell>
          <cell r="E38">
            <v>6.1277880444445971</v>
          </cell>
          <cell r="F38">
            <v>0.26714212071072785</v>
          </cell>
        </row>
        <row r="39">
          <cell r="B39">
            <v>250</v>
          </cell>
          <cell r="C39">
            <v>5.7429866690531943</v>
          </cell>
          <cell r="D39">
            <v>5.2324139811891355</v>
          </cell>
          <cell r="E39">
            <v>6.142449547913472</v>
          </cell>
          <cell r="F39">
            <v>0.219459659724212</v>
          </cell>
        </row>
        <row r="40">
          <cell r="B40">
            <v>300</v>
          </cell>
          <cell r="C40">
            <v>5.7267347994019611</v>
          </cell>
          <cell r="D40">
            <v>5.1423657780614729</v>
          </cell>
          <cell r="E40">
            <v>6.1830983931794137</v>
          </cell>
          <cell r="F40">
            <v>0.24228736990442432</v>
          </cell>
        </row>
        <row r="41">
          <cell r="B41">
            <v>350</v>
          </cell>
          <cell r="C41">
            <v>5.7192101713616106</v>
          </cell>
          <cell r="D41">
            <v>5.2152936548317337</v>
          </cell>
          <cell r="E41">
            <v>6.1269767442164476</v>
          </cell>
          <cell r="F41">
            <v>0.20410707780615883</v>
          </cell>
        </row>
        <row r="42">
          <cell r="B42">
            <v>400</v>
          </cell>
          <cell r="C42">
            <v>5.7382740855872862</v>
          </cell>
          <cell r="D42">
            <v>5.3379930561891733</v>
          </cell>
          <cell r="E42">
            <v>6.0868205242394549</v>
          </cell>
          <cell r="F42">
            <v>0.1930802487622231</v>
          </cell>
        </row>
        <row r="43">
          <cell r="B43">
            <v>450</v>
          </cell>
          <cell r="C43">
            <v>5.7096260175257294</v>
          </cell>
          <cell r="D43">
            <v>5.1564776116120541</v>
          </cell>
          <cell r="E43">
            <v>6.049131086185751</v>
          </cell>
          <cell r="F43">
            <v>0.18082855680673235</v>
          </cell>
        </row>
        <row r="44">
          <cell r="B44">
            <v>500</v>
          </cell>
          <cell r="C44">
            <v>5.7195799864285606</v>
          </cell>
          <cell r="D44">
            <v>5.1745449151641125</v>
          </cell>
          <cell r="E44">
            <v>6.0886624462162411</v>
          </cell>
          <cell r="F44">
            <v>0.18962774670967281</v>
          </cell>
        </row>
        <row r="45">
          <cell r="B45">
            <v>550</v>
          </cell>
          <cell r="C45">
            <v>5.7250132358854025</v>
          </cell>
          <cell r="D45">
            <v>5.3909648735276461</v>
          </cell>
          <cell r="E45">
            <v>6.0644942630590544</v>
          </cell>
          <cell r="F45">
            <v>0.16296175340340543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30" sqref="M3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FFC06-12CE-4205-99DC-A580CB54B61B}">
  <sheetPr codeName="Sheet2"/>
  <dimension ref="A1:H45"/>
  <sheetViews>
    <sheetView tabSelected="1" workbookViewId="0">
      <selection activeCell="H17" sqref="H17"/>
    </sheetView>
  </sheetViews>
  <sheetFormatPr defaultRowHeight="13.2" x14ac:dyDescent="0.25"/>
  <cols>
    <col min="1" max="1" width="31.109375" style="2" bestFit="1" customWidth="1"/>
    <col min="2" max="3" width="8.88671875" style="2"/>
    <col min="4" max="4" width="11" style="2" customWidth="1"/>
    <col min="5" max="7" width="8.88671875" style="2"/>
    <col min="8" max="8" width="49.44140625" style="2" customWidth="1"/>
    <col min="9" max="256" width="8.88671875" style="2"/>
    <col min="257" max="257" width="31.109375" style="2" bestFit="1" customWidth="1"/>
    <col min="258" max="259" width="8.88671875" style="2"/>
    <col min="260" max="260" width="11" style="2" customWidth="1"/>
    <col min="261" max="263" width="8.88671875" style="2"/>
    <col min="264" max="264" width="49.44140625" style="2" customWidth="1"/>
    <col min="265" max="512" width="8.88671875" style="2"/>
    <col min="513" max="513" width="31.109375" style="2" bestFit="1" customWidth="1"/>
    <col min="514" max="515" width="8.88671875" style="2"/>
    <col min="516" max="516" width="11" style="2" customWidth="1"/>
    <col min="517" max="519" width="8.88671875" style="2"/>
    <col min="520" max="520" width="49.44140625" style="2" customWidth="1"/>
    <col min="521" max="768" width="8.88671875" style="2"/>
    <col min="769" max="769" width="31.109375" style="2" bestFit="1" customWidth="1"/>
    <col min="770" max="771" width="8.88671875" style="2"/>
    <col min="772" max="772" width="11" style="2" customWidth="1"/>
    <col min="773" max="775" width="8.88671875" style="2"/>
    <col min="776" max="776" width="49.44140625" style="2" customWidth="1"/>
    <col min="777" max="1024" width="8.88671875" style="2"/>
    <col min="1025" max="1025" width="31.109375" style="2" bestFit="1" customWidth="1"/>
    <col min="1026" max="1027" width="8.88671875" style="2"/>
    <col min="1028" max="1028" width="11" style="2" customWidth="1"/>
    <col min="1029" max="1031" width="8.88671875" style="2"/>
    <col min="1032" max="1032" width="49.44140625" style="2" customWidth="1"/>
    <col min="1033" max="1280" width="8.88671875" style="2"/>
    <col min="1281" max="1281" width="31.109375" style="2" bestFit="1" customWidth="1"/>
    <col min="1282" max="1283" width="8.88671875" style="2"/>
    <col min="1284" max="1284" width="11" style="2" customWidth="1"/>
    <col min="1285" max="1287" width="8.88671875" style="2"/>
    <col min="1288" max="1288" width="49.44140625" style="2" customWidth="1"/>
    <col min="1289" max="1536" width="8.88671875" style="2"/>
    <col min="1537" max="1537" width="31.109375" style="2" bestFit="1" customWidth="1"/>
    <col min="1538" max="1539" width="8.88671875" style="2"/>
    <col min="1540" max="1540" width="11" style="2" customWidth="1"/>
    <col min="1541" max="1543" width="8.88671875" style="2"/>
    <col min="1544" max="1544" width="49.44140625" style="2" customWidth="1"/>
    <col min="1545" max="1792" width="8.88671875" style="2"/>
    <col min="1793" max="1793" width="31.109375" style="2" bestFit="1" customWidth="1"/>
    <col min="1794" max="1795" width="8.88671875" style="2"/>
    <col min="1796" max="1796" width="11" style="2" customWidth="1"/>
    <col min="1797" max="1799" width="8.88671875" style="2"/>
    <col min="1800" max="1800" width="49.44140625" style="2" customWidth="1"/>
    <col min="1801" max="2048" width="8.88671875" style="2"/>
    <col min="2049" max="2049" width="31.109375" style="2" bestFit="1" customWidth="1"/>
    <col min="2050" max="2051" width="8.88671875" style="2"/>
    <col min="2052" max="2052" width="11" style="2" customWidth="1"/>
    <col min="2053" max="2055" width="8.88671875" style="2"/>
    <col min="2056" max="2056" width="49.44140625" style="2" customWidth="1"/>
    <col min="2057" max="2304" width="8.88671875" style="2"/>
    <col min="2305" max="2305" width="31.109375" style="2" bestFit="1" customWidth="1"/>
    <col min="2306" max="2307" width="8.88671875" style="2"/>
    <col min="2308" max="2308" width="11" style="2" customWidth="1"/>
    <col min="2309" max="2311" width="8.88671875" style="2"/>
    <col min="2312" max="2312" width="49.44140625" style="2" customWidth="1"/>
    <col min="2313" max="2560" width="8.88671875" style="2"/>
    <col min="2561" max="2561" width="31.109375" style="2" bestFit="1" customWidth="1"/>
    <col min="2562" max="2563" width="8.88671875" style="2"/>
    <col min="2564" max="2564" width="11" style="2" customWidth="1"/>
    <col min="2565" max="2567" width="8.88671875" style="2"/>
    <col min="2568" max="2568" width="49.44140625" style="2" customWidth="1"/>
    <col min="2569" max="2816" width="8.88671875" style="2"/>
    <col min="2817" max="2817" width="31.109375" style="2" bestFit="1" customWidth="1"/>
    <col min="2818" max="2819" width="8.88671875" style="2"/>
    <col min="2820" max="2820" width="11" style="2" customWidth="1"/>
    <col min="2821" max="2823" width="8.88671875" style="2"/>
    <col min="2824" max="2824" width="49.44140625" style="2" customWidth="1"/>
    <col min="2825" max="3072" width="8.88671875" style="2"/>
    <col min="3073" max="3073" width="31.109375" style="2" bestFit="1" customWidth="1"/>
    <col min="3074" max="3075" width="8.88671875" style="2"/>
    <col min="3076" max="3076" width="11" style="2" customWidth="1"/>
    <col min="3077" max="3079" width="8.88671875" style="2"/>
    <col min="3080" max="3080" width="49.44140625" style="2" customWidth="1"/>
    <col min="3081" max="3328" width="8.88671875" style="2"/>
    <col min="3329" max="3329" width="31.109375" style="2" bestFit="1" customWidth="1"/>
    <col min="3330" max="3331" width="8.88671875" style="2"/>
    <col min="3332" max="3332" width="11" style="2" customWidth="1"/>
    <col min="3333" max="3335" width="8.88671875" style="2"/>
    <col min="3336" max="3336" width="49.44140625" style="2" customWidth="1"/>
    <col min="3337" max="3584" width="8.88671875" style="2"/>
    <col min="3585" max="3585" width="31.109375" style="2" bestFit="1" customWidth="1"/>
    <col min="3586" max="3587" width="8.88671875" style="2"/>
    <col min="3588" max="3588" width="11" style="2" customWidth="1"/>
    <col min="3589" max="3591" width="8.88671875" style="2"/>
    <col min="3592" max="3592" width="49.44140625" style="2" customWidth="1"/>
    <col min="3593" max="3840" width="8.88671875" style="2"/>
    <col min="3841" max="3841" width="31.109375" style="2" bestFit="1" customWidth="1"/>
    <col min="3842" max="3843" width="8.88671875" style="2"/>
    <col min="3844" max="3844" width="11" style="2" customWidth="1"/>
    <col min="3845" max="3847" width="8.88671875" style="2"/>
    <col min="3848" max="3848" width="49.44140625" style="2" customWidth="1"/>
    <col min="3849" max="4096" width="8.88671875" style="2"/>
    <col min="4097" max="4097" width="31.109375" style="2" bestFit="1" customWidth="1"/>
    <col min="4098" max="4099" width="8.88671875" style="2"/>
    <col min="4100" max="4100" width="11" style="2" customWidth="1"/>
    <col min="4101" max="4103" width="8.88671875" style="2"/>
    <col min="4104" max="4104" width="49.44140625" style="2" customWidth="1"/>
    <col min="4105" max="4352" width="8.88671875" style="2"/>
    <col min="4353" max="4353" width="31.109375" style="2" bestFit="1" customWidth="1"/>
    <col min="4354" max="4355" width="8.88671875" style="2"/>
    <col min="4356" max="4356" width="11" style="2" customWidth="1"/>
    <col min="4357" max="4359" width="8.88671875" style="2"/>
    <col min="4360" max="4360" width="49.44140625" style="2" customWidth="1"/>
    <col min="4361" max="4608" width="8.88671875" style="2"/>
    <col min="4609" max="4609" width="31.109375" style="2" bestFit="1" customWidth="1"/>
    <col min="4610" max="4611" width="8.88671875" style="2"/>
    <col min="4612" max="4612" width="11" style="2" customWidth="1"/>
    <col min="4613" max="4615" width="8.88671875" style="2"/>
    <col min="4616" max="4616" width="49.44140625" style="2" customWidth="1"/>
    <col min="4617" max="4864" width="8.88671875" style="2"/>
    <col min="4865" max="4865" width="31.109375" style="2" bestFit="1" customWidth="1"/>
    <col min="4866" max="4867" width="8.88671875" style="2"/>
    <col min="4868" max="4868" width="11" style="2" customWidth="1"/>
    <col min="4869" max="4871" width="8.88671875" style="2"/>
    <col min="4872" max="4872" width="49.44140625" style="2" customWidth="1"/>
    <col min="4873" max="5120" width="8.88671875" style="2"/>
    <col min="5121" max="5121" width="31.109375" style="2" bestFit="1" customWidth="1"/>
    <col min="5122" max="5123" width="8.88671875" style="2"/>
    <col min="5124" max="5124" width="11" style="2" customWidth="1"/>
    <col min="5125" max="5127" width="8.88671875" style="2"/>
    <col min="5128" max="5128" width="49.44140625" style="2" customWidth="1"/>
    <col min="5129" max="5376" width="8.88671875" style="2"/>
    <col min="5377" max="5377" width="31.109375" style="2" bestFit="1" customWidth="1"/>
    <col min="5378" max="5379" width="8.88671875" style="2"/>
    <col min="5380" max="5380" width="11" style="2" customWidth="1"/>
    <col min="5381" max="5383" width="8.88671875" style="2"/>
    <col min="5384" max="5384" width="49.44140625" style="2" customWidth="1"/>
    <col min="5385" max="5632" width="8.88671875" style="2"/>
    <col min="5633" max="5633" width="31.109375" style="2" bestFit="1" customWidth="1"/>
    <col min="5634" max="5635" width="8.88671875" style="2"/>
    <col min="5636" max="5636" width="11" style="2" customWidth="1"/>
    <col min="5637" max="5639" width="8.88671875" style="2"/>
    <col min="5640" max="5640" width="49.44140625" style="2" customWidth="1"/>
    <col min="5641" max="5888" width="8.88671875" style="2"/>
    <col min="5889" max="5889" width="31.109375" style="2" bestFit="1" customWidth="1"/>
    <col min="5890" max="5891" width="8.88671875" style="2"/>
    <col min="5892" max="5892" width="11" style="2" customWidth="1"/>
    <col min="5893" max="5895" width="8.88671875" style="2"/>
    <col min="5896" max="5896" width="49.44140625" style="2" customWidth="1"/>
    <col min="5897" max="6144" width="8.88671875" style="2"/>
    <col min="6145" max="6145" width="31.109375" style="2" bestFit="1" customWidth="1"/>
    <col min="6146" max="6147" width="8.88671875" style="2"/>
    <col min="6148" max="6148" width="11" style="2" customWidth="1"/>
    <col min="6149" max="6151" width="8.88671875" style="2"/>
    <col min="6152" max="6152" width="49.44140625" style="2" customWidth="1"/>
    <col min="6153" max="6400" width="8.88671875" style="2"/>
    <col min="6401" max="6401" width="31.109375" style="2" bestFit="1" customWidth="1"/>
    <col min="6402" max="6403" width="8.88671875" style="2"/>
    <col min="6404" max="6404" width="11" style="2" customWidth="1"/>
    <col min="6405" max="6407" width="8.88671875" style="2"/>
    <col min="6408" max="6408" width="49.44140625" style="2" customWidth="1"/>
    <col min="6409" max="6656" width="8.88671875" style="2"/>
    <col min="6657" max="6657" width="31.109375" style="2" bestFit="1" customWidth="1"/>
    <col min="6658" max="6659" width="8.88671875" style="2"/>
    <col min="6660" max="6660" width="11" style="2" customWidth="1"/>
    <col min="6661" max="6663" width="8.88671875" style="2"/>
    <col min="6664" max="6664" width="49.44140625" style="2" customWidth="1"/>
    <col min="6665" max="6912" width="8.88671875" style="2"/>
    <col min="6913" max="6913" width="31.109375" style="2" bestFit="1" customWidth="1"/>
    <col min="6914" max="6915" width="8.88671875" style="2"/>
    <col min="6916" max="6916" width="11" style="2" customWidth="1"/>
    <col min="6917" max="6919" width="8.88671875" style="2"/>
    <col min="6920" max="6920" width="49.44140625" style="2" customWidth="1"/>
    <col min="6921" max="7168" width="8.88671875" style="2"/>
    <col min="7169" max="7169" width="31.109375" style="2" bestFit="1" customWidth="1"/>
    <col min="7170" max="7171" width="8.88671875" style="2"/>
    <col min="7172" max="7172" width="11" style="2" customWidth="1"/>
    <col min="7173" max="7175" width="8.88671875" style="2"/>
    <col min="7176" max="7176" width="49.44140625" style="2" customWidth="1"/>
    <col min="7177" max="7424" width="8.88671875" style="2"/>
    <col min="7425" max="7425" width="31.109375" style="2" bestFit="1" customWidth="1"/>
    <col min="7426" max="7427" width="8.88671875" style="2"/>
    <col min="7428" max="7428" width="11" style="2" customWidth="1"/>
    <col min="7429" max="7431" width="8.88671875" style="2"/>
    <col min="7432" max="7432" width="49.44140625" style="2" customWidth="1"/>
    <col min="7433" max="7680" width="8.88671875" style="2"/>
    <col min="7681" max="7681" width="31.109375" style="2" bestFit="1" customWidth="1"/>
    <col min="7682" max="7683" width="8.88671875" style="2"/>
    <col min="7684" max="7684" width="11" style="2" customWidth="1"/>
    <col min="7685" max="7687" width="8.88671875" style="2"/>
    <col min="7688" max="7688" width="49.44140625" style="2" customWidth="1"/>
    <col min="7689" max="7936" width="8.88671875" style="2"/>
    <col min="7937" max="7937" width="31.109375" style="2" bestFit="1" customWidth="1"/>
    <col min="7938" max="7939" width="8.88671875" style="2"/>
    <col min="7940" max="7940" width="11" style="2" customWidth="1"/>
    <col min="7941" max="7943" width="8.88671875" style="2"/>
    <col min="7944" max="7944" width="49.44140625" style="2" customWidth="1"/>
    <col min="7945" max="8192" width="8.88671875" style="2"/>
    <col min="8193" max="8193" width="31.109375" style="2" bestFit="1" customWidth="1"/>
    <col min="8194" max="8195" width="8.88671875" style="2"/>
    <col min="8196" max="8196" width="11" style="2" customWidth="1"/>
    <col min="8197" max="8199" width="8.88671875" style="2"/>
    <col min="8200" max="8200" width="49.44140625" style="2" customWidth="1"/>
    <col min="8201" max="8448" width="8.88671875" style="2"/>
    <col min="8449" max="8449" width="31.109375" style="2" bestFit="1" customWidth="1"/>
    <col min="8450" max="8451" width="8.88671875" style="2"/>
    <col min="8452" max="8452" width="11" style="2" customWidth="1"/>
    <col min="8453" max="8455" width="8.88671875" style="2"/>
    <col min="8456" max="8456" width="49.44140625" style="2" customWidth="1"/>
    <col min="8457" max="8704" width="8.88671875" style="2"/>
    <col min="8705" max="8705" width="31.109375" style="2" bestFit="1" customWidth="1"/>
    <col min="8706" max="8707" width="8.88671875" style="2"/>
    <col min="8708" max="8708" width="11" style="2" customWidth="1"/>
    <col min="8709" max="8711" width="8.88671875" style="2"/>
    <col min="8712" max="8712" width="49.44140625" style="2" customWidth="1"/>
    <col min="8713" max="8960" width="8.88671875" style="2"/>
    <col min="8961" max="8961" width="31.109375" style="2" bestFit="1" customWidth="1"/>
    <col min="8962" max="8963" width="8.88671875" style="2"/>
    <col min="8964" max="8964" width="11" style="2" customWidth="1"/>
    <col min="8965" max="8967" width="8.88671875" style="2"/>
    <col min="8968" max="8968" width="49.44140625" style="2" customWidth="1"/>
    <col min="8969" max="9216" width="8.88671875" style="2"/>
    <col min="9217" max="9217" width="31.109375" style="2" bestFit="1" customWidth="1"/>
    <col min="9218" max="9219" width="8.88671875" style="2"/>
    <col min="9220" max="9220" width="11" style="2" customWidth="1"/>
    <col min="9221" max="9223" width="8.88671875" style="2"/>
    <col min="9224" max="9224" width="49.44140625" style="2" customWidth="1"/>
    <col min="9225" max="9472" width="8.88671875" style="2"/>
    <col min="9473" max="9473" width="31.109375" style="2" bestFit="1" customWidth="1"/>
    <col min="9474" max="9475" width="8.88671875" style="2"/>
    <col min="9476" max="9476" width="11" style="2" customWidth="1"/>
    <col min="9477" max="9479" width="8.88671875" style="2"/>
    <col min="9480" max="9480" width="49.44140625" style="2" customWidth="1"/>
    <col min="9481" max="9728" width="8.88671875" style="2"/>
    <col min="9729" max="9729" width="31.109375" style="2" bestFit="1" customWidth="1"/>
    <col min="9730" max="9731" width="8.88671875" style="2"/>
    <col min="9732" max="9732" width="11" style="2" customWidth="1"/>
    <col min="9733" max="9735" width="8.88671875" style="2"/>
    <col min="9736" max="9736" width="49.44140625" style="2" customWidth="1"/>
    <col min="9737" max="9984" width="8.88671875" style="2"/>
    <col min="9985" max="9985" width="31.109375" style="2" bestFit="1" customWidth="1"/>
    <col min="9986" max="9987" width="8.88671875" style="2"/>
    <col min="9988" max="9988" width="11" style="2" customWidth="1"/>
    <col min="9989" max="9991" width="8.88671875" style="2"/>
    <col min="9992" max="9992" width="49.44140625" style="2" customWidth="1"/>
    <col min="9993" max="10240" width="8.88671875" style="2"/>
    <col min="10241" max="10241" width="31.109375" style="2" bestFit="1" customWidth="1"/>
    <col min="10242" max="10243" width="8.88671875" style="2"/>
    <col min="10244" max="10244" width="11" style="2" customWidth="1"/>
    <col min="10245" max="10247" width="8.88671875" style="2"/>
    <col min="10248" max="10248" width="49.44140625" style="2" customWidth="1"/>
    <col min="10249" max="10496" width="8.88671875" style="2"/>
    <col min="10497" max="10497" width="31.109375" style="2" bestFit="1" customWidth="1"/>
    <col min="10498" max="10499" width="8.88671875" style="2"/>
    <col min="10500" max="10500" width="11" style="2" customWidth="1"/>
    <col min="10501" max="10503" width="8.88671875" style="2"/>
    <col min="10504" max="10504" width="49.44140625" style="2" customWidth="1"/>
    <col min="10505" max="10752" width="8.88671875" style="2"/>
    <col min="10753" max="10753" width="31.109375" style="2" bestFit="1" customWidth="1"/>
    <col min="10754" max="10755" width="8.88671875" style="2"/>
    <col min="10756" max="10756" width="11" style="2" customWidth="1"/>
    <col min="10757" max="10759" width="8.88671875" style="2"/>
    <col min="10760" max="10760" width="49.44140625" style="2" customWidth="1"/>
    <col min="10761" max="11008" width="8.88671875" style="2"/>
    <col min="11009" max="11009" width="31.109375" style="2" bestFit="1" customWidth="1"/>
    <col min="11010" max="11011" width="8.88671875" style="2"/>
    <col min="11012" max="11012" width="11" style="2" customWidth="1"/>
    <col min="11013" max="11015" width="8.88671875" style="2"/>
    <col min="11016" max="11016" width="49.44140625" style="2" customWidth="1"/>
    <col min="11017" max="11264" width="8.88671875" style="2"/>
    <col min="11265" max="11265" width="31.109375" style="2" bestFit="1" customWidth="1"/>
    <col min="11266" max="11267" width="8.88671875" style="2"/>
    <col min="11268" max="11268" width="11" style="2" customWidth="1"/>
    <col min="11269" max="11271" width="8.88671875" style="2"/>
    <col min="11272" max="11272" width="49.44140625" style="2" customWidth="1"/>
    <col min="11273" max="11520" width="8.88671875" style="2"/>
    <col min="11521" max="11521" width="31.109375" style="2" bestFit="1" customWidth="1"/>
    <col min="11522" max="11523" width="8.88671875" style="2"/>
    <col min="11524" max="11524" width="11" style="2" customWidth="1"/>
    <col min="11525" max="11527" width="8.88671875" style="2"/>
    <col min="11528" max="11528" width="49.44140625" style="2" customWidth="1"/>
    <col min="11529" max="11776" width="8.88671875" style="2"/>
    <col min="11777" max="11777" width="31.109375" style="2" bestFit="1" customWidth="1"/>
    <col min="11778" max="11779" width="8.88671875" style="2"/>
    <col min="11780" max="11780" width="11" style="2" customWidth="1"/>
    <col min="11781" max="11783" width="8.88671875" style="2"/>
    <col min="11784" max="11784" width="49.44140625" style="2" customWidth="1"/>
    <col min="11785" max="12032" width="8.88671875" style="2"/>
    <col min="12033" max="12033" width="31.109375" style="2" bestFit="1" customWidth="1"/>
    <col min="12034" max="12035" width="8.88671875" style="2"/>
    <col min="12036" max="12036" width="11" style="2" customWidth="1"/>
    <col min="12037" max="12039" width="8.88671875" style="2"/>
    <col min="12040" max="12040" width="49.44140625" style="2" customWidth="1"/>
    <col min="12041" max="12288" width="8.88671875" style="2"/>
    <col min="12289" max="12289" width="31.109375" style="2" bestFit="1" customWidth="1"/>
    <col min="12290" max="12291" width="8.88671875" style="2"/>
    <col min="12292" max="12292" width="11" style="2" customWidth="1"/>
    <col min="12293" max="12295" width="8.88671875" style="2"/>
    <col min="12296" max="12296" width="49.44140625" style="2" customWidth="1"/>
    <col min="12297" max="12544" width="8.88671875" style="2"/>
    <col min="12545" max="12545" width="31.109375" style="2" bestFit="1" customWidth="1"/>
    <col min="12546" max="12547" width="8.88671875" style="2"/>
    <col min="12548" max="12548" width="11" style="2" customWidth="1"/>
    <col min="12549" max="12551" width="8.88671875" style="2"/>
    <col min="12552" max="12552" width="49.44140625" style="2" customWidth="1"/>
    <col min="12553" max="12800" width="8.88671875" style="2"/>
    <col min="12801" max="12801" width="31.109375" style="2" bestFit="1" customWidth="1"/>
    <col min="12802" max="12803" width="8.88671875" style="2"/>
    <col min="12804" max="12804" width="11" style="2" customWidth="1"/>
    <col min="12805" max="12807" width="8.88671875" style="2"/>
    <col min="12808" max="12808" width="49.44140625" style="2" customWidth="1"/>
    <col min="12809" max="13056" width="8.88671875" style="2"/>
    <col min="13057" max="13057" width="31.109375" style="2" bestFit="1" customWidth="1"/>
    <col min="13058" max="13059" width="8.88671875" style="2"/>
    <col min="13060" max="13060" width="11" style="2" customWidth="1"/>
    <col min="13061" max="13063" width="8.88671875" style="2"/>
    <col min="13064" max="13064" width="49.44140625" style="2" customWidth="1"/>
    <col min="13065" max="13312" width="8.88671875" style="2"/>
    <col min="13313" max="13313" width="31.109375" style="2" bestFit="1" customWidth="1"/>
    <col min="13314" max="13315" width="8.88671875" style="2"/>
    <col min="13316" max="13316" width="11" style="2" customWidth="1"/>
    <col min="13317" max="13319" width="8.88671875" style="2"/>
    <col min="13320" max="13320" width="49.44140625" style="2" customWidth="1"/>
    <col min="13321" max="13568" width="8.88671875" style="2"/>
    <col min="13569" max="13569" width="31.109375" style="2" bestFit="1" customWidth="1"/>
    <col min="13570" max="13571" width="8.88671875" style="2"/>
    <col min="13572" max="13572" width="11" style="2" customWidth="1"/>
    <col min="13573" max="13575" width="8.88671875" style="2"/>
    <col min="13576" max="13576" width="49.44140625" style="2" customWidth="1"/>
    <col min="13577" max="13824" width="8.88671875" style="2"/>
    <col min="13825" max="13825" width="31.109375" style="2" bestFit="1" customWidth="1"/>
    <col min="13826" max="13827" width="8.88671875" style="2"/>
    <col min="13828" max="13828" width="11" style="2" customWidth="1"/>
    <col min="13829" max="13831" width="8.88671875" style="2"/>
    <col min="13832" max="13832" width="49.44140625" style="2" customWidth="1"/>
    <col min="13833" max="14080" width="8.88671875" style="2"/>
    <col min="14081" max="14081" width="31.109375" style="2" bestFit="1" customWidth="1"/>
    <col min="14082" max="14083" width="8.88671875" style="2"/>
    <col min="14084" max="14084" width="11" style="2" customWidth="1"/>
    <col min="14085" max="14087" width="8.88671875" style="2"/>
    <col min="14088" max="14088" width="49.44140625" style="2" customWidth="1"/>
    <col min="14089" max="14336" width="8.88671875" style="2"/>
    <col min="14337" max="14337" width="31.109375" style="2" bestFit="1" customWidth="1"/>
    <col min="14338" max="14339" width="8.88671875" style="2"/>
    <col min="14340" max="14340" width="11" style="2" customWidth="1"/>
    <col min="14341" max="14343" width="8.88671875" style="2"/>
    <col min="14344" max="14344" width="49.44140625" style="2" customWidth="1"/>
    <col min="14345" max="14592" width="8.88671875" style="2"/>
    <col min="14593" max="14593" width="31.109375" style="2" bestFit="1" customWidth="1"/>
    <col min="14594" max="14595" width="8.88671875" style="2"/>
    <col min="14596" max="14596" width="11" style="2" customWidth="1"/>
    <col min="14597" max="14599" width="8.88671875" style="2"/>
    <col min="14600" max="14600" width="49.44140625" style="2" customWidth="1"/>
    <col min="14601" max="14848" width="8.88671875" style="2"/>
    <col min="14849" max="14849" width="31.109375" style="2" bestFit="1" customWidth="1"/>
    <col min="14850" max="14851" width="8.88671875" style="2"/>
    <col min="14852" max="14852" width="11" style="2" customWidth="1"/>
    <col min="14853" max="14855" width="8.88671875" style="2"/>
    <col min="14856" max="14856" width="49.44140625" style="2" customWidth="1"/>
    <col min="14857" max="15104" width="8.88671875" style="2"/>
    <col min="15105" max="15105" width="31.109375" style="2" bestFit="1" customWidth="1"/>
    <col min="15106" max="15107" width="8.88671875" style="2"/>
    <col min="15108" max="15108" width="11" style="2" customWidth="1"/>
    <col min="15109" max="15111" width="8.88671875" style="2"/>
    <col min="15112" max="15112" width="49.44140625" style="2" customWidth="1"/>
    <col min="15113" max="15360" width="8.88671875" style="2"/>
    <col min="15361" max="15361" width="31.109375" style="2" bestFit="1" customWidth="1"/>
    <col min="15362" max="15363" width="8.88671875" style="2"/>
    <col min="15364" max="15364" width="11" style="2" customWidth="1"/>
    <col min="15365" max="15367" width="8.88671875" style="2"/>
    <col min="15368" max="15368" width="49.44140625" style="2" customWidth="1"/>
    <col min="15369" max="15616" width="8.88671875" style="2"/>
    <col min="15617" max="15617" width="31.109375" style="2" bestFit="1" customWidth="1"/>
    <col min="15618" max="15619" width="8.88671875" style="2"/>
    <col min="15620" max="15620" width="11" style="2" customWidth="1"/>
    <col min="15621" max="15623" width="8.88671875" style="2"/>
    <col min="15624" max="15624" width="49.44140625" style="2" customWidth="1"/>
    <col min="15625" max="15872" width="8.88671875" style="2"/>
    <col min="15873" max="15873" width="31.109375" style="2" bestFit="1" customWidth="1"/>
    <col min="15874" max="15875" width="8.88671875" style="2"/>
    <col min="15876" max="15876" width="11" style="2" customWidth="1"/>
    <col min="15877" max="15879" width="8.88671875" style="2"/>
    <col min="15880" max="15880" width="49.44140625" style="2" customWidth="1"/>
    <col min="15881" max="16128" width="8.88671875" style="2"/>
    <col min="16129" max="16129" width="31.109375" style="2" bestFit="1" customWidth="1"/>
    <col min="16130" max="16131" width="8.88671875" style="2"/>
    <col min="16132" max="16132" width="11" style="2" customWidth="1"/>
    <col min="16133" max="16135" width="8.88671875" style="2"/>
    <col min="16136" max="16136" width="49.44140625" style="2" customWidth="1"/>
    <col min="16137" max="16384" width="8.88671875" style="2"/>
  </cols>
  <sheetData>
    <row r="1" spans="1:8" ht="106.5" customHeight="1" x14ac:dyDescent="0.25">
      <c r="A1" s="1" t="str">
        <f>"PRICING AN ASIAN OPTION--VBA FUNCTION "&amp;CHAR(10)&amp;"Each time interval is divided into n subintervals.  In this simulation the initial stock price = "&amp;TEXT(B2,"0.00")&amp;", the exercise price = "&amp;TEXT(B3,"0.00")&amp;", the time to maturity = "&amp;TEXT(B4,"0.00")&amp;", and the unit time interval is divided into "&amp;TEXT(B9,"0")&amp;" subintervals.  The stock price process has mean return = "&amp;TEXT(B6,"0.00%")&amp;" and standard deviation = "&amp;TEXT(B10,"0.00%")&amp;", and the interest rate = "&amp;TEXT(B5,"0.00%")&amp;"."&amp;CHAR(10)&amp;"There are "&amp;TEXT(B16,"0")&amp;" runs in each Monte Carlo simulation"</f>
        <v>PRICING AN ASIAN OPTION--VBA FUNCTION 
Each time interval is divided into n subintervals.  In this simulation the initial stock price = 50.00, the exercise price = 45.00, the time to maturity = 0.40, and the unit time interval is divided into 80 subintervals.  The stock price process has mean return = 15.00% and standard deviation = 1.25%, and the interest rate = 8.00%.
There are 100 runs in each Monte Carlo simulation</v>
      </c>
      <c r="B1" s="1"/>
      <c r="C1" s="1"/>
      <c r="D1" s="1"/>
      <c r="E1" s="1"/>
      <c r="F1" s="1"/>
      <c r="G1" s="1"/>
      <c r="H1" s="1"/>
    </row>
    <row r="2" spans="1:8" ht="12.75" customHeight="1" x14ac:dyDescent="0.25">
      <c r="A2" s="3" t="s">
        <v>0</v>
      </c>
      <c r="B2" s="4">
        <v>50</v>
      </c>
      <c r="C2" s="5"/>
      <c r="D2" s="5"/>
      <c r="E2" s="5"/>
      <c r="F2" s="5"/>
      <c r="G2" s="5"/>
      <c r="H2" s="5"/>
    </row>
    <row r="3" spans="1:8" ht="12.75" customHeight="1" x14ac:dyDescent="0.25">
      <c r="A3" s="3" t="s">
        <v>1</v>
      </c>
      <c r="B3" s="4">
        <v>45</v>
      </c>
      <c r="C3" s="5"/>
      <c r="D3" s="5"/>
      <c r="E3" s="5"/>
      <c r="F3" s="5"/>
      <c r="G3" s="5"/>
      <c r="H3" s="5"/>
    </row>
    <row r="4" spans="1:8" ht="12.75" customHeight="1" x14ac:dyDescent="0.25">
      <c r="A4" s="3" t="s">
        <v>2</v>
      </c>
      <c r="B4" s="4">
        <v>0.4</v>
      </c>
      <c r="C4" s="5"/>
      <c r="D4" s="5"/>
      <c r="E4" s="5"/>
      <c r="F4" s="5"/>
      <c r="G4" s="5"/>
      <c r="H4" s="5"/>
    </row>
    <row r="5" spans="1:8" ht="12.75" customHeight="1" x14ac:dyDescent="0.25">
      <c r="A5" s="3" t="s">
        <v>3</v>
      </c>
      <c r="B5" s="6">
        <v>0.08</v>
      </c>
      <c r="C5" s="5"/>
      <c r="D5" s="5"/>
      <c r="E5" s="5"/>
      <c r="F5" s="5"/>
      <c r="G5" s="5"/>
      <c r="H5" s="5"/>
    </row>
    <row r="6" spans="1:8" ht="12.75" customHeight="1" x14ac:dyDescent="0.25">
      <c r="A6" s="7" t="s">
        <v>4</v>
      </c>
      <c r="B6" s="6">
        <v>0.15</v>
      </c>
      <c r="C6" s="5"/>
      <c r="D6" s="5"/>
      <c r="E6" s="5"/>
      <c r="F6" s="5"/>
      <c r="G6" s="5"/>
      <c r="H6" s="5"/>
    </row>
    <row r="7" spans="1:8" ht="12.75" customHeight="1" x14ac:dyDescent="0.25">
      <c r="A7" s="7" t="s">
        <v>5</v>
      </c>
      <c r="B7" s="6">
        <v>0.22</v>
      </c>
      <c r="C7" s="5"/>
      <c r="D7" s="5"/>
      <c r="E7" s="5"/>
      <c r="F7" s="5"/>
      <c r="G7" s="5"/>
      <c r="H7" s="5"/>
    </row>
    <row r="8" spans="1:8" ht="12.75" customHeight="1" x14ac:dyDescent="0.25">
      <c r="A8" s="3"/>
      <c r="B8" s="5"/>
      <c r="C8" s="5"/>
      <c r="D8" s="5"/>
      <c r="E8" s="5"/>
      <c r="F8" s="5"/>
      <c r="G8" s="5"/>
      <c r="H8" s="5"/>
    </row>
    <row r="9" spans="1:8" x14ac:dyDescent="0.25">
      <c r="A9" s="2" t="s">
        <v>6</v>
      </c>
      <c r="B9" s="2">
        <v>80</v>
      </c>
    </row>
    <row r="10" spans="1:8" ht="12.75" customHeight="1" x14ac:dyDescent="0.25">
      <c r="A10" s="2" t="s">
        <v>7</v>
      </c>
      <c r="B10" s="8">
        <f>1/B9</f>
        <v>1.2500000000000001E-2</v>
      </c>
      <c r="C10" s="2" t="str">
        <f ca="1">_xlfn.FORMULATEXT(B10)</f>
        <v>=1/B9</v>
      </c>
    </row>
    <row r="12" spans="1:8" x14ac:dyDescent="0.25">
      <c r="A12" s="2" t="s">
        <v>8</v>
      </c>
      <c r="B12" s="8">
        <f>EXP(B6*B10+B7*SQRT(B10))</f>
        <v>1.0268252367311481</v>
      </c>
      <c r="C12" s="2" t="str">
        <f ca="1">_xlfn.FORMULATEXT(B12)</f>
        <v>=EXP(B6*B10+B7*SQRT(B10))</v>
      </c>
    </row>
    <row r="13" spans="1:8" x14ac:dyDescent="0.25">
      <c r="A13" s="2" t="s">
        <v>9</v>
      </c>
      <c r="B13" s="8">
        <f>EXP(B6*B10-B7*SQRT(B10))</f>
        <v>0.97753444709123416</v>
      </c>
      <c r="C13" s="2" t="str">
        <f ca="1">_xlfn.FORMULATEXT(B13)</f>
        <v>=EXP(B6*B10-B7*SQRT(B10))</v>
      </c>
    </row>
    <row r="14" spans="1:8" x14ac:dyDescent="0.25">
      <c r="A14" s="2" t="s">
        <v>10</v>
      </c>
      <c r="B14" s="8">
        <f>EXP(B5*B10)</f>
        <v>1.0010005001667084</v>
      </c>
      <c r="C14" s="2" t="str">
        <f ca="1">_xlfn.FORMULATEXT(B14)</f>
        <v>=EXP(B5*B10)</v>
      </c>
    </row>
    <row r="15" spans="1:8" x14ac:dyDescent="0.25">
      <c r="B15" s="8"/>
    </row>
    <row r="16" spans="1:8" x14ac:dyDescent="0.25">
      <c r="A16" s="2" t="s">
        <v>11</v>
      </c>
      <c r="B16" s="2">
        <v>100</v>
      </c>
    </row>
    <row r="17" spans="1:8" x14ac:dyDescent="0.25">
      <c r="H17" s="8"/>
    </row>
    <row r="18" spans="1:8" x14ac:dyDescent="0.25">
      <c r="A18" s="8">
        <f t="shared" ref="A18:F25" si="0">MCAsian($B$2,$B$3,$B$12,$B$13,$B$14,$B$4*$B$9,$B$16)</f>
        <v>5.3173535484258467</v>
      </c>
      <c r="B18" s="8">
        <f t="shared" si="0"/>
        <v>6.0372453719688375</v>
      </c>
      <c r="C18" s="8">
        <f t="shared" si="0"/>
        <v>5.5630329327981549</v>
      </c>
      <c r="D18" s="8">
        <f t="shared" si="0"/>
        <v>5.362937816826765</v>
      </c>
      <c r="E18" s="8">
        <f t="shared" si="0"/>
        <v>5.4769834040256216</v>
      </c>
      <c r="F18" s="8">
        <f t="shared" si="0"/>
        <v>5.5022935161199271</v>
      </c>
      <c r="G18" s="8" t="str">
        <f ca="1">_xlfn.FORMULATEXT(F18)</f>
        <v>=MCAsian($B$2,$B$3,$B$12,$B$13,$B$14,$B$4*$B$9,$B$16)</v>
      </c>
      <c r="H18" s="8"/>
    </row>
    <row r="19" spans="1:8" x14ac:dyDescent="0.25">
      <c r="A19" s="8">
        <f t="shared" si="0"/>
        <v>5.8282028049385293</v>
      </c>
      <c r="B19" s="8">
        <f t="shared" si="0"/>
        <v>5.8006642895490321</v>
      </c>
      <c r="C19" s="8">
        <f t="shared" si="0"/>
        <v>5.4589775447148723</v>
      </c>
      <c r="D19" s="8">
        <f t="shared" si="0"/>
        <v>5.7697513068613411</v>
      </c>
      <c r="E19" s="8">
        <f t="shared" si="0"/>
        <v>5.6478184715822231</v>
      </c>
      <c r="F19" s="8">
        <f t="shared" si="0"/>
        <v>5.3362930625014231</v>
      </c>
      <c r="H19" s="8"/>
    </row>
    <row r="20" spans="1:8" x14ac:dyDescent="0.25">
      <c r="A20" s="8">
        <f t="shared" si="0"/>
        <v>6.0600562104726858</v>
      </c>
      <c r="B20" s="8">
        <f t="shared" si="0"/>
        <v>5.9020485319079583</v>
      </c>
      <c r="C20" s="8">
        <f t="shared" si="0"/>
        <v>5.3052609460390032</v>
      </c>
      <c r="D20" s="8">
        <f t="shared" si="0"/>
        <v>5.6082654349058103</v>
      </c>
      <c r="E20" s="8">
        <f t="shared" si="0"/>
        <v>5.9352722857054632</v>
      </c>
      <c r="F20" s="8">
        <f t="shared" si="0"/>
        <v>5.6155029463572577</v>
      </c>
      <c r="H20" s="8"/>
    </row>
    <row r="21" spans="1:8" x14ac:dyDescent="0.25">
      <c r="A21" s="8">
        <f t="shared" si="0"/>
        <v>5.9404071220369499</v>
      </c>
      <c r="B21" s="8">
        <f t="shared" si="0"/>
        <v>5.9689888648177485</v>
      </c>
      <c r="C21" s="8">
        <f t="shared" si="0"/>
        <v>6.0927195687703053</v>
      </c>
      <c r="D21" s="8">
        <f t="shared" si="0"/>
        <v>5.509903041410146</v>
      </c>
      <c r="E21" s="8">
        <f t="shared" si="0"/>
        <v>5.528311621651711</v>
      </c>
      <c r="F21" s="8">
        <f t="shared" si="0"/>
        <v>6.2171716660233622</v>
      </c>
      <c r="H21" s="8"/>
    </row>
    <row r="22" spans="1:8" x14ac:dyDescent="0.25">
      <c r="A22" s="8">
        <f t="shared" si="0"/>
        <v>5.8406517891036707</v>
      </c>
      <c r="B22" s="8">
        <f t="shared" si="0"/>
        <v>6.0965354264630829</v>
      </c>
      <c r="C22" s="8">
        <f t="shared" si="0"/>
        <v>5.4522577720150469</v>
      </c>
      <c r="D22" s="8">
        <f t="shared" si="0"/>
        <v>5.5059175961083007</v>
      </c>
      <c r="E22" s="8">
        <f t="shared" si="0"/>
        <v>5.9084787971939958</v>
      </c>
      <c r="F22" s="8">
        <f t="shared" si="0"/>
        <v>5.4548514701634758</v>
      </c>
      <c r="H22" s="8"/>
    </row>
    <row r="23" spans="1:8" x14ac:dyDescent="0.25">
      <c r="A23" s="8">
        <f t="shared" si="0"/>
        <v>5.7030242570682699</v>
      </c>
      <c r="B23" s="8">
        <f t="shared" si="0"/>
        <v>6.0046215592775418</v>
      </c>
      <c r="C23" s="8">
        <f t="shared" si="0"/>
        <v>5.8264340998673489</v>
      </c>
      <c r="D23" s="8">
        <f t="shared" si="0"/>
        <v>6.6683725799650917</v>
      </c>
      <c r="E23" s="8">
        <f t="shared" si="0"/>
        <v>6.1833970681442851</v>
      </c>
      <c r="F23" s="8">
        <f t="shared" si="0"/>
        <v>5.9162544450153822</v>
      </c>
      <c r="H23" s="8"/>
    </row>
    <row r="24" spans="1:8" x14ac:dyDescent="0.25">
      <c r="A24" s="8">
        <f t="shared" si="0"/>
        <v>6.6526439866279716</v>
      </c>
      <c r="B24" s="8">
        <f t="shared" si="0"/>
        <v>5.7270253315810384</v>
      </c>
      <c r="C24" s="8">
        <f t="shared" si="0"/>
        <v>5.7774631849997169</v>
      </c>
      <c r="D24" s="8">
        <f t="shared" si="0"/>
        <v>6.7409658036723252</v>
      </c>
      <c r="E24" s="8">
        <f t="shared" si="0"/>
        <v>5.4972469253460066</v>
      </c>
      <c r="F24" s="8">
        <f t="shared" si="0"/>
        <v>6.1347151723881144</v>
      </c>
      <c r="H24" s="8"/>
    </row>
    <row r="25" spans="1:8" x14ac:dyDescent="0.25">
      <c r="A25" s="8">
        <f t="shared" si="0"/>
        <v>6.2742566353408948</v>
      </c>
      <c r="B25" s="8">
        <f t="shared" si="0"/>
        <v>6.0888493700117143</v>
      </c>
      <c r="C25" s="8">
        <f t="shared" si="0"/>
        <v>6.0106529888785074</v>
      </c>
      <c r="D25" s="8">
        <f t="shared" si="0"/>
        <v>6.3989655834302956</v>
      </c>
      <c r="E25" s="8">
        <f t="shared" si="0"/>
        <v>5.3349871778873963</v>
      </c>
      <c r="F25" s="8">
        <f t="shared" si="0"/>
        <v>5.4074403302443637</v>
      </c>
    </row>
    <row r="26" spans="1:8" x14ac:dyDescent="0.25">
      <c r="A26" s="8"/>
    </row>
    <row r="27" spans="1:8" x14ac:dyDescent="0.25">
      <c r="A27" s="9" t="s">
        <v>12</v>
      </c>
      <c r="B27" s="10">
        <f>AVERAGE(A18:F25)</f>
        <v>5.820655659608434</v>
      </c>
      <c r="C27" s="2" t="str">
        <f ca="1">_xlfn.FORMULATEXT(B27)</f>
        <v>=AVERAGE(A18:F25)</v>
      </c>
    </row>
    <row r="28" spans="1:8" x14ac:dyDescent="0.25">
      <c r="A28" s="11" t="s">
        <v>13</v>
      </c>
      <c r="B28" s="8">
        <f>MIN(A18:F25)</f>
        <v>5.3052609460390032</v>
      </c>
      <c r="C28" s="2" t="str">
        <f ca="1">_xlfn.FORMULATEXT(B28)</f>
        <v>=MIN(A18:F25)</v>
      </c>
    </row>
    <row r="29" spans="1:8" x14ac:dyDescent="0.25">
      <c r="A29" s="11" t="s">
        <v>14</v>
      </c>
      <c r="B29" s="8">
        <f>MAX(A18:F25)</f>
        <v>6.7409658036723252</v>
      </c>
      <c r="C29" s="2" t="str">
        <f ca="1">_xlfn.FORMULATEXT(B29)</f>
        <v>=MAX(A18:F25)</v>
      </c>
    </row>
    <row r="30" spans="1:8" x14ac:dyDescent="0.25">
      <c r="A30" s="11" t="s">
        <v>15</v>
      </c>
      <c r="B30" s="8">
        <f>STDEV(A18:F25)</f>
        <v>0.36440490827054606</v>
      </c>
      <c r="C30" s="2" t="str">
        <f ca="1">_xlfn.FORMULATEXT(B30)</f>
        <v>=STDEV(A18:F25)</v>
      </c>
    </row>
    <row r="32" spans="1:8" ht="15.6" x14ac:dyDescent="0.3">
      <c r="B32" s="12" t="s">
        <v>16</v>
      </c>
    </row>
    <row r="33" spans="2:7" ht="39.6" x14ac:dyDescent="0.25">
      <c r="B33" s="13" t="s">
        <v>11</v>
      </c>
      <c r="C33" s="13" t="s">
        <v>17</v>
      </c>
      <c r="D33" s="14" t="s">
        <v>13</v>
      </c>
      <c r="E33" s="14" t="s">
        <v>18</v>
      </c>
      <c r="F33" s="13" t="s">
        <v>19</v>
      </c>
    </row>
    <row r="34" spans="2:7" x14ac:dyDescent="0.25">
      <c r="C34" s="15">
        <f>B27</f>
        <v>5.820655659608434</v>
      </c>
      <c r="D34" s="15">
        <f>B28</f>
        <v>5.3052609460390032</v>
      </c>
      <c r="E34" s="15">
        <f>B29</f>
        <v>6.7409658036723252</v>
      </c>
      <c r="F34" s="15">
        <f>B30</f>
        <v>0.36440490827054606</v>
      </c>
      <c r="G34" s="2" t="str">
        <f ca="1">_xlfn.FORMULATEXT(F34)&amp;" , data table header (hidden)"</f>
        <v>=B30 , data table header (hidden)</v>
      </c>
    </row>
    <row r="35" spans="2:7" x14ac:dyDescent="0.25">
      <c r="B35" s="16">
        <v>50</v>
      </c>
      <c r="C35" s="8">
        <f t="dataTable" ref="C35:F45" dt2D="0" dtr="0" r1="B16"/>
        <v>5.6944308743104166</v>
      </c>
      <c r="D35" s="8">
        <v>4.4509402832259131</v>
      </c>
      <c r="E35" s="8">
        <v>6.7584156145400787</v>
      </c>
      <c r="F35" s="8">
        <v>0.51355186354490523</v>
      </c>
    </row>
    <row r="36" spans="2:7" x14ac:dyDescent="0.25">
      <c r="B36" s="16">
        <v>100</v>
      </c>
      <c r="C36" s="8">
        <v>5.6824486350695906</v>
      </c>
      <c r="D36" s="8">
        <v>4.9640555163672282</v>
      </c>
      <c r="E36" s="8">
        <v>6.277839392293564</v>
      </c>
      <c r="F36" s="8">
        <v>0.32879813845250105</v>
      </c>
    </row>
    <row r="37" spans="2:7" x14ac:dyDescent="0.25">
      <c r="B37" s="16">
        <v>150</v>
      </c>
      <c r="C37" s="8">
        <v>5.7777449633948583</v>
      </c>
      <c r="D37" s="8">
        <v>5.1204275548575682</v>
      </c>
      <c r="E37" s="8">
        <v>6.4160675711500215</v>
      </c>
      <c r="F37" s="8">
        <v>0.2942560414203586</v>
      </c>
    </row>
    <row r="38" spans="2:7" x14ac:dyDescent="0.25">
      <c r="B38" s="16">
        <v>200</v>
      </c>
      <c r="C38" s="8">
        <v>5.6662027019706045</v>
      </c>
      <c r="D38" s="8">
        <v>5.1728396010015683</v>
      </c>
      <c r="E38" s="8">
        <v>6.1016580079004408</v>
      </c>
      <c r="F38" s="8">
        <v>0.24198883950494038</v>
      </c>
    </row>
    <row r="39" spans="2:7" x14ac:dyDescent="0.25">
      <c r="B39" s="16">
        <v>250</v>
      </c>
      <c r="C39" s="8">
        <v>5.7136216927782071</v>
      </c>
      <c r="D39" s="8">
        <v>5.1411685419252926</v>
      </c>
      <c r="E39" s="8">
        <v>6.1564423308843281</v>
      </c>
      <c r="F39" s="8">
        <v>0.22809641640914305</v>
      </c>
    </row>
    <row r="40" spans="2:7" x14ac:dyDescent="0.25">
      <c r="B40" s="16">
        <v>300</v>
      </c>
      <c r="C40" s="8">
        <v>5.7173459725423506</v>
      </c>
      <c r="D40" s="8">
        <v>5.1423657780614729</v>
      </c>
      <c r="E40" s="8">
        <v>6.1830983931794137</v>
      </c>
      <c r="F40" s="8">
        <v>0.23445476690272624</v>
      </c>
    </row>
    <row r="41" spans="2:7" x14ac:dyDescent="0.25">
      <c r="B41" s="16">
        <v>350</v>
      </c>
      <c r="C41" s="8">
        <v>5.7005655978945873</v>
      </c>
      <c r="D41" s="8">
        <v>5.309122764915652</v>
      </c>
      <c r="E41" s="8">
        <v>6.0956258744546536</v>
      </c>
      <c r="F41" s="8">
        <v>0.19304545085117183</v>
      </c>
    </row>
    <row r="42" spans="2:7" x14ac:dyDescent="0.25">
      <c r="B42" s="16">
        <v>400</v>
      </c>
      <c r="C42" s="8">
        <v>5.7530905153105012</v>
      </c>
      <c r="D42" s="8">
        <v>5.2673099896726718</v>
      </c>
      <c r="E42" s="8">
        <v>6.3156530333161927</v>
      </c>
      <c r="F42" s="8">
        <v>0.22223053143556262</v>
      </c>
    </row>
    <row r="43" spans="2:7" x14ac:dyDescent="0.25">
      <c r="B43" s="16">
        <v>450</v>
      </c>
      <c r="C43" s="8">
        <v>5.7287106555316187</v>
      </c>
      <c r="D43" s="8">
        <v>5.2046241788102314</v>
      </c>
      <c r="E43" s="8">
        <v>6.1286958164096879</v>
      </c>
      <c r="F43" s="8">
        <v>0.18252992731770751</v>
      </c>
    </row>
    <row r="44" spans="2:7" x14ac:dyDescent="0.25">
      <c r="B44" s="16">
        <v>500</v>
      </c>
      <c r="C44" s="8">
        <v>5.6944678143310048</v>
      </c>
      <c r="D44" s="8">
        <v>5.305167047320011</v>
      </c>
      <c r="E44" s="8">
        <v>6.060692299476802</v>
      </c>
      <c r="F44" s="8">
        <v>0.19190283265991565</v>
      </c>
    </row>
    <row r="45" spans="2:7" x14ac:dyDescent="0.25">
      <c r="B45" s="16">
        <v>550</v>
      </c>
      <c r="C45" s="8">
        <v>5.7149934052018159</v>
      </c>
      <c r="D45" s="8">
        <v>5.4459981316942114</v>
      </c>
      <c r="E45" s="8">
        <v>6.0773797613703771</v>
      </c>
      <c r="F45" s="8">
        <v>0.15045000371928302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2024-12-11T08:14:01Z</dcterms:modified>
</cp:coreProperties>
</file>