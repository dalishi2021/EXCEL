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34\"/>
    </mc:Choice>
  </mc:AlternateContent>
  <xr:revisionPtr revIDLastSave="0" documentId="13_ncr:1_{0F336671-2322-4C9D-8D6E-DF4B2EFBD90E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Page 829" sheetId="2" r:id="rId1"/>
    <sheet name="Sheet1" sheetId="1" r:id="rId2"/>
  </sheets>
  <externalReferences>
    <externalReference r:id="rId3"/>
    <externalReference r:id="rId4"/>
    <externalReference r:id="rId5"/>
  </externalReferences>
  <definedNames>
    <definedName name="amount">#REF!</definedName>
    <definedName name="category">#REF!</definedName>
    <definedName name="Date">#REF!</definedName>
    <definedName name="delta">'[2]Shorter way'!$B$23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8" i="2" l="1" a="1"/>
  <c r="F8" i="2" s="1"/>
  <c r="C363" i="2"/>
  <c r="C362" i="2"/>
  <c r="C361" i="2"/>
  <c r="C360" i="2"/>
  <c r="C359" i="2"/>
  <c r="C358" i="2"/>
  <c r="C357" i="2"/>
  <c r="C356" i="2"/>
  <c r="C355" i="2"/>
  <c r="C354" i="2"/>
  <c r="C353" i="2"/>
  <c r="C352" i="2"/>
  <c r="C351" i="2"/>
  <c r="C350" i="2"/>
  <c r="C349" i="2"/>
  <c r="C348" i="2"/>
  <c r="C347" i="2"/>
  <c r="C346" i="2"/>
  <c r="C345" i="2"/>
  <c r="C344" i="2"/>
  <c r="C343" i="2"/>
  <c r="C342" i="2"/>
  <c r="C341" i="2"/>
  <c r="C340" i="2"/>
  <c r="C339" i="2"/>
  <c r="C338" i="2"/>
  <c r="C337" i="2"/>
  <c r="C336" i="2"/>
  <c r="C335" i="2"/>
  <c r="C334" i="2"/>
  <c r="C333" i="2"/>
  <c r="C332" i="2"/>
  <c r="C331" i="2"/>
  <c r="C330" i="2"/>
  <c r="C329" i="2"/>
  <c r="C328" i="2"/>
  <c r="C327" i="2"/>
  <c r="C326" i="2"/>
  <c r="C325" i="2"/>
  <c r="C324" i="2"/>
  <c r="C323" i="2"/>
  <c r="C322" i="2"/>
  <c r="C321" i="2"/>
  <c r="C320" i="2"/>
  <c r="C319" i="2"/>
  <c r="C318" i="2"/>
  <c r="C317" i="2"/>
  <c r="C316" i="2"/>
  <c r="C315" i="2"/>
  <c r="C314" i="2"/>
  <c r="C313" i="2"/>
  <c r="C312" i="2"/>
  <c r="C311" i="2"/>
  <c r="C310" i="2"/>
  <c r="C309" i="2"/>
  <c r="C308" i="2"/>
  <c r="C307" i="2"/>
  <c r="C306" i="2"/>
  <c r="C305" i="2"/>
  <c r="C304" i="2"/>
  <c r="C303" i="2"/>
  <c r="C302" i="2"/>
  <c r="C301" i="2"/>
  <c r="C300" i="2"/>
  <c r="C299" i="2"/>
  <c r="C298" i="2"/>
  <c r="C297" i="2"/>
  <c r="C296" i="2"/>
  <c r="C295" i="2"/>
  <c r="C294" i="2"/>
  <c r="C293" i="2"/>
  <c r="C292" i="2"/>
  <c r="C291" i="2"/>
  <c r="C290" i="2"/>
  <c r="C289" i="2"/>
  <c r="C288" i="2"/>
  <c r="C287" i="2"/>
  <c r="C286" i="2"/>
  <c r="C285" i="2"/>
  <c r="C284" i="2"/>
  <c r="C283" i="2"/>
  <c r="C282" i="2"/>
  <c r="C281" i="2"/>
  <c r="C280" i="2"/>
  <c r="C279" i="2"/>
  <c r="C278" i="2"/>
  <c r="C277" i="2"/>
  <c r="C276" i="2"/>
  <c r="C275" i="2"/>
  <c r="C274" i="2"/>
  <c r="C273" i="2"/>
  <c r="C272" i="2"/>
  <c r="C271" i="2"/>
  <c r="C270" i="2"/>
  <c r="C269" i="2"/>
  <c r="C268" i="2"/>
  <c r="C267" i="2"/>
  <c r="C266" i="2"/>
  <c r="C265" i="2"/>
  <c r="C264" i="2"/>
  <c r="C263" i="2"/>
  <c r="C262" i="2"/>
  <c r="C261" i="2"/>
  <c r="C260" i="2"/>
  <c r="C259" i="2"/>
  <c r="C258" i="2"/>
  <c r="C257" i="2"/>
  <c r="C256" i="2"/>
  <c r="C255" i="2"/>
  <c r="C254" i="2"/>
  <c r="C253" i="2"/>
  <c r="C252" i="2"/>
  <c r="C251" i="2"/>
  <c r="C250" i="2"/>
  <c r="C249" i="2"/>
  <c r="C248" i="2"/>
  <c r="C247" i="2"/>
  <c r="C246" i="2"/>
  <c r="C245" i="2"/>
  <c r="C244" i="2"/>
  <c r="C243" i="2"/>
  <c r="C242" i="2"/>
  <c r="C241" i="2"/>
  <c r="C240" i="2"/>
  <c r="C239" i="2"/>
  <c r="C238" i="2"/>
  <c r="C237" i="2"/>
  <c r="C236" i="2"/>
  <c r="C235" i="2"/>
  <c r="C234" i="2"/>
  <c r="C233" i="2"/>
  <c r="C232" i="2"/>
  <c r="C231" i="2"/>
  <c r="C230" i="2"/>
  <c r="C229" i="2"/>
  <c r="C228" i="2"/>
  <c r="C227" i="2"/>
  <c r="C226" i="2"/>
  <c r="C225" i="2"/>
  <c r="C224" i="2"/>
  <c r="C223" i="2"/>
  <c r="C222" i="2"/>
  <c r="C221" i="2"/>
  <c r="C220" i="2"/>
  <c r="C219" i="2"/>
  <c r="C218" i="2"/>
  <c r="C217" i="2"/>
  <c r="C216" i="2"/>
  <c r="C215" i="2"/>
  <c r="C214" i="2"/>
  <c r="C213" i="2"/>
  <c r="C212" i="2"/>
  <c r="C211" i="2"/>
  <c r="C210" i="2"/>
  <c r="C209" i="2"/>
  <c r="C208" i="2"/>
  <c r="C207" i="2"/>
  <c r="C206" i="2"/>
  <c r="C205" i="2"/>
  <c r="C204" i="2"/>
  <c r="C203" i="2"/>
  <c r="C202" i="2"/>
  <c r="C201" i="2"/>
  <c r="C200" i="2"/>
  <c r="C199" i="2"/>
  <c r="C198" i="2"/>
  <c r="C197" i="2"/>
  <c r="C196" i="2"/>
  <c r="C195" i="2"/>
  <c r="C194" i="2"/>
  <c r="C193" i="2"/>
  <c r="C192" i="2"/>
  <c r="C191" i="2"/>
  <c r="C190" i="2"/>
  <c r="C189" i="2"/>
  <c r="C188" i="2"/>
  <c r="C187" i="2"/>
  <c r="C186" i="2"/>
  <c r="C185" i="2"/>
  <c r="C184" i="2"/>
  <c r="C183" i="2"/>
  <c r="C182" i="2"/>
  <c r="C181" i="2"/>
  <c r="C180" i="2"/>
  <c r="C179" i="2"/>
  <c r="C178" i="2"/>
  <c r="C177" i="2"/>
  <c r="C176" i="2"/>
  <c r="C175" i="2"/>
  <c r="C174" i="2"/>
  <c r="C173" i="2"/>
  <c r="C172" i="2"/>
  <c r="C171" i="2"/>
  <c r="C170" i="2"/>
  <c r="C169" i="2"/>
  <c r="C168" i="2"/>
  <c r="C167" i="2"/>
  <c r="C166" i="2"/>
  <c r="C165" i="2"/>
  <c r="C164" i="2"/>
  <c r="C163" i="2"/>
  <c r="C162" i="2"/>
  <c r="C161" i="2"/>
  <c r="C160" i="2"/>
  <c r="C159" i="2"/>
  <c r="C158" i="2"/>
  <c r="C157" i="2"/>
  <c r="C156" i="2"/>
  <c r="C155" i="2"/>
  <c r="C154" i="2"/>
  <c r="C153" i="2"/>
  <c r="C152" i="2"/>
  <c r="C151" i="2"/>
  <c r="C150" i="2"/>
  <c r="C149" i="2"/>
  <c r="C148" i="2"/>
  <c r="C147" i="2"/>
  <c r="C146" i="2"/>
  <c r="C145" i="2"/>
  <c r="C144" i="2"/>
  <c r="C143" i="2"/>
  <c r="C142" i="2"/>
  <c r="C141" i="2"/>
  <c r="C140" i="2"/>
  <c r="C139" i="2"/>
  <c r="C138" i="2"/>
  <c r="C137" i="2"/>
  <c r="C136" i="2"/>
  <c r="C135" i="2"/>
  <c r="C134" i="2"/>
  <c r="C133" i="2"/>
  <c r="C132" i="2"/>
  <c r="C131" i="2"/>
  <c r="C130" i="2"/>
  <c r="C129" i="2"/>
  <c r="C128" i="2"/>
  <c r="C127" i="2"/>
  <c r="C126" i="2"/>
  <c r="C125" i="2"/>
  <c r="C124" i="2"/>
  <c r="C123" i="2"/>
  <c r="C122" i="2"/>
  <c r="C121" i="2"/>
  <c r="C120" i="2"/>
  <c r="C119" i="2"/>
  <c r="C118" i="2"/>
  <c r="C117" i="2"/>
  <c r="C116" i="2"/>
  <c r="C115" i="2"/>
  <c r="C114" i="2"/>
  <c r="C113" i="2"/>
  <c r="C112" i="2"/>
  <c r="C111" i="2"/>
  <c r="C110" i="2"/>
  <c r="C109" i="2"/>
  <c r="C108" i="2"/>
  <c r="C107" i="2"/>
  <c r="C106" i="2"/>
  <c r="C105" i="2"/>
  <c r="C104" i="2"/>
  <c r="C103" i="2"/>
  <c r="C102" i="2"/>
  <c r="C101" i="2"/>
  <c r="C100" i="2"/>
  <c r="C99" i="2"/>
  <c r="C98" i="2"/>
  <c r="C97" i="2"/>
  <c r="C96" i="2"/>
  <c r="C95" i="2"/>
  <c r="C94" i="2"/>
  <c r="C93" i="2"/>
  <c r="C92" i="2"/>
  <c r="C91" i="2"/>
  <c r="C90" i="2"/>
  <c r="C89" i="2"/>
  <c r="C88" i="2"/>
  <c r="C87" i="2"/>
  <c r="C86" i="2"/>
  <c r="C85" i="2"/>
  <c r="C84" i="2"/>
  <c r="C83" i="2"/>
  <c r="C82" i="2"/>
  <c r="C81" i="2"/>
  <c r="C80" i="2"/>
  <c r="C79" i="2"/>
  <c r="C78" i="2"/>
  <c r="C77" i="2"/>
  <c r="C76" i="2"/>
  <c r="C75" i="2"/>
  <c r="C74" i="2"/>
  <c r="C73" i="2"/>
  <c r="C72" i="2"/>
  <c r="C71" i="2"/>
  <c r="C70" i="2"/>
  <c r="C69" i="2"/>
  <c r="C68" i="2"/>
  <c r="C67" i="2"/>
  <c r="C66" i="2"/>
  <c r="C65" i="2"/>
  <c r="C64" i="2"/>
  <c r="C63" i="2"/>
  <c r="C62" i="2"/>
  <c r="C61" i="2"/>
  <c r="C60" i="2"/>
  <c r="C59" i="2"/>
  <c r="C58" i="2"/>
  <c r="C57" i="2"/>
  <c r="C56" i="2"/>
  <c r="C55" i="2"/>
  <c r="C54" i="2"/>
  <c r="C53" i="2"/>
  <c r="C52" i="2"/>
  <c r="C51" i="2"/>
  <c r="C50" i="2"/>
  <c r="C49" i="2"/>
  <c r="C48" i="2"/>
  <c r="C47" i="2"/>
  <c r="C46" i="2"/>
  <c r="C45" i="2"/>
  <c r="C44" i="2"/>
  <c r="C43" i="2"/>
  <c r="C42" i="2"/>
  <c r="C41" i="2"/>
  <c r="C40" i="2"/>
  <c r="C39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F5" i="2"/>
  <c r="C5" i="2"/>
  <c r="C4" i="2"/>
  <c r="F4" i="2" s="1"/>
  <c r="E8" i="2" s="1"/>
  <c r="G8" i="2"/>
  <c r="G5" i="2"/>
  <c r="G4" i="2"/>
  <c r="D4" i="2"/>
  <c r="F39" i="2" l="1"/>
  <c r="F23" i="2"/>
  <c r="F38" i="2"/>
  <c r="F22" i="2"/>
  <c r="F37" i="2"/>
  <c r="F21" i="2"/>
  <c r="F36" i="2"/>
  <c r="F20" i="2"/>
  <c r="F35" i="2"/>
  <c r="F19" i="2"/>
  <c r="F18" i="2"/>
  <c r="F17" i="2"/>
  <c r="F32" i="2"/>
  <c r="F16" i="2"/>
  <c r="F33" i="2"/>
  <c r="F31" i="2"/>
  <c r="F15" i="2"/>
  <c r="F34" i="2"/>
  <c r="F30" i="2"/>
  <c r="F14" i="2"/>
  <c r="F29" i="2"/>
  <c r="F13" i="2"/>
  <c r="F28" i="2"/>
  <c r="F12" i="2"/>
  <c r="F27" i="2"/>
  <c r="F11" i="2"/>
  <c r="F10" i="2"/>
  <c r="F9" i="2"/>
  <c r="F26" i="2"/>
  <c r="F25" i="2"/>
  <c r="F24" i="2"/>
  <c r="E9" i="2"/>
  <c r="E10" i="2" l="1"/>
  <c r="J9" i="2"/>
  <c r="E11" i="2" l="1"/>
  <c r="J10" i="2"/>
  <c r="E12" i="2" l="1"/>
  <c r="J11" i="2"/>
  <c r="E13" i="2" l="1"/>
  <c r="J12" i="2"/>
  <c r="E14" i="2" l="1"/>
  <c r="J13" i="2"/>
  <c r="E15" i="2" l="1"/>
  <c r="J14" i="2"/>
  <c r="E16" i="2" l="1"/>
  <c r="J15" i="2"/>
  <c r="E17" i="2" l="1"/>
  <c r="J16" i="2"/>
  <c r="E18" i="2" l="1"/>
  <c r="J17" i="2"/>
  <c r="E19" i="2" l="1"/>
  <c r="J18" i="2"/>
  <c r="E20" i="2" l="1"/>
  <c r="J19" i="2"/>
  <c r="E21" i="2" l="1"/>
  <c r="J20" i="2"/>
  <c r="E22" i="2" l="1"/>
  <c r="J21" i="2"/>
  <c r="E23" i="2" l="1"/>
  <c r="J23" i="2"/>
  <c r="J22" i="2"/>
  <c r="E24" i="2" l="1"/>
  <c r="J24" i="2"/>
  <c r="E25" i="2" l="1"/>
  <c r="E26" i="2" l="1"/>
  <c r="J25" i="2"/>
  <c r="E27" i="2" l="1"/>
  <c r="J26" i="2"/>
  <c r="E28" i="2" l="1"/>
  <c r="J27" i="2"/>
  <c r="E29" i="2" l="1"/>
  <c r="J28" i="2"/>
  <c r="E30" i="2" l="1"/>
  <c r="J29" i="2"/>
  <c r="E31" i="2" l="1"/>
  <c r="J30" i="2"/>
  <c r="E32" i="2" l="1"/>
  <c r="J31" i="2"/>
  <c r="E33" i="2" l="1"/>
  <c r="J32" i="2"/>
  <c r="J34" i="2" l="1"/>
  <c r="E34" i="2"/>
  <c r="J33" i="2"/>
  <c r="E35" i="2" l="1"/>
  <c r="J36" i="2" l="1"/>
  <c r="E36" i="2"/>
  <c r="J35" i="2"/>
  <c r="E37" i="2" l="1"/>
  <c r="E38" i="2" l="1"/>
  <c r="J37" i="2"/>
  <c r="J38" i="2" l="1"/>
</calcChain>
</file>

<file path=xl/sharedStrings.xml><?xml version="1.0" encoding="utf-8"?>
<sst xmlns="http://schemas.openxmlformats.org/spreadsheetml/2006/main" count="10" uniqueCount="10">
  <si>
    <t>THE FREQUENCY ARRAY FUNCTION</t>
  </si>
  <si>
    <t>Date</t>
  </si>
  <si>
    <t>Ford
stock price</t>
  </si>
  <si>
    <t>Monthly
return</t>
  </si>
  <si>
    <t>Minimum</t>
  </si>
  <si>
    <t>Maximimum</t>
  </si>
  <si>
    <t>Bin</t>
  </si>
  <si>
    <t>Frequency</t>
  </si>
  <si>
    <t>X-axis labels</t>
  </si>
  <si>
    <t>Step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</si>
</sst>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2" fillId="0" borderId="0"/>
    <xf numFmtId="9" fontId="2" fillId="0" borderId="0" applyFont="0" applyFill="0" applyBorder="0" applyAlignment="0" applyProtection="0"/>
  </cellStyleXfs>
  <cellXfs count="14">
    <xf numFmtId="0" fontId="0" fillId="0" borderId="0" xfId="0">
      <alignment vertical="center"/>
    </xf>
    <xf numFmtId="0" fontId="3" fillId="0" borderId="0" xfId="1" applyFont="1" applyAlignment="1">
      <alignment horizontal="center"/>
    </xf>
    <xf numFmtId="0" fontId="2" fillId="0" borderId="0" xfId="1"/>
    <xf numFmtId="0" fontId="4" fillId="0" borderId="0" xfId="1" applyFont="1" applyAlignment="1">
      <alignment horizontal="center" vertical="center"/>
    </xf>
    <xf numFmtId="0" fontId="4" fillId="0" borderId="0" xfId="1" applyFont="1" applyAlignment="1">
      <alignment horizontal="center" vertical="center" wrapText="1"/>
    </xf>
    <xf numFmtId="15" fontId="2" fillId="0" borderId="0" xfId="1" applyNumberFormat="1"/>
    <xf numFmtId="2" fontId="2" fillId="0" borderId="0" xfId="1" applyNumberFormat="1"/>
    <xf numFmtId="10" fontId="0" fillId="0" borderId="0" xfId="2" applyNumberFormat="1" applyFont="1"/>
    <xf numFmtId="10" fontId="2" fillId="0" borderId="0" xfId="1" applyNumberFormat="1"/>
    <xf numFmtId="0" fontId="4" fillId="0" borderId="0" xfId="1" applyFont="1" applyAlignment="1">
      <alignment horizontal="center"/>
    </xf>
    <xf numFmtId="0" fontId="4" fillId="0" borderId="0" xfId="1" applyFont="1"/>
    <xf numFmtId="9" fontId="2" fillId="0" borderId="0" xfId="1" applyNumberFormat="1"/>
    <xf numFmtId="10" fontId="0" fillId="2" borderId="0" xfId="2" applyNumberFormat="1" applyFont="1" applyFill="1"/>
    <xf numFmtId="0" fontId="2" fillId="2" borderId="0" xfId="1" applyFill="1"/>
  </cellXfs>
  <cellStyles count="3">
    <cellStyle name="百分比 2" xfId="2" xr:uid="{51D6293A-4838-41D1-A046-12367738F262}"/>
    <cellStyle name="常规" xfId="0" builtinId="0"/>
    <cellStyle name="常规 2" xfId="1" xr:uid="{7512B4E3-8D0F-4527-8BF7-7E1FCC67FC97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externalLink" Target="externalLinks/externalLink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3.xml"/><Relationship Id="rId4" Type="http://schemas.openxmlformats.org/officeDocument/2006/relationships/externalLink" Target="externalLinks/externalLink2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altLang="zh-CN"/>
              <a:t>Frequency Distribution
 of Ford Returns
Jan 1977 - Dec 2006</a:t>
            </a:r>
          </a:p>
        </c:rich>
      </c:tx>
      <c:layout>
        <c:manualLayout>
          <c:xMode val="edge"/>
          <c:yMode val="edge"/>
          <c:x val="0.64415706959669805"/>
          <c:y val="8.450727835526128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7532596006105436E-2"/>
          <c:y val="4.2253639177630635E-2"/>
          <c:w val="0.90909263854372702"/>
          <c:h val="0.7394386856085362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'Page 829'!$J$9:$J$38</c:f>
              <c:strCache>
                <c:ptCount val="30"/>
                <c:pt idx="0">
                  <c:v>-25.7% - -23.7%</c:v>
                </c:pt>
                <c:pt idx="1">
                  <c:v>-23.7% - -21.7%</c:v>
                </c:pt>
                <c:pt idx="2">
                  <c:v>-21.7% - -19.7%</c:v>
                </c:pt>
                <c:pt idx="3">
                  <c:v>-19.7% - -17.7%</c:v>
                </c:pt>
                <c:pt idx="4">
                  <c:v>-17.7% - -15.7%</c:v>
                </c:pt>
                <c:pt idx="5">
                  <c:v>-15.7% - -13.7%</c:v>
                </c:pt>
                <c:pt idx="6">
                  <c:v>-13.7% - -11.7%</c:v>
                </c:pt>
                <c:pt idx="7">
                  <c:v>-11.7% - -9.7%</c:v>
                </c:pt>
                <c:pt idx="8">
                  <c:v>-9.7% - -7.7%</c:v>
                </c:pt>
                <c:pt idx="9">
                  <c:v>-7.7% - -5.7%</c:v>
                </c:pt>
                <c:pt idx="10">
                  <c:v>-5.7% - -3.7%</c:v>
                </c:pt>
                <c:pt idx="11">
                  <c:v>-3.7% - -1.7%</c:v>
                </c:pt>
                <c:pt idx="12">
                  <c:v>-1.7% - 0.3%</c:v>
                </c:pt>
                <c:pt idx="13">
                  <c:v>0.3% - 2.3%</c:v>
                </c:pt>
                <c:pt idx="14">
                  <c:v>2.3% - 4.3%</c:v>
                </c:pt>
                <c:pt idx="15">
                  <c:v>4.3% - 6.3%</c:v>
                </c:pt>
                <c:pt idx="16">
                  <c:v>6.3% - 8.3%</c:v>
                </c:pt>
                <c:pt idx="17">
                  <c:v>8.3% - 10.3%</c:v>
                </c:pt>
                <c:pt idx="18">
                  <c:v>10.3% - 12.3%</c:v>
                </c:pt>
                <c:pt idx="19">
                  <c:v>12.3% - 14.3%</c:v>
                </c:pt>
                <c:pt idx="20">
                  <c:v>14.3% - 16.3%</c:v>
                </c:pt>
                <c:pt idx="21">
                  <c:v>16.3% - 18.3%</c:v>
                </c:pt>
                <c:pt idx="22">
                  <c:v>18.3% - 20.3%</c:v>
                </c:pt>
                <c:pt idx="23">
                  <c:v>20.3% - 22.3%</c:v>
                </c:pt>
                <c:pt idx="24">
                  <c:v>22.3% - 24.3%</c:v>
                </c:pt>
                <c:pt idx="25">
                  <c:v>24.3% - 26.3%</c:v>
                </c:pt>
                <c:pt idx="26">
                  <c:v>26.3% - 28.3%</c:v>
                </c:pt>
                <c:pt idx="27">
                  <c:v>28.3% - 30.3%</c:v>
                </c:pt>
                <c:pt idx="28">
                  <c:v>30.3% - 32.3%</c:v>
                </c:pt>
                <c:pt idx="29">
                  <c:v>32.3% - 34.3%</c:v>
                </c:pt>
              </c:strCache>
            </c:strRef>
          </c:cat>
          <c:val>
            <c:numRef>
              <c:f>'Page 829'!$F$9:$F$38</c:f>
              <c:numCache>
                <c:formatCode>General</c:formatCode>
                <c:ptCount val="30"/>
                <c:pt idx="0">
                  <c:v>2</c:v>
                </c:pt>
                <c:pt idx="1">
                  <c:v>1</c:v>
                </c:pt>
                <c:pt idx="2">
                  <c:v>2</c:v>
                </c:pt>
                <c:pt idx="3">
                  <c:v>6</c:v>
                </c:pt>
                <c:pt idx="4">
                  <c:v>3</c:v>
                </c:pt>
                <c:pt idx="5">
                  <c:v>5</c:v>
                </c:pt>
                <c:pt idx="6">
                  <c:v>8</c:v>
                </c:pt>
                <c:pt idx="7">
                  <c:v>10</c:v>
                </c:pt>
                <c:pt idx="8">
                  <c:v>18</c:v>
                </c:pt>
                <c:pt idx="9">
                  <c:v>23</c:v>
                </c:pt>
                <c:pt idx="10">
                  <c:v>26</c:v>
                </c:pt>
                <c:pt idx="11">
                  <c:v>35</c:v>
                </c:pt>
                <c:pt idx="12">
                  <c:v>35</c:v>
                </c:pt>
                <c:pt idx="13">
                  <c:v>37</c:v>
                </c:pt>
                <c:pt idx="14">
                  <c:v>30</c:v>
                </c:pt>
                <c:pt idx="15">
                  <c:v>33</c:v>
                </c:pt>
                <c:pt idx="16">
                  <c:v>22</c:v>
                </c:pt>
                <c:pt idx="17">
                  <c:v>21</c:v>
                </c:pt>
                <c:pt idx="18">
                  <c:v>9</c:v>
                </c:pt>
                <c:pt idx="19">
                  <c:v>13</c:v>
                </c:pt>
                <c:pt idx="20">
                  <c:v>5</c:v>
                </c:pt>
                <c:pt idx="21">
                  <c:v>4</c:v>
                </c:pt>
                <c:pt idx="22">
                  <c:v>5</c:v>
                </c:pt>
                <c:pt idx="23">
                  <c:v>2</c:v>
                </c:pt>
                <c:pt idx="24">
                  <c:v>1</c:v>
                </c:pt>
                <c:pt idx="25">
                  <c:v>1</c:v>
                </c:pt>
                <c:pt idx="26">
                  <c:v>0</c:v>
                </c:pt>
                <c:pt idx="27">
                  <c:v>2</c:v>
                </c:pt>
                <c:pt idx="28">
                  <c:v>0</c:v>
                </c:pt>
                <c:pt idx="2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F0-4D65-B86B-C6BE07E7D4A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910994280"/>
        <c:axId val="1"/>
      </c:barChart>
      <c:catAx>
        <c:axId val="9109942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910994280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182880</xdr:colOff>
      <xdr:row>39</xdr:row>
      <xdr:rowOff>0</xdr:rowOff>
    </xdr:from>
    <xdr:to>
      <xdr:col>8</xdr:col>
      <xdr:colOff>205740</xdr:colOff>
      <xdr:row>70</xdr:row>
      <xdr:rowOff>91440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F63593F7-6745-4520-AF0C-411EE93956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34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34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imon/Junk/davey_example,%2024jul06.xls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826"/>
      <sheetName val="826页"/>
      <sheetName val="Page 827"/>
      <sheetName val="827页"/>
      <sheetName val="Page 829"/>
      <sheetName val="829页"/>
      <sheetName val="Page 830"/>
      <sheetName val="Page 830 (中文)"/>
      <sheetName val="Page 831"/>
      <sheetName val="831页"/>
      <sheetName val="Page 832"/>
      <sheetName val="832页"/>
      <sheetName val="Page 834"/>
      <sheetName val="834页"/>
      <sheetName val="Page 835"/>
      <sheetName val="Page 835 (中文)"/>
      <sheetName val="835页"/>
      <sheetName val="Page 836"/>
      <sheetName val="836页"/>
      <sheetName val="Page 837, top"/>
      <sheetName val="837页上"/>
      <sheetName val="Page 837, bottom"/>
      <sheetName val="837页下"/>
      <sheetName val="Page 838"/>
      <sheetName val="838页"/>
    </sheetNames>
    <sheetDataSet>
      <sheetData sheetId="0"/>
      <sheetData sheetId="1"/>
      <sheetData sheetId="2"/>
      <sheetData sheetId="3"/>
      <sheetData sheetId="4">
        <row r="9">
          <cell r="F9">
            <v>2</v>
          </cell>
          <cell r="J9" t="str">
            <v>-25.7% - -23.7%</v>
          </cell>
        </row>
        <row r="10">
          <cell r="F10">
            <v>1</v>
          </cell>
          <cell r="J10" t="str">
            <v>-23.7% - -21.7%</v>
          </cell>
        </row>
        <row r="11">
          <cell r="F11">
            <v>2</v>
          </cell>
          <cell r="J11" t="str">
            <v>-21.7% - -19.7%</v>
          </cell>
        </row>
        <row r="12">
          <cell r="F12">
            <v>6</v>
          </cell>
          <cell r="J12" t="str">
            <v>-19.7% - -17.7%</v>
          </cell>
        </row>
        <row r="13">
          <cell r="F13">
            <v>3</v>
          </cell>
          <cell r="J13" t="str">
            <v>-17.7% - -15.7%</v>
          </cell>
        </row>
        <row r="14">
          <cell r="F14">
            <v>5</v>
          </cell>
          <cell r="J14" t="str">
            <v>-15.7% - -13.7%</v>
          </cell>
        </row>
        <row r="15">
          <cell r="F15">
            <v>8</v>
          </cell>
          <cell r="J15" t="str">
            <v>-13.7% - -11.7%</v>
          </cell>
        </row>
        <row r="16">
          <cell r="F16">
            <v>10</v>
          </cell>
          <cell r="J16" t="str">
            <v>-11.7% - -9.7%</v>
          </cell>
        </row>
        <row r="17">
          <cell r="F17">
            <v>18</v>
          </cell>
          <cell r="J17" t="str">
            <v>-9.7% - -7.7%</v>
          </cell>
        </row>
        <row r="18">
          <cell r="F18">
            <v>23</v>
          </cell>
          <cell r="J18" t="str">
            <v>-7.7% - -5.7%</v>
          </cell>
        </row>
        <row r="19">
          <cell r="F19">
            <v>26</v>
          </cell>
          <cell r="J19" t="str">
            <v>-5.7% - -3.7%</v>
          </cell>
        </row>
        <row r="20">
          <cell r="F20">
            <v>35</v>
          </cell>
          <cell r="J20" t="str">
            <v>-3.7% - -1.7%</v>
          </cell>
        </row>
        <row r="21">
          <cell r="F21">
            <v>35</v>
          </cell>
          <cell r="J21" t="str">
            <v>-1.7% - 0.3%</v>
          </cell>
        </row>
        <row r="22">
          <cell r="F22">
            <v>37</v>
          </cell>
          <cell r="J22" t="str">
            <v>0.3% - 2.3%</v>
          </cell>
        </row>
        <row r="23">
          <cell r="F23">
            <v>30</v>
          </cell>
          <cell r="J23" t="str">
            <v>2.3% - 4.3%</v>
          </cell>
        </row>
        <row r="24">
          <cell r="F24">
            <v>33</v>
          </cell>
          <cell r="J24" t="str">
            <v>4.3% - 6.3%</v>
          </cell>
        </row>
        <row r="25">
          <cell r="F25">
            <v>22</v>
          </cell>
          <cell r="J25" t="str">
            <v>6.3% - 8.3%</v>
          </cell>
        </row>
        <row r="26">
          <cell r="F26">
            <v>21</v>
          </cell>
          <cell r="J26" t="str">
            <v>8.3% - 10.3%</v>
          </cell>
        </row>
        <row r="27">
          <cell r="F27">
            <v>9</v>
          </cell>
          <cell r="J27" t="str">
            <v>10.3% - 12.3%</v>
          </cell>
        </row>
        <row r="28">
          <cell r="F28">
            <v>13</v>
          </cell>
          <cell r="J28" t="str">
            <v>12.3% - 14.3%</v>
          </cell>
        </row>
        <row r="29">
          <cell r="F29">
            <v>5</v>
          </cell>
          <cell r="J29" t="str">
            <v>14.3% - 16.3%</v>
          </cell>
        </row>
        <row r="30">
          <cell r="F30">
            <v>4</v>
          </cell>
          <cell r="J30" t="str">
            <v>16.3% - 18.3%</v>
          </cell>
        </row>
        <row r="31">
          <cell r="F31">
            <v>5</v>
          </cell>
          <cell r="J31" t="str">
            <v>18.3% - 20.3%</v>
          </cell>
        </row>
        <row r="32">
          <cell r="F32">
            <v>2</v>
          </cell>
          <cell r="J32" t="str">
            <v>20.3% - 22.3%</v>
          </cell>
        </row>
        <row r="33">
          <cell r="F33">
            <v>1</v>
          </cell>
          <cell r="J33" t="str">
            <v>22.3% - 24.3%</v>
          </cell>
        </row>
        <row r="34">
          <cell r="F34">
            <v>1</v>
          </cell>
          <cell r="J34" t="str">
            <v>24.3% - 26.3%</v>
          </cell>
        </row>
        <row r="35">
          <cell r="F35">
            <v>0</v>
          </cell>
          <cell r="J35" t="str">
            <v>26.3% - 28.3%</v>
          </cell>
        </row>
        <row r="36">
          <cell r="F36">
            <v>2</v>
          </cell>
          <cell r="J36" t="str">
            <v>28.3% - 30.3%</v>
          </cell>
        </row>
        <row r="37">
          <cell r="F37">
            <v>0</v>
          </cell>
          <cell r="J37" t="str">
            <v>30.3% - 32.3%</v>
          </cell>
        </row>
        <row r="38">
          <cell r="F38">
            <v>1</v>
          </cell>
          <cell r="J38" t="str">
            <v>32.3% - 34.3%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ong way"/>
      <sheetName val="Shorter way"/>
    </sheetNames>
    <sheetDataSet>
      <sheetData sheetId="0" refreshError="1"/>
      <sheetData sheetId="1">
        <row r="23">
          <cell r="B23">
            <v>1.4660220920922091E-3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379C19-BA16-4CCE-B833-876203E28EEE}">
  <sheetPr codeName="Sheet2"/>
  <dimension ref="A1:Q363"/>
  <sheetViews>
    <sheetView tabSelected="1" topLeftCell="A11" workbookViewId="0">
      <selection activeCell="O37" sqref="O37"/>
    </sheetView>
  </sheetViews>
  <sheetFormatPr defaultRowHeight="13.2" x14ac:dyDescent="0.25"/>
  <cols>
    <col min="1" max="3" width="8.88671875" style="2"/>
    <col min="4" max="4" width="14.33203125" style="2" bestFit="1" customWidth="1"/>
    <col min="5" max="5" width="12" style="2" customWidth="1"/>
    <col min="6" max="6" width="10.5546875" style="2" bestFit="1" customWidth="1"/>
    <col min="7" max="7" width="34.109375" style="2" bestFit="1" customWidth="1"/>
    <col min="8" max="9" width="8.88671875" style="2"/>
    <col min="10" max="10" width="15.44140625" style="2" bestFit="1" customWidth="1"/>
    <col min="11" max="259" width="8.88671875" style="2"/>
    <col min="260" max="260" width="14.33203125" style="2" bestFit="1" customWidth="1"/>
    <col min="261" max="261" width="12" style="2" customWidth="1"/>
    <col min="262" max="262" width="10.5546875" style="2" bestFit="1" customWidth="1"/>
    <col min="263" max="263" width="34.109375" style="2" bestFit="1" customWidth="1"/>
    <col min="264" max="265" width="8.88671875" style="2"/>
    <col min="266" max="266" width="15.44140625" style="2" bestFit="1" customWidth="1"/>
    <col min="267" max="515" width="8.88671875" style="2"/>
    <col min="516" max="516" width="14.33203125" style="2" bestFit="1" customWidth="1"/>
    <col min="517" max="517" width="12" style="2" customWidth="1"/>
    <col min="518" max="518" width="10.5546875" style="2" bestFit="1" customWidth="1"/>
    <col min="519" max="519" width="34.109375" style="2" bestFit="1" customWidth="1"/>
    <col min="520" max="521" width="8.88671875" style="2"/>
    <col min="522" max="522" width="15.44140625" style="2" bestFit="1" customWidth="1"/>
    <col min="523" max="771" width="8.88671875" style="2"/>
    <col min="772" max="772" width="14.33203125" style="2" bestFit="1" customWidth="1"/>
    <col min="773" max="773" width="12" style="2" customWidth="1"/>
    <col min="774" max="774" width="10.5546875" style="2" bestFit="1" customWidth="1"/>
    <col min="775" max="775" width="34.109375" style="2" bestFit="1" customWidth="1"/>
    <col min="776" max="777" width="8.88671875" style="2"/>
    <col min="778" max="778" width="15.44140625" style="2" bestFit="1" customWidth="1"/>
    <col min="779" max="1027" width="8.88671875" style="2"/>
    <col min="1028" max="1028" width="14.33203125" style="2" bestFit="1" customWidth="1"/>
    <col min="1029" max="1029" width="12" style="2" customWidth="1"/>
    <col min="1030" max="1030" width="10.5546875" style="2" bestFit="1" customWidth="1"/>
    <col min="1031" max="1031" width="34.109375" style="2" bestFit="1" customWidth="1"/>
    <col min="1032" max="1033" width="8.88671875" style="2"/>
    <col min="1034" max="1034" width="15.44140625" style="2" bestFit="1" customWidth="1"/>
    <col min="1035" max="1283" width="8.88671875" style="2"/>
    <col min="1284" max="1284" width="14.33203125" style="2" bestFit="1" customWidth="1"/>
    <col min="1285" max="1285" width="12" style="2" customWidth="1"/>
    <col min="1286" max="1286" width="10.5546875" style="2" bestFit="1" customWidth="1"/>
    <col min="1287" max="1287" width="34.109375" style="2" bestFit="1" customWidth="1"/>
    <col min="1288" max="1289" width="8.88671875" style="2"/>
    <col min="1290" max="1290" width="15.44140625" style="2" bestFit="1" customWidth="1"/>
    <col min="1291" max="1539" width="8.88671875" style="2"/>
    <col min="1540" max="1540" width="14.33203125" style="2" bestFit="1" customWidth="1"/>
    <col min="1541" max="1541" width="12" style="2" customWidth="1"/>
    <col min="1542" max="1542" width="10.5546875" style="2" bestFit="1" customWidth="1"/>
    <col min="1543" max="1543" width="34.109375" style="2" bestFit="1" customWidth="1"/>
    <col min="1544" max="1545" width="8.88671875" style="2"/>
    <col min="1546" max="1546" width="15.44140625" style="2" bestFit="1" customWidth="1"/>
    <col min="1547" max="1795" width="8.88671875" style="2"/>
    <col min="1796" max="1796" width="14.33203125" style="2" bestFit="1" customWidth="1"/>
    <col min="1797" max="1797" width="12" style="2" customWidth="1"/>
    <col min="1798" max="1798" width="10.5546875" style="2" bestFit="1" customWidth="1"/>
    <col min="1799" max="1799" width="34.109375" style="2" bestFit="1" customWidth="1"/>
    <col min="1800" max="1801" width="8.88671875" style="2"/>
    <col min="1802" max="1802" width="15.44140625" style="2" bestFit="1" customWidth="1"/>
    <col min="1803" max="2051" width="8.88671875" style="2"/>
    <col min="2052" max="2052" width="14.33203125" style="2" bestFit="1" customWidth="1"/>
    <col min="2053" max="2053" width="12" style="2" customWidth="1"/>
    <col min="2054" max="2054" width="10.5546875" style="2" bestFit="1" customWidth="1"/>
    <col min="2055" max="2055" width="34.109375" style="2" bestFit="1" customWidth="1"/>
    <col min="2056" max="2057" width="8.88671875" style="2"/>
    <col min="2058" max="2058" width="15.44140625" style="2" bestFit="1" customWidth="1"/>
    <col min="2059" max="2307" width="8.88671875" style="2"/>
    <col min="2308" max="2308" width="14.33203125" style="2" bestFit="1" customWidth="1"/>
    <col min="2309" max="2309" width="12" style="2" customWidth="1"/>
    <col min="2310" max="2310" width="10.5546875" style="2" bestFit="1" customWidth="1"/>
    <col min="2311" max="2311" width="34.109375" style="2" bestFit="1" customWidth="1"/>
    <col min="2312" max="2313" width="8.88671875" style="2"/>
    <col min="2314" max="2314" width="15.44140625" style="2" bestFit="1" customWidth="1"/>
    <col min="2315" max="2563" width="8.88671875" style="2"/>
    <col min="2564" max="2564" width="14.33203125" style="2" bestFit="1" customWidth="1"/>
    <col min="2565" max="2565" width="12" style="2" customWidth="1"/>
    <col min="2566" max="2566" width="10.5546875" style="2" bestFit="1" customWidth="1"/>
    <col min="2567" max="2567" width="34.109375" style="2" bestFit="1" customWidth="1"/>
    <col min="2568" max="2569" width="8.88671875" style="2"/>
    <col min="2570" max="2570" width="15.44140625" style="2" bestFit="1" customWidth="1"/>
    <col min="2571" max="2819" width="8.88671875" style="2"/>
    <col min="2820" max="2820" width="14.33203125" style="2" bestFit="1" customWidth="1"/>
    <col min="2821" max="2821" width="12" style="2" customWidth="1"/>
    <col min="2822" max="2822" width="10.5546875" style="2" bestFit="1" customWidth="1"/>
    <col min="2823" max="2823" width="34.109375" style="2" bestFit="1" customWidth="1"/>
    <col min="2824" max="2825" width="8.88671875" style="2"/>
    <col min="2826" max="2826" width="15.44140625" style="2" bestFit="1" customWidth="1"/>
    <col min="2827" max="3075" width="8.88671875" style="2"/>
    <col min="3076" max="3076" width="14.33203125" style="2" bestFit="1" customWidth="1"/>
    <col min="3077" max="3077" width="12" style="2" customWidth="1"/>
    <col min="3078" max="3078" width="10.5546875" style="2" bestFit="1" customWidth="1"/>
    <col min="3079" max="3079" width="34.109375" style="2" bestFit="1" customWidth="1"/>
    <col min="3080" max="3081" width="8.88671875" style="2"/>
    <col min="3082" max="3082" width="15.44140625" style="2" bestFit="1" customWidth="1"/>
    <col min="3083" max="3331" width="8.88671875" style="2"/>
    <col min="3332" max="3332" width="14.33203125" style="2" bestFit="1" customWidth="1"/>
    <col min="3333" max="3333" width="12" style="2" customWidth="1"/>
    <col min="3334" max="3334" width="10.5546875" style="2" bestFit="1" customWidth="1"/>
    <col min="3335" max="3335" width="34.109375" style="2" bestFit="1" customWidth="1"/>
    <col min="3336" max="3337" width="8.88671875" style="2"/>
    <col min="3338" max="3338" width="15.44140625" style="2" bestFit="1" customWidth="1"/>
    <col min="3339" max="3587" width="8.88671875" style="2"/>
    <col min="3588" max="3588" width="14.33203125" style="2" bestFit="1" customWidth="1"/>
    <col min="3589" max="3589" width="12" style="2" customWidth="1"/>
    <col min="3590" max="3590" width="10.5546875" style="2" bestFit="1" customWidth="1"/>
    <col min="3591" max="3591" width="34.109375" style="2" bestFit="1" customWidth="1"/>
    <col min="3592" max="3593" width="8.88671875" style="2"/>
    <col min="3594" max="3594" width="15.44140625" style="2" bestFit="1" customWidth="1"/>
    <col min="3595" max="3843" width="8.88671875" style="2"/>
    <col min="3844" max="3844" width="14.33203125" style="2" bestFit="1" customWidth="1"/>
    <col min="3845" max="3845" width="12" style="2" customWidth="1"/>
    <col min="3846" max="3846" width="10.5546875" style="2" bestFit="1" customWidth="1"/>
    <col min="3847" max="3847" width="34.109375" style="2" bestFit="1" customWidth="1"/>
    <col min="3848" max="3849" width="8.88671875" style="2"/>
    <col min="3850" max="3850" width="15.44140625" style="2" bestFit="1" customWidth="1"/>
    <col min="3851" max="4099" width="8.88671875" style="2"/>
    <col min="4100" max="4100" width="14.33203125" style="2" bestFit="1" customWidth="1"/>
    <col min="4101" max="4101" width="12" style="2" customWidth="1"/>
    <col min="4102" max="4102" width="10.5546875" style="2" bestFit="1" customWidth="1"/>
    <col min="4103" max="4103" width="34.109375" style="2" bestFit="1" customWidth="1"/>
    <col min="4104" max="4105" width="8.88671875" style="2"/>
    <col min="4106" max="4106" width="15.44140625" style="2" bestFit="1" customWidth="1"/>
    <col min="4107" max="4355" width="8.88671875" style="2"/>
    <col min="4356" max="4356" width="14.33203125" style="2" bestFit="1" customWidth="1"/>
    <col min="4357" max="4357" width="12" style="2" customWidth="1"/>
    <col min="4358" max="4358" width="10.5546875" style="2" bestFit="1" customWidth="1"/>
    <col min="4359" max="4359" width="34.109375" style="2" bestFit="1" customWidth="1"/>
    <col min="4360" max="4361" width="8.88671875" style="2"/>
    <col min="4362" max="4362" width="15.44140625" style="2" bestFit="1" customWidth="1"/>
    <col min="4363" max="4611" width="8.88671875" style="2"/>
    <col min="4612" max="4612" width="14.33203125" style="2" bestFit="1" customWidth="1"/>
    <col min="4613" max="4613" width="12" style="2" customWidth="1"/>
    <col min="4614" max="4614" width="10.5546875" style="2" bestFit="1" customWidth="1"/>
    <col min="4615" max="4615" width="34.109375" style="2" bestFit="1" customWidth="1"/>
    <col min="4616" max="4617" width="8.88671875" style="2"/>
    <col min="4618" max="4618" width="15.44140625" style="2" bestFit="1" customWidth="1"/>
    <col min="4619" max="4867" width="8.88671875" style="2"/>
    <col min="4868" max="4868" width="14.33203125" style="2" bestFit="1" customWidth="1"/>
    <col min="4869" max="4869" width="12" style="2" customWidth="1"/>
    <col min="4870" max="4870" width="10.5546875" style="2" bestFit="1" customWidth="1"/>
    <col min="4871" max="4871" width="34.109375" style="2" bestFit="1" customWidth="1"/>
    <col min="4872" max="4873" width="8.88671875" style="2"/>
    <col min="4874" max="4874" width="15.44140625" style="2" bestFit="1" customWidth="1"/>
    <col min="4875" max="5123" width="8.88671875" style="2"/>
    <col min="5124" max="5124" width="14.33203125" style="2" bestFit="1" customWidth="1"/>
    <col min="5125" max="5125" width="12" style="2" customWidth="1"/>
    <col min="5126" max="5126" width="10.5546875" style="2" bestFit="1" customWidth="1"/>
    <col min="5127" max="5127" width="34.109375" style="2" bestFit="1" customWidth="1"/>
    <col min="5128" max="5129" width="8.88671875" style="2"/>
    <col min="5130" max="5130" width="15.44140625" style="2" bestFit="1" customWidth="1"/>
    <col min="5131" max="5379" width="8.88671875" style="2"/>
    <col min="5380" max="5380" width="14.33203125" style="2" bestFit="1" customWidth="1"/>
    <col min="5381" max="5381" width="12" style="2" customWidth="1"/>
    <col min="5382" max="5382" width="10.5546875" style="2" bestFit="1" customWidth="1"/>
    <col min="5383" max="5383" width="34.109375" style="2" bestFit="1" customWidth="1"/>
    <col min="5384" max="5385" width="8.88671875" style="2"/>
    <col min="5386" max="5386" width="15.44140625" style="2" bestFit="1" customWidth="1"/>
    <col min="5387" max="5635" width="8.88671875" style="2"/>
    <col min="5636" max="5636" width="14.33203125" style="2" bestFit="1" customWidth="1"/>
    <col min="5637" max="5637" width="12" style="2" customWidth="1"/>
    <col min="5638" max="5638" width="10.5546875" style="2" bestFit="1" customWidth="1"/>
    <col min="5639" max="5639" width="34.109375" style="2" bestFit="1" customWidth="1"/>
    <col min="5640" max="5641" width="8.88671875" style="2"/>
    <col min="5642" max="5642" width="15.44140625" style="2" bestFit="1" customWidth="1"/>
    <col min="5643" max="5891" width="8.88671875" style="2"/>
    <col min="5892" max="5892" width="14.33203125" style="2" bestFit="1" customWidth="1"/>
    <col min="5893" max="5893" width="12" style="2" customWidth="1"/>
    <col min="5894" max="5894" width="10.5546875" style="2" bestFit="1" customWidth="1"/>
    <col min="5895" max="5895" width="34.109375" style="2" bestFit="1" customWidth="1"/>
    <col min="5896" max="5897" width="8.88671875" style="2"/>
    <col min="5898" max="5898" width="15.44140625" style="2" bestFit="1" customWidth="1"/>
    <col min="5899" max="6147" width="8.88671875" style="2"/>
    <col min="6148" max="6148" width="14.33203125" style="2" bestFit="1" customWidth="1"/>
    <col min="6149" max="6149" width="12" style="2" customWidth="1"/>
    <col min="6150" max="6150" width="10.5546875" style="2" bestFit="1" customWidth="1"/>
    <col min="6151" max="6151" width="34.109375" style="2" bestFit="1" customWidth="1"/>
    <col min="6152" max="6153" width="8.88671875" style="2"/>
    <col min="6154" max="6154" width="15.44140625" style="2" bestFit="1" customWidth="1"/>
    <col min="6155" max="6403" width="8.88671875" style="2"/>
    <col min="6404" max="6404" width="14.33203125" style="2" bestFit="1" customWidth="1"/>
    <col min="6405" max="6405" width="12" style="2" customWidth="1"/>
    <col min="6406" max="6406" width="10.5546875" style="2" bestFit="1" customWidth="1"/>
    <col min="6407" max="6407" width="34.109375" style="2" bestFit="1" customWidth="1"/>
    <col min="6408" max="6409" width="8.88671875" style="2"/>
    <col min="6410" max="6410" width="15.44140625" style="2" bestFit="1" customWidth="1"/>
    <col min="6411" max="6659" width="8.88671875" style="2"/>
    <col min="6660" max="6660" width="14.33203125" style="2" bestFit="1" customWidth="1"/>
    <col min="6661" max="6661" width="12" style="2" customWidth="1"/>
    <col min="6662" max="6662" width="10.5546875" style="2" bestFit="1" customWidth="1"/>
    <col min="6663" max="6663" width="34.109375" style="2" bestFit="1" customWidth="1"/>
    <col min="6664" max="6665" width="8.88671875" style="2"/>
    <col min="6666" max="6666" width="15.44140625" style="2" bestFit="1" customWidth="1"/>
    <col min="6667" max="6915" width="8.88671875" style="2"/>
    <col min="6916" max="6916" width="14.33203125" style="2" bestFit="1" customWidth="1"/>
    <col min="6917" max="6917" width="12" style="2" customWidth="1"/>
    <col min="6918" max="6918" width="10.5546875" style="2" bestFit="1" customWidth="1"/>
    <col min="6919" max="6919" width="34.109375" style="2" bestFit="1" customWidth="1"/>
    <col min="6920" max="6921" width="8.88671875" style="2"/>
    <col min="6922" max="6922" width="15.44140625" style="2" bestFit="1" customWidth="1"/>
    <col min="6923" max="7171" width="8.88671875" style="2"/>
    <col min="7172" max="7172" width="14.33203125" style="2" bestFit="1" customWidth="1"/>
    <col min="7173" max="7173" width="12" style="2" customWidth="1"/>
    <col min="7174" max="7174" width="10.5546875" style="2" bestFit="1" customWidth="1"/>
    <col min="7175" max="7175" width="34.109375" style="2" bestFit="1" customWidth="1"/>
    <col min="7176" max="7177" width="8.88671875" style="2"/>
    <col min="7178" max="7178" width="15.44140625" style="2" bestFit="1" customWidth="1"/>
    <col min="7179" max="7427" width="8.88671875" style="2"/>
    <col min="7428" max="7428" width="14.33203125" style="2" bestFit="1" customWidth="1"/>
    <col min="7429" max="7429" width="12" style="2" customWidth="1"/>
    <col min="7430" max="7430" width="10.5546875" style="2" bestFit="1" customWidth="1"/>
    <col min="7431" max="7431" width="34.109375" style="2" bestFit="1" customWidth="1"/>
    <col min="7432" max="7433" width="8.88671875" style="2"/>
    <col min="7434" max="7434" width="15.44140625" style="2" bestFit="1" customWidth="1"/>
    <col min="7435" max="7683" width="8.88671875" style="2"/>
    <col min="7684" max="7684" width="14.33203125" style="2" bestFit="1" customWidth="1"/>
    <col min="7685" max="7685" width="12" style="2" customWidth="1"/>
    <col min="7686" max="7686" width="10.5546875" style="2" bestFit="1" customWidth="1"/>
    <col min="7687" max="7687" width="34.109375" style="2" bestFit="1" customWidth="1"/>
    <col min="7688" max="7689" width="8.88671875" style="2"/>
    <col min="7690" max="7690" width="15.44140625" style="2" bestFit="1" customWidth="1"/>
    <col min="7691" max="7939" width="8.88671875" style="2"/>
    <col min="7940" max="7940" width="14.33203125" style="2" bestFit="1" customWidth="1"/>
    <col min="7941" max="7941" width="12" style="2" customWidth="1"/>
    <col min="7942" max="7942" width="10.5546875" style="2" bestFit="1" customWidth="1"/>
    <col min="7943" max="7943" width="34.109375" style="2" bestFit="1" customWidth="1"/>
    <col min="7944" max="7945" width="8.88671875" style="2"/>
    <col min="7946" max="7946" width="15.44140625" style="2" bestFit="1" customWidth="1"/>
    <col min="7947" max="8195" width="8.88671875" style="2"/>
    <col min="8196" max="8196" width="14.33203125" style="2" bestFit="1" customWidth="1"/>
    <col min="8197" max="8197" width="12" style="2" customWidth="1"/>
    <col min="8198" max="8198" width="10.5546875" style="2" bestFit="1" customWidth="1"/>
    <col min="8199" max="8199" width="34.109375" style="2" bestFit="1" customWidth="1"/>
    <col min="8200" max="8201" width="8.88671875" style="2"/>
    <col min="8202" max="8202" width="15.44140625" style="2" bestFit="1" customWidth="1"/>
    <col min="8203" max="8451" width="8.88671875" style="2"/>
    <col min="8452" max="8452" width="14.33203125" style="2" bestFit="1" customWidth="1"/>
    <col min="8453" max="8453" width="12" style="2" customWidth="1"/>
    <col min="8454" max="8454" width="10.5546875" style="2" bestFit="1" customWidth="1"/>
    <col min="8455" max="8455" width="34.109375" style="2" bestFit="1" customWidth="1"/>
    <col min="8456" max="8457" width="8.88671875" style="2"/>
    <col min="8458" max="8458" width="15.44140625" style="2" bestFit="1" customWidth="1"/>
    <col min="8459" max="8707" width="8.88671875" style="2"/>
    <col min="8708" max="8708" width="14.33203125" style="2" bestFit="1" customWidth="1"/>
    <col min="8709" max="8709" width="12" style="2" customWidth="1"/>
    <col min="8710" max="8710" width="10.5546875" style="2" bestFit="1" customWidth="1"/>
    <col min="8711" max="8711" width="34.109375" style="2" bestFit="1" customWidth="1"/>
    <col min="8712" max="8713" width="8.88671875" style="2"/>
    <col min="8714" max="8714" width="15.44140625" style="2" bestFit="1" customWidth="1"/>
    <col min="8715" max="8963" width="8.88671875" style="2"/>
    <col min="8964" max="8964" width="14.33203125" style="2" bestFit="1" customWidth="1"/>
    <col min="8965" max="8965" width="12" style="2" customWidth="1"/>
    <col min="8966" max="8966" width="10.5546875" style="2" bestFit="1" customWidth="1"/>
    <col min="8967" max="8967" width="34.109375" style="2" bestFit="1" customWidth="1"/>
    <col min="8968" max="8969" width="8.88671875" style="2"/>
    <col min="8970" max="8970" width="15.44140625" style="2" bestFit="1" customWidth="1"/>
    <col min="8971" max="9219" width="8.88671875" style="2"/>
    <col min="9220" max="9220" width="14.33203125" style="2" bestFit="1" customWidth="1"/>
    <col min="9221" max="9221" width="12" style="2" customWidth="1"/>
    <col min="9222" max="9222" width="10.5546875" style="2" bestFit="1" customWidth="1"/>
    <col min="9223" max="9223" width="34.109375" style="2" bestFit="1" customWidth="1"/>
    <col min="9224" max="9225" width="8.88671875" style="2"/>
    <col min="9226" max="9226" width="15.44140625" style="2" bestFit="1" customWidth="1"/>
    <col min="9227" max="9475" width="8.88671875" style="2"/>
    <col min="9476" max="9476" width="14.33203125" style="2" bestFit="1" customWidth="1"/>
    <col min="9477" max="9477" width="12" style="2" customWidth="1"/>
    <col min="9478" max="9478" width="10.5546875" style="2" bestFit="1" customWidth="1"/>
    <col min="9479" max="9479" width="34.109375" style="2" bestFit="1" customWidth="1"/>
    <col min="9480" max="9481" width="8.88671875" style="2"/>
    <col min="9482" max="9482" width="15.44140625" style="2" bestFit="1" customWidth="1"/>
    <col min="9483" max="9731" width="8.88671875" style="2"/>
    <col min="9732" max="9732" width="14.33203125" style="2" bestFit="1" customWidth="1"/>
    <col min="9733" max="9733" width="12" style="2" customWidth="1"/>
    <col min="9734" max="9734" width="10.5546875" style="2" bestFit="1" customWidth="1"/>
    <col min="9735" max="9735" width="34.109375" style="2" bestFit="1" customWidth="1"/>
    <col min="9736" max="9737" width="8.88671875" style="2"/>
    <col min="9738" max="9738" width="15.44140625" style="2" bestFit="1" customWidth="1"/>
    <col min="9739" max="9987" width="8.88671875" style="2"/>
    <col min="9988" max="9988" width="14.33203125" style="2" bestFit="1" customWidth="1"/>
    <col min="9989" max="9989" width="12" style="2" customWidth="1"/>
    <col min="9990" max="9990" width="10.5546875" style="2" bestFit="1" customWidth="1"/>
    <col min="9991" max="9991" width="34.109375" style="2" bestFit="1" customWidth="1"/>
    <col min="9992" max="9993" width="8.88671875" style="2"/>
    <col min="9994" max="9994" width="15.44140625" style="2" bestFit="1" customWidth="1"/>
    <col min="9995" max="10243" width="8.88671875" style="2"/>
    <col min="10244" max="10244" width="14.33203125" style="2" bestFit="1" customWidth="1"/>
    <col min="10245" max="10245" width="12" style="2" customWidth="1"/>
    <col min="10246" max="10246" width="10.5546875" style="2" bestFit="1" customWidth="1"/>
    <col min="10247" max="10247" width="34.109375" style="2" bestFit="1" customWidth="1"/>
    <col min="10248" max="10249" width="8.88671875" style="2"/>
    <col min="10250" max="10250" width="15.44140625" style="2" bestFit="1" customWidth="1"/>
    <col min="10251" max="10499" width="8.88671875" style="2"/>
    <col min="10500" max="10500" width="14.33203125" style="2" bestFit="1" customWidth="1"/>
    <col min="10501" max="10501" width="12" style="2" customWidth="1"/>
    <col min="10502" max="10502" width="10.5546875" style="2" bestFit="1" customWidth="1"/>
    <col min="10503" max="10503" width="34.109375" style="2" bestFit="1" customWidth="1"/>
    <col min="10504" max="10505" width="8.88671875" style="2"/>
    <col min="10506" max="10506" width="15.44140625" style="2" bestFit="1" customWidth="1"/>
    <col min="10507" max="10755" width="8.88671875" style="2"/>
    <col min="10756" max="10756" width="14.33203125" style="2" bestFit="1" customWidth="1"/>
    <col min="10757" max="10757" width="12" style="2" customWidth="1"/>
    <col min="10758" max="10758" width="10.5546875" style="2" bestFit="1" customWidth="1"/>
    <col min="10759" max="10759" width="34.109375" style="2" bestFit="1" customWidth="1"/>
    <col min="10760" max="10761" width="8.88671875" style="2"/>
    <col min="10762" max="10762" width="15.44140625" style="2" bestFit="1" customWidth="1"/>
    <col min="10763" max="11011" width="8.88671875" style="2"/>
    <col min="11012" max="11012" width="14.33203125" style="2" bestFit="1" customWidth="1"/>
    <col min="11013" max="11013" width="12" style="2" customWidth="1"/>
    <col min="11014" max="11014" width="10.5546875" style="2" bestFit="1" customWidth="1"/>
    <col min="11015" max="11015" width="34.109375" style="2" bestFit="1" customWidth="1"/>
    <col min="11016" max="11017" width="8.88671875" style="2"/>
    <col min="11018" max="11018" width="15.44140625" style="2" bestFit="1" customWidth="1"/>
    <col min="11019" max="11267" width="8.88671875" style="2"/>
    <col min="11268" max="11268" width="14.33203125" style="2" bestFit="1" customWidth="1"/>
    <col min="11269" max="11269" width="12" style="2" customWidth="1"/>
    <col min="11270" max="11270" width="10.5546875" style="2" bestFit="1" customWidth="1"/>
    <col min="11271" max="11271" width="34.109375" style="2" bestFit="1" customWidth="1"/>
    <col min="11272" max="11273" width="8.88671875" style="2"/>
    <col min="11274" max="11274" width="15.44140625" style="2" bestFit="1" customWidth="1"/>
    <col min="11275" max="11523" width="8.88671875" style="2"/>
    <col min="11524" max="11524" width="14.33203125" style="2" bestFit="1" customWidth="1"/>
    <col min="11525" max="11525" width="12" style="2" customWidth="1"/>
    <col min="11526" max="11526" width="10.5546875" style="2" bestFit="1" customWidth="1"/>
    <col min="11527" max="11527" width="34.109375" style="2" bestFit="1" customWidth="1"/>
    <col min="11528" max="11529" width="8.88671875" style="2"/>
    <col min="11530" max="11530" width="15.44140625" style="2" bestFit="1" customWidth="1"/>
    <col min="11531" max="11779" width="8.88671875" style="2"/>
    <col min="11780" max="11780" width="14.33203125" style="2" bestFit="1" customWidth="1"/>
    <col min="11781" max="11781" width="12" style="2" customWidth="1"/>
    <col min="11782" max="11782" width="10.5546875" style="2" bestFit="1" customWidth="1"/>
    <col min="11783" max="11783" width="34.109375" style="2" bestFit="1" customWidth="1"/>
    <col min="11784" max="11785" width="8.88671875" style="2"/>
    <col min="11786" max="11786" width="15.44140625" style="2" bestFit="1" customWidth="1"/>
    <col min="11787" max="12035" width="8.88671875" style="2"/>
    <col min="12036" max="12036" width="14.33203125" style="2" bestFit="1" customWidth="1"/>
    <col min="12037" max="12037" width="12" style="2" customWidth="1"/>
    <col min="12038" max="12038" width="10.5546875" style="2" bestFit="1" customWidth="1"/>
    <col min="12039" max="12039" width="34.109375" style="2" bestFit="1" customWidth="1"/>
    <col min="12040" max="12041" width="8.88671875" style="2"/>
    <col min="12042" max="12042" width="15.44140625" style="2" bestFit="1" customWidth="1"/>
    <col min="12043" max="12291" width="8.88671875" style="2"/>
    <col min="12292" max="12292" width="14.33203125" style="2" bestFit="1" customWidth="1"/>
    <col min="12293" max="12293" width="12" style="2" customWidth="1"/>
    <col min="12294" max="12294" width="10.5546875" style="2" bestFit="1" customWidth="1"/>
    <col min="12295" max="12295" width="34.109375" style="2" bestFit="1" customWidth="1"/>
    <col min="12296" max="12297" width="8.88671875" style="2"/>
    <col min="12298" max="12298" width="15.44140625" style="2" bestFit="1" customWidth="1"/>
    <col min="12299" max="12547" width="8.88671875" style="2"/>
    <col min="12548" max="12548" width="14.33203125" style="2" bestFit="1" customWidth="1"/>
    <col min="12549" max="12549" width="12" style="2" customWidth="1"/>
    <col min="12550" max="12550" width="10.5546875" style="2" bestFit="1" customWidth="1"/>
    <col min="12551" max="12551" width="34.109375" style="2" bestFit="1" customWidth="1"/>
    <col min="12552" max="12553" width="8.88671875" style="2"/>
    <col min="12554" max="12554" width="15.44140625" style="2" bestFit="1" customWidth="1"/>
    <col min="12555" max="12803" width="8.88671875" style="2"/>
    <col min="12804" max="12804" width="14.33203125" style="2" bestFit="1" customWidth="1"/>
    <col min="12805" max="12805" width="12" style="2" customWidth="1"/>
    <col min="12806" max="12806" width="10.5546875" style="2" bestFit="1" customWidth="1"/>
    <col min="12807" max="12807" width="34.109375" style="2" bestFit="1" customWidth="1"/>
    <col min="12808" max="12809" width="8.88671875" style="2"/>
    <col min="12810" max="12810" width="15.44140625" style="2" bestFit="1" customWidth="1"/>
    <col min="12811" max="13059" width="8.88671875" style="2"/>
    <col min="13060" max="13060" width="14.33203125" style="2" bestFit="1" customWidth="1"/>
    <col min="13061" max="13061" width="12" style="2" customWidth="1"/>
    <col min="13062" max="13062" width="10.5546875" style="2" bestFit="1" customWidth="1"/>
    <col min="13063" max="13063" width="34.109375" style="2" bestFit="1" customWidth="1"/>
    <col min="13064" max="13065" width="8.88671875" style="2"/>
    <col min="13066" max="13066" width="15.44140625" style="2" bestFit="1" customWidth="1"/>
    <col min="13067" max="13315" width="8.88671875" style="2"/>
    <col min="13316" max="13316" width="14.33203125" style="2" bestFit="1" customWidth="1"/>
    <col min="13317" max="13317" width="12" style="2" customWidth="1"/>
    <col min="13318" max="13318" width="10.5546875" style="2" bestFit="1" customWidth="1"/>
    <col min="13319" max="13319" width="34.109375" style="2" bestFit="1" customWidth="1"/>
    <col min="13320" max="13321" width="8.88671875" style="2"/>
    <col min="13322" max="13322" width="15.44140625" style="2" bestFit="1" customWidth="1"/>
    <col min="13323" max="13571" width="8.88671875" style="2"/>
    <col min="13572" max="13572" width="14.33203125" style="2" bestFit="1" customWidth="1"/>
    <col min="13573" max="13573" width="12" style="2" customWidth="1"/>
    <col min="13574" max="13574" width="10.5546875" style="2" bestFit="1" customWidth="1"/>
    <col min="13575" max="13575" width="34.109375" style="2" bestFit="1" customWidth="1"/>
    <col min="13576" max="13577" width="8.88671875" style="2"/>
    <col min="13578" max="13578" width="15.44140625" style="2" bestFit="1" customWidth="1"/>
    <col min="13579" max="13827" width="8.88671875" style="2"/>
    <col min="13828" max="13828" width="14.33203125" style="2" bestFit="1" customWidth="1"/>
    <col min="13829" max="13829" width="12" style="2" customWidth="1"/>
    <col min="13830" max="13830" width="10.5546875" style="2" bestFit="1" customWidth="1"/>
    <col min="13831" max="13831" width="34.109375" style="2" bestFit="1" customWidth="1"/>
    <col min="13832" max="13833" width="8.88671875" style="2"/>
    <col min="13834" max="13834" width="15.44140625" style="2" bestFit="1" customWidth="1"/>
    <col min="13835" max="14083" width="8.88671875" style="2"/>
    <col min="14084" max="14084" width="14.33203125" style="2" bestFit="1" customWidth="1"/>
    <col min="14085" max="14085" width="12" style="2" customWidth="1"/>
    <col min="14086" max="14086" width="10.5546875" style="2" bestFit="1" customWidth="1"/>
    <col min="14087" max="14087" width="34.109375" style="2" bestFit="1" customWidth="1"/>
    <col min="14088" max="14089" width="8.88671875" style="2"/>
    <col min="14090" max="14090" width="15.44140625" style="2" bestFit="1" customWidth="1"/>
    <col min="14091" max="14339" width="8.88671875" style="2"/>
    <col min="14340" max="14340" width="14.33203125" style="2" bestFit="1" customWidth="1"/>
    <col min="14341" max="14341" width="12" style="2" customWidth="1"/>
    <col min="14342" max="14342" width="10.5546875" style="2" bestFit="1" customWidth="1"/>
    <col min="14343" max="14343" width="34.109375" style="2" bestFit="1" customWidth="1"/>
    <col min="14344" max="14345" width="8.88671875" style="2"/>
    <col min="14346" max="14346" width="15.44140625" style="2" bestFit="1" customWidth="1"/>
    <col min="14347" max="14595" width="8.88671875" style="2"/>
    <col min="14596" max="14596" width="14.33203125" style="2" bestFit="1" customWidth="1"/>
    <col min="14597" max="14597" width="12" style="2" customWidth="1"/>
    <col min="14598" max="14598" width="10.5546875" style="2" bestFit="1" customWidth="1"/>
    <col min="14599" max="14599" width="34.109375" style="2" bestFit="1" customWidth="1"/>
    <col min="14600" max="14601" width="8.88671875" style="2"/>
    <col min="14602" max="14602" width="15.44140625" style="2" bestFit="1" customWidth="1"/>
    <col min="14603" max="14851" width="8.88671875" style="2"/>
    <col min="14852" max="14852" width="14.33203125" style="2" bestFit="1" customWidth="1"/>
    <col min="14853" max="14853" width="12" style="2" customWidth="1"/>
    <col min="14854" max="14854" width="10.5546875" style="2" bestFit="1" customWidth="1"/>
    <col min="14855" max="14855" width="34.109375" style="2" bestFit="1" customWidth="1"/>
    <col min="14856" max="14857" width="8.88671875" style="2"/>
    <col min="14858" max="14858" width="15.44140625" style="2" bestFit="1" customWidth="1"/>
    <col min="14859" max="15107" width="8.88671875" style="2"/>
    <col min="15108" max="15108" width="14.33203125" style="2" bestFit="1" customWidth="1"/>
    <col min="15109" max="15109" width="12" style="2" customWidth="1"/>
    <col min="15110" max="15110" width="10.5546875" style="2" bestFit="1" customWidth="1"/>
    <col min="15111" max="15111" width="34.109375" style="2" bestFit="1" customWidth="1"/>
    <col min="15112" max="15113" width="8.88671875" style="2"/>
    <col min="15114" max="15114" width="15.44140625" style="2" bestFit="1" customWidth="1"/>
    <col min="15115" max="15363" width="8.88671875" style="2"/>
    <col min="15364" max="15364" width="14.33203125" style="2" bestFit="1" customWidth="1"/>
    <col min="15365" max="15365" width="12" style="2" customWidth="1"/>
    <col min="15366" max="15366" width="10.5546875" style="2" bestFit="1" customWidth="1"/>
    <col min="15367" max="15367" width="34.109375" style="2" bestFit="1" customWidth="1"/>
    <col min="15368" max="15369" width="8.88671875" style="2"/>
    <col min="15370" max="15370" width="15.44140625" style="2" bestFit="1" customWidth="1"/>
    <col min="15371" max="15619" width="8.88671875" style="2"/>
    <col min="15620" max="15620" width="14.33203125" style="2" bestFit="1" customWidth="1"/>
    <col min="15621" max="15621" width="12" style="2" customWidth="1"/>
    <col min="15622" max="15622" width="10.5546875" style="2" bestFit="1" customWidth="1"/>
    <col min="15623" max="15623" width="34.109375" style="2" bestFit="1" customWidth="1"/>
    <col min="15624" max="15625" width="8.88671875" style="2"/>
    <col min="15626" max="15626" width="15.44140625" style="2" bestFit="1" customWidth="1"/>
    <col min="15627" max="15875" width="8.88671875" style="2"/>
    <col min="15876" max="15876" width="14.33203125" style="2" bestFit="1" customWidth="1"/>
    <col min="15877" max="15877" width="12" style="2" customWidth="1"/>
    <col min="15878" max="15878" width="10.5546875" style="2" bestFit="1" customWidth="1"/>
    <col min="15879" max="15879" width="34.109375" style="2" bestFit="1" customWidth="1"/>
    <col min="15880" max="15881" width="8.88671875" style="2"/>
    <col min="15882" max="15882" width="15.44140625" style="2" bestFit="1" customWidth="1"/>
    <col min="15883" max="16131" width="8.88671875" style="2"/>
    <col min="16132" max="16132" width="14.33203125" style="2" bestFit="1" customWidth="1"/>
    <col min="16133" max="16133" width="12" style="2" customWidth="1"/>
    <col min="16134" max="16134" width="10.5546875" style="2" bestFit="1" customWidth="1"/>
    <col min="16135" max="16135" width="34.109375" style="2" bestFit="1" customWidth="1"/>
    <col min="16136" max="16137" width="8.88671875" style="2"/>
    <col min="16138" max="16138" width="15.44140625" style="2" bestFit="1" customWidth="1"/>
    <col min="16139" max="16384" width="8.88671875" style="2"/>
  </cols>
  <sheetData>
    <row r="1" spans="1:17" ht="17.399999999999999" x14ac:dyDescent="0.3">
      <c r="A1" s="1" t="s">
        <v>0</v>
      </c>
      <c r="B1" s="1"/>
      <c r="C1" s="1"/>
      <c r="D1" s="1"/>
      <c r="E1" s="1"/>
      <c r="F1" s="1"/>
      <c r="G1" s="1"/>
      <c r="H1" s="1"/>
      <c r="I1" s="1"/>
    </row>
    <row r="2" spans="1:17" ht="39.6" x14ac:dyDescent="0.25">
      <c r="A2" s="3" t="s">
        <v>1</v>
      </c>
      <c r="B2" s="4" t="s">
        <v>2</v>
      </c>
      <c r="C2" s="4" t="s">
        <v>3</v>
      </c>
    </row>
    <row r="3" spans="1:17" x14ac:dyDescent="0.25">
      <c r="A3" s="5">
        <v>28128</v>
      </c>
      <c r="B3" s="6">
        <v>0.5</v>
      </c>
    </row>
    <row r="4" spans="1:17" ht="13.8" x14ac:dyDescent="0.25">
      <c r="A4" s="5">
        <v>28157</v>
      </c>
      <c r="B4" s="6">
        <v>0.48</v>
      </c>
      <c r="C4" s="7">
        <f>LN(B4/B3)</f>
        <v>-4.0821994520255166E-2</v>
      </c>
      <c r="D4" s="2" t="str">
        <f ca="1">[3]!getformula(C4)</f>
        <v>&lt;--  =LN(B4/B3)</v>
      </c>
      <c r="E4" s="2" t="s">
        <v>4</v>
      </c>
      <c r="F4" s="8">
        <f>MIN(C4:C363)</f>
        <v>-0.24705910271076756</v>
      </c>
      <c r="G4" s="2" t="str">
        <f ca="1">[3]!getformula(F4)</f>
        <v>&lt;--  =MIN(C4:C363)</v>
      </c>
    </row>
    <row r="5" spans="1:17" ht="13.8" x14ac:dyDescent="0.25">
      <c r="A5" s="5">
        <v>28185</v>
      </c>
      <c r="B5" s="6">
        <v>0.45</v>
      </c>
      <c r="C5" s="7">
        <f t="shared" ref="C5:C68" si="0">LN(B5/B4)</f>
        <v>-6.4538521137571053E-2</v>
      </c>
      <c r="E5" s="2" t="s">
        <v>5</v>
      </c>
      <c r="F5" s="8">
        <f>MAX(C4:C363)</f>
        <v>0.32475080873712209</v>
      </c>
      <c r="G5" s="2" t="str">
        <f ca="1">[3]!getformula(F5)</f>
        <v>&lt;--  =MAX(C4:C363)</v>
      </c>
    </row>
    <row r="6" spans="1:17" ht="13.8" x14ac:dyDescent="0.25">
      <c r="A6" s="5">
        <v>28216</v>
      </c>
      <c r="B6" s="6">
        <v>0.47</v>
      </c>
      <c r="C6" s="7">
        <f t="shared" si="0"/>
        <v>4.3485111939738676E-2</v>
      </c>
    </row>
    <row r="7" spans="1:17" ht="13.8" x14ac:dyDescent="0.25">
      <c r="A7" s="5">
        <v>28247</v>
      </c>
      <c r="B7" s="6">
        <v>0.46</v>
      </c>
      <c r="C7" s="7">
        <f t="shared" si="0"/>
        <v>-2.1506205220963505E-2</v>
      </c>
      <c r="E7" s="9" t="s">
        <v>6</v>
      </c>
      <c r="F7" s="9" t="s">
        <v>7</v>
      </c>
      <c r="J7" s="10" t="s">
        <v>8</v>
      </c>
    </row>
    <row r="8" spans="1:17" ht="13.8" x14ac:dyDescent="0.25">
      <c r="A8" s="5">
        <v>28277</v>
      </c>
      <c r="B8" s="6">
        <v>0.5</v>
      </c>
      <c r="C8" s="7">
        <f t="shared" si="0"/>
        <v>8.3381608939051E-2</v>
      </c>
      <c r="E8" s="8">
        <f>F4-1%</f>
        <v>-0.25705910271076754</v>
      </c>
      <c r="F8" s="2">
        <f t="array" ref="F8:F39">FREQUENCY(C4:C363,E8:E38)</f>
        <v>0</v>
      </c>
      <c r="G8" s="2" t="str">
        <f ca="1">[3]!getformula(F8)</f>
        <v>&lt;--  {=FREQUENCY(C4:C363,E8:E38)}</v>
      </c>
      <c r="P8" s="2" t="s">
        <v>9</v>
      </c>
      <c r="Q8" s="11">
        <v>0.02</v>
      </c>
    </row>
    <row r="9" spans="1:17" ht="13.8" x14ac:dyDescent="0.25">
      <c r="A9" s="5">
        <v>28307</v>
      </c>
      <c r="B9" s="6">
        <v>0.48</v>
      </c>
      <c r="C9" s="7">
        <f t="shared" si="0"/>
        <v>-4.0821994520255166E-2</v>
      </c>
      <c r="E9" s="7">
        <f t="shared" ref="E9:E38" si="1">E8+$Q$8</f>
        <v>-0.23705910271076755</v>
      </c>
      <c r="F9" s="2">
        <v>2</v>
      </c>
      <c r="J9" s="2" t="str">
        <f>TEXT(E8,"0.0%")&amp;" - "&amp;TEXT(E9,"0.0%")</f>
        <v>-25.7% - -23.7%</v>
      </c>
    </row>
    <row r="10" spans="1:17" ht="13.8" x14ac:dyDescent="0.25">
      <c r="A10" s="5">
        <v>28338</v>
      </c>
      <c r="B10" s="6">
        <v>0.47</v>
      </c>
      <c r="C10" s="7">
        <f t="shared" si="0"/>
        <v>-2.1053409197832381E-2</v>
      </c>
      <c r="E10" s="7">
        <f t="shared" si="1"/>
        <v>-0.21705910271076756</v>
      </c>
      <c r="F10" s="2">
        <v>1</v>
      </c>
      <c r="J10" s="2" t="str">
        <f t="shared" ref="J10:J38" si="2">TEXT(E9,"0.0%")&amp;" - "&amp;TEXT(E10,"0.0%")</f>
        <v>-23.7% - -21.7%</v>
      </c>
    </row>
    <row r="11" spans="1:17" ht="13.8" x14ac:dyDescent="0.25">
      <c r="A11" s="5">
        <v>28369</v>
      </c>
      <c r="B11" s="6">
        <v>0.5</v>
      </c>
      <c r="C11" s="7">
        <f t="shared" si="0"/>
        <v>6.1875403718087453E-2</v>
      </c>
      <c r="E11" s="7">
        <f t="shared" si="1"/>
        <v>-0.19705910271076757</v>
      </c>
      <c r="F11" s="2">
        <v>2</v>
      </c>
      <c r="J11" s="2" t="str">
        <f t="shared" si="2"/>
        <v>-21.7% - -19.7%</v>
      </c>
    </row>
    <row r="12" spans="1:17" ht="13.8" x14ac:dyDescent="0.25">
      <c r="A12" s="5">
        <v>28401</v>
      </c>
      <c r="B12" s="6">
        <v>0.47</v>
      </c>
      <c r="C12" s="7">
        <f t="shared" si="0"/>
        <v>-6.1875403718087529E-2</v>
      </c>
      <c r="E12" s="7">
        <f t="shared" si="1"/>
        <v>-0.17705910271076758</v>
      </c>
      <c r="F12" s="2">
        <v>6</v>
      </c>
      <c r="J12" s="2" t="str">
        <f t="shared" si="2"/>
        <v>-19.7% - -17.7%</v>
      </c>
    </row>
    <row r="13" spans="1:17" ht="13.8" x14ac:dyDescent="0.25">
      <c r="A13" s="5">
        <v>28430</v>
      </c>
      <c r="B13" s="6">
        <v>0.48</v>
      </c>
      <c r="C13" s="7">
        <f t="shared" si="0"/>
        <v>2.1053409197832263E-2</v>
      </c>
      <c r="E13" s="7">
        <f t="shared" si="1"/>
        <v>-0.15705910271076759</v>
      </c>
      <c r="F13" s="2">
        <v>3</v>
      </c>
      <c r="J13" s="2" t="str">
        <f t="shared" si="2"/>
        <v>-17.7% - -15.7%</v>
      </c>
    </row>
    <row r="14" spans="1:17" ht="13.8" x14ac:dyDescent="0.25">
      <c r="A14" s="5">
        <v>28460</v>
      </c>
      <c r="B14" s="6">
        <v>0.5</v>
      </c>
      <c r="C14" s="7">
        <f t="shared" si="0"/>
        <v>4.08219945202552E-2</v>
      </c>
      <c r="E14" s="7">
        <f t="shared" si="1"/>
        <v>-0.1370591027107676</v>
      </c>
      <c r="F14" s="2">
        <v>5</v>
      </c>
      <c r="J14" s="2" t="str">
        <f t="shared" si="2"/>
        <v>-15.7% - -13.7%</v>
      </c>
    </row>
    <row r="15" spans="1:17" ht="13.8" x14ac:dyDescent="0.25">
      <c r="A15" s="5">
        <v>28493</v>
      </c>
      <c r="B15" s="6">
        <v>0.47</v>
      </c>
      <c r="C15" s="7">
        <f t="shared" si="0"/>
        <v>-6.1875403718087529E-2</v>
      </c>
      <c r="E15" s="7">
        <f t="shared" si="1"/>
        <v>-0.1170591027107676</v>
      </c>
      <c r="F15" s="2">
        <v>8</v>
      </c>
      <c r="J15" s="2" t="str">
        <f t="shared" si="2"/>
        <v>-13.7% - -11.7%</v>
      </c>
    </row>
    <row r="16" spans="1:17" ht="13.8" x14ac:dyDescent="0.25">
      <c r="A16" s="5">
        <v>28522</v>
      </c>
      <c r="B16" s="6">
        <v>0.47</v>
      </c>
      <c r="C16" s="7">
        <f t="shared" si="0"/>
        <v>0</v>
      </c>
      <c r="E16" s="7">
        <f t="shared" si="1"/>
        <v>-9.7059102710767592E-2</v>
      </c>
      <c r="F16" s="2">
        <v>10</v>
      </c>
      <c r="J16" s="2" t="str">
        <f t="shared" si="2"/>
        <v>-11.7% - -9.7%</v>
      </c>
    </row>
    <row r="17" spans="1:10" ht="13.8" x14ac:dyDescent="0.25">
      <c r="A17" s="5">
        <v>28550</v>
      </c>
      <c r="B17" s="6">
        <v>0.51</v>
      </c>
      <c r="C17" s="7">
        <f t="shared" si="0"/>
        <v>8.1678031014267294E-2</v>
      </c>
      <c r="E17" s="7">
        <f t="shared" si="1"/>
        <v>-7.7059102710767588E-2</v>
      </c>
      <c r="F17" s="2">
        <v>18</v>
      </c>
      <c r="J17" s="2" t="str">
        <f t="shared" si="2"/>
        <v>-9.7% - -7.7%</v>
      </c>
    </row>
    <row r="18" spans="1:10" ht="13.8" x14ac:dyDescent="0.25">
      <c r="A18" s="5">
        <v>28583</v>
      </c>
      <c r="B18" s="6">
        <v>0.57999999999999996</v>
      </c>
      <c r="C18" s="7">
        <f t="shared" si="0"/>
        <v>0.12861737782209354</v>
      </c>
      <c r="E18" s="7">
        <f t="shared" si="1"/>
        <v>-5.7059102710767584E-2</v>
      </c>
      <c r="F18" s="2">
        <v>23</v>
      </c>
      <c r="J18" s="2" t="str">
        <f t="shared" si="2"/>
        <v>-7.7% - -5.7%</v>
      </c>
    </row>
    <row r="19" spans="1:10" ht="13.8" x14ac:dyDescent="0.25">
      <c r="A19" s="5">
        <v>28611</v>
      </c>
      <c r="B19" s="6">
        <v>0.56000000000000005</v>
      </c>
      <c r="C19" s="7">
        <f t="shared" si="0"/>
        <v>-3.5091319811269943E-2</v>
      </c>
      <c r="E19" s="7">
        <f t="shared" si="1"/>
        <v>-3.705910271076758E-2</v>
      </c>
      <c r="F19" s="2">
        <v>26</v>
      </c>
      <c r="J19" s="2" t="str">
        <f t="shared" si="2"/>
        <v>-5.7% - -3.7%</v>
      </c>
    </row>
    <row r="20" spans="1:10" ht="13.8" x14ac:dyDescent="0.25">
      <c r="A20" s="5">
        <v>28642</v>
      </c>
      <c r="B20" s="6">
        <v>0.53</v>
      </c>
      <c r="C20" s="7">
        <f t="shared" si="0"/>
        <v>-5.5059777183027431E-2</v>
      </c>
      <c r="E20" s="7">
        <f t="shared" si="1"/>
        <v>-1.705910271076758E-2</v>
      </c>
      <c r="F20" s="2">
        <v>35</v>
      </c>
      <c r="J20" s="2" t="str">
        <f t="shared" si="2"/>
        <v>-3.7% - -1.7%</v>
      </c>
    </row>
    <row r="21" spans="1:10" ht="13.8" x14ac:dyDescent="0.25">
      <c r="A21" s="5">
        <v>28674</v>
      </c>
      <c r="B21" s="6">
        <v>0.53</v>
      </c>
      <c r="C21" s="7">
        <f t="shared" si="0"/>
        <v>0</v>
      </c>
      <c r="E21" s="7">
        <f t="shared" si="1"/>
        <v>2.9408972892324206E-3</v>
      </c>
      <c r="F21" s="2">
        <v>35</v>
      </c>
      <c r="J21" s="2" t="str">
        <f t="shared" si="2"/>
        <v>-1.7% - 0.3%</v>
      </c>
    </row>
    <row r="22" spans="1:10" ht="13.8" x14ac:dyDescent="0.25">
      <c r="A22" s="5">
        <v>28703</v>
      </c>
      <c r="B22" s="6">
        <v>0.51</v>
      </c>
      <c r="C22" s="7">
        <f t="shared" si="0"/>
        <v>-3.8466280827796052E-2</v>
      </c>
      <c r="E22" s="7">
        <f t="shared" si="1"/>
        <v>2.2940897289232421E-2</v>
      </c>
      <c r="F22" s="2">
        <v>37</v>
      </c>
      <c r="J22" s="2" t="str">
        <f t="shared" si="2"/>
        <v>0.3% - 2.3%</v>
      </c>
    </row>
    <row r="23" spans="1:10" ht="13.8" x14ac:dyDescent="0.25">
      <c r="A23" s="5">
        <v>28734</v>
      </c>
      <c r="B23" s="6">
        <v>0.53</v>
      </c>
      <c r="C23" s="7">
        <f t="shared" si="0"/>
        <v>3.8466280827796143E-2</v>
      </c>
      <c r="E23" s="7">
        <f t="shared" si="1"/>
        <v>4.2940897289232421E-2</v>
      </c>
      <c r="F23" s="2">
        <v>30</v>
      </c>
      <c r="J23" s="2" t="str">
        <f t="shared" si="2"/>
        <v>2.3% - 4.3%</v>
      </c>
    </row>
    <row r="24" spans="1:10" ht="13.8" x14ac:dyDescent="0.25">
      <c r="A24" s="5">
        <v>28765</v>
      </c>
      <c r="B24" s="6">
        <v>0.48</v>
      </c>
      <c r="C24" s="7">
        <f t="shared" si="0"/>
        <v>-9.909090264423101E-2</v>
      </c>
      <c r="E24" s="12">
        <f t="shared" si="1"/>
        <v>6.2940897289232425E-2</v>
      </c>
      <c r="F24" s="13">
        <v>33</v>
      </c>
      <c r="J24" s="2" t="str">
        <f t="shared" si="2"/>
        <v>4.3% - 6.3%</v>
      </c>
    </row>
    <row r="25" spans="1:10" ht="13.8" x14ac:dyDescent="0.25">
      <c r="A25" s="5">
        <v>28795</v>
      </c>
      <c r="B25" s="6">
        <v>0.49</v>
      </c>
      <c r="C25" s="7">
        <f t="shared" si="0"/>
        <v>2.061928720273561E-2</v>
      </c>
      <c r="E25" s="7">
        <f t="shared" si="1"/>
        <v>8.2940897289232429E-2</v>
      </c>
      <c r="F25" s="2">
        <v>22</v>
      </c>
      <c r="J25" s="2" t="str">
        <f t="shared" si="2"/>
        <v>6.3% - 8.3%</v>
      </c>
    </row>
    <row r="26" spans="1:10" ht="13.8" x14ac:dyDescent="0.25">
      <c r="A26" s="5">
        <v>28825</v>
      </c>
      <c r="B26" s="6">
        <v>0.5</v>
      </c>
      <c r="C26" s="7">
        <f t="shared" si="0"/>
        <v>2.0202707317519469E-2</v>
      </c>
      <c r="E26" s="7">
        <f t="shared" si="1"/>
        <v>0.10294089728923243</v>
      </c>
      <c r="F26" s="2">
        <v>21</v>
      </c>
      <c r="J26" s="2" t="str">
        <f t="shared" si="2"/>
        <v>8.3% - 10.3%</v>
      </c>
    </row>
    <row r="27" spans="1:10" ht="13.8" x14ac:dyDescent="0.25">
      <c r="A27" s="5">
        <v>28857</v>
      </c>
      <c r="B27" s="6">
        <v>0.5</v>
      </c>
      <c r="C27" s="7">
        <f t="shared" si="0"/>
        <v>0</v>
      </c>
      <c r="E27" s="7">
        <f t="shared" si="1"/>
        <v>0.12294089728923244</v>
      </c>
      <c r="F27" s="2">
        <v>9</v>
      </c>
      <c r="J27" s="2" t="str">
        <f t="shared" si="2"/>
        <v>10.3% - 12.3%</v>
      </c>
    </row>
    <row r="28" spans="1:10" ht="13.8" x14ac:dyDescent="0.25">
      <c r="A28" s="5">
        <v>28887</v>
      </c>
      <c r="B28" s="6">
        <v>0.5</v>
      </c>
      <c r="C28" s="7">
        <f t="shared" si="0"/>
        <v>0</v>
      </c>
      <c r="E28" s="7">
        <f t="shared" si="1"/>
        <v>0.14294089728923243</v>
      </c>
      <c r="F28" s="2">
        <v>13</v>
      </c>
      <c r="J28" s="2" t="str">
        <f t="shared" si="2"/>
        <v>12.3% - 14.3%</v>
      </c>
    </row>
    <row r="29" spans="1:10" ht="13.8" x14ac:dyDescent="0.25">
      <c r="A29" s="5">
        <v>28915</v>
      </c>
      <c r="B29" s="6">
        <v>0.53</v>
      </c>
      <c r="C29" s="7">
        <f t="shared" si="0"/>
        <v>5.8268908123975824E-2</v>
      </c>
      <c r="E29" s="7">
        <f t="shared" si="1"/>
        <v>0.16294089728923242</v>
      </c>
      <c r="F29" s="2">
        <v>5</v>
      </c>
      <c r="J29" s="2" t="str">
        <f t="shared" si="2"/>
        <v>14.3% - 16.3%</v>
      </c>
    </row>
    <row r="30" spans="1:10" ht="13.8" x14ac:dyDescent="0.25">
      <c r="A30" s="5">
        <v>28947</v>
      </c>
      <c r="B30" s="6">
        <v>0.55000000000000004</v>
      </c>
      <c r="C30" s="7">
        <f t="shared" si="0"/>
        <v>3.7041271680349076E-2</v>
      </c>
      <c r="E30" s="7">
        <f t="shared" si="1"/>
        <v>0.18294089728923241</v>
      </c>
      <c r="F30" s="2">
        <v>4</v>
      </c>
      <c r="J30" s="2" t="str">
        <f t="shared" si="2"/>
        <v>16.3% - 18.3%</v>
      </c>
    </row>
    <row r="31" spans="1:10" ht="13.8" x14ac:dyDescent="0.25">
      <c r="A31" s="5">
        <v>28976</v>
      </c>
      <c r="B31" s="6">
        <v>0.53</v>
      </c>
      <c r="C31" s="7">
        <f t="shared" si="0"/>
        <v>-3.7041271680349097E-2</v>
      </c>
      <c r="E31" s="7">
        <f t="shared" si="1"/>
        <v>0.2029408972892324</v>
      </c>
      <c r="F31" s="2">
        <v>5</v>
      </c>
      <c r="J31" s="2" t="str">
        <f t="shared" si="2"/>
        <v>18.3% - 20.3%</v>
      </c>
    </row>
    <row r="32" spans="1:10" ht="13.8" x14ac:dyDescent="0.25">
      <c r="A32" s="5">
        <v>29007</v>
      </c>
      <c r="B32" s="6">
        <v>0.53</v>
      </c>
      <c r="C32" s="7">
        <f t="shared" si="0"/>
        <v>0</v>
      </c>
      <c r="E32" s="7">
        <f t="shared" si="1"/>
        <v>0.22294089728923239</v>
      </c>
      <c r="F32" s="2">
        <v>2</v>
      </c>
      <c r="J32" s="2" t="str">
        <f t="shared" si="2"/>
        <v>20.3% - 22.3%</v>
      </c>
    </row>
    <row r="33" spans="1:10" ht="13.8" x14ac:dyDescent="0.25">
      <c r="A33" s="5">
        <v>29038</v>
      </c>
      <c r="B33" s="6">
        <v>0.53</v>
      </c>
      <c r="C33" s="7">
        <f t="shared" si="0"/>
        <v>0</v>
      </c>
      <c r="E33" s="7">
        <f t="shared" si="1"/>
        <v>0.24294089728923238</v>
      </c>
      <c r="F33" s="2">
        <v>1</v>
      </c>
      <c r="J33" s="2" t="str">
        <f t="shared" si="2"/>
        <v>22.3% - 24.3%</v>
      </c>
    </row>
    <row r="34" spans="1:10" ht="13.8" x14ac:dyDescent="0.25">
      <c r="A34" s="5">
        <v>29068</v>
      </c>
      <c r="B34" s="6">
        <v>0.55000000000000004</v>
      </c>
      <c r="C34" s="7">
        <f t="shared" si="0"/>
        <v>3.7041271680349076E-2</v>
      </c>
      <c r="E34" s="7">
        <f t="shared" si="1"/>
        <v>0.26294089728923237</v>
      </c>
      <c r="F34" s="2">
        <v>1</v>
      </c>
      <c r="J34" s="2" t="str">
        <f t="shared" si="2"/>
        <v>24.3% - 26.3%</v>
      </c>
    </row>
    <row r="35" spans="1:10" ht="13.8" x14ac:dyDescent="0.25">
      <c r="A35" s="5">
        <v>29102</v>
      </c>
      <c r="B35" s="6">
        <v>0.56000000000000005</v>
      </c>
      <c r="C35" s="7">
        <f t="shared" si="0"/>
        <v>1.8018505502678431E-2</v>
      </c>
      <c r="E35" s="7">
        <f t="shared" si="1"/>
        <v>0.28294089728923238</v>
      </c>
      <c r="F35" s="2">
        <v>0</v>
      </c>
      <c r="J35" s="2" t="str">
        <f t="shared" si="2"/>
        <v>26.3% - 28.3%</v>
      </c>
    </row>
    <row r="36" spans="1:10" ht="13.8" x14ac:dyDescent="0.25">
      <c r="A36" s="5">
        <v>29129</v>
      </c>
      <c r="B36" s="6">
        <v>0.48</v>
      </c>
      <c r="C36" s="7">
        <f t="shared" si="0"/>
        <v>-0.1541506798272585</v>
      </c>
      <c r="E36" s="7">
        <f t="shared" si="1"/>
        <v>0.3029408972892324</v>
      </c>
      <c r="F36" s="2">
        <v>2</v>
      </c>
      <c r="J36" s="2" t="str">
        <f t="shared" si="2"/>
        <v>28.3% - 30.3%</v>
      </c>
    </row>
    <row r="37" spans="1:10" ht="13.8" x14ac:dyDescent="0.25">
      <c r="A37" s="5">
        <v>29160</v>
      </c>
      <c r="B37" s="6">
        <v>0.4</v>
      </c>
      <c r="C37" s="7">
        <f t="shared" si="0"/>
        <v>-0.18232155679395459</v>
      </c>
      <c r="E37" s="7">
        <f t="shared" si="1"/>
        <v>0.32294089728923242</v>
      </c>
      <c r="F37" s="2">
        <v>0</v>
      </c>
      <c r="J37" s="2" t="str">
        <f t="shared" si="2"/>
        <v>30.3% - 32.3%</v>
      </c>
    </row>
    <row r="38" spans="1:10" ht="13.8" x14ac:dyDescent="0.25">
      <c r="A38" s="5">
        <v>29192</v>
      </c>
      <c r="B38" s="6">
        <v>0.42</v>
      </c>
      <c r="C38" s="7">
        <f t="shared" si="0"/>
        <v>4.8790164169431834E-2</v>
      </c>
      <c r="E38" s="7">
        <f t="shared" si="1"/>
        <v>0.34294089728923244</v>
      </c>
      <c r="F38" s="2">
        <v>1</v>
      </c>
      <c r="J38" s="2" t="str">
        <f t="shared" si="2"/>
        <v>32.3% - 34.3%</v>
      </c>
    </row>
    <row r="39" spans="1:10" ht="13.8" x14ac:dyDescent="0.25">
      <c r="A39" s="5">
        <v>29222</v>
      </c>
      <c r="B39" s="6">
        <v>0.45</v>
      </c>
      <c r="C39" s="7">
        <f t="shared" si="0"/>
        <v>6.8992871486951421E-2</v>
      </c>
      <c r="F39" s="2">
        <v>0</v>
      </c>
    </row>
    <row r="40" spans="1:10" ht="13.8" x14ac:dyDescent="0.25">
      <c r="A40" s="5">
        <v>29252</v>
      </c>
      <c r="B40" s="6">
        <v>0.41</v>
      </c>
      <c r="C40" s="7">
        <f t="shared" si="0"/>
        <v>-9.309042306601209E-2</v>
      </c>
    </row>
    <row r="41" spans="1:10" ht="13.8" x14ac:dyDescent="0.25">
      <c r="A41" s="5">
        <v>29283</v>
      </c>
      <c r="B41" s="6">
        <v>0.39</v>
      </c>
      <c r="C41" s="7">
        <f t="shared" si="0"/>
        <v>-5.0010420574661305E-2</v>
      </c>
    </row>
    <row r="42" spans="1:10" ht="13.8" x14ac:dyDescent="0.25">
      <c r="A42" s="5">
        <v>29312</v>
      </c>
      <c r="B42" s="6">
        <v>0.34</v>
      </c>
      <c r="C42" s="7">
        <f t="shared" si="0"/>
        <v>-0.13720112151348501</v>
      </c>
    </row>
    <row r="43" spans="1:10" ht="13.8" x14ac:dyDescent="0.25">
      <c r="A43" s="5">
        <v>29342</v>
      </c>
      <c r="B43" s="6">
        <v>0.34</v>
      </c>
      <c r="C43" s="7">
        <f t="shared" si="0"/>
        <v>0</v>
      </c>
    </row>
    <row r="44" spans="1:10" ht="13.8" x14ac:dyDescent="0.25">
      <c r="A44" s="5">
        <v>29374</v>
      </c>
      <c r="B44" s="6">
        <v>0.34</v>
      </c>
      <c r="C44" s="7">
        <f t="shared" si="0"/>
        <v>0</v>
      </c>
    </row>
    <row r="45" spans="1:10" ht="13.8" x14ac:dyDescent="0.25">
      <c r="A45" s="5">
        <v>29403</v>
      </c>
      <c r="B45" s="6">
        <v>0.4</v>
      </c>
      <c r="C45" s="7">
        <f t="shared" si="0"/>
        <v>0.16251892949777494</v>
      </c>
    </row>
    <row r="46" spans="1:10" ht="13.8" x14ac:dyDescent="0.25">
      <c r="A46" s="5">
        <v>29434</v>
      </c>
      <c r="B46" s="6">
        <v>0.39</v>
      </c>
      <c r="C46" s="7">
        <f t="shared" si="0"/>
        <v>-2.5317807984289897E-2</v>
      </c>
    </row>
    <row r="47" spans="1:10" ht="13.8" x14ac:dyDescent="0.25">
      <c r="A47" s="5">
        <v>29466</v>
      </c>
      <c r="B47" s="6">
        <v>0.39</v>
      </c>
      <c r="C47" s="7">
        <f t="shared" si="0"/>
        <v>0</v>
      </c>
    </row>
    <row r="48" spans="1:10" ht="13.8" x14ac:dyDescent="0.25">
      <c r="A48" s="5">
        <v>29495</v>
      </c>
      <c r="B48" s="6">
        <v>0.37</v>
      </c>
      <c r="C48" s="7">
        <f t="shared" si="0"/>
        <v>-5.2643733485422027E-2</v>
      </c>
    </row>
    <row r="49" spans="1:3" ht="13.8" x14ac:dyDescent="0.25">
      <c r="A49" s="5">
        <v>29528</v>
      </c>
      <c r="B49" s="6">
        <v>0.32</v>
      </c>
      <c r="C49" s="7">
        <f t="shared" si="0"/>
        <v>-0.14518200984449783</v>
      </c>
    </row>
    <row r="50" spans="1:3" ht="13.8" x14ac:dyDescent="0.25">
      <c r="A50" s="5">
        <v>29556</v>
      </c>
      <c r="B50" s="6">
        <v>0.28999999999999998</v>
      </c>
      <c r="C50" s="7">
        <f t="shared" si="0"/>
        <v>-9.8440072813252649E-2</v>
      </c>
    </row>
    <row r="51" spans="1:3" ht="13.8" x14ac:dyDescent="0.25">
      <c r="A51" s="5">
        <v>29588</v>
      </c>
      <c r="B51" s="6">
        <v>0.28999999999999998</v>
      </c>
      <c r="C51" s="7">
        <f t="shared" si="0"/>
        <v>0</v>
      </c>
    </row>
    <row r="52" spans="1:3" ht="13.8" x14ac:dyDescent="0.25">
      <c r="A52" s="5">
        <v>29619</v>
      </c>
      <c r="B52" s="6">
        <v>0.28999999999999998</v>
      </c>
      <c r="C52" s="7">
        <f t="shared" si="0"/>
        <v>0</v>
      </c>
    </row>
    <row r="53" spans="1:3" ht="13.8" x14ac:dyDescent="0.25">
      <c r="A53" s="5">
        <v>29647</v>
      </c>
      <c r="B53" s="6">
        <v>0.35</v>
      </c>
      <c r="C53" s="7">
        <f t="shared" si="0"/>
        <v>0.18805223150293962</v>
      </c>
    </row>
    <row r="54" spans="1:3" ht="13.8" x14ac:dyDescent="0.25">
      <c r="A54" s="5">
        <v>29677</v>
      </c>
      <c r="B54" s="6">
        <v>0.32</v>
      </c>
      <c r="C54" s="7">
        <f t="shared" si="0"/>
        <v>-8.9612158689687041E-2</v>
      </c>
    </row>
    <row r="55" spans="1:3" ht="13.8" x14ac:dyDescent="0.25">
      <c r="A55" s="5">
        <v>29707</v>
      </c>
      <c r="B55" s="6">
        <v>0.34</v>
      </c>
      <c r="C55" s="7">
        <f t="shared" si="0"/>
        <v>6.062462181643484E-2</v>
      </c>
    </row>
    <row r="56" spans="1:3" ht="13.8" x14ac:dyDescent="0.25">
      <c r="A56" s="5">
        <v>29738</v>
      </c>
      <c r="B56" s="6">
        <v>0.35</v>
      </c>
      <c r="C56" s="7">
        <f t="shared" si="0"/>
        <v>2.8987536873252187E-2</v>
      </c>
    </row>
    <row r="57" spans="1:3" ht="13.8" x14ac:dyDescent="0.25">
      <c r="A57" s="5">
        <v>29768</v>
      </c>
      <c r="B57" s="6">
        <v>0.32</v>
      </c>
      <c r="C57" s="7">
        <f t="shared" si="0"/>
        <v>-8.9612158689687041E-2</v>
      </c>
    </row>
    <row r="58" spans="1:3" ht="13.8" x14ac:dyDescent="0.25">
      <c r="A58" s="5">
        <v>29801</v>
      </c>
      <c r="B58" s="6">
        <v>0.3</v>
      </c>
      <c r="C58" s="7">
        <f t="shared" si="0"/>
        <v>-6.4538521137571178E-2</v>
      </c>
    </row>
    <row r="59" spans="1:3" ht="13.8" x14ac:dyDescent="0.25">
      <c r="A59" s="5">
        <v>29830</v>
      </c>
      <c r="B59" s="6">
        <v>0.3</v>
      </c>
      <c r="C59" s="7">
        <f t="shared" si="0"/>
        <v>0</v>
      </c>
    </row>
    <row r="60" spans="1:3" ht="13.8" x14ac:dyDescent="0.25">
      <c r="A60" s="5">
        <v>29860</v>
      </c>
      <c r="B60" s="6">
        <v>0.25</v>
      </c>
      <c r="C60" s="7">
        <f t="shared" si="0"/>
        <v>-0.18232155679395459</v>
      </c>
    </row>
    <row r="61" spans="1:3" ht="13.8" x14ac:dyDescent="0.25">
      <c r="A61" s="5">
        <v>29892</v>
      </c>
      <c r="B61" s="6">
        <v>0.25</v>
      </c>
      <c r="C61" s="7">
        <f t="shared" si="0"/>
        <v>0</v>
      </c>
    </row>
    <row r="62" spans="1:3" ht="13.8" x14ac:dyDescent="0.25">
      <c r="A62" s="5">
        <v>29921</v>
      </c>
      <c r="B62" s="6">
        <v>0.25</v>
      </c>
      <c r="C62" s="7">
        <f t="shared" si="0"/>
        <v>0</v>
      </c>
    </row>
    <row r="63" spans="1:3" ht="13.8" x14ac:dyDescent="0.25">
      <c r="A63" s="5">
        <v>29955</v>
      </c>
      <c r="B63" s="6">
        <v>0.28000000000000003</v>
      </c>
      <c r="C63" s="7">
        <f t="shared" si="0"/>
        <v>0.11332868530700327</v>
      </c>
    </row>
    <row r="64" spans="1:3" ht="13.8" x14ac:dyDescent="0.25">
      <c r="A64" s="5">
        <v>29983</v>
      </c>
      <c r="B64" s="6">
        <v>0.28999999999999998</v>
      </c>
      <c r="C64" s="7">
        <f t="shared" si="0"/>
        <v>3.5091319811269978E-2</v>
      </c>
    </row>
    <row r="65" spans="1:3" ht="13.8" x14ac:dyDescent="0.25">
      <c r="A65" s="5">
        <v>30011</v>
      </c>
      <c r="B65" s="6">
        <v>0.32</v>
      </c>
      <c r="C65" s="7">
        <f t="shared" si="0"/>
        <v>9.8440072813252705E-2</v>
      </c>
    </row>
    <row r="66" spans="1:3" ht="13.8" x14ac:dyDescent="0.25">
      <c r="A66" s="5">
        <v>30042</v>
      </c>
      <c r="B66" s="6">
        <v>0.34</v>
      </c>
      <c r="C66" s="7">
        <f t="shared" si="0"/>
        <v>6.062462181643484E-2</v>
      </c>
    </row>
    <row r="67" spans="1:3" ht="13.8" x14ac:dyDescent="0.25">
      <c r="A67" s="5">
        <v>30074</v>
      </c>
      <c r="B67" s="6">
        <v>0.35</v>
      </c>
      <c r="C67" s="7">
        <f t="shared" si="0"/>
        <v>2.8987536873252187E-2</v>
      </c>
    </row>
    <row r="68" spans="1:3" ht="13.8" x14ac:dyDescent="0.25">
      <c r="A68" s="5">
        <v>30103</v>
      </c>
      <c r="B68" s="6">
        <v>0.37</v>
      </c>
      <c r="C68" s="7">
        <f t="shared" si="0"/>
        <v>5.5569851154810786E-2</v>
      </c>
    </row>
    <row r="69" spans="1:3" ht="13.8" x14ac:dyDescent="0.25">
      <c r="A69" s="5">
        <v>30133</v>
      </c>
      <c r="B69" s="6">
        <v>0.34</v>
      </c>
      <c r="C69" s="7">
        <f t="shared" ref="C69:C132" si="3">LN(B69/B68)</f>
        <v>-8.4557388028062994E-2</v>
      </c>
    </row>
    <row r="70" spans="1:3" ht="13.8" x14ac:dyDescent="0.25">
      <c r="A70" s="5">
        <v>30165</v>
      </c>
      <c r="B70" s="6">
        <v>0.42</v>
      </c>
      <c r="C70" s="7">
        <f t="shared" si="3"/>
        <v>0.21130909366720677</v>
      </c>
    </row>
    <row r="71" spans="1:3" ht="13.8" x14ac:dyDescent="0.25">
      <c r="A71" s="5">
        <v>30195</v>
      </c>
      <c r="B71" s="6">
        <v>0.39</v>
      </c>
      <c r="C71" s="7">
        <f t="shared" si="3"/>
        <v>-7.4107972153721849E-2</v>
      </c>
    </row>
    <row r="72" spans="1:3" ht="13.8" x14ac:dyDescent="0.25">
      <c r="A72" s="5">
        <v>30225</v>
      </c>
      <c r="B72" s="6">
        <v>0.48</v>
      </c>
      <c r="C72" s="7">
        <f t="shared" si="3"/>
        <v>0.20763936477824438</v>
      </c>
    </row>
    <row r="73" spans="1:3" ht="13.8" x14ac:dyDescent="0.25">
      <c r="A73" s="5">
        <v>30256</v>
      </c>
      <c r="B73" s="6">
        <v>0.5</v>
      </c>
      <c r="C73" s="7">
        <f t="shared" si="3"/>
        <v>4.08219945202552E-2</v>
      </c>
    </row>
    <row r="74" spans="1:3" ht="13.8" x14ac:dyDescent="0.25">
      <c r="A74" s="5">
        <v>30286</v>
      </c>
      <c r="B74" s="6">
        <v>0.59</v>
      </c>
      <c r="C74" s="7">
        <f t="shared" si="3"/>
        <v>0.16551443847757333</v>
      </c>
    </row>
    <row r="75" spans="1:3" ht="13.8" x14ac:dyDescent="0.25">
      <c r="A75" s="5">
        <v>30319</v>
      </c>
      <c r="B75" s="6">
        <v>0.6</v>
      </c>
      <c r="C75" s="7">
        <f t="shared" si="3"/>
        <v>1.6807118316381191E-2</v>
      </c>
    </row>
    <row r="76" spans="1:3" ht="13.8" x14ac:dyDescent="0.25">
      <c r="A76" s="5">
        <v>30348</v>
      </c>
      <c r="B76" s="6">
        <v>0.57999999999999996</v>
      </c>
      <c r="C76" s="7">
        <f t="shared" si="3"/>
        <v>-3.3901551675681339E-2</v>
      </c>
    </row>
    <row r="77" spans="1:3" ht="13.8" x14ac:dyDescent="0.25">
      <c r="A77" s="5">
        <v>30376</v>
      </c>
      <c r="B77" s="6">
        <v>0.61</v>
      </c>
      <c r="C77" s="7">
        <f t="shared" si="3"/>
        <v>5.0430853626891904E-2</v>
      </c>
    </row>
    <row r="78" spans="1:3" ht="13.8" x14ac:dyDescent="0.25">
      <c r="A78" s="5">
        <v>30410</v>
      </c>
      <c r="B78" s="6">
        <v>0.78</v>
      </c>
      <c r="C78" s="7">
        <f t="shared" si="3"/>
        <v>0.24583496251628056</v>
      </c>
    </row>
    <row r="79" spans="1:3" ht="13.8" x14ac:dyDescent="0.25">
      <c r="A79" s="5">
        <v>30438</v>
      </c>
      <c r="B79" s="6">
        <v>0.72</v>
      </c>
      <c r="C79" s="7">
        <f t="shared" si="3"/>
        <v>-8.0042707673536495E-2</v>
      </c>
    </row>
    <row r="80" spans="1:3" ht="13.8" x14ac:dyDescent="0.25">
      <c r="A80" s="5">
        <v>30468</v>
      </c>
      <c r="B80" s="6">
        <v>0.86</v>
      </c>
      <c r="C80" s="7">
        <f t="shared" si="3"/>
        <v>0.17768117723745241</v>
      </c>
    </row>
    <row r="81" spans="1:3" ht="13.8" x14ac:dyDescent="0.25">
      <c r="A81" s="5">
        <v>30498</v>
      </c>
      <c r="B81" s="6">
        <v>0.92</v>
      </c>
      <c r="C81" s="7">
        <f t="shared" si="3"/>
        <v>6.7441280795532688E-2</v>
      </c>
    </row>
    <row r="82" spans="1:3" ht="13.8" x14ac:dyDescent="0.25">
      <c r="A82" s="5">
        <v>30529</v>
      </c>
      <c r="B82" s="6">
        <v>0.87</v>
      </c>
      <c r="C82" s="7">
        <f t="shared" si="3"/>
        <v>-5.5880458394456614E-2</v>
      </c>
    </row>
    <row r="83" spans="1:3" ht="13.8" x14ac:dyDescent="0.25">
      <c r="A83" s="5">
        <v>30560</v>
      </c>
      <c r="B83" s="6">
        <v>0.94</v>
      </c>
      <c r="C83" s="7">
        <f t="shared" si="3"/>
        <v>7.7386663615420195E-2</v>
      </c>
    </row>
    <row r="84" spans="1:3" ht="13.8" x14ac:dyDescent="0.25">
      <c r="A84" s="5">
        <v>30592</v>
      </c>
      <c r="B84" s="6">
        <v>1.02</v>
      </c>
      <c r="C84" s="7">
        <f t="shared" si="3"/>
        <v>8.1678031014267294E-2</v>
      </c>
    </row>
    <row r="85" spans="1:3" ht="13.8" x14ac:dyDescent="0.25">
      <c r="A85" s="5">
        <v>30621</v>
      </c>
      <c r="B85" s="6">
        <v>0.95</v>
      </c>
      <c r="C85" s="7">
        <f t="shared" si="3"/>
        <v>-7.1095921683730343E-2</v>
      </c>
    </row>
    <row r="86" spans="1:3" ht="13.8" x14ac:dyDescent="0.25">
      <c r="A86" s="5">
        <v>30651</v>
      </c>
      <c r="B86" s="6">
        <v>0.98</v>
      </c>
      <c r="C86" s="7">
        <f t="shared" si="3"/>
        <v>3.1090587070031182E-2</v>
      </c>
    </row>
    <row r="87" spans="1:3" ht="13.8" x14ac:dyDescent="0.25">
      <c r="A87" s="5">
        <v>30684</v>
      </c>
      <c r="B87" s="6">
        <v>0.95</v>
      </c>
      <c r="C87" s="7">
        <f t="shared" si="3"/>
        <v>-3.1090587070031119E-2</v>
      </c>
    </row>
    <row r="88" spans="1:3" ht="13.8" x14ac:dyDescent="0.25">
      <c r="A88" s="5">
        <v>30713</v>
      </c>
      <c r="B88" s="6">
        <v>0.87</v>
      </c>
      <c r="C88" s="7">
        <f t="shared" si="3"/>
        <v>-8.7968772945957036E-2</v>
      </c>
    </row>
    <row r="89" spans="1:3" ht="13.8" x14ac:dyDescent="0.25">
      <c r="A89" s="5">
        <v>30742</v>
      </c>
      <c r="B89" s="6">
        <v>0.85</v>
      </c>
      <c r="C89" s="7">
        <f t="shared" si="3"/>
        <v>-2.3256862164267235E-2</v>
      </c>
    </row>
    <row r="90" spans="1:3" ht="13.8" x14ac:dyDescent="0.25">
      <c r="A90" s="5">
        <v>30774</v>
      </c>
      <c r="B90" s="6">
        <v>0.86</v>
      </c>
      <c r="C90" s="7">
        <f t="shared" si="3"/>
        <v>1.1696039763191236E-2</v>
      </c>
    </row>
    <row r="91" spans="1:3" ht="13.8" x14ac:dyDescent="0.25">
      <c r="A91" s="5">
        <v>30803</v>
      </c>
      <c r="B91" s="6">
        <v>0.87</v>
      </c>
      <c r="C91" s="7">
        <f t="shared" si="3"/>
        <v>1.1560822401076006E-2</v>
      </c>
    </row>
    <row r="92" spans="1:3" ht="13.8" x14ac:dyDescent="0.25">
      <c r="A92" s="5">
        <v>30834</v>
      </c>
      <c r="B92" s="6">
        <v>0.85</v>
      </c>
      <c r="C92" s="7">
        <f t="shared" si="3"/>
        <v>-2.3256862164267235E-2</v>
      </c>
    </row>
    <row r="93" spans="1:3" ht="13.8" x14ac:dyDescent="0.25">
      <c r="A93" s="5">
        <v>30865</v>
      </c>
      <c r="B93" s="6">
        <v>0.94</v>
      </c>
      <c r="C93" s="7">
        <f t="shared" si="3"/>
        <v>0.10064352577968751</v>
      </c>
    </row>
    <row r="94" spans="1:3" ht="13.8" x14ac:dyDescent="0.25">
      <c r="A94" s="5">
        <v>30895</v>
      </c>
      <c r="B94" s="6">
        <v>1.02</v>
      </c>
      <c r="C94" s="7">
        <f t="shared" si="3"/>
        <v>8.1678031014267294E-2</v>
      </c>
    </row>
    <row r="95" spans="1:3" ht="13.8" x14ac:dyDescent="0.25">
      <c r="A95" s="5">
        <v>30929</v>
      </c>
      <c r="B95" s="6">
        <v>1.0900000000000001</v>
      </c>
      <c r="C95" s="7">
        <f t="shared" si="3"/>
        <v>6.6375068944872592E-2</v>
      </c>
    </row>
    <row r="96" spans="1:3" ht="13.8" x14ac:dyDescent="0.25">
      <c r="A96" s="5">
        <v>30956</v>
      </c>
      <c r="B96" s="6">
        <v>1.1299999999999999</v>
      </c>
      <c r="C96" s="7">
        <f t="shared" si="3"/>
        <v>3.6039936483196658E-2</v>
      </c>
    </row>
    <row r="97" spans="1:3" ht="13.8" x14ac:dyDescent="0.25">
      <c r="A97" s="5">
        <v>30987</v>
      </c>
      <c r="B97" s="6">
        <v>1.0900000000000001</v>
      </c>
      <c r="C97" s="7">
        <f t="shared" si="3"/>
        <v>-3.6039936483196693E-2</v>
      </c>
    </row>
    <row r="98" spans="1:3" ht="13.8" x14ac:dyDescent="0.25">
      <c r="A98" s="5">
        <v>31019</v>
      </c>
      <c r="B98" s="6">
        <v>1.1100000000000001</v>
      </c>
      <c r="C98" s="7">
        <f t="shared" si="3"/>
        <v>1.8182319083190547E-2</v>
      </c>
    </row>
    <row r="99" spans="1:3" ht="13.8" x14ac:dyDescent="0.25">
      <c r="A99" s="5">
        <v>31049</v>
      </c>
      <c r="B99" s="6">
        <v>1.19</v>
      </c>
      <c r="C99" s="7">
        <f t="shared" si="3"/>
        <v>6.9593291799195184E-2</v>
      </c>
    </row>
    <row r="100" spans="1:3" ht="13.8" x14ac:dyDescent="0.25">
      <c r="A100" s="5">
        <v>31079</v>
      </c>
      <c r="B100" s="6">
        <v>1.0900000000000001</v>
      </c>
      <c r="C100" s="7">
        <f t="shared" si="3"/>
        <v>-8.7775610882385599E-2</v>
      </c>
    </row>
    <row r="101" spans="1:3" ht="13.8" x14ac:dyDescent="0.25">
      <c r="A101" s="5">
        <v>31107</v>
      </c>
      <c r="B101" s="6">
        <v>1.04</v>
      </c>
      <c r="C101" s="7">
        <f t="shared" si="3"/>
        <v>-4.6956983087771097E-2</v>
      </c>
    </row>
    <row r="102" spans="1:3" ht="13.8" x14ac:dyDescent="0.25">
      <c r="A102" s="5">
        <v>31138</v>
      </c>
      <c r="B102" s="6">
        <v>1.01</v>
      </c>
      <c r="C102" s="7">
        <f t="shared" si="3"/>
        <v>-2.9270382300113224E-2</v>
      </c>
    </row>
    <row r="103" spans="1:3" ht="13.8" x14ac:dyDescent="0.25">
      <c r="A103" s="5">
        <v>31168</v>
      </c>
      <c r="B103" s="6">
        <v>1.08</v>
      </c>
      <c r="C103" s="7">
        <f t="shared" si="3"/>
        <v>6.7010710282960295E-2</v>
      </c>
    </row>
    <row r="104" spans="1:3" ht="13.8" x14ac:dyDescent="0.25">
      <c r="A104" s="5">
        <v>31201</v>
      </c>
      <c r="B104" s="6">
        <v>1.1200000000000001</v>
      </c>
      <c r="C104" s="7">
        <f t="shared" si="3"/>
        <v>3.6367644170874791E-2</v>
      </c>
    </row>
    <row r="105" spans="1:3" ht="13.8" x14ac:dyDescent="0.25">
      <c r="A105" s="5">
        <v>31229</v>
      </c>
      <c r="B105" s="6">
        <v>1.1200000000000001</v>
      </c>
      <c r="C105" s="7">
        <f t="shared" si="3"/>
        <v>0</v>
      </c>
    </row>
    <row r="106" spans="1:3" ht="13.8" x14ac:dyDescent="0.25">
      <c r="A106" s="5">
        <v>31260</v>
      </c>
      <c r="B106" s="6">
        <v>1.1100000000000001</v>
      </c>
      <c r="C106" s="7">
        <f t="shared" si="3"/>
        <v>-8.9686699827603751E-3</v>
      </c>
    </row>
    <row r="107" spans="1:3" ht="13.8" x14ac:dyDescent="0.25">
      <c r="A107" s="5">
        <v>31293</v>
      </c>
      <c r="B107" s="6">
        <v>1.1100000000000001</v>
      </c>
      <c r="C107" s="7">
        <f t="shared" si="3"/>
        <v>0</v>
      </c>
    </row>
    <row r="108" spans="1:3" ht="13.8" x14ac:dyDescent="0.25">
      <c r="A108" s="5">
        <v>31321</v>
      </c>
      <c r="B108" s="6">
        <v>1.19</v>
      </c>
      <c r="C108" s="7">
        <f t="shared" si="3"/>
        <v>6.9593291799195184E-2</v>
      </c>
    </row>
    <row r="109" spans="1:3" ht="13.8" x14ac:dyDescent="0.25">
      <c r="A109" s="5">
        <v>31352</v>
      </c>
      <c r="B109" s="6">
        <v>1.38</v>
      </c>
      <c r="C109" s="7">
        <f t="shared" si="3"/>
        <v>0.14813019204567521</v>
      </c>
    </row>
    <row r="110" spans="1:3" ht="13.8" x14ac:dyDescent="0.25">
      <c r="A110" s="5">
        <v>31383</v>
      </c>
      <c r="B110" s="6">
        <v>1.48</v>
      </c>
      <c r="C110" s="7">
        <f t="shared" si="3"/>
        <v>6.9958588606910468E-2</v>
      </c>
    </row>
    <row r="111" spans="1:3" ht="13.8" x14ac:dyDescent="0.25">
      <c r="A111" s="5">
        <v>31414</v>
      </c>
      <c r="B111" s="6">
        <v>1.62</v>
      </c>
      <c r="C111" s="7">
        <f t="shared" si="3"/>
        <v>9.0384061468269147E-2</v>
      </c>
    </row>
    <row r="112" spans="1:3" ht="13.8" x14ac:dyDescent="0.25">
      <c r="A112" s="5">
        <v>31446</v>
      </c>
      <c r="B112" s="6">
        <v>1.85</v>
      </c>
      <c r="C112" s="7">
        <f t="shared" si="3"/>
        <v>0.13275948984594071</v>
      </c>
    </row>
    <row r="113" spans="1:3" ht="13.8" x14ac:dyDescent="0.25">
      <c r="A113" s="5">
        <v>31474</v>
      </c>
      <c r="B113" s="6">
        <v>2.12</v>
      </c>
      <c r="C113" s="7">
        <f t="shared" si="3"/>
        <v>0.13623044959368769</v>
      </c>
    </row>
    <row r="114" spans="1:3" ht="13.8" x14ac:dyDescent="0.25">
      <c r="A114" s="5">
        <v>31503</v>
      </c>
      <c r="B114" s="6">
        <v>1.97</v>
      </c>
      <c r="C114" s="7">
        <f t="shared" si="3"/>
        <v>-7.3382545934023991E-2</v>
      </c>
    </row>
    <row r="115" spans="1:3" ht="13.8" x14ac:dyDescent="0.25">
      <c r="A115" s="5">
        <v>31533</v>
      </c>
      <c r="B115" s="6">
        <v>2.1</v>
      </c>
      <c r="C115" s="7">
        <f t="shared" si="3"/>
        <v>6.3903801979480257E-2</v>
      </c>
    </row>
    <row r="116" spans="1:3" ht="13.8" x14ac:dyDescent="0.25">
      <c r="A116" s="5">
        <v>31565</v>
      </c>
      <c r="B116" s="6">
        <v>2.16</v>
      </c>
      <c r="C116" s="7">
        <f t="shared" si="3"/>
        <v>2.8170876966696439E-2</v>
      </c>
    </row>
    <row r="117" spans="1:3" ht="13.8" x14ac:dyDescent="0.25">
      <c r="A117" s="5">
        <v>31594</v>
      </c>
      <c r="B117" s="6">
        <v>2.12</v>
      </c>
      <c r="C117" s="7">
        <f t="shared" si="3"/>
        <v>-1.8692133012152522E-2</v>
      </c>
    </row>
    <row r="118" spans="1:3" ht="13.8" x14ac:dyDescent="0.25">
      <c r="A118" s="5">
        <v>31625</v>
      </c>
      <c r="B118" s="6">
        <v>2.36</v>
      </c>
      <c r="C118" s="7">
        <f t="shared" si="3"/>
        <v>0.10724553035359759</v>
      </c>
    </row>
    <row r="119" spans="1:3" ht="13.8" x14ac:dyDescent="0.25">
      <c r="A119" s="5">
        <v>31657</v>
      </c>
      <c r="B119" s="6">
        <v>2.1</v>
      </c>
      <c r="C119" s="7">
        <f t="shared" si="3"/>
        <v>-0.11672427430814131</v>
      </c>
    </row>
    <row r="120" spans="1:3" ht="13.8" x14ac:dyDescent="0.25">
      <c r="A120" s="5">
        <v>31686</v>
      </c>
      <c r="B120" s="6">
        <v>2.2999999999999998</v>
      </c>
      <c r="C120" s="7">
        <f t="shared" si="3"/>
        <v>9.0971778205726592E-2</v>
      </c>
    </row>
    <row r="121" spans="1:3" ht="13.8" x14ac:dyDescent="0.25">
      <c r="A121" s="5">
        <v>31719</v>
      </c>
      <c r="B121" s="6">
        <v>2.34</v>
      </c>
      <c r="C121" s="7">
        <f t="shared" si="3"/>
        <v>1.7241806434506173E-2</v>
      </c>
    </row>
    <row r="122" spans="1:3" ht="13.8" x14ac:dyDescent="0.25">
      <c r="A122" s="5">
        <v>31747</v>
      </c>
      <c r="B122" s="6">
        <v>2.25</v>
      </c>
      <c r="C122" s="7">
        <f t="shared" si="3"/>
        <v>-3.9220713153281267E-2</v>
      </c>
    </row>
    <row r="123" spans="1:3" ht="13.8" x14ac:dyDescent="0.25">
      <c r="A123" s="5">
        <v>31779</v>
      </c>
      <c r="B123" s="6">
        <v>3</v>
      </c>
      <c r="C123" s="7">
        <f t="shared" si="3"/>
        <v>0.28768207245178085</v>
      </c>
    </row>
    <row r="124" spans="1:3" ht="13.8" x14ac:dyDescent="0.25">
      <c r="A124" s="5">
        <v>31810</v>
      </c>
      <c r="B124" s="6">
        <v>3.08</v>
      </c>
      <c r="C124" s="7">
        <f t="shared" si="3"/>
        <v>2.6317308317373358E-2</v>
      </c>
    </row>
    <row r="125" spans="1:3" ht="13.8" x14ac:dyDescent="0.25">
      <c r="A125" s="5">
        <v>31838</v>
      </c>
      <c r="B125" s="6">
        <v>3.4</v>
      </c>
      <c r="C125" s="7">
        <f t="shared" si="3"/>
        <v>9.8845834636632643E-2</v>
      </c>
    </row>
    <row r="126" spans="1:3" ht="13.8" x14ac:dyDescent="0.25">
      <c r="A126" s="5">
        <v>31868</v>
      </c>
      <c r="B126" s="6">
        <v>3.71</v>
      </c>
      <c r="C126" s="7">
        <f t="shared" si="3"/>
        <v>8.7256444997228177E-2</v>
      </c>
    </row>
    <row r="127" spans="1:3" ht="13.8" x14ac:dyDescent="0.25">
      <c r="A127" s="5">
        <v>31898</v>
      </c>
      <c r="B127" s="6">
        <v>3.7</v>
      </c>
      <c r="C127" s="7">
        <f t="shared" si="3"/>
        <v>-2.6990569691649467E-3</v>
      </c>
    </row>
    <row r="128" spans="1:3" ht="13.8" x14ac:dyDescent="0.25">
      <c r="A128" s="5">
        <v>31929</v>
      </c>
      <c r="B128" s="6">
        <v>4.03</v>
      </c>
      <c r="C128" s="7">
        <f t="shared" si="3"/>
        <v>8.5433556308412831E-2</v>
      </c>
    </row>
    <row r="129" spans="1:3" ht="13.8" x14ac:dyDescent="0.25">
      <c r="A129" s="5">
        <v>31959</v>
      </c>
      <c r="B129" s="6">
        <v>4.17</v>
      </c>
      <c r="C129" s="7">
        <f t="shared" si="3"/>
        <v>3.4149659852118354E-2</v>
      </c>
    </row>
    <row r="130" spans="1:3" ht="13.8" x14ac:dyDescent="0.25">
      <c r="A130" s="5">
        <v>31992</v>
      </c>
      <c r="B130" s="6">
        <v>4.43</v>
      </c>
      <c r="C130" s="7">
        <f t="shared" si="3"/>
        <v>6.0483548246334243E-2</v>
      </c>
    </row>
    <row r="131" spans="1:3" ht="13.8" x14ac:dyDescent="0.25">
      <c r="A131" s="5">
        <v>32021</v>
      </c>
      <c r="B131" s="6">
        <v>4.0199999999999996</v>
      </c>
      <c r="C131" s="7">
        <f t="shared" si="3"/>
        <v>-9.7117681426114655E-2</v>
      </c>
    </row>
    <row r="132" spans="1:3" ht="13.8" x14ac:dyDescent="0.25">
      <c r="A132" s="5">
        <v>32051</v>
      </c>
      <c r="B132" s="6">
        <v>3.14</v>
      </c>
      <c r="C132" s="7">
        <f t="shared" si="3"/>
        <v>-0.24705910271076756</v>
      </c>
    </row>
    <row r="133" spans="1:3" ht="13.8" x14ac:dyDescent="0.25">
      <c r="A133" s="5">
        <v>32083</v>
      </c>
      <c r="B133" s="6">
        <v>2.96</v>
      </c>
      <c r="C133" s="7">
        <f t="shared" ref="C133:C196" si="4">LN(B133/B132)</f>
        <v>-5.9033531584193097E-2</v>
      </c>
    </row>
    <row r="134" spans="1:3" ht="13.8" x14ac:dyDescent="0.25">
      <c r="A134" s="5">
        <v>32112</v>
      </c>
      <c r="B134" s="6">
        <v>3.14</v>
      </c>
      <c r="C134" s="7">
        <f t="shared" si="4"/>
        <v>5.9033531584193139E-2</v>
      </c>
    </row>
    <row r="135" spans="1:3" ht="13.8" x14ac:dyDescent="0.25">
      <c r="A135" s="5">
        <v>32146</v>
      </c>
      <c r="B135" s="6">
        <v>3.58</v>
      </c>
      <c r="C135" s="7">
        <f t="shared" si="4"/>
        <v>0.13114000049244692</v>
      </c>
    </row>
    <row r="136" spans="1:3" ht="13.8" x14ac:dyDescent="0.25">
      <c r="A136" s="5">
        <v>32174</v>
      </c>
      <c r="B136" s="6">
        <v>3.8</v>
      </c>
      <c r="C136" s="7">
        <f t="shared" si="4"/>
        <v>5.9638266319731036E-2</v>
      </c>
    </row>
    <row r="137" spans="1:3" ht="13.8" x14ac:dyDescent="0.25">
      <c r="A137" s="5">
        <v>32203</v>
      </c>
      <c r="B137" s="6">
        <v>3.61</v>
      </c>
      <c r="C137" s="7">
        <f t="shared" si="4"/>
        <v>-5.129329438755046E-2</v>
      </c>
    </row>
    <row r="138" spans="1:3" ht="13.8" x14ac:dyDescent="0.25">
      <c r="A138" s="5">
        <v>32237</v>
      </c>
      <c r="B138" s="6">
        <v>4.03</v>
      </c>
      <c r="C138" s="7">
        <f t="shared" si="4"/>
        <v>0.11005860361380206</v>
      </c>
    </row>
    <row r="139" spans="1:3" ht="13.8" x14ac:dyDescent="0.25">
      <c r="A139" s="5">
        <v>32265</v>
      </c>
      <c r="B139" s="6">
        <v>4.1100000000000003</v>
      </c>
      <c r="C139" s="7">
        <f t="shared" si="4"/>
        <v>1.9656652549551592E-2</v>
      </c>
    </row>
    <row r="140" spans="1:3" ht="13.8" x14ac:dyDescent="0.25">
      <c r="A140" s="5">
        <v>32295</v>
      </c>
      <c r="B140" s="6">
        <v>4.55</v>
      </c>
      <c r="C140" s="7">
        <f t="shared" si="4"/>
        <v>0.10170420445471569</v>
      </c>
    </row>
    <row r="141" spans="1:3" ht="13.8" x14ac:dyDescent="0.25">
      <c r="A141" s="5">
        <v>32325</v>
      </c>
      <c r="B141" s="6">
        <v>4.58</v>
      </c>
      <c r="C141" s="7">
        <f t="shared" si="4"/>
        <v>6.571765163234519E-3</v>
      </c>
    </row>
    <row r="142" spans="1:3" ht="13.8" x14ac:dyDescent="0.25">
      <c r="A142" s="5">
        <v>32356</v>
      </c>
      <c r="B142" s="6">
        <v>4.25</v>
      </c>
      <c r="C142" s="7">
        <f t="shared" si="4"/>
        <v>-7.4780015189768123E-2</v>
      </c>
    </row>
    <row r="143" spans="1:3" ht="13.8" x14ac:dyDescent="0.25">
      <c r="A143" s="5">
        <v>32387</v>
      </c>
      <c r="B143" s="6">
        <v>4.42</v>
      </c>
      <c r="C143" s="7">
        <f t="shared" si="4"/>
        <v>3.9220713153281329E-2</v>
      </c>
    </row>
    <row r="144" spans="1:3" ht="13.8" x14ac:dyDescent="0.25">
      <c r="A144" s="5">
        <v>32419</v>
      </c>
      <c r="B144" s="6">
        <v>4.5</v>
      </c>
      <c r="C144" s="7">
        <f t="shared" si="4"/>
        <v>1.7937700686667252E-2</v>
      </c>
    </row>
    <row r="145" spans="1:3" ht="13.8" x14ac:dyDescent="0.25">
      <c r="A145" s="5">
        <v>32448</v>
      </c>
      <c r="B145" s="6">
        <v>4.54</v>
      </c>
      <c r="C145" s="7">
        <f t="shared" si="4"/>
        <v>8.8496152769826E-3</v>
      </c>
    </row>
    <row r="146" spans="1:3" ht="13.8" x14ac:dyDescent="0.25">
      <c r="A146" s="5">
        <v>32478</v>
      </c>
      <c r="B146" s="6">
        <v>4.41</v>
      </c>
      <c r="C146" s="7">
        <f t="shared" si="4"/>
        <v>-2.9052322594501991E-2</v>
      </c>
    </row>
    <row r="147" spans="1:3" ht="13.8" x14ac:dyDescent="0.25">
      <c r="A147" s="5">
        <v>32511</v>
      </c>
      <c r="B147" s="6">
        <v>4.84</v>
      </c>
      <c r="C147" s="7">
        <f t="shared" si="4"/>
        <v>9.3040031269785745E-2</v>
      </c>
    </row>
    <row r="148" spans="1:3" ht="13.8" x14ac:dyDescent="0.25">
      <c r="A148" s="5">
        <v>32540</v>
      </c>
      <c r="B148" s="6">
        <v>4.57</v>
      </c>
      <c r="C148" s="7">
        <f t="shared" si="4"/>
        <v>-5.740151582242687E-2</v>
      </c>
    </row>
    <row r="149" spans="1:3" ht="13.8" x14ac:dyDescent="0.25">
      <c r="A149" s="5">
        <v>32568</v>
      </c>
      <c r="B149" s="6">
        <v>4.33</v>
      </c>
      <c r="C149" s="7">
        <f t="shared" si="4"/>
        <v>-5.394566289171495E-2</v>
      </c>
    </row>
    <row r="150" spans="1:3" ht="13.8" x14ac:dyDescent="0.25">
      <c r="A150" s="5">
        <v>32601</v>
      </c>
      <c r="B150" s="6">
        <v>4.3</v>
      </c>
      <c r="C150" s="7">
        <f t="shared" si="4"/>
        <v>-6.9525193148817525E-3</v>
      </c>
    </row>
    <row r="151" spans="1:3" ht="13.8" x14ac:dyDescent="0.25">
      <c r="A151" s="5">
        <v>32629</v>
      </c>
      <c r="B151" s="6">
        <v>4.3899999999999997</v>
      </c>
      <c r="C151" s="7">
        <f t="shared" si="4"/>
        <v>2.0714204387563235E-2</v>
      </c>
    </row>
    <row r="152" spans="1:3" ht="13.8" x14ac:dyDescent="0.25">
      <c r="A152" s="5">
        <v>32660</v>
      </c>
      <c r="B152" s="6">
        <v>4.3600000000000003</v>
      </c>
      <c r="C152" s="7">
        <f t="shared" si="4"/>
        <v>-6.8571697261369125E-3</v>
      </c>
    </row>
    <row r="153" spans="1:3" ht="13.8" x14ac:dyDescent="0.25">
      <c r="A153" s="5">
        <v>32692</v>
      </c>
      <c r="B153" s="6">
        <v>4.5599999999999996</v>
      </c>
      <c r="C153" s="7">
        <f t="shared" si="4"/>
        <v>4.4850566165351498E-2</v>
      </c>
    </row>
    <row r="154" spans="1:3" ht="13.8" x14ac:dyDescent="0.25">
      <c r="A154" s="5">
        <v>32721</v>
      </c>
      <c r="B154" s="6">
        <v>4.92</v>
      </c>
      <c r="C154" s="7">
        <f t="shared" si="4"/>
        <v>7.5985906977922055E-2</v>
      </c>
    </row>
    <row r="155" spans="1:3" ht="13.8" x14ac:dyDescent="0.25">
      <c r="A155" s="5">
        <v>32752</v>
      </c>
      <c r="B155" s="6">
        <v>4.6500000000000004</v>
      </c>
      <c r="C155" s="7">
        <f t="shared" si="4"/>
        <v>-5.6441310904951733E-2</v>
      </c>
    </row>
    <row r="156" spans="1:3" ht="13.8" x14ac:dyDescent="0.25">
      <c r="A156" s="5">
        <v>32783</v>
      </c>
      <c r="B156" s="6">
        <v>4.4000000000000004</v>
      </c>
      <c r="C156" s="7">
        <f t="shared" si="4"/>
        <v>-5.5262678675049415E-2</v>
      </c>
    </row>
    <row r="157" spans="1:3" ht="13.8" x14ac:dyDescent="0.25">
      <c r="A157" s="5">
        <v>32813</v>
      </c>
      <c r="B157" s="6">
        <v>4.1399999999999997</v>
      </c>
      <c r="C157" s="7">
        <f t="shared" si="4"/>
        <v>-6.0908753086992576E-2</v>
      </c>
    </row>
    <row r="158" spans="1:3" ht="13.8" x14ac:dyDescent="0.25">
      <c r="A158" s="5">
        <v>32843</v>
      </c>
      <c r="B158" s="6">
        <v>4.05</v>
      </c>
      <c r="C158" s="7">
        <f t="shared" si="4"/>
        <v>-2.197890671877523E-2</v>
      </c>
    </row>
    <row r="159" spans="1:3" ht="13.8" x14ac:dyDescent="0.25">
      <c r="A159" s="5">
        <v>32875</v>
      </c>
      <c r="B159" s="6">
        <v>4.07</v>
      </c>
      <c r="C159" s="7">
        <f t="shared" si="4"/>
        <v>4.9261183360560026E-3</v>
      </c>
    </row>
    <row r="160" spans="1:3" ht="13.8" x14ac:dyDescent="0.25">
      <c r="A160" s="5">
        <v>32905</v>
      </c>
      <c r="B160" s="6">
        <v>4.34</v>
      </c>
      <c r="C160" s="7">
        <f t="shared" si="4"/>
        <v>6.4231348657809703E-2</v>
      </c>
    </row>
    <row r="161" spans="1:3" ht="13.8" x14ac:dyDescent="0.25">
      <c r="A161" s="5">
        <v>32933</v>
      </c>
      <c r="B161" s="6">
        <v>4.46</v>
      </c>
      <c r="C161" s="7">
        <f t="shared" si="4"/>
        <v>2.7274417919659306E-2</v>
      </c>
    </row>
    <row r="162" spans="1:3" ht="13.8" x14ac:dyDescent="0.25">
      <c r="A162" s="5">
        <v>32965</v>
      </c>
      <c r="B162" s="6">
        <v>4.2300000000000004</v>
      </c>
      <c r="C162" s="7">
        <f t="shared" si="4"/>
        <v>-5.294677297378602E-2</v>
      </c>
    </row>
    <row r="163" spans="1:3" ht="13.8" x14ac:dyDescent="0.25">
      <c r="A163" s="5">
        <v>32994</v>
      </c>
      <c r="B163" s="6">
        <v>4.43</v>
      </c>
      <c r="C163" s="7">
        <f t="shared" si="4"/>
        <v>4.6197590998857521E-2</v>
      </c>
    </row>
    <row r="164" spans="1:3" ht="13.8" x14ac:dyDescent="0.25">
      <c r="A164" s="5">
        <v>33025</v>
      </c>
      <c r="B164" s="6">
        <v>4.2</v>
      </c>
      <c r="C164" s="7">
        <f t="shared" si="4"/>
        <v>-5.3315058767721538E-2</v>
      </c>
    </row>
    <row r="165" spans="1:3" ht="13.8" x14ac:dyDescent="0.25">
      <c r="A165" s="5">
        <v>33056</v>
      </c>
      <c r="B165" s="6">
        <v>4.05</v>
      </c>
      <c r="C165" s="7">
        <f t="shared" si="4"/>
        <v>-3.6367644170874951E-2</v>
      </c>
    </row>
    <row r="166" spans="1:3" ht="13.8" x14ac:dyDescent="0.25">
      <c r="A166" s="5">
        <v>33086</v>
      </c>
      <c r="B166" s="6">
        <v>3.41</v>
      </c>
      <c r="C166" s="7">
        <f t="shared" si="4"/>
        <v>-0.1720045898230223</v>
      </c>
    </row>
    <row r="167" spans="1:3" ht="13.8" x14ac:dyDescent="0.25">
      <c r="A167" s="5">
        <v>33120</v>
      </c>
      <c r="B167" s="6">
        <v>3.02</v>
      </c>
      <c r="C167" s="7">
        <f t="shared" si="4"/>
        <v>-0.12145545990864716</v>
      </c>
    </row>
    <row r="168" spans="1:3" ht="13.8" x14ac:dyDescent="0.25">
      <c r="A168" s="5">
        <v>33147</v>
      </c>
      <c r="B168" s="6">
        <v>2.78</v>
      </c>
      <c r="C168" s="7">
        <f t="shared" si="4"/>
        <v>-8.2805903684232657E-2</v>
      </c>
    </row>
    <row r="169" spans="1:3" ht="13.8" x14ac:dyDescent="0.25">
      <c r="A169" s="5">
        <v>33178</v>
      </c>
      <c r="B169" s="6">
        <v>2.74</v>
      </c>
      <c r="C169" s="7">
        <f t="shared" si="4"/>
        <v>-1.4493007302566639E-2</v>
      </c>
    </row>
    <row r="170" spans="1:3" ht="13.8" x14ac:dyDescent="0.25">
      <c r="A170" s="5">
        <v>33210</v>
      </c>
      <c r="B170" s="6">
        <v>2.66</v>
      </c>
      <c r="C170" s="7">
        <f t="shared" si="4"/>
        <v>-2.9631797606371229E-2</v>
      </c>
    </row>
    <row r="171" spans="1:3" ht="13.8" x14ac:dyDescent="0.25">
      <c r="A171" s="5">
        <v>33240</v>
      </c>
      <c r="B171" s="6">
        <v>2.88</v>
      </c>
      <c r="C171" s="7">
        <f t="shared" si="4"/>
        <v>7.9464171354246799E-2</v>
      </c>
    </row>
    <row r="172" spans="1:3" ht="13.8" x14ac:dyDescent="0.25">
      <c r="A172" s="5">
        <v>33270</v>
      </c>
      <c r="B172" s="6">
        <v>3.36</v>
      </c>
      <c r="C172" s="7">
        <f t="shared" si="4"/>
        <v>0.15415067982725836</v>
      </c>
    </row>
    <row r="173" spans="1:3" ht="13.8" x14ac:dyDescent="0.25">
      <c r="A173" s="5">
        <v>33298</v>
      </c>
      <c r="B173" s="6">
        <v>3.33</v>
      </c>
      <c r="C173" s="7">
        <f t="shared" si="4"/>
        <v>-8.9686699827603751E-3</v>
      </c>
    </row>
    <row r="174" spans="1:3" ht="13.8" x14ac:dyDescent="0.25">
      <c r="A174" s="5">
        <v>33329</v>
      </c>
      <c r="B174" s="6">
        <v>3.38</v>
      </c>
      <c r="C174" s="7">
        <f t="shared" si="4"/>
        <v>1.4903405502574948E-2</v>
      </c>
    </row>
    <row r="175" spans="1:3" ht="13.8" x14ac:dyDescent="0.25">
      <c r="A175" s="5">
        <v>33359</v>
      </c>
      <c r="B175" s="6">
        <v>3.84</v>
      </c>
      <c r="C175" s="7">
        <f t="shared" si="4"/>
        <v>0.12759665710470811</v>
      </c>
    </row>
    <row r="176" spans="1:3" ht="13.8" x14ac:dyDescent="0.25">
      <c r="A176" s="5">
        <v>33392</v>
      </c>
      <c r="B176" s="6">
        <v>3.75</v>
      </c>
      <c r="C176" s="7">
        <f t="shared" si="4"/>
        <v>-2.3716526617316044E-2</v>
      </c>
    </row>
    <row r="177" spans="1:3" ht="13.8" x14ac:dyDescent="0.25">
      <c r="A177" s="5">
        <v>33420</v>
      </c>
      <c r="B177" s="6">
        <v>3.53</v>
      </c>
      <c r="C177" s="7">
        <f t="shared" si="4"/>
        <v>-6.0457969037114145E-2</v>
      </c>
    </row>
    <row r="178" spans="1:3" ht="13.8" x14ac:dyDescent="0.25">
      <c r="A178" s="5">
        <v>33451</v>
      </c>
      <c r="B178" s="6">
        <v>3.28</v>
      </c>
      <c r="C178" s="7">
        <f t="shared" si="4"/>
        <v>-7.3454448549153062E-2</v>
      </c>
    </row>
    <row r="179" spans="1:3" ht="13.8" x14ac:dyDescent="0.25">
      <c r="A179" s="5">
        <v>33484</v>
      </c>
      <c r="B179" s="6">
        <v>3.16</v>
      </c>
      <c r="C179" s="7">
        <f t="shared" si="4"/>
        <v>-3.7271394797231537E-2</v>
      </c>
    </row>
    <row r="180" spans="1:3" ht="13.8" x14ac:dyDescent="0.25">
      <c r="A180" s="5">
        <v>33512</v>
      </c>
      <c r="B180" s="6">
        <v>2.9</v>
      </c>
      <c r="C180" s="7">
        <f t="shared" si="4"/>
        <v>-8.5861290606392512E-2</v>
      </c>
    </row>
    <row r="181" spans="1:3" ht="13.8" x14ac:dyDescent="0.25">
      <c r="A181" s="5">
        <v>33543</v>
      </c>
      <c r="B181" s="6">
        <v>2.57</v>
      </c>
      <c r="C181" s="7">
        <f t="shared" si="4"/>
        <v>-0.12080483808529992</v>
      </c>
    </row>
    <row r="182" spans="1:3" ht="13.8" x14ac:dyDescent="0.25">
      <c r="A182" s="5">
        <v>33574</v>
      </c>
      <c r="B182" s="6">
        <v>3.01</v>
      </c>
      <c r="C182" s="7">
        <f t="shared" si="4"/>
        <v>0.15803417985365598</v>
      </c>
    </row>
    <row r="183" spans="1:3" ht="13.8" x14ac:dyDescent="0.25">
      <c r="A183" s="5">
        <v>33605</v>
      </c>
      <c r="B183" s="6">
        <v>3.3</v>
      </c>
      <c r="C183" s="7">
        <f t="shared" si="4"/>
        <v>9.1982389711650264E-2</v>
      </c>
    </row>
    <row r="184" spans="1:3" ht="13.8" x14ac:dyDescent="0.25">
      <c r="A184" s="5">
        <v>33637</v>
      </c>
      <c r="B184" s="6">
        <v>3.98</v>
      </c>
      <c r="C184" s="7">
        <f t="shared" si="4"/>
        <v>0.18735935082391178</v>
      </c>
    </row>
    <row r="185" spans="1:3" ht="13.8" x14ac:dyDescent="0.25">
      <c r="A185" s="5">
        <v>33665</v>
      </c>
      <c r="B185" s="6">
        <v>4.1500000000000004</v>
      </c>
      <c r="C185" s="7">
        <f t="shared" si="4"/>
        <v>4.1826514946260718E-2</v>
      </c>
    </row>
    <row r="186" spans="1:3" ht="13.8" x14ac:dyDescent="0.25">
      <c r="A186" s="5">
        <v>33695</v>
      </c>
      <c r="B186" s="6">
        <v>4.96</v>
      </c>
      <c r="C186" s="7">
        <f t="shared" si="4"/>
        <v>0.17829740649422901</v>
      </c>
    </row>
    <row r="187" spans="1:3" ht="13.8" x14ac:dyDescent="0.25">
      <c r="A187" s="5">
        <v>33725</v>
      </c>
      <c r="B187" s="6">
        <v>4.8499999999999996</v>
      </c>
      <c r="C187" s="7">
        <f t="shared" si="4"/>
        <v>-2.2427035787444323E-2</v>
      </c>
    </row>
    <row r="188" spans="1:3" ht="13.8" x14ac:dyDescent="0.25">
      <c r="A188" s="5">
        <v>33756</v>
      </c>
      <c r="B188" s="6">
        <v>5.01</v>
      </c>
      <c r="C188" s="7">
        <f t="shared" si="4"/>
        <v>3.2457210147381704E-2</v>
      </c>
    </row>
    <row r="189" spans="1:3" ht="13.8" x14ac:dyDescent="0.25">
      <c r="A189" s="5">
        <v>33786</v>
      </c>
      <c r="B189" s="6">
        <v>5.04</v>
      </c>
      <c r="C189" s="7">
        <f t="shared" si="4"/>
        <v>5.9701669865039747E-3</v>
      </c>
    </row>
    <row r="190" spans="1:3" ht="13.8" x14ac:dyDescent="0.25">
      <c r="A190" s="5">
        <v>33819</v>
      </c>
      <c r="B190" s="6">
        <v>4.49</v>
      </c>
      <c r="C190" s="7">
        <f t="shared" si="4"/>
        <v>-0.11555338032911426</v>
      </c>
    </row>
    <row r="191" spans="1:3" ht="13.8" x14ac:dyDescent="0.25">
      <c r="A191" s="5">
        <v>33848</v>
      </c>
      <c r="B191" s="6">
        <v>4.3600000000000003</v>
      </c>
      <c r="C191" s="7">
        <f t="shared" si="4"/>
        <v>-2.9380644393219902E-2</v>
      </c>
    </row>
    <row r="192" spans="1:3" ht="13.8" x14ac:dyDescent="0.25">
      <c r="A192" s="5">
        <v>33878</v>
      </c>
      <c r="B192" s="6">
        <v>4.07</v>
      </c>
      <c r="C192" s="7">
        <f t="shared" si="4"/>
        <v>-6.8829057906439325E-2</v>
      </c>
    </row>
    <row r="193" spans="1:3" ht="13.8" x14ac:dyDescent="0.25">
      <c r="A193" s="5">
        <v>33910</v>
      </c>
      <c r="B193" s="6">
        <v>4.68</v>
      </c>
      <c r="C193" s="7">
        <f t="shared" si="4"/>
        <v>0.13965511047505152</v>
      </c>
    </row>
    <row r="194" spans="1:3" ht="13.8" x14ac:dyDescent="0.25">
      <c r="A194" s="5">
        <v>33939</v>
      </c>
      <c r="B194" s="6">
        <v>4.78</v>
      </c>
      <c r="C194" s="7">
        <f t="shared" si="4"/>
        <v>2.1142436573809383E-2</v>
      </c>
    </row>
    <row r="195" spans="1:3" ht="13.8" x14ac:dyDescent="0.25">
      <c r="A195" s="5">
        <v>33973</v>
      </c>
      <c r="B195" s="6">
        <v>5.18</v>
      </c>
      <c r="C195" s="7">
        <f t="shared" si="4"/>
        <v>8.0364509768026879E-2</v>
      </c>
    </row>
    <row r="196" spans="1:3" ht="13.8" x14ac:dyDescent="0.25">
      <c r="A196" s="5">
        <v>34001</v>
      </c>
      <c r="B196" s="6">
        <v>5.15</v>
      </c>
      <c r="C196" s="7">
        <f t="shared" si="4"/>
        <v>-5.8083415957467903E-3</v>
      </c>
    </row>
    <row r="197" spans="1:3" ht="13.8" x14ac:dyDescent="0.25">
      <c r="A197" s="5">
        <v>34029</v>
      </c>
      <c r="B197" s="6">
        <v>5.84</v>
      </c>
      <c r="C197" s="7">
        <f t="shared" ref="C197:C260" si="5">LN(B197/B196)</f>
        <v>0.12573408216449078</v>
      </c>
    </row>
    <row r="198" spans="1:3" ht="13.8" x14ac:dyDescent="0.25">
      <c r="A198" s="5">
        <v>34060</v>
      </c>
      <c r="B198" s="6">
        <v>6.2</v>
      </c>
      <c r="C198" s="7">
        <f t="shared" si="5"/>
        <v>5.9818495210910205E-2</v>
      </c>
    </row>
    <row r="199" spans="1:3" ht="13.8" x14ac:dyDescent="0.25">
      <c r="A199" s="5">
        <v>34092</v>
      </c>
      <c r="B199" s="6">
        <v>5.89</v>
      </c>
      <c r="C199" s="7">
        <f t="shared" si="5"/>
        <v>-5.1293294387550578E-2</v>
      </c>
    </row>
    <row r="200" spans="1:3" ht="13.8" x14ac:dyDescent="0.25">
      <c r="A200" s="5">
        <v>34121</v>
      </c>
      <c r="B200" s="6">
        <v>5.91</v>
      </c>
      <c r="C200" s="7">
        <f t="shared" si="5"/>
        <v>3.3898337545115241E-3</v>
      </c>
    </row>
    <row r="201" spans="1:3" ht="13.8" x14ac:dyDescent="0.25">
      <c r="A201" s="5">
        <v>34151</v>
      </c>
      <c r="B201" s="6">
        <v>6.02</v>
      </c>
      <c r="C201" s="7">
        <f t="shared" si="5"/>
        <v>1.8441427902722712E-2</v>
      </c>
    </row>
    <row r="202" spans="1:3" ht="13.8" x14ac:dyDescent="0.25">
      <c r="A202" s="5">
        <v>34183</v>
      </c>
      <c r="B202" s="6">
        <v>5.82</v>
      </c>
      <c r="C202" s="7">
        <f t="shared" si="5"/>
        <v>-3.3786997577383099E-2</v>
      </c>
    </row>
    <row r="203" spans="1:3" ht="13.8" x14ac:dyDescent="0.25">
      <c r="A203" s="5">
        <v>34213</v>
      </c>
      <c r="B203" s="6">
        <v>6.3</v>
      </c>
      <c r="C203" s="7">
        <f t="shared" si="5"/>
        <v>7.9249371654140477E-2</v>
      </c>
    </row>
    <row r="204" spans="1:3" ht="13.8" x14ac:dyDescent="0.25">
      <c r="A204" s="5">
        <v>34243</v>
      </c>
      <c r="B204" s="6">
        <v>7.11</v>
      </c>
      <c r="C204" s="7">
        <f t="shared" si="5"/>
        <v>0.12095261041766249</v>
      </c>
    </row>
    <row r="205" spans="1:3" ht="13.8" x14ac:dyDescent="0.25">
      <c r="A205" s="5">
        <v>34274</v>
      </c>
      <c r="B205" s="6">
        <v>6.98</v>
      </c>
      <c r="C205" s="7">
        <f t="shared" si="5"/>
        <v>-1.8453327040868366E-2</v>
      </c>
    </row>
    <row r="206" spans="1:3" ht="13.8" x14ac:dyDescent="0.25">
      <c r="A206" s="5">
        <v>34304</v>
      </c>
      <c r="B206" s="6">
        <v>7.41</v>
      </c>
      <c r="C206" s="7">
        <f t="shared" si="5"/>
        <v>5.9781522533714403E-2</v>
      </c>
    </row>
    <row r="207" spans="1:3" ht="13.8" x14ac:dyDescent="0.25">
      <c r="A207" s="5">
        <v>34337</v>
      </c>
      <c r="B207" s="6">
        <v>7.74</v>
      </c>
      <c r="C207" s="7">
        <f t="shared" si="5"/>
        <v>4.3571248293640313E-2</v>
      </c>
    </row>
    <row r="208" spans="1:3" ht="13.8" x14ac:dyDescent="0.25">
      <c r="A208" s="5">
        <v>34366</v>
      </c>
      <c r="B208" s="6">
        <v>7.18</v>
      </c>
      <c r="C208" s="7">
        <f t="shared" si="5"/>
        <v>-7.5102304541503032E-2</v>
      </c>
    </row>
    <row r="209" spans="1:3" ht="13.8" x14ac:dyDescent="0.25">
      <c r="A209" s="5">
        <v>34394</v>
      </c>
      <c r="B209" s="6">
        <v>6.79</v>
      </c>
      <c r="C209" s="7">
        <f t="shared" si="5"/>
        <v>-5.5848441489528007E-2</v>
      </c>
    </row>
    <row r="210" spans="1:3" ht="13.8" x14ac:dyDescent="0.25">
      <c r="A210" s="5">
        <v>34428</v>
      </c>
      <c r="B210" s="6">
        <v>6.8</v>
      </c>
      <c r="C210" s="7">
        <f t="shared" si="5"/>
        <v>1.4716706114562507E-3</v>
      </c>
    </row>
    <row r="211" spans="1:3" ht="13.8" x14ac:dyDescent="0.25">
      <c r="A211" s="5">
        <v>34456</v>
      </c>
      <c r="B211" s="6">
        <v>6.72</v>
      </c>
      <c r="C211" s="7">
        <f t="shared" si="5"/>
        <v>-1.1834457647002796E-2</v>
      </c>
    </row>
    <row r="212" spans="1:3" ht="13.8" x14ac:dyDescent="0.25">
      <c r="A212" s="5">
        <v>34486</v>
      </c>
      <c r="B212" s="6">
        <v>6.87</v>
      </c>
      <c r="C212" s="7">
        <f t="shared" si="5"/>
        <v>2.2075951699199826E-2</v>
      </c>
    </row>
    <row r="213" spans="1:3" ht="13.8" x14ac:dyDescent="0.25">
      <c r="A213" s="5">
        <v>34516</v>
      </c>
      <c r="B213" s="6">
        <v>7.47</v>
      </c>
      <c r="C213" s="7">
        <f t="shared" si="5"/>
        <v>8.3730892910467952E-2</v>
      </c>
    </row>
    <row r="214" spans="1:3" ht="13.8" x14ac:dyDescent="0.25">
      <c r="A214" s="5">
        <v>34547</v>
      </c>
      <c r="B214" s="6">
        <v>6.86</v>
      </c>
      <c r="C214" s="7">
        <f t="shared" si="5"/>
        <v>-8.5187557406931985E-2</v>
      </c>
    </row>
    <row r="215" spans="1:3" ht="13.8" x14ac:dyDescent="0.25">
      <c r="A215" s="5">
        <v>34578</v>
      </c>
      <c r="B215" s="6">
        <v>6.51</v>
      </c>
      <c r="C215" s="7">
        <f t="shared" si="5"/>
        <v>-5.2367985517316043E-2</v>
      </c>
    </row>
    <row r="216" spans="1:3" ht="13.8" x14ac:dyDescent="0.25">
      <c r="A216" s="5">
        <v>34610</v>
      </c>
      <c r="B216" s="6">
        <v>6.98</v>
      </c>
      <c r="C216" s="7">
        <f t="shared" si="5"/>
        <v>6.9709460553803324E-2</v>
      </c>
    </row>
    <row r="217" spans="1:3" ht="13.8" x14ac:dyDescent="0.25">
      <c r="A217" s="5">
        <v>34639</v>
      </c>
      <c r="B217" s="6">
        <v>6.42</v>
      </c>
      <c r="C217" s="7">
        <f t="shared" si="5"/>
        <v>-8.363079907241136E-2</v>
      </c>
    </row>
    <row r="218" spans="1:3" ht="13.8" x14ac:dyDescent="0.25">
      <c r="A218" s="5">
        <v>34669</v>
      </c>
      <c r="B218" s="6">
        <v>6.59</v>
      </c>
      <c r="C218" s="7">
        <f t="shared" si="5"/>
        <v>2.6135230812545995E-2</v>
      </c>
    </row>
    <row r="219" spans="1:3" ht="13.8" x14ac:dyDescent="0.25">
      <c r="A219" s="5">
        <v>34702</v>
      </c>
      <c r="B219" s="6">
        <v>6.03</v>
      </c>
      <c r="C219" s="7">
        <f t="shared" si="5"/>
        <v>-8.8806337775321667E-2</v>
      </c>
    </row>
    <row r="220" spans="1:3" ht="13.8" x14ac:dyDescent="0.25">
      <c r="A220" s="5">
        <v>34731</v>
      </c>
      <c r="B220" s="6">
        <v>6.24</v>
      </c>
      <c r="C220" s="7">
        <f t="shared" si="5"/>
        <v>3.4233171642242176E-2</v>
      </c>
    </row>
    <row r="221" spans="1:3" ht="13.8" x14ac:dyDescent="0.25">
      <c r="A221" s="5">
        <v>34759</v>
      </c>
      <c r="B221" s="6">
        <v>6.42</v>
      </c>
      <c r="C221" s="7">
        <f t="shared" si="5"/>
        <v>2.843793532053341E-2</v>
      </c>
    </row>
    <row r="222" spans="1:3" ht="13.8" x14ac:dyDescent="0.25">
      <c r="A222" s="5">
        <v>34792</v>
      </c>
      <c r="B222" s="6">
        <v>6.55</v>
      </c>
      <c r="C222" s="7">
        <f t="shared" si="5"/>
        <v>2.0046931945290693E-2</v>
      </c>
    </row>
    <row r="223" spans="1:3" ht="13.8" x14ac:dyDescent="0.25">
      <c r="A223" s="5">
        <v>34820</v>
      </c>
      <c r="B223" s="6">
        <v>7.07</v>
      </c>
      <c r="C223" s="7">
        <f t="shared" si="5"/>
        <v>7.6395430261320882E-2</v>
      </c>
    </row>
    <row r="224" spans="1:3" ht="13.8" x14ac:dyDescent="0.25">
      <c r="A224" s="5">
        <v>34851</v>
      </c>
      <c r="B224" s="6">
        <v>7.19</v>
      </c>
      <c r="C224" s="7">
        <f t="shared" si="5"/>
        <v>1.6830691824473852E-2</v>
      </c>
    </row>
    <row r="225" spans="1:3" ht="13.8" x14ac:dyDescent="0.25">
      <c r="A225" s="5">
        <v>34883</v>
      </c>
      <c r="B225" s="6">
        <v>7.08</v>
      </c>
      <c r="C225" s="7">
        <f t="shared" si="5"/>
        <v>-1.5417264027326941E-2</v>
      </c>
    </row>
    <row r="226" spans="1:3" ht="13.8" x14ac:dyDescent="0.25">
      <c r="A226" s="5">
        <v>34912</v>
      </c>
      <c r="B226" s="6">
        <v>7.51</v>
      </c>
      <c r="C226" s="7">
        <f t="shared" si="5"/>
        <v>5.89615580704149E-2</v>
      </c>
    </row>
    <row r="227" spans="1:3" ht="13.8" x14ac:dyDescent="0.25">
      <c r="A227" s="5">
        <v>34943</v>
      </c>
      <c r="B227" s="6">
        <v>7.6</v>
      </c>
      <c r="C227" s="7">
        <f t="shared" si="5"/>
        <v>1.1912781516241961E-2</v>
      </c>
    </row>
    <row r="228" spans="1:3" ht="13.8" x14ac:dyDescent="0.25">
      <c r="A228" s="5">
        <v>34974</v>
      </c>
      <c r="B228" s="6">
        <v>7.11</v>
      </c>
      <c r="C228" s="7">
        <f t="shared" si="5"/>
        <v>-6.6646003477135798E-2</v>
      </c>
    </row>
    <row r="229" spans="1:3" ht="13.8" x14ac:dyDescent="0.25">
      <c r="A229" s="5">
        <v>35004</v>
      </c>
      <c r="B229" s="6">
        <v>6.98</v>
      </c>
      <c r="C229" s="7">
        <f t="shared" si="5"/>
        <v>-1.8453327040868366E-2</v>
      </c>
    </row>
    <row r="230" spans="1:3" ht="13.8" x14ac:dyDescent="0.25">
      <c r="A230" s="5">
        <v>35034</v>
      </c>
      <c r="B230" s="6">
        <v>7.14</v>
      </c>
      <c r="C230" s="7">
        <f t="shared" si="5"/>
        <v>2.266385957721187E-2</v>
      </c>
    </row>
    <row r="231" spans="1:3" ht="13.8" x14ac:dyDescent="0.25">
      <c r="A231" s="5">
        <v>35066</v>
      </c>
      <c r="B231" s="6">
        <v>7.38</v>
      </c>
      <c r="C231" s="7">
        <f t="shared" si="5"/>
        <v>3.306086226088821E-2</v>
      </c>
    </row>
    <row r="232" spans="1:3" ht="13.8" x14ac:dyDescent="0.25">
      <c r="A232" s="5">
        <v>35096</v>
      </c>
      <c r="B232" s="6">
        <v>7.82</v>
      </c>
      <c r="C232" s="7">
        <f t="shared" si="5"/>
        <v>5.791091594483868E-2</v>
      </c>
    </row>
    <row r="233" spans="1:3" ht="13.8" x14ac:dyDescent="0.25">
      <c r="A233" s="5">
        <v>35125</v>
      </c>
      <c r="B233" s="6">
        <v>8.6</v>
      </c>
      <c r="C233" s="7">
        <f t="shared" si="5"/>
        <v>9.5077648702242182E-2</v>
      </c>
    </row>
    <row r="234" spans="1:3" ht="13.8" x14ac:dyDescent="0.25">
      <c r="A234" s="5">
        <v>35156</v>
      </c>
      <c r="B234" s="6">
        <v>9.06</v>
      </c>
      <c r="C234" s="7">
        <f t="shared" si="5"/>
        <v>5.2106916795425916E-2</v>
      </c>
    </row>
    <row r="235" spans="1:3" ht="13.8" x14ac:dyDescent="0.25">
      <c r="A235" s="5">
        <v>35186</v>
      </c>
      <c r="B235" s="6">
        <v>9.2200000000000006</v>
      </c>
      <c r="C235" s="7">
        <f t="shared" si="5"/>
        <v>1.7505917513614588E-2</v>
      </c>
    </row>
    <row r="236" spans="1:3" ht="13.8" x14ac:dyDescent="0.25">
      <c r="A236" s="5">
        <v>35219</v>
      </c>
      <c r="B236" s="6">
        <v>8.18</v>
      </c>
      <c r="C236" s="7">
        <f t="shared" si="5"/>
        <v>-0.11968288695384689</v>
      </c>
    </row>
    <row r="237" spans="1:3" ht="13.8" x14ac:dyDescent="0.25">
      <c r="A237" s="5">
        <v>35247</v>
      </c>
      <c r="B237" s="6">
        <v>8.2799999999999994</v>
      </c>
      <c r="C237" s="7">
        <f t="shared" si="5"/>
        <v>1.2150817782512528E-2</v>
      </c>
    </row>
    <row r="238" spans="1:3" ht="13.8" x14ac:dyDescent="0.25">
      <c r="A238" s="5">
        <v>35278</v>
      </c>
      <c r="B238" s="6">
        <v>8.57</v>
      </c>
      <c r="C238" s="7">
        <f t="shared" si="5"/>
        <v>3.4424764212520248E-2</v>
      </c>
    </row>
    <row r="239" spans="1:3" ht="13.8" x14ac:dyDescent="0.25">
      <c r="A239" s="5">
        <v>35311</v>
      </c>
      <c r="B239" s="6">
        <v>7.99</v>
      </c>
      <c r="C239" s="7">
        <f t="shared" si="5"/>
        <v>-7.0076972831505116E-2</v>
      </c>
    </row>
    <row r="240" spans="1:3" ht="13.8" x14ac:dyDescent="0.25">
      <c r="A240" s="5">
        <v>35339</v>
      </c>
      <c r="B240" s="6">
        <v>8.09</v>
      </c>
      <c r="C240" s="7">
        <f t="shared" si="5"/>
        <v>1.2437971292217053E-2</v>
      </c>
    </row>
    <row r="241" spans="1:3" ht="13.8" x14ac:dyDescent="0.25">
      <c r="A241" s="5">
        <v>35370</v>
      </c>
      <c r="B241" s="6">
        <v>8.48</v>
      </c>
      <c r="C241" s="7">
        <f t="shared" si="5"/>
        <v>4.7081718733411472E-2</v>
      </c>
    </row>
    <row r="242" spans="1:3" ht="13.8" x14ac:dyDescent="0.25">
      <c r="A242" s="5">
        <v>35401</v>
      </c>
      <c r="B242" s="6">
        <v>8.35</v>
      </c>
      <c r="C242" s="7">
        <f t="shared" si="5"/>
        <v>-1.5448910941047713E-2</v>
      </c>
    </row>
    <row r="243" spans="1:3" ht="13.8" x14ac:dyDescent="0.25">
      <c r="A243" s="5">
        <v>35432</v>
      </c>
      <c r="B243" s="6">
        <v>8.42</v>
      </c>
      <c r="C243" s="7">
        <f t="shared" si="5"/>
        <v>8.3482893914712444E-3</v>
      </c>
    </row>
    <row r="244" spans="1:3" ht="13.8" x14ac:dyDescent="0.25">
      <c r="A244" s="5">
        <v>35464</v>
      </c>
      <c r="B244" s="6">
        <v>8.61</v>
      </c>
      <c r="C244" s="7">
        <f t="shared" si="5"/>
        <v>2.2314490185404039E-2</v>
      </c>
    </row>
    <row r="245" spans="1:3" ht="13.8" x14ac:dyDescent="0.25">
      <c r="A245" s="5">
        <v>35492</v>
      </c>
      <c r="B245" s="6">
        <v>8.2200000000000006</v>
      </c>
      <c r="C245" s="7">
        <f t="shared" si="5"/>
        <v>-4.6354109371550725E-2</v>
      </c>
    </row>
    <row r="246" spans="1:3" ht="13.8" x14ac:dyDescent="0.25">
      <c r="A246" s="5">
        <v>35521</v>
      </c>
      <c r="B246" s="6">
        <v>9.2100000000000009</v>
      </c>
      <c r="C246" s="7">
        <f t="shared" si="5"/>
        <v>0.11371964119912695</v>
      </c>
    </row>
    <row r="247" spans="1:3" ht="13.8" x14ac:dyDescent="0.25">
      <c r="A247" s="5">
        <v>35551</v>
      </c>
      <c r="B247" s="6">
        <v>9.94</v>
      </c>
      <c r="C247" s="7">
        <f t="shared" si="5"/>
        <v>7.6277170401267011E-2</v>
      </c>
    </row>
    <row r="248" spans="1:3" ht="13.8" x14ac:dyDescent="0.25">
      <c r="A248" s="5">
        <v>35583</v>
      </c>
      <c r="B248" s="6">
        <v>10.07</v>
      </c>
      <c r="C248" s="7">
        <f t="shared" si="5"/>
        <v>1.2993686061988398E-2</v>
      </c>
    </row>
    <row r="249" spans="1:3" ht="13.8" x14ac:dyDescent="0.25">
      <c r="A249" s="5">
        <v>35612</v>
      </c>
      <c r="B249" s="6">
        <v>10.95</v>
      </c>
      <c r="C249" s="7">
        <f t="shared" si="5"/>
        <v>8.3778749532038801E-2</v>
      </c>
    </row>
    <row r="250" spans="1:3" ht="13.8" x14ac:dyDescent="0.25">
      <c r="A250" s="5">
        <v>35643</v>
      </c>
      <c r="B250" s="6">
        <v>11.51</v>
      </c>
      <c r="C250" s="7">
        <f t="shared" si="5"/>
        <v>4.9876766471281531E-2</v>
      </c>
    </row>
    <row r="251" spans="1:3" ht="13.8" x14ac:dyDescent="0.25">
      <c r="A251" s="5">
        <v>35675</v>
      </c>
      <c r="B251" s="6">
        <v>12.08</v>
      </c>
      <c r="C251" s="7">
        <f t="shared" si="5"/>
        <v>4.8334969772877691E-2</v>
      </c>
    </row>
    <row r="252" spans="1:3" ht="13.8" x14ac:dyDescent="0.25">
      <c r="A252" s="5">
        <v>35704</v>
      </c>
      <c r="B252" s="6">
        <v>11.81</v>
      </c>
      <c r="C252" s="7">
        <f t="shared" si="5"/>
        <v>-2.2604562297397868E-2</v>
      </c>
    </row>
    <row r="253" spans="1:3" ht="13.8" x14ac:dyDescent="0.25">
      <c r="A253" s="5">
        <v>35737</v>
      </c>
      <c r="B253" s="6">
        <v>11.62</v>
      </c>
      <c r="C253" s="7">
        <f t="shared" si="5"/>
        <v>-1.6218878785505923E-2</v>
      </c>
    </row>
    <row r="254" spans="1:3" ht="13.8" x14ac:dyDescent="0.25">
      <c r="A254" s="5">
        <v>35765</v>
      </c>
      <c r="B254" s="6">
        <v>13.13</v>
      </c>
      <c r="C254" s="7">
        <f t="shared" si="5"/>
        <v>0.12217193689093982</v>
      </c>
    </row>
    <row r="255" spans="1:3" ht="13.8" x14ac:dyDescent="0.25">
      <c r="A255" s="5">
        <v>35797</v>
      </c>
      <c r="B255" s="6">
        <v>13.9</v>
      </c>
      <c r="C255" s="7">
        <f t="shared" si="5"/>
        <v>5.6989151821941128E-2</v>
      </c>
    </row>
    <row r="256" spans="1:3" ht="13.8" x14ac:dyDescent="0.25">
      <c r="A256" s="5">
        <v>35828</v>
      </c>
      <c r="B256" s="6">
        <v>15.42</v>
      </c>
      <c r="C256" s="7">
        <f t="shared" si="5"/>
        <v>0.10377652799853726</v>
      </c>
    </row>
    <row r="257" spans="1:3" ht="13.8" x14ac:dyDescent="0.25">
      <c r="A257" s="5">
        <v>35856</v>
      </c>
      <c r="B257" s="6">
        <v>17.670000000000002</v>
      </c>
      <c r="C257" s="7">
        <f t="shared" si="5"/>
        <v>0.13620291819642172</v>
      </c>
    </row>
    <row r="258" spans="1:3" ht="13.8" x14ac:dyDescent="0.25">
      <c r="A258" s="5">
        <v>35886</v>
      </c>
      <c r="B258" s="6">
        <v>18.59</v>
      </c>
      <c r="C258" s="7">
        <f t="shared" si="5"/>
        <v>5.0755515401747456E-2</v>
      </c>
    </row>
    <row r="259" spans="1:3" ht="13.8" x14ac:dyDescent="0.25">
      <c r="A259" s="5">
        <v>35916</v>
      </c>
      <c r="B259" s="6">
        <v>21.06</v>
      </c>
      <c r="C259" s="7">
        <f t="shared" si="5"/>
        <v>0.12475170497247665</v>
      </c>
    </row>
    <row r="260" spans="1:3" ht="13.8" x14ac:dyDescent="0.25">
      <c r="A260" s="5">
        <v>35947</v>
      </c>
      <c r="B260" s="6">
        <v>23.95</v>
      </c>
      <c r="C260" s="7">
        <f t="shared" si="5"/>
        <v>0.12859281715109486</v>
      </c>
    </row>
    <row r="261" spans="1:3" ht="13.8" x14ac:dyDescent="0.25">
      <c r="A261" s="5">
        <v>35977</v>
      </c>
      <c r="B261" s="6">
        <v>23.3</v>
      </c>
      <c r="C261" s="7">
        <f t="shared" ref="C261:C324" si="6">LN(B261/B260)</f>
        <v>-2.7514963285269253E-2</v>
      </c>
    </row>
    <row r="262" spans="1:3" ht="13.8" x14ac:dyDescent="0.25">
      <c r="A262" s="5">
        <v>36010</v>
      </c>
      <c r="B262" s="6">
        <v>18.239999999999998</v>
      </c>
      <c r="C262" s="7">
        <f t="shared" si="6"/>
        <v>-0.24483637592546964</v>
      </c>
    </row>
    <row r="263" spans="1:3" ht="13.8" x14ac:dyDescent="0.25">
      <c r="A263" s="5">
        <v>36039</v>
      </c>
      <c r="B263" s="6">
        <v>19.21</v>
      </c>
      <c r="C263" s="7">
        <f t="shared" si="6"/>
        <v>5.1813992134280118E-2</v>
      </c>
    </row>
    <row r="264" spans="1:3" ht="13.8" x14ac:dyDescent="0.25">
      <c r="A264" s="5">
        <v>36069</v>
      </c>
      <c r="B264" s="6">
        <v>22.38</v>
      </c>
      <c r="C264" s="7">
        <f t="shared" si="6"/>
        <v>0.15273672610331385</v>
      </c>
    </row>
    <row r="265" spans="1:3" ht="13.8" x14ac:dyDescent="0.25">
      <c r="A265" s="5">
        <v>36101</v>
      </c>
      <c r="B265" s="6">
        <v>22.71</v>
      </c>
      <c r="C265" s="7">
        <f t="shared" si="6"/>
        <v>1.4637653233688045E-2</v>
      </c>
    </row>
    <row r="266" spans="1:3" ht="13.8" x14ac:dyDescent="0.25">
      <c r="A266" s="5">
        <v>36130</v>
      </c>
      <c r="B266" s="6">
        <v>24.21</v>
      </c>
      <c r="C266" s="7">
        <f t="shared" si="6"/>
        <v>6.3960414832500104E-2</v>
      </c>
    </row>
    <row r="267" spans="1:3" ht="13.8" x14ac:dyDescent="0.25">
      <c r="A267" s="5">
        <v>36164</v>
      </c>
      <c r="B267" s="6">
        <v>25.54</v>
      </c>
      <c r="C267" s="7">
        <f t="shared" si="6"/>
        <v>5.3480079654426013E-2</v>
      </c>
    </row>
    <row r="268" spans="1:3" ht="13.8" x14ac:dyDescent="0.25">
      <c r="A268" s="5">
        <v>36192</v>
      </c>
      <c r="B268" s="6">
        <v>24.65</v>
      </c>
      <c r="C268" s="7">
        <f t="shared" si="6"/>
        <v>-3.5468950115694176E-2</v>
      </c>
    </row>
    <row r="269" spans="1:3" ht="13.8" x14ac:dyDescent="0.25">
      <c r="A269" s="5">
        <v>36220</v>
      </c>
      <c r="B269" s="6">
        <v>23.56</v>
      </c>
      <c r="C269" s="7">
        <f t="shared" si="6"/>
        <v>-4.5226541705313116E-2</v>
      </c>
    </row>
    <row r="270" spans="1:3" ht="13.8" x14ac:dyDescent="0.25">
      <c r="A270" s="5">
        <v>36251</v>
      </c>
      <c r="B270" s="6">
        <v>26.77</v>
      </c>
      <c r="C270" s="7">
        <f t="shared" si="6"/>
        <v>0.12773149874887532</v>
      </c>
    </row>
    <row r="271" spans="1:3" ht="13.8" x14ac:dyDescent="0.25">
      <c r="A271" s="5">
        <v>36283</v>
      </c>
      <c r="B271" s="6">
        <v>23.92</v>
      </c>
      <c r="C271" s="7">
        <f t="shared" si="6"/>
        <v>-0.11256692844983009</v>
      </c>
    </row>
    <row r="272" spans="1:3" ht="13.8" x14ac:dyDescent="0.25">
      <c r="A272" s="5">
        <v>36312</v>
      </c>
      <c r="B272" s="6">
        <v>23.63</v>
      </c>
      <c r="C272" s="7">
        <f t="shared" si="6"/>
        <v>-1.219783788361465E-2</v>
      </c>
    </row>
    <row r="273" spans="1:3" ht="13.8" x14ac:dyDescent="0.25">
      <c r="A273" s="5">
        <v>36342</v>
      </c>
      <c r="B273" s="6">
        <v>20.48</v>
      </c>
      <c r="C273" s="7">
        <f t="shared" si="6"/>
        <v>-0.1430682910275094</v>
      </c>
    </row>
    <row r="274" spans="1:3" ht="13.8" x14ac:dyDescent="0.25">
      <c r="A274" s="5">
        <v>36374</v>
      </c>
      <c r="B274" s="6">
        <v>22.01</v>
      </c>
      <c r="C274" s="7">
        <f t="shared" si="6"/>
        <v>7.2048095367063261E-2</v>
      </c>
    </row>
    <row r="275" spans="1:3" ht="13.8" x14ac:dyDescent="0.25">
      <c r="A275" s="5">
        <v>36404</v>
      </c>
      <c r="B275" s="6">
        <v>21.22</v>
      </c>
      <c r="C275" s="7">
        <f t="shared" si="6"/>
        <v>-3.6552762352533331E-2</v>
      </c>
    </row>
    <row r="276" spans="1:3" ht="13.8" x14ac:dyDescent="0.25">
      <c r="A276" s="5">
        <v>36434</v>
      </c>
      <c r="B276" s="6">
        <v>23.39</v>
      </c>
      <c r="C276" s="7">
        <f t="shared" si="6"/>
        <v>9.7364447410250701E-2</v>
      </c>
    </row>
    <row r="277" spans="1:3" ht="13.8" x14ac:dyDescent="0.25">
      <c r="A277" s="5">
        <v>36465</v>
      </c>
      <c r="B277" s="6">
        <v>21.53</v>
      </c>
      <c r="C277" s="7">
        <f t="shared" si="6"/>
        <v>-8.2861269219816028E-2</v>
      </c>
    </row>
    <row r="278" spans="1:3" ht="13.8" x14ac:dyDescent="0.25">
      <c r="A278" s="5">
        <v>36495</v>
      </c>
      <c r="B278" s="6">
        <v>22.72</v>
      </c>
      <c r="C278" s="7">
        <f t="shared" si="6"/>
        <v>5.3798282476678901E-2</v>
      </c>
    </row>
    <row r="279" spans="1:3" ht="13.8" x14ac:dyDescent="0.25">
      <c r="A279" s="5">
        <v>36528</v>
      </c>
      <c r="B279" s="6">
        <v>21.42</v>
      </c>
      <c r="C279" s="7">
        <f t="shared" si="6"/>
        <v>-5.8920528833347724E-2</v>
      </c>
    </row>
    <row r="280" spans="1:3" ht="13.8" x14ac:dyDescent="0.25">
      <c r="A280" s="5">
        <v>36557</v>
      </c>
      <c r="B280" s="6">
        <v>17.920000000000002</v>
      </c>
      <c r="C280" s="7">
        <f t="shared" si="6"/>
        <v>-0.17840765747281825</v>
      </c>
    </row>
    <row r="281" spans="1:3" ht="13.8" x14ac:dyDescent="0.25">
      <c r="A281" s="5">
        <v>36586</v>
      </c>
      <c r="B281" s="6">
        <v>19.78</v>
      </c>
      <c r="C281" s="7">
        <f t="shared" si="6"/>
        <v>9.8753918647781588E-2</v>
      </c>
    </row>
    <row r="282" spans="1:3" ht="13.8" x14ac:dyDescent="0.25">
      <c r="A282" s="5">
        <v>36619</v>
      </c>
      <c r="B282" s="6">
        <v>23.79</v>
      </c>
      <c r="C282" s="7">
        <f t="shared" si="6"/>
        <v>0.1845939981203002</v>
      </c>
    </row>
    <row r="283" spans="1:3" ht="13.8" x14ac:dyDescent="0.25">
      <c r="A283" s="5">
        <v>36647</v>
      </c>
      <c r="B283" s="6">
        <v>21.1</v>
      </c>
      <c r="C283" s="7">
        <f t="shared" si="6"/>
        <v>-0.11999228383284538</v>
      </c>
    </row>
    <row r="284" spans="1:3" ht="13.8" x14ac:dyDescent="0.25">
      <c r="A284" s="5">
        <v>36678</v>
      </c>
      <c r="B284" s="6">
        <v>19.45</v>
      </c>
      <c r="C284" s="7">
        <f t="shared" si="6"/>
        <v>-8.1425970417565607E-2</v>
      </c>
    </row>
    <row r="285" spans="1:3" ht="13.8" x14ac:dyDescent="0.25">
      <c r="A285" s="5">
        <v>36710</v>
      </c>
      <c r="B285" s="6">
        <v>21.29</v>
      </c>
      <c r="C285" s="7">
        <f t="shared" si="6"/>
        <v>9.0390408840932718E-2</v>
      </c>
    </row>
    <row r="286" spans="1:3" ht="13.8" x14ac:dyDescent="0.25">
      <c r="A286" s="5">
        <v>36739</v>
      </c>
      <c r="B286" s="6">
        <v>19.329999999999998</v>
      </c>
      <c r="C286" s="7">
        <f t="shared" si="6"/>
        <v>-9.6579185685148602E-2</v>
      </c>
    </row>
    <row r="287" spans="1:3" ht="13.8" x14ac:dyDescent="0.25">
      <c r="A287" s="5">
        <v>36770</v>
      </c>
      <c r="B287" s="6">
        <v>20.38</v>
      </c>
      <c r="C287" s="7">
        <f t="shared" si="6"/>
        <v>5.289573457433927E-2</v>
      </c>
    </row>
    <row r="288" spans="1:3" ht="13.8" x14ac:dyDescent="0.25">
      <c r="A288" s="5">
        <v>36801</v>
      </c>
      <c r="B288" s="6">
        <v>21.12</v>
      </c>
      <c r="C288" s="7">
        <f t="shared" si="6"/>
        <v>3.5666431043481994E-2</v>
      </c>
    </row>
    <row r="289" spans="1:3" ht="13.8" x14ac:dyDescent="0.25">
      <c r="A289" s="5">
        <v>36831</v>
      </c>
      <c r="B289" s="6">
        <v>18.399999999999999</v>
      </c>
      <c r="C289" s="7">
        <f t="shared" si="6"/>
        <v>-0.1378697942231209</v>
      </c>
    </row>
    <row r="290" spans="1:3" ht="13.8" x14ac:dyDescent="0.25">
      <c r="A290" s="5">
        <v>36861</v>
      </c>
      <c r="B290" s="6">
        <v>18.96</v>
      </c>
      <c r="C290" s="7">
        <f t="shared" si="6"/>
        <v>2.9980832211935857E-2</v>
      </c>
    </row>
    <row r="291" spans="1:3" ht="13.8" x14ac:dyDescent="0.25">
      <c r="A291" s="5">
        <v>36893</v>
      </c>
      <c r="B291" s="6">
        <v>23.05</v>
      </c>
      <c r="C291" s="7">
        <f t="shared" si="6"/>
        <v>0.19533427261578168</v>
      </c>
    </row>
    <row r="292" spans="1:3" ht="13.8" x14ac:dyDescent="0.25">
      <c r="A292" s="5">
        <v>36923</v>
      </c>
      <c r="B292" s="6">
        <v>22.73</v>
      </c>
      <c r="C292" s="7">
        <f t="shared" si="6"/>
        <v>-1.3980131578205685E-2</v>
      </c>
    </row>
    <row r="293" spans="1:3" ht="13.8" x14ac:dyDescent="0.25">
      <c r="A293" s="5">
        <v>36951</v>
      </c>
      <c r="B293" s="6">
        <v>22.99</v>
      </c>
      <c r="C293" s="7">
        <f t="shared" si="6"/>
        <v>1.1373700910638345E-2</v>
      </c>
    </row>
    <row r="294" spans="1:3" ht="13.8" x14ac:dyDescent="0.25">
      <c r="A294" s="5">
        <v>36983</v>
      </c>
      <c r="B294" s="6">
        <v>24.35</v>
      </c>
      <c r="C294" s="7">
        <f t="shared" si="6"/>
        <v>5.7472510753508718E-2</v>
      </c>
    </row>
    <row r="295" spans="1:3" ht="13.8" x14ac:dyDescent="0.25">
      <c r="A295" s="5">
        <v>37012</v>
      </c>
      <c r="B295" s="6">
        <v>20.11</v>
      </c>
      <c r="C295" s="7">
        <f t="shared" si="6"/>
        <v>-0.19131464574403825</v>
      </c>
    </row>
    <row r="296" spans="1:3" ht="13.8" x14ac:dyDescent="0.25">
      <c r="A296" s="5">
        <v>37043</v>
      </c>
      <c r="B296" s="6">
        <v>20.27</v>
      </c>
      <c r="C296" s="7">
        <f t="shared" si="6"/>
        <v>7.9247566793480655E-3</v>
      </c>
    </row>
    <row r="297" spans="1:3" ht="13.8" x14ac:dyDescent="0.25">
      <c r="A297" s="5">
        <v>37074</v>
      </c>
      <c r="B297" s="6">
        <v>21.03</v>
      </c>
      <c r="C297" s="7">
        <f t="shared" si="6"/>
        <v>3.6808029250699835E-2</v>
      </c>
    </row>
    <row r="298" spans="1:3" ht="13.8" x14ac:dyDescent="0.25">
      <c r="A298" s="5">
        <v>37104</v>
      </c>
      <c r="B298" s="6">
        <v>16.61</v>
      </c>
      <c r="C298" s="7">
        <f t="shared" si="6"/>
        <v>-0.23594506608940505</v>
      </c>
    </row>
    <row r="299" spans="1:3" ht="13.8" x14ac:dyDescent="0.25">
      <c r="A299" s="5">
        <v>37138</v>
      </c>
      <c r="B299" s="6">
        <v>14.5</v>
      </c>
      <c r="C299" s="7">
        <f t="shared" si="6"/>
        <v>-0.1358562741986748</v>
      </c>
    </row>
    <row r="300" spans="1:3" ht="13.8" x14ac:dyDescent="0.25">
      <c r="A300" s="5">
        <v>37165</v>
      </c>
      <c r="B300" s="6">
        <v>13.54</v>
      </c>
      <c r="C300" s="7">
        <f t="shared" si="6"/>
        <v>-6.8500381942399824E-2</v>
      </c>
    </row>
    <row r="301" spans="1:3" ht="13.8" x14ac:dyDescent="0.25">
      <c r="A301" s="5">
        <v>37196</v>
      </c>
      <c r="B301" s="6">
        <v>15.98</v>
      </c>
      <c r="C301" s="7">
        <f t="shared" si="6"/>
        <v>0.16568967285399983</v>
      </c>
    </row>
    <row r="302" spans="1:3" ht="13.8" x14ac:dyDescent="0.25">
      <c r="A302" s="5">
        <v>37228</v>
      </c>
      <c r="B302" s="6">
        <v>13.26</v>
      </c>
      <c r="C302" s="7">
        <f t="shared" si="6"/>
        <v>-0.18658595558041219</v>
      </c>
    </row>
    <row r="303" spans="1:3" ht="13.8" x14ac:dyDescent="0.25">
      <c r="A303" s="5">
        <v>37258</v>
      </c>
      <c r="B303" s="6">
        <v>13</v>
      </c>
      <c r="C303" s="7">
        <f t="shared" si="6"/>
        <v>-1.9802627296179643E-2</v>
      </c>
    </row>
    <row r="304" spans="1:3" ht="13.8" x14ac:dyDescent="0.25">
      <c r="A304" s="5">
        <v>37288</v>
      </c>
      <c r="B304" s="6">
        <v>12.64</v>
      </c>
      <c r="C304" s="7">
        <f t="shared" si="6"/>
        <v>-2.8082968742825364E-2</v>
      </c>
    </row>
    <row r="305" spans="1:3" ht="13.8" x14ac:dyDescent="0.25">
      <c r="A305" s="5">
        <v>37316</v>
      </c>
      <c r="B305" s="6">
        <v>14.01</v>
      </c>
      <c r="C305" s="7">
        <f t="shared" si="6"/>
        <v>0.10290497163020429</v>
      </c>
    </row>
    <row r="306" spans="1:3" ht="13.8" x14ac:dyDescent="0.25">
      <c r="A306" s="5">
        <v>37347</v>
      </c>
      <c r="B306" s="6">
        <v>13.59</v>
      </c>
      <c r="C306" s="7">
        <f t="shared" si="6"/>
        <v>-3.0437132185863296E-2</v>
      </c>
    </row>
    <row r="307" spans="1:3" ht="13.8" x14ac:dyDescent="0.25">
      <c r="A307" s="5">
        <v>37377</v>
      </c>
      <c r="B307" s="6">
        <v>15.09</v>
      </c>
      <c r="C307" s="7">
        <f t="shared" si="6"/>
        <v>0.10469804461670509</v>
      </c>
    </row>
    <row r="308" spans="1:3" ht="13.8" x14ac:dyDescent="0.25">
      <c r="A308" s="5">
        <v>37410</v>
      </c>
      <c r="B308" s="6">
        <v>13.68</v>
      </c>
      <c r="C308" s="7">
        <f t="shared" si="6"/>
        <v>-9.8097360585353094E-2</v>
      </c>
    </row>
    <row r="309" spans="1:3" ht="13.8" x14ac:dyDescent="0.25">
      <c r="A309" s="5">
        <v>37438</v>
      </c>
      <c r="B309" s="6">
        <v>11.6</v>
      </c>
      <c r="C309" s="7">
        <f t="shared" si="6"/>
        <v>-0.16492981408208543</v>
      </c>
    </row>
    <row r="310" spans="1:3" ht="13.8" x14ac:dyDescent="0.25">
      <c r="A310" s="5">
        <v>37469</v>
      </c>
      <c r="B310" s="6">
        <v>10.14</v>
      </c>
      <c r="C310" s="7">
        <f t="shared" si="6"/>
        <v>-0.13451709994928182</v>
      </c>
    </row>
    <row r="311" spans="1:3" ht="13.8" x14ac:dyDescent="0.25">
      <c r="A311" s="5">
        <v>37502</v>
      </c>
      <c r="B311" s="6">
        <v>8.44</v>
      </c>
      <c r="C311" s="7">
        <f t="shared" si="6"/>
        <v>-0.18350568955517146</v>
      </c>
    </row>
    <row r="312" spans="1:3" ht="13.8" x14ac:dyDescent="0.25">
      <c r="A312" s="5">
        <v>37530</v>
      </c>
      <c r="B312" s="6">
        <v>7.37</v>
      </c>
      <c r="C312" s="7">
        <f t="shared" si="6"/>
        <v>-0.13556460240662047</v>
      </c>
    </row>
    <row r="313" spans="1:3" ht="13.8" x14ac:dyDescent="0.25">
      <c r="A313" s="5">
        <v>37561</v>
      </c>
      <c r="B313" s="6">
        <v>9.92</v>
      </c>
      <c r="C313" s="7">
        <f t="shared" si="6"/>
        <v>0.29713521509553609</v>
      </c>
    </row>
    <row r="314" spans="1:3" ht="13.8" x14ac:dyDescent="0.25">
      <c r="A314" s="5">
        <v>37592</v>
      </c>
      <c r="B314" s="6">
        <v>8.11</v>
      </c>
      <c r="C314" s="7">
        <f t="shared" si="6"/>
        <v>-0.20145505316945991</v>
      </c>
    </row>
    <row r="315" spans="1:3" ht="13.8" x14ac:dyDescent="0.25">
      <c r="A315" s="5">
        <v>37623</v>
      </c>
      <c r="B315" s="6">
        <v>8.0299999999999994</v>
      </c>
      <c r="C315" s="7">
        <f t="shared" si="6"/>
        <v>-9.9133401686512697E-3</v>
      </c>
    </row>
    <row r="316" spans="1:3" ht="13.8" x14ac:dyDescent="0.25">
      <c r="A316" s="5">
        <v>37655</v>
      </c>
      <c r="B316" s="6">
        <v>7.33</v>
      </c>
      <c r="C316" s="7">
        <f t="shared" si="6"/>
        <v>-9.1209012060110076E-2</v>
      </c>
    </row>
    <row r="317" spans="1:3" ht="13.8" x14ac:dyDescent="0.25">
      <c r="A317" s="5">
        <v>37683</v>
      </c>
      <c r="B317" s="6">
        <v>6.62</v>
      </c>
      <c r="C317" s="7">
        <f t="shared" si="6"/>
        <v>-0.10188014594964334</v>
      </c>
    </row>
    <row r="318" spans="1:3" ht="13.8" x14ac:dyDescent="0.25">
      <c r="A318" s="5">
        <v>37712</v>
      </c>
      <c r="B318" s="6">
        <v>9.16</v>
      </c>
      <c r="C318" s="7">
        <f t="shared" si="6"/>
        <v>0.32475080873712209</v>
      </c>
    </row>
    <row r="319" spans="1:3" ht="13.8" x14ac:dyDescent="0.25">
      <c r="A319" s="5">
        <v>37742</v>
      </c>
      <c r="B319" s="6">
        <v>9.34</v>
      </c>
      <c r="C319" s="7">
        <f t="shared" si="6"/>
        <v>1.9460073554712343E-2</v>
      </c>
    </row>
    <row r="320" spans="1:3" ht="13.8" x14ac:dyDescent="0.25">
      <c r="A320" s="5">
        <v>37774</v>
      </c>
      <c r="B320" s="6">
        <v>9.7799999999999994</v>
      </c>
      <c r="C320" s="7">
        <f t="shared" si="6"/>
        <v>4.6033231805974628E-2</v>
      </c>
    </row>
    <row r="321" spans="1:3" ht="13.8" x14ac:dyDescent="0.25">
      <c r="A321" s="5">
        <v>37803</v>
      </c>
      <c r="B321" s="6">
        <v>9.93</v>
      </c>
      <c r="C321" s="7">
        <f t="shared" si="6"/>
        <v>1.5220994010355388E-2</v>
      </c>
    </row>
    <row r="322" spans="1:3" ht="13.8" x14ac:dyDescent="0.25">
      <c r="A322" s="5">
        <v>37834</v>
      </c>
      <c r="B322" s="6">
        <v>10.38</v>
      </c>
      <c r="C322" s="7">
        <f t="shared" si="6"/>
        <v>4.4320399680661524E-2</v>
      </c>
    </row>
    <row r="323" spans="1:3" ht="13.8" x14ac:dyDescent="0.25">
      <c r="A323" s="5">
        <v>37866</v>
      </c>
      <c r="B323" s="6">
        <v>9.67</v>
      </c>
      <c r="C323" s="7">
        <f t="shared" si="6"/>
        <v>-7.085256827253969E-2</v>
      </c>
    </row>
    <row r="324" spans="1:3" ht="13.8" x14ac:dyDescent="0.25">
      <c r="A324" s="5">
        <v>37895</v>
      </c>
      <c r="B324" s="6">
        <v>10.98</v>
      </c>
      <c r="C324" s="7">
        <f t="shared" si="6"/>
        <v>0.12704712661618159</v>
      </c>
    </row>
    <row r="325" spans="1:3" ht="13.8" x14ac:dyDescent="0.25">
      <c r="A325" s="5">
        <v>37928</v>
      </c>
      <c r="B325" s="6">
        <v>11.95</v>
      </c>
      <c r="C325" s="7">
        <f t="shared" ref="C325:C363" si="7">LN(B325/B324)</f>
        <v>8.4655842296134959E-2</v>
      </c>
    </row>
    <row r="326" spans="1:3" ht="13.8" x14ac:dyDescent="0.25">
      <c r="A326" s="5">
        <v>37956</v>
      </c>
      <c r="B326" s="6">
        <v>14.48</v>
      </c>
      <c r="C326" s="7">
        <f t="shared" si="7"/>
        <v>0.19203710858005074</v>
      </c>
    </row>
    <row r="327" spans="1:3" ht="13.8" x14ac:dyDescent="0.25">
      <c r="A327" s="5">
        <v>37988</v>
      </c>
      <c r="B327" s="6">
        <v>13.24</v>
      </c>
      <c r="C327" s="7">
        <f t="shared" si="7"/>
        <v>-8.9525836448708221E-2</v>
      </c>
    </row>
    <row r="328" spans="1:3" ht="13.8" x14ac:dyDescent="0.25">
      <c r="A328" s="5">
        <v>38019</v>
      </c>
      <c r="B328" s="6">
        <v>12.52</v>
      </c>
      <c r="C328" s="7">
        <f t="shared" si="7"/>
        <v>-5.5915184836909791E-2</v>
      </c>
    </row>
    <row r="329" spans="1:3" ht="13.8" x14ac:dyDescent="0.25">
      <c r="A329" s="5">
        <v>38047</v>
      </c>
      <c r="B329" s="6">
        <v>12.36</v>
      </c>
      <c r="C329" s="7">
        <f t="shared" si="7"/>
        <v>-1.286191364240781E-2</v>
      </c>
    </row>
    <row r="330" spans="1:3" ht="13.8" x14ac:dyDescent="0.25">
      <c r="A330" s="5">
        <v>38078</v>
      </c>
      <c r="B330" s="6">
        <v>14.08</v>
      </c>
      <c r="C330" s="7">
        <f t="shared" si="7"/>
        <v>0.13028989870035165</v>
      </c>
    </row>
    <row r="331" spans="1:3" ht="13.8" x14ac:dyDescent="0.25">
      <c r="A331" s="5">
        <v>38110</v>
      </c>
      <c r="B331" s="6">
        <v>13.61</v>
      </c>
      <c r="C331" s="7">
        <f t="shared" si="7"/>
        <v>-3.3950534066521702E-2</v>
      </c>
    </row>
    <row r="332" spans="1:3" ht="13.8" x14ac:dyDescent="0.25">
      <c r="A332" s="5">
        <v>38139</v>
      </c>
      <c r="B332" s="6">
        <v>14.34</v>
      </c>
      <c r="C332" s="7">
        <f t="shared" si="7"/>
        <v>5.2248018508099632E-2</v>
      </c>
    </row>
    <row r="333" spans="1:3" ht="13.8" x14ac:dyDescent="0.25">
      <c r="A333" s="5">
        <v>38169</v>
      </c>
      <c r="B333" s="6">
        <v>13.58</v>
      </c>
      <c r="C333" s="7">
        <f t="shared" si="7"/>
        <v>-5.4454713040924259E-2</v>
      </c>
    </row>
    <row r="334" spans="1:3" ht="13.8" x14ac:dyDescent="0.25">
      <c r="A334" s="5">
        <v>38201</v>
      </c>
      <c r="B334" s="6">
        <v>13.02</v>
      </c>
      <c r="C334" s="7">
        <f t="shared" si="7"/>
        <v>-4.2111485350126966E-2</v>
      </c>
    </row>
    <row r="335" spans="1:3" ht="13.8" x14ac:dyDescent="0.25">
      <c r="A335" s="5">
        <v>38231</v>
      </c>
      <c r="B335" s="6">
        <v>12.96</v>
      </c>
      <c r="C335" s="7">
        <f t="shared" si="7"/>
        <v>-4.6189458562944166E-3</v>
      </c>
    </row>
    <row r="336" spans="1:3" ht="13.8" x14ac:dyDescent="0.25">
      <c r="A336" s="5">
        <v>38261</v>
      </c>
      <c r="B336" s="6">
        <v>12.12</v>
      </c>
      <c r="C336" s="7">
        <f t="shared" si="7"/>
        <v>-6.7010710282960434E-2</v>
      </c>
    </row>
    <row r="337" spans="1:3" ht="13.8" x14ac:dyDescent="0.25">
      <c r="A337" s="5">
        <v>38292</v>
      </c>
      <c r="B337" s="6">
        <v>13.18</v>
      </c>
      <c r="C337" s="7">
        <f t="shared" si="7"/>
        <v>8.3843548433192777E-2</v>
      </c>
    </row>
    <row r="338" spans="1:3" ht="13.8" x14ac:dyDescent="0.25">
      <c r="A338" s="5">
        <v>38322</v>
      </c>
      <c r="B338" s="6">
        <v>13.61</v>
      </c>
      <c r="C338" s="7">
        <f t="shared" si="7"/>
        <v>3.2104287589013618E-2</v>
      </c>
    </row>
    <row r="339" spans="1:3" ht="13.8" x14ac:dyDescent="0.25">
      <c r="A339" s="5">
        <v>38355</v>
      </c>
      <c r="B339" s="6">
        <v>12.34</v>
      </c>
      <c r="C339" s="7">
        <f t="shared" si="7"/>
        <v>-9.7958798186132914E-2</v>
      </c>
    </row>
    <row r="340" spans="1:3" ht="13.8" x14ac:dyDescent="0.25">
      <c r="A340" s="5">
        <v>38384</v>
      </c>
      <c r="B340" s="6">
        <v>11.85</v>
      </c>
      <c r="C340" s="7">
        <f t="shared" si="7"/>
        <v>-4.0518150896101571E-2</v>
      </c>
    </row>
    <row r="341" spans="1:3" ht="13.8" x14ac:dyDescent="0.25">
      <c r="A341" s="5">
        <v>38412</v>
      </c>
      <c r="B341" s="6">
        <v>10.62</v>
      </c>
      <c r="C341" s="7">
        <f t="shared" si="7"/>
        <v>-0.10958885176734741</v>
      </c>
    </row>
    <row r="342" spans="1:3" ht="13.8" x14ac:dyDescent="0.25">
      <c r="A342" s="5">
        <v>38443</v>
      </c>
      <c r="B342" s="6">
        <v>8.6300000000000008</v>
      </c>
      <c r="C342" s="7">
        <f t="shared" si="7"/>
        <v>-0.20749451071845601</v>
      </c>
    </row>
    <row r="343" spans="1:3" ht="13.8" x14ac:dyDescent="0.25">
      <c r="A343" s="5">
        <v>38474</v>
      </c>
      <c r="B343" s="6">
        <v>9.4499999999999993</v>
      </c>
      <c r="C343" s="7">
        <f t="shared" si="7"/>
        <v>9.0770236410314661E-2</v>
      </c>
    </row>
    <row r="344" spans="1:3" ht="13.8" x14ac:dyDescent="0.25">
      <c r="A344" s="5">
        <v>38504</v>
      </c>
      <c r="B344" s="6">
        <v>9.6999999999999993</v>
      </c>
      <c r="C344" s="7">
        <f t="shared" si="7"/>
        <v>2.6111144003685804E-2</v>
      </c>
    </row>
    <row r="345" spans="1:3" ht="13.8" x14ac:dyDescent="0.25">
      <c r="A345" s="5">
        <v>38534</v>
      </c>
      <c r="B345" s="6">
        <v>10.26</v>
      </c>
      <c r="C345" s="7">
        <f t="shared" si="7"/>
        <v>5.6126954233286355E-2</v>
      </c>
    </row>
    <row r="346" spans="1:3" ht="13.8" x14ac:dyDescent="0.25">
      <c r="A346" s="5">
        <v>38565</v>
      </c>
      <c r="B346" s="6">
        <v>9.5299999999999994</v>
      </c>
      <c r="C346" s="7">
        <f t="shared" si="7"/>
        <v>-7.3808122076512758E-2</v>
      </c>
    </row>
    <row r="347" spans="1:3" ht="13.8" x14ac:dyDescent="0.25">
      <c r="A347" s="5">
        <v>38596</v>
      </c>
      <c r="B347" s="6">
        <v>9.42</v>
      </c>
      <c r="C347" s="7">
        <f t="shared" si="7"/>
        <v>-1.1609629077839008E-2</v>
      </c>
    </row>
    <row r="348" spans="1:3" ht="13.8" x14ac:dyDescent="0.25">
      <c r="A348" s="5">
        <v>38628</v>
      </c>
      <c r="B348" s="6">
        <v>8.0500000000000007</v>
      </c>
      <c r="C348" s="7">
        <f t="shared" si="7"/>
        <v>-0.15716299715779966</v>
      </c>
    </row>
    <row r="349" spans="1:3" ht="13.8" x14ac:dyDescent="0.25">
      <c r="A349" s="5">
        <v>38657</v>
      </c>
      <c r="B349" s="6">
        <v>7.87</v>
      </c>
      <c r="C349" s="7">
        <f t="shared" si="7"/>
        <v>-2.2614029001160253E-2</v>
      </c>
    </row>
    <row r="350" spans="1:3" ht="13.8" x14ac:dyDescent="0.25">
      <c r="A350" s="5">
        <v>38687</v>
      </c>
      <c r="B350" s="6">
        <v>7.47</v>
      </c>
      <c r="C350" s="7">
        <f t="shared" si="7"/>
        <v>-5.2163063284585913E-2</v>
      </c>
    </row>
    <row r="351" spans="1:3" ht="13.8" x14ac:dyDescent="0.25">
      <c r="A351" s="5">
        <v>38720</v>
      </c>
      <c r="B351" s="6">
        <v>8.4</v>
      </c>
      <c r="C351" s="7">
        <f t="shared" si="7"/>
        <v>0.11733670670454199</v>
      </c>
    </row>
    <row r="352" spans="1:3" ht="13.8" x14ac:dyDescent="0.25">
      <c r="A352" s="5">
        <v>38749</v>
      </c>
      <c r="B352" s="6">
        <v>7.8</v>
      </c>
      <c r="C352" s="7">
        <f t="shared" si="7"/>
        <v>-7.410797215372196E-2</v>
      </c>
    </row>
    <row r="353" spans="1:3" ht="13.8" x14ac:dyDescent="0.25">
      <c r="A353" s="5">
        <v>38777</v>
      </c>
      <c r="B353" s="6">
        <v>7.79</v>
      </c>
      <c r="C353" s="7">
        <f t="shared" si="7"/>
        <v>-1.2828738128891524E-3</v>
      </c>
    </row>
    <row r="354" spans="1:3" ht="13.8" x14ac:dyDescent="0.25">
      <c r="A354" s="5">
        <v>38810</v>
      </c>
      <c r="B354" s="6">
        <v>6.9</v>
      </c>
      <c r="C354" s="7">
        <f t="shared" si="7"/>
        <v>-0.12131944827944317</v>
      </c>
    </row>
    <row r="355" spans="1:3" ht="13.8" x14ac:dyDescent="0.25">
      <c r="A355" s="5">
        <v>38838</v>
      </c>
      <c r="B355" s="6">
        <v>7.11</v>
      </c>
      <c r="C355" s="7">
        <f t="shared" si="7"/>
        <v>2.9980832211935857E-2</v>
      </c>
    </row>
    <row r="356" spans="1:3" ht="13.8" x14ac:dyDescent="0.25">
      <c r="A356" s="5">
        <v>38869</v>
      </c>
      <c r="B356" s="6">
        <v>6.88</v>
      </c>
      <c r="C356" s="7">
        <f t="shared" si="7"/>
        <v>-3.2883591869897304E-2</v>
      </c>
    </row>
    <row r="357" spans="1:3" ht="13.8" x14ac:dyDescent="0.25">
      <c r="A357" s="5">
        <v>38901</v>
      </c>
      <c r="B357" s="6">
        <v>6.67</v>
      </c>
      <c r="C357" s="7">
        <f t="shared" si="7"/>
        <v>-3.0998792017719885E-2</v>
      </c>
    </row>
    <row r="358" spans="1:3" ht="13.8" x14ac:dyDescent="0.25">
      <c r="A358" s="5">
        <v>38930</v>
      </c>
      <c r="B358" s="6">
        <v>8.3699999999999992</v>
      </c>
      <c r="C358" s="7">
        <f t="shared" si="7"/>
        <v>0.22703402457385152</v>
      </c>
    </row>
    <row r="359" spans="1:3" ht="13.8" x14ac:dyDescent="0.25">
      <c r="A359" s="5">
        <v>38961</v>
      </c>
      <c r="B359" s="6">
        <v>8.09</v>
      </c>
      <c r="C359" s="7">
        <f t="shared" si="7"/>
        <v>-3.4025153430983536E-2</v>
      </c>
    </row>
    <row r="360" spans="1:3" ht="13.8" x14ac:dyDescent="0.25">
      <c r="A360" s="5">
        <v>38992</v>
      </c>
      <c r="B360" s="6">
        <v>8.2799999999999994</v>
      </c>
      <c r="C360" s="7">
        <f t="shared" si="7"/>
        <v>2.3214237326768028E-2</v>
      </c>
    </row>
    <row r="361" spans="1:3" ht="13.8" x14ac:dyDescent="0.25">
      <c r="A361" s="5">
        <v>39022</v>
      </c>
      <c r="B361" s="6">
        <v>8.1300000000000008</v>
      </c>
      <c r="C361" s="7">
        <f t="shared" si="7"/>
        <v>-1.8282044837448958E-2</v>
      </c>
    </row>
    <row r="362" spans="1:3" ht="13.8" x14ac:dyDescent="0.25">
      <c r="A362" s="5">
        <v>39052</v>
      </c>
      <c r="B362" s="6">
        <v>7.51</v>
      </c>
      <c r="C362" s="7">
        <f t="shared" si="7"/>
        <v>-7.9325457783675932E-2</v>
      </c>
    </row>
    <row r="363" spans="1:3" ht="13.8" x14ac:dyDescent="0.25">
      <c r="A363" s="5">
        <v>39085</v>
      </c>
      <c r="B363" s="6">
        <v>7.62</v>
      </c>
      <c r="C363" s="7">
        <f t="shared" si="7"/>
        <v>1.4540903922511655E-2</v>
      </c>
    </row>
  </sheetData>
  <mergeCells count="1">
    <mergeCell ref="A1:I1"/>
  </mergeCells>
  <phoneticPr fontId="1" type="noConversion"/>
  <printOptions headings="1" gridLines="1"/>
  <pageMargins left="0.75" right="0.75" top="1" bottom="1" header="0.5" footer="0.5"/>
  <pageSetup orientation="portrait" verticalDpi="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"/>
  <sheetViews>
    <sheetView workbookViewId="0">
      <selection activeCell="F9" sqref="F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Page 829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2024-12-30T08:20:39Z</dcterms:modified>
</cp:coreProperties>
</file>