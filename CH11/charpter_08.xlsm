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"/>
    </mc:Choice>
  </mc:AlternateContent>
  <xr:revisionPtr revIDLastSave="0" documentId="13_ncr:1_{1466EEE1-F292-4DF9-9432-B0CF49E16F7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S4" i="1" s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W4" i="1" s="1"/>
  <c r="X11" i="1"/>
  <c r="Y11" i="1"/>
  <c r="Z11" i="1"/>
  <c r="AA11" i="1"/>
  <c r="AB11" i="1"/>
  <c r="AC11" i="1"/>
  <c r="AD11" i="1"/>
  <c r="AE11" i="1"/>
  <c r="AF11" i="1"/>
  <c r="AG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Y4" i="1" s="1"/>
  <c r="Z12" i="1"/>
  <c r="AA12" i="1"/>
  <c r="AB12" i="1"/>
  <c r="AC12" i="1"/>
  <c r="AD12" i="1"/>
  <c r="AE12" i="1"/>
  <c r="AF12" i="1"/>
  <c r="AG12" i="1"/>
  <c r="D13" i="1"/>
  <c r="E13" i="1"/>
  <c r="F13" i="1"/>
  <c r="G13" i="1"/>
  <c r="H13" i="1"/>
  <c r="I13" i="1"/>
  <c r="J13" i="1"/>
  <c r="K13" i="1"/>
  <c r="K4" i="1" s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A4" i="1" s="1"/>
  <c r="AB13" i="1"/>
  <c r="AC13" i="1"/>
  <c r="AD13" i="1"/>
  <c r="AE13" i="1"/>
  <c r="AF13" i="1"/>
  <c r="AG13" i="1"/>
  <c r="D14" i="1"/>
  <c r="E14" i="1"/>
  <c r="F14" i="1"/>
  <c r="G14" i="1"/>
  <c r="H14" i="1"/>
  <c r="I14" i="1"/>
  <c r="J14" i="1"/>
  <c r="K14" i="1"/>
  <c r="L14" i="1"/>
  <c r="M14" i="1"/>
  <c r="M4" i="1" s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C4" i="1" s="1"/>
  <c r="AD14" i="1"/>
  <c r="AE14" i="1"/>
  <c r="AF14" i="1"/>
  <c r="AG14" i="1"/>
  <c r="D15" i="1"/>
  <c r="E15" i="1"/>
  <c r="F15" i="1"/>
  <c r="G15" i="1"/>
  <c r="H15" i="1"/>
  <c r="I15" i="1"/>
  <c r="J15" i="1"/>
  <c r="K15" i="1"/>
  <c r="L15" i="1"/>
  <c r="M15" i="1"/>
  <c r="N15" i="1"/>
  <c r="O15" i="1"/>
  <c r="O4" i="1" s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Q4" i="1" s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G4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D35" i="1"/>
  <c r="E35" i="1"/>
  <c r="F35" i="1"/>
  <c r="G35" i="1"/>
  <c r="H35" i="1"/>
  <c r="I35" i="1"/>
  <c r="J35" i="1"/>
  <c r="J4" i="1" s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B4" i="1" s="1"/>
  <c r="AC36" i="1"/>
  <c r="AD36" i="1"/>
  <c r="AE36" i="1"/>
  <c r="AF36" i="1"/>
  <c r="AG36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T4" i="1" s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9" i="1"/>
  <c r="D4" i="1"/>
  <c r="AF4" i="1"/>
  <c r="AD4" i="1"/>
  <c r="Z4" i="1"/>
  <c r="N4" i="1"/>
  <c r="B85" i="1"/>
  <c r="B84" i="1"/>
  <c r="D77" i="1"/>
  <c r="D76" i="1"/>
  <c r="D75" i="1"/>
  <c r="D72" i="1"/>
  <c r="D71" i="1"/>
  <c r="D70" i="1"/>
  <c r="L4" i="1" l="1"/>
  <c r="I4" i="1"/>
  <c r="X4" i="1"/>
  <c r="G4" i="1"/>
  <c r="P4" i="1"/>
  <c r="AE4" i="1"/>
  <c r="F5" i="1"/>
  <c r="R5" i="1"/>
  <c r="AC7" i="1"/>
  <c r="P5" i="1"/>
  <c r="O6" i="1"/>
  <c r="O5" i="1"/>
  <c r="AB5" i="1"/>
  <c r="H7" i="1"/>
  <c r="P7" i="1"/>
  <c r="AE6" i="1"/>
  <c r="AE5" i="1"/>
  <c r="AF5" i="1"/>
  <c r="M7" i="1"/>
  <c r="AF6" i="1"/>
  <c r="AG5" i="1"/>
  <c r="O7" i="1"/>
  <c r="C6" i="1"/>
  <c r="Q7" i="1"/>
  <c r="M6" i="1"/>
  <c r="AG6" i="1"/>
  <c r="P6" i="1"/>
  <c r="U5" i="1"/>
  <c r="Q6" i="1"/>
  <c r="V6" i="1"/>
  <c r="R6" i="1"/>
  <c r="S6" i="1"/>
  <c r="C7" i="1"/>
  <c r="L5" i="1"/>
  <c r="AC6" i="1"/>
  <c r="S7" i="1"/>
  <c r="M5" i="1"/>
  <c r="D7" i="1"/>
  <c r="Z7" i="1"/>
  <c r="AC5" i="1"/>
  <c r="N5" i="1"/>
  <c r="T7" i="1"/>
  <c r="AF7" i="1"/>
  <c r="AE7" i="1"/>
  <c r="N6" i="1"/>
  <c r="AD5" i="1"/>
  <c r="Q5" i="1"/>
  <c r="E7" i="1"/>
  <c r="U7" i="1"/>
  <c r="C4" i="1"/>
  <c r="D5" i="1"/>
  <c r="T5" i="1"/>
  <c r="E6" i="1"/>
  <c r="U6" i="1"/>
  <c r="F7" i="1"/>
  <c r="V7" i="1"/>
  <c r="S5" i="1"/>
  <c r="G7" i="1"/>
  <c r="X7" i="1"/>
  <c r="R4" i="1"/>
  <c r="F6" i="1"/>
  <c r="G6" i="1"/>
  <c r="G5" i="1"/>
  <c r="W5" i="1"/>
  <c r="H6" i="1"/>
  <c r="X6" i="1"/>
  <c r="I7" i="1"/>
  <c r="Y7" i="1"/>
  <c r="C5" i="1"/>
  <c r="W7" i="1"/>
  <c r="U4" i="1"/>
  <c r="W6" i="1"/>
  <c r="F4" i="1"/>
  <c r="H5" i="1"/>
  <c r="X5" i="1"/>
  <c r="I6" i="1"/>
  <c r="Y6" i="1"/>
  <c r="J7" i="1"/>
  <c r="T6" i="1"/>
  <c r="E4" i="1"/>
  <c r="V5" i="1"/>
  <c r="V4" i="1"/>
  <c r="H4" i="1"/>
  <c r="I5" i="1"/>
  <c r="Y5" i="1"/>
  <c r="J6" i="1"/>
  <c r="Z6" i="1"/>
  <c r="K7" i="1"/>
  <c r="AA7" i="1"/>
  <c r="D6" i="1"/>
  <c r="E5" i="1"/>
  <c r="J5" i="1"/>
  <c r="Z5" i="1"/>
  <c r="AA6" i="1"/>
  <c r="L7" i="1"/>
  <c r="AB7" i="1"/>
  <c r="K6" i="1"/>
  <c r="K5" i="1"/>
  <c r="AA5" i="1"/>
  <c r="L6" i="1"/>
  <c r="AB6" i="1"/>
  <c r="N7" i="1"/>
  <c r="AD7" i="1"/>
  <c r="AD6" i="1"/>
  <c r="AG7" i="1"/>
  <c r="R7" i="1"/>
  <c r="C76" i="1" l="1"/>
  <c r="C75" i="1"/>
  <c r="C72" i="1"/>
  <c r="C70" i="1"/>
  <c r="C71" i="1"/>
  <c r="C77" i="1" l="1"/>
</calcChain>
</file>

<file path=xl/sharedStrings.xml><?xml version="1.0" encoding="utf-8"?>
<sst xmlns="http://schemas.openxmlformats.org/spreadsheetml/2006/main" count="47" uniqueCount="47">
  <si>
    <r>
      <t>EXCESS RETURN DATA FOR THE DOW-JONES INDUSTRIAL STOCKS AND THE STANDARD AND POORS 500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b/>
        <sz val="12"/>
        <rFont val="Arial"/>
        <family val="2"/>
      </rPr>
      <t>Monthly returns minus monthly Treasury bill return
July 2001 - July 2006</t>
    </r>
  </si>
  <si>
    <t>Date</t>
  </si>
  <si>
    <t>Treasury bill return
risk-free rate</t>
  </si>
  <si>
    <t>SP 500 Index
^SPX</t>
  </si>
  <si>
    <t>Alcoa 
AA</t>
  </si>
  <si>
    <t>American International Group 
AIG</t>
  </si>
  <si>
    <t>American Express AXP</t>
  </si>
  <si>
    <t>Boeing BA</t>
  </si>
  <si>
    <t>Citigroup C</t>
  </si>
  <si>
    <t>Caterpillar CAT</t>
  </si>
  <si>
    <t>Du Pont DD</t>
  </si>
  <si>
    <t>Disney DIS</t>
  </si>
  <si>
    <t>General Electric GE</t>
  </si>
  <si>
    <t>General Motors GM</t>
  </si>
  <si>
    <t>Home Depot HD</t>
  </si>
  <si>
    <t>Honeywell HON</t>
  </si>
  <si>
    <t>Hewlitt Packard HPQ</t>
  </si>
  <si>
    <t>IBM</t>
  </si>
  <si>
    <t>Intel 
INTC</t>
  </si>
  <si>
    <t>Johnson &amp; Johnson JNJ</t>
  </si>
  <si>
    <t>JP Morgan JPM</t>
  </si>
  <si>
    <t>Coca Cola 
KO</t>
  </si>
  <si>
    <t>McDonalds 
MCD</t>
  </si>
  <si>
    <t>3M 
MMM</t>
  </si>
  <si>
    <t>Altria
MO</t>
  </si>
  <si>
    <t>Merck 
MRK</t>
  </si>
  <si>
    <t>Microsoft 
MSFT</t>
  </si>
  <si>
    <t>Pfizer 
PFE</t>
  </si>
  <si>
    <t>Proctor Gamble 
PG</t>
  </si>
  <si>
    <t>AT&amp;T 
T</t>
  </si>
  <si>
    <t>United Technologies UTX</t>
  </si>
  <si>
    <t>Verizon 
VZ</t>
  </si>
  <si>
    <t>Walmart 
WMT</t>
  </si>
  <si>
    <t>Exxon Mobil 
XOM</t>
  </si>
  <si>
    <t>Average return</t>
  </si>
  <si>
    <t>Beta</t>
  </si>
  <si>
    <t>Alpha</t>
  </si>
  <si>
    <t>R-squared</t>
  </si>
  <si>
    <t>Average alpha</t>
  </si>
  <si>
    <t>Average beta</t>
  </si>
  <si>
    <t>Average r-squared</t>
  </si>
  <si>
    <r>
      <t>Average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for best regressions</t>
    </r>
  </si>
  <si>
    <r>
      <t>Average R</t>
    </r>
    <r>
      <rPr>
        <vertAlign val="superscript"/>
        <sz val="10"/>
        <rFont val="Arial"/>
        <family val="2"/>
      </rPr>
      <t>2</t>
    </r>
  </si>
  <si>
    <r>
      <t>Sum if R</t>
    </r>
    <r>
      <rPr>
        <vertAlign val="super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 &gt; ??</t>
    </r>
  </si>
  <si>
    <t>For graph</t>
  </si>
  <si>
    <t>start date</t>
  </si>
  <si>
    <t>stop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</si>
</sst>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10" fontId="0" fillId="0" borderId="0" xfId="0" applyNumberFormat="1" applyAlignment="1"/>
    <xf numFmtId="2" fontId="0" fillId="0" borderId="0" xfId="0" applyNumberFormat="1" applyAlignment="1">
      <alignment wrapText="1"/>
    </xf>
    <xf numFmtId="10" fontId="2" fillId="0" borderId="0" xfId="1" applyNumberFormat="1" applyAlignment="1"/>
    <xf numFmtId="15" fontId="0" fillId="0" borderId="0" xfId="0" applyNumberFormat="1" applyAlignment="1"/>
    <xf numFmtId="176" fontId="0" fillId="0" borderId="0" xfId="0" applyNumberFormat="1" applyAlignment="1"/>
    <xf numFmtId="14" fontId="0" fillId="0" borderId="0" xfId="0" applyNumberFormat="1" applyAlignment="1"/>
    <xf numFmtId="2" fontId="0" fillId="0" borderId="0" xfId="0" applyNumberFormat="1" applyAlignment="1"/>
    <xf numFmtId="0" fontId="6" fillId="0" borderId="0" xfId="0" applyFont="1" applyAlignment="1"/>
    <xf numFmtId="0" fontId="0" fillId="2" borderId="0" xfId="0" applyFill="1" applyAlignment="1"/>
    <xf numFmtId="0" fontId="0" fillId="2" borderId="0" xfId="0" applyFill="1" applyAlignment="1">
      <alignment wrapText="1"/>
    </xf>
    <xf numFmtId="15" fontId="0" fillId="2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Monthly Treasury Bill Rates, Aug2001- July2006</a:t>
            </a:r>
          </a:p>
        </c:rich>
      </c:tx>
      <c:layout>
        <c:manualLayout>
          <c:xMode val="edge"/>
          <c:yMode val="edge"/>
          <c:x val="0.2813415584417896"/>
          <c:y val="3.75940424701317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667794899481353E-2"/>
          <c:y val="0.16792005636658844"/>
          <c:w val="0.86151741471035037"/>
          <c:h val="0.6516300694822834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Sheet1!$A$9:$A$68</c:f>
              <c:numCache>
                <c:formatCode>m/d/yyyy</c:formatCode>
                <c:ptCount val="60"/>
                <c:pt idx="0">
                  <c:v>37104</c:v>
                </c:pt>
                <c:pt idx="1">
                  <c:v>37138</c:v>
                </c:pt>
                <c:pt idx="2">
                  <c:v>37165</c:v>
                </c:pt>
                <c:pt idx="3">
                  <c:v>37196</c:v>
                </c:pt>
                <c:pt idx="4">
                  <c:v>37228</c:v>
                </c:pt>
                <c:pt idx="5">
                  <c:v>37258</c:v>
                </c:pt>
                <c:pt idx="6">
                  <c:v>37288</c:v>
                </c:pt>
                <c:pt idx="7">
                  <c:v>37316</c:v>
                </c:pt>
                <c:pt idx="8">
                  <c:v>37347</c:v>
                </c:pt>
                <c:pt idx="9">
                  <c:v>37377</c:v>
                </c:pt>
                <c:pt idx="10">
                  <c:v>37410</c:v>
                </c:pt>
                <c:pt idx="11">
                  <c:v>37438</c:v>
                </c:pt>
                <c:pt idx="12">
                  <c:v>37469</c:v>
                </c:pt>
                <c:pt idx="13">
                  <c:v>37502</c:v>
                </c:pt>
                <c:pt idx="14">
                  <c:v>37530</c:v>
                </c:pt>
                <c:pt idx="15">
                  <c:v>37561</c:v>
                </c:pt>
                <c:pt idx="16">
                  <c:v>37592</c:v>
                </c:pt>
                <c:pt idx="17">
                  <c:v>37623</c:v>
                </c:pt>
                <c:pt idx="18">
                  <c:v>37655</c:v>
                </c:pt>
                <c:pt idx="19">
                  <c:v>37683</c:v>
                </c:pt>
                <c:pt idx="20">
                  <c:v>37712</c:v>
                </c:pt>
                <c:pt idx="21">
                  <c:v>37742</c:v>
                </c:pt>
                <c:pt idx="22">
                  <c:v>37774</c:v>
                </c:pt>
                <c:pt idx="23">
                  <c:v>37803</c:v>
                </c:pt>
                <c:pt idx="24">
                  <c:v>37834</c:v>
                </c:pt>
                <c:pt idx="25">
                  <c:v>37866</c:v>
                </c:pt>
                <c:pt idx="26">
                  <c:v>37895</c:v>
                </c:pt>
                <c:pt idx="27">
                  <c:v>37928</c:v>
                </c:pt>
                <c:pt idx="28">
                  <c:v>37956</c:v>
                </c:pt>
                <c:pt idx="29">
                  <c:v>37988</c:v>
                </c:pt>
                <c:pt idx="30">
                  <c:v>38019</c:v>
                </c:pt>
                <c:pt idx="31">
                  <c:v>38047</c:v>
                </c:pt>
                <c:pt idx="32">
                  <c:v>38078</c:v>
                </c:pt>
                <c:pt idx="33">
                  <c:v>38110</c:v>
                </c:pt>
                <c:pt idx="34">
                  <c:v>38139</c:v>
                </c:pt>
                <c:pt idx="35">
                  <c:v>38169</c:v>
                </c:pt>
                <c:pt idx="36">
                  <c:v>38201</c:v>
                </c:pt>
                <c:pt idx="37">
                  <c:v>38231</c:v>
                </c:pt>
                <c:pt idx="38">
                  <c:v>38261</c:v>
                </c:pt>
                <c:pt idx="39">
                  <c:v>38292</c:v>
                </c:pt>
                <c:pt idx="40">
                  <c:v>38322</c:v>
                </c:pt>
                <c:pt idx="41">
                  <c:v>38355</c:v>
                </c:pt>
                <c:pt idx="42">
                  <c:v>38384</c:v>
                </c:pt>
                <c:pt idx="43">
                  <c:v>38412</c:v>
                </c:pt>
                <c:pt idx="44">
                  <c:v>38443</c:v>
                </c:pt>
                <c:pt idx="45">
                  <c:v>38474</c:v>
                </c:pt>
                <c:pt idx="46">
                  <c:v>38504</c:v>
                </c:pt>
                <c:pt idx="47">
                  <c:v>38534</c:v>
                </c:pt>
                <c:pt idx="48">
                  <c:v>38565</c:v>
                </c:pt>
                <c:pt idx="49">
                  <c:v>38596</c:v>
                </c:pt>
                <c:pt idx="50">
                  <c:v>38628</c:v>
                </c:pt>
                <c:pt idx="51">
                  <c:v>38657</c:v>
                </c:pt>
                <c:pt idx="52">
                  <c:v>38687</c:v>
                </c:pt>
                <c:pt idx="53">
                  <c:v>38720</c:v>
                </c:pt>
                <c:pt idx="54">
                  <c:v>38749</c:v>
                </c:pt>
                <c:pt idx="55">
                  <c:v>38777</c:v>
                </c:pt>
                <c:pt idx="56">
                  <c:v>38810</c:v>
                </c:pt>
                <c:pt idx="57">
                  <c:v>38838</c:v>
                </c:pt>
                <c:pt idx="58">
                  <c:v>38869</c:v>
                </c:pt>
                <c:pt idx="59">
                  <c:v>38901</c:v>
                </c:pt>
              </c:numCache>
            </c:numRef>
          </c:xVal>
          <c:yVal>
            <c:numRef>
              <c:f>Sheet1!$B$9:$B$68</c:f>
              <c:numCache>
                <c:formatCode>0.00%</c:formatCode>
                <c:ptCount val="60"/>
                <c:pt idx="0">
                  <c:v>2.9250000000000001E-3</c:v>
                </c:pt>
                <c:pt idx="1">
                  <c:v>2.8E-3</c:v>
                </c:pt>
                <c:pt idx="2">
                  <c:v>2.2000000000000001E-3</c:v>
                </c:pt>
                <c:pt idx="3">
                  <c:v>1.8000000000000002E-3</c:v>
                </c:pt>
                <c:pt idx="4">
                  <c:v>1.5583333333333334E-3</c:v>
                </c:pt>
                <c:pt idx="5">
                  <c:v>1.4083333333333333E-3</c:v>
                </c:pt>
                <c:pt idx="6">
                  <c:v>1.3750000000000001E-3</c:v>
                </c:pt>
                <c:pt idx="7">
                  <c:v>1.4416666666666666E-3</c:v>
                </c:pt>
                <c:pt idx="8">
                  <c:v>1.4916666666666665E-3</c:v>
                </c:pt>
                <c:pt idx="9">
                  <c:v>1.4333333333333333E-3</c:v>
                </c:pt>
                <c:pt idx="10">
                  <c:v>1.4416666666666666E-3</c:v>
                </c:pt>
                <c:pt idx="11">
                  <c:v>1.4166666666666668E-3</c:v>
                </c:pt>
                <c:pt idx="12">
                  <c:v>1.4E-3</c:v>
                </c:pt>
                <c:pt idx="13">
                  <c:v>1.3500000000000003E-3</c:v>
                </c:pt>
                <c:pt idx="14">
                  <c:v>1.3583333333333331E-3</c:v>
                </c:pt>
                <c:pt idx="15">
                  <c:v>1.3166666666666667E-3</c:v>
                </c:pt>
                <c:pt idx="16">
                  <c:v>1.0250000000000001E-3</c:v>
                </c:pt>
                <c:pt idx="17">
                  <c:v>9.9166666666666652E-4</c:v>
                </c:pt>
                <c:pt idx="18">
                  <c:v>9.7499999999999985E-4</c:v>
                </c:pt>
                <c:pt idx="19">
                  <c:v>9.7499999999999985E-4</c:v>
                </c:pt>
                <c:pt idx="20">
                  <c:v>9.4166666666666661E-4</c:v>
                </c:pt>
                <c:pt idx="21">
                  <c:v>9.4166666666666661E-4</c:v>
                </c:pt>
                <c:pt idx="22">
                  <c:v>8.916666666666668E-4</c:v>
                </c:pt>
                <c:pt idx="23">
                  <c:v>7.6666666666666669E-4</c:v>
                </c:pt>
                <c:pt idx="24">
                  <c:v>7.5000000000000012E-4</c:v>
                </c:pt>
                <c:pt idx="25">
                  <c:v>7.9166666666666665E-4</c:v>
                </c:pt>
                <c:pt idx="26">
                  <c:v>7.8333333333333326E-4</c:v>
                </c:pt>
                <c:pt idx="27">
                  <c:v>7.6666666666666669E-4</c:v>
                </c:pt>
                <c:pt idx="28">
                  <c:v>7.7500000000000008E-4</c:v>
                </c:pt>
                <c:pt idx="29">
                  <c:v>7.5000000000000012E-4</c:v>
                </c:pt>
                <c:pt idx="30">
                  <c:v>7.3333333333333334E-4</c:v>
                </c:pt>
                <c:pt idx="31">
                  <c:v>7.7500000000000008E-4</c:v>
                </c:pt>
                <c:pt idx="32">
                  <c:v>7.8333333333333326E-4</c:v>
                </c:pt>
                <c:pt idx="33">
                  <c:v>7.8333333333333326E-4</c:v>
                </c:pt>
                <c:pt idx="34">
                  <c:v>8.5000000000000006E-4</c:v>
                </c:pt>
                <c:pt idx="35">
                  <c:v>1.0583333333333332E-3</c:v>
                </c:pt>
                <c:pt idx="36">
                  <c:v>1.1083333333333333E-3</c:v>
                </c:pt>
                <c:pt idx="37">
                  <c:v>1.2333333333333335E-3</c:v>
                </c:pt>
                <c:pt idx="38">
                  <c:v>1.3750000000000001E-3</c:v>
                </c:pt>
                <c:pt idx="39">
                  <c:v>1.4666666666666667E-3</c:v>
                </c:pt>
                <c:pt idx="40">
                  <c:v>1.725E-3</c:v>
                </c:pt>
                <c:pt idx="41">
                  <c:v>1.825E-3</c:v>
                </c:pt>
                <c:pt idx="42">
                  <c:v>1.9416666666666668E-3</c:v>
                </c:pt>
                <c:pt idx="43">
                  <c:v>2.1166666666666664E-3</c:v>
                </c:pt>
                <c:pt idx="44">
                  <c:v>2.2833333333333334E-3</c:v>
                </c:pt>
                <c:pt idx="45">
                  <c:v>2.3166666666666665E-3</c:v>
                </c:pt>
                <c:pt idx="46">
                  <c:v>2.3666666666666667E-3</c:v>
                </c:pt>
                <c:pt idx="47">
                  <c:v>2.4750000000000002E-3</c:v>
                </c:pt>
                <c:pt idx="48">
                  <c:v>2.6833333333333331E-3</c:v>
                </c:pt>
                <c:pt idx="49">
                  <c:v>2.8666666666666667E-3</c:v>
                </c:pt>
                <c:pt idx="50">
                  <c:v>2.8500000000000001E-3</c:v>
                </c:pt>
                <c:pt idx="51">
                  <c:v>3.0916666666666666E-3</c:v>
                </c:pt>
                <c:pt idx="52">
                  <c:v>3.2333333333333333E-3</c:v>
                </c:pt>
                <c:pt idx="53">
                  <c:v>3.241666666666667E-3</c:v>
                </c:pt>
                <c:pt idx="54">
                  <c:v>3.5333333333333332E-3</c:v>
                </c:pt>
                <c:pt idx="55">
                  <c:v>3.6916666666666664E-3</c:v>
                </c:pt>
                <c:pt idx="56">
                  <c:v>3.7583333333333336E-3</c:v>
                </c:pt>
                <c:pt idx="57">
                  <c:v>3.8333333333333331E-3</c:v>
                </c:pt>
                <c:pt idx="58">
                  <c:v>3.933333333333333E-3</c:v>
                </c:pt>
                <c:pt idx="59">
                  <c:v>3.9916666666666668E-3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A5-49ED-9492-2708186A7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937256"/>
        <c:axId val="1"/>
      </c:scatterChart>
      <c:valAx>
        <c:axId val="832937256"/>
        <c:scaling>
          <c:orientation val="minMax"/>
          <c:max val="38910"/>
          <c:min val="37104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62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29372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412066</xdr:colOff>
      <xdr:row>11</xdr:row>
      <xdr:rowOff>68874</xdr:rowOff>
    </xdr:from>
    <xdr:to>
      <xdr:col>15</xdr:col>
      <xdr:colOff>365174</xdr:colOff>
      <xdr:row>33</xdr:row>
      <xdr:rowOff>95544</xdr:rowOff>
    </xdr:to>
    <xdr:graphicFrame macro="">
      <xdr:nvGraphicFramePr>
        <xdr:cNvPr id="2" name="图表 5">
          <a:extLst>
            <a:ext uri="{FF2B5EF4-FFF2-40B4-BE49-F238E27FC236}">
              <a16:creationId xmlns:a16="http://schemas.microsoft.com/office/drawing/2014/main" id="{EFAD9842-A419-4362-A614-4A01B97811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34</xdr:col>
      <xdr:colOff>55591</xdr:colOff>
      <xdr:row>16</xdr:row>
      <xdr:rowOff>31346</xdr:rowOff>
    </xdr:from>
    <xdr:to>
      <xdr:col>71</xdr:col>
      <xdr:colOff>114127</xdr:colOff>
      <xdr:row>110</xdr:row>
      <xdr:rowOff>15760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376DFD27-9C0D-A379-362D-080332093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3279273" y="3391073"/>
          <a:ext cx="22485581" cy="163674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1\charpter_01.xlsm" TargetMode="External"/><Relationship Id="rId1" Type="http://schemas.openxmlformats.org/officeDocument/2006/relationships/externalLinkPath" Target="charpter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21, top"/>
      <sheetName val="Page 321, top中文"/>
      <sheetName val="Page 321, bottom"/>
      <sheetName val="Page 321, bottom中文"/>
      <sheetName val="Page 322"/>
      <sheetName val="Page 322中文"/>
      <sheetName val="Page 324, chart"/>
      <sheetName val="Page 324, chart中文"/>
      <sheetName val="Page 325"/>
      <sheetName val="Page 325中文"/>
      <sheetName val="Page 326"/>
      <sheetName val="Page 326中文"/>
      <sheetName val="Page 327"/>
      <sheetName val="Page 327中文"/>
      <sheetName val="Page 328"/>
      <sheetName val="Page 328 (2)"/>
      <sheetName val="Page 328 (；；；)"/>
      <sheetName val="Page 329"/>
      <sheetName val="Page 329中文"/>
      <sheetName val="Page 329, not shown"/>
      <sheetName val="Page 329, not shown (中文）"/>
      <sheetName val="Page 330"/>
      <sheetName val="Page 330 (中文)"/>
      <sheetName val="Page 331"/>
      <sheetName val="Page 331中文"/>
      <sheetName val="Page 332"/>
      <sheetName val="Page 332中文"/>
      <sheetName val="DJ return over rf"/>
      <sheetName val="DJ return over rf中文"/>
      <sheetName val="Second pass over rf"/>
      <sheetName val="Second pass over rf中文"/>
      <sheetName val="St. Louis Fed, interest rates"/>
      <sheetName val="St. Louis Fed, interest rates中文"/>
    </sheetNames>
    <sheetDataSet>
      <sheetData sheetId="0"/>
      <sheetData sheetId="1"/>
      <sheetData sheetId="2"/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9">
          <cell r="A9">
            <v>37104</v>
          </cell>
          <cell r="B9">
            <v>2.9250000000000001E-3</v>
          </cell>
        </row>
        <row r="10">
          <cell r="A10">
            <v>37138</v>
          </cell>
          <cell r="B10">
            <v>2.8E-3</v>
          </cell>
        </row>
        <row r="11">
          <cell r="A11">
            <v>37165</v>
          </cell>
          <cell r="B11">
            <v>2.2000000000000001E-3</v>
          </cell>
        </row>
        <row r="12">
          <cell r="A12">
            <v>37196</v>
          </cell>
          <cell r="B12">
            <v>1.8000000000000002E-3</v>
          </cell>
        </row>
        <row r="13">
          <cell r="A13">
            <v>37228</v>
          </cell>
          <cell r="B13">
            <v>1.5583333333333334E-3</v>
          </cell>
        </row>
        <row r="14">
          <cell r="A14">
            <v>37258</v>
          </cell>
          <cell r="B14">
            <v>1.4083333333333333E-3</v>
          </cell>
        </row>
        <row r="15">
          <cell r="A15">
            <v>37288</v>
          </cell>
          <cell r="B15">
            <v>1.3750000000000001E-3</v>
          </cell>
        </row>
        <row r="16">
          <cell r="A16">
            <v>37316</v>
          </cell>
          <cell r="B16">
            <v>1.4416666666666666E-3</v>
          </cell>
        </row>
        <row r="17">
          <cell r="A17">
            <v>37347</v>
          </cell>
          <cell r="B17">
            <v>1.4916666666666665E-3</v>
          </cell>
        </row>
        <row r="18">
          <cell r="A18">
            <v>37377</v>
          </cell>
          <cell r="B18">
            <v>1.4333333333333333E-3</v>
          </cell>
        </row>
        <row r="19">
          <cell r="A19">
            <v>37410</v>
          </cell>
          <cell r="B19">
            <v>1.4416666666666666E-3</v>
          </cell>
        </row>
        <row r="20">
          <cell r="A20">
            <v>37438</v>
          </cell>
          <cell r="B20">
            <v>1.4166666666666668E-3</v>
          </cell>
        </row>
        <row r="21">
          <cell r="A21">
            <v>37469</v>
          </cell>
          <cell r="B21">
            <v>1.4E-3</v>
          </cell>
        </row>
        <row r="22">
          <cell r="A22">
            <v>37502</v>
          </cell>
          <cell r="B22">
            <v>1.3500000000000003E-3</v>
          </cell>
        </row>
        <row r="23">
          <cell r="A23">
            <v>37530</v>
          </cell>
          <cell r="B23">
            <v>1.3583333333333331E-3</v>
          </cell>
        </row>
        <row r="24">
          <cell r="A24">
            <v>37561</v>
          </cell>
          <cell r="B24">
            <v>1.3166666666666667E-3</v>
          </cell>
        </row>
        <row r="25">
          <cell r="A25">
            <v>37592</v>
          </cell>
          <cell r="B25">
            <v>1.0250000000000001E-3</v>
          </cell>
        </row>
        <row r="26">
          <cell r="A26">
            <v>37623</v>
          </cell>
          <cell r="B26">
            <v>9.9166666666666652E-4</v>
          </cell>
        </row>
        <row r="27">
          <cell r="A27">
            <v>37655</v>
          </cell>
          <cell r="B27">
            <v>9.7499999999999985E-4</v>
          </cell>
        </row>
        <row r="28">
          <cell r="A28">
            <v>37683</v>
          </cell>
          <cell r="B28">
            <v>9.7499999999999985E-4</v>
          </cell>
        </row>
        <row r="29">
          <cell r="A29">
            <v>37712</v>
          </cell>
          <cell r="B29">
            <v>9.4166666666666661E-4</v>
          </cell>
        </row>
        <row r="30">
          <cell r="A30">
            <v>37742</v>
          </cell>
          <cell r="B30">
            <v>9.4166666666666661E-4</v>
          </cell>
        </row>
        <row r="31">
          <cell r="A31">
            <v>37774</v>
          </cell>
          <cell r="B31">
            <v>8.916666666666668E-4</v>
          </cell>
        </row>
        <row r="32">
          <cell r="A32">
            <v>37803</v>
          </cell>
          <cell r="B32">
            <v>7.6666666666666669E-4</v>
          </cell>
        </row>
        <row r="33">
          <cell r="A33">
            <v>37834</v>
          </cell>
          <cell r="B33">
            <v>7.5000000000000012E-4</v>
          </cell>
        </row>
        <row r="34">
          <cell r="A34">
            <v>37866</v>
          </cell>
          <cell r="B34">
            <v>7.9166666666666665E-4</v>
          </cell>
        </row>
        <row r="35">
          <cell r="A35">
            <v>37895</v>
          </cell>
          <cell r="B35">
            <v>7.8333333333333326E-4</v>
          </cell>
        </row>
        <row r="36">
          <cell r="A36">
            <v>37928</v>
          </cell>
          <cell r="B36">
            <v>7.6666666666666669E-4</v>
          </cell>
        </row>
        <row r="37">
          <cell r="A37">
            <v>37956</v>
          </cell>
          <cell r="B37">
            <v>7.7500000000000008E-4</v>
          </cell>
        </row>
        <row r="38">
          <cell r="A38">
            <v>37988</v>
          </cell>
          <cell r="B38">
            <v>7.5000000000000012E-4</v>
          </cell>
        </row>
        <row r="39">
          <cell r="A39">
            <v>38019</v>
          </cell>
          <cell r="B39">
            <v>7.3333333333333334E-4</v>
          </cell>
        </row>
        <row r="40">
          <cell r="A40">
            <v>38047</v>
          </cell>
          <cell r="B40">
            <v>7.7500000000000008E-4</v>
          </cell>
        </row>
        <row r="41">
          <cell r="A41">
            <v>38078</v>
          </cell>
          <cell r="B41">
            <v>7.8333333333333326E-4</v>
          </cell>
        </row>
        <row r="42">
          <cell r="A42">
            <v>38110</v>
          </cell>
          <cell r="B42">
            <v>7.8333333333333326E-4</v>
          </cell>
        </row>
        <row r="43">
          <cell r="A43">
            <v>38139</v>
          </cell>
          <cell r="B43">
            <v>8.5000000000000006E-4</v>
          </cell>
        </row>
        <row r="44">
          <cell r="A44">
            <v>38169</v>
          </cell>
          <cell r="B44">
            <v>1.0583333333333332E-3</v>
          </cell>
        </row>
        <row r="45">
          <cell r="A45">
            <v>38201</v>
          </cell>
          <cell r="B45">
            <v>1.1083333333333333E-3</v>
          </cell>
        </row>
        <row r="46">
          <cell r="A46">
            <v>38231</v>
          </cell>
          <cell r="B46">
            <v>1.2333333333333335E-3</v>
          </cell>
        </row>
        <row r="47">
          <cell r="A47">
            <v>38261</v>
          </cell>
          <cell r="B47">
            <v>1.3750000000000001E-3</v>
          </cell>
        </row>
        <row r="48">
          <cell r="A48">
            <v>38292</v>
          </cell>
          <cell r="B48">
            <v>1.4666666666666667E-3</v>
          </cell>
        </row>
        <row r="49">
          <cell r="A49">
            <v>38322</v>
          </cell>
          <cell r="B49">
            <v>1.725E-3</v>
          </cell>
        </row>
        <row r="50">
          <cell r="A50">
            <v>38355</v>
          </cell>
          <cell r="B50">
            <v>1.825E-3</v>
          </cell>
        </row>
        <row r="51">
          <cell r="A51">
            <v>38384</v>
          </cell>
          <cell r="B51">
            <v>1.9416666666666668E-3</v>
          </cell>
        </row>
        <row r="52">
          <cell r="A52">
            <v>38412</v>
          </cell>
          <cell r="B52">
            <v>2.1166666666666664E-3</v>
          </cell>
        </row>
        <row r="53">
          <cell r="A53">
            <v>38443</v>
          </cell>
          <cell r="B53">
            <v>2.2833333333333334E-3</v>
          </cell>
        </row>
        <row r="54">
          <cell r="A54">
            <v>38474</v>
          </cell>
          <cell r="B54">
            <v>2.3166666666666665E-3</v>
          </cell>
        </row>
        <row r="55">
          <cell r="A55">
            <v>38504</v>
          </cell>
          <cell r="B55">
            <v>2.3666666666666667E-3</v>
          </cell>
        </row>
        <row r="56">
          <cell r="A56">
            <v>38534</v>
          </cell>
          <cell r="B56">
            <v>2.4750000000000002E-3</v>
          </cell>
        </row>
        <row r="57">
          <cell r="A57">
            <v>38565</v>
          </cell>
          <cell r="B57">
            <v>2.6833333333333331E-3</v>
          </cell>
        </row>
        <row r="58">
          <cell r="A58">
            <v>38596</v>
          </cell>
          <cell r="B58">
            <v>2.8666666666666667E-3</v>
          </cell>
        </row>
        <row r="59">
          <cell r="A59">
            <v>38628</v>
          </cell>
          <cell r="B59">
            <v>2.8500000000000001E-3</v>
          </cell>
        </row>
        <row r="60">
          <cell r="A60">
            <v>38657</v>
          </cell>
          <cell r="B60">
            <v>3.0916666666666666E-3</v>
          </cell>
        </row>
        <row r="61">
          <cell r="A61">
            <v>38687</v>
          </cell>
          <cell r="B61">
            <v>3.2333333333333333E-3</v>
          </cell>
        </row>
        <row r="62">
          <cell r="A62">
            <v>38720</v>
          </cell>
          <cell r="B62">
            <v>3.241666666666667E-3</v>
          </cell>
        </row>
        <row r="63">
          <cell r="A63">
            <v>38749</v>
          </cell>
          <cell r="B63">
            <v>3.5333333333333332E-3</v>
          </cell>
        </row>
        <row r="64">
          <cell r="A64">
            <v>38777</v>
          </cell>
          <cell r="B64">
            <v>3.6916666666666664E-3</v>
          </cell>
        </row>
        <row r="65">
          <cell r="A65">
            <v>38810</v>
          </cell>
          <cell r="B65">
            <v>3.7583333333333336E-3</v>
          </cell>
        </row>
        <row r="66">
          <cell r="A66">
            <v>38838</v>
          </cell>
          <cell r="B66">
            <v>3.8333333333333331E-3</v>
          </cell>
        </row>
        <row r="67">
          <cell r="A67">
            <v>38869</v>
          </cell>
          <cell r="B67">
            <v>3.933333333333333E-3</v>
          </cell>
        </row>
        <row r="68">
          <cell r="A68">
            <v>38901</v>
          </cell>
          <cell r="B68">
            <v>3.9916666666666668E-3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">
          <cell r="B3">
            <v>1211.23</v>
          </cell>
          <cell r="C3">
            <v>35.369999999999997</v>
          </cell>
          <cell r="D3">
            <v>81.319999999999993</v>
          </cell>
          <cell r="E3">
            <v>33.729999999999997</v>
          </cell>
          <cell r="F3">
            <v>53.64</v>
          </cell>
          <cell r="G3">
            <v>40.97</v>
          </cell>
          <cell r="H3">
            <v>24.73</v>
          </cell>
          <cell r="I3">
            <v>36.29</v>
          </cell>
          <cell r="J3">
            <v>25.02</v>
          </cell>
          <cell r="K3">
            <v>38.33</v>
          </cell>
          <cell r="L3">
            <v>49.72</v>
          </cell>
          <cell r="M3">
            <v>48.26</v>
          </cell>
          <cell r="N3">
            <v>32.75</v>
          </cell>
          <cell r="O3">
            <v>22.83</v>
          </cell>
          <cell r="P3">
            <v>101.02</v>
          </cell>
          <cell r="Q3">
            <v>28.7</v>
          </cell>
          <cell r="R3">
            <v>49.51</v>
          </cell>
          <cell r="S3">
            <v>37.96</v>
          </cell>
          <cell r="T3">
            <v>40.25</v>
          </cell>
          <cell r="U3">
            <v>26.97</v>
          </cell>
          <cell r="V3">
            <v>50.55</v>
          </cell>
          <cell r="W3">
            <v>35.61</v>
          </cell>
          <cell r="X3">
            <v>53.98</v>
          </cell>
          <cell r="Y3">
            <v>28.78</v>
          </cell>
          <cell r="Z3">
            <v>36.99</v>
          </cell>
          <cell r="AA3">
            <v>32.14</v>
          </cell>
          <cell r="AB3">
            <v>35.549999999999997</v>
          </cell>
          <cell r="AC3">
            <v>33.96</v>
          </cell>
          <cell r="AD3">
            <v>43.92</v>
          </cell>
          <cell r="AE3">
            <v>53.51</v>
          </cell>
          <cell r="AF3">
            <v>37.11</v>
          </cell>
        </row>
        <row r="4">
          <cell r="B4">
            <v>1133.58</v>
          </cell>
          <cell r="C4">
            <v>34.5</v>
          </cell>
          <cell r="D4">
            <v>76.430000000000007</v>
          </cell>
          <cell r="E4">
            <v>30.46</v>
          </cell>
          <cell r="F4">
            <v>47.06</v>
          </cell>
          <cell r="G4">
            <v>37.49</v>
          </cell>
          <cell r="H4">
            <v>22.45</v>
          </cell>
          <cell r="I4">
            <v>35.01</v>
          </cell>
          <cell r="J4">
            <v>24.14</v>
          </cell>
          <cell r="K4">
            <v>36.04</v>
          </cell>
          <cell r="L4">
            <v>43.14</v>
          </cell>
          <cell r="M4">
            <v>44.06</v>
          </cell>
          <cell r="N4">
            <v>33.270000000000003</v>
          </cell>
          <cell r="O4">
            <v>21.48</v>
          </cell>
          <cell r="P4">
            <v>96.1</v>
          </cell>
          <cell r="Q4">
            <v>26.93</v>
          </cell>
          <cell r="R4">
            <v>48.4</v>
          </cell>
          <cell r="S4">
            <v>34.54</v>
          </cell>
          <cell r="T4">
            <v>43.93</v>
          </cell>
          <cell r="U4">
            <v>27.79</v>
          </cell>
          <cell r="V4">
            <v>47.3</v>
          </cell>
          <cell r="W4">
            <v>37.1</v>
          </cell>
          <cell r="X4">
            <v>51.96</v>
          </cell>
          <cell r="Y4">
            <v>24.81</v>
          </cell>
          <cell r="Z4">
            <v>34.47</v>
          </cell>
          <cell r="AA4">
            <v>33.549999999999997</v>
          </cell>
          <cell r="AB4">
            <v>32.299999999999997</v>
          </cell>
          <cell r="AC4">
            <v>31.75</v>
          </cell>
          <cell r="AD4">
            <v>40.549999999999997</v>
          </cell>
          <cell r="AE4">
            <v>45.99</v>
          </cell>
          <cell r="AF4">
            <v>35.880000000000003</v>
          </cell>
        </row>
        <row r="5">
          <cell r="B5">
            <v>1040.94</v>
          </cell>
          <cell r="C5">
            <v>28.06</v>
          </cell>
          <cell r="D5">
            <v>76.239999999999995</v>
          </cell>
          <cell r="E5">
            <v>24.3</v>
          </cell>
          <cell r="F5">
            <v>30.79</v>
          </cell>
          <cell r="G5">
            <v>33.15</v>
          </cell>
          <cell r="H5">
            <v>20.11</v>
          </cell>
          <cell r="I5">
            <v>32.07</v>
          </cell>
          <cell r="J5">
            <v>17.68</v>
          </cell>
          <cell r="K5">
            <v>32.93</v>
          </cell>
          <cell r="L5">
            <v>33.81</v>
          </cell>
          <cell r="M5">
            <v>36.79</v>
          </cell>
          <cell r="N5">
            <v>23.57</v>
          </cell>
          <cell r="O5">
            <v>14.92</v>
          </cell>
          <cell r="P5">
            <v>88.18</v>
          </cell>
          <cell r="Q5">
            <v>19.690000000000001</v>
          </cell>
          <cell r="R5">
            <v>50.87</v>
          </cell>
          <cell r="S5">
            <v>29.94</v>
          </cell>
          <cell r="T5">
            <v>42.28</v>
          </cell>
          <cell r="U5">
            <v>25.11</v>
          </cell>
          <cell r="V5">
            <v>44.71</v>
          </cell>
          <cell r="W5">
            <v>37.79</v>
          </cell>
          <cell r="X5">
            <v>53.16</v>
          </cell>
          <cell r="Y5">
            <v>22.25</v>
          </cell>
          <cell r="Z5">
            <v>36.08</v>
          </cell>
          <cell r="AA5">
            <v>32.94</v>
          </cell>
          <cell r="AB5">
            <v>37.200000000000003</v>
          </cell>
          <cell r="AC5">
            <v>21.58</v>
          </cell>
          <cell r="AD5">
            <v>43.89</v>
          </cell>
          <cell r="AE5">
            <v>47.45</v>
          </cell>
          <cell r="AF5">
            <v>35.21</v>
          </cell>
        </row>
        <row r="6">
          <cell r="B6">
            <v>1059.78</v>
          </cell>
          <cell r="C6">
            <v>29.34</v>
          </cell>
          <cell r="D6">
            <v>76.819999999999993</v>
          </cell>
          <cell r="E6">
            <v>24.68</v>
          </cell>
          <cell r="F6">
            <v>29.97</v>
          </cell>
          <cell r="G6">
            <v>37.26</v>
          </cell>
          <cell r="H6">
            <v>20.23</v>
          </cell>
          <cell r="I6">
            <v>34.18</v>
          </cell>
          <cell r="J6">
            <v>17.649999999999999</v>
          </cell>
          <cell r="K6">
            <v>32.229999999999997</v>
          </cell>
          <cell r="L6">
            <v>32.56</v>
          </cell>
          <cell r="M6">
            <v>36.659999999999997</v>
          </cell>
          <cell r="N6">
            <v>26.38</v>
          </cell>
          <cell r="O6">
            <v>15.65</v>
          </cell>
          <cell r="P6">
            <v>103.9</v>
          </cell>
          <cell r="Q6">
            <v>23.52</v>
          </cell>
          <cell r="R6">
            <v>53.17</v>
          </cell>
          <cell r="S6">
            <v>31</v>
          </cell>
          <cell r="T6">
            <v>43.21</v>
          </cell>
          <cell r="U6">
            <v>24.12</v>
          </cell>
          <cell r="V6">
            <v>47.43</v>
          </cell>
          <cell r="W6">
            <v>36.630000000000003</v>
          </cell>
          <cell r="X6">
            <v>50.93</v>
          </cell>
          <cell r="Y6">
            <v>25.29</v>
          </cell>
          <cell r="Z6">
            <v>37.700000000000003</v>
          </cell>
          <cell r="AA6">
            <v>33.57</v>
          </cell>
          <cell r="AB6">
            <v>30.26</v>
          </cell>
          <cell r="AC6">
            <v>25.01</v>
          </cell>
          <cell r="AD6">
            <v>40.68</v>
          </cell>
          <cell r="AE6">
            <v>49.28</v>
          </cell>
          <cell r="AF6">
            <v>35.25</v>
          </cell>
        </row>
        <row r="7">
          <cell r="B7">
            <v>1139.45</v>
          </cell>
          <cell r="C7">
            <v>35.090000000000003</v>
          </cell>
          <cell r="D7">
            <v>80.540000000000006</v>
          </cell>
          <cell r="E7">
            <v>27.6</v>
          </cell>
          <cell r="F7">
            <v>32.43</v>
          </cell>
          <cell r="G7">
            <v>39.340000000000003</v>
          </cell>
          <cell r="H7">
            <v>21.45</v>
          </cell>
          <cell r="I7">
            <v>38.21</v>
          </cell>
          <cell r="J7">
            <v>19.43</v>
          </cell>
          <cell r="K7">
            <v>34.08</v>
          </cell>
          <cell r="L7">
            <v>39.630000000000003</v>
          </cell>
          <cell r="M7">
            <v>44.78</v>
          </cell>
          <cell r="N7">
            <v>29.77</v>
          </cell>
          <cell r="O7">
            <v>20.45</v>
          </cell>
          <cell r="P7">
            <v>111.27</v>
          </cell>
          <cell r="Q7">
            <v>31.49</v>
          </cell>
          <cell r="R7">
            <v>53.65</v>
          </cell>
          <cell r="S7">
            <v>33.07</v>
          </cell>
          <cell r="T7">
            <v>42.54</v>
          </cell>
          <cell r="U7">
            <v>25.08</v>
          </cell>
          <cell r="V7">
            <v>52.33</v>
          </cell>
          <cell r="W7">
            <v>36.92</v>
          </cell>
          <cell r="X7">
            <v>54.07</v>
          </cell>
          <cell r="Y7">
            <v>27.92</v>
          </cell>
          <cell r="Z7">
            <v>39.07</v>
          </cell>
          <cell r="AA7">
            <v>35.24</v>
          </cell>
          <cell r="AB7">
            <v>29.68</v>
          </cell>
          <cell r="AC7">
            <v>28.05</v>
          </cell>
          <cell r="AD7">
            <v>38.39</v>
          </cell>
          <cell r="AE7">
            <v>52.87</v>
          </cell>
          <cell r="AF7">
            <v>33.619999999999997</v>
          </cell>
        </row>
        <row r="8">
          <cell r="B8">
            <v>1148.08</v>
          </cell>
          <cell r="C8">
            <v>32.32</v>
          </cell>
          <cell r="D8">
            <v>77.64</v>
          </cell>
          <cell r="E8">
            <v>29.93</v>
          </cell>
          <cell r="F8">
            <v>35.83</v>
          </cell>
          <cell r="G8">
            <v>41.46</v>
          </cell>
          <cell r="H8">
            <v>23.63</v>
          </cell>
          <cell r="I8">
            <v>36.630000000000003</v>
          </cell>
          <cell r="J8">
            <v>19.88</v>
          </cell>
          <cell r="K8">
            <v>35.630000000000003</v>
          </cell>
          <cell r="L8">
            <v>38.75</v>
          </cell>
          <cell r="M8">
            <v>48.97</v>
          </cell>
          <cell r="N8">
            <v>30.38</v>
          </cell>
          <cell r="O8">
            <v>19.170000000000002</v>
          </cell>
          <cell r="P8">
            <v>116.44</v>
          </cell>
          <cell r="Q8">
            <v>30.32</v>
          </cell>
          <cell r="R8">
            <v>54.43</v>
          </cell>
          <cell r="S8">
            <v>31.87</v>
          </cell>
          <cell r="T8">
            <v>42.72</v>
          </cell>
          <cell r="U8">
            <v>24.73</v>
          </cell>
          <cell r="V8">
            <v>53.99</v>
          </cell>
          <cell r="W8">
            <v>36.340000000000003</v>
          </cell>
          <cell r="X8">
            <v>47.18</v>
          </cell>
          <cell r="Y8">
            <v>28.81</v>
          </cell>
          <cell r="Z8">
            <v>35.950000000000003</v>
          </cell>
          <cell r="AA8">
            <v>36</v>
          </cell>
          <cell r="AB8">
            <v>31.1</v>
          </cell>
          <cell r="AC8">
            <v>30.11</v>
          </cell>
          <cell r="AD8">
            <v>38.76</v>
          </cell>
          <cell r="AE8">
            <v>55.24</v>
          </cell>
          <cell r="AF8">
            <v>35.32</v>
          </cell>
        </row>
        <row r="9">
          <cell r="B9">
            <v>1130.2</v>
          </cell>
          <cell r="C9">
            <v>32.590000000000003</v>
          </cell>
          <cell r="D9">
            <v>72.510000000000005</v>
          </cell>
          <cell r="E9">
            <v>30.13</v>
          </cell>
          <cell r="F9">
            <v>37.83</v>
          </cell>
          <cell r="G9">
            <v>39.06</v>
          </cell>
          <cell r="H9">
            <v>22.91</v>
          </cell>
          <cell r="I9">
            <v>38.06</v>
          </cell>
          <cell r="J9">
            <v>20.21</v>
          </cell>
          <cell r="K9">
            <v>33.03</v>
          </cell>
          <cell r="L9">
            <v>40.770000000000003</v>
          </cell>
          <cell r="M9">
            <v>48.09</v>
          </cell>
          <cell r="N9">
            <v>30.19</v>
          </cell>
          <cell r="O9">
            <v>20.64</v>
          </cell>
          <cell r="P9">
            <v>103.86</v>
          </cell>
          <cell r="Q9">
            <v>33.78</v>
          </cell>
          <cell r="R9">
            <v>52.97</v>
          </cell>
          <cell r="S9">
            <v>29.85</v>
          </cell>
          <cell r="T9">
            <v>39.64</v>
          </cell>
          <cell r="U9">
            <v>25.39</v>
          </cell>
          <cell r="V9">
            <v>50.7</v>
          </cell>
          <cell r="W9">
            <v>39.71</v>
          </cell>
          <cell r="X9">
            <v>47.48</v>
          </cell>
          <cell r="Y9">
            <v>27.7</v>
          </cell>
          <cell r="Z9">
            <v>37.590000000000003</v>
          </cell>
          <cell r="AA9">
            <v>37.340000000000003</v>
          </cell>
          <cell r="AB9">
            <v>29.93</v>
          </cell>
          <cell r="AC9">
            <v>32.020000000000003</v>
          </cell>
          <cell r="AD9">
            <v>38.15</v>
          </cell>
          <cell r="AE9">
            <v>57.57</v>
          </cell>
          <cell r="AF9">
            <v>35.1</v>
          </cell>
        </row>
        <row r="10">
          <cell r="B10">
            <v>1106.73</v>
          </cell>
          <cell r="C10">
            <v>34.31</v>
          </cell>
          <cell r="D10">
            <v>72.38</v>
          </cell>
          <cell r="E10">
            <v>30.64</v>
          </cell>
          <cell r="F10">
            <v>42.64</v>
          </cell>
          <cell r="G10">
            <v>37.29</v>
          </cell>
          <cell r="H10">
            <v>25.29</v>
          </cell>
          <cell r="I10">
            <v>40.68</v>
          </cell>
          <cell r="J10">
            <v>22.07</v>
          </cell>
          <cell r="K10">
            <v>34.39</v>
          </cell>
          <cell r="L10">
            <v>42.67</v>
          </cell>
          <cell r="M10">
            <v>48</v>
          </cell>
          <cell r="N10">
            <v>34.43</v>
          </cell>
          <cell r="O10">
            <v>18.78</v>
          </cell>
          <cell r="P10">
            <v>94.58</v>
          </cell>
          <cell r="Q10">
            <v>27.54</v>
          </cell>
          <cell r="R10">
            <v>56.26</v>
          </cell>
          <cell r="S10">
            <v>25.64</v>
          </cell>
          <cell r="T10">
            <v>42.93</v>
          </cell>
          <cell r="U10">
            <v>24.38</v>
          </cell>
          <cell r="V10">
            <v>54.16</v>
          </cell>
          <cell r="W10">
            <v>41.73</v>
          </cell>
          <cell r="X10">
            <v>49.21</v>
          </cell>
          <cell r="Y10">
            <v>25.37</v>
          </cell>
          <cell r="Z10">
            <v>37.07</v>
          </cell>
          <cell r="AA10">
            <v>38.76</v>
          </cell>
          <cell r="AB10">
            <v>30.24</v>
          </cell>
          <cell r="AC10">
            <v>34.11</v>
          </cell>
          <cell r="AD10">
            <v>38.520000000000003</v>
          </cell>
          <cell r="AE10">
            <v>59.52</v>
          </cell>
          <cell r="AF10">
            <v>37.340000000000003</v>
          </cell>
        </row>
        <row r="11">
          <cell r="B11">
            <v>1147.3900000000001</v>
          </cell>
          <cell r="C11">
            <v>34.47</v>
          </cell>
          <cell r="D11">
            <v>70.58</v>
          </cell>
          <cell r="E11">
            <v>34.43</v>
          </cell>
          <cell r="F11">
            <v>44.76</v>
          </cell>
          <cell r="G11">
            <v>40.81</v>
          </cell>
          <cell r="H11">
            <v>25.9</v>
          </cell>
          <cell r="I11">
            <v>40.950000000000003</v>
          </cell>
          <cell r="J11">
            <v>22.15</v>
          </cell>
          <cell r="K11">
            <v>33.409999999999997</v>
          </cell>
          <cell r="L11">
            <v>48.69</v>
          </cell>
          <cell r="M11">
            <v>46.71</v>
          </cell>
          <cell r="N11">
            <v>34.57</v>
          </cell>
          <cell r="O11">
            <v>16.809999999999999</v>
          </cell>
          <cell r="P11">
            <v>100.25</v>
          </cell>
          <cell r="Q11">
            <v>29.33</v>
          </cell>
          <cell r="R11">
            <v>60</v>
          </cell>
          <cell r="S11">
            <v>31.25</v>
          </cell>
          <cell r="T11">
            <v>47.54</v>
          </cell>
          <cell r="U11">
            <v>25.93</v>
          </cell>
          <cell r="V11">
            <v>52.81</v>
          </cell>
          <cell r="W11">
            <v>42.21</v>
          </cell>
          <cell r="X11">
            <v>46.46</v>
          </cell>
          <cell r="Y11">
            <v>26.23</v>
          </cell>
          <cell r="Z11">
            <v>35.96</v>
          </cell>
          <cell r="AA11">
            <v>41.18</v>
          </cell>
          <cell r="AB11">
            <v>29.92</v>
          </cell>
          <cell r="AC11">
            <v>34.700000000000003</v>
          </cell>
          <cell r="AD11">
            <v>37.94</v>
          </cell>
          <cell r="AE11">
            <v>58.91</v>
          </cell>
          <cell r="AF11">
            <v>39.630000000000003</v>
          </cell>
        </row>
        <row r="12">
          <cell r="B12">
            <v>1076.92</v>
          </cell>
          <cell r="C12">
            <v>31.08</v>
          </cell>
          <cell r="D12">
            <v>67.63</v>
          </cell>
          <cell r="E12">
            <v>34.54</v>
          </cell>
          <cell r="F12">
            <v>41.38</v>
          </cell>
          <cell r="G12">
            <v>35.69</v>
          </cell>
          <cell r="H12">
            <v>25.04</v>
          </cell>
          <cell r="I12">
            <v>38.65</v>
          </cell>
          <cell r="J12">
            <v>22.24</v>
          </cell>
          <cell r="K12">
            <v>28.18</v>
          </cell>
          <cell r="L12">
            <v>51.67</v>
          </cell>
          <cell r="M12">
            <v>44.56</v>
          </cell>
          <cell r="N12">
            <v>33.130000000000003</v>
          </cell>
          <cell r="O12">
            <v>16.02</v>
          </cell>
          <cell r="P12">
            <v>80.739999999999995</v>
          </cell>
          <cell r="Q12">
            <v>27.6</v>
          </cell>
          <cell r="R12">
            <v>59</v>
          </cell>
          <cell r="S12">
            <v>30.77</v>
          </cell>
          <cell r="T12">
            <v>50.5</v>
          </cell>
          <cell r="U12">
            <v>26.53</v>
          </cell>
          <cell r="V12">
            <v>57.77</v>
          </cell>
          <cell r="W12">
            <v>43.62</v>
          </cell>
          <cell r="X12">
            <v>43.85</v>
          </cell>
          <cell r="Y12">
            <v>22.73</v>
          </cell>
          <cell r="Z12">
            <v>32.9</v>
          </cell>
          <cell r="AA12">
            <v>41.43</v>
          </cell>
          <cell r="AB12">
            <v>25</v>
          </cell>
          <cell r="AC12">
            <v>32.81</v>
          </cell>
          <cell r="AD12">
            <v>33.299999999999997</v>
          </cell>
          <cell r="AE12">
            <v>53.68</v>
          </cell>
          <cell r="AF12">
            <v>36.32</v>
          </cell>
        </row>
        <row r="13">
          <cell r="B13">
            <v>1067.1400000000001</v>
          </cell>
          <cell r="C13">
            <v>32.090000000000003</v>
          </cell>
          <cell r="D13">
            <v>65.53</v>
          </cell>
          <cell r="E13">
            <v>35.799999999999997</v>
          </cell>
          <cell r="F13">
            <v>39.72</v>
          </cell>
          <cell r="G13">
            <v>35.729999999999997</v>
          </cell>
          <cell r="H13">
            <v>23.96</v>
          </cell>
          <cell r="I13">
            <v>40.270000000000003</v>
          </cell>
          <cell r="J13">
            <v>21.98</v>
          </cell>
          <cell r="K13">
            <v>27.82</v>
          </cell>
          <cell r="L13">
            <v>50.43</v>
          </cell>
          <cell r="M13">
            <v>40.06</v>
          </cell>
          <cell r="N13">
            <v>35.58</v>
          </cell>
          <cell r="O13">
            <v>17.89</v>
          </cell>
          <cell r="P13">
            <v>77.7</v>
          </cell>
          <cell r="Q13">
            <v>26.66</v>
          </cell>
          <cell r="R13">
            <v>56.87</v>
          </cell>
          <cell r="S13">
            <v>31.52</v>
          </cell>
          <cell r="T13">
            <v>50.54</v>
          </cell>
          <cell r="U13">
            <v>27.97</v>
          </cell>
          <cell r="V13">
            <v>57.88</v>
          </cell>
          <cell r="W13">
            <v>45.88</v>
          </cell>
          <cell r="X13">
            <v>46.07</v>
          </cell>
          <cell r="Y13">
            <v>22.14</v>
          </cell>
          <cell r="Z13">
            <v>31.42</v>
          </cell>
          <cell r="AA13">
            <v>41.11</v>
          </cell>
          <cell r="AB13">
            <v>27.6</v>
          </cell>
          <cell r="AC13">
            <v>32.32</v>
          </cell>
          <cell r="AD13">
            <v>35.700000000000003</v>
          </cell>
          <cell r="AE13">
            <v>51.99</v>
          </cell>
          <cell r="AF13">
            <v>36.31</v>
          </cell>
        </row>
        <row r="14">
          <cell r="B14">
            <v>989.82</v>
          </cell>
          <cell r="C14">
            <v>30.41</v>
          </cell>
          <cell r="D14">
            <v>66.8</v>
          </cell>
          <cell r="E14">
            <v>30.59</v>
          </cell>
          <cell r="F14">
            <v>41.91</v>
          </cell>
          <cell r="G14">
            <v>32.07</v>
          </cell>
          <cell r="H14">
            <v>22.44</v>
          </cell>
          <cell r="I14">
            <v>38.86</v>
          </cell>
          <cell r="J14">
            <v>18.13</v>
          </cell>
          <cell r="K14">
            <v>26.11</v>
          </cell>
          <cell r="L14">
            <v>43.37</v>
          </cell>
          <cell r="M14">
            <v>35.340000000000003</v>
          </cell>
          <cell r="N14">
            <v>31.98</v>
          </cell>
          <cell r="O14">
            <v>14.38</v>
          </cell>
          <cell r="P14">
            <v>69.540000000000006</v>
          </cell>
          <cell r="Q14">
            <v>17.64</v>
          </cell>
          <cell r="R14">
            <v>48.44</v>
          </cell>
          <cell r="S14">
            <v>29.74</v>
          </cell>
          <cell r="T14">
            <v>51.13</v>
          </cell>
          <cell r="U14">
            <v>26.58</v>
          </cell>
          <cell r="V14">
            <v>56.76</v>
          </cell>
          <cell r="W14">
            <v>35.44</v>
          </cell>
          <cell r="X14">
            <v>41.12</v>
          </cell>
          <cell r="Y14">
            <v>23.79</v>
          </cell>
          <cell r="Z14">
            <v>31.78</v>
          </cell>
          <cell r="AA14">
            <v>41.31</v>
          </cell>
          <cell r="AB14">
            <v>24.55</v>
          </cell>
          <cell r="AC14">
            <v>31.86</v>
          </cell>
          <cell r="AD14">
            <v>33.33</v>
          </cell>
          <cell r="AE14">
            <v>52.93</v>
          </cell>
          <cell r="AF14">
            <v>37.21</v>
          </cell>
        </row>
        <row r="15">
          <cell r="B15">
            <v>911.62</v>
          </cell>
          <cell r="C15">
            <v>24.96</v>
          </cell>
          <cell r="D15">
            <v>62.58</v>
          </cell>
          <cell r="E15">
            <v>29.76</v>
          </cell>
          <cell r="F15">
            <v>38.659999999999997</v>
          </cell>
          <cell r="G15">
            <v>27.76</v>
          </cell>
          <cell r="H15">
            <v>20.66</v>
          </cell>
          <cell r="I15">
            <v>36.69</v>
          </cell>
          <cell r="J15">
            <v>17.010000000000002</v>
          </cell>
          <cell r="K15">
            <v>28.94</v>
          </cell>
          <cell r="L15">
            <v>37.770000000000003</v>
          </cell>
          <cell r="M15">
            <v>29.71</v>
          </cell>
          <cell r="N15">
            <v>29.37</v>
          </cell>
          <cell r="O15">
            <v>13.32</v>
          </cell>
          <cell r="P15">
            <v>67.989999999999995</v>
          </cell>
          <cell r="Q15">
            <v>18.14</v>
          </cell>
          <cell r="R15">
            <v>48.76</v>
          </cell>
          <cell r="S15">
            <v>21.88</v>
          </cell>
          <cell r="T15">
            <v>45.6</v>
          </cell>
          <cell r="U15">
            <v>23.12</v>
          </cell>
          <cell r="V15">
            <v>58.07</v>
          </cell>
          <cell r="W15">
            <v>37.369999999999997</v>
          </cell>
          <cell r="X15">
            <v>40.28</v>
          </cell>
          <cell r="Y15">
            <v>20.86</v>
          </cell>
          <cell r="Z15">
            <v>29.38</v>
          </cell>
          <cell r="AA15">
            <v>41.38</v>
          </cell>
          <cell r="AB15">
            <v>22.46</v>
          </cell>
          <cell r="AC15">
            <v>32.61</v>
          </cell>
          <cell r="AD15">
            <v>27.67</v>
          </cell>
          <cell r="AE15">
            <v>47.32</v>
          </cell>
          <cell r="AF15">
            <v>33.43</v>
          </cell>
        </row>
        <row r="16">
          <cell r="B16">
            <v>916.07</v>
          </cell>
          <cell r="C16">
            <v>23.15</v>
          </cell>
          <cell r="D16">
            <v>61.49</v>
          </cell>
          <cell r="E16">
            <v>30.44</v>
          </cell>
          <cell r="F16">
            <v>34.68</v>
          </cell>
          <cell r="G16">
            <v>29.22</v>
          </cell>
          <cell r="H16">
            <v>20.170000000000002</v>
          </cell>
          <cell r="I16">
            <v>35.58</v>
          </cell>
          <cell r="J16">
            <v>15.05</v>
          </cell>
          <cell r="K16">
            <v>27.1</v>
          </cell>
          <cell r="L16">
            <v>39.28</v>
          </cell>
          <cell r="M16">
            <v>31.69</v>
          </cell>
          <cell r="N16">
            <v>27.34</v>
          </cell>
          <cell r="O16">
            <v>12.64</v>
          </cell>
          <cell r="P16">
            <v>72.959999999999994</v>
          </cell>
          <cell r="Q16">
            <v>16.11</v>
          </cell>
          <cell r="R16">
            <v>50.53</v>
          </cell>
          <cell r="S16">
            <v>23.14</v>
          </cell>
          <cell r="T16">
            <v>46.57</v>
          </cell>
          <cell r="U16">
            <v>22.2</v>
          </cell>
          <cell r="V16">
            <v>57.94</v>
          </cell>
          <cell r="W16">
            <v>40.57</v>
          </cell>
          <cell r="X16">
            <v>41.03</v>
          </cell>
          <cell r="Y16">
            <v>21.34</v>
          </cell>
          <cell r="Z16">
            <v>30.16</v>
          </cell>
          <cell r="AA16">
            <v>41.22</v>
          </cell>
          <cell r="AB16">
            <v>20.079999999999998</v>
          </cell>
          <cell r="AC16">
            <v>27.98</v>
          </cell>
          <cell r="AD16">
            <v>25.99</v>
          </cell>
          <cell r="AE16">
            <v>51.46</v>
          </cell>
          <cell r="AF16">
            <v>32.450000000000003</v>
          </cell>
        </row>
        <row r="17">
          <cell r="B17">
            <v>815.28</v>
          </cell>
          <cell r="C17">
            <v>17.809999999999999</v>
          </cell>
          <cell r="D17">
            <v>53.6</v>
          </cell>
          <cell r="E17">
            <v>26.32</v>
          </cell>
          <cell r="F17">
            <v>31.93</v>
          </cell>
          <cell r="G17">
            <v>26.45</v>
          </cell>
          <cell r="H17">
            <v>17.2</v>
          </cell>
          <cell r="I17">
            <v>31.84</v>
          </cell>
          <cell r="J17">
            <v>14.53</v>
          </cell>
          <cell r="K17">
            <v>22.31</v>
          </cell>
          <cell r="L17">
            <v>31.93</v>
          </cell>
          <cell r="M17">
            <v>25.15</v>
          </cell>
          <cell r="N17">
            <v>19.78</v>
          </cell>
          <cell r="O17">
            <v>11.05</v>
          </cell>
          <cell r="P17">
            <v>56.44</v>
          </cell>
          <cell r="Q17">
            <v>13.42</v>
          </cell>
          <cell r="R17">
            <v>50.32</v>
          </cell>
          <cell r="S17">
            <v>16.649999999999999</v>
          </cell>
          <cell r="T17">
            <v>43.97</v>
          </cell>
          <cell r="U17">
            <v>16.5</v>
          </cell>
          <cell r="V17">
            <v>50.99</v>
          </cell>
          <cell r="W17">
            <v>31.91</v>
          </cell>
          <cell r="X17">
            <v>37.4</v>
          </cell>
          <cell r="Y17">
            <v>19.02</v>
          </cell>
          <cell r="Z17">
            <v>26.46</v>
          </cell>
          <cell r="AA17">
            <v>41.56</v>
          </cell>
          <cell r="AB17">
            <v>16.32</v>
          </cell>
          <cell r="AC17">
            <v>26.61</v>
          </cell>
          <cell r="AD17">
            <v>23.01</v>
          </cell>
          <cell r="AE17">
            <v>47.45</v>
          </cell>
          <cell r="AF17">
            <v>29.2</v>
          </cell>
        </row>
        <row r="18">
          <cell r="B18">
            <v>885.76</v>
          </cell>
          <cell r="C18">
            <v>20.350000000000001</v>
          </cell>
          <cell r="D18">
            <v>61.29</v>
          </cell>
          <cell r="E18">
            <v>30.77</v>
          </cell>
          <cell r="F18">
            <v>27.83</v>
          </cell>
          <cell r="G18">
            <v>33.130000000000003</v>
          </cell>
          <cell r="H18">
            <v>19.05</v>
          </cell>
          <cell r="I18">
            <v>36.409999999999997</v>
          </cell>
          <cell r="J18">
            <v>16.02</v>
          </cell>
          <cell r="K18">
            <v>22.85</v>
          </cell>
          <cell r="L18">
            <v>27.29</v>
          </cell>
          <cell r="M18">
            <v>27.83</v>
          </cell>
          <cell r="N18">
            <v>21.86</v>
          </cell>
          <cell r="O18">
            <v>14.96</v>
          </cell>
          <cell r="P18">
            <v>76.41</v>
          </cell>
          <cell r="Q18">
            <v>16.72</v>
          </cell>
          <cell r="R18">
            <v>54.66</v>
          </cell>
          <cell r="S18">
            <v>18.190000000000001</v>
          </cell>
          <cell r="T18">
            <v>42.61</v>
          </cell>
          <cell r="U18">
            <v>16.920000000000002</v>
          </cell>
          <cell r="V18">
            <v>58.86</v>
          </cell>
          <cell r="W18">
            <v>33.51</v>
          </cell>
          <cell r="X18">
            <v>44.38</v>
          </cell>
          <cell r="Y18">
            <v>23.25</v>
          </cell>
          <cell r="Z18">
            <v>28.97</v>
          </cell>
          <cell r="AA18">
            <v>41.31</v>
          </cell>
          <cell r="AB18">
            <v>21.1</v>
          </cell>
          <cell r="AC18">
            <v>29.05</v>
          </cell>
          <cell r="AD18">
            <v>32.04</v>
          </cell>
          <cell r="AE18">
            <v>51.6</v>
          </cell>
          <cell r="AF18">
            <v>30.81</v>
          </cell>
        </row>
        <row r="19">
          <cell r="B19">
            <v>936.31</v>
          </cell>
          <cell r="C19">
            <v>23.72</v>
          </cell>
          <cell r="D19">
            <v>63.84</v>
          </cell>
          <cell r="E19">
            <v>32.94</v>
          </cell>
          <cell r="F19">
            <v>32.03</v>
          </cell>
          <cell r="G19">
            <v>34.86</v>
          </cell>
          <cell r="H19">
            <v>23.28</v>
          </cell>
          <cell r="I19">
            <v>39.71</v>
          </cell>
          <cell r="J19">
            <v>19.02</v>
          </cell>
          <cell r="K19">
            <v>24.55</v>
          </cell>
          <cell r="L19">
            <v>33.06</v>
          </cell>
          <cell r="M19">
            <v>25.44</v>
          </cell>
          <cell r="N19">
            <v>23.94</v>
          </cell>
          <cell r="O19">
            <v>18.45</v>
          </cell>
          <cell r="P19">
            <v>84.29</v>
          </cell>
          <cell r="Q19">
            <v>20.2</v>
          </cell>
          <cell r="R19">
            <v>53.23</v>
          </cell>
          <cell r="S19">
            <v>22.07</v>
          </cell>
          <cell r="T19">
            <v>42.02</v>
          </cell>
          <cell r="U19">
            <v>17.52</v>
          </cell>
          <cell r="V19">
            <v>60.5</v>
          </cell>
          <cell r="W19">
            <v>31.02</v>
          </cell>
          <cell r="X19">
            <v>48.61</v>
          </cell>
          <cell r="Y19">
            <v>25.08</v>
          </cell>
          <cell r="Z19">
            <v>28.86</v>
          </cell>
          <cell r="AA19">
            <v>39.479999999999997</v>
          </cell>
          <cell r="AB19">
            <v>23.44</v>
          </cell>
          <cell r="AC19">
            <v>29.55</v>
          </cell>
          <cell r="AD19">
            <v>35.54</v>
          </cell>
          <cell r="AE19">
            <v>51.94</v>
          </cell>
          <cell r="AF19">
            <v>32.06</v>
          </cell>
        </row>
        <row r="20">
          <cell r="B20">
            <v>879.82</v>
          </cell>
          <cell r="C20">
            <v>21.15</v>
          </cell>
          <cell r="D20">
            <v>56.73</v>
          </cell>
          <cell r="E20">
            <v>29.98</v>
          </cell>
          <cell r="F20">
            <v>31.03</v>
          </cell>
          <cell r="G20">
            <v>31.55</v>
          </cell>
          <cell r="H20">
            <v>21.33</v>
          </cell>
          <cell r="I20">
            <v>37.74</v>
          </cell>
          <cell r="J20">
            <v>15.84</v>
          </cell>
          <cell r="K20">
            <v>22.21</v>
          </cell>
          <cell r="L20">
            <v>30.7</v>
          </cell>
          <cell r="M20">
            <v>23.2</v>
          </cell>
          <cell r="N20">
            <v>22.09</v>
          </cell>
          <cell r="O20">
            <v>16.510000000000002</v>
          </cell>
          <cell r="P20">
            <v>75.150000000000006</v>
          </cell>
          <cell r="Q20">
            <v>15.06</v>
          </cell>
          <cell r="R20">
            <v>50.14</v>
          </cell>
          <cell r="S20">
            <v>21.04</v>
          </cell>
          <cell r="T20">
            <v>40.369999999999997</v>
          </cell>
          <cell r="U20">
            <v>15.23</v>
          </cell>
          <cell r="V20">
            <v>57.45</v>
          </cell>
          <cell r="W20">
            <v>33.86</v>
          </cell>
          <cell r="X20">
            <v>46.61</v>
          </cell>
          <cell r="Y20">
            <v>22.48</v>
          </cell>
          <cell r="Z20">
            <v>27.98</v>
          </cell>
          <cell r="AA20">
            <v>40.14</v>
          </cell>
          <cell r="AB20">
            <v>22.3</v>
          </cell>
          <cell r="AC20">
            <v>29.29</v>
          </cell>
          <cell r="AD20">
            <v>32.880000000000003</v>
          </cell>
          <cell r="AE20">
            <v>48.74</v>
          </cell>
          <cell r="AF20">
            <v>32.19</v>
          </cell>
        </row>
        <row r="21">
          <cell r="B21">
            <v>855.7</v>
          </cell>
          <cell r="C21">
            <v>18.36</v>
          </cell>
          <cell r="D21">
            <v>53.07</v>
          </cell>
          <cell r="E21">
            <v>30.13</v>
          </cell>
          <cell r="F21">
            <v>29.71</v>
          </cell>
          <cell r="G21">
            <v>30.97</v>
          </cell>
          <cell r="H21">
            <v>20.67</v>
          </cell>
          <cell r="I21">
            <v>33.71</v>
          </cell>
          <cell r="J21">
            <v>17</v>
          </cell>
          <cell r="K21">
            <v>21.1</v>
          </cell>
          <cell r="L21">
            <v>30.26</v>
          </cell>
          <cell r="M21">
            <v>20.190000000000001</v>
          </cell>
          <cell r="N21">
            <v>22.49</v>
          </cell>
          <cell r="O21">
            <v>16.559999999999999</v>
          </cell>
          <cell r="P21">
            <v>75.83</v>
          </cell>
          <cell r="Q21">
            <v>15.15</v>
          </cell>
          <cell r="R21">
            <v>50.05</v>
          </cell>
          <cell r="S21">
            <v>20.46</v>
          </cell>
          <cell r="T21">
            <v>37.26</v>
          </cell>
          <cell r="U21">
            <v>13.49</v>
          </cell>
          <cell r="V21">
            <v>58.03</v>
          </cell>
          <cell r="W21">
            <v>31.64</v>
          </cell>
          <cell r="X21">
            <v>45.6</v>
          </cell>
          <cell r="Y21">
            <v>20.64</v>
          </cell>
          <cell r="Z21">
            <v>27.93</v>
          </cell>
          <cell r="AA21">
            <v>40.159999999999997</v>
          </cell>
          <cell r="AB21">
            <v>20.28</v>
          </cell>
          <cell r="AC21">
            <v>30.07</v>
          </cell>
          <cell r="AD21">
            <v>32.770000000000003</v>
          </cell>
          <cell r="AE21">
            <v>46.13</v>
          </cell>
          <cell r="AF21">
            <v>31.46</v>
          </cell>
        </row>
        <row r="22">
          <cell r="B22">
            <v>841.15</v>
          </cell>
          <cell r="C22">
            <v>19.18</v>
          </cell>
          <cell r="D22">
            <v>48.33</v>
          </cell>
          <cell r="E22">
            <v>28.48</v>
          </cell>
          <cell r="F22">
            <v>26.06</v>
          </cell>
          <cell r="G22">
            <v>30.06</v>
          </cell>
          <cell r="H22">
            <v>22.09</v>
          </cell>
          <cell r="I22">
            <v>32.950000000000003</v>
          </cell>
          <cell r="J22">
            <v>16.57</v>
          </cell>
          <cell r="K22">
            <v>22.11</v>
          </cell>
          <cell r="L22">
            <v>28.52</v>
          </cell>
          <cell r="M22">
            <v>22.65</v>
          </cell>
          <cell r="N22">
            <v>21.24</v>
          </cell>
          <cell r="O22">
            <v>15.08</v>
          </cell>
          <cell r="P22">
            <v>75.739999999999995</v>
          </cell>
          <cell r="Q22">
            <v>16.71</v>
          </cell>
          <cell r="R22">
            <v>49.17</v>
          </cell>
          <cell r="S22">
            <v>19.88</v>
          </cell>
          <cell r="T22">
            <v>37.03</v>
          </cell>
          <cell r="U22">
            <v>12.89</v>
          </cell>
          <cell r="V22">
            <v>58.72</v>
          </cell>
          <cell r="W22">
            <v>32.29</v>
          </cell>
          <cell r="X22">
            <v>43.43</v>
          </cell>
          <cell r="Y22">
            <v>20.68</v>
          </cell>
          <cell r="Z22">
            <v>27.43</v>
          </cell>
          <cell r="AA22">
            <v>38.42</v>
          </cell>
          <cell r="AB22">
            <v>17.260000000000002</v>
          </cell>
          <cell r="AC22">
            <v>27.81</v>
          </cell>
          <cell r="AD22">
            <v>29.6</v>
          </cell>
          <cell r="AE22">
            <v>46.38</v>
          </cell>
          <cell r="AF22">
            <v>31.55</v>
          </cell>
        </row>
        <row r="23">
          <cell r="B23">
            <v>848.18</v>
          </cell>
          <cell r="C23">
            <v>18.14</v>
          </cell>
          <cell r="D23">
            <v>48.54</v>
          </cell>
          <cell r="E23">
            <v>28.18</v>
          </cell>
          <cell r="F23">
            <v>23.7</v>
          </cell>
          <cell r="G23">
            <v>31.06</v>
          </cell>
          <cell r="H23">
            <v>23.12</v>
          </cell>
          <cell r="I23">
            <v>34.92</v>
          </cell>
          <cell r="J23">
            <v>16.53</v>
          </cell>
          <cell r="K23">
            <v>23.44</v>
          </cell>
          <cell r="L23">
            <v>28.39</v>
          </cell>
          <cell r="M23">
            <v>23.59</v>
          </cell>
          <cell r="N23">
            <v>19.82</v>
          </cell>
          <cell r="O23">
            <v>14.87</v>
          </cell>
          <cell r="P23">
            <v>76.2</v>
          </cell>
          <cell r="Q23">
            <v>15.77</v>
          </cell>
          <cell r="R23">
            <v>54.25</v>
          </cell>
          <cell r="S23">
            <v>20.79</v>
          </cell>
          <cell r="T23">
            <v>37.49</v>
          </cell>
          <cell r="U23">
            <v>13.7</v>
          </cell>
          <cell r="V23">
            <v>60.91</v>
          </cell>
          <cell r="W23">
            <v>25.48</v>
          </cell>
          <cell r="X23">
            <v>45.42</v>
          </cell>
          <cell r="Y23">
            <v>21.12</v>
          </cell>
          <cell r="Z23">
            <v>28.66</v>
          </cell>
          <cell r="AA23">
            <v>41.79</v>
          </cell>
          <cell r="AB23">
            <v>16.649999999999999</v>
          </cell>
          <cell r="AC23">
            <v>27.43</v>
          </cell>
          <cell r="AD23">
            <v>30.26</v>
          </cell>
          <cell r="AE23">
            <v>50.3</v>
          </cell>
          <cell r="AF23">
            <v>32.42</v>
          </cell>
        </row>
        <row r="24">
          <cell r="B24">
            <v>916.92</v>
          </cell>
          <cell r="C24">
            <v>21.6</v>
          </cell>
          <cell r="D24">
            <v>56.88</v>
          </cell>
          <cell r="E24">
            <v>32.18</v>
          </cell>
          <cell r="F24">
            <v>25.8</v>
          </cell>
          <cell r="G24">
            <v>35.39</v>
          </cell>
          <cell r="H24">
            <v>24.88</v>
          </cell>
          <cell r="I24">
            <v>38.22</v>
          </cell>
          <cell r="J24">
            <v>18.13</v>
          </cell>
          <cell r="K24">
            <v>27.07</v>
          </cell>
          <cell r="L24">
            <v>30.45</v>
          </cell>
          <cell r="M24">
            <v>27.24</v>
          </cell>
          <cell r="N24">
            <v>21.9</v>
          </cell>
          <cell r="O24">
            <v>15.58</v>
          </cell>
          <cell r="P24">
            <v>82.49</v>
          </cell>
          <cell r="Q24">
            <v>17.82</v>
          </cell>
          <cell r="R24">
            <v>52.83</v>
          </cell>
          <cell r="S24">
            <v>26.1</v>
          </cell>
          <cell r="T24">
            <v>37.42</v>
          </cell>
          <cell r="U24">
            <v>16.2</v>
          </cell>
          <cell r="V24">
            <v>59.04</v>
          </cell>
          <cell r="W24">
            <v>26.16</v>
          </cell>
          <cell r="X24">
            <v>48.23</v>
          </cell>
          <cell r="Y24">
            <v>22.31</v>
          </cell>
          <cell r="Z24">
            <v>28.29</v>
          </cell>
          <cell r="AA24">
            <v>42.36</v>
          </cell>
          <cell r="AB24">
            <v>19.68</v>
          </cell>
          <cell r="AC24">
            <v>29.35</v>
          </cell>
          <cell r="AD24">
            <v>32.35</v>
          </cell>
          <cell r="AE24">
            <v>54.44</v>
          </cell>
          <cell r="AF24">
            <v>32.65</v>
          </cell>
        </row>
        <row r="25">
          <cell r="B25">
            <v>963.59</v>
          </cell>
          <cell r="C25">
            <v>23.18</v>
          </cell>
          <cell r="D25">
            <v>56.81</v>
          </cell>
          <cell r="E25">
            <v>35.409999999999997</v>
          </cell>
          <cell r="F25">
            <v>29.17</v>
          </cell>
          <cell r="G25">
            <v>37.17</v>
          </cell>
          <cell r="H25">
            <v>24.67</v>
          </cell>
          <cell r="I25">
            <v>38.18</v>
          </cell>
          <cell r="J25">
            <v>19.09</v>
          </cell>
          <cell r="K25">
            <v>26.38</v>
          </cell>
          <cell r="L25">
            <v>30.26</v>
          </cell>
          <cell r="M25">
            <v>31.47</v>
          </cell>
          <cell r="N25">
            <v>24.49</v>
          </cell>
          <cell r="O25">
            <v>18.64</v>
          </cell>
          <cell r="P25">
            <v>85.7</v>
          </cell>
          <cell r="Q25">
            <v>20.190000000000001</v>
          </cell>
          <cell r="R25">
            <v>51.17</v>
          </cell>
          <cell r="S25">
            <v>29.22</v>
          </cell>
          <cell r="T25">
            <v>42.21</v>
          </cell>
          <cell r="U25">
            <v>17.739999999999998</v>
          </cell>
          <cell r="V25">
            <v>59.55</v>
          </cell>
          <cell r="W25">
            <v>35.119999999999997</v>
          </cell>
          <cell r="X25">
            <v>46.08</v>
          </cell>
          <cell r="Y25">
            <v>21.47</v>
          </cell>
          <cell r="Z25">
            <v>28.66</v>
          </cell>
          <cell r="AA25">
            <v>43.29</v>
          </cell>
          <cell r="AB25">
            <v>21.45</v>
          </cell>
          <cell r="AC25">
            <v>32.54</v>
          </cell>
          <cell r="AD25">
            <v>32.76</v>
          </cell>
          <cell r="AE25">
            <v>50.86</v>
          </cell>
          <cell r="AF25">
            <v>34</v>
          </cell>
        </row>
        <row r="26">
          <cell r="B26">
            <v>974.5</v>
          </cell>
          <cell r="C26">
            <v>24.02</v>
          </cell>
          <cell r="D26">
            <v>54.21</v>
          </cell>
          <cell r="E26">
            <v>35.54</v>
          </cell>
          <cell r="F26">
            <v>32.64</v>
          </cell>
          <cell r="G26">
            <v>38.79</v>
          </cell>
          <cell r="H26">
            <v>26.33</v>
          </cell>
          <cell r="I26">
            <v>37.72</v>
          </cell>
          <cell r="J26">
            <v>19.190000000000001</v>
          </cell>
          <cell r="K26">
            <v>26.54</v>
          </cell>
          <cell r="L26">
            <v>30.83</v>
          </cell>
          <cell r="M26">
            <v>32.14</v>
          </cell>
          <cell r="N26">
            <v>25.1</v>
          </cell>
          <cell r="O26">
            <v>20.440000000000001</v>
          </cell>
          <cell r="P26">
            <v>80.3</v>
          </cell>
          <cell r="Q26">
            <v>20.18</v>
          </cell>
          <cell r="R26">
            <v>48.67</v>
          </cell>
          <cell r="S26">
            <v>30.39</v>
          </cell>
          <cell r="T26">
            <v>43.19</v>
          </cell>
          <cell r="U26">
            <v>20.9</v>
          </cell>
          <cell r="V26">
            <v>60.74</v>
          </cell>
          <cell r="W26">
            <v>39.22</v>
          </cell>
          <cell r="X26">
            <v>50.52</v>
          </cell>
          <cell r="Y26">
            <v>22.37</v>
          </cell>
          <cell r="Z26">
            <v>31.55</v>
          </cell>
          <cell r="AA26">
            <v>42.04</v>
          </cell>
          <cell r="AB26">
            <v>21.53</v>
          </cell>
          <cell r="AC26">
            <v>33.770000000000003</v>
          </cell>
          <cell r="AD26">
            <v>34.14</v>
          </cell>
          <cell r="AE26">
            <v>51.97</v>
          </cell>
          <cell r="AF26">
            <v>33.549999999999997</v>
          </cell>
        </row>
        <row r="27">
          <cell r="B27">
            <v>990.31</v>
          </cell>
          <cell r="C27">
            <v>26.16</v>
          </cell>
          <cell r="D27">
            <v>63.07</v>
          </cell>
          <cell r="E27">
            <v>37.64</v>
          </cell>
          <cell r="F27">
            <v>31.5</v>
          </cell>
          <cell r="G27">
            <v>40.92</v>
          </cell>
          <cell r="H27">
            <v>32.11</v>
          </cell>
          <cell r="I27">
            <v>39.81</v>
          </cell>
          <cell r="J27">
            <v>21.29</v>
          </cell>
          <cell r="K27">
            <v>26.31</v>
          </cell>
          <cell r="L27">
            <v>32.049999999999997</v>
          </cell>
          <cell r="M27">
            <v>30.27</v>
          </cell>
          <cell r="N27">
            <v>26.44</v>
          </cell>
          <cell r="O27">
            <v>20.32</v>
          </cell>
          <cell r="P27">
            <v>79.09</v>
          </cell>
          <cell r="Q27">
            <v>24.14</v>
          </cell>
          <cell r="R27">
            <v>48.76</v>
          </cell>
          <cell r="S27">
            <v>31.48</v>
          </cell>
          <cell r="T27">
            <v>41.85</v>
          </cell>
          <cell r="U27">
            <v>21.8</v>
          </cell>
          <cell r="V27">
            <v>66.02</v>
          </cell>
          <cell r="W27">
            <v>34.53</v>
          </cell>
          <cell r="X27">
            <v>46.12</v>
          </cell>
          <cell r="Y27">
            <v>23.04</v>
          </cell>
          <cell r="Z27">
            <v>30.82</v>
          </cell>
          <cell r="AA27">
            <v>41.64</v>
          </cell>
          <cell r="AB27">
            <v>19.97</v>
          </cell>
          <cell r="AC27">
            <v>35.86</v>
          </cell>
          <cell r="AD27">
            <v>30.59</v>
          </cell>
          <cell r="AE27">
            <v>54.13</v>
          </cell>
          <cell r="AF27">
            <v>33.24</v>
          </cell>
        </row>
        <row r="28">
          <cell r="B28">
            <v>1008.01</v>
          </cell>
          <cell r="C28">
            <v>27.06</v>
          </cell>
          <cell r="D28">
            <v>58.52</v>
          </cell>
          <cell r="E28">
            <v>38.39</v>
          </cell>
          <cell r="F28">
            <v>35.75</v>
          </cell>
          <cell r="G28">
            <v>39.590000000000003</v>
          </cell>
          <cell r="H28">
            <v>34.18</v>
          </cell>
          <cell r="I28">
            <v>40.86</v>
          </cell>
          <cell r="J28">
            <v>19.920000000000002</v>
          </cell>
          <cell r="K28">
            <v>27.36</v>
          </cell>
          <cell r="L28">
            <v>35.67</v>
          </cell>
          <cell r="M28">
            <v>31.2</v>
          </cell>
          <cell r="N28">
            <v>27.28</v>
          </cell>
          <cell r="O28">
            <v>19.13</v>
          </cell>
          <cell r="P28">
            <v>79.989999999999995</v>
          </cell>
          <cell r="Q28">
            <v>27.75</v>
          </cell>
          <cell r="R28">
            <v>46.9</v>
          </cell>
          <cell r="S28">
            <v>30.73</v>
          </cell>
          <cell r="T28">
            <v>40.5</v>
          </cell>
          <cell r="U28">
            <v>21.24</v>
          </cell>
          <cell r="V28">
            <v>67.400000000000006</v>
          </cell>
          <cell r="W28">
            <v>35.57</v>
          </cell>
          <cell r="X28">
            <v>44.36</v>
          </cell>
          <cell r="Y28">
            <v>23.14</v>
          </cell>
          <cell r="Z28">
            <v>27.77</v>
          </cell>
          <cell r="AA28">
            <v>41.37</v>
          </cell>
          <cell r="AB28">
            <v>19.2</v>
          </cell>
          <cell r="AC28">
            <v>38.39</v>
          </cell>
          <cell r="AD28">
            <v>30.87</v>
          </cell>
          <cell r="AE28">
            <v>57.29</v>
          </cell>
          <cell r="AF28">
            <v>35.46</v>
          </cell>
        </row>
        <row r="29">
          <cell r="B29">
            <v>995.97</v>
          </cell>
          <cell r="C29">
            <v>24.78</v>
          </cell>
          <cell r="D29">
            <v>56.75</v>
          </cell>
          <cell r="E29">
            <v>38.39</v>
          </cell>
          <cell r="F29">
            <v>32.82</v>
          </cell>
          <cell r="G29">
            <v>41.56</v>
          </cell>
          <cell r="H29">
            <v>32.76</v>
          </cell>
          <cell r="I29">
            <v>36.54</v>
          </cell>
          <cell r="J29">
            <v>19.59</v>
          </cell>
          <cell r="K29">
            <v>27.75</v>
          </cell>
          <cell r="L29">
            <v>35.520000000000003</v>
          </cell>
          <cell r="M29">
            <v>30.97</v>
          </cell>
          <cell r="N29">
            <v>24.8</v>
          </cell>
          <cell r="O29">
            <v>18.649999999999999</v>
          </cell>
          <cell r="P29">
            <v>86.15</v>
          </cell>
          <cell r="Q29">
            <v>26.71</v>
          </cell>
          <cell r="R29">
            <v>46.84</v>
          </cell>
          <cell r="S29">
            <v>30.83</v>
          </cell>
          <cell r="T29">
            <v>40.17</v>
          </cell>
          <cell r="U29">
            <v>22.3</v>
          </cell>
          <cell r="V29">
            <v>65.349999999999994</v>
          </cell>
          <cell r="W29">
            <v>38.43</v>
          </cell>
          <cell r="X29">
            <v>44.95</v>
          </cell>
          <cell r="Y29">
            <v>24.26</v>
          </cell>
          <cell r="Z29">
            <v>28.2</v>
          </cell>
          <cell r="AA29">
            <v>43.99</v>
          </cell>
          <cell r="AB29">
            <v>19.02</v>
          </cell>
          <cell r="AC29">
            <v>36.97</v>
          </cell>
          <cell r="AD29">
            <v>28.35</v>
          </cell>
          <cell r="AE29">
            <v>54.08</v>
          </cell>
          <cell r="AF29">
            <v>34.43</v>
          </cell>
        </row>
        <row r="30">
          <cell r="B30">
            <v>1050.71</v>
          </cell>
          <cell r="C30">
            <v>29.91</v>
          </cell>
          <cell r="D30">
            <v>59.82</v>
          </cell>
          <cell r="E30">
            <v>40.08</v>
          </cell>
          <cell r="F30">
            <v>36.799999999999997</v>
          </cell>
          <cell r="G30">
            <v>43.61</v>
          </cell>
          <cell r="H30">
            <v>35.04</v>
          </cell>
          <cell r="I30">
            <v>36.9</v>
          </cell>
          <cell r="J30">
            <v>21.99</v>
          </cell>
          <cell r="K30">
            <v>27.01</v>
          </cell>
          <cell r="L30">
            <v>37.03</v>
          </cell>
          <cell r="M30">
            <v>36.049999999999997</v>
          </cell>
          <cell r="N30">
            <v>28.81</v>
          </cell>
          <cell r="O30">
            <v>21.5</v>
          </cell>
          <cell r="P30">
            <v>87.27</v>
          </cell>
          <cell r="Q30">
            <v>31.98</v>
          </cell>
          <cell r="R30">
            <v>47.61</v>
          </cell>
          <cell r="S30">
            <v>32.56</v>
          </cell>
          <cell r="T30">
            <v>43.39</v>
          </cell>
          <cell r="U30">
            <v>23.68</v>
          </cell>
          <cell r="V30">
            <v>74.62</v>
          </cell>
          <cell r="W30">
            <v>40.799999999999997</v>
          </cell>
          <cell r="X30">
            <v>39.29</v>
          </cell>
          <cell r="Y30">
            <v>22.94</v>
          </cell>
          <cell r="Z30">
            <v>29.33</v>
          </cell>
          <cell r="AA30">
            <v>46.8</v>
          </cell>
          <cell r="AB30">
            <v>20.85</v>
          </cell>
          <cell r="AC30">
            <v>40.51</v>
          </cell>
          <cell r="AD30">
            <v>29.7</v>
          </cell>
          <cell r="AE30">
            <v>57.17</v>
          </cell>
          <cell r="AF30">
            <v>34.409999999999997</v>
          </cell>
        </row>
        <row r="31">
          <cell r="B31">
            <v>1058.2</v>
          </cell>
          <cell r="C31">
            <v>31.23</v>
          </cell>
          <cell r="D31">
            <v>56.99</v>
          </cell>
          <cell r="E31">
            <v>39.03</v>
          </cell>
          <cell r="F31">
            <v>36.869999999999997</v>
          </cell>
          <cell r="G31">
            <v>43.27</v>
          </cell>
          <cell r="H31">
            <v>36.36</v>
          </cell>
          <cell r="I31">
            <v>38.19</v>
          </cell>
          <cell r="J31">
            <v>22.43</v>
          </cell>
          <cell r="K31">
            <v>26.69</v>
          </cell>
          <cell r="L31">
            <v>37.57</v>
          </cell>
          <cell r="M31">
            <v>35.75</v>
          </cell>
          <cell r="N31">
            <v>28.12</v>
          </cell>
          <cell r="O31">
            <v>20.95</v>
          </cell>
          <cell r="P31">
            <v>88.47</v>
          </cell>
          <cell r="Q31">
            <v>32.57</v>
          </cell>
          <cell r="R31">
            <v>46.86</v>
          </cell>
          <cell r="S31">
            <v>32.1</v>
          </cell>
          <cell r="T31">
            <v>43.69</v>
          </cell>
          <cell r="U31">
            <v>24.66</v>
          </cell>
          <cell r="V31">
            <v>75.099999999999994</v>
          </cell>
          <cell r="W31">
            <v>45.62</v>
          </cell>
          <cell r="X31">
            <v>36.049999999999997</v>
          </cell>
          <cell r="Y31">
            <v>22.56</v>
          </cell>
          <cell r="Z31">
            <v>31.31</v>
          </cell>
          <cell r="AA31">
            <v>45.82</v>
          </cell>
          <cell r="AB31">
            <v>20.239999999999998</v>
          </cell>
          <cell r="AC31">
            <v>41.16</v>
          </cell>
          <cell r="AD31">
            <v>29.03</v>
          </cell>
          <cell r="AE31">
            <v>53.96</v>
          </cell>
          <cell r="AF31">
            <v>34.29</v>
          </cell>
        </row>
        <row r="32">
          <cell r="B32">
            <v>1111.92</v>
          </cell>
          <cell r="C32">
            <v>36.17</v>
          </cell>
          <cell r="D32">
            <v>65.260000000000005</v>
          </cell>
          <cell r="E32">
            <v>41.27</v>
          </cell>
          <cell r="F32">
            <v>40.47</v>
          </cell>
          <cell r="G32">
            <v>44.66</v>
          </cell>
          <cell r="H32">
            <v>39.700000000000003</v>
          </cell>
          <cell r="I32">
            <v>42.27</v>
          </cell>
          <cell r="J32">
            <v>22.88</v>
          </cell>
          <cell r="K32">
            <v>29.03</v>
          </cell>
          <cell r="L32">
            <v>46.89</v>
          </cell>
          <cell r="M32">
            <v>34.58</v>
          </cell>
          <cell r="N32">
            <v>31.66</v>
          </cell>
          <cell r="O32">
            <v>22.21</v>
          </cell>
          <cell r="P32">
            <v>90.56</v>
          </cell>
          <cell r="Q32">
            <v>31.12</v>
          </cell>
          <cell r="R32">
            <v>49.1</v>
          </cell>
          <cell r="S32">
            <v>33.31</v>
          </cell>
          <cell r="T32">
            <v>47.69</v>
          </cell>
          <cell r="U32">
            <v>23.89</v>
          </cell>
          <cell r="V32">
            <v>80.790000000000006</v>
          </cell>
          <cell r="W32">
            <v>48.36</v>
          </cell>
          <cell r="X32">
            <v>41.39</v>
          </cell>
          <cell r="Y32">
            <v>24.01</v>
          </cell>
          <cell r="Z32">
            <v>32.950000000000003</v>
          </cell>
          <cell r="AA32">
            <v>47.56</v>
          </cell>
          <cell r="AB32">
            <v>22.67</v>
          </cell>
          <cell r="AC32">
            <v>45.52</v>
          </cell>
          <cell r="AD32">
            <v>31.01</v>
          </cell>
          <cell r="AE32">
            <v>51.54</v>
          </cell>
          <cell r="AF32">
            <v>38.83</v>
          </cell>
        </row>
        <row r="33">
          <cell r="B33">
            <v>1131.1300000000001</v>
          </cell>
          <cell r="C33">
            <v>32.53</v>
          </cell>
          <cell r="D33">
            <v>68.38</v>
          </cell>
          <cell r="E33">
            <v>44.36</v>
          </cell>
          <cell r="F33">
            <v>40.1</v>
          </cell>
          <cell r="G33">
            <v>45.9</v>
          </cell>
          <cell r="H33">
            <v>37.520000000000003</v>
          </cell>
          <cell r="I33">
            <v>40.44</v>
          </cell>
          <cell r="J33">
            <v>23.54</v>
          </cell>
          <cell r="K33">
            <v>31.51</v>
          </cell>
          <cell r="L33">
            <v>43.63</v>
          </cell>
          <cell r="M33">
            <v>34.56</v>
          </cell>
          <cell r="N33">
            <v>34.21</v>
          </cell>
          <cell r="O33">
            <v>23</v>
          </cell>
          <cell r="P33">
            <v>96.96</v>
          </cell>
          <cell r="Q33">
            <v>29.64</v>
          </cell>
          <cell r="R33">
            <v>50.77</v>
          </cell>
          <cell r="S33">
            <v>35.6</v>
          </cell>
          <cell r="T33">
            <v>46.27</v>
          </cell>
          <cell r="U33">
            <v>24.76</v>
          </cell>
          <cell r="V33">
            <v>75.150000000000006</v>
          </cell>
          <cell r="W33">
            <v>49.4</v>
          </cell>
          <cell r="X33">
            <v>42.64</v>
          </cell>
          <cell r="Y33">
            <v>24.26</v>
          </cell>
          <cell r="Z33">
            <v>34.159999999999997</v>
          </cell>
          <cell r="AA33">
            <v>48.35</v>
          </cell>
          <cell r="AB33">
            <v>22.43</v>
          </cell>
          <cell r="AC33">
            <v>45.89</v>
          </cell>
          <cell r="AD33">
            <v>32.93</v>
          </cell>
          <cell r="AE33">
            <v>52.31</v>
          </cell>
          <cell r="AF33">
            <v>38.64</v>
          </cell>
        </row>
        <row r="34">
          <cell r="B34">
            <v>1144.94</v>
          </cell>
          <cell r="C34">
            <v>35.82</v>
          </cell>
          <cell r="D34">
            <v>72.86</v>
          </cell>
          <cell r="E34">
            <v>45.71</v>
          </cell>
          <cell r="F34">
            <v>41.82</v>
          </cell>
          <cell r="G34">
            <v>46.62</v>
          </cell>
          <cell r="H34">
            <v>36.380000000000003</v>
          </cell>
          <cell r="I34">
            <v>41.86</v>
          </cell>
          <cell r="J34">
            <v>26.02</v>
          </cell>
          <cell r="K34">
            <v>30.66</v>
          </cell>
          <cell r="L34">
            <v>42.69</v>
          </cell>
          <cell r="M34">
            <v>35.380000000000003</v>
          </cell>
          <cell r="N34">
            <v>33.369999999999997</v>
          </cell>
          <cell r="O34">
            <v>21.96</v>
          </cell>
          <cell r="P34">
            <v>94.44</v>
          </cell>
          <cell r="Q34">
            <v>28.39</v>
          </cell>
          <cell r="R34">
            <v>51.47</v>
          </cell>
          <cell r="S34">
            <v>37.549999999999997</v>
          </cell>
          <cell r="T34">
            <v>46.94</v>
          </cell>
          <cell r="U34">
            <v>27.23</v>
          </cell>
          <cell r="V34">
            <v>74.47</v>
          </cell>
          <cell r="W34">
            <v>51.14</v>
          </cell>
          <cell r="X34">
            <v>43.07</v>
          </cell>
          <cell r="Y34">
            <v>23.28</v>
          </cell>
          <cell r="Z34">
            <v>34.33</v>
          </cell>
          <cell r="AA34">
            <v>49.04</v>
          </cell>
          <cell r="AB34">
            <v>21.12</v>
          </cell>
          <cell r="AC34">
            <v>44.41</v>
          </cell>
          <cell r="AD34">
            <v>34.24</v>
          </cell>
          <cell r="AE34">
            <v>57.86</v>
          </cell>
          <cell r="AF34">
            <v>40.19</v>
          </cell>
        </row>
        <row r="35">
          <cell r="B35">
            <v>1126.21</v>
          </cell>
          <cell r="C35">
            <v>33.159999999999997</v>
          </cell>
          <cell r="D35">
            <v>70.31</v>
          </cell>
          <cell r="E35">
            <v>44.46</v>
          </cell>
          <cell r="F35">
            <v>39.6</v>
          </cell>
          <cell r="G35">
            <v>47.96</v>
          </cell>
          <cell r="H35">
            <v>37.979999999999997</v>
          </cell>
          <cell r="I35">
            <v>39.200000000000003</v>
          </cell>
          <cell r="J35">
            <v>24.51</v>
          </cell>
          <cell r="K35">
            <v>28.77</v>
          </cell>
          <cell r="L35">
            <v>41.92</v>
          </cell>
          <cell r="M35">
            <v>36.47</v>
          </cell>
          <cell r="N35">
            <v>32.229999999999997</v>
          </cell>
          <cell r="O35">
            <v>22.16</v>
          </cell>
          <cell r="P35">
            <v>89.88</v>
          </cell>
          <cell r="Q35">
            <v>26.45</v>
          </cell>
          <cell r="R35">
            <v>48.42</v>
          </cell>
          <cell r="S35">
            <v>38.4</v>
          </cell>
          <cell r="T35">
            <v>47.5</v>
          </cell>
          <cell r="U35">
            <v>27.49</v>
          </cell>
          <cell r="V35">
            <v>78.14</v>
          </cell>
          <cell r="W35">
            <v>48.95</v>
          </cell>
          <cell r="X35">
            <v>39.9</v>
          </cell>
          <cell r="Y35">
            <v>21.87</v>
          </cell>
          <cell r="Z35">
            <v>32.840000000000003</v>
          </cell>
          <cell r="AA35">
            <v>50.17</v>
          </cell>
          <cell r="AB35">
            <v>21.59</v>
          </cell>
          <cell r="AC35">
            <v>41.61</v>
          </cell>
          <cell r="AD35">
            <v>32.64</v>
          </cell>
          <cell r="AE35">
            <v>58.12</v>
          </cell>
          <cell r="AF35">
            <v>39.64</v>
          </cell>
        </row>
        <row r="36">
          <cell r="B36">
            <v>1107.3</v>
          </cell>
          <cell r="C36">
            <v>29.4</v>
          </cell>
          <cell r="D36">
            <v>70.61</v>
          </cell>
          <cell r="E36">
            <v>41.97</v>
          </cell>
          <cell r="F36">
            <v>41.16</v>
          </cell>
          <cell r="G36">
            <v>44.98</v>
          </cell>
          <cell r="H36">
            <v>37.5</v>
          </cell>
          <cell r="I36">
            <v>39.880000000000003</v>
          </cell>
          <cell r="J36">
            <v>22.59</v>
          </cell>
          <cell r="K36">
            <v>28.24</v>
          </cell>
          <cell r="L36">
            <v>42.07</v>
          </cell>
          <cell r="M36">
            <v>34.35</v>
          </cell>
          <cell r="N36">
            <v>32.92</v>
          </cell>
          <cell r="O36">
            <v>19.12</v>
          </cell>
          <cell r="P36">
            <v>86.29</v>
          </cell>
          <cell r="Q36">
            <v>25.02</v>
          </cell>
          <cell r="R36">
            <v>51.58</v>
          </cell>
          <cell r="S36">
            <v>34.69</v>
          </cell>
          <cell r="T36">
            <v>47.76</v>
          </cell>
          <cell r="U36">
            <v>26.2</v>
          </cell>
          <cell r="V36">
            <v>82.54</v>
          </cell>
          <cell r="W36">
            <v>49.79</v>
          </cell>
          <cell r="X36">
            <v>42.43</v>
          </cell>
          <cell r="Y36">
            <v>22.93</v>
          </cell>
          <cell r="Z36">
            <v>33.5</v>
          </cell>
          <cell r="AA36">
            <v>50.85</v>
          </cell>
          <cell r="AB36">
            <v>22.18</v>
          </cell>
          <cell r="AC36">
            <v>41.59</v>
          </cell>
          <cell r="AD36">
            <v>34.06</v>
          </cell>
          <cell r="AE36">
            <v>55.5</v>
          </cell>
          <cell r="AF36">
            <v>40.549999999999997</v>
          </cell>
        </row>
        <row r="37">
          <cell r="B37">
            <v>1120.68</v>
          </cell>
          <cell r="C37">
            <v>30.07</v>
          </cell>
          <cell r="D37">
            <v>72.23</v>
          </cell>
          <cell r="E37">
            <v>43.47</v>
          </cell>
          <cell r="F37">
            <v>44.36</v>
          </cell>
          <cell r="G37">
            <v>43.43</v>
          </cell>
          <cell r="H37">
            <v>36.35</v>
          </cell>
          <cell r="I37">
            <v>40.450000000000003</v>
          </cell>
          <cell r="J37">
            <v>23.02</v>
          </cell>
          <cell r="K37">
            <v>29.34</v>
          </cell>
          <cell r="L37">
            <v>40.72</v>
          </cell>
          <cell r="M37">
            <v>35.06</v>
          </cell>
          <cell r="N37">
            <v>32.270000000000003</v>
          </cell>
          <cell r="O37">
            <v>20.61</v>
          </cell>
          <cell r="P37">
            <v>86.88</v>
          </cell>
          <cell r="Q37">
            <v>27.8</v>
          </cell>
          <cell r="R37">
            <v>53.46</v>
          </cell>
          <cell r="S37">
            <v>33.99</v>
          </cell>
          <cell r="T37">
            <v>48.49</v>
          </cell>
          <cell r="U37">
            <v>25.4</v>
          </cell>
          <cell r="V37">
            <v>81.06</v>
          </cell>
          <cell r="W37">
            <v>43.13</v>
          </cell>
          <cell r="X37">
            <v>42.7</v>
          </cell>
          <cell r="Y37">
            <v>23.01</v>
          </cell>
          <cell r="Z37">
            <v>33.26</v>
          </cell>
          <cell r="AA37">
            <v>51.82</v>
          </cell>
          <cell r="AB37">
            <v>21.11</v>
          </cell>
          <cell r="AC37">
            <v>40.97</v>
          </cell>
          <cell r="AD37">
            <v>31.21</v>
          </cell>
          <cell r="AE37">
            <v>54.39</v>
          </cell>
          <cell r="AF37">
            <v>41.49</v>
          </cell>
        </row>
        <row r="38">
          <cell r="B38">
            <v>1140.8399999999999</v>
          </cell>
          <cell r="C38">
            <v>31.73</v>
          </cell>
          <cell r="D38">
            <v>70.31</v>
          </cell>
          <cell r="E38">
            <v>44.14</v>
          </cell>
          <cell r="F38">
            <v>49.49</v>
          </cell>
          <cell r="G38">
            <v>43.49</v>
          </cell>
          <cell r="H38">
            <v>38.33</v>
          </cell>
          <cell r="I38">
            <v>41.59</v>
          </cell>
          <cell r="J38">
            <v>25</v>
          </cell>
          <cell r="K38">
            <v>30.73</v>
          </cell>
          <cell r="L38">
            <v>41.8</v>
          </cell>
          <cell r="M38">
            <v>34.44</v>
          </cell>
          <cell r="N38">
            <v>35.07</v>
          </cell>
          <cell r="O38">
            <v>20.55</v>
          </cell>
          <cell r="P38">
            <v>86.45</v>
          </cell>
          <cell r="Q38">
            <v>26.88</v>
          </cell>
          <cell r="R38">
            <v>53.45</v>
          </cell>
          <cell r="S38">
            <v>35.770000000000003</v>
          </cell>
          <cell r="T38">
            <v>47.9</v>
          </cell>
          <cell r="U38">
            <v>25.01</v>
          </cell>
          <cell r="V38">
            <v>86.28</v>
          </cell>
          <cell r="W38">
            <v>45.64</v>
          </cell>
          <cell r="X38">
            <v>43.21</v>
          </cell>
          <cell r="Y38">
            <v>25.06</v>
          </cell>
          <cell r="Z38">
            <v>32.270000000000003</v>
          </cell>
          <cell r="AA38">
            <v>52.33</v>
          </cell>
          <cell r="AB38">
            <v>21.6</v>
          </cell>
          <cell r="AC38">
            <v>44.29</v>
          </cell>
          <cell r="AD38">
            <v>32.67</v>
          </cell>
          <cell r="AE38">
            <v>51.24</v>
          </cell>
          <cell r="AF38">
            <v>42.6</v>
          </cell>
        </row>
        <row r="39">
          <cell r="B39">
            <v>1101.72</v>
          </cell>
          <cell r="C39">
            <v>30.77</v>
          </cell>
          <cell r="D39">
            <v>69.69</v>
          </cell>
          <cell r="E39">
            <v>43.17</v>
          </cell>
          <cell r="F39">
            <v>49.16</v>
          </cell>
          <cell r="G39">
            <v>41.62</v>
          </cell>
          <cell r="H39">
            <v>35.64</v>
          </cell>
          <cell r="I39">
            <v>40.14</v>
          </cell>
          <cell r="J39">
            <v>22.64</v>
          </cell>
          <cell r="K39">
            <v>31.54</v>
          </cell>
          <cell r="L39">
            <v>38.700000000000003</v>
          </cell>
          <cell r="M39">
            <v>32.99</v>
          </cell>
          <cell r="N39">
            <v>36.01</v>
          </cell>
          <cell r="O39">
            <v>19.63</v>
          </cell>
          <cell r="P39">
            <v>85.39</v>
          </cell>
          <cell r="Q39">
            <v>23.74</v>
          </cell>
          <cell r="R39">
            <v>53.04</v>
          </cell>
          <cell r="S39">
            <v>34.75</v>
          </cell>
          <cell r="T39">
            <v>41.62</v>
          </cell>
          <cell r="U39">
            <v>26.46</v>
          </cell>
          <cell r="V39">
            <v>78.95</v>
          </cell>
          <cell r="W39">
            <v>43.4</v>
          </cell>
          <cell r="X39">
            <v>41.26</v>
          </cell>
          <cell r="Y39">
            <v>25</v>
          </cell>
          <cell r="Z39">
            <v>30.08</v>
          </cell>
          <cell r="AA39">
            <v>50.36</v>
          </cell>
          <cell r="AB39">
            <v>22.87</v>
          </cell>
          <cell r="AC39">
            <v>45.27</v>
          </cell>
          <cell r="AD39">
            <v>35.159999999999997</v>
          </cell>
          <cell r="AE39">
            <v>51.74</v>
          </cell>
          <cell r="AF39">
            <v>44.41</v>
          </cell>
        </row>
        <row r="40">
          <cell r="B40">
            <v>1104.24</v>
          </cell>
          <cell r="C40">
            <v>31.25</v>
          </cell>
          <cell r="D40">
            <v>70.27</v>
          </cell>
          <cell r="E40">
            <v>42.97</v>
          </cell>
          <cell r="F40">
            <v>50.79</v>
          </cell>
          <cell r="G40">
            <v>43.97</v>
          </cell>
          <cell r="H40">
            <v>35.26</v>
          </cell>
          <cell r="I40">
            <v>39.9</v>
          </cell>
          <cell r="J40">
            <v>22.02</v>
          </cell>
          <cell r="K40">
            <v>31.1</v>
          </cell>
          <cell r="L40">
            <v>37.51</v>
          </cell>
          <cell r="M40">
            <v>35.85</v>
          </cell>
          <cell r="N40">
            <v>34.64</v>
          </cell>
          <cell r="O40">
            <v>17.43</v>
          </cell>
          <cell r="P40">
            <v>83.23</v>
          </cell>
          <cell r="Q40">
            <v>20.77</v>
          </cell>
          <cell r="R40">
            <v>56.04</v>
          </cell>
          <cell r="S40">
            <v>36.840000000000003</v>
          </cell>
          <cell r="T40">
            <v>42.43</v>
          </cell>
          <cell r="U40">
            <v>25.99</v>
          </cell>
          <cell r="V40">
            <v>79.31</v>
          </cell>
          <cell r="W40">
            <v>44.63</v>
          </cell>
          <cell r="X40">
            <v>40.909999999999997</v>
          </cell>
          <cell r="Y40">
            <v>24.02</v>
          </cell>
          <cell r="Z40">
            <v>30.92</v>
          </cell>
          <cell r="AA40">
            <v>54.05</v>
          </cell>
          <cell r="AB40">
            <v>23.27</v>
          </cell>
          <cell r="AC40">
            <v>45.64</v>
          </cell>
          <cell r="AD40">
            <v>35.81</v>
          </cell>
          <cell r="AE40">
            <v>51.53</v>
          </cell>
          <cell r="AF40">
            <v>44.49</v>
          </cell>
        </row>
        <row r="41">
          <cell r="B41">
            <v>1114.58</v>
          </cell>
          <cell r="C41">
            <v>32.42</v>
          </cell>
          <cell r="D41">
            <v>67.14</v>
          </cell>
          <cell r="E41">
            <v>44.21</v>
          </cell>
          <cell r="F41">
            <v>50.2</v>
          </cell>
          <cell r="G41">
            <v>41.64</v>
          </cell>
          <cell r="H41">
            <v>39.020000000000003</v>
          </cell>
          <cell r="I41">
            <v>40.409999999999997</v>
          </cell>
          <cell r="J41">
            <v>22.12</v>
          </cell>
          <cell r="K41">
            <v>32.04</v>
          </cell>
          <cell r="L41">
            <v>38.57</v>
          </cell>
          <cell r="M41">
            <v>38.44</v>
          </cell>
          <cell r="N41">
            <v>34.520000000000003</v>
          </cell>
          <cell r="O41">
            <v>18.34</v>
          </cell>
          <cell r="P41">
            <v>84.26</v>
          </cell>
          <cell r="Q41">
            <v>19.57</v>
          </cell>
          <cell r="R41">
            <v>54.33</v>
          </cell>
          <cell r="S41">
            <v>36.979999999999997</v>
          </cell>
          <cell r="T41">
            <v>38.229999999999997</v>
          </cell>
          <cell r="U41">
            <v>26.97</v>
          </cell>
          <cell r="V41">
            <v>77.010000000000005</v>
          </cell>
          <cell r="W41">
            <v>43.53</v>
          </cell>
          <cell r="X41">
            <v>30.28</v>
          </cell>
          <cell r="Y41">
            <v>24.33</v>
          </cell>
          <cell r="Z41">
            <v>28.96</v>
          </cell>
          <cell r="AA41">
            <v>52.26</v>
          </cell>
          <cell r="AB41">
            <v>23.42</v>
          </cell>
          <cell r="AC41">
            <v>45.38</v>
          </cell>
          <cell r="AD41">
            <v>35.93</v>
          </cell>
          <cell r="AE41">
            <v>52.04</v>
          </cell>
          <cell r="AF41">
            <v>46.64</v>
          </cell>
        </row>
        <row r="42">
          <cell r="B42">
            <v>1130.2</v>
          </cell>
          <cell r="C42">
            <v>31.37</v>
          </cell>
          <cell r="D42">
            <v>59.95</v>
          </cell>
          <cell r="E42">
            <v>45.69</v>
          </cell>
          <cell r="F42">
            <v>48.53</v>
          </cell>
          <cell r="G42">
            <v>42.27</v>
          </cell>
          <cell r="H42">
            <v>39.26</v>
          </cell>
          <cell r="I42">
            <v>40.479999999999997</v>
          </cell>
          <cell r="J42">
            <v>24.73</v>
          </cell>
          <cell r="K42">
            <v>32.549999999999997</v>
          </cell>
          <cell r="L42">
            <v>35</v>
          </cell>
          <cell r="M42">
            <v>40.29</v>
          </cell>
          <cell r="N42">
            <v>32.42</v>
          </cell>
          <cell r="O42">
            <v>18.25</v>
          </cell>
          <cell r="P42">
            <v>88.2</v>
          </cell>
          <cell r="Q42">
            <v>21.71</v>
          </cell>
          <cell r="R42">
            <v>56.31</v>
          </cell>
          <cell r="S42">
            <v>36.24</v>
          </cell>
          <cell r="T42">
            <v>38.81</v>
          </cell>
          <cell r="U42">
            <v>28.04</v>
          </cell>
          <cell r="V42">
            <v>74.7</v>
          </cell>
          <cell r="W42">
            <v>44.84</v>
          </cell>
          <cell r="X42">
            <v>28.73</v>
          </cell>
          <cell r="Y42">
            <v>24.61</v>
          </cell>
          <cell r="Z42">
            <v>27.4</v>
          </cell>
          <cell r="AA42">
            <v>49.66</v>
          </cell>
          <cell r="AB42">
            <v>23.06</v>
          </cell>
          <cell r="AC42">
            <v>45.11</v>
          </cell>
          <cell r="AD42">
            <v>36.01</v>
          </cell>
          <cell r="AE42">
            <v>52.75</v>
          </cell>
          <cell r="AF42">
            <v>47.5</v>
          </cell>
        </row>
        <row r="43">
          <cell r="B43">
            <v>1173.82</v>
          </cell>
          <cell r="C43">
            <v>32.950000000000003</v>
          </cell>
          <cell r="D43">
            <v>62.56</v>
          </cell>
          <cell r="E43">
            <v>47.97</v>
          </cell>
          <cell r="F43">
            <v>52.3</v>
          </cell>
          <cell r="G43">
            <v>42.63</v>
          </cell>
          <cell r="H43">
            <v>44.63</v>
          </cell>
          <cell r="I43">
            <v>43.13</v>
          </cell>
          <cell r="J43">
            <v>26.36</v>
          </cell>
          <cell r="K43">
            <v>33.74</v>
          </cell>
          <cell r="L43">
            <v>35.5</v>
          </cell>
          <cell r="M43">
            <v>41.03</v>
          </cell>
          <cell r="N43">
            <v>34.19</v>
          </cell>
          <cell r="O43">
            <v>19.57</v>
          </cell>
          <cell r="P43">
            <v>92.79</v>
          </cell>
          <cell r="Q43">
            <v>21.87</v>
          </cell>
          <cell r="R43">
            <v>58.45</v>
          </cell>
          <cell r="S43">
            <v>35.35</v>
          </cell>
          <cell r="T43">
            <v>37.76</v>
          </cell>
          <cell r="U43">
            <v>30.12</v>
          </cell>
          <cell r="V43">
            <v>76.98</v>
          </cell>
          <cell r="W43">
            <v>53.2</v>
          </cell>
          <cell r="X43">
            <v>25.71</v>
          </cell>
          <cell r="Y43">
            <v>26.29</v>
          </cell>
          <cell r="Z43">
            <v>26.44</v>
          </cell>
          <cell r="AA43">
            <v>51.89</v>
          </cell>
          <cell r="AB43">
            <v>22.98</v>
          </cell>
          <cell r="AC43">
            <v>47.6</v>
          </cell>
          <cell r="AD43">
            <v>37.97</v>
          </cell>
          <cell r="AE43">
            <v>50.93</v>
          </cell>
          <cell r="AF43">
            <v>49.72</v>
          </cell>
        </row>
        <row r="44">
          <cell r="B44">
            <v>1211.92</v>
          </cell>
          <cell r="C44">
            <v>30.46</v>
          </cell>
          <cell r="D44">
            <v>64.930000000000007</v>
          </cell>
          <cell r="E44">
            <v>48.54</v>
          </cell>
          <cell r="F44">
            <v>50.54</v>
          </cell>
          <cell r="G44">
            <v>45.89</v>
          </cell>
          <cell r="H44">
            <v>47.53</v>
          </cell>
          <cell r="I44">
            <v>46.68</v>
          </cell>
          <cell r="J44">
            <v>27.51</v>
          </cell>
          <cell r="K44">
            <v>35.03</v>
          </cell>
          <cell r="L44">
            <v>36.85</v>
          </cell>
          <cell r="M44">
            <v>42</v>
          </cell>
          <cell r="N44">
            <v>34.270000000000003</v>
          </cell>
          <cell r="O44">
            <v>20.59</v>
          </cell>
          <cell r="P44">
            <v>97.07</v>
          </cell>
          <cell r="Q44">
            <v>22.86</v>
          </cell>
          <cell r="R44">
            <v>61.46</v>
          </cell>
          <cell r="S44">
            <v>36.619999999999997</v>
          </cell>
          <cell r="T44">
            <v>40</v>
          </cell>
          <cell r="U44">
            <v>31.42</v>
          </cell>
          <cell r="V44">
            <v>79.38</v>
          </cell>
          <cell r="W44">
            <v>57.22</v>
          </cell>
          <cell r="X44">
            <v>29.89</v>
          </cell>
          <cell r="Y44">
            <v>26.21</v>
          </cell>
          <cell r="Z44">
            <v>25.6</v>
          </cell>
          <cell r="AA44">
            <v>53.44</v>
          </cell>
          <cell r="AB44">
            <v>23.53</v>
          </cell>
          <cell r="AC44">
            <v>50.41</v>
          </cell>
          <cell r="AD44">
            <v>37.31</v>
          </cell>
          <cell r="AE44">
            <v>51.8</v>
          </cell>
          <cell r="AF44">
            <v>49.73</v>
          </cell>
        </row>
        <row r="45">
          <cell r="B45">
            <v>1181.27</v>
          </cell>
          <cell r="C45">
            <v>28.62</v>
          </cell>
          <cell r="D45">
            <v>65.540000000000006</v>
          </cell>
          <cell r="E45">
            <v>46.04</v>
          </cell>
          <cell r="F45">
            <v>49.4</v>
          </cell>
          <cell r="G45">
            <v>46.72</v>
          </cell>
          <cell r="H45">
            <v>43.62</v>
          </cell>
          <cell r="I45">
            <v>45.26</v>
          </cell>
          <cell r="J45">
            <v>28.33</v>
          </cell>
          <cell r="K45">
            <v>34.68</v>
          </cell>
          <cell r="L45">
            <v>33.86</v>
          </cell>
          <cell r="M45">
            <v>40.54</v>
          </cell>
          <cell r="N45">
            <v>34.82</v>
          </cell>
          <cell r="O45">
            <v>19.239999999999998</v>
          </cell>
          <cell r="P45">
            <v>91.99</v>
          </cell>
          <cell r="Q45">
            <v>21.94</v>
          </cell>
          <cell r="R45">
            <v>62.7</v>
          </cell>
          <cell r="S45">
            <v>35.35</v>
          </cell>
          <cell r="T45">
            <v>39.85</v>
          </cell>
          <cell r="U45">
            <v>31.74</v>
          </cell>
          <cell r="V45">
            <v>81.599999999999994</v>
          </cell>
          <cell r="W45">
            <v>59.78</v>
          </cell>
          <cell r="X45">
            <v>26.09</v>
          </cell>
          <cell r="Y45">
            <v>25.77</v>
          </cell>
          <cell r="Z45">
            <v>23</v>
          </cell>
          <cell r="AA45">
            <v>51.88</v>
          </cell>
          <cell r="AB45">
            <v>21.97</v>
          </cell>
          <cell r="AC45">
            <v>49.11</v>
          </cell>
          <cell r="AD45">
            <v>33.1</v>
          </cell>
          <cell r="AE45">
            <v>51.39</v>
          </cell>
          <cell r="AF45">
            <v>50.06</v>
          </cell>
        </row>
        <row r="46">
          <cell r="B46">
            <v>1203.5999999999999</v>
          </cell>
          <cell r="C46">
            <v>31.31</v>
          </cell>
          <cell r="D46">
            <v>66.040000000000006</v>
          </cell>
          <cell r="E46">
            <v>46.73</v>
          </cell>
          <cell r="F46">
            <v>53.92</v>
          </cell>
          <cell r="G46">
            <v>45.86</v>
          </cell>
          <cell r="H46">
            <v>46.54</v>
          </cell>
          <cell r="I46">
            <v>51.08</v>
          </cell>
          <cell r="J46">
            <v>27.65</v>
          </cell>
          <cell r="K46">
            <v>34</v>
          </cell>
          <cell r="L46">
            <v>33.229999999999997</v>
          </cell>
          <cell r="M46">
            <v>39.33</v>
          </cell>
          <cell r="N46">
            <v>36.94</v>
          </cell>
          <cell r="O46">
            <v>20.43</v>
          </cell>
          <cell r="P46">
            <v>91.33</v>
          </cell>
          <cell r="Q46">
            <v>23.53</v>
          </cell>
          <cell r="R46">
            <v>63.85</v>
          </cell>
          <cell r="S46">
            <v>34.61</v>
          </cell>
          <cell r="T46">
            <v>41.11</v>
          </cell>
          <cell r="U46">
            <v>32.42</v>
          </cell>
          <cell r="V46">
            <v>81.599999999999994</v>
          </cell>
          <cell r="W46">
            <v>61.48</v>
          </cell>
          <cell r="X46">
            <v>29.49</v>
          </cell>
          <cell r="Y46">
            <v>24.75</v>
          </cell>
          <cell r="Z46">
            <v>25.22</v>
          </cell>
          <cell r="AA46">
            <v>51.74</v>
          </cell>
          <cell r="AB46">
            <v>22.25</v>
          </cell>
          <cell r="AC46">
            <v>48.93</v>
          </cell>
          <cell r="AD46">
            <v>33.450000000000003</v>
          </cell>
          <cell r="AE46">
            <v>50.61</v>
          </cell>
          <cell r="AF46">
            <v>61.72</v>
          </cell>
        </row>
        <row r="47">
          <cell r="B47">
            <v>1180.5899999999999</v>
          </cell>
          <cell r="C47">
            <v>29.62</v>
          </cell>
          <cell r="D47">
            <v>54.88</v>
          </cell>
          <cell r="E47">
            <v>44.43</v>
          </cell>
          <cell r="F47">
            <v>57.34</v>
          </cell>
          <cell r="G47">
            <v>43.19</v>
          </cell>
          <cell r="H47">
            <v>44.77</v>
          </cell>
          <cell r="I47">
            <v>49.1</v>
          </cell>
          <cell r="J47">
            <v>28.43</v>
          </cell>
          <cell r="K47">
            <v>34.83</v>
          </cell>
          <cell r="L47">
            <v>27.4</v>
          </cell>
          <cell r="M47">
            <v>37.67</v>
          </cell>
          <cell r="N47">
            <v>36.200000000000003</v>
          </cell>
          <cell r="O47">
            <v>21.63</v>
          </cell>
          <cell r="P47">
            <v>90.15</v>
          </cell>
          <cell r="Q47">
            <v>22.78</v>
          </cell>
          <cell r="R47">
            <v>65.36</v>
          </cell>
          <cell r="S47">
            <v>32.770000000000003</v>
          </cell>
          <cell r="T47">
            <v>40.29</v>
          </cell>
          <cell r="U47">
            <v>30.51</v>
          </cell>
          <cell r="V47">
            <v>83.3</v>
          </cell>
          <cell r="W47">
            <v>61.93</v>
          </cell>
          <cell r="X47">
            <v>30.47</v>
          </cell>
          <cell r="Y47">
            <v>23.78</v>
          </cell>
          <cell r="Z47">
            <v>25.2</v>
          </cell>
          <cell r="AA47">
            <v>51.66</v>
          </cell>
          <cell r="AB47">
            <v>21.91</v>
          </cell>
          <cell r="AC47">
            <v>49.8</v>
          </cell>
          <cell r="AD47">
            <v>33.01</v>
          </cell>
          <cell r="AE47">
            <v>49.29</v>
          </cell>
          <cell r="AF47">
            <v>58.11</v>
          </cell>
        </row>
        <row r="48">
          <cell r="B48">
            <v>1156.8499999999999</v>
          </cell>
          <cell r="C48">
            <v>28.29</v>
          </cell>
          <cell r="D48">
            <v>50.37</v>
          </cell>
          <cell r="E48">
            <v>45.58</v>
          </cell>
          <cell r="F48">
            <v>58.38</v>
          </cell>
          <cell r="G48">
            <v>45.56</v>
          </cell>
          <cell r="H48">
            <v>43.31</v>
          </cell>
          <cell r="I48">
            <v>45.14</v>
          </cell>
          <cell r="J48">
            <v>26.12</v>
          </cell>
          <cell r="K48">
            <v>34.96</v>
          </cell>
          <cell r="L48">
            <v>24.87</v>
          </cell>
          <cell r="M48">
            <v>34.840000000000003</v>
          </cell>
          <cell r="N48">
            <v>34.79</v>
          </cell>
          <cell r="O48">
            <v>20.18</v>
          </cell>
          <cell r="P48">
            <v>75.349999999999994</v>
          </cell>
          <cell r="Q48">
            <v>23.06</v>
          </cell>
          <cell r="R48">
            <v>66.8</v>
          </cell>
          <cell r="S48">
            <v>33.950000000000003</v>
          </cell>
          <cell r="T48">
            <v>42</v>
          </cell>
          <cell r="U48">
            <v>28.72</v>
          </cell>
          <cell r="V48">
            <v>74.34</v>
          </cell>
          <cell r="W48">
            <v>61.55</v>
          </cell>
          <cell r="X48">
            <v>31.91</v>
          </cell>
          <cell r="Y48">
            <v>24.89</v>
          </cell>
          <cell r="Z48">
            <v>26.06</v>
          </cell>
          <cell r="AA48">
            <v>53.05</v>
          </cell>
          <cell r="AB48">
            <v>22.3</v>
          </cell>
          <cell r="AC48">
            <v>49.83</v>
          </cell>
          <cell r="AD48">
            <v>33.67</v>
          </cell>
          <cell r="AE48">
            <v>46.36</v>
          </cell>
          <cell r="AF48">
            <v>55.6</v>
          </cell>
        </row>
        <row r="49">
          <cell r="B49">
            <v>1191.5</v>
          </cell>
          <cell r="C49">
            <v>26.55</v>
          </cell>
          <cell r="D49">
            <v>55.02</v>
          </cell>
          <cell r="E49">
            <v>46.58</v>
          </cell>
          <cell r="F49">
            <v>62.94</v>
          </cell>
          <cell r="G49">
            <v>45.7</v>
          </cell>
          <cell r="H49">
            <v>46.29</v>
          </cell>
          <cell r="I49">
            <v>44.92</v>
          </cell>
          <cell r="J49">
            <v>27.15</v>
          </cell>
          <cell r="K49">
            <v>35.229999999999997</v>
          </cell>
          <cell r="L49">
            <v>29.88</v>
          </cell>
          <cell r="M49">
            <v>38.76</v>
          </cell>
          <cell r="N49">
            <v>35.450000000000003</v>
          </cell>
          <cell r="O49">
            <v>22.2</v>
          </cell>
          <cell r="P49">
            <v>74.73</v>
          </cell>
          <cell r="Q49">
            <v>26.53</v>
          </cell>
          <cell r="R49">
            <v>65.63</v>
          </cell>
          <cell r="S49">
            <v>34.200000000000003</v>
          </cell>
          <cell r="T49">
            <v>43.15</v>
          </cell>
          <cell r="U49">
            <v>30.32</v>
          </cell>
          <cell r="V49">
            <v>74.92</v>
          </cell>
          <cell r="W49">
            <v>63.59</v>
          </cell>
          <cell r="X49">
            <v>30.53</v>
          </cell>
          <cell r="Y49">
            <v>25.46</v>
          </cell>
          <cell r="Z49">
            <v>26.95</v>
          </cell>
          <cell r="AA49">
            <v>54.03</v>
          </cell>
          <cell r="AB49">
            <v>21.91</v>
          </cell>
          <cell r="AC49">
            <v>52.49</v>
          </cell>
          <cell r="AD49">
            <v>33.28</v>
          </cell>
          <cell r="AE49">
            <v>46.6</v>
          </cell>
          <cell r="AF49">
            <v>55.07</v>
          </cell>
        </row>
        <row r="50">
          <cell r="B50">
            <v>1191.33</v>
          </cell>
          <cell r="C50">
            <v>25.6</v>
          </cell>
          <cell r="D50">
            <v>57.68</v>
          </cell>
          <cell r="E50">
            <v>46.14</v>
          </cell>
          <cell r="F50">
            <v>65.010000000000005</v>
          </cell>
          <cell r="G50">
            <v>44.85</v>
          </cell>
          <cell r="H50">
            <v>46.88</v>
          </cell>
          <cell r="I50">
            <v>41.54</v>
          </cell>
          <cell r="J50">
            <v>24.92</v>
          </cell>
          <cell r="K50">
            <v>33.67</v>
          </cell>
          <cell r="L50">
            <v>32.22</v>
          </cell>
          <cell r="M50">
            <v>38.42</v>
          </cell>
          <cell r="N50">
            <v>35.840000000000003</v>
          </cell>
          <cell r="O50">
            <v>23.26</v>
          </cell>
          <cell r="P50">
            <v>73.39</v>
          </cell>
          <cell r="Q50">
            <v>25.6</v>
          </cell>
          <cell r="R50">
            <v>63.57</v>
          </cell>
          <cell r="S50">
            <v>33.78</v>
          </cell>
          <cell r="T50">
            <v>40.619999999999997</v>
          </cell>
          <cell r="U50">
            <v>27.19</v>
          </cell>
          <cell r="V50">
            <v>70.67</v>
          </cell>
          <cell r="W50">
            <v>61.89</v>
          </cell>
          <cell r="X50">
            <v>29.33</v>
          </cell>
          <cell r="Y50">
            <v>24.52</v>
          </cell>
          <cell r="Z50">
            <v>26.64</v>
          </cell>
          <cell r="AA50">
            <v>51.68</v>
          </cell>
          <cell r="AB50">
            <v>22.26</v>
          </cell>
          <cell r="AC50">
            <v>50.52</v>
          </cell>
          <cell r="AD50">
            <v>32.5</v>
          </cell>
          <cell r="AE50">
            <v>47.56</v>
          </cell>
          <cell r="AF50">
            <v>56.32</v>
          </cell>
        </row>
        <row r="51">
          <cell r="B51">
            <v>1234.18</v>
          </cell>
          <cell r="C51">
            <v>27.48</v>
          </cell>
          <cell r="D51">
            <v>59.76</v>
          </cell>
          <cell r="E51">
            <v>47.68</v>
          </cell>
          <cell r="F51">
            <v>65.02</v>
          </cell>
          <cell r="G51">
            <v>42.62</v>
          </cell>
          <cell r="H51">
            <v>53.28</v>
          </cell>
          <cell r="I51">
            <v>41.22</v>
          </cell>
          <cell r="J51">
            <v>25.37</v>
          </cell>
          <cell r="K51">
            <v>33.53</v>
          </cell>
          <cell r="L51">
            <v>34.89</v>
          </cell>
          <cell r="M51">
            <v>42.97</v>
          </cell>
          <cell r="N51">
            <v>38.43</v>
          </cell>
          <cell r="O51">
            <v>24.36</v>
          </cell>
          <cell r="P51">
            <v>82.55</v>
          </cell>
          <cell r="Q51">
            <v>26.7</v>
          </cell>
          <cell r="R51">
            <v>62.56</v>
          </cell>
          <cell r="S51">
            <v>33.94</v>
          </cell>
          <cell r="T51">
            <v>42.58</v>
          </cell>
          <cell r="U51">
            <v>30.54</v>
          </cell>
          <cell r="V51">
            <v>73.31</v>
          </cell>
          <cell r="W51">
            <v>64.09</v>
          </cell>
          <cell r="X51">
            <v>29.58</v>
          </cell>
          <cell r="Y51">
            <v>25.28</v>
          </cell>
          <cell r="Z51">
            <v>25.6</v>
          </cell>
          <cell r="AA51">
            <v>54.78</v>
          </cell>
          <cell r="AB51">
            <v>23.23</v>
          </cell>
          <cell r="AC51">
            <v>49.88</v>
          </cell>
          <cell r="AD51">
            <v>32.57</v>
          </cell>
          <cell r="AE51">
            <v>48.69</v>
          </cell>
          <cell r="AF51">
            <v>57.57</v>
          </cell>
        </row>
        <row r="52">
          <cell r="B52">
            <v>1220.33</v>
          </cell>
          <cell r="C52">
            <v>26.38</v>
          </cell>
          <cell r="D52">
            <v>58.92</v>
          </cell>
          <cell r="E52">
            <v>47.89</v>
          </cell>
          <cell r="F52">
            <v>66.260000000000005</v>
          </cell>
          <cell r="G52">
            <v>42.89</v>
          </cell>
          <cell r="H52">
            <v>54.85</v>
          </cell>
          <cell r="I52">
            <v>38.549999999999997</v>
          </cell>
          <cell r="J52">
            <v>24.93</v>
          </cell>
          <cell r="K52">
            <v>32.659999999999997</v>
          </cell>
          <cell r="L52">
            <v>32.86</v>
          </cell>
          <cell r="M52">
            <v>39.92</v>
          </cell>
          <cell r="N52">
            <v>37.659999999999997</v>
          </cell>
          <cell r="O52">
            <v>27.47</v>
          </cell>
          <cell r="P52">
            <v>79.94</v>
          </cell>
          <cell r="Q52">
            <v>25.38</v>
          </cell>
          <cell r="R52">
            <v>62.32</v>
          </cell>
          <cell r="S52">
            <v>32.729999999999997</v>
          </cell>
          <cell r="T52">
            <v>42.81</v>
          </cell>
          <cell r="U52">
            <v>31.8</v>
          </cell>
          <cell r="V52">
            <v>69.959999999999994</v>
          </cell>
          <cell r="W52">
            <v>67.67</v>
          </cell>
          <cell r="X52">
            <v>27.25</v>
          </cell>
          <cell r="Y52">
            <v>27.1</v>
          </cell>
          <cell r="Z52">
            <v>24.79</v>
          </cell>
          <cell r="AA52">
            <v>54.63</v>
          </cell>
          <cell r="AB52">
            <v>22.87</v>
          </cell>
          <cell r="AC52">
            <v>49.4</v>
          </cell>
          <cell r="AD52">
            <v>31.13</v>
          </cell>
          <cell r="AE52">
            <v>44.5</v>
          </cell>
          <cell r="AF52">
            <v>58.98</v>
          </cell>
        </row>
        <row r="53">
          <cell r="B53">
            <v>1228.81</v>
          </cell>
          <cell r="C53">
            <v>24.05</v>
          </cell>
          <cell r="D53">
            <v>61.67</v>
          </cell>
          <cell r="E53">
            <v>49.79</v>
          </cell>
          <cell r="F53">
            <v>67.180000000000007</v>
          </cell>
          <cell r="G53">
            <v>44.6</v>
          </cell>
          <cell r="H53">
            <v>58.07</v>
          </cell>
          <cell r="I53">
            <v>38.159999999999997</v>
          </cell>
          <cell r="J53">
            <v>23.88</v>
          </cell>
          <cell r="K53">
            <v>32.94</v>
          </cell>
          <cell r="L53">
            <v>29.42</v>
          </cell>
          <cell r="M53">
            <v>37.76</v>
          </cell>
          <cell r="N53">
            <v>36.89</v>
          </cell>
          <cell r="O53">
            <v>28.97</v>
          </cell>
          <cell r="P53">
            <v>79.540000000000006</v>
          </cell>
          <cell r="Q53">
            <v>24.32</v>
          </cell>
          <cell r="R53">
            <v>62.21</v>
          </cell>
          <cell r="S53">
            <v>32.770000000000003</v>
          </cell>
          <cell r="T53">
            <v>42.29</v>
          </cell>
          <cell r="U53">
            <v>32.82</v>
          </cell>
          <cell r="V53">
            <v>72.13</v>
          </cell>
          <cell r="W53">
            <v>71.34</v>
          </cell>
          <cell r="X53">
            <v>26.27</v>
          </cell>
          <cell r="Y53">
            <v>25.47</v>
          </cell>
          <cell r="Z53">
            <v>24.29</v>
          </cell>
          <cell r="AA53">
            <v>58.55</v>
          </cell>
          <cell r="AB53">
            <v>22.77</v>
          </cell>
          <cell r="AC53">
            <v>51.22</v>
          </cell>
          <cell r="AD53">
            <v>31.11</v>
          </cell>
          <cell r="AE53">
            <v>43.37</v>
          </cell>
          <cell r="AF53">
            <v>62.57</v>
          </cell>
        </row>
        <row r="54">
          <cell r="B54">
            <v>1207.01</v>
          </cell>
          <cell r="C54">
            <v>23.92</v>
          </cell>
          <cell r="D54">
            <v>64.489999999999995</v>
          </cell>
          <cell r="E54">
            <v>49.41</v>
          </cell>
          <cell r="F54">
            <v>63.91</v>
          </cell>
          <cell r="G54">
            <v>44.86</v>
          </cell>
          <cell r="H54">
            <v>52.22</v>
          </cell>
          <cell r="I54">
            <v>40.619999999999997</v>
          </cell>
          <cell r="J54">
            <v>24.11</v>
          </cell>
          <cell r="K54">
            <v>33.17</v>
          </cell>
          <cell r="L54">
            <v>26.33</v>
          </cell>
          <cell r="M54">
            <v>40.630000000000003</v>
          </cell>
          <cell r="N54">
            <v>33.65</v>
          </cell>
          <cell r="O54">
            <v>27.82</v>
          </cell>
          <cell r="P54">
            <v>81.19</v>
          </cell>
          <cell r="Q54">
            <v>23.19</v>
          </cell>
          <cell r="R54">
            <v>61.56</v>
          </cell>
          <cell r="S54">
            <v>35.72</v>
          </cell>
          <cell r="T54">
            <v>41.89</v>
          </cell>
          <cell r="U54">
            <v>30.96</v>
          </cell>
          <cell r="V54">
            <v>74.7</v>
          </cell>
          <cell r="W54">
            <v>72.64</v>
          </cell>
          <cell r="X54">
            <v>27.24</v>
          </cell>
          <cell r="Y54">
            <v>25.44</v>
          </cell>
          <cell r="Z54">
            <v>21.15</v>
          </cell>
          <cell r="AA54">
            <v>55.42</v>
          </cell>
          <cell r="AB54">
            <v>22.97</v>
          </cell>
          <cell r="AC54">
            <v>50.67</v>
          </cell>
          <cell r="AD54">
            <v>30.37</v>
          </cell>
          <cell r="AE54">
            <v>46.83</v>
          </cell>
          <cell r="AF54">
            <v>55.28</v>
          </cell>
        </row>
        <row r="55">
          <cell r="B55">
            <v>1249.48</v>
          </cell>
          <cell r="C55">
            <v>27.16</v>
          </cell>
          <cell r="D55">
            <v>66.819999999999993</v>
          </cell>
          <cell r="E55">
            <v>51.04</v>
          </cell>
          <cell r="F55">
            <v>67.67</v>
          </cell>
          <cell r="G55">
            <v>48.04</v>
          </cell>
          <cell r="H55">
            <v>57.37</v>
          </cell>
          <cell r="I55">
            <v>42.02</v>
          </cell>
          <cell r="J55">
            <v>24.67</v>
          </cell>
          <cell r="K55">
            <v>34.94</v>
          </cell>
          <cell r="L55">
            <v>21.44</v>
          </cell>
          <cell r="M55">
            <v>41.46</v>
          </cell>
          <cell r="N55">
            <v>36.15</v>
          </cell>
          <cell r="O55">
            <v>29.44</v>
          </cell>
          <cell r="P55">
            <v>88.36</v>
          </cell>
          <cell r="Q55">
            <v>26.42</v>
          </cell>
          <cell r="R55">
            <v>61.02</v>
          </cell>
          <cell r="S55">
            <v>37.31</v>
          </cell>
          <cell r="T55">
            <v>42.08</v>
          </cell>
          <cell r="U55">
            <v>33.85</v>
          </cell>
          <cell r="V55">
            <v>77.569999999999993</v>
          </cell>
          <cell r="W55">
            <v>70.45</v>
          </cell>
          <cell r="X55">
            <v>28.75</v>
          </cell>
          <cell r="Y55">
            <v>27.48</v>
          </cell>
          <cell r="Z55">
            <v>20.8</v>
          </cell>
          <cell r="AA55">
            <v>56.6</v>
          </cell>
          <cell r="AB55">
            <v>23.99</v>
          </cell>
          <cell r="AC55">
            <v>53.42</v>
          </cell>
          <cell r="AD55">
            <v>30.82</v>
          </cell>
          <cell r="AE55">
            <v>48.07</v>
          </cell>
          <cell r="AF55">
            <v>57.43</v>
          </cell>
        </row>
        <row r="56">
          <cell r="B56">
            <v>1248.29</v>
          </cell>
          <cell r="C56">
            <v>29.3</v>
          </cell>
          <cell r="D56">
            <v>67.91</v>
          </cell>
          <cell r="E56">
            <v>51.08</v>
          </cell>
          <cell r="F56">
            <v>69.709999999999994</v>
          </cell>
          <cell r="G56">
            <v>48.02</v>
          </cell>
          <cell r="H56">
            <v>57.36</v>
          </cell>
          <cell r="I56">
            <v>41.77</v>
          </cell>
          <cell r="J56">
            <v>23.97</v>
          </cell>
          <cell r="K56">
            <v>34.53</v>
          </cell>
          <cell r="L56">
            <v>19.010000000000002</v>
          </cell>
          <cell r="M56">
            <v>40.17</v>
          </cell>
          <cell r="N56">
            <v>36.85</v>
          </cell>
          <cell r="O56">
            <v>28.48</v>
          </cell>
          <cell r="P56">
            <v>81.7</v>
          </cell>
          <cell r="Q56">
            <v>24.72</v>
          </cell>
          <cell r="R56">
            <v>59.39</v>
          </cell>
          <cell r="S56">
            <v>38.72</v>
          </cell>
          <cell r="T56">
            <v>39.729999999999997</v>
          </cell>
          <cell r="U56">
            <v>33.72</v>
          </cell>
          <cell r="V56">
            <v>76.599999999999994</v>
          </cell>
          <cell r="W56">
            <v>73.08</v>
          </cell>
          <cell r="X56">
            <v>31.1</v>
          </cell>
          <cell r="Y56">
            <v>25.96</v>
          </cell>
          <cell r="Z56">
            <v>22.88</v>
          </cell>
          <cell r="AA56">
            <v>57.29</v>
          </cell>
          <cell r="AB56">
            <v>23.58</v>
          </cell>
          <cell r="AC56">
            <v>55.47</v>
          </cell>
          <cell r="AD56">
            <v>29.03</v>
          </cell>
          <cell r="AE56">
            <v>46.46</v>
          </cell>
          <cell r="AF56">
            <v>55.59</v>
          </cell>
        </row>
        <row r="57">
          <cell r="B57">
            <v>1280.08</v>
          </cell>
          <cell r="C57">
            <v>31.21</v>
          </cell>
          <cell r="D57">
            <v>65.150000000000006</v>
          </cell>
          <cell r="E57">
            <v>52.19</v>
          </cell>
          <cell r="F57">
            <v>67.790000000000006</v>
          </cell>
          <cell r="G57">
            <v>46.09</v>
          </cell>
          <cell r="H57">
            <v>67.69</v>
          </cell>
          <cell r="I57">
            <v>38.479999999999997</v>
          </cell>
          <cell r="J57">
            <v>25.31</v>
          </cell>
          <cell r="K57">
            <v>32.270000000000003</v>
          </cell>
          <cell r="L57">
            <v>23.56</v>
          </cell>
          <cell r="M57">
            <v>40.24</v>
          </cell>
          <cell r="N57">
            <v>38.01</v>
          </cell>
          <cell r="O57">
            <v>31.02</v>
          </cell>
          <cell r="P57">
            <v>80.8</v>
          </cell>
          <cell r="Q57">
            <v>21.05</v>
          </cell>
          <cell r="R57">
            <v>56.86</v>
          </cell>
          <cell r="S57">
            <v>39.11</v>
          </cell>
          <cell r="T57">
            <v>40.79</v>
          </cell>
          <cell r="U57">
            <v>35.01</v>
          </cell>
          <cell r="V57">
            <v>71.91</v>
          </cell>
          <cell r="W57">
            <v>70.75</v>
          </cell>
          <cell r="X57">
            <v>33.729999999999997</v>
          </cell>
          <cell r="Y57">
            <v>27.95</v>
          </cell>
          <cell r="Z57">
            <v>25.2</v>
          </cell>
          <cell r="AA57">
            <v>58.9</v>
          </cell>
          <cell r="AB57">
            <v>25.33</v>
          </cell>
          <cell r="AC57">
            <v>57.91</v>
          </cell>
          <cell r="AD57">
            <v>30.91</v>
          </cell>
          <cell r="AE57">
            <v>45.78</v>
          </cell>
          <cell r="AF57">
            <v>62.11</v>
          </cell>
        </row>
        <row r="58">
          <cell r="B58">
            <v>1280.6600000000001</v>
          </cell>
          <cell r="C58">
            <v>29.19</v>
          </cell>
          <cell r="D58">
            <v>66.05</v>
          </cell>
          <cell r="E58">
            <v>53.61</v>
          </cell>
          <cell r="F58">
            <v>72.44</v>
          </cell>
          <cell r="G58">
            <v>46.37</v>
          </cell>
          <cell r="H58">
            <v>72.849999999999994</v>
          </cell>
          <cell r="I58">
            <v>39.909999999999997</v>
          </cell>
          <cell r="J58">
            <v>27.99</v>
          </cell>
          <cell r="K58">
            <v>32.630000000000003</v>
          </cell>
          <cell r="L58">
            <v>20.11</v>
          </cell>
          <cell r="M58">
            <v>41.83</v>
          </cell>
          <cell r="N58">
            <v>40.74</v>
          </cell>
          <cell r="O58">
            <v>32.64</v>
          </cell>
          <cell r="P58">
            <v>79.95</v>
          </cell>
          <cell r="Q58">
            <v>20.49</v>
          </cell>
          <cell r="R58">
            <v>57.29</v>
          </cell>
          <cell r="S58">
            <v>40.479999999999997</v>
          </cell>
          <cell r="T58">
            <v>41.37</v>
          </cell>
          <cell r="U58">
            <v>34.909999999999997</v>
          </cell>
          <cell r="V58">
            <v>73.2</v>
          </cell>
          <cell r="W58">
            <v>70.319999999999993</v>
          </cell>
          <cell r="X58">
            <v>34.090000000000003</v>
          </cell>
          <cell r="Y58">
            <v>26.77</v>
          </cell>
          <cell r="Z58">
            <v>25.94</v>
          </cell>
          <cell r="AA58">
            <v>59.6</v>
          </cell>
          <cell r="AB58">
            <v>26.93</v>
          </cell>
          <cell r="AC58">
            <v>58.26</v>
          </cell>
          <cell r="AD58">
            <v>32.9</v>
          </cell>
          <cell r="AE58">
            <v>45.03</v>
          </cell>
          <cell r="AF58">
            <v>59.07</v>
          </cell>
        </row>
        <row r="59">
          <cell r="B59">
            <v>1294.8699999999999</v>
          </cell>
          <cell r="C59">
            <v>30.43</v>
          </cell>
          <cell r="D59">
            <v>65.930000000000007</v>
          </cell>
          <cell r="E59">
            <v>52.28</v>
          </cell>
          <cell r="F59">
            <v>77.66</v>
          </cell>
          <cell r="G59">
            <v>47.23</v>
          </cell>
          <cell r="H59">
            <v>71.58</v>
          </cell>
          <cell r="I59">
            <v>41.87</v>
          </cell>
          <cell r="J59">
            <v>27.89</v>
          </cell>
          <cell r="K59">
            <v>34.520000000000003</v>
          </cell>
          <cell r="L59">
            <v>21.06</v>
          </cell>
          <cell r="M59">
            <v>42.13</v>
          </cell>
          <cell r="N59">
            <v>42.55</v>
          </cell>
          <cell r="O59">
            <v>32.81</v>
          </cell>
          <cell r="P59">
            <v>82.17</v>
          </cell>
          <cell r="Q59">
            <v>19.36</v>
          </cell>
          <cell r="R59">
            <v>58.85</v>
          </cell>
          <cell r="S59">
            <v>40.97</v>
          </cell>
          <cell r="T59">
            <v>41.57</v>
          </cell>
          <cell r="U59">
            <v>34.36</v>
          </cell>
          <cell r="V59">
            <v>75.290000000000006</v>
          </cell>
          <cell r="W59">
            <v>70.06</v>
          </cell>
          <cell r="X59">
            <v>34.83</v>
          </cell>
          <cell r="Y59">
            <v>27.1</v>
          </cell>
          <cell r="Z59">
            <v>24.69</v>
          </cell>
          <cell r="AA59">
            <v>57.31</v>
          </cell>
          <cell r="AB59">
            <v>26.39</v>
          </cell>
          <cell r="AC59">
            <v>57.73</v>
          </cell>
          <cell r="AD59">
            <v>33.25</v>
          </cell>
          <cell r="AE59">
            <v>47.07</v>
          </cell>
          <cell r="AF59">
            <v>60.56</v>
          </cell>
        </row>
        <row r="60">
          <cell r="B60">
            <v>1310.6099999999999</v>
          </cell>
          <cell r="C60">
            <v>33.630000000000003</v>
          </cell>
          <cell r="D60">
            <v>65.09</v>
          </cell>
          <cell r="E60">
            <v>53.66</v>
          </cell>
          <cell r="F60">
            <v>83.17</v>
          </cell>
          <cell r="G60">
            <v>49.95</v>
          </cell>
          <cell r="H60">
            <v>75.739999999999995</v>
          </cell>
          <cell r="I60">
            <v>43.74</v>
          </cell>
          <cell r="J60">
            <v>27.96</v>
          </cell>
          <cell r="K60">
            <v>34.33</v>
          </cell>
          <cell r="L60">
            <v>22.66</v>
          </cell>
          <cell r="M60">
            <v>39.770000000000003</v>
          </cell>
          <cell r="N60">
            <v>42.28</v>
          </cell>
          <cell r="O60">
            <v>32.380000000000003</v>
          </cell>
          <cell r="P60">
            <v>82.04</v>
          </cell>
          <cell r="Q60">
            <v>19.88</v>
          </cell>
          <cell r="R60">
            <v>58.25</v>
          </cell>
          <cell r="S60">
            <v>45.01</v>
          </cell>
          <cell r="T60">
            <v>41.66</v>
          </cell>
          <cell r="U60">
            <v>34.57</v>
          </cell>
          <cell r="V60">
            <v>84.98</v>
          </cell>
          <cell r="W60">
            <v>72.34</v>
          </cell>
          <cell r="X60">
            <v>34.03</v>
          </cell>
          <cell r="Y60">
            <v>24.06</v>
          </cell>
          <cell r="Z60">
            <v>25.09</v>
          </cell>
          <cell r="AA60">
            <v>58.21</v>
          </cell>
          <cell r="AB60">
            <v>25.9</v>
          </cell>
          <cell r="AC60">
            <v>62.55</v>
          </cell>
          <cell r="AD60">
            <v>32.630000000000003</v>
          </cell>
          <cell r="AE60">
            <v>44.87</v>
          </cell>
          <cell r="AF60">
            <v>62.76</v>
          </cell>
        </row>
        <row r="61">
          <cell r="B61">
            <v>1270.0899999999999</v>
          </cell>
          <cell r="C61">
            <v>31.72</v>
          </cell>
          <cell r="D61">
            <v>60.8</v>
          </cell>
          <cell r="E61">
            <v>54.21</v>
          </cell>
          <cell r="F61">
            <v>83.25</v>
          </cell>
          <cell r="G61">
            <v>49.3</v>
          </cell>
          <cell r="H61">
            <v>72.95</v>
          </cell>
          <cell r="I61">
            <v>42.53</v>
          </cell>
          <cell r="J61">
            <v>30.5</v>
          </cell>
          <cell r="K61">
            <v>34.01</v>
          </cell>
          <cell r="L61">
            <v>26.93</v>
          </cell>
          <cell r="M61">
            <v>37.97</v>
          </cell>
          <cell r="N61">
            <v>41.18</v>
          </cell>
          <cell r="O61">
            <v>32.29</v>
          </cell>
          <cell r="P61">
            <v>79.900000000000006</v>
          </cell>
          <cell r="Q61">
            <v>18.02</v>
          </cell>
          <cell r="R61">
            <v>60.22</v>
          </cell>
          <cell r="S61">
            <v>42.29</v>
          </cell>
          <cell r="T61">
            <v>43.71</v>
          </cell>
          <cell r="U61">
            <v>33.17</v>
          </cell>
          <cell r="V61">
            <v>83.66</v>
          </cell>
          <cell r="W61">
            <v>71.540000000000006</v>
          </cell>
          <cell r="X61">
            <v>33.29</v>
          </cell>
          <cell r="Y61">
            <v>22.65</v>
          </cell>
          <cell r="Z61">
            <v>23.66</v>
          </cell>
          <cell r="AA61">
            <v>54.25</v>
          </cell>
          <cell r="AB61">
            <v>25.75</v>
          </cell>
          <cell r="AC61">
            <v>62.52</v>
          </cell>
          <cell r="AD61">
            <v>30.83</v>
          </cell>
          <cell r="AE61">
            <v>48.45</v>
          </cell>
          <cell r="AF61">
            <v>60.91</v>
          </cell>
        </row>
        <row r="62">
          <cell r="B62">
            <v>1270.2</v>
          </cell>
          <cell r="C62">
            <v>32.36</v>
          </cell>
          <cell r="D62">
            <v>59.05</v>
          </cell>
          <cell r="E62">
            <v>53.07</v>
          </cell>
          <cell r="F62">
            <v>81.91</v>
          </cell>
          <cell r="G62">
            <v>48.25</v>
          </cell>
          <cell r="H62">
            <v>74.48</v>
          </cell>
          <cell r="I62">
            <v>41.6</v>
          </cell>
          <cell r="J62">
            <v>30</v>
          </cell>
          <cell r="K62">
            <v>32.96</v>
          </cell>
          <cell r="L62">
            <v>29.79</v>
          </cell>
          <cell r="M62">
            <v>35.79</v>
          </cell>
          <cell r="N62">
            <v>40.299999999999997</v>
          </cell>
          <cell r="O62">
            <v>31.68</v>
          </cell>
          <cell r="P62">
            <v>76.819999999999993</v>
          </cell>
          <cell r="Q62">
            <v>19</v>
          </cell>
          <cell r="R62">
            <v>59.92</v>
          </cell>
          <cell r="S62">
            <v>41.66</v>
          </cell>
          <cell r="T62">
            <v>43.02</v>
          </cell>
          <cell r="U62">
            <v>33.6</v>
          </cell>
          <cell r="V62">
            <v>80.77</v>
          </cell>
          <cell r="W62">
            <v>73.430000000000007</v>
          </cell>
          <cell r="X62">
            <v>36.43</v>
          </cell>
          <cell r="Y62">
            <v>23.3</v>
          </cell>
          <cell r="Z62">
            <v>23.47</v>
          </cell>
          <cell r="AA62">
            <v>55.6</v>
          </cell>
          <cell r="AB62">
            <v>27.56</v>
          </cell>
          <cell r="AC62">
            <v>63.42</v>
          </cell>
          <cell r="AD62">
            <v>33.08</v>
          </cell>
          <cell r="AE62">
            <v>48.17</v>
          </cell>
          <cell r="AF62">
            <v>61.35</v>
          </cell>
        </row>
        <row r="63">
          <cell r="B63">
            <v>1265.48</v>
          </cell>
          <cell r="C63">
            <v>33.549999999999997</v>
          </cell>
          <cell r="D63">
            <v>58.97</v>
          </cell>
          <cell r="E63">
            <v>51.98</v>
          </cell>
          <cell r="F63">
            <v>79.989999999999995</v>
          </cell>
          <cell r="G63">
            <v>49.08</v>
          </cell>
          <cell r="H63">
            <v>72.58</v>
          </cell>
          <cell r="I63">
            <v>40.54</v>
          </cell>
          <cell r="J63">
            <v>29.83</v>
          </cell>
          <cell r="K63">
            <v>33.299999999999997</v>
          </cell>
          <cell r="L63">
            <v>29.48</v>
          </cell>
          <cell r="M63">
            <v>35.369999999999997</v>
          </cell>
          <cell r="N63">
            <v>38.96</v>
          </cell>
          <cell r="O63">
            <v>32.85</v>
          </cell>
          <cell r="P63">
            <v>76.42</v>
          </cell>
          <cell r="Q63">
            <v>18.559999999999999</v>
          </cell>
          <cell r="R63">
            <v>60.62</v>
          </cell>
          <cell r="S63">
            <v>42.41</v>
          </cell>
          <cell r="T63">
            <v>43.18</v>
          </cell>
          <cell r="U63">
            <v>33.18</v>
          </cell>
          <cell r="V63">
            <v>74.099999999999994</v>
          </cell>
          <cell r="W63">
            <v>77.8</v>
          </cell>
          <cell r="X63">
            <v>36.97</v>
          </cell>
          <cell r="Y63">
            <v>23.3</v>
          </cell>
          <cell r="Z63">
            <v>23.68</v>
          </cell>
          <cell r="AA63">
            <v>56.5</v>
          </cell>
          <cell r="AB63">
            <v>27.74</v>
          </cell>
          <cell r="AC63">
            <v>63.1</v>
          </cell>
          <cell r="AD63">
            <v>32.71</v>
          </cell>
          <cell r="AE63">
            <v>46</v>
          </cell>
          <cell r="AF63">
            <v>62.84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G85"/>
  <sheetViews>
    <sheetView tabSelected="1" topLeftCell="C1" zoomScale="115" zoomScaleNormal="115" workbookViewId="0">
      <selection activeCell="Y13" sqref="Y13"/>
    </sheetView>
  </sheetViews>
  <sheetFormatPr defaultRowHeight="13.8" x14ac:dyDescent="0.25"/>
  <cols>
    <col min="1" max="1" width="16.109375" style="3" customWidth="1"/>
    <col min="2" max="2" width="10.109375" style="3" customWidth="1"/>
    <col min="3" max="3" width="8.88671875" style="3"/>
    <col min="4" max="4" width="11.6640625" style="3" bestFit="1" customWidth="1"/>
    <col min="5" max="5" width="10.88671875" style="3" customWidth="1"/>
    <col min="6" max="21" width="9.5546875" style="3" bestFit="1" customWidth="1"/>
    <col min="22" max="22" width="10.88671875" style="3" customWidth="1"/>
    <col min="23" max="29" width="9.5546875" style="3" bestFit="1" customWidth="1"/>
    <col min="30" max="30" width="11.88671875" style="3" customWidth="1"/>
    <col min="31" max="33" width="9.5546875" style="3" bestFit="1" customWidth="1"/>
  </cols>
  <sheetData>
    <row r="1" spans="1:33" ht="17.399999999999999" x14ac:dyDescent="0.25">
      <c r="A1" s="1" t="s">
        <v>0</v>
      </c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33" ht="55.2" x14ac:dyDescent="0.2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4" t="s">
        <v>15</v>
      </c>
      <c r="P2" s="4" t="s">
        <v>16</v>
      </c>
      <c r="Q2" s="4" t="s">
        <v>17</v>
      </c>
      <c r="R2" s="4" t="s">
        <v>18</v>
      </c>
      <c r="S2" s="4" t="s">
        <v>19</v>
      </c>
      <c r="T2" s="4" t="s">
        <v>20</v>
      </c>
      <c r="U2" s="4" t="s">
        <v>21</v>
      </c>
      <c r="V2" s="4" t="s">
        <v>22</v>
      </c>
      <c r="W2" s="4" t="s">
        <v>23</v>
      </c>
      <c r="X2" s="4" t="s">
        <v>24</v>
      </c>
      <c r="Y2" s="4" t="s">
        <v>25</v>
      </c>
      <c r="Z2" s="4" t="s">
        <v>26</v>
      </c>
      <c r="AA2" s="4" t="s">
        <v>27</v>
      </c>
      <c r="AB2" s="4" t="s">
        <v>28</v>
      </c>
      <c r="AC2" s="4" t="s">
        <v>29</v>
      </c>
      <c r="AD2" s="4" t="s">
        <v>30</v>
      </c>
      <c r="AE2" s="4" t="s">
        <v>31</v>
      </c>
      <c r="AF2" s="5" t="s">
        <v>32</v>
      </c>
      <c r="AG2" s="4" t="s">
        <v>33</v>
      </c>
    </row>
    <row r="3" spans="1:3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7"/>
      <c r="AG3" s="6"/>
    </row>
    <row r="4" spans="1:33" x14ac:dyDescent="0.25">
      <c r="A4" s="16" t="s">
        <v>34</v>
      </c>
      <c r="B4" s="8"/>
      <c r="C4" s="8">
        <f>AVERAGE(C9:C68)</f>
        <v>-1.0491923672858168E-3</v>
      </c>
      <c r="D4" s="8">
        <f t="shared" ref="D4:AG4" si="0">AVERAGE(D9:D68)</f>
        <v>-2.6598967744394177E-3</v>
      </c>
      <c r="E4" s="8">
        <f t="shared" si="0"/>
        <v>-7.1354969235733331E-3</v>
      </c>
      <c r="F4" s="8">
        <f t="shared" si="0"/>
        <v>5.4284118912186451E-3</v>
      </c>
      <c r="G4" s="8">
        <f t="shared" si="0"/>
        <v>4.8806650296764455E-3</v>
      </c>
      <c r="H4" s="8">
        <f t="shared" si="0"/>
        <v>1.2307476936210626E-3</v>
      </c>
      <c r="I4" s="8">
        <f t="shared" si="0"/>
        <v>1.6165094226415547E-2</v>
      </c>
      <c r="J4" s="8">
        <f t="shared" si="0"/>
        <v>6.6337552203466572E-5</v>
      </c>
      <c r="K4" s="8">
        <f t="shared" si="0"/>
        <v>1.1512071136870804E-3</v>
      </c>
      <c r="L4" s="8">
        <f t="shared" si="0"/>
        <v>-4.1240358178788782E-3</v>
      </c>
      <c r="M4" s="8">
        <f t="shared" si="0"/>
        <v>-1.0491031099800679E-2</v>
      </c>
      <c r="N4" s="8">
        <f t="shared" si="0"/>
        <v>-6.9584287274360524E-3</v>
      </c>
      <c r="O4" s="8">
        <f t="shared" si="0"/>
        <v>1.1144308337734563E-3</v>
      </c>
      <c r="P4" s="8">
        <f t="shared" si="0"/>
        <v>4.2851602953708238E-3</v>
      </c>
      <c r="Q4" s="8">
        <f t="shared" si="0"/>
        <v>-6.4306790281303157E-3</v>
      </c>
      <c r="R4" s="8">
        <f t="shared" si="0"/>
        <v>-9.0442510345697929E-3</v>
      </c>
      <c r="S4" s="8">
        <f t="shared" si="0"/>
        <v>1.594725593160986E-3</v>
      </c>
      <c r="T4" s="8">
        <f t="shared" si="0"/>
        <v>6.8075717968426344E-5</v>
      </c>
      <c r="U4" s="8">
        <f t="shared" si="0"/>
        <v>-6.0832075740963347E-4</v>
      </c>
      <c r="V4" s="8">
        <f t="shared" si="0"/>
        <v>1.6742580157332193E-3</v>
      </c>
      <c r="W4" s="8">
        <f t="shared" si="0"/>
        <v>4.5947653361482271E-3</v>
      </c>
      <c r="X4" s="8">
        <f t="shared" si="0"/>
        <v>1.1245804453799888E-2</v>
      </c>
      <c r="Y4" s="8">
        <f t="shared" si="0"/>
        <v>-8.0878916884664122E-3</v>
      </c>
      <c r="Z4" s="8">
        <f t="shared" si="0"/>
        <v>-5.2999001259038947E-3</v>
      </c>
      <c r="AA4" s="8">
        <f t="shared" si="0"/>
        <v>-9.2130577082537492E-3</v>
      </c>
      <c r="AB4" s="8">
        <f t="shared" si="0"/>
        <v>7.622876852939363E-3</v>
      </c>
      <c r="AC4" s="8">
        <f t="shared" si="0"/>
        <v>-5.9138568004871873E-3</v>
      </c>
      <c r="AD4" s="8">
        <f t="shared" si="0"/>
        <v>8.5461790239559042E-3</v>
      </c>
      <c r="AE4" s="8">
        <f t="shared" si="0"/>
        <v>-6.6909270386274946E-3</v>
      </c>
      <c r="AF4" s="8">
        <f t="shared" si="0"/>
        <v>-4.2998970416797521E-3</v>
      </c>
      <c r="AG4" s="8">
        <f t="shared" si="0"/>
        <v>6.9989778608041276E-3</v>
      </c>
    </row>
    <row r="5" spans="1:33" x14ac:dyDescent="0.25">
      <c r="A5" s="17" t="s">
        <v>35</v>
      </c>
      <c r="B5" s="9"/>
      <c r="C5" s="9">
        <f>SLOPE(C9:C68,$C$9:$C$68)</f>
        <v>1</v>
      </c>
      <c r="D5" s="9">
        <f t="shared" ref="D5:AG5" si="1">SLOPE(D9:D68,$C$9:$C$68)</f>
        <v>1.895913160786139</v>
      </c>
      <c r="E5" s="9">
        <f t="shared" si="1"/>
        <v>0.99330859407973282</v>
      </c>
      <c r="F5" s="9">
        <f t="shared" si="1"/>
        <v>1.380271717880927</v>
      </c>
      <c r="G5" s="9">
        <f t="shared" si="1"/>
        <v>1.1544885888077743</v>
      </c>
      <c r="H5" s="9">
        <f t="shared" si="1"/>
        <v>1.2930144548278188</v>
      </c>
      <c r="I5" s="9">
        <f t="shared" si="1"/>
        <v>1.3880031893686906</v>
      </c>
      <c r="J5" s="9">
        <f t="shared" si="1"/>
        <v>1.0017312691714588</v>
      </c>
      <c r="K5" s="9">
        <f t="shared" si="1"/>
        <v>1.2804544374428104</v>
      </c>
      <c r="L5" s="9">
        <f t="shared" si="1"/>
        <v>0.84406655956047782</v>
      </c>
      <c r="M5" s="9">
        <f t="shared" si="1"/>
        <v>1.4050697216820045</v>
      </c>
      <c r="N5" s="9">
        <f t="shared" si="1"/>
        <v>1.5547751223622257</v>
      </c>
      <c r="O5" s="9">
        <f t="shared" si="1"/>
        <v>1.6628829313576601</v>
      </c>
      <c r="P5" s="9">
        <f t="shared" si="1"/>
        <v>1.9513622221549634</v>
      </c>
      <c r="Q5" s="9">
        <f t="shared" si="1"/>
        <v>1.5731805959925345</v>
      </c>
      <c r="R5" s="9">
        <f t="shared" si="1"/>
        <v>2.2637247023270555</v>
      </c>
      <c r="S5" s="9">
        <f t="shared" si="1"/>
        <v>0.2492691951531843</v>
      </c>
      <c r="T5" s="9">
        <f t="shared" si="1"/>
        <v>1.7869437973590296</v>
      </c>
      <c r="U5" s="9">
        <f t="shared" si="1"/>
        <v>0.35818231868102579</v>
      </c>
      <c r="V5" s="9">
        <f t="shared" si="1"/>
        <v>1.2640646605979726</v>
      </c>
      <c r="W5" s="9">
        <f t="shared" si="1"/>
        <v>0.65518586020173142</v>
      </c>
      <c r="X5" s="9">
        <f t="shared" si="1"/>
        <v>0.66199189243756607</v>
      </c>
      <c r="Y5" s="9">
        <f t="shared" si="1"/>
        <v>0.60142595194492532</v>
      </c>
      <c r="Z5" s="9">
        <f t="shared" si="1"/>
        <v>1.1235435262765594</v>
      </c>
      <c r="AA5" s="9">
        <f t="shared" si="1"/>
        <v>0.55698418121363424</v>
      </c>
      <c r="AB5" s="9">
        <f t="shared" si="1"/>
        <v>0.17307337420740668</v>
      </c>
      <c r="AC5" s="9">
        <f t="shared" si="1"/>
        <v>1.1203640833911981</v>
      </c>
      <c r="AD5" s="9">
        <f t="shared" si="1"/>
        <v>1.0680828541920544</v>
      </c>
      <c r="AE5" s="9">
        <f t="shared" si="1"/>
        <v>1.0207066979183228</v>
      </c>
      <c r="AF5" s="9">
        <f t="shared" si="1"/>
        <v>0.60194661216826328</v>
      </c>
      <c r="AG5" s="9">
        <f t="shared" si="1"/>
        <v>0.64746859520592914</v>
      </c>
    </row>
    <row r="6" spans="1:33" x14ac:dyDescent="0.25">
      <c r="A6" s="16" t="s">
        <v>36</v>
      </c>
      <c r="C6" s="3">
        <f t="shared" ref="C6:AG6" si="2">INTERCEPT(C9:C68,$C$9:$C$68)</f>
        <v>0</v>
      </c>
      <c r="D6" s="10">
        <f t="shared" si="2"/>
        <v>-6.7071915710587319E-4</v>
      </c>
      <c r="E6" s="10">
        <f t="shared" si="2"/>
        <v>-6.0933251283054723E-3</v>
      </c>
      <c r="F6" s="10">
        <f t="shared" si="2"/>
        <v>6.8765824423997956E-3</v>
      </c>
      <c r="G6" s="10">
        <f t="shared" si="2"/>
        <v>6.0919456451721359E-3</v>
      </c>
      <c r="H6" s="10">
        <f t="shared" si="2"/>
        <v>2.5873685904166414E-3</v>
      </c>
      <c r="I6" s="10">
        <f t="shared" si="2"/>
        <v>1.7621376578469548E-2</v>
      </c>
      <c r="J6" s="10">
        <f t="shared" si="2"/>
        <v>1.1173463538896953E-3</v>
      </c>
      <c r="K6" s="10">
        <f t="shared" si="2"/>
        <v>2.4946501361093314E-3</v>
      </c>
      <c r="L6" s="10">
        <f t="shared" si="2"/>
        <v>-3.2384476261068254E-3</v>
      </c>
      <c r="M6" s="10">
        <f t="shared" si="2"/>
        <v>-9.0168426723075141E-3</v>
      </c>
      <c r="N6" s="10">
        <f t="shared" si="2"/>
        <v>-5.3271705362077336E-3</v>
      </c>
      <c r="O6" s="10">
        <f t="shared" si="2"/>
        <v>2.859114913043778E-3</v>
      </c>
      <c r="P6" s="10">
        <f t="shared" si="2"/>
        <v>6.3325146446657019E-3</v>
      </c>
      <c r="Q6" s="10">
        <f t="shared" si="2"/>
        <v>-4.7801099544527966E-3</v>
      </c>
      <c r="R6" s="10">
        <f t="shared" si="2"/>
        <v>-6.6691683552518883E-3</v>
      </c>
      <c r="S6" s="10">
        <f t="shared" si="2"/>
        <v>1.8562569301151857E-3</v>
      </c>
      <c r="T6" s="10">
        <f t="shared" si="2"/>
        <v>1.9429235109262536E-3</v>
      </c>
      <c r="U6" s="10">
        <f t="shared" si="2"/>
        <v>-2.325186025527652E-4</v>
      </c>
      <c r="V6" s="10">
        <f t="shared" si="2"/>
        <v>3.0005050093883487E-3</v>
      </c>
      <c r="W6" s="10">
        <f t="shared" si="2"/>
        <v>5.2821813398254754E-3</v>
      </c>
      <c r="X6" s="10">
        <f t="shared" si="2"/>
        <v>1.1940361294550476E-2</v>
      </c>
      <c r="Y6" s="10">
        <f t="shared" si="2"/>
        <v>-7.4568801701981897E-3</v>
      </c>
      <c r="Z6" s="10">
        <f t="shared" si="2"/>
        <v>-4.1210868338211366E-3</v>
      </c>
      <c r="AA6" s="10">
        <f t="shared" si="2"/>
        <v>-8.6286741566254637E-3</v>
      </c>
      <c r="AB6" s="10">
        <f t="shared" si="2"/>
        <v>7.804464116138176E-3</v>
      </c>
      <c r="AC6" s="10">
        <f t="shared" si="2"/>
        <v>-4.7383793556119722E-3</v>
      </c>
      <c r="AD6" s="10">
        <f t="shared" si="2"/>
        <v>9.6668034022030572E-3</v>
      </c>
      <c r="AE6" s="10">
        <f t="shared" si="2"/>
        <v>-5.6200093619340804E-3</v>
      </c>
      <c r="AF6" s="10">
        <f t="shared" si="2"/>
        <v>-3.6683392506792548E-3</v>
      </c>
      <c r="AG6" s="10">
        <f t="shared" si="2"/>
        <v>7.6782969689514584E-3</v>
      </c>
    </row>
    <row r="7" spans="1:33" x14ac:dyDescent="0.25">
      <c r="A7" s="18" t="s">
        <v>37</v>
      </c>
      <c r="C7" s="3">
        <f t="shared" ref="C7:AG7" si="3">RSQ(C9:C68,$C$9:$C$68)</f>
        <v>0.99999999999999978</v>
      </c>
      <c r="D7" s="12">
        <f t="shared" si="3"/>
        <v>0.6072920886889227</v>
      </c>
      <c r="E7" s="12">
        <f t="shared" si="3"/>
        <v>0.35301255285917077</v>
      </c>
      <c r="F7" s="12">
        <f t="shared" si="3"/>
        <v>0.7074891417841338</v>
      </c>
      <c r="G7" s="12">
        <f t="shared" si="3"/>
        <v>0.25076672455058557</v>
      </c>
      <c r="H7" s="12">
        <f t="shared" si="3"/>
        <v>0.597575334102455</v>
      </c>
      <c r="I7" s="12">
        <f t="shared" si="3"/>
        <v>0.51626375471770647</v>
      </c>
      <c r="J7" s="12">
        <f t="shared" si="3"/>
        <v>0.43801477273730499</v>
      </c>
      <c r="K7" s="12">
        <f t="shared" si="3"/>
        <v>0.38588716258532663</v>
      </c>
      <c r="L7" s="12">
        <f t="shared" si="3"/>
        <v>0.32430975042907118</v>
      </c>
      <c r="M7" s="12">
        <f t="shared" si="3"/>
        <v>0.26151983762113484</v>
      </c>
      <c r="N7" s="12">
        <f t="shared" si="3"/>
        <v>0.53125551653697656</v>
      </c>
      <c r="O7" s="12">
        <f t="shared" si="3"/>
        <v>0.54852225603741323</v>
      </c>
      <c r="P7" s="12">
        <f t="shared" si="3"/>
        <v>0.51955953757047502</v>
      </c>
      <c r="Q7" s="12">
        <f t="shared" si="3"/>
        <v>0.54766384960178616</v>
      </c>
      <c r="R7" s="12">
        <f t="shared" si="3"/>
        <v>0.48506374152539439</v>
      </c>
      <c r="S7" s="12">
        <f t="shared" si="3"/>
        <v>5.7878672804819571E-2</v>
      </c>
      <c r="T7" s="12">
        <f t="shared" si="3"/>
        <v>0.59477619941223314</v>
      </c>
      <c r="U7" s="12">
        <f t="shared" si="3"/>
        <v>8.1062402475427051E-2</v>
      </c>
      <c r="V7" s="12">
        <f t="shared" si="3"/>
        <v>0.44387156899818292</v>
      </c>
      <c r="W7" s="12">
        <f t="shared" si="3"/>
        <v>0.20598623962348142</v>
      </c>
      <c r="X7" s="12">
        <f t="shared" si="3"/>
        <v>9.0567963397014936E-2</v>
      </c>
      <c r="Y7" s="12">
        <f t="shared" si="3"/>
        <v>8.7085006861409395E-2</v>
      </c>
      <c r="Z7" s="12">
        <f t="shared" si="3"/>
        <v>0.40943522881946848</v>
      </c>
      <c r="AA7" s="12">
        <f t="shared" si="3"/>
        <v>0.15723022148388963</v>
      </c>
      <c r="AB7" s="12">
        <f t="shared" si="3"/>
        <v>4.049479257660784E-2</v>
      </c>
      <c r="AC7" s="12">
        <f t="shared" si="3"/>
        <v>0.28246890752491444</v>
      </c>
      <c r="AD7" s="12">
        <f t="shared" si="3"/>
        <v>0.32528936074228959</v>
      </c>
      <c r="AE7" s="12">
        <f t="shared" si="3"/>
        <v>0.28558006339069059</v>
      </c>
      <c r="AF7" s="12">
        <f t="shared" si="3"/>
        <v>0.19308876523585972</v>
      </c>
      <c r="AG7" s="12">
        <f t="shared" si="3"/>
        <v>0.22821509133677575</v>
      </c>
    </row>
    <row r="8" spans="1:33" x14ac:dyDescent="0.25">
      <c r="A8" s="11"/>
    </row>
    <row r="9" spans="1:33" x14ac:dyDescent="0.25">
      <c r="A9" s="13">
        <v>37104</v>
      </c>
      <c r="B9" s="10">
        <v>2.9250000000000001E-3</v>
      </c>
      <c r="C9" s="10">
        <f>LN([2]Sheet1!B4/[2]Sheet1!B3)-'[1]Page 331'!$B9</f>
        <v>-6.9180605887467037E-2</v>
      </c>
      <c r="D9" s="10">
        <f>LN([2]Sheet1!C4/[2]Sheet1!C3)-'[1]Page 331'!$B9</f>
        <v>-2.7829679180075118E-2</v>
      </c>
      <c r="E9" s="10">
        <f>LN([2]Sheet1!D4/[2]Sheet1!D3)-'[1]Page 331'!$B9</f>
        <v>-6.4941699505353001E-2</v>
      </c>
      <c r="F9" s="10">
        <f>LN([2]Sheet1!E4/[2]Sheet1!E3)-'[1]Page 331'!$B9</f>
        <v>-0.10489830160654307</v>
      </c>
      <c r="G9" s="10">
        <f>LN([2]Sheet1!F4/[2]Sheet1!F3)-'[1]Page 331'!$B9</f>
        <v>-0.13379667511426127</v>
      </c>
      <c r="H9" s="10">
        <f>LN([2]Sheet1!G4/[2]Sheet1!G3)-'[1]Page 331'!$B9</f>
        <v>-9.1690860810958966E-2</v>
      </c>
      <c r="I9" s="10">
        <f>LN([2]Sheet1!H4/[2]Sheet1!H3)-'[1]Page 331'!$B9</f>
        <v>-9.9651467345061542E-2</v>
      </c>
      <c r="J9" s="10">
        <f>LN([2]Sheet1!I4/[2]Sheet1!I3)-'[1]Page 331'!$B9</f>
        <v>-3.8833486258404652E-2</v>
      </c>
      <c r="K9" s="10">
        <f>LN([2]Sheet1!J4/[2]Sheet1!J3)-'[1]Page 331'!$B9</f>
        <v>-3.8730289369379563E-2</v>
      </c>
      <c r="L9" s="10">
        <f>LN([2]Sheet1!K4/[2]Sheet1!K3)-'[1]Page 331'!$B9</f>
        <v>-6.4528446652326502E-2</v>
      </c>
      <c r="M9" s="10">
        <f>LN([2]Sheet1!L4/[2]Sheet1!L3)-'[1]Page 331'!$B9</f>
        <v>-0.14488162568150004</v>
      </c>
      <c r="N9" s="10">
        <f>LN([2]Sheet1!M4/[2]Sheet1!M3)-'[1]Page 331'!$B9</f>
        <v>-9.3975718822688556E-2</v>
      </c>
      <c r="O9" s="10">
        <f>LN([2]Sheet1!N4/[2]Sheet1!N3)-'[1]Page 331'!$B9</f>
        <v>1.2828127949124486E-2</v>
      </c>
      <c r="P9" s="10">
        <f>LN([2]Sheet1!O4/[2]Sheet1!O3)-'[1]Page 331'!$B9</f>
        <v>-6.3878190901040091E-2</v>
      </c>
      <c r="Q9" s="10">
        <f>LN([2]Sheet1!P4/[2]Sheet1!P3)-'[1]Page 331'!$B9</f>
        <v>-5.2854201063659775E-2</v>
      </c>
      <c r="R9" s="10">
        <f>LN([2]Sheet1!Q4/[2]Sheet1!Q3)-'[1]Page 331'!$B9</f>
        <v>-6.658121594206784E-2</v>
      </c>
      <c r="S9" s="10">
        <f>LN([2]Sheet1!R4/[2]Sheet1!R3)-'[1]Page 331'!$B9</f>
        <v>-2.5599855650745698E-2</v>
      </c>
      <c r="T9" s="10">
        <f>LN([2]Sheet1!S4/[2]Sheet1!S3)-'[1]Page 331'!$B9</f>
        <v>-9.7339901023194578E-2</v>
      </c>
      <c r="U9" s="10">
        <f>LN([2]Sheet1!T4/[2]Sheet1!T3)-'[1]Page 331'!$B9</f>
        <v>8.4562454123115804E-2</v>
      </c>
      <c r="V9" s="10">
        <f>LN([2]Sheet1!U4/[2]Sheet1!U3)-'[1]Page 331'!$B9</f>
        <v>2.7026106602773683E-2</v>
      </c>
      <c r="W9" s="10">
        <f>LN([2]Sheet1!V4/[2]Sheet1!V3)-'[1]Page 331'!$B9</f>
        <v>-6.9377649968593177E-2</v>
      </c>
      <c r="X9" s="10">
        <f>LN([2]Sheet1!W4/[2]Sheet1!W3)-'[1]Page 331'!$B9</f>
        <v>3.8065472323703144E-2</v>
      </c>
      <c r="Y9" s="10">
        <f>LN([2]Sheet1!X4/[2]Sheet1!X3)-'[1]Page 331'!$B9</f>
        <v>-4.1064415787459785E-2</v>
      </c>
      <c r="Z9" s="10">
        <f>LN([2]Sheet1!Y4/[2]Sheet1!Y3)-'[1]Page 331'!$B9</f>
        <v>-0.1513589037555122</v>
      </c>
      <c r="AA9" s="10">
        <f>LN([2]Sheet1!Z4/[2]Sheet1!Z3)-'[1]Page 331'!$B9</f>
        <v>-7.3483225315588638E-2</v>
      </c>
      <c r="AB9" s="10">
        <f>LN([2]Sheet1!AA4/[2]Sheet1!AA3)-'[1]Page 331'!$B9</f>
        <v>4.0010503108324089E-2</v>
      </c>
      <c r="AC9" s="10">
        <f>LN([2]Sheet1!AB4/[2]Sheet1!AB3)-'[1]Page 331'!$B9</f>
        <v>-9.8797926020639054E-2</v>
      </c>
      <c r="AD9" s="10">
        <f>LN([2]Sheet1!AC4/[2]Sheet1!AC3)-'[1]Page 331'!$B9</f>
        <v>-7.0215636104445936E-2</v>
      </c>
      <c r="AE9" s="10">
        <f>LN([2]Sheet1!AD4/[2]Sheet1!AD3)-'[1]Page 331'!$B9</f>
        <v>-8.2759016639853397E-2</v>
      </c>
      <c r="AF9" s="10">
        <f>LN([2]Sheet1!AE4/[2]Sheet1!AE3)-'[1]Page 331'!$B9</f>
        <v>-0.15436957077138078</v>
      </c>
      <c r="AG9" s="10">
        <f>LN([2]Sheet1!AF4/[2]Sheet1!AF3)-'[1]Page 331'!$B9</f>
        <v>-3.6631437881910776E-2</v>
      </c>
    </row>
    <row r="10" spans="1:33" x14ac:dyDescent="0.25">
      <c r="A10" s="13">
        <v>37138</v>
      </c>
      <c r="B10" s="10">
        <v>2.8E-3</v>
      </c>
      <c r="C10" s="10">
        <f>LN([2]Sheet1!B5/[2]Sheet1!B4)-'[1]Page 331'!$B10</f>
        <v>-8.8056615246989919E-2</v>
      </c>
      <c r="D10" s="10">
        <f>LN([2]Sheet1!C5/[2]Sheet1!C4)-'[1]Page 331'!$B10</f>
        <v>-0.20941424936299929</v>
      </c>
      <c r="E10" s="10">
        <f>LN([2]Sheet1!D5/[2]Sheet1!D4)-'[1]Page 331'!$B10</f>
        <v>-5.2890299088461518E-3</v>
      </c>
      <c r="F10" s="10">
        <f>LN([2]Sheet1!E5/[2]Sheet1!E4)-'[1]Page 331'!$B10</f>
        <v>-0.22873799712051296</v>
      </c>
      <c r="G10" s="10">
        <f>LN([2]Sheet1!F5/[2]Sheet1!F4)-'[1]Page 331'!$B10</f>
        <v>-0.42703342136280747</v>
      </c>
      <c r="H10" s="10">
        <f>LN([2]Sheet1!G5/[2]Sheet1!G4)-'[1]Page 331'!$B10</f>
        <v>-0.12583151411594928</v>
      </c>
      <c r="I10" s="10">
        <f>LN([2]Sheet1!H5/[2]Sheet1!H4)-'[1]Page 331'!$B10</f>
        <v>-0.11287341040370261</v>
      </c>
      <c r="J10" s="10">
        <f>LN([2]Sheet1!I5/[2]Sheet1!I4)-'[1]Page 331'!$B10</f>
        <v>-9.0512721261510651E-2</v>
      </c>
      <c r="K10" s="10">
        <f>LN([2]Sheet1!J5/[2]Sheet1!J4)-'[1]Page 331'!$B10</f>
        <v>-0.31423615845988806</v>
      </c>
      <c r="L10" s="10">
        <f>LN([2]Sheet1!K5/[2]Sheet1!K4)-'[1]Page 331'!$B10</f>
        <v>-9.3045336351864238E-2</v>
      </c>
      <c r="M10" s="10">
        <f>LN([2]Sheet1!L5/[2]Sheet1!L4)-'[1]Page 331'!$B10</f>
        <v>-0.24649402424121561</v>
      </c>
      <c r="N10" s="10">
        <f>LN([2]Sheet1!M5/[2]Sheet1!M4)-'[1]Page 331'!$B10</f>
        <v>-0.18312627225751421</v>
      </c>
      <c r="O10" s="10">
        <f>LN([2]Sheet1!N5/[2]Sheet1!N4)-'[1]Page 331'!$B10</f>
        <v>-0.34748137308234567</v>
      </c>
      <c r="P10" s="10">
        <f>LN([2]Sheet1!O5/[2]Sheet1!O4)-'[1]Page 331'!$B10</f>
        <v>-0.36721967486504919</v>
      </c>
      <c r="Q10" s="10">
        <f>LN([2]Sheet1!P5/[2]Sheet1!P4)-'[1]Page 331'!$B10</f>
        <v>-8.8809136046455128E-2</v>
      </c>
      <c r="R10" s="10">
        <f>LN([2]Sheet1!Q5/[2]Sheet1!Q4)-'[1]Page 331'!$B10</f>
        <v>-0.31593001417247329</v>
      </c>
      <c r="S10" s="10">
        <f>LN([2]Sheet1!R5/[2]Sheet1!R4)-'[1]Page 331'!$B10</f>
        <v>4.6973545112087643E-2</v>
      </c>
      <c r="T10" s="10">
        <f>LN([2]Sheet1!S5/[2]Sheet1!S4)-'[1]Page 331'!$B10</f>
        <v>-0.14572269372705024</v>
      </c>
      <c r="U10" s="10">
        <f>LN([2]Sheet1!T5/[2]Sheet1!T4)-'[1]Page 331'!$B10</f>
        <v>-4.1083296985651295E-2</v>
      </c>
      <c r="V10" s="10">
        <f>LN([2]Sheet1!U5/[2]Sheet1!U4)-'[1]Page 331'!$B10</f>
        <v>-0.10421007058491871</v>
      </c>
      <c r="W10" s="10">
        <f>LN([2]Sheet1!V5/[2]Sheet1!V4)-'[1]Page 331'!$B10</f>
        <v>-5.9113105251997942E-2</v>
      </c>
      <c r="X10" s="10">
        <f>LN([2]Sheet1!W5/[2]Sheet1!W4)-'[1]Page 331'!$B10</f>
        <v>1.5627547748008123E-2</v>
      </c>
      <c r="Y10" s="10">
        <f>LN([2]Sheet1!X5/[2]Sheet1!X4)-'[1]Page 331'!$B10</f>
        <v>2.0032042042645689E-2</v>
      </c>
      <c r="Z10" s="10">
        <f>LN([2]Sheet1!Y5/[2]Sheet1!Y4)-'[1]Page 331'!$B10</f>
        <v>-0.11170478909146039</v>
      </c>
      <c r="AA10" s="10">
        <f>LN([2]Sheet1!Z5/[2]Sheet1!Z4)-'[1]Page 331'!$B10</f>
        <v>4.2849314665648931E-2</v>
      </c>
      <c r="AB10" s="10">
        <f>LN([2]Sheet1!AA5/[2]Sheet1!AA4)-'[1]Page 331'!$B10</f>
        <v>-2.1149138668196541E-2</v>
      </c>
      <c r="AC10" s="10">
        <f>LN([2]Sheet1!AB5/[2]Sheet1!AB4)-'[1]Page 331'!$B10</f>
        <v>0.1384415310504902</v>
      </c>
      <c r="AD10" s="10">
        <f>LN([2]Sheet1!AC5/[2]Sheet1!AC4)-'[1]Page 331'!$B10</f>
        <v>-0.38892576550871211</v>
      </c>
      <c r="AE10" s="10">
        <f>LN([2]Sheet1!AD5/[2]Sheet1!AD4)-'[1]Page 331'!$B10</f>
        <v>7.6350723138720808E-2</v>
      </c>
      <c r="AF10" s="10">
        <f>LN([2]Sheet1!AE5/[2]Sheet1!AE4)-'[1]Page 331'!$B10</f>
        <v>2.8452543504104529E-2</v>
      </c>
      <c r="AG10" s="10">
        <f>LN([2]Sheet1!AF5/[2]Sheet1!AF4)-'[1]Page 331'!$B10</f>
        <v>-2.1649904023634231E-2</v>
      </c>
    </row>
    <row r="11" spans="1:33" x14ac:dyDescent="0.25">
      <c r="A11" s="13">
        <v>37165</v>
      </c>
      <c r="B11" s="10">
        <v>2.2000000000000001E-3</v>
      </c>
      <c r="C11" s="10">
        <f>LN([2]Sheet1!B6/[2]Sheet1!B5)-'[1]Page 331'!$B11</f>
        <v>1.5737188329115411E-2</v>
      </c>
      <c r="D11" s="10">
        <f>LN([2]Sheet1!C6/[2]Sheet1!C5)-'[1]Page 331'!$B11</f>
        <v>4.2406698040520781E-2</v>
      </c>
      <c r="E11" s="10">
        <f>LN([2]Sheet1!D6/[2]Sheet1!D5)-'[1]Page 331'!$B11</f>
        <v>5.3787635718121271E-3</v>
      </c>
      <c r="F11" s="10">
        <f>LN([2]Sheet1!E6/[2]Sheet1!E5)-'[1]Page 331'!$B11</f>
        <v>1.3316848690684155E-2</v>
      </c>
      <c r="G11" s="10">
        <f>LN([2]Sheet1!F6/[2]Sheet1!F5)-'[1]Page 331'!$B11</f>
        <v>-2.9193080607837173E-2</v>
      </c>
      <c r="H11" s="10">
        <f>LN([2]Sheet1!G6/[2]Sheet1!G5)-'[1]Page 331'!$B11</f>
        <v>0.11467764854157089</v>
      </c>
      <c r="I11" s="10">
        <f>LN([2]Sheet1!H6/[2]Sheet1!H5)-'[1]Page 331'!$B11</f>
        <v>3.7494473950934215E-3</v>
      </c>
      <c r="J11" s="10">
        <f>LN([2]Sheet1!I6/[2]Sheet1!I5)-'[1]Page 331'!$B11</f>
        <v>6.1519663982381269E-2</v>
      </c>
      <c r="K11" s="10">
        <f>LN([2]Sheet1!J6/[2]Sheet1!J5)-'[1]Page 331'!$B11</f>
        <v>-3.8982738301917078E-3</v>
      </c>
      <c r="L11" s="10">
        <f>LN([2]Sheet1!K6/[2]Sheet1!K5)-'[1]Page 331'!$B11</f>
        <v>-2.3686400560926558E-2</v>
      </c>
      <c r="M11" s="10">
        <f>LN([2]Sheet1!L6/[2]Sheet1!L5)-'[1]Page 331'!$B11</f>
        <v>-3.9872075585455094E-2</v>
      </c>
      <c r="N11" s="10">
        <f>LN([2]Sheet1!M6/[2]Sheet1!M5)-'[1]Page 331'!$B11</f>
        <v>-5.7398267051240624E-3</v>
      </c>
      <c r="O11" s="10">
        <f>LN([2]Sheet1!N6/[2]Sheet1!N5)-'[1]Page 331'!$B11</f>
        <v>0.11043143034112883</v>
      </c>
      <c r="P11" s="10">
        <f>LN([2]Sheet1!O6/[2]Sheet1!O5)-'[1]Page 331'!$B11</f>
        <v>4.5568322210547511E-2</v>
      </c>
      <c r="Q11" s="10">
        <f>LN([2]Sheet1!P6/[2]Sheet1!P5)-'[1]Page 331'!$B11</f>
        <v>0.16184871817539009</v>
      </c>
      <c r="R11" s="10">
        <f>LN([2]Sheet1!Q6/[2]Sheet1!Q5)-'[1]Page 331'!$B11</f>
        <v>0.17554023037939195</v>
      </c>
      <c r="S11" s="10">
        <f>LN([2]Sheet1!R6/[2]Sheet1!R5)-'[1]Page 331'!$B11</f>
        <v>4.2020968681573463E-2</v>
      </c>
      <c r="T11" s="10">
        <f>LN([2]Sheet1!S6/[2]Sheet1!S5)-'[1]Page 331'!$B11</f>
        <v>3.2591825493663948E-2</v>
      </c>
      <c r="U11" s="10">
        <f>LN([2]Sheet1!T6/[2]Sheet1!T5)-'[1]Page 331'!$B11</f>
        <v>1.9557788941804957E-2</v>
      </c>
      <c r="V11" s="10">
        <f>LN([2]Sheet1!U6/[2]Sheet1!U5)-'[1]Page 331'!$B11</f>
        <v>-4.2424801310508874E-2</v>
      </c>
      <c r="W11" s="10">
        <f>LN([2]Sheet1!V6/[2]Sheet1!V5)-'[1]Page 331'!$B11</f>
        <v>5.6857749643601151E-2</v>
      </c>
      <c r="X11" s="10">
        <f>LN([2]Sheet1!W6/[2]Sheet1!W5)-'[1]Page 331'!$B11</f>
        <v>-3.3376940570674495E-2</v>
      </c>
      <c r="Y11" s="10">
        <f>LN([2]Sheet1!X6/[2]Sheet1!X5)-'[1]Page 331'!$B11</f>
        <v>-4.505409294853132E-2</v>
      </c>
      <c r="Z11" s="10">
        <f>LN([2]Sheet1!Y6/[2]Sheet1!Y5)-'[1]Page 331'!$B11</f>
        <v>0.12586705206962445</v>
      </c>
      <c r="AA11" s="10">
        <f>LN([2]Sheet1!Z6/[2]Sheet1!Z5)-'[1]Page 331'!$B11</f>
        <v>4.1721399259542193E-2</v>
      </c>
      <c r="AB11" s="10">
        <f>LN([2]Sheet1!AA6/[2]Sheet1!AA5)-'[1]Page 331'!$B11</f>
        <v>1.6745086242449421E-2</v>
      </c>
      <c r="AC11" s="10">
        <f>LN([2]Sheet1!AB6/[2]Sheet1!AB5)-'[1]Page 331'!$B11</f>
        <v>-0.20868205291889097</v>
      </c>
      <c r="AD11" s="10">
        <f>LN([2]Sheet1!AC6/[2]Sheet1!AC5)-'[1]Page 331'!$B11</f>
        <v>0.14530878505953929</v>
      </c>
      <c r="AE11" s="10">
        <f>LN([2]Sheet1!AD6/[2]Sheet1!AD5)-'[1]Page 331'!$B11</f>
        <v>-7.814993251978343E-2</v>
      </c>
      <c r="AF11" s="10">
        <f>LN([2]Sheet1!AE6/[2]Sheet1!AE5)-'[1]Page 331'!$B11</f>
        <v>3.5641794169327355E-2</v>
      </c>
      <c r="AG11" s="10">
        <f>LN([2]Sheet1!AF6/[2]Sheet1!AF5)-'[1]Page 331'!$B11</f>
        <v>-1.0646039086834697E-3</v>
      </c>
    </row>
    <row r="12" spans="1:33" x14ac:dyDescent="0.25">
      <c r="A12" s="13">
        <v>37196</v>
      </c>
      <c r="B12" s="10">
        <v>1.8000000000000002E-3</v>
      </c>
      <c r="C12" s="10">
        <f>LN([2]Sheet1!B7/[2]Sheet1!B6)-'[1]Page 331'!$B12</f>
        <v>7.068435043337315E-2</v>
      </c>
      <c r="D12" s="10">
        <f>LN([2]Sheet1!C7/[2]Sheet1!C6)-'[1]Page 331'!$B12</f>
        <v>0.17716441688028817</v>
      </c>
      <c r="E12" s="10">
        <f>LN([2]Sheet1!D7/[2]Sheet1!D6)-'[1]Page 331'!$B12</f>
        <v>4.5488932505549438E-2</v>
      </c>
      <c r="F12" s="10">
        <f>LN([2]Sheet1!E7/[2]Sheet1!E6)-'[1]Page 331'!$B12</f>
        <v>0.11002257368591727</v>
      </c>
      <c r="G12" s="10">
        <f>LN([2]Sheet1!F7/[2]Sheet1!F6)-'[1]Page 331'!$B12</f>
        <v>7.7087038990654694E-2</v>
      </c>
      <c r="H12" s="10">
        <f>LN([2]Sheet1!G7/[2]Sheet1!G6)-'[1]Page 331'!$B12</f>
        <v>5.2521447787470844E-2</v>
      </c>
      <c r="I12" s="10">
        <f>LN([2]Sheet1!H7/[2]Sheet1!H6)-'[1]Page 331'!$B12</f>
        <v>5.6757994194371761E-2</v>
      </c>
      <c r="J12" s="10">
        <f>LN([2]Sheet1!I7/[2]Sheet1!I6)-'[1]Page 331'!$B12</f>
        <v>0.10965658377136384</v>
      </c>
      <c r="K12" s="10">
        <f>LN([2]Sheet1!J7/[2]Sheet1!J6)-'[1]Page 331'!$B12</f>
        <v>9.4282480010043038E-2</v>
      </c>
      <c r="L12" s="10">
        <f>LN([2]Sheet1!K7/[2]Sheet1!K6)-'[1]Page 331'!$B12</f>
        <v>5.4013006133768519E-2</v>
      </c>
      <c r="M12" s="10">
        <f>LN([2]Sheet1!L7/[2]Sheet1!L6)-'[1]Page 331'!$B12</f>
        <v>0.19470186606800416</v>
      </c>
      <c r="N12" s="10">
        <f>LN([2]Sheet1!M7/[2]Sheet1!M6)-'[1]Page 331'!$B12</f>
        <v>0.19827536875904986</v>
      </c>
      <c r="O12" s="10">
        <f>LN([2]Sheet1!N7/[2]Sheet1!N6)-'[1]Page 331'!$B12</f>
        <v>0.11909502773851652</v>
      </c>
      <c r="P12" s="10">
        <f>LN([2]Sheet1!O7/[2]Sheet1!O6)-'[1]Page 331'!$B12</f>
        <v>0.26571196550264847</v>
      </c>
      <c r="Q12" s="10">
        <f>LN([2]Sheet1!P7/[2]Sheet1!P6)-'[1]Page 331'!$B12</f>
        <v>6.6730782064427424E-2</v>
      </c>
      <c r="R12" s="10">
        <f>LN([2]Sheet1!Q7/[2]Sheet1!Q6)-'[1]Page 331'!$B12</f>
        <v>0.29001891208250707</v>
      </c>
      <c r="S12" s="10">
        <f>LN([2]Sheet1!R7/[2]Sheet1!R6)-'[1]Page 331'!$B12</f>
        <v>7.1871415604602704E-3</v>
      </c>
      <c r="T12" s="10">
        <f>LN([2]Sheet1!S7/[2]Sheet1!S6)-'[1]Page 331'!$B12</f>
        <v>6.283932250855527E-2</v>
      </c>
      <c r="U12" s="10">
        <f>LN([2]Sheet1!T7/[2]Sheet1!T6)-'[1]Page 331'!$B12</f>
        <v>-1.7427140171750719E-2</v>
      </c>
      <c r="V12" s="10">
        <f>LN([2]Sheet1!U7/[2]Sheet1!U6)-'[1]Page 331'!$B12</f>
        <v>3.7229343905735075E-2</v>
      </c>
      <c r="W12" s="10">
        <f>LN([2]Sheet1!V7/[2]Sheet1!V6)-'[1]Page 331'!$B12</f>
        <v>9.6514880494626004E-2</v>
      </c>
      <c r="X12" s="10">
        <f>LN([2]Sheet1!W7/[2]Sheet1!W6)-'[1]Page 331'!$B12</f>
        <v>6.0858328439283771E-3</v>
      </c>
      <c r="Y12" s="10">
        <f>LN([2]Sheet1!X7/[2]Sheet1!X6)-'[1]Page 331'!$B12</f>
        <v>5.8027362497400231E-2</v>
      </c>
      <c r="Z12" s="10">
        <f>LN([2]Sheet1!Y7/[2]Sheet1!Y6)-'[1]Page 331'!$B12</f>
        <v>9.7134217212298007E-2</v>
      </c>
      <c r="AA12" s="10">
        <f>LN([2]Sheet1!Z7/[2]Sheet1!Z6)-'[1]Page 331'!$B12</f>
        <v>3.3894814613013968E-2</v>
      </c>
      <c r="AB12" s="10">
        <f>LN([2]Sheet1!AA7/[2]Sheet1!AA6)-'[1]Page 331'!$B12</f>
        <v>4.6748990076035252E-2</v>
      </c>
      <c r="AC12" s="10">
        <f>LN([2]Sheet1!AB7/[2]Sheet1!AB6)-'[1]Page 331'!$B12</f>
        <v>-2.1153290061030262E-2</v>
      </c>
      <c r="AD12" s="10">
        <f>LN([2]Sheet1!AC7/[2]Sheet1!AC6)-'[1]Page 331'!$B12</f>
        <v>0.11291288707917753</v>
      </c>
      <c r="AE12" s="10">
        <f>LN([2]Sheet1!AD7/[2]Sheet1!AD6)-'[1]Page 331'!$B12</f>
        <v>-5.9739562167652874E-2</v>
      </c>
      <c r="AF12" s="10">
        <f>LN([2]Sheet1!AE7/[2]Sheet1!AE6)-'[1]Page 331'!$B12</f>
        <v>6.8517751022094522E-2</v>
      </c>
      <c r="AG12" s="10">
        <f>LN([2]Sheet1!AF7/[2]Sheet1!AF6)-'[1]Page 331'!$B12</f>
        <v>-4.9144401277808232E-2</v>
      </c>
    </row>
    <row r="13" spans="1:33" x14ac:dyDescent="0.25">
      <c r="A13" s="13">
        <v>37228</v>
      </c>
      <c r="B13" s="10">
        <v>1.5583333333333334E-3</v>
      </c>
      <c r="C13" s="10">
        <f>LN([2]Sheet1!B8/[2]Sheet1!B7)-'[1]Page 331'!$B13</f>
        <v>5.9869587005626996E-3</v>
      </c>
      <c r="D13" s="10">
        <f>LN([2]Sheet1!C8/[2]Sheet1!C7)-'[1]Page 331'!$B13</f>
        <v>-8.3788289275562505E-2</v>
      </c>
      <c r="E13" s="10">
        <f>LN([2]Sheet1!D8/[2]Sheet1!D7)-'[1]Page 331'!$B13</f>
        <v>-3.822953045583196E-2</v>
      </c>
      <c r="F13" s="10">
        <f>LN([2]Sheet1!E8/[2]Sheet1!E7)-'[1]Page 331'!$B13</f>
        <v>7.9487215808169795E-2</v>
      </c>
      <c r="G13" s="10">
        <f>LN([2]Sheet1!F8/[2]Sheet1!F7)-'[1]Page 331'!$B13</f>
        <v>9.8143277664302558E-2</v>
      </c>
      <c r="H13" s="10">
        <f>LN([2]Sheet1!G8/[2]Sheet1!G7)-'[1]Page 331'!$B13</f>
        <v>5.0928960713387081E-2</v>
      </c>
      <c r="I13" s="10">
        <f>LN([2]Sheet1!H8/[2]Sheet1!H7)-'[1]Page 331'!$B13</f>
        <v>9.523411249145719E-2</v>
      </c>
      <c r="J13" s="10">
        <f>LN([2]Sheet1!I8/[2]Sheet1!I7)-'[1]Page 331'!$B13</f>
        <v>-4.3788018001418891E-2</v>
      </c>
      <c r="K13" s="10">
        <f>LN([2]Sheet1!J8/[2]Sheet1!J7)-'[1]Page 331'!$B13</f>
        <v>2.1337604505745844E-2</v>
      </c>
      <c r="L13" s="10">
        <f>LN([2]Sheet1!K8/[2]Sheet1!K7)-'[1]Page 331'!$B13</f>
        <v>4.2918944323296578E-2</v>
      </c>
      <c r="M13" s="10">
        <f>LN([2]Sheet1!L8/[2]Sheet1!L7)-'[1]Page 331'!$B13</f>
        <v>-2.4013984736321096E-2</v>
      </c>
      <c r="N13" s="10">
        <f>LN([2]Sheet1!M8/[2]Sheet1!M7)-'[1]Page 331'!$B13</f>
        <v>8.7887921210283868E-2</v>
      </c>
      <c r="O13" s="10">
        <f>LN([2]Sheet1!N8/[2]Sheet1!N7)-'[1]Page 331'!$B13</f>
        <v>1.8724988806608334E-2</v>
      </c>
      <c r="P13" s="10">
        <f>LN([2]Sheet1!O8/[2]Sheet1!O7)-'[1]Page 331'!$B13</f>
        <v>-6.6194658764590852E-2</v>
      </c>
      <c r="Q13" s="10">
        <f>LN([2]Sheet1!P8/[2]Sheet1!P7)-'[1]Page 331'!$B13</f>
        <v>4.3858105374480129E-2</v>
      </c>
      <c r="R13" s="10">
        <f>LN([2]Sheet1!Q8/[2]Sheet1!Q7)-'[1]Page 331'!$B13</f>
        <v>-3.9420807672095645E-2</v>
      </c>
      <c r="S13" s="10">
        <f>LN([2]Sheet1!R8/[2]Sheet1!R7)-'[1]Page 331'!$B13</f>
        <v>1.2875670036067799E-2</v>
      </c>
      <c r="T13" s="10">
        <f>LN([2]Sheet1!S8/[2]Sheet1!S7)-'[1]Page 331'!$B13</f>
        <v>-3.851973189778967E-2</v>
      </c>
      <c r="U13" s="10">
        <f>LN([2]Sheet1!T8/[2]Sheet1!T7)-'[1]Page 331'!$B13</f>
        <v>2.6640515465149277E-3</v>
      </c>
      <c r="V13" s="10">
        <f>LN([2]Sheet1!U8/[2]Sheet1!U7)-'[1]Page 331'!$B13</f>
        <v>-1.5611967564728395E-2</v>
      </c>
      <c r="W13" s="10">
        <f>LN([2]Sheet1!V8/[2]Sheet1!V7)-'[1]Page 331'!$B13</f>
        <v>2.9670690512745894E-2</v>
      </c>
      <c r="X13" s="10">
        <f>LN([2]Sheet1!W8/[2]Sheet1!W7)-'[1]Page 331'!$B13</f>
        <v>-1.7392679999959554E-2</v>
      </c>
      <c r="Y13" s="10">
        <f>LN([2]Sheet1!X8/[2]Sheet1!X7)-'[1]Page 331'!$B13</f>
        <v>-0.13786776274771792</v>
      </c>
      <c r="Z13" s="10">
        <f>LN([2]Sheet1!Y8/[2]Sheet1!Y7)-'[1]Page 331'!$B13</f>
        <v>2.9820937868931911E-2</v>
      </c>
      <c r="AA13" s="10">
        <f>LN([2]Sheet1!Z8/[2]Sheet1!Z7)-'[1]Page 331'!$B13</f>
        <v>-8.4784158233256759E-2</v>
      </c>
      <c r="AB13" s="10">
        <f>LN([2]Sheet1!AA8/[2]Sheet1!AA7)-'[1]Page 331'!$B13</f>
        <v>1.9778804054797774E-2</v>
      </c>
      <c r="AC13" s="10">
        <f>LN([2]Sheet1!AB8/[2]Sheet1!AB7)-'[1]Page 331'!$B13</f>
        <v>4.5176067552675551E-2</v>
      </c>
      <c r="AD13" s="10">
        <f>LN([2]Sheet1!AC8/[2]Sheet1!AC7)-'[1]Page 331'!$B13</f>
        <v>6.931037719160385E-2</v>
      </c>
      <c r="AE13" s="10">
        <f>LN([2]Sheet1!AD8/[2]Sheet1!AD7)-'[1]Page 331'!$B13</f>
        <v>8.0334446765257302E-3</v>
      </c>
      <c r="AF13" s="10">
        <f>LN([2]Sheet1!AE8/[2]Sheet1!AE7)-'[1]Page 331'!$B13</f>
        <v>4.2292924960399193E-2</v>
      </c>
      <c r="AG13" s="10">
        <f>LN([2]Sheet1!AF8/[2]Sheet1!AF7)-'[1]Page 331'!$B13</f>
        <v>4.7769914421956508E-2</v>
      </c>
    </row>
    <row r="14" spans="1:33" x14ac:dyDescent="0.25">
      <c r="A14" s="13">
        <v>37258</v>
      </c>
      <c r="B14" s="10">
        <v>1.4083333333333333E-3</v>
      </c>
      <c r="C14" s="10">
        <f>LN([2]Sheet1!B9/[2]Sheet1!B8)-'[1]Page 331'!$B14</f>
        <v>-1.7104707000266679E-2</v>
      </c>
      <c r="D14" s="10">
        <f>LN([2]Sheet1!C9/[2]Sheet1!C8)-'[1]Page 331'!$B14</f>
        <v>6.910925863242246E-3</v>
      </c>
      <c r="E14" s="10">
        <f>LN([2]Sheet1!D9/[2]Sheet1!D8)-'[1]Page 331'!$B14</f>
        <v>-6.9766608250641404E-2</v>
      </c>
      <c r="F14" s="10">
        <f>LN([2]Sheet1!E9/[2]Sheet1!E8)-'[1]Page 331'!$B14</f>
        <v>5.2516979442688927E-3</v>
      </c>
      <c r="G14" s="10">
        <f>LN([2]Sheet1!F9/[2]Sheet1!F8)-'[1]Page 331'!$B14</f>
        <v>5.2908573994742122E-2</v>
      </c>
      <c r="H14" s="10">
        <f>LN([2]Sheet1!G9/[2]Sheet1!G8)-'[1]Page 331'!$B14</f>
        <v>-6.1038514892433983E-2</v>
      </c>
      <c r="I14" s="10">
        <f>LN([2]Sheet1!H9/[2]Sheet1!H8)-'[1]Page 331'!$B14</f>
        <v>-3.2351928066745556E-2</v>
      </c>
      <c r="J14" s="10">
        <f>LN([2]Sheet1!I9/[2]Sheet1!I8)-'[1]Page 331'!$B14</f>
        <v>3.6887951743946996E-2</v>
      </c>
      <c r="K14" s="10">
        <f>LN([2]Sheet1!J9/[2]Sheet1!J8)-'[1]Page 331'!$B14</f>
        <v>1.5054996853768357E-2</v>
      </c>
      <c r="L14" s="10">
        <f>LN([2]Sheet1!K9/[2]Sheet1!K8)-'[1]Page 331'!$B14</f>
        <v>-7.7180073548379774E-2</v>
      </c>
      <c r="M14" s="10">
        <f>LN([2]Sheet1!L9/[2]Sheet1!L8)-'[1]Page 331'!$B14</f>
        <v>4.9407427698472721E-2</v>
      </c>
      <c r="N14" s="10">
        <f>LN([2]Sheet1!M9/[2]Sheet1!M8)-'[1]Page 331'!$B14</f>
        <v>-1.9541943757987939E-2</v>
      </c>
      <c r="O14" s="10">
        <f>LN([2]Sheet1!N9/[2]Sheet1!N8)-'[1]Page 331'!$B14</f>
        <v>-7.6820867822126136E-3</v>
      </c>
      <c r="P14" s="10">
        <f>LN([2]Sheet1!O9/[2]Sheet1!O8)-'[1]Page 331'!$B14</f>
        <v>7.2476050222475524E-2</v>
      </c>
      <c r="Q14" s="10">
        <f>LN([2]Sheet1!P9/[2]Sheet1!P8)-'[1]Page 331'!$B14</f>
        <v>-0.11574061379458286</v>
      </c>
      <c r="R14" s="10">
        <f>LN([2]Sheet1!Q9/[2]Sheet1!Q8)-'[1]Page 331'!$B14</f>
        <v>0.10665301727214981</v>
      </c>
      <c r="S14" s="10">
        <f>LN([2]Sheet1!R9/[2]Sheet1!R8)-'[1]Page 331'!$B14</f>
        <v>-2.859809022300672E-2</v>
      </c>
      <c r="T14" s="10">
        <f>LN([2]Sheet1!S9/[2]Sheet1!S8)-'[1]Page 331'!$B14</f>
        <v>-6.6888621923967245E-2</v>
      </c>
      <c r="U14" s="10">
        <f>LN([2]Sheet1!T9/[2]Sheet1!T8)-'[1]Page 331'!$B14</f>
        <v>-7.6236818523485503E-2</v>
      </c>
      <c r="V14" s="10">
        <f>LN([2]Sheet1!U9/[2]Sheet1!U8)-'[1]Page 331'!$B14</f>
        <v>2.4929980849928802E-2</v>
      </c>
      <c r="W14" s="10">
        <f>LN([2]Sheet1!V9/[2]Sheet1!V8)-'[1]Page 331'!$B14</f>
        <v>-6.4281266966391387E-2</v>
      </c>
      <c r="X14" s="10">
        <f>LN([2]Sheet1!W9/[2]Sheet1!W8)-'[1]Page 331'!$B14</f>
        <v>8.7275648841801653E-2</v>
      </c>
      <c r="Y14" s="10">
        <f>LN([2]Sheet1!X9/[2]Sheet1!X8)-'[1]Page 331'!$B14</f>
        <v>4.9301624286048704E-3</v>
      </c>
      <c r="Z14" s="10">
        <f>LN([2]Sheet1!Y9/[2]Sheet1!Y8)-'[1]Page 331'!$B14</f>
        <v>-4.0698469236477595E-2</v>
      </c>
      <c r="AA14" s="10">
        <f>LN([2]Sheet1!Z9/[2]Sheet1!Z8)-'[1]Page 331'!$B14</f>
        <v>4.3200640075697655E-2</v>
      </c>
      <c r="AB14" s="10">
        <f>LN([2]Sheet1!AA9/[2]Sheet1!AA8)-'[1]Page 331'!$B14</f>
        <v>3.5137866324133266E-2</v>
      </c>
      <c r="AC14" s="10">
        <f>LN([2]Sheet1!AB9/[2]Sheet1!AB8)-'[1]Page 331'!$B14</f>
        <v>-3.975483065391424E-2</v>
      </c>
      <c r="AD14" s="10">
        <f>LN([2]Sheet1!AC9/[2]Sheet1!AC8)-'[1]Page 331'!$B14</f>
        <v>6.0095031741592975E-2</v>
      </c>
      <c r="AE14" s="10">
        <f>LN([2]Sheet1!AD9/[2]Sheet1!AD8)-'[1]Page 331'!$B14</f>
        <v>-1.7271362625432801E-2</v>
      </c>
      <c r="AF14" s="10">
        <f>LN([2]Sheet1!AE9/[2]Sheet1!AE8)-'[1]Page 331'!$B14</f>
        <v>3.9905936813293463E-2</v>
      </c>
      <c r="AG14" s="10">
        <f>LN([2]Sheet1!AF9/[2]Sheet1!AF8)-'[1]Page 331'!$B14</f>
        <v>-7.6565785972724162E-3</v>
      </c>
    </row>
    <row r="15" spans="1:33" x14ac:dyDescent="0.25">
      <c r="A15" s="13">
        <v>37288</v>
      </c>
      <c r="B15" s="10">
        <v>1.3750000000000001E-3</v>
      </c>
      <c r="C15" s="10">
        <f>LN([2]Sheet1!B10/[2]Sheet1!B9)-'[1]Page 331'!$B15</f>
        <v>-2.2359886675167723E-2</v>
      </c>
      <c r="D15" s="10">
        <f>LN([2]Sheet1!C10/[2]Sheet1!C9)-'[1]Page 331'!$B15</f>
        <v>5.0056364020888033E-2</v>
      </c>
      <c r="E15" s="10">
        <f>LN([2]Sheet1!D10/[2]Sheet1!D9)-'[1]Page 331'!$B15</f>
        <v>-3.1694652479050877E-3</v>
      </c>
      <c r="F15" s="10">
        <f>LN([2]Sheet1!E10/[2]Sheet1!E9)-'[1]Page 331'!$B15</f>
        <v>1.5409991730180784E-2</v>
      </c>
      <c r="G15" s="10">
        <f>LN([2]Sheet1!F10/[2]Sheet1!F9)-'[1]Page 331'!$B15</f>
        <v>0.11831534121265121</v>
      </c>
      <c r="H15" s="10">
        <f>LN([2]Sheet1!G10/[2]Sheet1!G9)-'[1]Page 331'!$B15</f>
        <v>-4.7748731257803566E-2</v>
      </c>
      <c r="I15" s="10">
        <f>LN([2]Sheet1!H10/[2]Sheet1!H9)-'[1]Page 331'!$B15</f>
        <v>9.746056421646955E-2</v>
      </c>
      <c r="J15" s="10">
        <f>LN([2]Sheet1!I10/[2]Sheet1!I9)-'[1]Page 331'!$B15</f>
        <v>6.5197709312355662E-2</v>
      </c>
      <c r="K15" s="10">
        <f>LN([2]Sheet1!J10/[2]Sheet1!J9)-'[1]Page 331'!$B15</f>
        <v>8.6666688853115376E-2</v>
      </c>
      <c r="L15" s="10">
        <f>LN([2]Sheet1!K10/[2]Sheet1!K9)-'[1]Page 331'!$B15</f>
        <v>3.8974585041476564E-2</v>
      </c>
      <c r="M15" s="10">
        <f>LN([2]Sheet1!L10/[2]Sheet1!L9)-'[1]Page 331'!$B15</f>
        <v>4.4174580368746483E-2</v>
      </c>
      <c r="N15" s="10">
        <f>LN([2]Sheet1!M10/[2]Sheet1!M9)-'[1]Page 331'!$B15</f>
        <v>-3.2482443816804476E-3</v>
      </c>
      <c r="O15" s="10">
        <f>LN([2]Sheet1!N10/[2]Sheet1!N9)-'[1]Page 331'!$B15</f>
        <v>0.130042533631685</v>
      </c>
      <c r="P15" s="10">
        <f>LN([2]Sheet1!O10/[2]Sheet1!O9)-'[1]Page 331'!$B15</f>
        <v>-9.581346683324507E-2</v>
      </c>
      <c r="Q15" s="10">
        <f>LN([2]Sheet1!P10/[2]Sheet1!P9)-'[1]Page 331'!$B15</f>
        <v>-9.497280120044313E-2</v>
      </c>
      <c r="R15" s="10">
        <f>LN([2]Sheet1!Q10/[2]Sheet1!Q9)-'[1]Page 331'!$B15</f>
        <v>-0.20560441807914531</v>
      </c>
      <c r="S15" s="10">
        <f>LN([2]Sheet1!R10/[2]Sheet1!R9)-'[1]Page 331'!$B15</f>
        <v>5.8883087505275551E-2</v>
      </c>
      <c r="T15" s="10">
        <f>LN([2]Sheet1!S10/[2]Sheet1!S9)-'[1]Page 331'!$B15</f>
        <v>-0.15340620778614186</v>
      </c>
      <c r="U15" s="10">
        <f>LN([2]Sheet1!T10/[2]Sheet1!T9)-'[1]Page 331'!$B15</f>
        <v>7.8357172774681863E-2</v>
      </c>
      <c r="V15" s="10">
        <f>LN([2]Sheet1!U10/[2]Sheet1!U9)-'[1]Page 331'!$B15</f>
        <v>-4.1967271663461703E-2</v>
      </c>
      <c r="W15" s="10">
        <f>LN([2]Sheet1!V10/[2]Sheet1!V9)-'[1]Page 331'!$B15</f>
        <v>6.464171800688194E-2</v>
      </c>
      <c r="X15" s="10">
        <f>LN([2]Sheet1!W10/[2]Sheet1!W9)-'[1]Page 331'!$B15</f>
        <v>4.8242249460301076E-2</v>
      </c>
      <c r="Y15" s="10">
        <f>LN([2]Sheet1!X10/[2]Sheet1!X9)-'[1]Page 331'!$B15</f>
        <v>3.4413285136419641E-2</v>
      </c>
      <c r="Z15" s="10">
        <f>LN([2]Sheet1!Y10/[2]Sheet1!Y9)-'[1]Page 331'!$B15</f>
        <v>-8.9240039582102276E-2</v>
      </c>
      <c r="AA15" s="10">
        <f>LN([2]Sheet1!Z10/[2]Sheet1!Z9)-'[1]Page 331'!$B15</f>
        <v>-1.5305040413445773E-2</v>
      </c>
      <c r="AB15" s="10">
        <f>LN([2]Sheet1!AA10/[2]Sheet1!AA9)-'[1]Page 331'!$B15</f>
        <v>3.5948648908988683E-2</v>
      </c>
      <c r="AC15" s="10">
        <f>LN([2]Sheet1!AB10/[2]Sheet1!AB9)-'[1]Page 331'!$B15</f>
        <v>8.9292294467246663E-3</v>
      </c>
      <c r="AD15" s="10">
        <f>LN([2]Sheet1!AC10/[2]Sheet1!AC9)-'[1]Page 331'!$B15</f>
        <v>6.1854888861985632E-2</v>
      </c>
      <c r="AE15" s="10">
        <f>LN([2]Sheet1!AD10/[2]Sheet1!AD9)-'[1]Page 331'!$B15</f>
        <v>8.2768291994588829E-3</v>
      </c>
      <c r="AF15" s="10">
        <f>LN([2]Sheet1!AE10/[2]Sheet1!AE9)-'[1]Page 331'!$B15</f>
        <v>3.1935791837118296E-2</v>
      </c>
      <c r="AG15" s="10">
        <f>LN([2]Sheet1!AF10/[2]Sheet1!AF9)-'[1]Page 331'!$B15</f>
        <v>6.0489007641756562E-2</v>
      </c>
    </row>
    <row r="16" spans="1:33" x14ac:dyDescent="0.25">
      <c r="A16" s="13">
        <v>37316</v>
      </c>
      <c r="B16" s="10">
        <v>1.4416666666666666E-3</v>
      </c>
      <c r="C16" s="10">
        <f>LN([2]Sheet1!B11/[2]Sheet1!B10)-'[1]Page 331'!$B16</f>
        <v>3.463840958609174E-2</v>
      </c>
      <c r="D16" s="10">
        <f>LN([2]Sheet1!C11/[2]Sheet1!C10)-'[1]Page 331'!$B16</f>
        <v>3.2108569917488399E-3</v>
      </c>
      <c r="E16" s="10">
        <f>LN([2]Sheet1!D11/[2]Sheet1!D10)-'[1]Page 331'!$B16</f>
        <v>-2.6624866555139005E-2</v>
      </c>
      <c r="F16" s="10">
        <f>LN([2]Sheet1!E11/[2]Sheet1!E10)-'[1]Page 331'!$B16</f>
        <v>0.11518026581137512</v>
      </c>
      <c r="G16" s="10">
        <f>LN([2]Sheet1!F11/[2]Sheet1!F10)-'[1]Page 331'!$B16</f>
        <v>4.7080436919468678E-2</v>
      </c>
      <c r="H16" s="10">
        <f>LN([2]Sheet1!G11/[2]Sheet1!G10)-'[1]Page 331'!$B16</f>
        <v>8.8760288560318215E-2</v>
      </c>
      <c r="I16" s="10">
        <f>LN([2]Sheet1!H11/[2]Sheet1!H10)-'[1]Page 331'!$B16</f>
        <v>2.239224135695158E-2</v>
      </c>
      <c r="J16" s="10">
        <f>LN([2]Sheet1!I11/[2]Sheet1!I10)-'[1]Page 331'!$B16</f>
        <v>5.1735724520527377E-3</v>
      </c>
      <c r="K16" s="10">
        <f>LN([2]Sheet1!J11/[2]Sheet1!J10)-'[1]Page 331'!$B16</f>
        <v>2.176609555832946E-3</v>
      </c>
      <c r="L16" s="10">
        <f>LN([2]Sheet1!K11/[2]Sheet1!K10)-'[1]Page 331'!$B16</f>
        <v>-3.0352234742176507E-2</v>
      </c>
      <c r="M16" s="10">
        <f>LN([2]Sheet1!L11/[2]Sheet1!L10)-'[1]Page 331'!$B16</f>
        <v>0.13053590632803419</v>
      </c>
      <c r="N16" s="10">
        <f>LN([2]Sheet1!M11/[2]Sheet1!M10)-'[1]Page 331'!$B16</f>
        <v>-2.8684403060540924E-2</v>
      </c>
      <c r="O16" s="10">
        <f>LN([2]Sheet1!N11/[2]Sheet1!N10)-'[1]Page 331'!$B16</f>
        <v>2.6163099164341792E-3</v>
      </c>
      <c r="P16" s="10">
        <f>LN([2]Sheet1!O11/[2]Sheet1!O10)-'[1]Page 331'!$B16</f>
        <v>-0.11226019302625941</v>
      </c>
      <c r="Q16" s="10">
        <f>LN([2]Sheet1!P11/[2]Sheet1!P10)-'[1]Page 331'!$B16</f>
        <v>5.677936230428221E-2</v>
      </c>
      <c r="R16" s="10">
        <f>LN([2]Sheet1!Q11/[2]Sheet1!Q10)-'[1]Page 331'!$B16</f>
        <v>6.1529723022184256E-2</v>
      </c>
      <c r="S16" s="10">
        <f>LN([2]Sheet1!R11/[2]Sheet1!R10)-'[1]Page 331'!$B16</f>
        <v>6.291909249372335E-2</v>
      </c>
      <c r="T16" s="10">
        <f>LN([2]Sheet1!S11/[2]Sheet1!S10)-'[1]Page 331'!$B16</f>
        <v>0.19642407746327456</v>
      </c>
      <c r="U16" s="10">
        <f>LN([2]Sheet1!T11/[2]Sheet1!T10)-'[1]Page 331'!$B16</f>
        <v>0.10055891302891205</v>
      </c>
      <c r="V16" s="10">
        <f>LN([2]Sheet1!U11/[2]Sheet1!U10)-'[1]Page 331'!$B16</f>
        <v>6.0195808830780892E-2</v>
      </c>
      <c r="W16" s="10">
        <f>LN([2]Sheet1!V11/[2]Sheet1!V10)-'[1]Page 331'!$B16</f>
        <v>-2.6683728551844366E-2</v>
      </c>
      <c r="X16" s="10">
        <f>LN([2]Sheet1!W11/[2]Sheet1!W10)-'[1]Page 331'!$B16</f>
        <v>9.9951985242795333E-3</v>
      </c>
      <c r="Y16" s="10">
        <f>LN([2]Sheet1!X11/[2]Sheet1!X10)-'[1]Page 331'!$B16</f>
        <v>-5.8946794202290459E-2</v>
      </c>
      <c r="Z16" s="10">
        <f>LN([2]Sheet1!Y11/[2]Sheet1!Y10)-'[1]Page 331'!$B16</f>
        <v>3.1894753600925044E-2</v>
      </c>
      <c r="AA16" s="10">
        <f>LN([2]Sheet1!Z11/[2]Sheet1!Z10)-'[1]Page 331'!$B16</f>
        <v>-3.1842474225888075E-2</v>
      </c>
      <c r="AB16" s="10">
        <f>LN([2]Sheet1!AA11/[2]Sheet1!AA10)-'[1]Page 331'!$B16</f>
        <v>5.912224791041136E-2</v>
      </c>
      <c r="AC16" s="10">
        <f>LN([2]Sheet1!AB11/[2]Sheet1!AB10)-'[1]Page 331'!$B16</f>
        <v>-1.208006487172231E-2</v>
      </c>
      <c r="AD16" s="10">
        <f>LN([2]Sheet1!AC11/[2]Sheet1!AC10)-'[1]Page 331'!$B16</f>
        <v>1.5707423855592682E-2</v>
      </c>
      <c r="AE16" s="10">
        <f>LN([2]Sheet1!AD11/[2]Sheet1!AD10)-'[1]Page 331'!$B16</f>
        <v>-1.6613289089723461E-2</v>
      </c>
      <c r="AF16" s="10">
        <f>LN([2]Sheet1!AE11/[2]Sheet1!AE10)-'[1]Page 331'!$B16</f>
        <v>-1.1743201657907237E-2</v>
      </c>
      <c r="AG16" s="10">
        <f>LN([2]Sheet1!AF11/[2]Sheet1!AF10)-'[1]Page 331'!$B16</f>
        <v>5.8079602422100474E-2</v>
      </c>
    </row>
    <row r="17" spans="1:33" x14ac:dyDescent="0.25">
      <c r="A17" s="13">
        <v>37347</v>
      </c>
      <c r="B17" s="10">
        <v>1.4916666666666665E-3</v>
      </c>
      <c r="C17" s="10">
        <f>LN([2]Sheet1!B12/[2]Sheet1!B11)-'[1]Page 331'!$B17</f>
        <v>-6.4876349451080187E-2</v>
      </c>
      <c r="D17" s="10">
        <f>LN([2]Sheet1!C12/[2]Sheet1!C11)-'[1]Page 331'!$B17</f>
        <v>-0.10501652169599396</v>
      </c>
      <c r="E17" s="10">
        <f>LN([2]Sheet1!D12/[2]Sheet1!D11)-'[1]Page 331'!$B17</f>
        <v>-4.4186813326942159E-2</v>
      </c>
      <c r="F17" s="10">
        <f>LN([2]Sheet1!E12/[2]Sheet1!E11)-'[1]Page 331'!$B17</f>
        <v>1.6981287014334143E-3</v>
      </c>
      <c r="G17" s="10">
        <f>LN([2]Sheet1!F12/[2]Sheet1!F11)-'[1]Page 331'!$B17</f>
        <v>-8.0008877792994079E-2</v>
      </c>
      <c r="H17" s="10">
        <f>LN([2]Sheet1!G12/[2]Sheet1!G11)-'[1]Page 331'!$B17</f>
        <v>-0.13554827858231208</v>
      </c>
      <c r="I17" s="10">
        <f>LN([2]Sheet1!H12/[2]Sheet1!H11)-'[1]Page 331'!$B17</f>
        <v>-3.5260089140260936E-2</v>
      </c>
      <c r="J17" s="10">
        <f>LN([2]Sheet1!I12/[2]Sheet1!I11)-'[1]Page 331'!$B17</f>
        <v>-5.9296701932314275E-2</v>
      </c>
      <c r="K17" s="10">
        <f>LN([2]Sheet1!J12/[2]Sheet1!J11)-'[1]Page 331'!$B17</f>
        <v>2.5633062245703888E-3</v>
      </c>
      <c r="L17" s="10">
        <f>LN([2]Sheet1!K12/[2]Sheet1!K11)-'[1]Page 331'!$B17</f>
        <v>-0.17173441656479754</v>
      </c>
      <c r="M17" s="10">
        <f>LN([2]Sheet1!L12/[2]Sheet1!L11)-'[1]Page 331'!$B17</f>
        <v>5.7912005437817118E-2</v>
      </c>
      <c r="N17" s="10">
        <f>LN([2]Sheet1!M12/[2]Sheet1!M11)-'[1]Page 331'!$B17</f>
        <v>-4.861334556165469E-2</v>
      </c>
      <c r="O17" s="10">
        <f>LN([2]Sheet1!N12/[2]Sheet1!N11)-'[1]Page 331'!$B17</f>
        <v>-4.4038704288395326E-2</v>
      </c>
      <c r="P17" s="10">
        <f>LN([2]Sheet1!O12/[2]Sheet1!O11)-'[1]Page 331'!$B17</f>
        <v>-4.9627672446977696E-2</v>
      </c>
      <c r="Q17" s="10">
        <f>LN([2]Sheet1!P12/[2]Sheet1!P11)-'[1]Page 331'!$B17</f>
        <v>-0.21792461742855057</v>
      </c>
      <c r="R17" s="10">
        <f>LN([2]Sheet1!Q12/[2]Sheet1!Q11)-'[1]Page 331'!$B17</f>
        <v>-6.2286776932921957E-2</v>
      </c>
      <c r="S17" s="10">
        <f>LN([2]Sheet1!R12/[2]Sheet1!R11)-'[1]Page 331'!$B17</f>
        <v>-1.8298784983047954E-2</v>
      </c>
      <c r="T17" s="10">
        <f>LN([2]Sheet1!S12/[2]Sheet1!S11)-'[1]Page 331'!$B17</f>
        <v>-1.6970853515126755E-2</v>
      </c>
      <c r="U17" s="10">
        <f>LN([2]Sheet1!T12/[2]Sheet1!T11)-'[1]Page 331'!$B17</f>
        <v>5.8910207682599573E-2</v>
      </c>
      <c r="V17" s="10">
        <f>LN([2]Sheet1!U12/[2]Sheet1!U11)-'[1]Page 331'!$B17</f>
        <v>2.1383901932408696E-2</v>
      </c>
      <c r="W17" s="10">
        <f>LN([2]Sheet1!V12/[2]Sheet1!V11)-'[1]Page 331'!$B17</f>
        <v>8.8277376407665753E-2</v>
      </c>
      <c r="X17" s="10">
        <f>LN([2]Sheet1!W12/[2]Sheet1!W11)-'[1]Page 331'!$B17</f>
        <v>3.1366934312408938E-2</v>
      </c>
      <c r="Y17" s="10">
        <f>LN([2]Sheet1!X12/[2]Sheet1!X11)-'[1]Page 331'!$B17</f>
        <v>-5.930867519073766E-2</v>
      </c>
      <c r="Z17" s="10">
        <f>LN([2]Sheet1!Y12/[2]Sheet1!Y11)-'[1]Page 331'!$B17</f>
        <v>-0.14470982268099719</v>
      </c>
      <c r="AA17" s="10">
        <f>LN([2]Sheet1!Z12/[2]Sheet1!Z11)-'[1]Page 331'!$B17</f>
        <v>-9.0426218498759994E-2</v>
      </c>
      <c r="AB17" s="10">
        <f>LN([2]Sheet1!AA12/[2]Sheet1!AA11)-'[1]Page 331'!$B17</f>
        <v>4.560887823000309E-3</v>
      </c>
      <c r="AC17" s="10">
        <f>LN([2]Sheet1!AB12/[2]Sheet1!AB11)-'[1]Page 331'!$B17</f>
        <v>-0.18114299490474253</v>
      </c>
      <c r="AD17" s="10">
        <f>LN([2]Sheet1!AC12/[2]Sheet1!AC11)-'[1]Page 331'!$B17</f>
        <v>-5.7498006646469986E-2</v>
      </c>
      <c r="AE17" s="10">
        <f>LN([2]Sheet1!AD12/[2]Sheet1!AD11)-'[1]Page 331'!$B17</f>
        <v>-0.13194023418713677</v>
      </c>
      <c r="AF17" s="10">
        <f>LN([2]Sheet1!AE12/[2]Sheet1!AE11)-'[1]Page 331'!$B17</f>
        <v>-9.4462029536836245E-2</v>
      </c>
      <c r="AG17" s="10">
        <f>LN([2]Sheet1!AF12/[2]Sheet1!AF11)-'[1]Page 331'!$B17</f>
        <v>-8.8709520135917874E-2</v>
      </c>
    </row>
    <row r="18" spans="1:33" x14ac:dyDescent="0.25">
      <c r="A18" s="13">
        <v>37377</v>
      </c>
      <c r="B18" s="10">
        <v>1.4333333333333333E-3</v>
      </c>
      <c r="C18" s="10">
        <f>LN([2]Sheet1!B13/[2]Sheet1!B12)-'[1]Page 331'!$B18</f>
        <v>-1.0556275630459289E-2</v>
      </c>
      <c r="D18" s="10">
        <f>LN([2]Sheet1!C13/[2]Sheet1!C12)-'[1]Page 331'!$B18</f>
        <v>3.0546596288985539E-2</v>
      </c>
      <c r="E18" s="10">
        <f>LN([2]Sheet1!D13/[2]Sheet1!D12)-'[1]Page 331'!$B18</f>
        <v>-3.2976951868776284E-2</v>
      </c>
      <c r="F18" s="10">
        <f>LN([2]Sheet1!E13/[2]Sheet1!E12)-'[1]Page 331'!$B18</f>
        <v>3.4396487354788792E-2</v>
      </c>
      <c r="G18" s="10">
        <f>LN([2]Sheet1!F13/[2]Sheet1!F12)-'[1]Page 331'!$B18</f>
        <v>-4.2376166473758546E-2</v>
      </c>
      <c r="H18" s="10">
        <f>LN([2]Sheet1!G13/[2]Sheet1!G12)-'[1]Page 331'!$B18</f>
        <v>-3.1319880008398387E-4</v>
      </c>
      <c r="I18" s="10">
        <f>LN([2]Sheet1!H13/[2]Sheet1!H12)-'[1]Page 331'!$B18</f>
        <v>-4.5522106317982459E-2</v>
      </c>
      <c r="J18" s="10">
        <f>LN([2]Sheet1!I13/[2]Sheet1!I12)-'[1]Page 331'!$B18</f>
        <v>3.9626666496598649E-2</v>
      </c>
      <c r="K18" s="10">
        <f>LN([2]Sheet1!J13/[2]Sheet1!J12)-'[1]Page 331'!$B18</f>
        <v>-1.3192853740239582E-2</v>
      </c>
      <c r="L18" s="10">
        <f>LN([2]Sheet1!K13/[2]Sheet1!K12)-'[1]Page 331'!$B18</f>
        <v>-1.429065330857065E-2</v>
      </c>
      <c r="M18" s="10">
        <f>LN([2]Sheet1!L13/[2]Sheet1!L12)-'[1]Page 331'!$B18</f>
        <v>-2.5724439543792728E-2</v>
      </c>
      <c r="N18" s="10">
        <f>LN([2]Sheet1!M13/[2]Sheet1!M12)-'[1]Page 331'!$B18</f>
        <v>-0.10789159871468967</v>
      </c>
      <c r="O18" s="10">
        <f>LN([2]Sheet1!N13/[2]Sheet1!N12)-'[1]Page 331'!$B18</f>
        <v>6.9911132592551051E-2</v>
      </c>
      <c r="P18" s="10">
        <f>LN([2]Sheet1!O13/[2]Sheet1!O12)-'[1]Page 331'!$B18</f>
        <v>0.10897062254708145</v>
      </c>
      <c r="Q18" s="10">
        <f>LN([2]Sheet1!P13/[2]Sheet1!P12)-'[1]Page 331'!$B18</f>
        <v>-3.9812191384526213E-2</v>
      </c>
      <c r="R18" s="10">
        <f>LN([2]Sheet1!Q13/[2]Sheet1!Q12)-'[1]Page 331'!$B18</f>
        <v>-3.6084791305875108E-2</v>
      </c>
      <c r="S18" s="10">
        <f>LN([2]Sheet1!R13/[2]Sheet1!R12)-'[1]Page 331'!$B18</f>
        <v>-3.8202815920344524E-2</v>
      </c>
      <c r="T18" s="10">
        <f>LN([2]Sheet1!S13/[2]Sheet1!S12)-'[1]Page 331'!$B18</f>
        <v>2.2648742322394645E-2</v>
      </c>
      <c r="U18" s="10">
        <f>LN([2]Sheet1!T13/[2]Sheet1!T12)-'[1]Page 331'!$B18</f>
        <v>-6.415676545993076E-4</v>
      </c>
      <c r="V18" s="10">
        <f>LN([2]Sheet1!U13/[2]Sheet1!U12)-'[1]Page 331'!$B18</f>
        <v>5.1423005730886741E-2</v>
      </c>
      <c r="W18" s="10">
        <f>LN([2]Sheet1!V13/[2]Sheet1!V12)-'[1]Page 331'!$B18</f>
        <v>4.6895863677563006E-4</v>
      </c>
      <c r="X18" s="10">
        <f>LN([2]Sheet1!W13/[2]Sheet1!W12)-'[1]Page 331'!$B18</f>
        <v>4.9080198154353709E-2</v>
      </c>
      <c r="Y18" s="10">
        <f>LN([2]Sheet1!X13/[2]Sheet1!X12)-'[1]Page 331'!$B18</f>
        <v>4.7953926796300103E-2</v>
      </c>
      <c r="Z18" s="10">
        <f>LN([2]Sheet1!Y13/[2]Sheet1!Y12)-'[1]Page 331'!$B18</f>
        <v>-2.773304391729435E-2</v>
      </c>
      <c r="AA18" s="10">
        <f>LN([2]Sheet1!Z13/[2]Sheet1!Z12)-'[1]Page 331'!$B18</f>
        <v>-4.7461358277184347E-2</v>
      </c>
      <c r="AB18" s="10">
        <f>LN([2]Sheet1!AA13/[2]Sheet1!AA12)-'[1]Page 331'!$B18</f>
        <v>-9.1871885128567386E-3</v>
      </c>
      <c r="AC18" s="10">
        <f>LN([2]Sheet1!AB13/[2]Sheet1!AB12)-'[1]Page 331'!$B18</f>
        <v>9.750661452157032E-2</v>
      </c>
      <c r="AD18" s="10">
        <f>LN([2]Sheet1!AC13/[2]Sheet1!AC12)-'[1]Page 331'!$B18</f>
        <v>-1.6480446653448975E-2</v>
      </c>
      <c r="AE18" s="10">
        <f>LN([2]Sheet1!AD13/[2]Sheet1!AD12)-'[1]Page 331'!$B18</f>
        <v>6.8159958465862064E-2</v>
      </c>
      <c r="AF18" s="10">
        <f>LN([2]Sheet1!AE13/[2]Sheet1!AE12)-'[1]Page 331'!$B18</f>
        <v>-3.3422433601135275E-2</v>
      </c>
      <c r="AG18" s="10">
        <f>LN([2]Sheet1!AF13/[2]Sheet1!AF12)-'[1]Page 331'!$B18</f>
        <v>-1.7087016401814491E-3</v>
      </c>
    </row>
    <row r="19" spans="1:33" x14ac:dyDescent="0.25">
      <c r="A19" s="13">
        <v>37410</v>
      </c>
      <c r="B19" s="10">
        <v>1.4416666666666666E-3</v>
      </c>
      <c r="C19" s="10">
        <f>LN([2]Sheet1!B14/[2]Sheet1!B13)-'[1]Page 331'!$B19</f>
        <v>-7.6656009942572809E-2</v>
      </c>
      <c r="D19" s="10">
        <f>LN([2]Sheet1!C14/[2]Sheet1!C13)-'[1]Page 331'!$B19</f>
        <v>-5.5214620099158951E-2</v>
      </c>
      <c r="E19" s="10">
        <f>LN([2]Sheet1!D14/[2]Sheet1!D13)-'[1]Page 331'!$B19</f>
        <v>1.7753360824527879E-2</v>
      </c>
      <c r="F19" s="10">
        <f>LN([2]Sheet1!E14/[2]Sheet1!E13)-'[1]Page 331'!$B19</f>
        <v>-0.15871640191050912</v>
      </c>
      <c r="G19" s="10">
        <f>LN([2]Sheet1!F14/[2]Sheet1!F13)-'[1]Page 331'!$B19</f>
        <v>5.2227956093341639E-2</v>
      </c>
      <c r="H19" s="10">
        <f>LN([2]Sheet1!G14/[2]Sheet1!G13)-'[1]Page 331'!$B19</f>
        <v>-0.10951132499692148</v>
      </c>
      <c r="I19" s="10">
        <f>LN([2]Sheet1!H14/[2]Sheet1!H13)-'[1]Page 331'!$B19</f>
        <v>-6.6982359259419658E-2</v>
      </c>
      <c r="J19" s="10">
        <f>LN([2]Sheet1!I14/[2]Sheet1!I13)-'[1]Page 331'!$B19</f>
        <v>-3.7082997580735529E-2</v>
      </c>
      <c r="K19" s="10">
        <f>LN([2]Sheet1!J14/[2]Sheet1!J13)-'[1]Page 331'!$B19</f>
        <v>-0.19400659087538238</v>
      </c>
      <c r="L19" s="10">
        <f>LN([2]Sheet1!K14/[2]Sheet1!K13)-'[1]Page 331'!$B19</f>
        <v>-6.4878470450926123E-2</v>
      </c>
      <c r="M19" s="10">
        <f>LN([2]Sheet1!L14/[2]Sheet1!L13)-'[1]Page 331'!$B19</f>
        <v>-0.15225994490802583</v>
      </c>
      <c r="N19" s="10">
        <f>LN([2]Sheet1!M14/[2]Sheet1!M13)-'[1]Page 331'!$B19</f>
        <v>-0.12680453001278846</v>
      </c>
      <c r="O19" s="10">
        <f>LN([2]Sheet1!N14/[2]Sheet1!N13)-'[1]Page 331'!$B19</f>
        <v>-0.10811464149854745</v>
      </c>
      <c r="P19" s="10">
        <f>LN([2]Sheet1!O14/[2]Sheet1!O13)-'[1]Page 331'!$B19</f>
        <v>-0.21984521189439382</v>
      </c>
      <c r="Q19" s="10">
        <f>LN([2]Sheet1!P14/[2]Sheet1!P13)-'[1]Page 331'!$B19</f>
        <v>-0.11239479746055306</v>
      </c>
      <c r="R19" s="10">
        <f>LN([2]Sheet1!Q14/[2]Sheet1!Q13)-'[1]Page 331'!$B19</f>
        <v>-0.41443693083858407</v>
      </c>
      <c r="S19" s="10">
        <f>LN([2]Sheet1!R14/[2]Sheet1!R13)-'[1]Page 331'!$B19</f>
        <v>-0.16188370930048351</v>
      </c>
      <c r="T19" s="10">
        <f>LN([2]Sheet1!S14/[2]Sheet1!S13)-'[1]Page 331'!$B19</f>
        <v>-5.9570990624336108E-2</v>
      </c>
      <c r="U19" s="10">
        <f>LN([2]Sheet1!T14/[2]Sheet1!T13)-'[1]Page 331'!$B19</f>
        <v>1.0164640465193164E-2</v>
      </c>
      <c r="V19" s="10">
        <f>LN([2]Sheet1!U14/[2]Sheet1!U13)-'[1]Page 331'!$B19</f>
        <v>-5.24151205954358E-2</v>
      </c>
      <c r="W19" s="10">
        <f>LN([2]Sheet1!V14/[2]Sheet1!V13)-'[1]Page 331'!$B19</f>
        <v>-2.0981716138107911E-2</v>
      </c>
      <c r="X19" s="10">
        <f>LN([2]Sheet1!W14/[2]Sheet1!W13)-'[1]Page 331'!$B19</f>
        <v>-0.25962983319095656</v>
      </c>
      <c r="Y19" s="10">
        <f>LN([2]Sheet1!X14/[2]Sheet1!X13)-'[1]Page 331'!$B19</f>
        <v>-0.11510902446758264</v>
      </c>
      <c r="Z19" s="10">
        <f>LN([2]Sheet1!Y14/[2]Sheet1!Y13)-'[1]Page 331'!$B19</f>
        <v>7.043773036770884E-2</v>
      </c>
      <c r="AA19" s="10">
        <f>LN([2]Sheet1!Z14/[2]Sheet1!Z13)-'[1]Page 331'!$B19</f>
        <v>9.9508616144281734E-3</v>
      </c>
      <c r="AB19" s="10">
        <f>LN([2]Sheet1!AA14/[2]Sheet1!AA13)-'[1]Page 331'!$B19</f>
        <v>3.4115338322195377E-3</v>
      </c>
      <c r="AC19" s="10">
        <f>LN([2]Sheet1!AB14/[2]Sheet1!AB13)-'[1]Page 331'!$B19</f>
        <v>-0.11854558514924145</v>
      </c>
      <c r="AD19" s="10">
        <f>LN([2]Sheet1!AC14/[2]Sheet1!AC13)-'[1]Page 331'!$B19</f>
        <v>-1.5776595837658898E-2</v>
      </c>
      <c r="AE19" s="10">
        <f>LN([2]Sheet1!AD14/[2]Sheet1!AD13)-'[1]Page 331'!$B19</f>
        <v>-7.0134463132611832E-2</v>
      </c>
      <c r="AF19" s="10">
        <f>LN([2]Sheet1!AE14/[2]Sheet1!AE13)-'[1]Page 331'!$B19</f>
        <v>1.647722680760514E-2</v>
      </c>
      <c r="AG19" s="10">
        <f>LN([2]Sheet1!AF14/[2]Sheet1!AF13)-'[1]Page 331'!$B19</f>
        <v>2.3042690265620079E-2</v>
      </c>
    </row>
    <row r="20" spans="1:33" x14ac:dyDescent="0.25">
      <c r="A20" s="13">
        <v>37438</v>
      </c>
      <c r="B20" s="10">
        <v>1.4166666666666668E-3</v>
      </c>
      <c r="C20" s="10">
        <f>LN([2]Sheet1!B15/[2]Sheet1!B14)-'[1]Page 331'!$B20</f>
        <v>-8.3716538504565716E-2</v>
      </c>
      <c r="D20" s="10">
        <f>LN([2]Sheet1!C15/[2]Sheet1!C14)-'[1]Page 331'!$B20</f>
        <v>-0.19891362485471301</v>
      </c>
      <c r="E20" s="10">
        <f>LN([2]Sheet1!D15/[2]Sheet1!D14)-'[1]Page 331'!$B20</f>
        <v>-6.6674008968530568E-2</v>
      </c>
      <c r="F20" s="10">
        <f>LN([2]Sheet1!E15/[2]Sheet1!E14)-'[1]Page 331'!$B20</f>
        <v>-2.8924614864587566E-2</v>
      </c>
      <c r="G20" s="10">
        <f>LN([2]Sheet1!F15/[2]Sheet1!F14)-'[1]Page 331'!$B20</f>
        <v>-8.2135654823461968E-2</v>
      </c>
      <c r="H20" s="10">
        <f>LN([2]Sheet1!G15/[2]Sheet1!G14)-'[1]Page 331'!$B20</f>
        <v>-0.14574154473312637</v>
      </c>
      <c r="I20" s="10">
        <f>LN([2]Sheet1!H15/[2]Sheet1!H14)-'[1]Page 331'!$B20</f>
        <v>-8.4062283629669762E-2</v>
      </c>
      <c r="J20" s="10">
        <f>LN([2]Sheet1!I15/[2]Sheet1!I14)-'[1]Page 331'!$B20</f>
        <v>-5.8877872248770058E-2</v>
      </c>
      <c r="K20" s="10">
        <f>LN([2]Sheet1!J15/[2]Sheet1!J14)-'[1]Page 331'!$B20</f>
        <v>-6.5183285025655818E-2</v>
      </c>
      <c r="L20" s="10">
        <f>LN([2]Sheet1!K15/[2]Sheet1!K14)-'[1]Page 331'!$B20</f>
        <v>0.10148967182563381</v>
      </c>
      <c r="M20" s="10">
        <f>LN([2]Sheet1!L15/[2]Sheet1!L14)-'[1]Page 331'!$B20</f>
        <v>-0.13966948778957586</v>
      </c>
      <c r="N20" s="10">
        <f>LN([2]Sheet1!M15/[2]Sheet1!M14)-'[1]Page 331'!$B20</f>
        <v>-0.17494844408370075</v>
      </c>
      <c r="O20" s="10">
        <f>LN([2]Sheet1!N15/[2]Sheet1!N14)-'[1]Page 331'!$B20</f>
        <v>-8.6553628861946091E-2</v>
      </c>
      <c r="P20" s="10">
        <f>LN([2]Sheet1!O15/[2]Sheet1!O14)-'[1]Page 331'!$B20</f>
        <v>-7.7988353847324304E-2</v>
      </c>
      <c r="Q20" s="10">
        <f>LN([2]Sheet1!P15/[2]Sheet1!P14)-'[1]Page 331'!$B20</f>
        <v>-2.3958157708013919E-2</v>
      </c>
      <c r="R20" s="10">
        <f>LN([2]Sheet1!Q15/[2]Sheet1!Q14)-'[1]Page 331'!$B20</f>
        <v>2.6533727441678628E-2</v>
      </c>
      <c r="S20" s="10">
        <f>LN([2]Sheet1!R15/[2]Sheet1!R14)-'[1]Page 331'!$B20</f>
        <v>5.1677192615125715E-3</v>
      </c>
      <c r="T20" s="10">
        <f>LN([2]Sheet1!S15/[2]Sheet1!S14)-'[1]Page 331'!$B20</f>
        <v>-0.30833663014489526</v>
      </c>
      <c r="U20" s="10">
        <f>LN([2]Sheet1!T15/[2]Sheet1!T14)-'[1]Page 331'!$B20</f>
        <v>-0.11588035923823412</v>
      </c>
      <c r="V20" s="10">
        <f>LN([2]Sheet1!U15/[2]Sheet1!U14)-'[1]Page 331'!$B20</f>
        <v>-0.14087767614758917</v>
      </c>
      <c r="W20" s="10">
        <f>LN([2]Sheet1!V15/[2]Sheet1!V14)-'[1]Page 331'!$B20</f>
        <v>2.1400660425449948E-2</v>
      </c>
      <c r="X20" s="10">
        <f>LN([2]Sheet1!W15/[2]Sheet1!W14)-'[1]Page 331'!$B20</f>
        <v>5.1610451093845766E-2</v>
      </c>
      <c r="Y20" s="10">
        <f>LN([2]Sheet1!X15/[2]Sheet1!X14)-'[1]Page 331'!$B20</f>
        <v>-2.2056219963214715E-2</v>
      </c>
      <c r="Z20" s="10">
        <f>LN([2]Sheet1!Y15/[2]Sheet1!Y14)-'[1]Page 331'!$B20</f>
        <v>-0.13284854140890656</v>
      </c>
      <c r="AA20" s="10">
        <f>LN([2]Sheet1!Z15/[2]Sheet1!Z14)-'[1]Page 331'!$B20</f>
        <v>-7.9939657029505395E-2</v>
      </c>
      <c r="AB20" s="10">
        <f>LN([2]Sheet1!AA15/[2]Sheet1!AA14)-'[1]Page 331'!$B20</f>
        <v>2.764042420571218E-4</v>
      </c>
      <c r="AC20" s="10">
        <f>LN([2]Sheet1!AB15/[2]Sheet1!AB14)-'[1]Page 331'!$B20</f>
        <v>-9.0392571596899146E-2</v>
      </c>
      <c r="AD20" s="10">
        <f>LN([2]Sheet1!AC15/[2]Sheet1!AC14)-'[1]Page 331'!$B20</f>
        <v>2.1851018652658549E-2</v>
      </c>
      <c r="AE20" s="10">
        <f>LN([2]Sheet1!AD15/[2]Sheet1!AD14)-'[1]Page 331'!$B20</f>
        <v>-0.18752576518748035</v>
      </c>
      <c r="AF20" s="10">
        <f>LN([2]Sheet1!AE15/[2]Sheet1!AE14)-'[1]Page 331'!$B20</f>
        <v>-0.11345391342637685</v>
      </c>
      <c r="AG20" s="10">
        <f>LN([2]Sheet1!AF15/[2]Sheet1!AF14)-'[1]Page 331'!$B20</f>
        <v>-0.10854050859319057</v>
      </c>
    </row>
    <row r="21" spans="1:33" x14ac:dyDescent="0.25">
      <c r="A21" s="13">
        <v>37469</v>
      </c>
      <c r="B21" s="10">
        <v>1.4E-3</v>
      </c>
      <c r="C21" s="10">
        <f>LN([2]Sheet1!B16/[2]Sheet1!B15)-'[1]Page 331'!$B21</f>
        <v>3.469544390315665E-3</v>
      </c>
      <c r="D21" s="10">
        <f>LN([2]Sheet1!C16/[2]Sheet1!C15)-'[1]Page 331'!$B21</f>
        <v>-7.6679762968983975E-2</v>
      </c>
      <c r="E21" s="10">
        <f>LN([2]Sheet1!D16/[2]Sheet1!D15)-'[1]Page 331'!$B21</f>
        <v>-1.8971178275357669E-2</v>
      </c>
      <c r="F21" s="10">
        <f>LN([2]Sheet1!E16/[2]Sheet1!E15)-'[1]Page 331'!$B21</f>
        <v>2.119232302859406E-2</v>
      </c>
      <c r="G21" s="10">
        <f>LN([2]Sheet1!F16/[2]Sheet1!F15)-'[1]Page 331'!$B21</f>
        <v>-0.11004232186784364</v>
      </c>
      <c r="H21" s="10">
        <f>LN([2]Sheet1!G16/[2]Sheet1!G15)-'[1]Page 331'!$B21</f>
        <v>4.9857270683949649E-2</v>
      </c>
      <c r="I21" s="10">
        <f>LN([2]Sheet1!H16/[2]Sheet1!H15)-'[1]Page 331'!$B21</f>
        <v>-2.5403111725371956E-2</v>
      </c>
      <c r="J21" s="10">
        <f>LN([2]Sheet1!I16/[2]Sheet1!I15)-'[1]Page 331'!$B21</f>
        <v>-3.2120556129501571E-2</v>
      </c>
      <c r="K21" s="10">
        <f>LN([2]Sheet1!J16/[2]Sheet1!J15)-'[1]Page 331'!$B21</f>
        <v>-0.12382341521288569</v>
      </c>
      <c r="L21" s="10">
        <f>LN([2]Sheet1!K16/[2]Sheet1!K15)-'[1]Page 331'!$B21</f>
        <v>-6.709099331768259E-2</v>
      </c>
      <c r="M21" s="10">
        <f>LN([2]Sheet1!L16/[2]Sheet1!L15)-'[1]Page 331'!$B21</f>
        <v>3.7800346761899598E-2</v>
      </c>
      <c r="N21" s="10">
        <f>LN([2]Sheet1!M16/[2]Sheet1!M15)-'[1]Page 331'!$B21</f>
        <v>6.311748422831305E-2</v>
      </c>
      <c r="O21" s="10">
        <f>LN([2]Sheet1!N16/[2]Sheet1!N15)-'[1]Page 331'!$B21</f>
        <v>-7.3022913914725193E-2</v>
      </c>
      <c r="P21" s="10">
        <f>LN([2]Sheet1!O16/[2]Sheet1!O15)-'[1]Page 331'!$B21</f>
        <v>-5.3800276393531674E-2</v>
      </c>
      <c r="Q21" s="10">
        <f>LN([2]Sheet1!P16/[2]Sheet1!P15)-'[1]Page 331'!$B21</f>
        <v>6.9150710227707662E-2</v>
      </c>
      <c r="R21" s="10">
        <f>LN([2]Sheet1!Q16/[2]Sheet1!Q15)-'[1]Page 331'!$B21</f>
        <v>-0.12007924749810754</v>
      </c>
      <c r="S21" s="10">
        <f>LN([2]Sheet1!R16/[2]Sheet1!R15)-'[1]Page 331'!$B21</f>
        <v>3.4256914690746487E-2</v>
      </c>
      <c r="T21" s="10">
        <f>LN([2]Sheet1!S16/[2]Sheet1!S15)-'[1]Page 331'!$B21</f>
        <v>5.4589744211750224E-2</v>
      </c>
      <c r="U21" s="10">
        <f>LN([2]Sheet1!T16/[2]Sheet1!T15)-'[1]Page 331'!$B21</f>
        <v>1.9648840473945432E-2</v>
      </c>
      <c r="V21" s="10">
        <f>LN([2]Sheet1!U16/[2]Sheet1!U15)-'[1]Page 331'!$B21</f>
        <v>-4.2005754925943016E-2</v>
      </c>
      <c r="W21" s="10">
        <f>LN([2]Sheet1!V16/[2]Sheet1!V15)-'[1]Page 331'!$B21</f>
        <v>-3.6411870427542417E-3</v>
      </c>
      <c r="X21" s="10">
        <f>LN([2]Sheet1!W16/[2]Sheet1!W15)-'[1]Page 331'!$B21</f>
        <v>8.0760633720963454E-2</v>
      </c>
      <c r="Y21" s="10">
        <f>LN([2]Sheet1!X16/[2]Sheet1!X15)-'[1]Page 331'!$B21</f>
        <v>1.7048438603733167E-2</v>
      </c>
      <c r="Z21" s="10">
        <f>LN([2]Sheet1!Y16/[2]Sheet1!Y15)-'[1]Page 331'!$B21</f>
        <v>2.1349796300981043E-2</v>
      </c>
      <c r="AA21" s="10">
        <f>LN([2]Sheet1!Z16/[2]Sheet1!Z15)-'[1]Page 331'!$B21</f>
        <v>2.4802372394024119E-2</v>
      </c>
      <c r="AB21" s="10">
        <f>LN([2]Sheet1!AA16/[2]Sheet1!AA15)-'[1]Page 331'!$B21</f>
        <v>-5.2740968550840997E-3</v>
      </c>
      <c r="AC21" s="10">
        <f>LN([2]Sheet1!AB16/[2]Sheet1!AB15)-'[1]Page 331'!$B21</f>
        <v>-0.11341165448676881</v>
      </c>
      <c r="AD21" s="10">
        <f>LN([2]Sheet1!AC16/[2]Sheet1!AC15)-'[1]Page 331'!$B21</f>
        <v>-0.15452902056389267</v>
      </c>
      <c r="AE21" s="10">
        <f>LN([2]Sheet1!AD16/[2]Sheet1!AD15)-'[1]Page 331'!$B21</f>
        <v>-6.4036945145435731E-2</v>
      </c>
      <c r="AF21" s="10">
        <f>LN([2]Sheet1!AE16/[2]Sheet1!AE15)-'[1]Page 331'!$B21</f>
        <v>8.2471767743412167E-2</v>
      </c>
      <c r="AG21" s="10">
        <f>LN([2]Sheet1!AF16/[2]Sheet1!AF15)-'[1]Page 331'!$B21</f>
        <v>-3.1153257281908191E-2</v>
      </c>
    </row>
    <row r="22" spans="1:33" x14ac:dyDescent="0.25">
      <c r="A22" s="13">
        <v>37502</v>
      </c>
      <c r="B22" s="10">
        <v>1.3500000000000003E-3</v>
      </c>
      <c r="C22" s="10">
        <f>LN([2]Sheet1!B17/[2]Sheet1!B16)-'[1]Page 331'!$B22</f>
        <v>-0.11791116844786664</v>
      </c>
      <c r="D22" s="10">
        <f>LN([2]Sheet1!C17/[2]Sheet1!C16)-'[1]Page 331'!$B22</f>
        <v>-0.26358468323067286</v>
      </c>
      <c r="E22" s="10">
        <f>LN([2]Sheet1!D17/[2]Sheet1!D16)-'[1]Page 331'!$B22</f>
        <v>-0.13867549188862202</v>
      </c>
      <c r="F22" s="10">
        <f>LN([2]Sheet1!E17/[2]Sheet1!E16)-'[1]Page 331'!$B22</f>
        <v>-0.14677842653636869</v>
      </c>
      <c r="G22" s="10">
        <f>LN([2]Sheet1!F17/[2]Sheet1!F16)-'[1]Page 331'!$B22</f>
        <v>-8.3967145185650474E-2</v>
      </c>
      <c r="H22" s="10">
        <f>LN([2]Sheet1!G17/[2]Sheet1!G16)-'[1]Page 331'!$B22</f>
        <v>-0.10094724801824499</v>
      </c>
      <c r="I22" s="10">
        <f>LN([2]Sheet1!H17/[2]Sheet1!H16)-'[1]Page 331'!$B22</f>
        <v>-0.16063696814671313</v>
      </c>
      <c r="J22" s="10">
        <f>LN([2]Sheet1!I17/[2]Sheet1!I16)-'[1]Page 331'!$B22</f>
        <v>-0.11241032126150675</v>
      </c>
      <c r="K22" s="10">
        <f>LN([2]Sheet1!J17/[2]Sheet1!J16)-'[1]Page 331'!$B22</f>
        <v>-3.6512513612693268E-2</v>
      </c>
      <c r="L22" s="10">
        <f>LN([2]Sheet1!K17/[2]Sheet1!K16)-'[1]Page 331'!$B22</f>
        <v>-0.19584871944121413</v>
      </c>
      <c r="M22" s="10">
        <f>LN([2]Sheet1!L17/[2]Sheet1!L16)-'[1]Page 331'!$B22</f>
        <v>-0.20851947675957452</v>
      </c>
      <c r="N22" s="10">
        <f>LN([2]Sheet1!M17/[2]Sheet1!M16)-'[1]Page 331'!$B22</f>
        <v>-0.23249327715708132</v>
      </c>
      <c r="O22" s="10">
        <f>LN([2]Sheet1!N17/[2]Sheet1!N16)-'[1]Page 331'!$B22</f>
        <v>-0.3250295051012374</v>
      </c>
      <c r="P22" s="10">
        <f>LN([2]Sheet1!O17/[2]Sheet1!O16)-'[1]Page 331'!$B22</f>
        <v>-0.13578596075494953</v>
      </c>
      <c r="Q22" s="10">
        <f>LN([2]Sheet1!P17/[2]Sheet1!P16)-'[1]Page 331'!$B22</f>
        <v>-0.25808321878146273</v>
      </c>
      <c r="R22" s="10">
        <f>LN([2]Sheet1!Q17/[2]Sheet1!Q16)-'[1]Page 331'!$B22</f>
        <v>-0.18404406564534725</v>
      </c>
      <c r="S22" s="10">
        <f>LN([2]Sheet1!R17/[2]Sheet1!R16)-'[1]Page 331'!$B22</f>
        <v>-5.5146069116321283E-3</v>
      </c>
      <c r="T22" s="10">
        <f>LN([2]Sheet1!S17/[2]Sheet1!S16)-'[1]Page 331'!$B22</f>
        <v>-0.33050250533907782</v>
      </c>
      <c r="U22" s="10">
        <f>LN([2]Sheet1!T17/[2]Sheet1!T16)-'[1]Page 331'!$B22</f>
        <v>-5.8798973801567109E-2</v>
      </c>
      <c r="V22" s="10">
        <f>LN([2]Sheet1!U17/[2]Sheet1!U16)-'[1]Page 331'!$B22</f>
        <v>-0.29808190797169876</v>
      </c>
      <c r="W22" s="10">
        <f>LN([2]Sheet1!V17/[2]Sheet1!V16)-'[1]Page 331'!$B22</f>
        <v>-0.12912845727413991</v>
      </c>
      <c r="X22" s="10">
        <f>LN([2]Sheet1!W17/[2]Sheet1!W16)-'[1]Page 331'!$B22</f>
        <v>-0.24145943692820371</v>
      </c>
      <c r="Y22" s="10">
        <f>LN([2]Sheet1!X17/[2]Sheet1!X16)-'[1]Page 331'!$B22</f>
        <v>-9.3982802033608537E-2</v>
      </c>
      <c r="Z22" s="10">
        <f>LN([2]Sheet1!Y17/[2]Sheet1!Y16)-'[1]Page 331'!$B22</f>
        <v>-0.11644218875636306</v>
      </c>
      <c r="AA22" s="10">
        <f>LN([2]Sheet1!Z17/[2]Sheet1!Z16)-'[1]Page 331'!$B22</f>
        <v>-0.13223238445294572</v>
      </c>
      <c r="AB22" s="10">
        <f>LN([2]Sheet1!AA17/[2]Sheet1!AA16)-'[1]Page 331'!$B22</f>
        <v>6.8645907687138238E-3</v>
      </c>
      <c r="AC22" s="10">
        <f>LN([2]Sheet1!AB17/[2]Sheet1!AB16)-'[1]Page 331'!$B22</f>
        <v>-0.20868294528756742</v>
      </c>
      <c r="AD22" s="10">
        <f>LN([2]Sheet1!AC17/[2]Sheet1!AC16)-'[1]Page 331'!$B22</f>
        <v>-5.1552884247737372E-2</v>
      </c>
      <c r="AE22" s="10">
        <f>LN([2]Sheet1!AD17/[2]Sheet1!AD16)-'[1]Page 331'!$B22</f>
        <v>-0.12313294460612428</v>
      </c>
      <c r="AF22" s="10">
        <f>LN([2]Sheet1!AE17/[2]Sheet1!AE16)-'[1]Page 331'!$B22</f>
        <v>-8.247828179766116E-2</v>
      </c>
      <c r="AG22" s="10">
        <f>LN([2]Sheet1!AF17/[2]Sheet1!AF16)-'[1]Page 331'!$B22</f>
        <v>-0.1068817338758631</v>
      </c>
    </row>
    <row r="23" spans="1:33" x14ac:dyDescent="0.25">
      <c r="A23" s="13">
        <v>37530</v>
      </c>
      <c r="B23" s="10">
        <v>1.3583333333333331E-3</v>
      </c>
      <c r="C23" s="10">
        <f>LN([2]Sheet1!B18/[2]Sheet1!B17)-'[1]Page 331'!$B23</f>
        <v>8.1556087695423815E-2</v>
      </c>
      <c r="D23" s="10">
        <f>LN([2]Sheet1!C18/[2]Sheet1!C17)-'[1]Page 331'!$B23</f>
        <v>0.13196248125370055</v>
      </c>
      <c r="E23" s="10">
        <f>LN([2]Sheet1!D18/[2]Sheet1!D17)-'[1]Page 331'!$B23</f>
        <v>0.13270929608755078</v>
      </c>
      <c r="F23" s="10">
        <f>LN([2]Sheet1!E18/[2]Sheet1!E17)-'[1]Page 331'!$B23</f>
        <v>0.15485274954350059</v>
      </c>
      <c r="G23" s="10">
        <f>LN([2]Sheet1!F18/[2]Sheet1!F17)-'[1]Page 331'!$B23</f>
        <v>-0.13878976452222458</v>
      </c>
      <c r="H23" s="10">
        <f>LN([2]Sheet1!G18/[2]Sheet1!G17)-'[1]Page 331'!$B23</f>
        <v>0.22382472467416284</v>
      </c>
      <c r="I23" s="10">
        <f>LN([2]Sheet1!H18/[2]Sheet1!H17)-'[1]Page 331'!$B23</f>
        <v>0.10079938441996945</v>
      </c>
      <c r="J23" s="10">
        <f>LN([2]Sheet1!I18/[2]Sheet1!I17)-'[1]Page 331'!$B23</f>
        <v>0.1327617678778264</v>
      </c>
      <c r="K23" s="10">
        <f>LN([2]Sheet1!J18/[2]Sheet1!J17)-'[1]Page 331'!$B23</f>
        <v>9.626413072468834E-2</v>
      </c>
      <c r="L23" s="10">
        <f>LN([2]Sheet1!K18/[2]Sheet1!K17)-'[1]Page 331'!$B23</f>
        <v>2.2557775562439427E-2</v>
      </c>
      <c r="M23" s="10">
        <f>LN([2]Sheet1!L18/[2]Sheet1!L17)-'[1]Page 331'!$B23</f>
        <v>-0.15838400533977687</v>
      </c>
      <c r="N23" s="10">
        <f>LN([2]Sheet1!M18/[2]Sheet1!M17)-'[1]Page 331'!$B23</f>
        <v>9.9898345658717844E-2</v>
      </c>
      <c r="O23" s="10">
        <f>LN([2]Sheet1!N18/[2]Sheet1!N17)-'[1]Page 331'!$B23</f>
        <v>9.8628823220493059E-2</v>
      </c>
      <c r="P23" s="10">
        <f>LN([2]Sheet1!O18/[2]Sheet1!O17)-'[1]Page 331'!$B23</f>
        <v>0.30159121124923605</v>
      </c>
      <c r="Q23" s="10">
        <f>LN([2]Sheet1!P18/[2]Sheet1!P17)-'[1]Page 331'!$B23</f>
        <v>0.30157711734152876</v>
      </c>
      <c r="R23" s="10">
        <f>LN([2]Sheet1!Q18/[2]Sheet1!Q17)-'[1]Page 331'!$B23</f>
        <v>0.21850114277968638</v>
      </c>
      <c r="S23" s="10">
        <f>LN([2]Sheet1!R18/[2]Sheet1!R17)-'[1]Page 331'!$B23</f>
        <v>8.1371234774403528E-2</v>
      </c>
      <c r="T23" s="10">
        <f>LN([2]Sheet1!S18/[2]Sheet1!S17)-'[1]Page 331'!$B23</f>
        <v>8.7103442770244802E-2</v>
      </c>
      <c r="U23" s="10">
        <f>LN([2]Sheet1!T18/[2]Sheet1!T17)-'[1]Page 331'!$B23</f>
        <v>-3.2776949014231414E-2</v>
      </c>
      <c r="V23" s="10">
        <f>LN([2]Sheet1!U18/[2]Sheet1!U17)-'[1]Page 331'!$B23</f>
        <v>2.3777639938209121E-2</v>
      </c>
      <c r="W23" s="10">
        <f>LN([2]Sheet1!V18/[2]Sheet1!V17)-'[1]Page 331'!$B23</f>
        <v>0.1421738744049289</v>
      </c>
      <c r="X23" s="10">
        <f>LN([2]Sheet1!W18/[2]Sheet1!W17)-'[1]Page 331'!$B23</f>
        <v>4.7566128125733555E-2</v>
      </c>
      <c r="Y23" s="10">
        <f>LN([2]Sheet1!X18/[2]Sheet1!X17)-'[1]Page 331'!$B23</f>
        <v>0.1697598797506284</v>
      </c>
      <c r="Z23" s="10">
        <f>LN([2]Sheet1!Y18/[2]Sheet1!Y17)-'[1]Page 331'!$B23</f>
        <v>0.1994557415827877</v>
      </c>
      <c r="AA23" s="10">
        <f>LN([2]Sheet1!Z18/[2]Sheet1!Z17)-'[1]Page 331'!$B23</f>
        <v>8.9268319761115975E-2</v>
      </c>
      <c r="AB23" s="10">
        <f>LN([2]Sheet1!AA18/[2]Sheet1!AA17)-'[1]Page 331'!$B23</f>
        <v>-7.3918981556867569E-3</v>
      </c>
      <c r="AC23" s="10">
        <f>LN([2]Sheet1!AB18/[2]Sheet1!AB17)-'[1]Page 331'!$B23</f>
        <v>0.25552335761272654</v>
      </c>
      <c r="AD23" s="10">
        <f>LN([2]Sheet1!AC18/[2]Sheet1!AC17)-'[1]Page 331'!$B23</f>
        <v>8.6373064974989144E-2</v>
      </c>
      <c r="AE23" s="10">
        <f>LN([2]Sheet1!AD18/[2]Sheet1!AD17)-'[1]Page 331'!$B23</f>
        <v>0.32969788481955048</v>
      </c>
      <c r="AF23" s="10">
        <f>LN([2]Sheet1!AE18/[2]Sheet1!AE17)-'[1]Page 331'!$B23</f>
        <v>8.2486814098246874E-2</v>
      </c>
      <c r="AG23" s="10">
        <f>LN([2]Sheet1!AF18/[2]Sheet1!AF17)-'[1]Page 331'!$B23</f>
        <v>5.2312270001007057E-2</v>
      </c>
    </row>
    <row r="24" spans="1:33" x14ac:dyDescent="0.25">
      <c r="A24" s="13">
        <v>37561</v>
      </c>
      <c r="B24" s="10">
        <v>1.3166666666666667E-3</v>
      </c>
      <c r="C24" s="10">
        <f>LN([2]Sheet1!B19/[2]Sheet1!B18)-'[1]Page 331'!$B24</f>
        <v>5.4183918009445553E-2</v>
      </c>
      <c r="D24" s="10">
        <f>LN([2]Sheet1!C19/[2]Sheet1!C18)-'[1]Page 331'!$B24</f>
        <v>0.15192099557425387</v>
      </c>
      <c r="E24" s="10">
        <f>LN([2]Sheet1!D19/[2]Sheet1!D18)-'[1]Page 331'!$B24</f>
        <v>3.9446588977246302E-2</v>
      </c>
      <c r="F24" s="10">
        <f>LN([2]Sheet1!E19/[2]Sheet1!E18)-'[1]Page 331'!$B24</f>
        <v>6.6830868748877045E-2</v>
      </c>
      <c r="G24" s="10">
        <f>LN([2]Sheet1!F19/[2]Sheet1!F18)-'[1]Page 331'!$B24</f>
        <v>0.13924172141660077</v>
      </c>
      <c r="H24" s="10">
        <f>LN([2]Sheet1!G19/[2]Sheet1!G18)-'[1]Page 331'!$B24</f>
        <v>4.9584157113403582E-2</v>
      </c>
      <c r="I24" s="10">
        <f>LN([2]Sheet1!H19/[2]Sheet1!H18)-'[1]Page 331'!$B24</f>
        <v>0.19921085462386051</v>
      </c>
      <c r="J24" s="10">
        <f>LN([2]Sheet1!I19/[2]Sheet1!I18)-'[1]Page 331'!$B24</f>
        <v>8.5442916289151474E-2</v>
      </c>
      <c r="K24" s="10">
        <f>LN([2]Sheet1!J19/[2]Sheet1!J18)-'[1]Page 331'!$B24</f>
        <v>0.17033644881036444</v>
      </c>
      <c r="L24" s="10">
        <f>LN([2]Sheet1!K19/[2]Sheet1!K18)-'[1]Page 331'!$B24</f>
        <v>7.0444070233649209E-2</v>
      </c>
      <c r="M24" s="10">
        <f>LN([2]Sheet1!L19/[2]Sheet1!L18)-'[1]Page 331'!$B24</f>
        <v>0.1904870910059645</v>
      </c>
      <c r="N24" s="10">
        <f>LN([2]Sheet1!M19/[2]Sheet1!M18)-'[1]Page 331'!$B24</f>
        <v>-9.110850373254456E-2</v>
      </c>
      <c r="O24" s="10">
        <f>LN([2]Sheet1!N19/[2]Sheet1!N18)-'[1]Page 331'!$B24</f>
        <v>8.9575550714768012E-2</v>
      </c>
      <c r="P24" s="10">
        <f>LN([2]Sheet1!O19/[2]Sheet1!O18)-'[1]Page 331'!$B24</f>
        <v>0.20836773127353825</v>
      </c>
      <c r="Q24" s="10">
        <f>LN([2]Sheet1!P19/[2]Sheet1!P18)-'[1]Page 331'!$B24</f>
        <v>9.6832989683248952E-2</v>
      </c>
      <c r="R24" s="10">
        <f>LN([2]Sheet1!Q19/[2]Sheet1!Q18)-'[1]Page 331'!$B24</f>
        <v>0.18776033008393697</v>
      </c>
      <c r="S24" s="10">
        <f>LN([2]Sheet1!R19/[2]Sheet1!R18)-'[1]Page 331'!$B24</f>
        <v>-2.7826699981922644E-2</v>
      </c>
      <c r="T24" s="10">
        <f>LN([2]Sheet1!S19/[2]Sheet1!S18)-'[1]Page 331'!$B24</f>
        <v>0.19203056107194749</v>
      </c>
      <c r="U24" s="10">
        <f>LN([2]Sheet1!T19/[2]Sheet1!T18)-'[1]Page 331'!$B24</f>
        <v>-1.5259938761632862E-2</v>
      </c>
      <c r="V24" s="10">
        <f>LN([2]Sheet1!U19/[2]Sheet1!U18)-'[1]Page 331'!$B24</f>
        <v>3.3530064663501433E-2</v>
      </c>
      <c r="W24" s="10">
        <f>LN([2]Sheet1!V19/[2]Sheet1!V18)-'[1]Page 331'!$B24</f>
        <v>2.6164955564802393E-2</v>
      </c>
      <c r="X24" s="10">
        <f>LN([2]Sheet1!W19/[2]Sheet1!W18)-'[1]Page 331'!$B24</f>
        <v>-7.8528410667492929E-2</v>
      </c>
      <c r="Y24" s="10">
        <f>LN([2]Sheet1!X19/[2]Sheet1!X18)-'[1]Page 331'!$B24</f>
        <v>8.9723686886249529E-2</v>
      </c>
      <c r="Z24" s="10">
        <f>LN([2]Sheet1!Y19/[2]Sheet1!Y18)-'[1]Page 331'!$B24</f>
        <v>7.4448917064687883E-2</v>
      </c>
      <c r="AA24" s="10">
        <f>LN([2]Sheet1!Z19/[2]Sheet1!Z18)-'[1]Page 331'!$B24</f>
        <v>-5.1209251022008868E-3</v>
      </c>
      <c r="AB24" s="10">
        <f>LN([2]Sheet1!AA19/[2]Sheet1!AA18)-'[1]Page 331'!$B24</f>
        <v>-4.6627053510059163E-2</v>
      </c>
      <c r="AC24" s="10">
        <f>LN([2]Sheet1!AB19/[2]Sheet1!AB18)-'[1]Page 331'!$B24</f>
        <v>0.10385425756012433</v>
      </c>
      <c r="AD24" s="10">
        <f>LN([2]Sheet1!AC19/[2]Sheet1!AC18)-'[1]Page 331'!$B24</f>
        <v>1.5748593887520264E-2</v>
      </c>
      <c r="AE24" s="10">
        <f>LN([2]Sheet1!AD19/[2]Sheet1!AD18)-'[1]Page 331'!$B24</f>
        <v>0.10235703385968008</v>
      </c>
      <c r="AF24" s="10">
        <f>LN([2]Sheet1!AE19/[2]Sheet1!AE18)-'[1]Page 331'!$B24</f>
        <v>5.2508670804185488E-3</v>
      </c>
      <c r="AG24" s="10">
        <f>LN([2]Sheet1!AF19/[2]Sheet1!AF18)-'[1]Page 331'!$B24</f>
        <v>3.8453167906163835E-2</v>
      </c>
    </row>
    <row r="25" spans="1:33" x14ac:dyDescent="0.25">
      <c r="A25" s="13">
        <v>37592</v>
      </c>
      <c r="B25" s="10">
        <v>1.0250000000000001E-3</v>
      </c>
      <c r="C25" s="10">
        <f>LN([2]Sheet1!B20/[2]Sheet1!B19)-'[1]Page 331'!$B25</f>
        <v>-6.3254277129875441E-2</v>
      </c>
      <c r="D25" s="10">
        <f>LN([2]Sheet1!C20/[2]Sheet1!C19)-'[1]Page 331'!$B25</f>
        <v>-0.11570366863723777</v>
      </c>
      <c r="E25" s="10">
        <f>LN([2]Sheet1!D20/[2]Sheet1!D19)-'[1]Page 331'!$B25</f>
        <v>-0.11910178180307766</v>
      </c>
      <c r="F25" s="10">
        <f>LN([2]Sheet1!E20/[2]Sheet1!E19)-'[1]Page 331'!$B25</f>
        <v>-9.5182232075042575E-2</v>
      </c>
      <c r="G25" s="10">
        <f>LN([2]Sheet1!F20/[2]Sheet1!F19)-'[1]Page 331'!$B25</f>
        <v>-3.2743485160777942E-2</v>
      </c>
      <c r="H25" s="10">
        <f>LN([2]Sheet1!G20/[2]Sheet1!G19)-'[1]Page 331'!$B25</f>
        <v>-0.10079145110465264</v>
      </c>
      <c r="I25" s="10">
        <f>LN([2]Sheet1!H20/[2]Sheet1!H19)-'[1]Page 331'!$B25</f>
        <v>-8.850509037997803E-2</v>
      </c>
      <c r="J25" s="10">
        <f>LN([2]Sheet1!I20/[2]Sheet1!I19)-'[1]Page 331'!$B25</f>
        <v>-5.1907505202755853E-2</v>
      </c>
      <c r="K25" s="10">
        <f>LN([2]Sheet1!J20/[2]Sheet1!J19)-'[1]Page 331'!$B25</f>
        <v>-0.18397767073096441</v>
      </c>
      <c r="L25" s="10">
        <f>LN([2]Sheet1!K20/[2]Sheet1!K19)-'[1]Page 331'!$B25</f>
        <v>-0.10119421633419347</v>
      </c>
      <c r="M25" s="10">
        <f>LN([2]Sheet1!L20/[2]Sheet1!L19)-'[1]Page 331'!$B25</f>
        <v>-7.5086437799726735E-2</v>
      </c>
      <c r="N25" s="10">
        <f>LN([2]Sheet1!M20/[2]Sheet1!M19)-'[1]Page 331'!$B25</f>
        <v>-9.3195459799657224E-2</v>
      </c>
      <c r="O25" s="10">
        <f>LN([2]Sheet1!N20/[2]Sheet1!N19)-'[1]Page 331'!$B25</f>
        <v>-8.1450682697801313E-2</v>
      </c>
      <c r="P25" s="10">
        <f>LN([2]Sheet1!O20/[2]Sheet1!O19)-'[1]Page 331'!$B25</f>
        <v>-0.11212311255449942</v>
      </c>
      <c r="Q25" s="10">
        <f>LN([2]Sheet1!P20/[2]Sheet1!P19)-'[1]Page 331'!$B25</f>
        <v>-0.11580211781040728</v>
      </c>
      <c r="R25" s="10">
        <f>LN([2]Sheet1!Q20/[2]Sheet1!Q19)-'[1]Page 331'!$B25</f>
        <v>-0.29466538203541154</v>
      </c>
      <c r="S25" s="10">
        <f>LN([2]Sheet1!R20/[2]Sheet1!R19)-'[1]Page 331'!$B25</f>
        <v>-6.0828054454518603E-2</v>
      </c>
      <c r="T25" s="10">
        <f>LN([2]Sheet1!S20/[2]Sheet1!S19)-'[1]Page 331'!$B25</f>
        <v>-4.8818832399136002E-2</v>
      </c>
      <c r="U25" s="10">
        <f>LN([2]Sheet1!T20/[2]Sheet1!T19)-'[1]Page 331'!$B25</f>
        <v>-4.1083760552005098E-2</v>
      </c>
      <c r="V25" s="10">
        <f>LN([2]Sheet1!U20/[2]Sheet1!U19)-'[1]Page 331'!$B25</f>
        <v>-0.14110091860117491</v>
      </c>
      <c r="W25" s="10">
        <f>LN([2]Sheet1!V20/[2]Sheet1!V19)-'[1]Page 331'!$B25</f>
        <v>-5.2753360742031005E-2</v>
      </c>
      <c r="X25" s="10">
        <f>LN([2]Sheet1!W20/[2]Sheet1!W19)-'[1]Page 331'!$B25</f>
        <v>8.6577218956596466E-2</v>
      </c>
      <c r="Y25" s="10">
        <f>LN([2]Sheet1!X20/[2]Sheet1!X19)-'[1]Page 331'!$B25</f>
        <v>-4.3039160672714565E-2</v>
      </c>
      <c r="Z25" s="10">
        <f>LN([2]Sheet1!Y20/[2]Sheet1!Y19)-'[1]Page 331'!$B25</f>
        <v>-0.11046969073922956</v>
      </c>
      <c r="AA25" s="10">
        <f>LN([2]Sheet1!Z20/[2]Sheet1!Z19)-'[1]Page 331'!$B25</f>
        <v>-3.199158410838962E-2</v>
      </c>
      <c r="AB25" s="10">
        <f>LN([2]Sheet1!AA20/[2]Sheet1!AA19)-'[1]Page 331'!$B25</f>
        <v>1.5554128802911264E-2</v>
      </c>
      <c r="AC25" s="10">
        <f>LN([2]Sheet1!AB20/[2]Sheet1!AB19)-'[1]Page 331'!$B25</f>
        <v>-5.0882286242738793E-2</v>
      </c>
      <c r="AD25" s="10">
        <f>LN([2]Sheet1!AC20/[2]Sheet1!AC19)-'[1]Page 331'!$B25</f>
        <v>-9.8625830124651065E-3</v>
      </c>
      <c r="AE25" s="10">
        <f>LN([2]Sheet1!AD20/[2]Sheet1!AD19)-'[1]Page 331'!$B25</f>
        <v>-7.8819252538525994E-2</v>
      </c>
      <c r="AF25" s="10">
        <f>LN([2]Sheet1!AE20/[2]Sheet1!AE19)-'[1]Page 331'!$B25</f>
        <v>-6.4614158037542183E-2</v>
      </c>
      <c r="AG25" s="10">
        <f>LN([2]Sheet1!AF20/[2]Sheet1!AF19)-'[1]Page 331'!$B25</f>
        <v>3.0216981293098386E-3</v>
      </c>
    </row>
    <row r="26" spans="1:33" x14ac:dyDescent="0.25">
      <c r="A26" s="13">
        <v>37623</v>
      </c>
      <c r="B26" s="10">
        <v>9.9166666666666652E-4</v>
      </c>
      <c r="C26" s="10">
        <f>LN([2]Sheet1!B21/[2]Sheet1!B20)-'[1]Page 331'!$B26</f>
        <v>-2.878916033808963E-2</v>
      </c>
      <c r="D26" s="10">
        <f>LN([2]Sheet1!C21/[2]Sheet1!C20)-'[1]Page 331'!$B26</f>
        <v>-0.1424571869666092</v>
      </c>
      <c r="E26" s="10">
        <f>LN([2]Sheet1!D21/[2]Sheet1!D20)-'[1]Page 331'!$B26</f>
        <v>-6.7683041165338825E-2</v>
      </c>
      <c r="F26" s="10">
        <f>LN([2]Sheet1!E21/[2]Sheet1!E20)-'[1]Page 331'!$B26</f>
        <v>3.999193801091554E-3</v>
      </c>
      <c r="G26" s="10">
        <f>LN([2]Sheet1!F21/[2]Sheet1!F20)-'[1]Page 331'!$B26</f>
        <v>-4.4462455652439239E-2</v>
      </c>
      <c r="H26" s="10">
        <f>LN([2]Sheet1!G21/[2]Sheet1!G20)-'[1]Page 331'!$B26</f>
        <v>-1.954626166877748E-2</v>
      </c>
      <c r="I26" s="10">
        <f>LN([2]Sheet1!H21/[2]Sheet1!H20)-'[1]Page 331'!$B26</f>
        <v>-3.2422825456248777E-2</v>
      </c>
      <c r="J26" s="10">
        <f>LN([2]Sheet1!I21/[2]Sheet1!I20)-'[1]Page 331'!$B26</f>
        <v>-0.11391767736110153</v>
      </c>
      <c r="K26" s="10">
        <f>LN([2]Sheet1!J21/[2]Sheet1!J20)-'[1]Page 331'!$B26</f>
        <v>6.9683291003269698E-2</v>
      </c>
      <c r="L26" s="10">
        <f>LN([2]Sheet1!K21/[2]Sheet1!K20)-'[1]Page 331'!$B26</f>
        <v>-5.2261264090981911E-2</v>
      </c>
      <c r="M26" s="10">
        <f>LN([2]Sheet1!L21/[2]Sheet1!L20)-'[1]Page 331'!$B26</f>
        <v>-1.5427612899608147E-2</v>
      </c>
      <c r="N26" s="10">
        <f>LN([2]Sheet1!M21/[2]Sheet1!M20)-'[1]Page 331'!$B26</f>
        <v>-0.13995651301418477</v>
      </c>
      <c r="O26" s="10">
        <f>LN([2]Sheet1!N21/[2]Sheet1!N20)-'[1]Page 331'!$B26</f>
        <v>1.6954081872531678E-2</v>
      </c>
      <c r="P26" s="10">
        <f>LN([2]Sheet1!O21/[2]Sheet1!O20)-'[1]Page 331'!$B26</f>
        <v>2.0322243584102529E-3</v>
      </c>
      <c r="Q26" s="10">
        <f>LN([2]Sheet1!P21/[2]Sheet1!P20)-'[1]Page 331'!$B26</f>
        <v>8.0162098471937941E-3</v>
      </c>
      <c r="R26" s="10">
        <f>LN([2]Sheet1!Q21/[2]Sheet1!Q20)-'[1]Page 331'!$B26</f>
        <v>4.9666429169639582E-3</v>
      </c>
      <c r="S26" s="10">
        <f>LN([2]Sheet1!R21/[2]Sheet1!R20)-'[1]Page 331'!$B26</f>
        <v>-2.788253635584445E-3</v>
      </c>
      <c r="T26" s="10">
        <f>LN([2]Sheet1!S21/[2]Sheet1!S20)-'[1]Page 331'!$B26</f>
        <v>-2.8945294012695282E-2</v>
      </c>
      <c r="U26" s="10">
        <f>LN([2]Sheet1!T21/[2]Sheet1!T20)-'[1]Page 331'!$B26</f>
        <v>-8.1158236358073704E-2</v>
      </c>
      <c r="V26" s="10">
        <f>LN([2]Sheet1!U21/[2]Sheet1!U20)-'[1]Page 331'!$B26</f>
        <v>-0.12231016335407262</v>
      </c>
      <c r="W26" s="10">
        <f>LN([2]Sheet1!V21/[2]Sheet1!V20)-'[1]Page 331'!$B26</f>
        <v>9.0534472410854459E-3</v>
      </c>
      <c r="X26" s="10">
        <f>LN([2]Sheet1!W21/[2]Sheet1!W20)-'[1]Page 331'!$B26</f>
        <v>-6.8803900472202736E-2</v>
      </c>
      <c r="Y26" s="10">
        <f>LN([2]Sheet1!X21/[2]Sheet1!X20)-'[1]Page 331'!$B26</f>
        <v>-2.2899060530975766E-2</v>
      </c>
      <c r="Z26" s="10">
        <f>LN([2]Sheet1!Y21/[2]Sheet1!Y20)-'[1]Page 331'!$B26</f>
        <v>-8.6386751078794968E-2</v>
      </c>
      <c r="AA26" s="10">
        <f>LN([2]Sheet1!Z21/[2]Sheet1!Z20)-'[1]Page 331'!$B26</f>
        <v>-2.7802559469163866E-3</v>
      </c>
      <c r="AB26" s="10">
        <f>LN([2]Sheet1!AA21/[2]Sheet1!AA20)-'[1]Page 331'!$B26</f>
        <v>-4.9353465138518929E-4</v>
      </c>
      <c r="AC26" s="10">
        <f>LN([2]Sheet1!AB21/[2]Sheet1!AB20)-'[1]Page 331'!$B26</f>
        <v>-9.5943166409757349E-2</v>
      </c>
      <c r="AD26" s="10">
        <f>LN([2]Sheet1!AC21/[2]Sheet1!AC20)-'[1]Page 331'!$B26</f>
        <v>2.5290169494128972E-2</v>
      </c>
      <c r="AE26" s="10">
        <f>LN([2]Sheet1!AD21/[2]Sheet1!AD20)-'[1]Page 331'!$B26</f>
        <v>-4.3427741439226435E-3</v>
      </c>
      <c r="AF26" s="10">
        <f>LN([2]Sheet1!AE21/[2]Sheet1!AE20)-'[1]Page 331'!$B26</f>
        <v>-5.6028217293997692E-2</v>
      </c>
      <c r="AG26" s="10">
        <f>LN([2]Sheet1!AF21/[2]Sheet1!AF20)-'[1]Page 331'!$B26</f>
        <v>-2.393061434725164E-2</v>
      </c>
    </row>
    <row r="27" spans="1:33" x14ac:dyDescent="0.25">
      <c r="A27" s="13">
        <v>37655</v>
      </c>
      <c r="B27" s="10">
        <v>9.7499999999999985E-4</v>
      </c>
      <c r="C27" s="10">
        <f>LN([2]Sheet1!B22/[2]Sheet1!B21)-'[1]Page 331'!$B27</f>
        <v>-1.8124844258839787E-2</v>
      </c>
      <c r="D27" s="10">
        <f>LN([2]Sheet1!C22/[2]Sheet1!C21)-'[1]Page 331'!$B27</f>
        <v>4.2718684262947747E-2</v>
      </c>
      <c r="E27" s="10">
        <f>LN([2]Sheet1!D22/[2]Sheet1!D21)-'[1]Page 331'!$B27</f>
        <v>-9.4534310982810996E-2</v>
      </c>
      <c r="F27" s="10">
        <f>LN([2]Sheet1!E22/[2]Sheet1!E21)-'[1]Page 331'!$B27</f>
        <v>-5.729426659843477E-2</v>
      </c>
      <c r="G27" s="10">
        <f>LN([2]Sheet1!F22/[2]Sheet1!F21)-'[1]Page 331'!$B27</f>
        <v>-0.13205711777781726</v>
      </c>
      <c r="H27" s="10">
        <f>LN([2]Sheet1!G22/[2]Sheet1!G21)-'[1]Page 331'!$B27</f>
        <v>-3.0798609660282947E-2</v>
      </c>
      <c r="I27" s="10">
        <f>LN([2]Sheet1!H22/[2]Sheet1!H21)-'[1]Page 331'!$B27</f>
        <v>6.5466643738348762E-2</v>
      </c>
      <c r="J27" s="10">
        <f>LN([2]Sheet1!I22/[2]Sheet1!I21)-'[1]Page 331'!$B27</f>
        <v>-2.3778268297453029E-2</v>
      </c>
      <c r="K27" s="10">
        <f>LN([2]Sheet1!J22/[2]Sheet1!J21)-'[1]Page 331'!$B27</f>
        <v>-2.6594512617744513E-2</v>
      </c>
      <c r="L27" s="10">
        <f>LN([2]Sheet1!K22/[2]Sheet1!K21)-'[1]Page 331'!$B27</f>
        <v>4.5781954387334005E-2</v>
      </c>
      <c r="M27" s="10">
        <f>LN([2]Sheet1!L22/[2]Sheet1!L21)-'[1]Page 331'!$B27</f>
        <v>-6.0196112814114751E-2</v>
      </c>
      <c r="N27" s="10">
        <f>LN([2]Sheet1!M22/[2]Sheet1!M21)-'[1]Page 331'!$B27</f>
        <v>0.11399741960429671</v>
      </c>
      <c r="O27" s="10">
        <f>LN([2]Sheet1!N22/[2]Sheet1!N21)-'[1]Page 331'!$B27</f>
        <v>-5.8159569597486228E-2</v>
      </c>
      <c r="P27" s="10">
        <f>LN([2]Sheet1!O22/[2]Sheet1!O21)-'[1]Page 331'!$B27</f>
        <v>-9.4595786377303578E-2</v>
      </c>
      <c r="Q27" s="10">
        <f>LN([2]Sheet1!P22/[2]Sheet1!P21)-'[1]Page 331'!$B27</f>
        <v>-2.1625702391953844E-3</v>
      </c>
      <c r="R27" s="10">
        <f>LN([2]Sheet1!Q22/[2]Sheet1!Q21)-'[1]Page 331'!$B27</f>
        <v>9.7031810651924275E-2</v>
      </c>
      <c r="S27" s="10">
        <f>LN([2]Sheet1!R22/[2]Sheet1!R21)-'[1]Page 331'!$B27</f>
        <v>-1.8713824337381519E-2</v>
      </c>
      <c r="T27" s="10">
        <f>LN([2]Sheet1!S22/[2]Sheet1!S21)-'[1]Page 331'!$B27</f>
        <v>-2.9732559295052533E-2</v>
      </c>
      <c r="U27" s="10">
        <f>LN([2]Sheet1!T22/[2]Sheet1!T21)-'[1]Page 331'!$B27</f>
        <v>-7.1669702479209953E-3</v>
      </c>
      <c r="V27" s="10">
        <f>LN([2]Sheet1!U22/[2]Sheet1!U21)-'[1]Page 331'!$B27</f>
        <v>-4.6471853268568515E-2</v>
      </c>
      <c r="W27" s="10">
        <f>LN([2]Sheet1!V22/[2]Sheet1!V21)-'[1]Page 331'!$B27</f>
        <v>1.0845266103743152E-2</v>
      </c>
      <c r="X27" s="10">
        <f>LN([2]Sheet1!W22/[2]Sheet1!W21)-'[1]Page 331'!$B27</f>
        <v>1.9360441870730667E-2</v>
      </c>
      <c r="Y27" s="10">
        <f>LN([2]Sheet1!X22/[2]Sheet1!X21)-'[1]Page 331'!$B27</f>
        <v>-4.9732269973609952E-2</v>
      </c>
      <c r="Z27" s="10">
        <f>LN([2]Sheet1!Y22/[2]Sheet1!Y21)-'[1]Page 331'!$B27</f>
        <v>9.6110902686640084E-4</v>
      </c>
      <c r="AA27" s="10">
        <f>LN([2]Sheet1!Z22/[2]Sheet1!Z21)-'[1]Page 331'!$B27</f>
        <v>-1.9039075007573496E-2</v>
      </c>
      <c r="AB27" s="10">
        <f>LN([2]Sheet1!AA22/[2]Sheet1!AA21)-'[1]Page 331'!$B27</f>
        <v>-4.5268318043063006E-2</v>
      </c>
      <c r="AC27" s="10">
        <f>LN([2]Sheet1!AB22/[2]Sheet1!AB21)-'[1]Page 331'!$B27</f>
        <v>-0.1622184930677005</v>
      </c>
      <c r="AD27" s="10">
        <f>LN([2]Sheet1!AC22/[2]Sheet1!AC21)-'[1]Page 331'!$B27</f>
        <v>-7.9107328754564263E-2</v>
      </c>
      <c r="AE27" s="10">
        <f>LN([2]Sheet1!AD22/[2]Sheet1!AD21)-'[1]Page 331'!$B27</f>
        <v>-0.10271410138070855</v>
      </c>
      <c r="AF27" s="10">
        <f>LN([2]Sheet1!AE22/[2]Sheet1!AE21)-'[1]Page 331'!$B27</f>
        <v>4.429834257656369E-3</v>
      </c>
      <c r="AG27" s="10">
        <f>LN([2]Sheet1!AF22/[2]Sheet1!AF21)-'[1]Page 331'!$B27</f>
        <v>1.8816913570903976E-3</v>
      </c>
    </row>
    <row r="28" spans="1:33" x14ac:dyDescent="0.25">
      <c r="A28" s="13">
        <v>37683</v>
      </c>
      <c r="B28" s="10">
        <v>9.7499999999999985E-4</v>
      </c>
      <c r="C28" s="10">
        <f>LN([2]Sheet1!B23/[2]Sheet1!B22)-'[1]Page 331'!$B28</f>
        <v>7.3478742528296625E-3</v>
      </c>
      <c r="D28" s="10">
        <f>LN([2]Sheet1!C23/[2]Sheet1!C22)-'[1]Page 331'!$B28</f>
        <v>-5.6723624768301541E-2</v>
      </c>
      <c r="E28" s="10">
        <f>LN([2]Sheet1!D23/[2]Sheet1!D22)-'[1]Page 331'!$B28</f>
        <v>3.3607144414625604E-3</v>
      </c>
      <c r="F28" s="10">
        <f>LN([2]Sheet1!E23/[2]Sheet1!E22)-'[1]Page 331'!$B28</f>
        <v>-1.1564580073240927E-2</v>
      </c>
      <c r="G28" s="10">
        <f>LN([2]Sheet1!F23/[2]Sheet1!F22)-'[1]Page 331'!$B28</f>
        <v>-9.5901523555613502E-2</v>
      </c>
      <c r="H28" s="10">
        <f>LN([2]Sheet1!G23/[2]Sheet1!G22)-'[1]Page 331'!$B28</f>
        <v>3.1750433395712575E-2</v>
      </c>
      <c r="I28" s="10">
        <f>LN([2]Sheet1!H23/[2]Sheet1!H22)-'[1]Page 331'!$B28</f>
        <v>4.4598026372150872E-2</v>
      </c>
      <c r="J28" s="10">
        <f>LN([2]Sheet1!I23/[2]Sheet1!I22)-'[1]Page 331'!$B28</f>
        <v>5.7093470022885257E-2</v>
      </c>
      <c r="K28" s="10">
        <f>LN([2]Sheet1!J23/[2]Sheet1!J22)-'[1]Page 331'!$B28</f>
        <v>-3.3919196055386563E-3</v>
      </c>
      <c r="L28" s="10">
        <f>LN([2]Sheet1!K23/[2]Sheet1!K22)-'[1]Page 331'!$B28</f>
        <v>5.7438969839456996E-2</v>
      </c>
      <c r="M28" s="10">
        <f>LN([2]Sheet1!L23/[2]Sheet1!L22)-'[1]Page 331'!$B28</f>
        <v>-5.5436250612152915E-3</v>
      </c>
      <c r="N28" s="10">
        <f>LN([2]Sheet1!M23/[2]Sheet1!M22)-'[1]Page 331'!$B28</f>
        <v>3.9688041490540754E-2</v>
      </c>
      <c r="O28" s="10">
        <f>LN([2]Sheet1!N23/[2]Sheet1!N22)-'[1]Page 331'!$B28</f>
        <v>-7.0169667471896069E-2</v>
      </c>
      <c r="P28" s="10">
        <f>LN([2]Sheet1!O23/[2]Sheet1!O22)-'[1]Page 331'!$B28</f>
        <v>-1.4998602107746367E-2</v>
      </c>
      <c r="Q28" s="10">
        <f>LN([2]Sheet1!P23/[2]Sheet1!P22)-'[1]Page 331'!$B28</f>
        <v>5.0800402189520241E-3</v>
      </c>
      <c r="R28" s="10">
        <f>LN([2]Sheet1!Q23/[2]Sheet1!Q22)-'[1]Page 331'!$B28</f>
        <v>-5.8872941632355361E-2</v>
      </c>
      <c r="S28" s="10">
        <f>LN([2]Sheet1!R23/[2]Sheet1!R22)-'[1]Page 331'!$B28</f>
        <v>9.7344310996720987E-2</v>
      </c>
      <c r="T28" s="10">
        <f>LN([2]Sheet1!S23/[2]Sheet1!S22)-'[1]Page 331'!$B28</f>
        <v>4.3782900641493629E-2</v>
      </c>
      <c r="U28" s="10">
        <f>LN([2]Sheet1!T23/[2]Sheet1!T22)-'[1]Page 331'!$B28</f>
        <v>1.1370835822299362E-2</v>
      </c>
      <c r="V28" s="10">
        <f>LN([2]Sheet1!U23/[2]Sheet1!U22)-'[1]Page 331'!$B28</f>
        <v>5.9969015882983215E-2</v>
      </c>
      <c r="W28" s="10">
        <f>LN([2]Sheet1!V23/[2]Sheet1!V22)-'[1]Page 331'!$B28</f>
        <v>3.5641980542133161E-2</v>
      </c>
      <c r="X28" s="10">
        <f>LN([2]Sheet1!W23/[2]Sheet1!W22)-'[1]Page 331'!$B28</f>
        <v>-0.23783875406622115</v>
      </c>
      <c r="Y28" s="10">
        <f>LN([2]Sheet1!X23/[2]Sheet1!X22)-'[1]Page 331'!$B28</f>
        <v>4.3827090130681895E-2</v>
      </c>
      <c r="Z28" s="10">
        <f>LN([2]Sheet1!Y23/[2]Sheet1!Y22)-'[1]Page 331'!$B28</f>
        <v>2.0078409197832481E-2</v>
      </c>
      <c r="AA28" s="10">
        <f>LN([2]Sheet1!Z23/[2]Sheet1!Z22)-'[1]Page 331'!$B28</f>
        <v>4.2890117450513923E-2</v>
      </c>
      <c r="AB28" s="10">
        <f>LN([2]Sheet1!AA23/[2]Sheet1!AA22)-'[1]Page 331'!$B28</f>
        <v>8.3103919119413339E-2</v>
      </c>
      <c r="AC28" s="10">
        <f>LN([2]Sheet1!AB23/[2]Sheet1!AB22)-'[1]Page 331'!$B28</f>
        <v>-3.6956469228829281E-2</v>
      </c>
      <c r="AD28" s="10">
        <f>LN([2]Sheet1!AC23/[2]Sheet1!AC22)-'[1]Page 331'!$B28</f>
        <v>-1.4733363296361586E-2</v>
      </c>
      <c r="AE28" s="10">
        <f>LN([2]Sheet1!AD23/[2]Sheet1!AD22)-'[1]Page 331'!$B28</f>
        <v>2.107734703019511E-2</v>
      </c>
      <c r="AF28" s="10">
        <f>LN([2]Sheet1!AE23/[2]Sheet1!AE22)-'[1]Page 331'!$B28</f>
        <v>8.01617452783078E-2</v>
      </c>
      <c r="AG28" s="10">
        <f>LN([2]Sheet1!AF23/[2]Sheet1!AF22)-'[1]Page 331'!$B28</f>
        <v>2.6226927320307937E-2</v>
      </c>
    </row>
    <row r="29" spans="1:33" x14ac:dyDescent="0.25">
      <c r="A29" s="13">
        <v>37712</v>
      </c>
      <c r="B29" s="10">
        <v>9.4166666666666661E-4</v>
      </c>
      <c r="C29" s="10">
        <f>LN([2]Sheet1!B24/[2]Sheet1!B23)-'[1]Page 331'!$B29</f>
        <v>7.6985683362810073E-2</v>
      </c>
      <c r="D29" s="10">
        <f>LN([2]Sheet1!C24/[2]Sheet1!C23)-'[1]Page 331'!$B29</f>
        <v>0.17363220333646212</v>
      </c>
      <c r="E29" s="10">
        <f>LN([2]Sheet1!D24/[2]Sheet1!D23)-'[1]Page 331'!$B29</f>
        <v>0.15761391852986345</v>
      </c>
      <c r="F29" s="10">
        <f>LN([2]Sheet1!E24/[2]Sheet1!E23)-'[1]Page 331'!$B29</f>
        <v>0.13179096842703636</v>
      </c>
      <c r="G29" s="10">
        <f>LN([2]Sheet1!F24/[2]Sheet1!F23)-'[1]Page 331'!$B29</f>
        <v>8.395777711981961E-2</v>
      </c>
      <c r="H29" s="10">
        <f>LN([2]Sheet1!G24/[2]Sheet1!G23)-'[1]Page 331'!$B29</f>
        <v>0.12956680997016432</v>
      </c>
      <c r="I29" s="10">
        <f>LN([2]Sheet1!H24/[2]Sheet1!H23)-'[1]Page 331'!$B29</f>
        <v>7.2424557400135162E-2</v>
      </c>
      <c r="J29" s="10">
        <f>LN([2]Sheet1!I24/[2]Sheet1!I23)-'[1]Page 331'!$B29</f>
        <v>8.9357541174058766E-2</v>
      </c>
      <c r="K29" s="10">
        <f>LN([2]Sheet1!J24/[2]Sheet1!J23)-'[1]Page 331'!$B29</f>
        <v>9.1449446267160006E-2</v>
      </c>
      <c r="L29" s="10">
        <f>LN([2]Sheet1!K24/[2]Sheet1!K23)-'[1]Page 331'!$B29</f>
        <v>0.14304047225073122</v>
      </c>
      <c r="M29" s="10">
        <f>LN([2]Sheet1!L24/[2]Sheet1!L23)-'[1]Page 331'!$B29</f>
        <v>6.9107357004359535E-2</v>
      </c>
      <c r="N29" s="10">
        <f>LN([2]Sheet1!M24/[2]Sheet1!M23)-'[1]Page 331'!$B29</f>
        <v>0.1429219211950612</v>
      </c>
      <c r="O29" s="10">
        <f>LN([2]Sheet1!N24/[2]Sheet1!N23)-'[1]Page 331'!$B29</f>
        <v>9.8853441253946531E-2</v>
      </c>
      <c r="P29" s="10">
        <f>LN([2]Sheet1!O24/[2]Sheet1!O23)-'[1]Page 331'!$B29</f>
        <v>4.570061330387197E-2</v>
      </c>
      <c r="Q29" s="10">
        <f>LN([2]Sheet1!P24/[2]Sheet1!P23)-'[1]Page 331'!$B29</f>
        <v>7.8373944513372887E-2</v>
      </c>
      <c r="R29" s="10">
        <f>LN([2]Sheet1!Q24/[2]Sheet1!Q23)-'[1]Page 331'!$B29</f>
        <v>0.12127035440104968</v>
      </c>
      <c r="S29" s="10">
        <f>LN([2]Sheet1!R24/[2]Sheet1!R23)-'[1]Page 331'!$B29</f>
        <v>-2.7465447911011121E-2</v>
      </c>
      <c r="T29" s="10">
        <f>LN([2]Sheet1!S24/[2]Sheet1!S23)-'[1]Page 331'!$B29</f>
        <v>0.2265215457920596</v>
      </c>
      <c r="U29" s="10">
        <f>LN([2]Sheet1!T24/[2]Sheet1!T23)-'[1]Page 331'!$B29</f>
        <v>-2.8105765685437559E-3</v>
      </c>
      <c r="V29" s="10">
        <f>LN([2]Sheet1!U24/[2]Sheet1!U23)-'[1]Page 331'!$B29</f>
        <v>0.16667374273759258</v>
      </c>
      <c r="W29" s="10">
        <f>LN([2]Sheet1!V24/[2]Sheet1!V23)-'[1]Page 331'!$B29</f>
        <v>-3.2123851222842864E-2</v>
      </c>
      <c r="X29" s="10">
        <f>LN([2]Sheet1!W24/[2]Sheet1!W23)-'[1]Page 331'!$B29</f>
        <v>2.5396029218368751E-2</v>
      </c>
      <c r="Y29" s="10">
        <f>LN([2]Sheet1!X24/[2]Sheet1!X23)-'[1]Page 331'!$B29</f>
        <v>5.9087030736801258E-2</v>
      </c>
      <c r="Z29" s="10">
        <f>LN([2]Sheet1!Y24/[2]Sheet1!Y23)-'[1]Page 331'!$B29</f>
        <v>5.3872882939713589E-2</v>
      </c>
      <c r="AA29" s="10">
        <f>LN([2]Sheet1!Z24/[2]Sheet1!Z23)-'[1]Page 331'!$B29</f>
        <v>-1.3935703753216708E-2</v>
      </c>
      <c r="AB29" s="10">
        <f>LN([2]Sheet1!AA24/[2]Sheet1!AA23)-'[1]Page 331'!$B29</f>
        <v>1.2605777606715125E-2</v>
      </c>
      <c r="AC29" s="10">
        <f>LN([2]Sheet1!AB24/[2]Sheet1!AB23)-'[1]Page 331'!$B29</f>
        <v>0.16625100853098798</v>
      </c>
      <c r="AD29" s="10">
        <f>LN([2]Sheet1!AC24/[2]Sheet1!AC23)-'[1]Page 331'!$B29</f>
        <v>6.6713574657927044E-2</v>
      </c>
      <c r="AE29" s="10">
        <f>LN([2]Sheet1!AD24/[2]Sheet1!AD23)-'[1]Page 331'!$B29</f>
        <v>6.5845645920033086E-2</v>
      </c>
      <c r="AF29" s="10">
        <f>LN([2]Sheet1!AE24/[2]Sheet1!AE23)-'[1]Page 331'!$B29</f>
        <v>7.8152434010905228E-2</v>
      </c>
      <c r="AG29" s="10">
        <f>LN([2]Sheet1!AF24/[2]Sheet1!AF23)-'[1]Page 331'!$B29</f>
        <v>6.1276727482433152E-3</v>
      </c>
    </row>
    <row r="30" spans="1:33" x14ac:dyDescent="0.25">
      <c r="A30" s="13">
        <v>37742</v>
      </c>
      <c r="B30" s="10">
        <v>9.4166666666666661E-4</v>
      </c>
      <c r="C30" s="10">
        <f>LN([2]Sheet1!B25/[2]Sheet1!B24)-'[1]Page 331'!$B30</f>
        <v>4.870399882262106E-2</v>
      </c>
      <c r="D30" s="10">
        <f>LN([2]Sheet1!C25/[2]Sheet1!C24)-'[1]Page 331'!$B30</f>
        <v>6.9654856554819497E-2</v>
      </c>
      <c r="E30" s="10">
        <f>LN([2]Sheet1!D25/[2]Sheet1!D24)-'[1]Page 331'!$B30</f>
        <v>-2.173085592616579E-3</v>
      </c>
      <c r="F30" s="10">
        <f>LN([2]Sheet1!E25/[2]Sheet1!E24)-'[1]Page 331'!$B30</f>
        <v>9.4707457892908561E-2</v>
      </c>
      <c r="G30" s="10">
        <f>LN([2]Sheet1!F25/[2]Sheet1!F24)-'[1]Page 331'!$B30</f>
        <v>0.12182462528539174</v>
      </c>
      <c r="H30" s="10">
        <f>LN([2]Sheet1!G25/[2]Sheet1!G24)-'[1]Page 331'!$B30</f>
        <v>4.813102328512215E-2</v>
      </c>
      <c r="I30" s="10">
        <f>LN([2]Sheet1!H25/[2]Sheet1!H24)-'[1]Page 331'!$B30</f>
        <v>-9.4180039963799173E-3</v>
      </c>
      <c r="J30" s="10">
        <f>LN([2]Sheet1!I25/[2]Sheet1!I24)-'[1]Page 331'!$B30</f>
        <v>-1.9887871811920229E-3</v>
      </c>
      <c r="K30" s="10">
        <f>LN([2]Sheet1!J25/[2]Sheet1!J24)-'[1]Page 331'!$B30</f>
        <v>5.0654946304229946E-2</v>
      </c>
      <c r="L30" s="10">
        <f>LN([2]Sheet1!K25/[2]Sheet1!K24)-'[1]Page 331'!$B30</f>
        <v>-2.6761623003707984E-2</v>
      </c>
      <c r="M30" s="10">
        <f>LN([2]Sheet1!L25/[2]Sheet1!L24)-'[1]Page 331'!$B30</f>
        <v>-7.2009524623628061E-3</v>
      </c>
      <c r="N30" s="10">
        <f>LN([2]Sheet1!M25/[2]Sheet1!M24)-'[1]Page 331'!$B30</f>
        <v>0.14340656312833724</v>
      </c>
      <c r="O30" s="10">
        <f>LN([2]Sheet1!N25/[2]Sheet1!N24)-'[1]Page 331'!$B30</f>
        <v>0.11083656747495466</v>
      </c>
      <c r="P30" s="10">
        <f>LN([2]Sheet1!O25/[2]Sheet1!O24)-'[1]Page 331'!$B30</f>
        <v>0.17838010214817637</v>
      </c>
      <c r="Q30" s="10">
        <f>LN([2]Sheet1!P25/[2]Sheet1!P24)-'[1]Page 331'!$B30</f>
        <v>3.7234085064427283E-2</v>
      </c>
      <c r="R30" s="10">
        <f>LN([2]Sheet1!Q25/[2]Sheet1!Q24)-'[1]Page 331'!$B30</f>
        <v>0.12392434361541622</v>
      </c>
      <c r="S30" s="10">
        <f>LN([2]Sheet1!R25/[2]Sheet1!R24)-'[1]Page 331'!$B30</f>
        <v>-3.2867455025890641E-2</v>
      </c>
      <c r="T30" s="10">
        <f>LN([2]Sheet1!S25/[2]Sheet1!S24)-'[1]Page 331'!$B30</f>
        <v>0.11197642532723899</v>
      </c>
      <c r="U30" s="10">
        <f>LN([2]Sheet1!T25/[2]Sheet1!T24)-'[1]Page 331'!$B30</f>
        <v>0.11951017228179719</v>
      </c>
      <c r="V30" s="10">
        <f>LN([2]Sheet1!U25/[2]Sheet1!U24)-'[1]Page 331'!$B30</f>
        <v>8.9869067976428324E-2</v>
      </c>
      <c r="W30" s="10">
        <f>LN([2]Sheet1!V25/[2]Sheet1!V24)-'[1]Page 331'!$B30</f>
        <v>7.6594488424253041E-3</v>
      </c>
      <c r="X30" s="10">
        <f>LN([2]Sheet1!W25/[2]Sheet1!W24)-'[1]Page 331'!$B30</f>
        <v>0.29359757551125121</v>
      </c>
      <c r="Y30" s="10">
        <f>LN([2]Sheet1!X25/[2]Sheet1!X24)-'[1]Page 331'!$B30</f>
        <v>-4.654388435991131E-2</v>
      </c>
      <c r="Z30" s="10">
        <f>LN([2]Sheet1!Y25/[2]Sheet1!Y24)-'[1]Page 331'!$B30</f>
        <v>-3.9320063220418172E-2</v>
      </c>
      <c r="AA30" s="10">
        <f>LN([2]Sheet1!Z25/[2]Sheet1!Z24)-'[1]Page 331'!$B30</f>
        <v>1.2052370419883439E-2</v>
      </c>
      <c r="AB30" s="10">
        <f>LN([2]Sheet1!AA25/[2]Sheet1!AA24)-'[1]Page 331'!$B30</f>
        <v>2.0775474054016738E-2</v>
      </c>
      <c r="AC30" s="10">
        <f>LN([2]Sheet1!AB25/[2]Sheet1!AB24)-'[1]Page 331'!$B30</f>
        <v>8.5180087083251879E-2</v>
      </c>
      <c r="AD30" s="10">
        <f>LN([2]Sheet1!AC25/[2]Sheet1!AC24)-'[1]Page 331'!$B30</f>
        <v>0.10223588885011964</v>
      </c>
      <c r="AE30" s="10">
        <f>LN([2]Sheet1!AD25/[2]Sheet1!AD24)-'[1]Page 331'!$B30</f>
        <v>1.1652571371292324E-2</v>
      </c>
      <c r="AF30" s="10">
        <f>LN([2]Sheet1!AE25/[2]Sheet1!AE24)-'[1]Page 331'!$B30</f>
        <v>-6.8964084455958419E-2</v>
      </c>
      <c r="AG30" s="10">
        <f>LN([2]Sheet1!AF25/[2]Sheet1!AF24)-'[1]Page 331'!$B30</f>
        <v>3.9574002227054747E-2</v>
      </c>
    </row>
    <row r="31" spans="1:33" x14ac:dyDescent="0.25">
      <c r="A31" s="13">
        <v>37774</v>
      </c>
      <c r="B31" s="10">
        <v>8.916666666666668E-4</v>
      </c>
      <c r="C31" s="10">
        <f>LN([2]Sheet1!B26/[2]Sheet1!B25)-'[1]Page 331'!$B31</f>
        <v>1.0366959344185522E-2</v>
      </c>
      <c r="D31" s="10">
        <f>LN([2]Sheet1!C26/[2]Sheet1!C25)-'[1]Page 331'!$B31</f>
        <v>3.4705312073565094E-2</v>
      </c>
      <c r="E31" s="10">
        <f>LN([2]Sheet1!D26/[2]Sheet1!D25)-'[1]Page 331'!$B31</f>
        <v>-4.7738639963455447E-2</v>
      </c>
      <c r="F31" s="10">
        <f>LN([2]Sheet1!E26/[2]Sheet1!E25)-'[1]Page 331'!$B31</f>
        <v>2.7728899360263269E-3</v>
      </c>
      <c r="G31" s="10">
        <f>LN([2]Sheet1!F26/[2]Sheet1!F25)-'[1]Page 331'!$B31</f>
        <v>0.1115060795496096</v>
      </c>
      <c r="H31" s="10">
        <f>LN([2]Sheet1!G26/[2]Sheet1!G25)-'[1]Page 331'!$B31</f>
        <v>4.1768830476048374E-2</v>
      </c>
      <c r="I31" s="10">
        <f>LN([2]Sheet1!H26/[2]Sheet1!H25)-'[1]Page 331'!$B31</f>
        <v>6.4229376300285843E-2</v>
      </c>
      <c r="J31" s="10">
        <f>LN([2]Sheet1!I26/[2]Sheet1!I25)-'[1]Page 331'!$B31</f>
        <v>-1.3013027199011517E-2</v>
      </c>
      <c r="K31" s="10">
        <f>LN([2]Sheet1!J26/[2]Sheet1!J25)-'[1]Page 331'!$B31</f>
        <v>4.3330056152856376E-3</v>
      </c>
      <c r="L31" s="10">
        <f>LN([2]Sheet1!K26/[2]Sheet1!K25)-'[1]Page 331'!$B31</f>
        <v>5.1552149482262406E-3</v>
      </c>
      <c r="M31" s="10">
        <f>LN([2]Sheet1!L26/[2]Sheet1!L25)-'[1]Page 331'!$B31</f>
        <v>1.7769866871182413E-2</v>
      </c>
      <c r="N31" s="10">
        <f>LN([2]Sheet1!M26/[2]Sheet1!M25)-'[1]Page 331'!$B31</f>
        <v>2.017498256638434E-2</v>
      </c>
      <c r="O31" s="10">
        <f>LN([2]Sheet1!N26/[2]Sheet1!N25)-'[1]Page 331'!$B31</f>
        <v>2.3711308506995279E-2</v>
      </c>
      <c r="P31" s="10">
        <f>LN([2]Sheet1!O26/[2]Sheet1!O25)-'[1]Page 331'!$B31</f>
        <v>9.1292289411391947E-2</v>
      </c>
      <c r="Q31" s="10">
        <f>LN([2]Sheet1!P26/[2]Sheet1!P25)-'[1]Page 331'!$B31</f>
        <v>-6.5974871317684841E-2</v>
      </c>
      <c r="R31" s="10">
        <f>LN([2]Sheet1!Q26/[2]Sheet1!Q25)-'[1]Page 331'!$B31</f>
        <v>-1.3870840659500061E-3</v>
      </c>
      <c r="S31" s="10">
        <f>LN([2]Sheet1!R26/[2]Sheet1!R25)-'[1]Page 331'!$B31</f>
        <v>-5.0982265638304117E-2</v>
      </c>
      <c r="T31" s="10">
        <f>LN([2]Sheet1!S26/[2]Sheet1!S25)-'[1]Page 331'!$B31</f>
        <v>3.8368533939481676E-2</v>
      </c>
      <c r="U31" s="10">
        <f>LN([2]Sheet1!T26/[2]Sheet1!T25)-'[1]Page 331'!$B31</f>
        <v>2.2060160511535604E-2</v>
      </c>
      <c r="V31" s="10">
        <f>LN([2]Sheet1!U26/[2]Sheet1!U25)-'[1]Page 331'!$B31</f>
        <v>0.16303551542266514</v>
      </c>
      <c r="W31" s="10">
        <f>LN([2]Sheet1!V26/[2]Sheet1!V25)-'[1]Page 331'!$B31</f>
        <v>1.8894497149626908E-2</v>
      </c>
      <c r="X31" s="10">
        <f>LN([2]Sheet1!W26/[2]Sheet1!W25)-'[1]Page 331'!$B31</f>
        <v>0.10952438533461761</v>
      </c>
      <c r="Y31" s="10">
        <f>LN([2]Sheet1!X26/[2]Sheet1!X25)-'[1]Page 331'!$B31</f>
        <v>9.1098614427987959E-2</v>
      </c>
      <c r="Z31" s="10">
        <f>LN([2]Sheet1!Y26/[2]Sheet1!Y25)-'[1]Page 331'!$B31</f>
        <v>4.0172496944681946E-2</v>
      </c>
      <c r="AA31" s="10">
        <f>LN([2]Sheet1!Z26/[2]Sheet1!Z25)-'[1]Page 331'!$B31</f>
        <v>9.5179499920529709E-2</v>
      </c>
      <c r="AB31" s="10">
        <f>LN([2]Sheet1!AA26/[2]Sheet1!AA25)-'[1]Page 331'!$B31</f>
        <v>-3.0191782111805517E-2</v>
      </c>
      <c r="AC31" s="10">
        <f>LN([2]Sheet1!AB26/[2]Sheet1!AB25)-'[1]Page 331'!$B31</f>
        <v>2.8309993355790245E-3</v>
      </c>
      <c r="AD31" s="10">
        <f>LN([2]Sheet1!AC26/[2]Sheet1!AC25)-'[1]Page 331'!$B31</f>
        <v>3.621106593991804E-2</v>
      </c>
      <c r="AE31" s="10">
        <f>LN([2]Sheet1!AD26/[2]Sheet1!AD25)-'[1]Page 331'!$B31</f>
        <v>4.0369791714759282E-2</v>
      </c>
      <c r="AF31" s="10">
        <f>LN([2]Sheet1!AE26/[2]Sheet1!AE25)-'[1]Page 331'!$B31</f>
        <v>2.0698202359710153E-2</v>
      </c>
      <c r="AG31" s="10">
        <f>LN([2]Sheet1!AF26/[2]Sheet1!AF25)-'[1]Page 331'!$B31</f>
        <v>-1.4215327865137323E-2</v>
      </c>
    </row>
    <row r="32" spans="1:33" x14ac:dyDescent="0.25">
      <c r="A32" s="13">
        <v>37803</v>
      </c>
      <c r="B32" s="10">
        <v>7.6666666666666669E-4</v>
      </c>
      <c r="C32" s="10">
        <f>LN([2]Sheet1!B27/[2]Sheet1!B26)-'[1]Page 331'!$B32</f>
        <v>1.5326839812107014E-2</v>
      </c>
      <c r="D32" s="10">
        <f>LN([2]Sheet1!C27/[2]Sheet1!C26)-'[1]Page 331'!$B32</f>
        <v>8.4578043270493911E-2</v>
      </c>
      <c r="E32" s="10">
        <f>LN([2]Sheet1!D27/[2]Sheet1!D26)-'[1]Page 331'!$B32</f>
        <v>0.15061316073664643</v>
      </c>
      <c r="F32" s="10">
        <f>LN([2]Sheet1!E27/[2]Sheet1!E26)-'[1]Page 331'!$B32</f>
        <v>5.6641825324006988E-2</v>
      </c>
      <c r="G32" s="10">
        <f>LN([2]Sheet1!F27/[2]Sheet1!F26)-'[1]Page 331'!$B32</f>
        <v>-3.6317650930985532E-2</v>
      </c>
      <c r="H32" s="10">
        <f>LN([2]Sheet1!G27/[2]Sheet1!G26)-'[1]Page 331'!$B32</f>
        <v>5.2689792964883311E-2</v>
      </c>
      <c r="I32" s="10">
        <f>LN([2]Sheet1!H27/[2]Sheet1!H26)-'[1]Page 331'!$B32</f>
        <v>0.19769186792653798</v>
      </c>
      <c r="J32" s="10">
        <f>LN([2]Sheet1!I27/[2]Sheet1!I26)-'[1]Page 331'!$B32</f>
        <v>5.3161012580302494E-2</v>
      </c>
      <c r="K32" s="10">
        <f>LN([2]Sheet1!J27/[2]Sheet1!J26)-'[1]Page 331'!$B32</f>
        <v>0.10308150221911287</v>
      </c>
      <c r="L32" s="10">
        <f>LN([2]Sheet1!K27/[2]Sheet1!K26)-'[1]Page 331'!$B32</f>
        <v>-9.4706005185268023E-3</v>
      </c>
      <c r="M32" s="10">
        <f>LN([2]Sheet1!L27/[2]Sheet1!L26)-'[1]Page 331'!$B32</f>
        <v>3.8042274801953449E-2</v>
      </c>
      <c r="N32" s="10">
        <f>LN([2]Sheet1!M27/[2]Sheet1!M26)-'[1]Page 331'!$B32</f>
        <v>-6.0710903942405928E-2</v>
      </c>
      <c r="O32" s="10">
        <f>LN([2]Sheet1!N27/[2]Sheet1!N26)-'[1]Page 331'!$B32</f>
        <v>5.1243502179080663E-2</v>
      </c>
      <c r="P32" s="10">
        <f>LN([2]Sheet1!O27/[2]Sheet1!O26)-'[1]Page 331'!$B32</f>
        <v>-6.6548092918892639E-3</v>
      </c>
      <c r="Q32" s="10">
        <f>LN([2]Sheet1!P27/[2]Sheet1!P26)-'[1]Page 331'!$B32</f>
        <v>-1.5949843088056671E-2</v>
      </c>
      <c r="R32" s="10">
        <f>LN([2]Sheet1!Q27/[2]Sheet1!Q26)-'[1]Page 331'!$B32</f>
        <v>0.17841153407725599</v>
      </c>
      <c r="S32" s="10">
        <f>LN([2]Sheet1!R27/[2]Sheet1!R26)-'[1]Page 331'!$B32</f>
        <v>1.0808141010411878E-3</v>
      </c>
      <c r="T32" s="10">
        <f>LN([2]Sheet1!S27/[2]Sheet1!S26)-'[1]Page 331'!$B32</f>
        <v>3.4472149953834103E-2</v>
      </c>
      <c r="U32" s="10">
        <f>LN([2]Sheet1!T27/[2]Sheet1!T26)-'[1]Page 331'!$B32</f>
        <v>-3.2283856703791976E-2</v>
      </c>
      <c r="V32" s="10">
        <f>LN([2]Sheet1!U27/[2]Sheet1!U26)-'[1]Page 331'!$B32</f>
        <v>4.1394144157611452E-2</v>
      </c>
      <c r="W32" s="10">
        <f>LN([2]Sheet1!V27/[2]Sheet1!V26)-'[1]Page 331'!$B32</f>
        <v>8.2588600140777388E-2</v>
      </c>
      <c r="X32" s="10">
        <f>LN([2]Sheet1!W27/[2]Sheet1!W26)-'[1]Page 331'!$B32</f>
        <v>-0.12812497603296591</v>
      </c>
      <c r="Y32" s="10">
        <f>LN([2]Sheet1!X27/[2]Sheet1!X26)-'[1]Page 331'!$B32</f>
        <v>-9.1889268748098898E-2</v>
      </c>
      <c r="Z32" s="10">
        <f>LN([2]Sheet1!Y27/[2]Sheet1!Y26)-'[1]Page 331'!$B32</f>
        <v>2.8744393658985495E-2</v>
      </c>
      <c r="AA32" s="10">
        <f>LN([2]Sheet1!Z27/[2]Sheet1!Z26)-'[1]Page 331'!$B32</f>
        <v>-2.4176425761919192E-2</v>
      </c>
      <c r="AB32" s="10">
        <f>LN([2]Sheet1!AA27/[2]Sheet1!AA26)-'[1]Page 331'!$B32</f>
        <v>-1.0326968928648893E-2</v>
      </c>
      <c r="AC32" s="10">
        <f>LN([2]Sheet1!AB27/[2]Sheet1!AB26)-'[1]Page 331'!$B32</f>
        <v>-7.5982830615214603E-2</v>
      </c>
      <c r="AD32" s="10">
        <f>LN([2]Sheet1!AC27/[2]Sheet1!AC26)-'[1]Page 331'!$B32</f>
        <v>5.9282967112843643E-2</v>
      </c>
      <c r="AE32" s="10">
        <f>LN([2]Sheet1!AD27/[2]Sheet1!AD26)-'[1]Page 331'!$B32</f>
        <v>-0.11056322587014909</v>
      </c>
      <c r="AF32" s="10">
        <f>LN([2]Sheet1!AE27/[2]Sheet1!AE26)-'[1]Page 331'!$B32</f>
        <v>3.9955265121869504E-2</v>
      </c>
      <c r="AG32" s="10">
        <f>LN([2]Sheet1!AF27/[2]Sheet1!AF26)-'[1]Page 331'!$B32</f>
        <v>-1.0049560097109868E-2</v>
      </c>
    </row>
    <row r="33" spans="1:33" x14ac:dyDescent="0.25">
      <c r="A33" s="13">
        <v>37834</v>
      </c>
      <c r="B33" s="10">
        <v>7.5000000000000012E-4</v>
      </c>
      <c r="C33" s="10">
        <f>LN([2]Sheet1!B28/[2]Sheet1!B27)-'[1]Page 331'!$B33</f>
        <v>1.6965343790636196E-2</v>
      </c>
      <c r="D33" s="10">
        <f>LN([2]Sheet1!C28/[2]Sheet1!C27)-'[1]Page 331'!$B33</f>
        <v>3.3075096153643881E-2</v>
      </c>
      <c r="E33" s="10">
        <f>LN([2]Sheet1!D28/[2]Sheet1!D27)-'[1]Page 331'!$B33</f>
        <v>-7.5626644523636238E-2</v>
      </c>
      <c r="F33" s="10">
        <f>LN([2]Sheet1!E28/[2]Sheet1!E27)-'[1]Page 331'!$B33</f>
        <v>1.8979694295527434E-2</v>
      </c>
      <c r="G33" s="10">
        <f>LN([2]Sheet1!F28/[2]Sheet1!F27)-'[1]Page 331'!$B33</f>
        <v>0.12581272330842924</v>
      </c>
      <c r="H33" s="10">
        <f>LN([2]Sheet1!G28/[2]Sheet1!G27)-'[1]Page 331'!$B33</f>
        <v>-3.3792379965386456E-2</v>
      </c>
      <c r="I33" s="10">
        <f>LN([2]Sheet1!H28/[2]Sheet1!H27)-'[1]Page 331'!$B33</f>
        <v>6.1723169586022267E-2</v>
      </c>
      <c r="J33" s="10">
        <f>LN([2]Sheet1!I28/[2]Sheet1!I27)-'[1]Page 331'!$B33</f>
        <v>2.5283452377250045E-2</v>
      </c>
      <c r="K33" s="10">
        <f>LN([2]Sheet1!J28/[2]Sheet1!J27)-'[1]Page 331'!$B33</f>
        <v>-6.7263226748935798E-2</v>
      </c>
      <c r="L33" s="10">
        <f>LN([2]Sheet1!K28/[2]Sheet1!K27)-'[1]Page 331'!$B33</f>
        <v>3.8382997702148328E-2</v>
      </c>
      <c r="M33" s="10">
        <f>LN([2]Sheet1!L28/[2]Sheet1!L27)-'[1]Page 331'!$B33</f>
        <v>0.10626281600412117</v>
      </c>
      <c r="N33" s="10">
        <f>LN([2]Sheet1!M28/[2]Sheet1!M27)-'[1]Page 331'!$B33</f>
        <v>2.9510971781809479E-2</v>
      </c>
      <c r="O33" s="10">
        <f>LN([2]Sheet1!N28/[2]Sheet1!N27)-'[1]Page 331'!$B33</f>
        <v>3.0525817991775901E-2</v>
      </c>
      <c r="P33" s="10">
        <f>LN([2]Sheet1!O28/[2]Sheet1!O27)-'[1]Page 331'!$B33</f>
        <v>-6.1097839258119645E-2</v>
      </c>
      <c r="Q33" s="10">
        <f>LN([2]Sheet1!P28/[2]Sheet1!P27)-'[1]Page 331'!$B33</f>
        <v>1.0565182329404493E-2</v>
      </c>
      <c r="R33" s="10">
        <f>LN([2]Sheet1!Q28/[2]Sheet1!Q27)-'[1]Page 331'!$B33</f>
        <v>0.13861562452305809</v>
      </c>
      <c r="S33" s="10">
        <f>LN([2]Sheet1!R28/[2]Sheet1!R27)-'[1]Page 331'!$B33</f>
        <v>-3.9642629160837099E-2</v>
      </c>
      <c r="T33" s="10">
        <f>LN([2]Sheet1!S28/[2]Sheet1!S27)-'[1]Page 331'!$B33</f>
        <v>-2.4863047406809193E-2</v>
      </c>
      <c r="U33" s="10">
        <f>LN([2]Sheet1!T28/[2]Sheet1!T27)-'[1]Page 331'!$B33</f>
        <v>-3.3539822822990957E-2</v>
      </c>
      <c r="V33" s="10">
        <f>LN([2]Sheet1!U28/[2]Sheet1!U27)-'[1]Page 331'!$B33</f>
        <v>-2.6773773421305359E-2</v>
      </c>
      <c r="W33" s="10">
        <f>LN([2]Sheet1!V28/[2]Sheet1!V27)-'[1]Page 331'!$B33</f>
        <v>1.9937291493214576E-2</v>
      </c>
      <c r="X33" s="10">
        <f>LN([2]Sheet1!W28/[2]Sheet1!W27)-'[1]Page 331'!$B33</f>
        <v>2.8924074558462916E-2</v>
      </c>
      <c r="Y33" s="10">
        <f>LN([2]Sheet1!X28/[2]Sheet1!X27)-'[1]Page 331'!$B33</f>
        <v>-3.9658532918691994E-2</v>
      </c>
      <c r="Z33" s="10">
        <f>LN([2]Sheet1!Y28/[2]Sheet1!Y27)-'[1]Page 331'!$B33</f>
        <v>3.5808859378401487E-3</v>
      </c>
      <c r="AA33" s="10">
        <f>LN([2]Sheet1!Z28/[2]Sheet1!Z27)-'[1]Page 331'!$B33</f>
        <v>-0.1049575285732616</v>
      </c>
      <c r="AB33" s="10">
        <f>LN([2]Sheet1!AA28/[2]Sheet1!AA27)-'[1]Page 331'!$B33</f>
        <v>-7.2552632734480581E-3</v>
      </c>
      <c r="AC33" s="10">
        <f>LN([2]Sheet1!AB28/[2]Sheet1!AB27)-'[1]Page 331'!$B33</f>
        <v>-4.0070868393987977E-2</v>
      </c>
      <c r="AD33" s="10">
        <f>LN([2]Sheet1!AC28/[2]Sheet1!AC27)-'[1]Page 331'!$B33</f>
        <v>6.7424540835719554E-2</v>
      </c>
      <c r="AE33" s="10">
        <f>LN([2]Sheet1!AD28/[2]Sheet1!AD27)-'[1]Page 331'!$B33</f>
        <v>8.3616803512558124E-3</v>
      </c>
      <c r="AF33" s="10">
        <f>LN([2]Sheet1!AE28/[2]Sheet1!AE27)-'[1]Page 331'!$B33</f>
        <v>5.598752761159978E-2</v>
      </c>
      <c r="AG33" s="10">
        <f>LN([2]Sheet1!AF28/[2]Sheet1!AF27)-'[1]Page 331'!$B33</f>
        <v>6.390133065881444E-2</v>
      </c>
    </row>
    <row r="34" spans="1:33" x14ac:dyDescent="0.25">
      <c r="A34" s="13">
        <v>37866</v>
      </c>
      <c r="B34" s="10">
        <v>7.9166666666666665E-4</v>
      </c>
      <c r="C34" s="10">
        <f>LN([2]Sheet1!B29/[2]Sheet1!B28)-'[1]Page 331'!$B34</f>
        <v>-1.2807899234652319E-2</v>
      </c>
      <c r="D34" s="10">
        <f>LN([2]Sheet1!C29/[2]Sheet1!C28)-'[1]Page 331'!$B34</f>
        <v>-8.8811413208312109E-2</v>
      </c>
      <c r="E34" s="10">
        <f>LN([2]Sheet1!D29/[2]Sheet1!D28)-'[1]Page 331'!$B34</f>
        <v>-3.150458645707821E-2</v>
      </c>
      <c r="F34" s="10">
        <f>LN([2]Sheet1!E29/[2]Sheet1!E28)-'[1]Page 331'!$B34</f>
        <v>-7.9166666666666665E-4</v>
      </c>
      <c r="G34" s="10">
        <f>LN([2]Sheet1!F29/[2]Sheet1!F28)-'[1]Page 331'!$B34</f>
        <v>-8.6303850144738431E-2</v>
      </c>
      <c r="H34" s="10">
        <f>LN([2]Sheet1!G29/[2]Sheet1!G28)-'[1]Page 331'!$B34</f>
        <v>4.776993844632068E-2</v>
      </c>
      <c r="I34" s="10">
        <f>LN([2]Sheet1!H29/[2]Sheet1!H28)-'[1]Page 331'!$B34</f>
        <v>-4.3224085369242826E-2</v>
      </c>
      <c r="J34" s="10">
        <f>LN([2]Sheet1!I29/[2]Sheet1!I28)-'[1]Page 331'!$B34</f>
        <v>-0.11253570510628205</v>
      </c>
      <c r="K34" s="10">
        <f>LN([2]Sheet1!J29/[2]Sheet1!J28)-'[1]Page 331'!$B34</f>
        <v>-1.7496686866669553E-2</v>
      </c>
      <c r="L34" s="10">
        <f>LN([2]Sheet1!K29/[2]Sheet1!K28)-'[1]Page 331'!$B34</f>
        <v>1.3362080771427099E-2</v>
      </c>
      <c r="M34" s="10">
        <f>LN([2]Sheet1!L29/[2]Sheet1!L28)-'[1]Page 331'!$B34</f>
        <v>-5.0057479134974336E-3</v>
      </c>
      <c r="N34" s="10">
        <f>LN([2]Sheet1!M29/[2]Sheet1!M28)-'[1]Page 331'!$B34</f>
        <v>-8.1907674969918867E-3</v>
      </c>
      <c r="O34" s="10">
        <f>LN([2]Sheet1!N29/[2]Sheet1!N28)-'[1]Page 331'!$B34</f>
        <v>-9.6101846470991556E-2</v>
      </c>
      <c r="P34" s="10">
        <f>LN([2]Sheet1!O29/[2]Sheet1!O28)-'[1]Page 331'!$B34</f>
        <v>-2.6203304029003623E-2</v>
      </c>
      <c r="Q34" s="10">
        <f>LN([2]Sheet1!P29/[2]Sheet1!P28)-'[1]Page 331'!$B34</f>
        <v>7.3396669446541593E-2</v>
      </c>
      <c r="R34" s="10">
        <f>LN([2]Sheet1!Q29/[2]Sheet1!Q28)-'[1]Page 331'!$B34</f>
        <v>-3.8989479737240637E-2</v>
      </c>
      <c r="S34" s="10">
        <f>LN([2]Sheet1!R29/[2]Sheet1!R28)-'[1]Page 331'!$B34</f>
        <v>-2.0718033893836092E-3</v>
      </c>
      <c r="T34" s="10">
        <f>LN([2]Sheet1!S29/[2]Sheet1!S28)-'[1]Page 331'!$B34</f>
        <v>2.4571990889989703E-3</v>
      </c>
      <c r="U34" s="10">
        <f>LN([2]Sheet1!T29/[2]Sheet1!T28)-'[1]Page 331'!$B34</f>
        <v>-8.9731924079692708E-3</v>
      </c>
      <c r="V34" s="10">
        <f>LN([2]Sheet1!U29/[2]Sheet1!U28)-'[1]Page 331'!$B34</f>
        <v>4.7908815425668501E-2</v>
      </c>
      <c r="W34" s="10">
        <f>LN([2]Sheet1!V29/[2]Sheet1!V28)-'[1]Page 331'!$B34</f>
        <v>-3.1679244514697259E-2</v>
      </c>
      <c r="X34" s="10">
        <f>LN([2]Sheet1!W29/[2]Sheet1!W28)-'[1]Page 331'!$B34</f>
        <v>7.6544151949722153E-2</v>
      </c>
      <c r="Y34" s="10">
        <f>LN([2]Sheet1!X29/[2]Sheet1!X28)-'[1]Page 331'!$B34</f>
        <v>1.2420931768796413E-2</v>
      </c>
      <c r="Z34" s="10">
        <f>LN([2]Sheet1!Y29/[2]Sheet1!Y28)-'[1]Page 331'!$B34</f>
        <v>4.6474515083707035E-2</v>
      </c>
      <c r="AA34" s="10">
        <f>LN([2]Sheet1!Z29/[2]Sheet1!Z28)-'[1]Page 331'!$B34</f>
        <v>1.4574009958693145E-2</v>
      </c>
      <c r="AB34" s="10">
        <f>LN([2]Sheet1!AA29/[2]Sheet1!AA28)-'[1]Page 331'!$B34</f>
        <v>6.0614688220641685E-2</v>
      </c>
      <c r="AC34" s="10">
        <f>LN([2]Sheet1!AB29/[2]Sheet1!AB28)-'[1]Page 331'!$B34</f>
        <v>-1.0210888583158306E-2</v>
      </c>
      <c r="AD34" s="10">
        <f>LN([2]Sheet1!AC29/[2]Sheet1!AC28)-'[1]Page 331'!$B34</f>
        <v>-3.8481902730832462E-2</v>
      </c>
      <c r="AE34" s="10">
        <f>LN([2]Sheet1!AD29/[2]Sheet1!AD28)-'[1]Page 331'!$B34</f>
        <v>-8.5949475006973489E-2</v>
      </c>
      <c r="AF34" s="10">
        <f>LN([2]Sheet1!AE29/[2]Sheet1!AE28)-'[1]Page 331'!$B34</f>
        <v>-5.8453323352444492E-2</v>
      </c>
      <c r="AG34" s="10">
        <f>LN([2]Sheet1!AF29/[2]Sheet1!AF28)-'[1]Page 331'!$B34</f>
        <v>-3.026868996229615E-2</v>
      </c>
    </row>
    <row r="35" spans="1:33" x14ac:dyDescent="0.25">
      <c r="A35" s="13">
        <v>37895</v>
      </c>
      <c r="B35" s="10">
        <v>7.8333333333333326E-4</v>
      </c>
      <c r="C35" s="10">
        <f>LN([2]Sheet1!B30/[2]Sheet1!B29)-'[1]Page 331'!$B35</f>
        <v>5.2720935131613182E-2</v>
      </c>
      <c r="D35" s="10">
        <f>LN([2]Sheet1!C30/[2]Sheet1!C29)-'[1]Page 331'!$B35</f>
        <v>0.18737266310752698</v>
      </c>
      <c r="E35" s="10">
        <f>LN([2]Sheet1!D30/[2]Sheet1!D29)-'[1]Page 331'!$B35</f>
        <v>5.1901063506956585E-2</v>
      </c>
      <c r="F35" s="10">
        <f>LN([2]Sheet1!E30/[2]Sheet1!E29)-'[1]Page 331'!$B35</f>
        <v>4.2297114430569549E-2</v>
      </c>
      <c r="G35" s="10">
        <f>LN([2]Sheet1!F30/[2]Sheet1!F29)-'[1]Page 331'!$B35</f>
        <v>0.11367642617960698</v>
      </c>
      <c r="H35" s="10">
        <f>LN([2]Sheet1!G30/[2]Sheet1!G29)-'[1]Page 331'!$B35</f>
        <v>4.7364982290315015E-2</v>
      </c>
      <c r="I35" s="10">
        <f>LN([2]Sheet1!H30/[2]Sheet1!H29)-'[1]Page 331'!$B35</f>
        <v>6.6498673749988663E-2</v>
      </c>
      <c r="J35" s="10">
        <f>LN([2]Sheet1!I30/[2]Sheet1!I29)-'[1]Page 331'!$B35</f>
        <v>9.020666763287501E-3</v>
      </c>
      <c r="K35" s="10">
        <f>LN([2]Sheet1!J30/[2]Sheet1!J29)-'[1]Page 331'!$B35</f>
        <v>0.11478523927688705</v>
      </c>
      <c r="L35" s="10">
        <f>LN([2]Sheet1!K30/[2]Sheet1!K29)-'[1]Page 331'!$B35</f>
        <v>-2.7812005721252593E-2</v>
      </c>
      <c r="M35" s="10">
        <f>LN([2]Sheet1!L30/[2]Sheet1!L29)-'[1]Page 331'!$B35</f>
        <v>4.084914346821867E-2</v>
      </c>
      <c r="N35" s="10">
        <f>LN([2]Sheet1!M30/[2]Sheet1!M29)-'[1]Page 331'!$B35</f>
        <v>0.15110453641251334</v>
      </c>
      <c r="O35" s="10">
        <f>LN([2]Sheet1!N30/[2]Sheet1!N29)-'[1]Page 331'!$B35</f>
        <v>0.14909556259216725</v>
      </c>
      <c r="P35" s="10">
        <f>LN([2]Sheet1!O30/[2]Sheet1!O29)-'[1]Page 331'!$B35</f>
        <v>0.14142345571045933</v>
      </c>
      <c r="Q35" s="10">
        <f>LN([2]Sheet1!P30/[2]Sheet1!P29)-'[1]Page 331'!$B35</f>
        <v>1.2133464867947811E-2</v>
      </c>
      <c r="R35" s="10">
        <f>LN([2]Sheet1!Q30/[2]Sheet1!Q29)-'[1]Page 331'!$B35</f>
        <v>0.17928934695060536</v>
      </c>
      <c r="S35" s="10">
        <f>LN([2]Sheet1!R30/[2]Sheet1!R29)-'[1]Page 331'!$B35</f>
        <v>1.5521951143577354E-2</v>
      </c>
      <c r="T35" s="10">
        <f>LN([2]Sheet1!S30/[2]Sheet1!S29)-'[1]Page 331'!$B35</f>
        <v>5.381296590294745E-2</v>
      </c>
      <c r="U35" s="10">
        <f>LN([2]Sheet1!T30/[2]Sheet1!T29)-'[1]Page 331'!$B35</f>
        <v>7.6325218105735199E-2</v>
      </c>
      <c r="V35" s="10">
        <f>LN([2]Sheet1!U30/[2]Sheet1!U29)-'[1]Page 331'!$B35</f>
        <v>5.9260798216398403E-2</v>
      </c>
      <c r="W35" s="10">
        <f>LN([2]Sheet1!V30/[2]Sheet1!V29)-'[1]Page 331'!$B35</f>
        <v>0.13186779438944757</v>
      </c>
      <c r="X35" s="10">
        <f>LN([2]Sheet1!W30/[2]Sheet1!W29)-'[1]Page 331'!$B35</f>
        <v>5.906034350002997E-2</v>
      </c>
      <c r="Y35" s="10">
        <f>LN([2]Sheet1!X30/[2]Sheet1!X29)-'[1]Page 331'!$B35</f>
        <v>-0.13536406068059437</v>
      </c>
      <c r="Z35" s="10">
        <f>LN([2]Sheet1!Y30/[2]Sheet1!Y29)-'[1]Page 331'!$B35</f>
        <v>-5.673012514801281E-2</v>
      </c>
      <c r="AA35" s="10">
        <f>LN([2]Sheet1!Z30/[2]Sheet1!Z29)-'[1]Page 331'!$B35</f>
        <v>3.8505571711958356E-2</v>
      </c>
      <c r="AB35" s="10">
        <f>LN([2]Sheet1!AA30/[2]Sheet1!AA29)-'[1]Page 331'!$B35</f>
        <v>6.1137534229639294E-2</v>
      </c>
      <c r="AC35" s="10">
        <f>LN([2]Sheet1!AB30/[2]Sheet1!AB29)-'[1]Page 331'!$B35</f>
        <v>9.1079557794232935E-2</v>
      </c>
      <c r="AD35" s="10">
        <f>LN([2]Sheet1!AC30/[2]Sheet1!AC29)-'[1]Page 331'!$B35</f>
        <v>9.0658750932725393E-2</v>
      </c>
      <c r="AE35" s="10">
        <f>LN([2]Sheet1!AD30/[2]Sheet1!AD29)-'[1]Page 331'!$B35</f>
        <v>4.5736682301559368E-2</v>
      </c>
      <c r="AF35" s="10">
        <f>LN([2]Sheet1!AE30/[2]Sheet1!AE29)-'[1]Page 331'!$B35</f>
        <v>5.4781520207837928E-2</v>
      </c>
      <c r="AG35" s="10">
        <f>LN([2]Sheet1!AF30/[2]Sheet1!AF29)-'[1]Page 331'!$B35</f>
        <v>-1.3643908743767703E-3</v>
      </c>
    </row>
    <row r="36" spans="1:33" x14ac:dyDescent="0.25">
      <c r="A36" s="13">
        <v>37928</v>
      </c>
      <c r="B36" s="10">
        <v>7.6666666666666669E-4</v>
      </c>
      <c r="C36" s="10">
        <f>LN([2]Sheet1!B31/[2]Sheet1!B30)-'[1]Page 331'!$B36</f>
        <v>6.33655868937849E-3</v>
      </c>
      <c r="D36" s="10">
        <f>LN([2]Sheet1!C31/[2]Sheet1!C30)-'[1]Page 331'!$B36</f>
        <v>4.2419631986463965E-2</v>
      </c>
      <c r="E36" s="10">
        <f>LN([2]Sheet1!D31/[2]Sheet1!D30)-'[1]Page 331'!$B36</f>
        <v>-4.9230906021560425E-2</v>
      </c>
      <c r="F36" s="10">
        <f>LN([2]Sheet1!E31/[2]Sheet1!E30)-'[1]Page 331'!$B36</f>
        <v>-2.7313542250752366E-2</v>
      </c>
      <c r="G36" s="10">
        <f>LN([2]Sheet1!F31/[2]Sheet1!F30)-'[1]Page 331'!$B36</f>
        <v>1.133700404501347E-3</v>
      </c>
      <c r="H36" s="10">
        <f>LN([2]Sheet1!G31/[2]Sheet1!G30)-'[1]Page 331'!$B36</f>
        <v>-8.5935942845481884E-3</v>
      </c>
      <c r="I36" s="10">
        <f>LN([2]Sheet1!H31/[2]Sheet1!H30)-'[1]Page 331'!$B36</f>
        <v>3.6212336574420766E-2</v>
      </c>
      <c r="J36" s="10">
        <f>LN([2]Sheet1!I31/[2]Sheet1!I30)-'[1]Page 331'!$B36</f>
        <v>3.3595483524276631E-2</v>
      </c>
      <c r="K36" s="10">
        <f>LN([2]Sheet1!J31/[2]Sheet1!J30)-'[1]Page 331'!$B36</f>
        <v>1.9044877298780488E-2</v>
      </c>
      <c r="L36" s="10">
        <f>LN([2]Sheet1!K31/[2]Sheet1!K30)-'[1]Page 331'!$B36</f>
        <v>-1.2684871054758117E-2</v>
      </c>
      <c r="M36" s="10">
        <f>LN([2]Sheet1!L31/[2]Sheet1!L30)-'[1]Page 331'!$B36</f>
        <v>1.3710797993689617E-2</v>
      </c>
      <c r="N36" s="10">
        <f>LN([2]Sheet1!M31/[2]Sheet1!M30)-'[1]Page 331'!$B36</f>
        <v>-9.123261257607972E-3</v>
      </c>
      <c r="O36" s="10">
        <f>LN([2]Sheet1!N31/[2]Sheet1!N30)-'[1]Page 331'!$B36</f>
        <v>-2.5008148820639536E-2</v>
      </c>
      <c r="P36" s="10">
        <f>LN([2]Sheet1!O31/[2]Sheet1!O30)-'[1]Page 331'!$B36</f>
        <v>-2.668095543213702E-2</v>
      </c>
      <c r="Q36" s="10">
        <f>LN([2]Sheet1!P31/[2]Sheet1!P30)-'[1]Page 331'!$B36</f>
        <v>1.2890083653407892E-2</v>
      </c>
      <c r="R36" s="10">
        <f>LN([2]Sheet1!Q31/[2]Sheet1!Q30)-'[1]Page 331'!$B36</f>
        <v>1.7514245215667176E-2</v>
      </c>
      <c r="S36" s="10">
        <f>LN([2]Sheet1!R31/[2]Sheet1!R30)-'[1]Page 331'!$B36</f>
        <v>-1.6645056793444465E-2</v>
      </c>
      <c r="T36" s="10">
        <f>LN([2]Sheet1!S31/[2]Sheet1!S30)-'[1]Page 331'!$B36</f>
        <v>-1.4995177665036084E-2</v>
      </c>
      <c r="U36" s="10">
        <f>LN([2]Sheet1!T31/[2]Sheet1!T30)-'[1]Page 331'!$B36</f>
        <v>6.1235764864183721E-3</v>
      </c>
      <c r="V36" s="10">
        <f>LN([2]Sheet1!U31/[2]Sheet1!U30)-'[1]Page 331'!$B36</f>
        <v>3.9785021053726596E-2</v>
      </c>
      <c r="W36" s="10">
        <f>LN([2]Sheet1!V31/[2]Sheet1!V30)-'[1]Page 331'!$B36</f>
        <v>5.6453243104105039E-3</v>
      </c>
      <c r="X36" s="10">
        <f>LN([2]Sheet1!W31/[2]Sheet1!W30)-'[1]Page 331'!$B36</f>
        <v>0.11089746877945932</v>
      </c>
      <c r="Y36" s="10">
        <f>LN([2]Sheet1!X31/[2]Sheet1!X30)-'[1]Page 331'!$B36</f>
        <v>-8.6829836506077035E-2</v>
      </c>
      <c r="Z36" s="10">
        <f>LN([2]Sheet1!Y31/[2]Sheet1!Y30)-'[1]Page 331'!$B36</f>
        <v>-1.7470351738033268E-2</v>
      </c>
      <c r="AA36" s="10">
        <f>LN([2]Sheet1!Z31/[2]Sheet1!Z30)-'[1]Page 331'!$B36</f>
        <v>6.4559985682287907E-2</v>
      </c>
      <c r="AB36" s="10">
        <f>LN([2]Sheet1!AA31/[2]Sheet1!AA30)-'[1]Page 331'!$B36</f>
        <v>-2.1929192564918182E-2</v>
      </c>
      <c r="AC36" s="10">
        <f>LN([2]Sheet1!AB31/[2]Sheet1!AB30)-'[1]Page 331'!$B36</f>
        <v>-3.0459770492212528E-2</v>
      </c>
      <c r="AD36" s="10">
        <f>LN([2]Sheet1!AC31/[2]Sheet1!AC30)-'[1]Page 331'!$B36</f>
        <v>1.5151387084582987E-2</v>
      </c>
      <c r="AE36" s="10">
        <f>LN([2]Sheet1!AD31/[2]Sheet1!AD30)-'[1]Page 331'!$B36</f>
        <v>-2.358393443878196E-2</v>
      </c>
      <c r="AF36" s="10">
        <f>LN([2]Sheet1!AE31/[2]Sheet1!AE30)-'[1]Page 331'!$B36</f>
        <v>-5.8552920602991422E-2</v>
      </c>
      <c r="AG36" s="10">
        <f>LN([2]Sheet1!AF31/[2]Sheet1!AF30)-'[1]Page 331'!$B36</f>
        <v>-4.2601200012266438E-3</v>
      </c>
    </row>
    <row r="37" spans="1:33" x14ac:dyDescent="0.25">
      <c r="A37" s="13">
        <v>37956</v>
      </c>
      <c r="B37" s="10">
        <v>7.7500000000000008E-4</v>
      </c>
      <c r="C37" s="10">
        <f>LN([2]Sheet1!B32/[2]Sheet1!B31)-'[1]Page 331'!$B37</f>
        <v>4.874389930647121E-2</v>
      </c>
      <c r="D37" s="10">
        <f>LN([2]Sheet1!C32/[2]Sheet1!C31)-'[1]Page 331'!$B37</f>
        <v>0.1460758746690195</v>
      </c>
      <c r="E37" s="10">
        <f>LN([2]Sheet1!D32/[2]Sheet1!D31)-'[1]Page 331'!$B37</f>
        <v>0.13472847731826643</v>
      </c>
      <c r="F37" s="10">
        <f>LN([2]Sheet1!E32/[2]Sheet1!E31)-'[1]Page 331'!$B37</f>
        <v>5.5030262571967005E-2</v>
      </c>
      <c r="G37" s="10">
        <f>LN([2]Sheet1!F32/[2]Sheet1!F31)-'[1]Page 331'!$B37</f>
        <v>9.23877466417211E-2</v>
      </c>
      <c r="H37" s="10">
        <f>LN([2]Sheet1!G32/[2]Sheet1!G31)-'[1]Page 331'!$B37</f>
        <v>3.0843692175218217E-2</v>
      </c>
      <c r="I37" s="10">
        <f>LN([2]Sheet1!H32/[2]Sheet1!H31)-'[1]Page 331'!$B37</f>
        <v>8.7106918383866763E-2</v>
      </c>
      <c r="J37" s="10">
        <f>LN([2]Sheet1!I32/[2]Sheet1!I31)-'[1]Page 331'!$B37</f>
        <v>0.10072891334127385</v>
      </c>
      <c r="K37" s="10">
        <f>LN([2]Sheet1!J32/[2]Sheet1!J31)-'[1]Page 331'!$B37</f>
        <v>1.9088817979480231E-2</v>
      </c>
      <c r="L37" s="10">
        <f>LN([2]Sheet1!K32/[2]Sheet1!K31)-'[1]Page 331'!$B37</f>
        <v>8.326581462010571E-2</v>
      </c>
      <c r="M37" s="10">
        <f>LN([2]Sheet1!L32/[2]Sheet1!L31)-'[1]Page 331'!$B37</f>
        <v>0.22082357351561749</v>
      </c>
      <c r="N37" s="10">
        <f>LN([2]Sheet1!M32/[2]Sheet1!M31)-'[1]Page 331'!$B37</f>
        <v>-3.4049788884872319E-2</v>
      </c>
      <c r="O37" s="10">
        <f>LN([2]Sheet1!N32/[2]Sheet1!N31)-'[1]Page 331'!$B37</f>
        <v>0.11779798751040188</v>
      </c>
      <c r="P37" s="10">
        <f>LN([2]Sheet1!O32/[2]Sheet1!O31)-'[1]Page 331'!$B37</f>
        <v>5.7628991538189345E-2</v>
      </c>
      <c r="Q37" s="10">
        <f>LN([2]Sheet1!P32/[2]Sheet1!P31)-'[1]Page 331'!$B37</f>
        <v>2.257410295957836E-2</v>
      </c>
      <c r="R37" s="10">
        <f>LN([2]Sheet1!Q32/[2]Sheet1!Q31)-'[1]Page 331'!$B37</f>
        <v>-4.631591997795121E-2</v>
      </c>
      <c r="S37" s="10">
        <f>LN([2]Sheet1!R32/[2]Sheet1!R31)-'[1]Page 331'!$B37</f>
        <v>4.5919601720825397E-2</v>
      </c>
      <c r="T37" s="10">
        <f>LN([2]Sheet1!S32/[2]Sheet1!S31)-'[1]Page 331'!$B37</f>
        <v>3.6226622069618186E-2</v>
      </c>
      <c r="U37" s="10">
        <f>LN([2]Sheet1!T32/[2]Sheet1!T31)-'[1]Page 331'!$B37</f>
        <v>8.682748934678837E-2</v>
      </c>
      <c r="V37" s="10">
        <f>LN([2]Sheet1!U32/[2]Sheet1!U31)-'[1]Page 331'!$B37</f>
        <v>-3.2497536398480013E-2</v>
      </c>
      <c r="W37" s="10">
        <f>LN([2]Sheet1!V32/[2]Sheet1!V31)-'[1]Page 331'!$B37</f>
        <v>7.2257636721528268E-2</v>
      </c>
      <c r="X37" s="10">
        <f>LN([2]Sheet1!W32/[2]Sheet1!W31)-'[1]Page 331'!$B37</f>
        <v>5.7551808890349984E-2</v>
      </c>
      <c r="Y37" s="10">
        <f>LN([2]Sheet1!X32/[2]Sheet1!X31)-'[1]Page 331'!$B37</f>
        <v>0.13735744202968306</v>
      </c>
      <c r="Z37" s="10">
        <f>LN([2]Sheet1!Y32/[2]Sheet1!Y31)-'[1]Page 331'!$B37</f>
        <v>6.151698360330389E-2</v>
      </c>
      <c r="AA37" s="10">
        <f>LN([2]Sheet1!Z32/[2]Sheet1!Z31)-'[1]Page 331'!$B37</f>
        <v>5.0278725610202094E-2</v>
      </c>
      <c r="AB37" s="10">
        <f>LN([2]Sheet1!AA32/[2]Sheet1!AA31)-'[1]Page 331'!$B37</f>
        <v>3.6496394797231602E-2</v>
      </c>
      <c r="AC37" s="10">
        <f>LN([2]Sheet1!AB32/[2]Sheet1!AB31)-'[1]Page 331'!$B37</f>
        <v>0.11260662010017296</v>
      </c>
      <c r="AD37" s="10">
        <f>LN([2]Sheet1!AC32/[2]Sheet1!AC31)-'[1]Page 331'!$B37</f>
        <v>9.9909878852226852E-2</v>
      </c>
      <c r="AE37" s="10">
        <f>LN([2]Sheet1!AD32/[2]Sheet1!AD31)-'[1]Page 331'!$B37</f>
        <v>6.5204955075818971E-2</v>
      </c>
      <c r="AF37" s="10">
        <f>LN([2]Sheet1!AE32/[2]Sheet1!AE31)-'[1]Page 331'!$B37</f>
        <v>-4.6659826115336124E-2</v>
      </c>
      <c r="AG37" s="10">
        <f>LN([2]Sheet1!AF32/[2]Sheet1!AF31)-'[1]Page 331'!$B37</f>
        <v>0.12356437726874699</v>
      </c>
    </row>
    <row r="38" spans="1:33" x14ac:dyDescent="0.25">
      <c r="A38" s="13">
        <v>37988</v>
      </c>
      <c r="B38" s="10">
        <v>7.5000000000000012E-4</v>
      </c>
      <c r="C38" s="10">
        <f>LN([2]Sheet1!B33/[2]Sheet1!B32)-'[1]Page 331'!$B38</f>
        <v>1.6378882262967211E-2</v>
      </c>
      <c r="D38" s="10">
        <f>LN([2]Sheet1!C33/[2]Sheet1!C32)-'[1]Page 331'!$B38</f>
        <v>-0.10681730547874653</v>
      </c>
      <c r="E38" s="10">
        <f>LN([2]Sheet1!D33/[2]Sheet1!D32)-'[1]Page 331'!$B38</f>
        <v>4.595109304598062E-2</v>
      </c>
      <c r="F38" s="10">
        <f>LN([2]Sheet1!E33/[2]Sheet1!E32)-'[1]Page 331'!$B38</f>
        <v>7.1452318717675739E-2</v>
      </c>
      <c r="G38" s="10">
        <f>LN([2]Sheet1!F33/[2]Sheet1!F32)-'[1]Page 331'!$B38</f>
        <v>-9.934624575250595E-3</v>
      </c>
      <c r="H38" s="10">
        <f>LN([2]Sheet1!G33/[2]Sheet1!G32)-'[1]Page 331'!$B38</f>
        <v>2.6636870654487638E-2</v>
      </c>
      <c r="I38" s="10">
        <f>LN([2]Sheet1!H33/[2]Sheet1!H32)-'[1]Page 331'!$B38</f>
        <v>-5.7227063555120791E-2</v>
      </c>
      <c r="J38" s="10">
        <f>LN([2]Sheet1!I33/[2]Sheet1!I32)-'[1]Page 331'!$B38</f>
        <v>-4.5008220426428019E-2</v>
      </c>
      <c r="K38" s="10">
        <f>LN([2]Sheet1!J33/[2]Sheet1!J32)-'[1]Page 331'!$B38</f>
        <v>2.7687935320533409E-2</v>
      </c>
      <c r="L38" s="10">
        <f>LN([2]Sheet1!K33/[2]Sheet1!K32)-'[1]Page 331'!$B38</f>
        <v>8.1225177732644746E-2</v>
      </c>
      <c r="M38" s="10">
        <f>LN([2]Sheet1!L33/[2]Sheet1!L32)-'[1]Page 331'!$B38</f>
        <v>-7.2809445965976702E-2</v>
      </c>
      <c r="N38" s="10">
        <f>LN([2]Sheet1!M33/[2]Sheet1!M32)-'[1]Page 331'!$B38</f>
        <v>-1.3285363192894809E-3</v>
      </c>
      <c r="O38" s="10">
        <f>LN([2]Sheet1!N33/[2]Sheet1!N32)-'[1]Page 331'!$B38</f>
        <v>7.6713944536647219E-2</v>
      </c>
      <c r="P38" s="10">
        <f>LN([2]Sheet1!O33/[2]Sheet1!O32)-'[1]Page 331'!$B38</f>
        <v>3.4201578022813504E-2</v>
      </c>
      <c r="Q38" s="10">
        <f>LN([2]Sheet1!P33/[2]Sheet1!P32)-'[1]Page 331'!$B38</f>
        <v>6.7535907866131367E-2</v>
      </c>
      <c r="R38" s="10">
        <f>LN([2]Sheet1!Q33/[2]Sheet1!Q32)-'[1]Page 331'!$B38</f>
        <v>-4.9475898882304685E-2</v>
      </c>
      <c r="S38" s="10">
        <f>LN([2]Sheet1!R33/[2]Sheet1!R32)-'[1]Page 331'!$B38</f>
        <v>3.2696594158827995E-2</v>
      </c>
      <c r="T38" s="10">
        <f>LN([2]Sheet1!S33/[2]Sheet1!S32)-'[1]Page 331'!$B38</f>
        <v>6.5737985652396455E-2</v>
      </c>
      <c r="U38" s="10">
        <f>LN([2]Sheet1!T33/[2]Sheet1!T32)-'[1]Page 331'!$B38</f>
        <v>-3.0977929391224644E-2</v>
      </c>
      <c r="V38" s="10">
        <f>LN([2]Sheet1!U33/[2]Sheet1!U32)-'[1]Page 331'!$B38</f>
        <v>3.5019486478677309E-2</v>
      </c>
      <c r="W38" s="10">
        <f>LN([2]Sheet1!V33/[2]Sheet1!V32)-'[1]Page 331'!$B38</f>
        <v>-7.3117079292633766E-2</v>
      </c>
      <c r="X38" s="10">
        <f>LN([2]Sheet1!W33/[2]Sheet1!W32)-'[1]Page 331'!$B38</f>
        <v>2.0527398447284878E-2</v>
      </c>
      <c r="Y38" s="10">
        <f>LN([2]Sheet1!X33/[2]Sheet1!X32)-'[1]Page 331'!$B38</f>
        <v>2.9003474096948124E-2</v>
      </c>
      <c r="Z38" s="10">
        <f>LN([2]Sheet1!Y33/[2]Sheet1!Y32)-'[1]Page 331'!$B38</f>
        <v>9.6084932827421275E-3</v>
      </c>
      <c r="AA38" s="10">
        <f>LN([2]Sheet1!Z33/[2]Sheet1!Z32)-'[1]Page 331'!$B38</f>
        <v>3.5314107971852679E-2</v>
      </c>
      <c r="AB38" s="10">
        <f>LN([2]Sheet1!AA33/[2]Sheet1!AA32)-'[1]Page 331'!$B38</f>
        <v>1.5724150076722294E-2</v>
      </c>
      <c r="AC38" s="10">
        <f>LN([2]Sheet1!AB33/[2]Sheet1!AB32)-'[1]Page 331'!$B38</f>
        <v>-1.139311598732076E-2</v>
      </c>
      <c r="AD38" s="10">
        <f>LN([2]Sheet1!AC33/[2]Sheet1!AC32)-'[1]Page 331'!$B38</f>
        <v>7.3454385886665549E-3</v>
      </c>
      <c r="AE38" s="10">
        <f>LN([2]Sheet1!AD33/[2]Sheet1!AD32)-'[1]Page 331'!$B38</f>
        <v>5.9324363275915191E-2</v>
      </c>
      <c r="AF38" s="10">
        <f>LN([2]Sheet1!AE33/[2]Sheet1!AE32)-'[1]Page 331'!$B38</f>
        <v>1.4079352158300782E-2</v>
      </c>
      <c r="AG38" s="10">
        <f>LN([2]Sheet1!AF33/[2]Sheet1!AF32)-'[1]Page 331'!$B38</f>
        <v>-5.6551343992586201E-3</v>
      </c>
    </row>
    <row r="39" spans="1:33" x14ac:dyDescent="0.25">
      <c r="A39" s="13">
        <v>38019</v>
      </c>
      <c r="B39" s="10">
        <v>7.3333333333333334E-4</v>
      </c>
      <c r="C39" s="10">
        <f>LN([2]Sheet1!B34/[2]Sheet1!B33)-'[1]Page 331'!$B39</f>
        <v>1.140176749579255E-2</v>
      </c>
      <c r="D39" s="10">
        <f>LN([2]Sheet1!C34/[2]Sheet1!C33)-'[1]Page 331'!$B39</f>
        <v>9.5610322813972234E-2</v>
      </c>
      <c r="E39" s="10">
        <f>LN([2]Sheet1!D34/[2]Sheet1!D33)-'[1]Page 331'!$B39</f>
        <v>6.2726074035929141E-2</v>
      </c>
      <c r="F39" s="10">
        <f>LN([2]Sheet1!E34/[2]Sheet1!E33)-'[1]Page 331'!$B39</f>
        <v>2.9245596528153436E-2</v>
      </c>
      <c r="G39" s="10">
        <f>LN([2]Sheet1!F34/[2]Sheet1!F33)-'[1]Page 331'!$B39</f>
        <v>4.1265026354630543E-2</v>
      </c>
      <c r="H39" s="10">
        <f>LN([2]Sheet1!G34/[2]Sheet1!G33)-'[1]Page 331'!$B39</f>
        <v>1.4831183207778214E-2</v>
      </c>
      <c r="I39" s="10">
        <f>LN([2]Sheet1!H34/[2]Sheet1!H33)-'[1]Page 331'!$B39</f>
        <v>-3.1588284381381081E-2</v>
      </c>
      <c r="J39" s="10">
        <f>LN([2]Sheet1!I34/[2]Sheet1!I33)-'[1]Page 331'!$B39</f>
        <v>3.3777989532249683E-2</v>
      </c>
      <c r="K39" s="10">
        <f>LN([2]Sheet1!J34/[2]Sheet1!J33)-'[1]Page 331'!$B39</f>
        <v>9.943103791889521E-2</v>
      </c>
      <c r="L39" s="10">
        <f>LN([2]Sheet1!K34/[2]Sheet1!K33)-'[1]Page 331'!$B39</f>
        <v>-2.8079415658848528E-2</v>
      </c>
      <c r="M39" s="10">
        <f>LN([2]Sheet1!L34/[2]Sheet1!L33)-'[1]Page 331'!$B39</f>
        <v>-2.2513619698980948E-2</v>
      </c>
      <c r="N39" s="10">
        <f>LN([2]Sheet1!M34/[2]Sheet1!M33)-'[1]Page 331'!$B39</f>
        <v>2.2716411462451021E-2</v>
      </c>
      <c r="O39" s="10">
        <f>LN([2]Sheet1!N34/[2]Sheet1!N33)-'[1]Page 331'!$B39</f>
        <v>-2.5594039559564061E-2</v>
      </c>
      <c r="P39" s="10">
        <f>LN([2]Sheet1!O34/[2]Sheet1!O33)-'[1]Page 331'!$B39</f>
        <v>-4.700493262115308E-2</v>
      </c>
      <c r="Q39" s="10">
        <f>LN([2]Sheet1!P34/[2]Sheet1!P33)-'[1]Page 331'!$B39</f>
        <v>-2.7067143437025393E-2</v>
      </c>
      <c r="R39" s="10">
        <f>LN([2]Sheet1!Q34/[2]Sheet1!Q33)-'[1]Page 331'!$B39</f>
        <v>-4.382116327633969E-2</v>
      </c>
      <c r="S39" s="10">
        <f>LN([2]Sheet1!R34/[2]Sheet1!R33)-'[1]Page 331'!$B39</f>
        <v>1.2960151372026767E-2</v>
      </c>
      <c r="T39" s="10">
        <f>LN([2]Sheet1!S34/[2]Sheet1!S33)-'[1]Page 331'!$B39</f>
        <v>5.259440701882543E-2</v>
      </c>
      <c r="U39" s="10">
        <f>LN([2]Sheet1!T34/[2]Sheet1!T33)-'[1]Page 331'!$B39</f>
        <v>1.3643054170635724E-2</v>
      </c>
      <c r="V39" s="10">
        <f>LN([2]Sheet1!U34/[2]Sheet1!U33)-'[1]Page 331'!$B39</f>
        <v>9.4356525535939595E-2</v>
      </c>
      <c r="W39" s="10">
        <f>LN([2]Sheet1!V34/[2]Sheet1!V33)-'[1]Page 331'!$B39</f>
        <v>-9.8230898097627899E-3</v>
      </c>
      <c r="X39" s="10">
        <f>LN([2]Sheet1!W34/[2]Sheet1!W33)-'[1]Page 331'!$B39</f>
        <v>3.388321233583054E-2</v>
      </c>
      <c r="Y39" s="10">
        <f>LN([2]Sheet1!X34/[2]Sheet1!X33)-'[1]Page 331'!$B39</f>
        <v>9.3005858750968111E-3</v>
      </c>
      <c r="Z39" s="10">
        <f>LN([2]Sheet1!Y34/[2]Sheet1!Y33)-'[1]Page 331'!$B39</f>
        <v>-4.1967613986000359E-2</v>
      </c>
      <c r="AA39" s="10">
        <f>LN([2]Sheet1!Z34/[2]Sheet1!Z33)-'[1]Page 331'!$B39</f>
        <v>4.2309052158982733E-3</v>
      </c>
      <c r="AB39" s="10">
        <f>LN([2]Sheet1!AA34/[2]Sheet1!AA33)-'[1]Page 331'!$B39</f>
        <v>1.3436736395319357E-2</v>
      </c>
      <c r="AC39" s="10">
        <f>LN([2]Sheet1!AB34/[2]Sheet1!AB33)-'[1]Page 331'!$B39</f>
        <v>-6.0912223027389446E-2</v>
      </c>
      <c r="AD39" s="10">
        <f>LN([2]Sheet1!AC34/[2]Sheet1!AC33)-'[1]Page 331'!$B39</f>
        <v>-3.3515892436064669E-2</v>
      </c>
      <c r="AE39" s="10">
        <f>LN([2]Sheet1!AD34/[2]Sheet1!AD33)-'[1]Page 331'!$B39</f>
        <v>3.8277121551935182E-2</v>
      </c>
      <c r="AF39" s="10">
        <f>LN([2]Sheet1!AE34/[2]Sheet1!AE33)-'[1]Page 331'!$B39</f>
        <v>0.10010540883213601</v>
      </c>
      <c r="AG39" s="10">
        <f>LN([2]Sheet1!AF34/[2]Sheet1!AF33)-'[1]Page 331'!$B39</f>
        <v>3.8596865783459042E-2</v>
      </c>
    </row>
    <row r="40" spans="1:33" x14ac:dyDescent="0.25">
      <c r="A40" s="13">
        <v>38047</v>
      </c>
      <c r="B40" s="10">
        <v>7.7500000000000008E-4</v>
      </c>
      <c r="C40" s="10">
        <f>LN([2]Sheet1!B35/[2]Sheet1!B34)-'[1]Page 331'!$B40</f>
        <v>-1.7269220669989049E-2</v>
      </c>
      <c r="D40" s="10">
        <f>LN([2]Sheet1!C35/[2]Sheet1!C34)-'[1]Page 331'!$B40</f>
        <v>-7.7937066365471569E-2</v>
      </c>
      <c r="E40" s="10">
        <f>LN([2]Sheet1!D35/[2]Sheet1!D34)-'[1]Page 331'!$B40</f>
        <v>-3.6400755369347684E-2</v>
      </c>
      <c r="F40" s="10">
        <f>LN([2]Sheet1!E35/[2]Sheet1!E34)-'[1]Page 331'!$B40</f>
        <v>-2.8502183807602506E-2</v>
      </c>
      <c r="G40" s="10">
        <f>LN([2]Sheet1!F35/[2]Sheet1!F34)-'[1]Page 331'!$B40</f>
        <v>-5.5320575740052669E-2</v>
      </c>
      <c r="H40" s="10">
        <f>LN([2]Sheet1!G35/[2]Sheet1!G34)-'[1]Page 331'!$B40</f>
        <v>2.7562696551702483E-2</v>
      </c>
      <c r="I40" s="10">
        <f>LN([2]Sheet1!H35/[2]Sheet1!H34)-'[1]Page 331'!$B40</f>
        <v>4.2265532294163521E-2</v>
      </c>
      <c r="J40" s="10">
        <f>LN([2]Sheet1!I35/[2]Sheet1!I34)-'[1]Page 331'!$B40</f>
        <v>-6.6428970221436776E-2</v>
      </c>
      <c r="K40" s="10">
        <f>LN([2]Sheet1!J35/[2]Sheet1!J34)-'[1]Page 331'!$B40</f>
        <v>-6.0559275544337959E-2</v>
      </c>
      <c r="L40" s="10">
        <f>LN([2]Sheet1!K35/[2]Sheet1!K34)-'[1]Page 331'!$B40</f>
        <v>-6.440069588021155E-2</v>
      </c>
      <c r="M40" s="10">
        <f>LN([2]Sheet1!L35/[2]Sheet1!L34)-'[1]Page 331'!$B40</f>
        <v>-1.8976660757083822E-2</v>
      </c>
      <c r="N40" s="10">
        <f>LN([2]Sheet1!M35/[2]Sheet1!M34)-'[1]Page 331'!$B40</f>
        <v>2.9568316088949598E-2</v>
      </c>
      <c r="O40" s="10">
        <f>LN([2]Sheet1!N35/[2]Sheet1!N34)-'[1]Page 331'!$B40</f>
        <v>-3.5534596935936143E-2</v>
      </c>
      <c r="P40" s="10">
        <f>LN([2]Sheet1!O35/[2]Sheet1!O34)-'[1]Page 331'!$B40</f>
        <v>8.2912452377530421E-3</v>
      </c>
      <c r="Q40" s="10">
        <f>LN([2]Sheet1!P35/[2]Sheet1!P34)-'[1]Page 331'!$B40</f>
        <v>-5.0264264900183771E-2</v>
      </c>
      <c r="R40" s="10">
        <f>LN([2]Sheet1!Q35/[2]Sheet1!Q34)-'[1]Page 331'!$B40</f>
        <v>-7.1555812180571471E-2</v>
      </c>
      <c r="S40" s="10">
        <f>LN([2]Sheet1!R35/[2]Sheet1!R34)-'[1]Page 331'!$B40</f>
        <v>-6.1861162154750689E-2</v>
      </c>
      <c r="T40" s="10">
        <f>LN([2]Sheet1!S35/[2]Sheet1!S34)-'[1]Page 331'!$B40</f>
        <v>2.1609081383537433E-2</v>
      </c>
      <c r="U40" s="10">
        <f>LN([2]Sheet1!T35/[2]Sheet1!T34)-'[1]Page 331'!$B40</f>
        <v>1.1084520617718223E-2</v>
      </c>
      <c r="V40" s="10">
        <f>LN([2]Sheet1!U35/[2]Sheet1!U34)-'[1]Page 331'!$B40</f>
        <v>8.7279954914861145E-3</v>
      </c>
      <c r="W40" s="10">
        <f>LN([2]Sheet1!V35/[2]Sheet1!V34)-'[1]Page 331'!$B40</f>
        <v>4.7330729904370469E-2</v>
      </c>
      <c r="X40" s="10">
        <f>LN([2]Sheet1!W35/[2]Sheet1!W34)-'[1]Page 331'!$B40</f>
        <v>-4.4542600886521157E-2</v>
      </c>
      <c r="Y40" s="10">
        <f>LN([2]Sheet1!X35/[2]Sheet1!X34)-'[1]Page 331'!$B40</f>
        <v>-7.7225375170201491E-2</v>
      </c>
      <c r="Z40" s="10">
        <f>LN([2]Sheet1!Y35/[2]Sheet1!Y34)-'[1]Page 331'!$B40</f>
        <v>-6.3253788174560607E-2</v>
      </c>
      <c r="AA40" s="10">
        <f>LN([2]Sheet1!Z35/[2]Sheet1!Z34)-'[1]Page 331'!$B40</f>
        <v>-4.5147322885373091E-2</v>
      </c>
      <c r="AB40" s="10">
        <f>LN([2]Sheet1!AA35/[2]Sheet1!AA34)-'[1]Page 331'!$B40</f>
        <v>2.2005946868205624E-2</v>
      </c>
      <c r="AC40" s="10">
        <f>LN([2]Sheet1!AB35/[2]Sheet1!AB34)-'[1]Page 331'!$B40</f>
        <v>2.1234785688655226E-2</v>
      </c>
      <c r="AD40" s="10">
        <f>LN([2]Sheet1!AC35/[2]Sheet1!AC34)-'[1]Page 331'!$B40</f>
        <v>-6.5899146309160966E-2</v>
      </c>
      <c r="AE40" s="10">
        <f>LN([2]Sheet1!AD35/[2]Sheet1!AD34)-'[1]Page 331'!$B40</f>
        <v>-4.8631021177635098E-2</v>
      </c>
      <c r="AF40" s="10">
        <f>LN([2]Sheet1!AE35/[2]Sheet1!AE34)-'[1]Page 331'!$B40</f>
        <v>3.7085391540929856E-3</v>
      </c>
      <c r="AG40" s="10">
        <f>LN([2]Sheet1!AF35/[2]Sheet1!AF34)-'[1]Page 331'!$B40</f>
        <v>-1.4554498999322442E-2</v>
      </c>
    </row>
    <row r="41" spans="1:33" x14ac:dyDescent="0.25">
      <c r="A41" s="13">
        <v>38078</v>
      </c>
      <c r="B41" s="10">
        <v>7.8333333333333326E-4</v>
      </c>
      <c r="C41" s="10">
        <f>LN([2]Sheet1!B36/[2]Sheet1!B35)-'[1]Page 331'!$B41</f>
        <v>-1.7716726827877428E-2</v>
      </c>
      <c r="D41" s="10">
        <f>LN([2]Sheet1!C36/[2]Sheet1!C35)-'[1]Page 331'!$B41</f>
        <v>-0.12113298925579161</v>
      </c>
      <c r="E41" s="10">
        <f>LN([2]Sheet1!D36/[2]Sheet1!D35)-'[1]Page 331'!$B41</f>
        <v>3.4744079838520772E-3</v>
      </c>
      <c r="F41" s="10">
        <f>LN([2]Sheet1!E36/[2]Sheet1!E35)-'[1]Page 331'!$B41</f>
        <v>-5.8418164523884382E-2</v>
      </c>
      <c r="G41" s="10">
        <f>LN([2]Sheet1!F36/[2]Sheet1!F35)-'[1]Page 331'!$B41</f>
        <v>3.7854459372080589E-2</v>
      </c>
      <c r="H41" s="10">
        <f>LN([2]Sheet1!G36/[2]Sheet1!G35)-'[1]Page 331'!$B41</f>
        <v>-6.493271696147733E-2</v>
      </c>
      <c r="I41" s="10">
        <f>LN([2]Sheet1!H36/[2]Sheet1!H35)-'[1]Page 331'!$B41</f>
        <v>-1.3502105741107892E-2</v>
      </c>
      <c r="J41" s="10">
        <f>LN([2]Sheet1!I36/[2]Sheet1!I35)-'[1]Page 331'!$B41</f>
        <v>1.6414864963887488E-2</v>
      </c>
      <c r="K41" s="10">
        <f>LN([2]Sheet1!J36/[2]Sheet1!J35)-'[1]Page 331'!$B41</f>
        <v>-8.2357200393442756E-2</v>
      </c>
      <c r="L41" s="10">
        <f>LN([2]Sheet1!K36/[2]Sheet1!K35)-'[1]Page 331'!$B41</f>
        <v>-1.937709827174864E-2</v>
      </c>
      <c r="M41" s="10">
        <f>LN([2]Sheet1!L36/[2]Sheet1!L35)-'[1]Page 331'!$B41</f>
        <v>2.7885242563094278E-3</v>
      </c>
      <c r="N41" s="10">
        <f>LN([2]Sheet1!M36/[2]Sheet1!M35)-'[1]Page 331'!$B41</f>
        <v>-6.0671319485563799E-2</v>
      </c>
      <c r="O41" s="10">
        <f>LN([2]Sheet1!N36/[2]Sheet1!N35)-'[1]Page 331'!$B41</f>
        <v>2.0399346648189362E-2</v>
      </c>
      <c r="P41" s="10">
        <f>LN([2]Sheet1!O36/[2]Sheet1!O35)-'[1]Page 331'!$B41</f>
        <v>-0.14833728758916109</v>
      </c>
      <c r="Q41" s="10">
        <f>LN([2]Sheet1!P36/[2]Sheet1!P35)-'[1]Page 331'!$B41</f>
        <v>-4.1545064130245453E-2</v>
      </c>
      <c r="R41" s="10">
        <f>LN([2]Sheet1!Q36/[2]Sheet1!Q35)-'[1]Page 331'!$B41</f>
        <v>-5.6363986598876571E-2</v>
      </c>
      <c r="S41" s="10">
        <f>LN([2]Sheet1!R36/[2]Sheet1!R35)-'[1]Page 331'!$B41</f>
        <v>6.2437715609952829E-2</v>
      </c>
      <c r="T41" s="10">
        <f>LN([2]Sheet1!S36/[2]Sheet1!S35)-'[1]Page 331'!$B41</f>
        <v>-0.10238933194535622</v>
      </c>
      <c r="U41" s="10">
        <f>LN([2]Sheet1!T36/[2]Sheet1!T35)-'[1]Page 331'!$B41</f>
        <v>4.6754247104177707E-3</v>
      </c>
      <c r="V41" s="10">
        <f>LN([2]Sheet1!U36/[2]Sheet1!U35)-'[1]Page 331'!$B41</f>
        <v>-4.8846224743436473E-2</v>
      </c>
      <c r="W41" s="10">
        <f>LN([2]Sheet1!V36/[2]Sheet1!V35)-'[1]Page 331'!$B41</f>
        <v>5.3997601364178013E-2</v>
      </c>
      <c r="X41" s="10">
        <f>LN([2]Sheet1!W36/[2]Sheet1!W35)-'[1]Page 331'!$B41</f>
        <v>1.6231458344238611E-2</v>
      </c>
      <c r="Y41" s="10">
        <f>LN([2]Sheet1!X36/[2]Sheet1!X35)-'[1]Page 331'!$B41</f>
        <v>6.069600198508248E-2</v>
      </c>
      <c r="Z41" s="10">
        <f>LN([2]Sheet1!Y36/[2]Sheet1!Y35)-'[1]Page 331'!$B41</f>
        <v>4.6546928847803225E-2</v>
      </c>
      <c r="AA41" s="10">
        <f>LN([2]Sheet1!Z36/[2]Sheet1!Z35)-'[1]Page 331'!$B41</f>
        <v>1.9114820913459781E-2</v>
      </c>
      <c r="AB41" s="10">
        <f>LN([2]Sheet1!AA36/[2]Sheet1!AA35)-'[1]Page 331'!$B41</f>
        <v>1.2679550665073928E-2</v>
      </c>
      <c r="AC41" s="10">
        <f>LN([2]Sheet1!AB36/[2]Sheet1!AB35)-'[1]Page 331'!$B41</f>
        <v>2.6177404062171724E-2</v>
      </c>
      <c r="AD41" s="10">
        <f>LN([2]Sheet1!AC36/[2]Sheet1!AC35)-'[1]Page 331'!$B41</f>
        <v>-1.2641025733628321E-3</v>
      </c>
      <c r="AE41" s="10">
        <f>LN([2]Sheet1!AD36/[2]Sheet1!AD35)-'[1]Page 331'!$B41</f>
        <v>4.180181180530259E-2</v>
      </c>
      <c r="AF41" s="10">
        <f>LN([2]Sheet1!AE36/[2]Sheet1!AE35)-'[1]Page 331'!$B41</f>
        <v>-4.6910151283026613E-2</v>
      </c>
      <c r="AG41" s="10">
        <f>LN([2]Sheet1!AF36/[2]Sheet1!AF35)-'[1]Page 331'!$B41</f>
        <v>2.1913737766301192E-2</v>
      </c>
    </row>
    <row r="42" spans="1:33" x14ac:dyDescent="0.25">
      <c r="A42" s="13">
        <v>38110</v>
      </c>
      <c r="B42" s="10">
        <v>7.8333333333333326E-4</v>
      </c>
      <c r="C42" s="10">
        <f>LN([2]Sheet1!B37/[2]Sheet1!B36)-'[1]Page 331'!$B42</f>
        <v>1.1227690872231034E-2</v>
      </c>
      <c r="D42" s="10">
        <f>LN([2]Sheet1!C37/[2]Sheet1!C36)-'[1]Page 331'!$B42</f>
        <v>2.1749989322468452E-2</v>
      </c>
      <c r="E42" s="10">
        <f>LN([2]Sheet1!D37/[2]Sheet1!D36)-'[1]Page 331'!$B42</f>
        <v>2.1900361201166719E-2</v>
      </c>
      <c r="F42" s="10">
        <f>LN([2]Sheet1!E37/[2]Sheet1!E36)-'[1]Page 331'!$B42</f>
        <v>3.4332634321867811E-2</v>
      </c>
      <c r="G42" s="10">
        <f>LN([2]Sheet1!F37/[2]Sheet1!F36)-'[1]Page 331'!$B42</f>
        <v>7.4087918182984269E-2</v>
      </c>
      <c r="H42" s="10">
        <f>LN([2]Sheet1!G37/[2]Sheet1!G36)-'[1]Page 331'!$B42</f>
        <v>-3.5850833317772411E-2</v>
      </c>
      <c r="I42" s="10">
        <f>LN([2]Sheet1!H37/[2]Sheet1!H36)-'[1]Page 331'!$B42</f>
        <v>-3.1930062330170039E-2</v>
      </c>
      <c r="J42" s="10">
        <f>LN([2]Sheet1!I37/[2]Sheet1!I36)-'[1]Page 331'!$B42</f>
        <v>1.3408365077529837E-2</v>
      </c>
      <c r="K42" s="10">
        <f>LN([2]Sheet1!J37/[2]Sheet1!J36)-'[1]Page 331'!$B42</f>
        <v>1.8072739480491408E-2</v>
      </c>
      <c r="L42" s="10">
        <f>LN([2]Sheet1!K37/[2]Sheet1!K36)-'[1]Page 331'!$B42</f>
        <v>3.7429026756460995E-2</v>
      </c>
      <c r="M42" s="10">
        <f>LN([2]Sheet1!L37/[2]Sheet1!L36)-'[1]Page 331'!$B42</f>
        <v>-3.3398858693495612E-2</v>
      </c>
      <c r="N42" s="10">
        <f>LN([2]Sheet1!M37/[2]Sheet1!M36)-'[1]Page 331'!$B42</f>
        <v>1.9675527491396755E-2</v>
      </c>
      <c r="O42" s="10">
        <f>LN([2]Sheet1!N37/[2]Sheet1!N36)-'[1]Page 331'!$B42</f>
        <v>-2.0725703078331902E-2</v>
      </c>
      <c r="P42" s="10">
        <f>LN([2]Sheet1!O37/[2]Sheet1!O36)-'[1]Page 331'!$B42</f>
        <v>7.4258153945778949E-2</v>
      </c>
      <c r="Q42" s="10">
        <f>LN([2]Sheet1!P37/[2]Sheet1!P36)-'[1]Page 331'!$B42</f>
        <v>6.0308063320758023E-3</v>
      </c>
      <c r="R42" s="10">
        <f>LN([2]Sheet1!Q37/[2]Sheet1!Q36)-'[1]Page 331'!$B42</f>
        <v>0.10457718232449302</v>
      </c>
      <c r="S42" s="10">
        <f>LN([2]Sheet1!R37/[2]Sheet1!R36)-'[1]Page 331'!$B42</f>
        <v>3.5016376924240963E-2</v>
      </c>
      <c r="T42" s="10">
        <f>LN([2]Sheet1!S37/[2]Sheet1!S36)-'[1]Page 331'!$B42</f>
        <v>-2.1168430606966909E-2</v>
      </c>
      <c r="U42" s="10">
        <f>LN([2]Sheet1!T37/[2]Sheet1!T36)-'[1]Page 331'!$B42</f>
        <v>1.4385788699581025E-2</v>
      </c>
      <c r="V42" s="10">
        <f>LN([2]Sheet1!U37/[2]Sheet1!U36)-'[1]Page 331'!$B42</f>
        <v>-3.1793570075893653E-2</v>
      </c>
      <c r="W42" s="10">
        <f>LN([2]Sheet1!V37/[2]Sheet1!V36)-'[1]Page 331'!$B42</f>
        <v>-1.8876736457606704E-2</v>
      </c>
      <c r="X42" s="10">
        <f>LN([2]Sheet1!W37/[2]Sheet1!W36)-'[1]Page 331'!$B42</f>
        <v>-0.14437868332767287</v>
      </c>
      <c r="Y42" s="10">
        <f>LN([2]Sheet1!X37/[2]Sheet1!X36)-'[1]Page 331'!$B42</f>
        <v>5.5599276870122016E-3</v>
      </c>
      <c r="Z42" s="10">
        <f>LN([2]Sheet1!Y37/[2]Sheet1!Y36)-'[1]Page 331'!$B42</f>
        <v>2.6994738441281233E-3</v>
      </c>
      <c r="AA42" s="10">
        <f>LN([2]Sheet1!Z37/[2]Sheet1!Z36)-'[1]Page 331'!$B42</f>
        <v>-7.9732983995724968E-3</v>
      </c>
      <c r="AB42" s="10">
        <f>LN([2]Sheet1!AA37/[2]Sheet1!AA36)-'[1]Page 331'!$B42</f>
        <v>1.8112719306061616E-2</v>
      </c>
      <c r="AC42" s="10">
        <f>LN([2]Sheet1!AB37/[2]Sheet1!AB36)-'[1]Page 331'!$B42</f>
        <v>-5.0227453395325063E-2</v>
      </c>
      <c r="AD42" s="10">
        <f>LN([2]Sheet1!AC37/[2]Sheet1!AC36)-'[1]Page 331'!$B42</f>
        <v>-1.5802995529374034E-2</v>
      </c>
      <c r="AE42" s="10">
        <f>LN([2]Sheet1!AD37/[2]Sheet1!AD36)-'[1]Page 331'!$B42</f>
        <v>-8.8168452285187493E-2</v>
      </c>
      <c r="AF42" s="10">
        <f>LN([2]Sheet1!AE37/[2]Sheet1!AE36)-'[1]Page 331'!$B42</f>
        <v>-2.09860406508528E-2</v>
      </c>
      <c r="AG42" s="10">
        <f>LN([2]Sheet1!AF37/[2]Sheet1!AF36)-'[1]Page 331'!$B42</f>
        <v>2.2133320450021466E-2</v>
      </c>
    </row>
    <row r="43" spans="1:33" x14ac:dyDescent="0.25">
      <c r="A43" s="13">
        <v>38139</v>
      </c>
      <c r="B43" s="10">
        <v>8.5000000000000006E-4</v>
      </c>
      <c r="C43" s="10">
        <f>LN([2]Sheet1!B38/[2]Sheet1!B37)-'[1]Page 331'!$B43</f>
        <v>1.6979189249312503E-2</v>
      </c>
      <c r="D43" s="10">
        <f>LN([2]Sheet1!C38/[2]Sheet1!C37)-'[1]Page 331'!$B43</f>
        <v>5.2884608594666538E-2</v>
      </c>
      <c r="E43" s="10">
        <f>LN([2]Sheet1!D38/[2]Sheet1!D37)-'[1]Page 331'!$B43</f>
        <v>-2.7791435851685514E-2</v>
      </c>
      <c r="F43" s="10">
        <f>LN([2]Sheet1!E38/[2]Sheet1!E37)-'[1]Page 331'!$B43</f>
        <v>1.4445355827889769E-2</v>
      </c>
      <c r="G43" s="10">
        <f>LN([2]Sheet1!F38/[2]Sheet1!F37)-'[1]Page 331'!$B43</f>
        <v>0.10858246648162849</v>
      </c>
      <c r="H43" s="10">
        <f>LN([2]Sheet1!G38/[2]Sheet1!G37)-'[1]Page 331'!$B43</f>
        <v>5.3058006281649171E-4</v>
      </c>
      <c r="I43" s="10">
        <f>LN([2]Sheet1!H38/[2]Sheet1!H37)-'[1]Page 331'!$B43</f>
        <v>5.2188675412935259E-2</v>
      </c>
      <c r="J43" s="10">
        <f>LN([2]Sheet1!I38/[2]Sheet1!I37)-'[1]Page 331'!$B43</f>
        <v>2.6943110250319549E-2</v>
      </c>
      <c r="K43" s="10">
        <f>LN([2]Sheet1!J38/[2]Sheet1!J37)-'[1]Page 331'!$B43</f>
        <v>8.1662421574464197E-2</v>
      </c>
      <c r="L43" s="10">
        <f>LN([2]Sheet1!K38/[2]Sheet1!K37)-'[1]Page 331'!$B43</f>
        <v>4.5437603427557621E-2</v>
      </c>
      <c r="M43" s="10">
        <f>LN([2]Sheet1!L38/[2]Sheet1!L37)-'[1]Page 331'!$B43</f>
        <v>2.5326967288443334E-2</v>
      </c>
      <c r="N43" s="10">
        <f>LN([2]Sheet1!M38/[2]Sheet1!M37)-'[1]Page 331'!$B43</f>
        <v>-1.8692199933558494E-2</v>
      </c>
      <c r="O43" s="10">
        <f>LN([2]Sheet1!N38/[2]Sheet1!N37)-'[1]Page 331'!$B43</f>
        <v>8.2358058088216293E-2</v>
      </c>
      <c r="P43" s="10">
        <f>LN([2]Sheet1!O38/[2]Sheet1!O37)-'[1]Page 331'!$B43</f>
        <v>-3.7654539601240196E-3</v>
      </c>
      <c r="Q43" s="10">
        <f>LN([2]Sheet1!P38/[2]Sheet1!P37)-'[1]Page 331'!$B43</f>
        <v>-5.8116440563256971E-3</v>
      </c>
      <c r="R43" s="10">
        <f>LN([2]Sheet1!Q38/[2]Sheet1!Q37)-'[1]Page 331'!$B43</f>
        <v>-3.4503505041642679E-2</v>
      </c>
      <c r="S43" s="10">
        <f>LN([2]Sheet1!R38/[2]Sheet1!R37)-'[1]Page 331'!$B43</f>
        <v>-1.0370732397186541E-3</v>
      </c>
      <c r="T43" s="10">
        <f>LN([2]Sheet1!S38/[2]Sheet1!S37)-'[1]Page 331'!$B43</f>
        <v>5.019318956290178E-2</v>
      </c>
      <c r="U43" s="10">
        <f>LN([2]Sheet1!T38/[2]Sheet1!T37)-'[1]Page 331'!$B43</f>
        <v>-1.3092086700391435E-2</v>
      </c>
      <c r="V43" s="10">
        <f>LN([2]Sheet1!U38/[2]Sheet1!U37)-'[1]Page 331'!$B43</f>
        <v>-1.6323429134963117E-2</v>
      </c>
      <c r="W43" s="10">
        <f>LN([2]Sheet1!V38/[2]Sheet1!V37)-'[1]Page 331'!$B43</f>
        <v>6.1558200320793052E-2</v>
      </c>
      <c r="X43" s="10">
        <f>LN([2]Sheet1!W38/[2]Sheet1!W37)-'[1]Page 331'!$B43</f>
        <v>5.5715714334123007E-2</v>
      </c>
      <c r="Y43" s="10">
        <f>LN([2]Sheet1!X38/[2]Sheet1!X37)-'[1]Page 331'!$B43</f>
        <v>1.1023029709262878E-2</v>
      </c>
      <c r="Z43" s="10">
        <f>LN([2]Sheet1!Y38/[2]Sheet1!Y37)-'[1]Page 331'!$B43</f>
        <v>8.4494045420647701E-2</v>
      </c>
      <c r="AA43" s="10">
        <f>LN([2]Sheet1!Z38/[2]Sheet1!Z37)-'[1]Page 331'!$B43</f>
        <v>-3.1067467700911011E-2</v>
      </c>
      <c r="AB43" s="10">
        <f>LN([2]Sheet1!AA38/[2]Sheet1!AA37)-'[1]Page 331'!$B43</f>
        <v>8.9436452501524058E-3</v>
      </c>
      <c r="AC43" s="10">
        <f>LN([2]Sheet1!AB38/[2]Sheet1!AB37)-'[1]Page 331'!$B43</f>
        <v>2.2096452829890128E-2</v>
      </c>
      <c r="AD43" s="10">
        <f>LN([2]Sheet1!AC38/[2]Sheet1!AC37)-'[1]Page 331'!$B43</f>
        <v>7.706882637632706E-2</v>
      </c>
      <c r="AE43" s="10">
        <f>LN([2]Sheet1!AD38/[2]Sheet1!AD37)-'[1]Page 331'!$B43</f>
        <v>4.486866933029085E-2</v>
      </c>
      <c r="AF43" s="10">
        <f>LN([2]Sheet1!AE38/[2]Sheet1!AE37)-'[1]Page 331'!$B43</f>
        <v>-6.0509836406335879E-2</v>
      </c>
      <c r="AG43" s="10">
        <f>LN([2]Sheet1!AF38/[2]Sheet1!AF37)-'[1]Page 331'!$B43</f>
        <v>2.5551818930548101E-2</v>
      </c>
    </row>
    <row r="44" spans="1:33" x14ac:dyDescent="0.25">
      <c r="A44" s="13">
        <v>38169</v>
      </c>
      <c r="B44" s="10">
        <v>1.0583333333333332E-3</v>
      </c>
      <c r="C44" s="10">
        <f>LN([2]Sheet1!B39/[2]Sheet1!B38)-'[1]Page 331'!$B44</f>
        <v>-3.5950571548663698E-2</v>
      </c>
      <c r="D44" s="10">
        <f>LN([2]Sheet1!C39/[2]Sheet1!C38)-'[1]Page 331'!$B44</f>
        <v>-3.1780749594487123E-2</v>
      </c>
      <c r="E44" s="10">
        <f>LN([2]Sheet1!D39/[2]Sheet1!D38)-'[1]Page 331'!$B44</f>
        <v>-9.915534093975881E-3</v>
      </c>
      <c r="F44" s="10">
        <f>LN([2]Sheet1!E39/[2]Sheet1!E38)-'[1]Page 331'!$B44</f>
        <v>-2.3278924594537492E-2</v>
      </c>
      <c r="G44" s="10">
        <f>LN([2]Sheet1!F39/[2]Sheet1!F38)-'[1]Page 331'!$B44</f>
        <v>-7.7486775992940101E-3</v>
      </c>
      <c r="H44" s="10">
        <f>LN([2]Sheet1!G39/[2]Sheet1!G38)-'[1]Page 331'!$B44</f>
        <v>-4.5008538977392099E-2</v>
      </c>
      <c r="I44" s="10">
        <f>LN([2]Sheet1!H39/[2]Sheet1!H38)-'[1]Page 331'!$B44</f>
        <v>-7.3822610123188442E-2</v>
      </c>
      <c r="J44" s="10">
        <f>LN([2]Sheet1!I39/[2]Sheet1!I38)-'[1]Page 331'!$B44</f>
        <v>-3.6544743719961664E-2</v>
      </c>
      <c r="K44" s="10">
        <f>LN([2]Sheet1!J39/[2]Sheet1!J38)-'[1]Page 331'!$B44</f>
        <v>-0.10021590486655181</v>
      </c>
      <c r="L44" s="10">
        <f>LN([2]Sheet1!K39/[2]Sheet1!K38)-'[1]Page 331'!$B44</f>
        <v>2.4958872059165631E-2</v>
      </c>
      <c r="M44" s="10">
        <f>LN([2]Sheet1!L39/[2]Sheet1!L38)-'[1]Page 331'!$B44</f>
        <v>-7.8115072828307708E-2</v>
      </c>
      <c r="N44" s="10">
        <f>LN([2]Sheet1!M39/[2]Sheet1!M38)-'[1]Page 331'!$B44</f>
        <v>-4.407252765237326E-2</v>
      </c>
      <c r="O44" s="10">
        <f>LN([2]Sheet1!N39/[2]Sheet1!N38)-'[1]Page 331'!$B44</f>
        <v>2.5392280175363685E-2</v>
      </c>
      <c r="P44" s="10">
        <f>LN([2]Sheet1!O39/[2]Sheet1!O38)-'[1]Page 331'!$B44</f>
        <v>-4.6860265987207377E-2</v>
      </c>
      <c r="Q44" s="10">
        <f>LN([2]Sheet1!P39/[2]Sheet1!P38)-'[1]Page 331'!$B44</f>
        <v>-1.3395547543118046E-2</v>
      </c>
      <c r="R44" s="10">
        <f>LN([2]Sheet1!Q39/[2]Sheet1!Q38)-'[1]Page 331'!$B44</f>
        <v>-0.12527945980676011</v>
      </c>
      <c r="S44" s="10">
        <f>LN([2]Sheet1!R39/[2]Sheet1!R38)-'[1]Page 331'!$B44</f>
        <v>-8.7586249267805512E-3</v>
      </c>
      <c r="T44" s="10">
        <f>LN([2]Sheet1!S39/[2]Sheet1!S38)-'[1]Page 331'!$B44</f>
        <v>-2.99883145934586E-2</v>
      </c>
      <c r="U44" s="10">
        <f>LN([2]Sheet1!T39/[2]Sheet1!T38)-'[1]Page 331'!$B44</f>
        <v>-0.14159301678471459</v>
      </c>
      <c r="V44" s="10">
        <f>LN([2]Sheet1!U39/[2]Sheet1!U38)-'[1]Page 331'!$B44</f>
        <v>5.5300080463948471E-2</v>
      </c>
      <c r="W44" s="10">
        <f>LN([2]Sheet1!V39/[2]Sheet1!V38)-'[1]Page 331'!$B44</f>
        <v>-8.9841414152637855E-2</v>
      </c>
      <c r="X44" s="10">
        <f>LN([2]Sheet1!W39/[2]Sheet1!W38)-'[1]Page 331'!$B44</f>
        <v>-5.1383417220849104E-2</v>
      </c>
      <c r="Y44" s="10">
        <f>LN([2]Sheet1!X39/[2]Sheet1!X38)-'[1]Page 331'!$B44</f>
        <v>-4.7236775634069403E-2</v>
      </c>
      <c r="Z44" s="10">
        <f>LN([2]Sheet1!Y39/[2]Sheet1!Y38)-'[1]Page 331'!$B44</f>
        <v>-3.4554579330547371E-3</v>
      </c>
      <c r="AA44" s="10">
        <f>LN([2]Sheet1!Z39/[2]Sheet1!Z38)-'[1]Page 331'!$B44</f>
        <v>-7.1335840315564891E-2</v>
      </c>
      <c r="AB44" s="10">
        <f>LN([2]Sheet1!AA39/[2]Sheet1!AA38)-'[1]Page 331'!$B44</f>
        <v>-3.9430944541303317E-2</v>
      </c>
      <c r="AC44" s="10">
        <f>LN([2]Sheet1!AB39/[2]Sheet1!AB38)-'[1]Page 331'!$B44</f>
        <v>5.6074360011237064E-2</v>
      </c>
      <c r="AD44" s="10">
        <f>LN([2]Sheet1!AC39/[2]Sheet1!AC38)-'[1]Page 331'!$B44</f>
        <v>2.0827310179427062E-2</v>
      </c>
      <c r="AE44" s="10">
        <f>LN([2]Sheet1!AD39/[2]Sheet1!AD38)-'[1]Page 331'!$B44</f>
        <v>7.2393513870663978E-2</v>
      </c>
      <c r="AF44" s="10">
        <f>LN([2]Sheet1!AE39/[2]Sheet1!AE38)-'[1]Page 331'!$B44</f>
        <v>8.6523663960161451E-3</v>
      </c>
      <c r="AG44" s="10">
        <f>LN([2]Sheet1!AF39/[2]Sheet1!AF38)-'[1]Page 331'!$B44</f>
        <v>4.0552082695352813E-2</v>
      </c>
    </row>
    <row r="45" spans="1:33" x14ac:dyDescent="0.25">
      <c r="A45" s="13">
        <v>38201</v>
      </c>
      <c r="B45" s="10">
        <v>1.1083333333333333E-3</v>
      </c>
      <c r="C45" s="10">
        <f>LN([2]Sheet1!B40/[2]Sheet1!B39)-'[1]Page 331'!$B45</f>
        <v>1.1763872383805257E-3</v>
      </c>
      <c r="D45" s="10">
        <f>LN([2]Sheet1!C40/[2]Sheet1!C39)-'[1]Page 331'!$B45</f>
        <v>1.4370853515126699E-2</v>
      </c>
      <c r="E45" s="10">
        <f>LN([2]Sheet1!D40/[2]Sheet1!D39)-'[1]Page 331'!$B45</f>
        <v>7.1797964203454282E-3</v>
      </c>
      <c r="F45" s="10">
        <f>LN([2]Sheet1!E40/[2]Sheet1!E39)-'[1]Page 331'!$B45</f>
        <v>-5.7519451138158323E-3</v>
      </c>
      <c r="G45" s="10">
        <f>LN([2]Sheet1!F40/[2]Sheet1!F39)-'[1]Page 331'!$B45</f>
        <v>3.151086678198619E-2</v>
      </c>
      <c r="H45" s="10">
        <f>LN([2]Sheet1!G40/[2]Sheet1!G39)-'[1]Page 331'!$B45</f>
        <v>5.381842889389709E-2</v>
      </c>
      <c r="I45" s="10">
        <f>LN([2]Sheet1!H40/[2]Sheet1!H39)-'[1]Page 331'!$B45</f>
        <v>-1.1827758966217844E-2</v>
      </c>
      <c r="J45" s="10">
        <f>LN([2]Sheet1!I40/[2]Sheet1!I39)-'[1]Page 331'!$B45</f>
        <v>-7.1053528057077354E-3</v>
      </c>
      <c r="K45" s="10">
        <f>LN([2]Sheet1!J40/[2]Sheet1!J39)-'[1]Page 331'!$B45</f>
        <v>-2.8875455373781698E-2</v>
      </c>
      <c r="L45" s="10">
        <f>LN([2]Sheet1!K40/[2]Sheet1!K39)-'[1]Page 331'!$B45</f>
        <v>-1.5157095683037169E-2</v>
      </c>
      <c r="M45" s="10">
        <f>LN([2]Sheet1!L40/[2]Sheet1!L39)-'[1]Page 331'!$B45</f>
        <v>-3.2340369275273631E-2</v>
      </c>
      <c r="N45" s="10">
        <f>LN([2]Sheet1!M40/[2]Sheet1!M39)-'[1]Page 331'!$B45</f>
        <v>8.2030748471806025E-2</v>
      </c>
      <c r="O45" s="10">
        <f>LN([2]Sheet1!N40/[2]Sheet1!N39)-'[1]Page 331'!$B45</f>
        <v>-3.9895927299882721E-2</v>
      </c>
      <c r="P45" s="10">
        <f>LN([2]Sheet1!O40/[2]Sheet1!O39)-'[1]Page 331'!$B45</f>
        <v>-0.1199744820897735</v>
      </c>
      <c r="Q45" s="10">
        <f>LN([2]Sheet1!P40/[2]Sheet1!P39)-'[1]Page 331'!$B45</f>
        <v>-2.6729471494844354E-2</v>
      </c>
      <c r="R45" s="10">
        <f>LN([2]Sheet1!Q40/[2]Sheet1!Q39)-'[1]Page 331'!$B45</f>
        <v>-0.13476008462683434</v>
      </c>
      <c r="S45" s="10">
        <f>LN([2]Sheet1!R40/[2]Sheet1!R39)-'[1]Page 331'!$B45</f>
        <v>5.3911042257865867E-2</v>
      </c>
      <c r="T45" s="10">
        <f>LN([2]Sheet1!S40/[2]Sheet1!S39)-'[1]Page 331'!$B45</f>
        <v>5.7296306042971618E-2</v>
      </c>
      <c r="U45" s="10">
        <f>LN([2]Sheet1!T40/[2]Sheet1!T39)-'[1]Page 331'!$B45</f>
        <v>1.8166504915411913E-2</v>
      </c>
      <c r="V45" s="10">
        <f>LN([2]Sheet1!U40/[2]Sheet1!U39)-'[1]Page 331'!$B45</f>
        <v>-1.9030643366744177E-2</v>
      </c>
      <c r="W45" s="10">
        <f>LN([2]Sheet1!V40/[2]Sheet1!V39)-'[1]Page 331'!$B45</f>
        <v>3.4411500602439145E-3</v>
      </c>
      <c r="X45" s="10">
        <f>LN([2]Sheet1!W40/[2]Sheet1!W39)-'[1]Page 331'!$B45</f>
        <v>2.6838504201486198E-2</v>
      </c>
      <c r="Y45" s="10">
        <f>LN([2]Sheet1!X40/[2]Sheet1!X39)-'[1]Page 331'!$B45</f>
        <v>-9.6273090351319032E-3</v>
      </c>
      <c r="Z45" s="10">
        <f>LN([2]Sheet1!Y40/[2]Sheet1!Y39)-'[1]Page 331'!$B45</f>
        <v>-4.1097341549696617E-2</v>
      </c>
      <c r="AA45" s="10">
        <f>LN([2]Sheet1!Z40/[2]Sheet1!Z39)-'[1]Page 331'!$B45</f>
        <v>2.643439130424885E-2</v>
      </c>
      <c r="AB45" s="10">
        <f>LN([2]Sheet1!AA40/[2]Sheet1!AA39)-'[1]Page 331'!$B45</f>
        <v>6.9604001575737498E-2</v>
      </c>
      <c r="AC45" s="10">
        <f>LN([2]Sheet1!AB40/[2]Sheet1!AB39)-'[1]Page 331'!$B45</f>
        <v>1.6230635946177185E-2</v>
      </c>
      <c r="AD45" s="10">
        <f>LN([2]Sheet1!AC40/[2]Sheet1!AC39)-'[1]Page 331'!$B45</f>
        <v>7.0316302126742546E-3</v>
      </c>
      <c r="AE45" s="10">
        <f>LN([2]Sheet1!AD40/[2]Sheet1!AD39)-'[1]Page 331'!$B45</f>
        <v>1.7209777860031823E-2</v>
      </c>
      <c r="AF45" s="10">
        <f>LN([2]Sheet1!AE40/[2]Sheet1!AE39)-'[1]Page 331'!$B45</f>
        <v>-5.1753477510835246E-3</v>
      </c>
      <c r="AG45" s="10">
        <f>LN([2]Sheet1!AF40/[2]Sheet1!AF39)-'[1]Page 331'!$B45</f>
        <v>6.9144218060627431E-4</v>
      </c>
    </row>
    <row r="46" spans="1:33" x14ac:dyDescent="0.25">
      <c r="A46" s="13">
        <v>38231</v>
      </c>
      <c r="B46" s="10">
        <v>1.2333333333333335E-3</v>
      </c>
      <c r="C46" s="10">
        <f>LN([2]Sheet1!B41/[2]Sheet1!B40)-'[1]Page 331'!$B46</f>
        <v>8.087003468873151E-3</v>
      </c>
      <c r="D46" s="10">
        <f>LN([2]Sheet1!C41/[2]Sheet1!C40)-'[1]Page 331'!$B46</f>
        <v>3.5522806791786335E-2</v>
      </c>
      <c r="E46" s="10">
        <f>LN([2]Sheet1!D41/[2]Sheet1!D40)-'[1]Page 331'!$B46</f>
        <v>-4.6798306985550722E-2</v>
      </c>
      <c r="F46" s="10">
        <f>LN([2]Sheet1!E41/[2]Sheet1!E40)-'[1]Page 331'!$B46</f>
        <v>2.7215476717914765E-2</v>
      </c>
      <c r="G46" s="10">
        <f>LN([2]Sheet1!F41/[2]Sheet1!F40)-'[1]Page 331'!$B46</f>
        <v>-1.2917791448803369E-2</v>
      </c>
      <c r="H46" s="10">
        <f>LN([2]Sheet1!G41/[2]Sheet1!G40)-'[1]Page 331'!$B46</f>
        <v>-5.5679672779283935E-2</v>
      </c>
      <c r="I46" s="10">
        <f>LN([2]Sheet1!H41/[2]Sheet1!H40)-'[1]Page 331'!$B46</f>
        <v>0.10009182489190778</v>
      </c>
      <c r="J46" s="10">
        <f>LN([2]Sheet1!I41/[2]Sheet1!I40)-'[1]Page 331'!$B46</f>
        <v>1.1467621861231054E-2</v>
      </c>
      <c r="K46" s="10">
        <f>LN([2]Sheet1!J41/[2]Sheet1!J40)-'[1]Page 331'!$B46</f>
        <v>3.2977120262667687E-3</v>
      </c>
      <c r="L46" s="10">
        <f>LN([2]Sheet1!K41/[2]Sheet1!K40)-'[1]Page 331'!$B46</f>
        <v>2.8543969681636524E-2</v>
      </c>
      <c r="M46" s="10">
        <f>LN([2]Sheet1!L41/[2]Sheet1!L40)-'[1]Page 331'!$B46</f>
        <v>2.6633874793007276E-2</v>
      </c>
      <c r="N46" s="10">
        <f>LN([2]Sheet1!M41/[2]Sheet1!M40)-'[1]Page 331'!$B46</f>
        <v>6.8521683723129043E-2</v>
      </c>
      <c r="O46" s="10">
        <f>LN([2]Sheet1!N41/[2]Sheet1!N40)-'[1]Page 331'!$B46</f>
        <v>-4.7035508123404396E-3</v>
      </c>
      <c r="P46" s="10">
        <f>LN([2]Sheet1!O41/[2]Sheet1!O40)-'[1]Page 331'!$B46</f>
        <v>4.9658273963055888E-2</v>
      </c>
      <c r="Q46" s="10">
        <f>LN([2]Sheet1!P41/[2]Sheet1!P40)-'[1]Page 331'!$B46</f>
        <v>1.1066063459533319E-2</v>
      </c>
      <c r="R46" s="10">
        <f>LN([2]Sheet1!Q41/[2]Sheet1!Q40)-'[1]Page 331'!$B46</f>
        <v>-6.0745189813369432E-2</v>
      </c>
      <c r="S46" s="10">
        <f>LN([2]Sheet1!R41/[2]Sheet1!R40)-'[1]Page 331'!$B46</f>
        <v>-3.2222494238707891E-2</v>
      </c>
      <c r="T46" s="10">
        <f>LN([2]Sheet1!S41/[2]Sheet1!S40)-'[1]Page 331'!$B46</f>
        <v>2.5596812385391392E-3</v>
      </c>
      <c r="U46" s="10">
        <f>LN([2]Sheet1!T41/[2]Sheet1!T40)-'[1]Page 331'!$B46</f>
        <v>-0.10546844483924553</v>
      </c>
      <c r="V46" s="10">
        <f>LN([2]Sheet1!U41/[2]Sheet1!U40)-'[1]Page 331'!$B46</f>
        <v>3.5779955164906493E-2</v>
      </c>
      <c r="W46" s="10">
        <f>LN([2]Sheet1!V41/[2]Sheet1!V40)-'[1]Page 331'!$B46</f>
        <v>-3.0662273877402807E-2</v>
      </c>
      <c r="X46" s="10">
        <f>LN([2]Sheet1!W41/[2]Sheet1!W40)-'[1]Page 331'!$B46</f>
        <v>-2.6189256410305766E-2</v>
      </c>
      <c r="Y46" s="10">
        <f>LN([2]Sheet1!X41/[2]Sheet1!X40)-'[1]Page 331'!$B46</f>
        <v>-0.30212043670539235</v>
      </c>
      <c r="Z46" s="10">
        <f>LN([2]Sheet1!Y41/[2]Sheet1!Y40)-'[1]Page 331'!$B46</f>
        <v>1.1590006810260324E-2</v>
      </c>
      <c r="AA46" s="10">
        <f>LN([2]Sheet1!Z41/[2]Sheet1!Z40)-'[1]Page 331'!$B46</f>
        <v>-6.6720989535039008E-2</v>
      </c>
      <c r="AB46" s="10">
        <f>LN([2]Sheet1!AA41/[2]Sheet1!AA40)-'[1]Page 331'!$B46</f>
        <v>-3.4911617326084221E-2</v>
      </c>
      <c r="AC46" s="10">
        <f>LN([2]Sheet1!AB41/[2]Sheet1!AB40)-'[1]Page 331'!$B46</f>
        <v>5.1920475220377611E-3</v>
      </c>
      <c r="AD46" s="10">
        <f>LN([2]Sheet1!AC41/[2]Sheet1!AC40)-'[1]Page 331'!$B46</f>
        <v>-6.946378975512554E-3</v>
      </c>
      <c r="AE46" s="10">
        <f>LN([2]Sheet1!AD41/[2]Sheet1!AD40)-'[1]Page 331'!$B46</f>
        <v>2.1120837817526911E-3</v>
      </c>
      <c r="AF46" s="10">
        <f>LN([2]Sheet1!AE41/[2]Sheet1!AE40)-'[1]Page 331'!$B46</f>
        <v>8.6151579708382484E-3</v>
      </c>
      <c r="AG46" s="10">
        <f>LN([2]Sheet1!AF41/[2]Sheet1!AF40)-'[1]Page 331'!$B46</f>
        <v>4.596076389095307E-2</v>
      </c>
    </row>
    <row r="47" spans="1:33" x14ac:dyDescent="0.25">
      <c r="A47" s="13">
        <v>38261</v>
      </c>
      <c r="B47" s="10">
        <v>1.3750000000000001E-3</v>
      </c>
      <c r="C47" s="10">
        <f>LN([2]Sheet1!B42/[2]Sheet1!B41)-'[1]Page 331'!$B47</f>
        <v>1.254195587821374E-2</v>
      </c>
      <c r="D47" s="10">
        <f>LN([2]Sheet1!C42/[2]Sheet1!C41)-'[1]Page 331'!$B47</f>
        <v>-3.4298494104943317E-2</v>
      </c>
      <c r="E47" s="10">
        <f>LN([2]Sheet1!D42/[2]Sheet1!D41)-'[1]Page 331'!$B47</f>
        <v>-0.11464411007836554</v>
      </c>
      <c r="F47" s="10">
        <f>LN([2]Sheet1!E42/[2]Sheet1!E41)-'[1]Page 331'!$B47</f>
        <v>3.1553447737028201E-2</v>
      </c>
      <c r="G47" s="10">
        <f>LN([2]Sheet1!F42/[2]Sheet1!F41)-'[1]Page 331'!$B47</f>
        <v>-3.5207863280558735E-2</v>
      </c>
      <c r="H47" s="10">
        <f>LN([2]Sheet1!G42/[2]Sheet1!G41)-'[1]Page 331'!$B47</f>
        <v>1.3641370831930394E-2</v>
      </c>
      <c r="I47" s="10">
        <f>LN([2]Sheet1!H42/[2]Sheet1!H41)-'[1]Page 331'!$B47</f>
        <v>4.7568536533496159E-3</v>
      </c>
      <c r="J47" s="10">
        <f>LN([2]Sheet1!I42/[2]Sheet1!I41)-'[1]Page 331'!$B47</f>
        <v>3.5574588882781493E-4</v>
      </c>
      <c r="K47" s="10">
        <f>LN([2]Sheet1!J42/[2]Sheet1!J41)-'[1]Page 331'!$B47</f>
        <v>0.11015990487919067</v>
      </c>
      <c r="L47" s="10">
        <f>LN([2]Sheet1!K42/[2]Sheet1!K41)-'[1]Page 331'!$B47</f>
        <v>1.4417246454419762E-2</v>
      </c>
      <c r="M47" s="10">
        <f>LN([2]Sheet1!L42/[2]Sheet1!L41)-'[1]Page 331'!$B47</f>
        <v>-9.8501710730722794E-2</v>
      </c>
      <c r="N47" s="10">
        <f>LN([2]Sheet1!M42/[2]Sheet1!M41)-'[1]Page 331'!$B47</f>
        <v>4.5629715101164182E-2</v>
      </c>
      <c r="O47" s="10">
        <f>LN([2]Sheet1!N42/[2]Sheet1!N41)-'[1]Page 331'!$B47</f>
        <v>-6.4138349907697179E-2</v>
      </c>
      <c r="P47" s="10">
        <f>LN([2]Sheet1!O42/[2]Sheet1!O41)-'[1]Page 331'!$B47</f>
        <v>-6.2943867998182176E-3</v>
      </c>
      <c r="Q47" s="10">
        <f>LN([2]Sheet1!P42/[2]Sheet1!P41)-'[1]Page 331'!$B47</f>
        <v>4.4324706461875162E-2</v>
      </c>
      <c r="R47" s="10">
        <f>LN([2]Sheet1!Q42/[2]Sheet1!Q41)-'[1]Page 331'!$B47</f>
        <v>0.10240020248221568</v>
      </c>
      <c r="S47" s="10">
        <f>LN([2]Sheet1!R42/[2]Sheet1!R41)-'[1]Page 331'!$B47</f>
        <v>3.4420578703095554E-2</v>
      </c>
      <c r="T47" s="10">
        <f>LN([2]Sheet1!S42/[2]Sheet1!S41)-'[1]Page 331'!$B47</f>
        <v>-2.1588744784200118E-2</v>
      </c>
      <c r="U47" s="10">
        <f>LN([2]Sheet1!T42/[2]Sheet1!T41)-'[1]Page 331'!$B47</f>
        <v>1.3682397672493666E-2</v>
      </c>
      <c r="V47" s="10">
        <f>LN([2]Sheet1!U42/[2]Sheet1!U41)-'[1]Page 331'!$B47</f>
        <v>3.7531925014750674E-2</v>
      </c>
      <c r="W47" s="10">
        <f>LN([2]Sheet1!V42/[2]Sheet1!V41)-'[1]Page 331'!$B47</f>
        <v>-3.1830191412387111E-2</v>
      </c>
      <c r="X47" s="10">
        <f>LN([2]Sheet1!W42/[2]Sheet1!W41)-'[1]Page 331'!$B47</f>
        <v>2.8275242639753111E-2</v>
      </c>
      <c r="Y47" s="10">
        <f>LN([2]Sheet1!X42/[2]Sheet1!X41)-'[1]Page 331'!$B47</f>
        <v>-5.3920555578049832E-2</v>
      </c>
      <c r="Z47" s="10">
        <f>LN([2]Sheet1!Y42/[2]Sheet1!Y41)-'[1]Page 331'!$B47</f>
        <v>1.0067707607533258E-2</v>
      </c>
      <c r="AA47" s="10">
        <f>LN([2]Sheet1!Z42/[2]Sheet1!Z41)-'[1]Page 331'!$B47</f>
        <v>-5.6747554123491195E-2</v>
      </c>
      <c r="AB47" s="10">
        <f>LN([2]Sheet1!AA42/[2]Sheet1!AA41)-'[1]Page 331'!$B47</f>
        <v>-5.2406480012445876E-2</v>
      </c>
      <c r="AC47" s="10">
        <f>LN([2]Sheet1!AB42/[2]Sheet1!AB41)-'[1]Page 331'!$B47</f>
        <v>-1.6865843328658404E-2</v>
      </c>
      <c r="AD47" s="10">
        <f>LN([2]Sheet1!AC42/[2]Sheet1!AC41)-'[1]Page 331'!$B47</f>
        <v>-7.3425279313911367E-3</v>
      </c>
      <c r="AE47" s="10">
        <f>LN([2]Sheet1!AD42/[2]Sheet1!AD41)-'[1]Page 331'!$B47</f>
        <v>8.4907653535650136E-4</v>
      </c>
      <c r="AF47" s="10">
        <f>LN([2]Sheet1!AE42/[2]Sheet1!AE41)-'[1]Page 331'!$B47</f>
        <v>1.2176118711871384E-2</v>
      </c>
      <c r="AG47" s="10">
        <f>LN([2]Sheet1!AF42/[2]Sheet1!AF41)-'[1]Page 331'!$B47</f>
        <v>1.6896168998358656E-2</v>
      </c>
    </row>
    <row r="48" spans="1:33" x14ac:dyDescent="0.25">
      <c r="A48" s="13">
        <v>38292</v>
      </c>
      <c r="B48" s="10">
        <v>1.4666666666666667E-3</v>
      </c>
      <c r="C48" s="10">
        <f>LN([2]Sheet1!B43/[2]Sheet1!B42)-'[1]Page 331'!$B48</f>
        <v>3.6402112794466347E-2</v>
      </c>
      <c r="D48" s="10">
        <f>LN([2]Sheet1!C43/[2]Sheet1!C42)-'[1]Page 331'!$B48</f>
        <v>4.7672572079262912E-2</v>
      </c>
      <c r="E48" s="10">
        <f>LN([2]Sheet1!D43/[2]Sheet1!D42)-'[1]Page 331'!$B48</f>
        <v>4.1148548096865745E-2</v>
      </c>
      <c r="F48" s="10">
        <f>LN([2]Sheet1!E43/[2]Sheet1!E42)-'[1]Page 331'!$B48</f>
        <v>4.7229693272125797E-2</v>
      </c>
      <c r="G48" s="10">
        <f>LN([2]Sheet1!F43/[2]Sheet1!F42)-'[1]Page 331'!$B48</f>
        <v>7.3347540987085708E-2</v>
      </c>
      <c r="H48" s="10">
        <f>LN([2]Sheet1!G43/[2]Sheet1!G42)-'[1]Page 331'!$B48</f>
        <v>7.0139495317536864E-3</v>
      </c>
      <c r="I48" s="10">
        <f>LN([2]Sheet1!H43/[2]Sheet1!H42)-'[1]Page 331'!$B48</f>
        <v>0.12673342312619698</v>
      </c>
      <c r="J48" s="10">
        <f>LN([2]Sheet1!I43/[2]Sheet1!I42)-'[1]Page 331'!$B48</f>
        <v>6.1944119013875081E-2</v>
      </c>
      <c r="K48" s="10">
        <f>LN([2]Sheet1!J43/[2]Sheet1!J42)-'[1]Page 331'!$B48</f>
        <v>6.236396143431485E-2</v>
      </c>
      <c r="L48" s="10">
        <f>LN([2]Sheet1!K43/[2]Sheet1!K42)-'[1]Page 331'!$B48</f>
        <v>3.4440041796577385E-2</v>
      </c>
      <c r="M48" s="10">
        <f>LN([2]Sheet1!L43/[2]Sheet1!L42)-'[1]Page 331'!$B48</f>
        <v>1.2717968325289715E-2</v>
      </c>
      <c r="N48" s="10">
        <f>LN([2]Sheet1!M43/[2]Sheet1!M42)-'[1]Page 331'!$B48</f>
        <v>1.6733540584172202E-2</v>
      </c>
      <c r="O48" s="10">
        <f>LN([2]Sheet1!N43/[2]Sheet1!N42)-'[1]Page 331'!$B48</f>
        <v>5.1691020677013172E-2</v>
      </c>
      <c r="P48" s="10">
        <f>LN([2]Sheet1!O43/[2]Sheet1!O42)-'[1]Page 331'!$B48</f>
        <v>6.8366034712817741E-2</v>
      </c>
      <c r="Q48" s="10">
        <f>LN([2]Sheet1!P43/[2]Sheet1!P42)-'[1]Page 331'!$B48</f>
        <v>4.9265245685675724E-2</v>
      </c>
      <c r="R48" s="10">
        <f>LN([2]Sheet1!Q43/[2]Sheet1!Q42)-'[1]Page 331'!$B48</f>
        <v>5.87618413180932E-3</v>
      </c>
      <c r="S48" s="10">
        <f>LN([2]Sheet1!R43/[2]Sheet1!R42)-'[1]Page 331'!$B48</f>
        <v>3.5832881984883706E-2</v>
      </c>
      <c r="T48" s="10">
        <f>LN([2]Sheet1!S43/[2]Sheet1!S42)-'[1]Page 331'!$B48</f>
        <v>-2.6331755498863529E-2</v>
      </c>
      <c r="U48" s="10">
        <f>LN([2]Sheet1!T43/[2]Sheet1!T42)-'[1]Page 331'!$B48</f>
        <v>-2.88942707701818E-2</v>
      </c>
      <c r="V48" s="10">
        <f>LN([2]Sheet1!U43/[2]Sheet1!U42)-'[1]Page 331'!$B48</f>
        <v>7.0090674098636965E-2</v>
      </c>
      <c r="W48" s="10">
        <f>LN([2]Sheet1!V43/[2]Sheet1!V42)-'[1]Page 331'!$B48</f>
        <v>2.8598889050161752E-2</v>
      </c>
      <c r="X48" s="10">
        <f>LN([2]Sheet1!W43/[2]Sheet1!W42)-'[1]Page 331'!$B48</f>
        <v>0.16949113147697281</v>
      </c>
      <c r="Y48" s="10">
        <f>LN([2]Sheet1!X43/[2]Sheet1!X42)-'[1]Page 331'!$B48</f>
        <v>-0.11252851838006668</v>
      </c>
      <c r="Z48" s="10">
        <f>LN([2]Sheet1!Y43/[2]Sheet1!Y42)-'[1]Page 331'!$B48</f>
        <v>6.4569107672158621E-2</v>
      </c>
      <c r="AA48" s="10">
        <f>LN([2]Sheet1!Z43/[2]Sheet1!Z42)-'[1]Page 331'!$B48</f>
        <v>-3.7131665077205576E-2</v>
      </c>
      <c r="AB48" s="10">
        <f>LN([2]Sheet1!AA43/[2]Sheet1!AA42)-'[1]Page 331'!$B48</f>
        <v>4.2459646632961222E-2</v>
      </c>
      <c r="AC48" s="10">
        <f>LN([2]Sheet1!AB43/[2]Sheet1!AB42)-'[1]Page 331'!$B48</f>
        <v>-4.9419090869699811E-3</v>
      </c>
      <c r="AD48" s="10">
        <f>LN([2]Sheet1!AC43/[2]Sheet1!AC42)-'[1]Page 331'!$B48</f>
        <v>5.2262143150403201E-2</v>
      </c>
      <c r="AE48" s="10">
        <f>LN([2]Sheet1!AD43/[2]Sheet1!AD42)-'[1]Page 331'!$B48</f>
        <v>5.1533029916260416E-2</v>
      </c>
      <c r="AF48" s="10">
        <f>LN([2]Sheet1!AE43/[2]Sheet1!AE42)-'[1]Page 331'!$B48</f>
        <v>-3.6578298126329338E-2</v>
      </c>
      <c r="AG48" s="10">
        <f>LN([2]Sheet1!AF43/[2]Sheet1!AF42)-'[1]Page 331'!$B48</f>
        <v>4.4210888935248202E-2</v>
      </c>
    </row>
    <row r="49" spans="1:33" x14ac:dyDescent="0.25">
      <c r="A49" s="13">
        <v>38322</v>
      </c>
      <c r="B49" s="10">
        <v>1.725E-3</v>
      </c>
      <c r="C49" s="10">
        <f>LN([2]Sheet1!B44/[2]Sheet1!B43)-'[1]Page 331'!$B49</f>
        <v>3.0217491193192111E-2</v>
      </c>
      <c r="D49" s="10">
        <f>LN([2]Sheet1!C44/[2]Sheet1!C43)-'[1]Page 331'!$B49</f>
        <v>-8.0301913481500578E-2</v>
      </c>
      <c r="E49" s="10">
        <f>LN([2]Sheet1!D44/[2]Sheet1!D43)-'[1]Page 331'!$B49</f>
        <v>3.5458670283339884E-2</v>
      </c>
      <c r="F49" s="10">
        <f>LN([2]Sheet1!E44/[2]Sheet1!E43)-'[1]Page 331'!$B49</f>
        <v>1.0087384784482806E-2</v>
      </c>
      <c r="G49" s="10">
        <f>LN([2]Sheet1!F44/[2]Sheet1!F43)-'[1]Page 331'!$B49</f>
        <v>-3.5956269110829039E-2</v>
      </c>
      <c r="H49" s="10">
        <f>LN([2]Sheet1!G44/[2]Sheet1!G43)-'[1]Page 331'!$B49</f>
        <v>7.1963997629623147E-2</v>
      </c>
      <c r="I49" s="10">
        <f>LN([2]Sheet1!H44/[2]Sheet1!H43)-'[1]Page 331'!$B49</f>
        <v>6.1229811984739403E-2</v>
      </c>
      <c r="J49" s="10">
        <f>LN([2]Sheet1!I44/[2]Sheet1!I43)-'[1]Page 331'!$B49</f>
        <v>7.7371996758603304E-2</v>
      </c>
      <c r="K49" s="10">
        <f>LN([2]Sheet1!J44/[2]Sheet1!J43)-'[1]Page 331'!$B49</f>
        <v>4.0976865302176715E-2</v>
      </c>
      <c r="L49" s="10">
        <f>LN([2]Sheet1!K44/[2]Sheet1!K43)-'[1]Page 331'!$B49</f>
        <v>3.5795760091573078E-2</v>
      </c>
      <c r="M49" s="10">
        <f>LN([2]Sheet1!L44/[2]Sheet1!L43)-'[1]Page 331'!$B49</f>
        <v>3.5597922153975455E-2</v>
      </c>
      <c r="N49" s="10">
        <f>LN([2]Sheet1!M44/[2]Sheet1!M43)-'[1]Page 331'!$B49</f>
        <v>2.1641111829273543E-2</v>
      </c>
      <c r="O49" s="10">
        <f>LN([2]Sheet1!N44/[2]Sheet1!N43)-'[1]Page 331'!$B49</f>
        <v>6.1213223530759853E-4</v>
      </c>
      <c r="P49" s="10">
        <f>LN([2]Sheet1!O44/[2]Sheet1!O43)-'[1]Page 331'!$B49</f>
        <v>4.908273963171314E-2</v>
      </c>
      <c r="Q49" s="10">
        <f>LN([2]Sheet1!P44/[2]Sheet1!P43)-'[1]Page 331'!$B49</f>
        <v>4.3368492359046863E-2</v>
      </c>
      <c r="R49" s="10">
        <f>LN([2]Sheet1!Q44/[2]Sheet1!Q43)-'[1]Page 331'!$B49</f>
        <v>4.2547823677988039E-2</v>
      </c>
      <c r="S49" s="10">
        <f>LN([2]Sheet1!R44/[2]Sheet1!R43)-'[1]Page 331'!$B49</f>
        <v>4.848986878426121E-2</v>
      </c>
      <c r="T49" s="10">
        <f>LN([2]Sheet1!S44/[2]Sheet1!S43)-'[1]Page 331'!$B49</f>
        <v>3.3571146903782739E-2</v>
      </c>
      <c r="U49" s="10">
        <f>LN([2]Sheet1!T44/[2]Sheet1!T43)-'[1]Page 331'!$B49</f>
        <v>5.5904112836636426E-2</v>
      </c>
      <c r="V49" s="10">
        <f>LN([2]Sheet1!U44/[2]Sheet1!U43)-'[1]Page 331'!$B49</f>
        <v>4.0530229895782234E-2</v>
      </c>
      <c r="W49" s="10">
        <f>LN([2]Sheet1!V44/[2]Sheet1!V43)-'[1]Page 331'!$B49</f>
        <v>2.8975799499319051E-2</v>
      </c>
      <c r="X49" s="10">
        <f>LN([2]Sheet1!W44/[2]Sheet1!W43)-'[1]Page 331'!$B49</f>
        <v>7.1120091274365471E-2</v>
      </c>
      <c r="Y49" s="10">
        <f>LN([2]Sheet1!X44/[2]Sheet1!X43)-'[1]Page 331'!$B49</f>
        <v>0.14891895501804844</v>
      </c>
      <c r="Z49" s="10">
        <f>LN([2]Sheet1!Y44/[2]Sheet1!Y43)-'[1]Page 331'!$B49</f>
        <v>-4.7726214064748376E-3</v>
      </c>
      <c r="AA49" s="10">
        <f>LN([2]Sheet1!Z44/[2]Sheet1!Z43)-'[1]Page 331'!$B49</f>
        <v>-3.4010663497968718E-2</v>
      </c>
      <c r="AB49" s="10">
        <f>LN([2]Sheet1!AA44/[2]Sheet1!AA43)-'[1]Page 331'!$B49</f>
        <v>2.7708435848742025E-2</v>
      </c>
      <c r="AC49" s="10">
        <f>LN([2]Sheet1!AB44/[2]Sheet1!AB43)-'[1]Page 331'!$B49</f>
        <v>2.1926930318661591E-2</v>
      </c>
      <c r="AD49" s="10">
        <f>LN([2]Sheet1!AC44/[2]Sheet1!AC43)-'[1]Page 331'!$B49</f>
        <v>5.5631806857164956E-2</v>
      </c>
      <c r="AE49" s="10">
        <f>LN([2]Sheet1!AD44/[2]Sheet1!AD43)-'[1]Page 331'!$B49</f>
        <v>-1.9259987010644374E-2</v>
      </c>
      <c r="AF49" s="10">
        <f>LN([2]Sheet1!AE44/[2]Sheet1!AE43)-'[1]Page 331'!$B49</f>
        <v>1.5213008368924173E-2</v>
      </c>
      <c r="AG49" s="10">
        <f>LN([2]Sheet1!AF44/[2]Sheet1!AF43)-'[1]Page 331'!$B49</f>
        <v>-1.5238939158632417E-3</v>
      </c>
    </row>
    <row r="50" spans="1:33" x14ac:dyDescent="0.25">
      <c r="A50" s="13">
        <v>38355</v>
      </c>
      <c r="B50" s="10">
        <v>1.825E-3</v>
      </c>
      <c r="C50" s="10">
        <f>LN([2]Sheet1!B45/[2]Sheet1!B44)-'[1]Page 331'!$B50</f>
        <v>-2.7440747968515911E-2</v>
      </c>
      <c r="D50" s="10">
        <f>LN([2]Sheet1!C45/[2]Sheet1!C44)-'[1]Page 331'!$B50</f>
        <v>-6.4133573338710934E-2</v>
      </c>
      <c r="E50" s="10">
        <f>LN([2]Sheet1!D45/[2]Sheet1!D44)-'[1]Page 331'!$B50</f>
        <v>7.5258767502730771E-3</v>
      </c>
      <c r="F50" s="10">
        <f>LN([2]Sheet1!E45/[2]Sheet1!E44)-'[1]Page 331'!$B50</f>
        <v>-5.4702616444773394E-2</v>
      </c>
      <c r="G50" s="10">
        <f>LN([2]Sheet1!F45/[2]Sheet1!F44)-'[1]Page 331'!$B50</f>
        <v>-2.4639677766171399E-2</v>
      </c>
      <c r="H50" s="10">
        <f>LN([2]Sheet1!G45/[2]Sheet1!G44)-'[1]Page 331'!$B50</f>
        <v>1.6100110113229552E-2</v>
      </c>
      <c r="I50" s="10">
        <f>LN([2]Sheet1!H45/[2]Sheet1!H44)-'[1]Page 331'!$B50</f>
        <v>-8.7670329852435086E-2</v>
      </c>
      <c r="J50" s="10">
        <f>LN([2]Sheet1!I45/[2]Sheet1!I44)-'[1]Page 331'!$B50</f>
        <v>-3.2717167212963978E-2</v>
      </c>
      <c r="K50" s="10">
        <f>LN([2]Sheet1!J45/[2]Sheet1!J44)-'[1]Page 331'!$B50</f>
        <v>2.7546738905941854E-2</v>
      </c>
      <c r="L50" s="10">
        <f>LN([2]Sheet1!K45/[2]Sheet1!K44)-'[1]Page 331'!$B50</f>
        <v>-1.1866685297054388E-2</v>
      </c>
      <c r="M50" s="10">
        <f>LN([2]Sheet1!L45/[2]Sheet1!L44)-'[1]Page 331'!$B50</f>
        <v>-8.6446241930356382E-2</v>
      </c>
      <c r="N50" s="10">
        <f>LN([2]Sheet1!M45/[2]Sheet1!M44)-'[1]Page 331'!$B50</f>
        <v>-3.7205477259514341E-2</v>
      </c>
      <c r="O50" s="10">
        <f>LN([2]Sheet1!N45/[2]Sheet1!N44)-'[1]Page 331'!$B50</f>
        <v>1.4096598453525445E-2</v>
      </c>
      <c r="P50" s="10">
        <f>LN([2]Sheet1!O45/[2]Sheet1!O44)-'[1]Page 331'!$B50</f>
        <v>-6.9639075802137768E-2</v>
      </c>
      <c r="Q50" s="10">
        <f>LN([2]Sheet1!P45/[2]Sheet1!P44)-'[1]Page 331'!$B50</f>
        <v>-5.5577492235068984E-2</v>
      </c>
      <c r="R50" s="10">
        <f>LN([2]Sheet1!Q45/[2]Sheet1!Q44)-'[1]Page 331'!$B50</f>
        <v>-4.2902203519580365E-2</v>
      </c>
      <c r="S50" s="10">
        <f>LN([2]Sheet1!R45/[2]Sheet1!R44)-'[1]Page 331'!$B50</f>
        <v>1.8149890936536489E-2</v>
      </c>
      <c r="T50" s="10">
        <f>LN([2]Sheet1!S45/[2]Sheet1!S44)-'[1]Page 331'!$B50</f>
        <v>-3.7121146903782772E-2</v>
      </c>
      <c r="U50" s="10">
        <f>LN([2]Sheet1!T45/[2]Sheet1!T44)-'[1]Page 331'!$B50</f>
        <v>-5.5820488777121764E-3</v>
      </c>
      <c r="V50" s="10">
        <f>LN([2]Sheet1!U45/[2]Sheet1!U44)-'[1]Page 331'!$B50</f>
        <v>8.3080822707879056E-3</v>
      </c>
      <c r="W50" s="10">
        <f>LN([2]Sheet1!V45/[2]Sheet1!V44)-'[1]Page 331'!$B50</f>
        <v>2.5757814615142014E-2</v>
      </c>
      <c r="X50" s="10">
        <f>LN([2]Sheet1!W45/[2]Sheet1!W44)-'[1]Page 331'!$B50</f>
        <v>4.1942669233827577E-2</v>
      </c>
      <c r="Y50" s="10">
        <f>LN([2]Sheet1!X45/[2]Sheet1!X44)-'[1]Page 331'!$B50</f>
        <v>-0.13779687714720945</v>
      </c>
      <c r="Z50" s="10">
        <f>LN([2]Sheet1!Y45/[2]Sheet1!Y44)-'[1]Page 331'!$B50</f>
        <v>-1.8754992671041276E-2</v>
      </c>
      <c r="AA50" s="10">
        <f>LN([2]Sheet1!Z45/[2]Sheet1!Z44)-'[1]Page 331'!$B50</f>
        <v>-0.1089231355563671</v>
      </c>
      <c r="AB50" s="10">
        <f>LN([2]Sheet1!AA45/[2]Sheet1!AA44)-'[1]Page 331'!$B50</f>
        <v>-3.1451169780147059E-2</v>
      </c>
      <c r="AC50" s="10">
        <f>LN([2]Sheet1!AB45/[2]Sheet1!AB44)-'[1]Page 331'!$B50</f>
        <v>-7.0423316342752326E-2</v>
      </c>
      <c r="AD50" s="10">
        <f>LN([2]Sheet1!AC45/[2]Sheet1!AC44)-'[1]Page 331'!$B50</f>
        <v>-2.7951888043386216E-2</v>
      </c>
      <c r="AE50" s="10">
        <f>LN([2]Sheet1!AD45/[2]Sheet1!AD44)-'[1]Page 331'!$B50</f>
        <v>-0.12155310485004923</v>
      </c>
      <c r="AF50" s="10">
        <f>LN([2]Sheet1!AE45/[2]Sheet1!AE44)-'[1]Page 331'!$B50</f>
        <v>-9.7715482612990949E-3</v>
      </c>
      <c r="AG50" s="10">
        <f>LN([2]Sheet1!AF45/[2]Sheet1!AF44)-'[1]Page 331'!$B50</f>
        <v>4.7889132769810003E-3</v>
      </c>
    </row>
    <row r="51" spans="1:33" x14ac:dyDescent="0.25">
      <c r="A51" s="13">
        <v>38384</v>
      </c>
      <c r="B51" s="10">
        <v>1.9416666666666668E-3</v>
      </c>
      <c r="C51" s="10">
        <f>LN([2]Sheet1!B46/[2]Sheet1!B45)-'[1]Page 331'!$B51</f>
        <v>1.6785268207671056E-2</v>
      </c>
      <c r="D51" s="10">
        <f>LN([2]Sheet1!C46/[2]Sheet1!C45)-'[1]Page 331'!$B51</f>
        <v>8.7890094543342678E-2</v>
      </c>
      <c r="E51" s="10">
        <f>LN([2]Sheet1!D46/[2]Sheet1!D45)-'[1]Page 331'!$B51</f>
        <v>5.6583091145920141E-3</v>
      </c>
      <c r="F51" s="10">
        <f>LN([2]Sheet1!E46/[2]Sheet1!E45)-'[1]Page 331'!$B51</f>
        <v>1.2934106191986244E-2</v>
      </c>
      <c r="G51" s="10">
        <f>LN([2]Sheet1!F46/[2]Sheet1!F45)-'[1]Page 331'!$B51</f>
        <v>8.5609375743508229E-2</v>
      </c>
      <c r="H51" s="10">
        <f>LN([2]Sheet1!G46/[2]Sheet1!G45)-'[1]Page 331'!$B51</f>
        <v>-2.0520727756879936E-2</v>
      </c>
      <c r="I51" s="10">
        <f>LN([2]Sheet1!H46/[2]Sheet1!H45)-'[1]Page 331'!$B51</f>
        <v>6.2854730433996114E-2</v>
      </c>
      <c r="J51" s="10">
        <f>LN([2]Sheet1!I46/[2]Sheet1!I45)-'[1]Page 331'!$B51</f>
        <v>0.11902772429228067</v>
      </c>
      <c r="K51" s="10">
        <f>LN([2]Sheet1!J46/[2]Sheet1!J45)-'[1]Page 331'!$B51</f>
        <v>-2.6237252540748039E-2</v>
      </c>
      <c r="L51" s="10">
        <f>LN([2]Sheet1!K46/[2]Sheet1!K45)-'[1]Page 331'!$B51</f>
        <v>-2.1744293962846422E-2</v>
      </c>
      <c r="M51" s="10">
        <f>LN([2]Sheet1!L46/[2]Sheet1!L45)-'[1]Page 331'!$B51</f>
        <v>-2.0722961005153133E-2</v>
      </c>
      <c r="N51" s="10">
        <f>LN([2]Sheet1!M46/[2]Sheet1!M45)-'[1]Page 331'!$B51</f>
        <v>-3.2243221246802511E-2</v>
      </c>
      <c r="O51" s="10">
        <f>LN([2]Sheet1!N46/[2]Sheet1!N45)-'[1]Page 331'!$B51</f>
        <v>5.7161373764384169E-2</v>
      </c>
      <c r="P51" s="10">
        <f>LN([2]Sheet1!O46/[2]Sheet1!O45)-'[1]Page 331'!$B51</f>
        <v>5.807129692530371E-2</v>
      </c>
      <c r="Q51" s="10">
        <f>LN([2]Sheet1!P46/[2]Sheet1!P45)-'[1]Page 331'!$B51</f>
        <v>-9.1422214521449281E-3</v>
      </c>
      <c r="R51" s="10">
        <f>LN([2]Sheet1!Q46/[2]Sheet1!Q45)-'[1]Page 331'!$B51</f>
        <v>6.8023081225520185E-2</v>
      </c>
      <c r="S51" s="10">
        <f>LN([2]Sheet1!R46/[2]Sheet1!R45)-'[1]Page 331'!$B51</f>
        <v>1.6233468173006693E-2</v>
      </c>
      <c r="T51" s="10">
        <f>LN([2]Sheet1!S46/[2]Sheet1!S45)-'[1]Page 331'!$B51</f>
        <v>-2.3097401361995583E-2</v>
      </c>
      <c r="U51" s="10">
        <f>LN([2]Sheet1!T46/[2]Sheet1!T45)-'[1]Page 331'!$B51</f>
        <v>2.9187329006896339E-2</v>
      </c>
      <c r="V51" s="10">
        <f>LN([2]Sheet1!U46/[2]Sheet1!U45)-'[1]Page 331'!$B51</f>
        <v>1.9256134542600417E-2</v>
      </c>
      <c r="W51" s="10">
        <f>LN([2]Sheet1!V46/[2]Sheet1!V45)-'[1]Page 331'!$B51</f>
        <v>-1.9416666666666668E-3</v>
      </c>
      <c r="X51" s="10">
        <f>LN([2]Sheet1!W46/[2]Sheet1!W45)-'[1]Page 331'!$B51</f>
        <v>2.6099095147936676E-2</v>
      </c>
      <c r="Y51" s="10">
        <f>LN([2]Sheet1!X46/[2]Sheet1!X45)-'[1]Page 331'!$B51</f>
        <v>0.12055745701188114</v>
      </c>
      <c r="Z51" s="10">
        <f>LN([2]Sheet1!Y46/[2]Sheet1!Y45)-'[1]Page 331'!$B51</f>
        <v>-4.2327202316241076E-2</v>
      </c>
      <c r="AA51" s="10">
        <f>LN([2]Sheet1!Z46/[2]Sheet1!Z45)-'[1]Page 331'!$B51</f>
        <v>9.020144794095708E-2</v>
      </c>
      <c r="AB51" s="10">
        <f>LN([2]Sheet1!AA46/[2]Sheet1!AA45)-'[1]Page 331'!$B51</f>
        <v>-4.6438493570267513E-3</v>
      </c>
      <c r="AC51" s="10">
        <f>LN([2]Sheet1!AB46/[2]Sheet1!AB45)-'[1]Page 331'!$B51</f>
        <v>1.072245554906366E-2</v>
      </c>
      <c r="AD51" s="10">
        <f>LN([2]Sheet1!AC46/[2]Sheet1!AC45)-'[1]Page 331'!$B51</f>
        <v>-5.613641416787744E-3</v>
      </c>
      <c r="AE51" s="10">
        <f>LN([2]Sheet1!AD46/[2]Sheet1!AD45)-'[1]Page 331'!$B51</f>
        <v>8.5768375245536509E-3</v>
      </c>
      <c r="AF51" s="10">
        <f>LN([2]Sheet1!AE46/[2]Sheet1!AE45)-'[1]Page 331'!$B51</f>
        <v>-1.7236082444818317E-2</v>
      </c>
      <c r="AG51" s="10">
        <f>LN([2]Sheet1!AF46/[2]Sheet1!AF45)-'[1]Page 331'!$B51</f>
        <v>0.20744407482466518</v>
      </c>
    </row>
    <row r="52" spans="1:33" x14ac:dyDescent="0.25">
      <c r="A52" s="13">
        <v>38412</v>
      </c>
      <c r="B52" s="10">
        <v>2.1166666666666664E-3</v>
      </c>
      <c r="C52" s="10">
        <f>LN([2]Sheet1!B47/[2]Sheet1!B46)-'[1]Page 331'!$B52</f>
        <v>-2.1419418921195376E-2</v>
      </c>
      <c r="D52" s="10">
        <f>LN([2]Sheet1!C47/[2]Sheet1!C46)-'[1]Page 331'!$B52</f>
        <v>-5.760439316532822E-2</v>
      </c>
      <c r="E52" s="10">
        <f>LN([2]Sheet1!D47/[2]Sheet1!D46)-'[1]Page 331'!$B52</f>
        <v>-0.18722830230096424</v>
      </c>
      <c r="F52" s="10">
        <f>LN([2]Sheet1!E47/[2]Sheet1!E46)-'[1]Page 331'!$B52</f>
        <v>-5.2588106431184278E-2</v>
      </c>
      <c r="G52" s="10">
        <f>LN([2]Sheet1!F47/[2]Sheet1!F46)-'[1]Page 331'!$B52</f>
        <v>5.9380327184505526E-2</v>
      </c>
      <c r="H52" s="10">
        <f>LN([2]Sheet1!G47/[2]Sheet1!G46)-'[1]Page 331'!$B52</f>
        <v>-6.2100957123815373E-2</v>
      </c>
      <c r="I52" s="10">
        <f>LN([2]Sheet1!H47/[2]Sheet1!H46)-'[1]Page 331'!$B52</f>
        <v>-4.0890552287938087E-2</v>
      </c>
      <c r="J52" s="10">
        <f>LN([2]Sheet1!I47/[2]Sheet1!I46)-'[1]Page 331'!$B52</f>
        <v>-4.1650663030530312E-2</v>
      </c>
      <c r="K52" s="10">
        <f>LN([2]Sheet1!J47/[2]Sheet1!J46)-'[1]Page 331'!$B52</f>
        <v>2.5702531027897966E-2</v>
      </c>
      <c r="L52" s="10">
        <f>LN([2]Sheet1!K47/[2]Sheet1!K46)-'[1]Page 331'!$B52</f>
        <v>2.2001893095081767E-2</v>
      </c>
      <c r="M52" s="10">
        <f>LN([2]Sheet1!L47/[2]Sheet1!L46)-'[1]Page 331'!$B52</f>
        <v>-0.19502673563914499</v>
      </c>
      <c r="N52" s="10">
        <f>LN([2]Sheet1!M47/[2]Sheet1!M46)-'[1]Page 331'!$B52</f>
        <v>-4.524023140643503E-2</v>
      </c>
      <c r="O52" s="10">
        <f>LN([2]Sheet1!N47/[2]Sheet1!N46)-'[1]Page 331'!$B52</f>
        <v>-2.2352522606035048E-2</v>
      </c>
      <c r="P52" s="10">
        <f>LN([2]Sheet1!O47/[2]Sheet1!O46)-'[1]Page 331'!$B52</f>
        <v>5.4960164468770049E-2</v>
      </c>
      <c r="Q52" s="10">
        <f>LN([2]Sheet1!P47/[2]Sheet1!P46)-'[1]Page 331'!$B52</f>
        <v>-1.5121037720927932E-2</v>
      </c>
      <c r="R52" s="10">
        <f>LN([2]Sheet1!Q47/[2]Sheet1!Q46)-'[1]Page 331'!$B52</f>
        <v>-3.4509911386901723E-2</v>
      </c>
      <c r="S52" s="10">
        <f>LN([2]Sheet1!R47/[2]Sheet1!R46)-'[1]Page 331'!$B52</f>
        <v>2.1257201406532384E-2</v>
      </c>
      <c r="T52" s="10">
        <f>LN([2]Sheet1!S47/[2]Sheet1!S46)-'[1]Page 331'!$B52</f>
        <v>-5.6745861603196182E-2</v>
      </c>
      <c r="U52" s="10">
        <f>LN([2]Sheet1!T47/[2]Sheet1!T46)-'[1]Page 331'!$B52</f>
        <v>-2.2264768373197776E-2</v>
      </c>
      <c r="V52" s="10">
        <f>LN([2]Sheet1!U47/[2]Sheet1!U46)-'[1]Page 331'!$B52</f>
        <v>-6.2837684245618475E-2</v>
      </c>
      <c r="W52" s="10">
        <f>LN([2]Sheet1!V47/[2]Sheet1!V46)-'[1]Page 331'!$B52</f>
        <v>1.8502620536068944E-2</v>
      </c>
      <c r="X52" s="10">
        <f>LN([2]Sheet1!W47/[2]Sheet1!W46)-'[1]Page 331'!$B52</f>
        <v>5.1761296129077729E-3</v>
      </c>
      <c r="Y52" s="10">
        <f>LN([2]Sheet1!X47/[2]Sheet1!X46)-'[1]Page 331'!$B52</f>
        <v>3.057470350376609E-2</v>
      </c>
      <c r="Z52" s="10">
        <f>LN([2]Sheet1!Y47/[2]Sheet1!Y46)-'[1]Page 331'!$B52</f>
        <v>-4.2097264418730122E-2</v>
      </c>
      <c r="AA52" s="10">
        <f>LN([2]Sheet1!Z47/[2]Sheet1!Z46)-'[1]Page 331'!$B52</f>
        <v>-2.9100026860625402E-3</v>
      </c>
      <c r="AB52" s="10">
        <f>LN([2]Sheet1!AA47/[2]Sheet1!AA46)-'[1]Page 331'!$B52</f>
        <v>-3.6640557568553729E-3</v>
      </c>
      <c r="AC52" s="10">
        <f>LN([2]Sheet1!AB47/[2]Sheet1!AB46)-'[1]Page 331'!$B52</f>
        <v>-1.7515521671540728E-2</v>
      </c>
      <c r="AD52" s="10">
        <f>LN([2]Sheet1!AC47/[2]Sheet1!AC46)-'[1]Page 331'!$B52</f>
        <v>1.5507612062908266E-2</v>
      </c>
      <c r="AE52" s="10">
        <f>LN([2]Sheet1!AD47/[2]Sheet1!AD46)-'[1]Page 331'!$B52</f>
        <v>-1.5357907375802636E-2</v>
      </c>
      <c r="AF52" s="10">
        <f>LN([2]Sheet1!AE47/[2]Sheet1!AE46)-'[1]Page 331'!$B52</f>
        <v>-2.8544631175366906E-2</v>
      </c>
      <c r="AG52" s="10">
        <f>LN([2]Sheet1!AF47/[2]Sheet1!AF46)-'[1]Page 331'!$B52</f>
        <v>-6.2386928074612581E-2</v>
      </c>
    </row>
    <row r="53" spans="1:33" x14ac:dyDescent="0.25">
      <c r="A53" s="13">
        <v>38443</v>
      </c>
      <c r="B53" s="10">
        <v>2.2833333333333334E-3</v>
      </c>
      <c r="C53" s="10">
        <f>LN([2]Sheet1!B48/[2]Sheet1!B47)-'[1]Page 331'!$B53</f>
        <v>-2.2596852681003705E-2</v>
      </c>
      <c r="D53" s="10">
        <f>LN([2]Sheet1!C48/[2]Sheet1!C47)-'[1]Page 331'!$B53</f>
        <v>-4.8224756859510241E-2</v>
      </c>
      <c r="E53" s="10">
        <f>LN([2]Sheet1!D48/[2]Sheet1!D47)-'[1]Page 331'!$B53</f>
        <v>-8.8036556993404097E-2</v>
      </c>
      <c r="F53" s="10">
        <f>LN([2]Sheet1!E48/[2]Sheet1!E47)-'[1]Page 331'!$B53</f>
        <v>2.3270773536387658E-2</v>
      </c>
      <c r="G53" s="10">
        <f>LN([2]Sheet1!F48/[2]Sheet1!F47)-'[1]Page 331'!$B53</f>
        <v>1.5691571637411472E-2</v>
      </c>
      <c r="H53" s="10">
        <f>LN([2]Sheet1!G48/[2]Sheet1!G47)-'[1]Page 331'!$B53</f>
        <v>5.1137818273038385E-2</v>
      </c>
      <c r="I53" s="10">
        <f>LN([2]Sheet1!H48/[2]Sheet1!H47)-'[1]Page 331'!$B53</f>
        <v>-3.5438050359672214E-2</v>
      </c>
      <c r="J53" s="10">
        <f>LN([2]Sheet1!I48/[2]Sheet1!I47)-'[1]Page 331'!$B53</f>
        <v>-8.6373596744418663E-2</v>
      </c>
      <c r="K53" s="10">
        <f>LN([2]Sheet1!J48/[2]Sheet1!J47)-'[1]Page 331'!$B53</f>
        <v>-8.7026954588011407E-2</v>
      </c>
      <c r="L53" s="10">
        <f>LN([2]Sheet1!K48/[2]Sheet1!K47)-'[1]Page 331'!$B53</f>
        <v>1.4421330760916451E-3</v>
      </c>
      <c r="M53" s="10">
        <f>LN([2]Sheet1!L48/[2]Sheet1!L47)-'[1]Page 331'!$B53</f>
        <v>-9.9164088912044521E-2</v>
      </c>
      <c r="N53" s="10">
        <f>LN([2]Sheet1!M48/[2]Sheet1!M47)-'[1]Page 331'!$B53</f>
        <v>-8.0381203052980896E-2</v>
      </c>
      <c r="O53" s="10">
        <f>LN([2]Sheet1!N48/[2]Sheet1!N47)-'[1]Page 331'!$B53</f>
        <v>-4.2012463001208117E-2</v>
      </c>
      <c r="P53" s="10">
        <f>LN([2]Sheet1!O48/[2]Sheet1!O47)-'[1]Page 331'!$B53</f>
        <v>-7.1672558372837758E-2</v>
      </c>
      <c r="Q53" s="10">
        <f>LN([2]Sheet1!P48/[2]Sheet1!P47)-'[1]Page 331'!$B53</f>
        <v>-0.18161435791015523</v>
      </c>
      <c r="R53" s="10">
        <f>LN([2]Sheet1!Q48/[2]Sheet1!Q47)-'[1]Page 331'!$B53</f>
        <v>9.9332234885433426E-3</v>
      </c>
      <c r="S53" s="10">
        <f>LN([2]Sheet1!R48/[2]Sheet1!R47)-'[1]Page 331'!$B53</f>
        <v>1.9509296657519243E-2</v>
      </c>
      <c r="T53" s="10">
        <f>LN([2]Sheet1!S48/[2]Sheet1!S47)-'[1]Page 331'!$B53</f>
        <v>3.3092057960648548E-2</v>
      </c>
      <c r="U53" s="10">
        <f>LN([2]Sheet1!T48/[2]Sheet1!T47)-'[1]Page 331'!$B53</f>
        <v>3.9282985746779159E-2</v>
      </c>
      <c r="V53" s="10">
        <f>LN([2]Sheet1!U48/[2]Sheet1!U47)-'[1]Page 331'!$B53</f>
        <v>-6.2744087881888289E-2</v>
      </c>
      <c r="W53" s="10">
        <f>LN([2]Sheet1!V48/[2]Sheet1!V47)-'[1]Page 331'!$B53</f>
        <v>-0.1160827176370242</v>
      </c>
      <c r="X53" s="10">
        <f>LN([2]Sheet1!W48/[2]Sheet1!W47)-'[1]Page 331'!$B53</f>
        <v>-8.4381956528403728E-3</v>
      </c>
      <c r="Y53" s="10">
        <f>LN([2]Sheet1!X48/[2]Sheet1!X47)-'[1]Page 331'!$B53</f>
        <v>4.3893513959201116E-2</v>
      </c>
      <c r="Z53" s="10">
        <f>LN([2]Sheet1!Y48/[2]Sheet1!Y47)-'[1]Page 331'!$B53</f>
        <v>4.3337891783531611E-2</v>
      </c>
      <c r="AA53" s="10">
        <f>LN([2]Sheet1!Z48/[2]Sheet1!Z47)-'[1]Page 331'!$B53</f>
        <v>3.1274243845987988E-2</v>
      </c>
      <c r="AB53" s="10">
        <f>LN([2]Sheet1!AA48/[2]Sheet1!AA47)-'[1]Page 331'!$B53</f>
        <v>2.4267744058964341E-2</v>
      </c>
      <c r="AC53" s="10">
        <f>LN([2]Sheet1!AB48/[2]Sheet1!AB47)-'[1]Page 331'!$B53</f>
        <v>1.5360191525364551E-2</v>
      </c>
      <c r="AD53" s="10">
        <f>LN([2]Sheet1!AC48/[2]Sheet1!AC47)-'[1]Page 331'!$B53</f>
        <v>-1.6811050706274143E-3</v>
      </c>
      <c r="AE53" s="10">
        <f>LN([2]Sheet1!AD48/[2]Sheet1!AD47)-'[1]Page 331'!$B53</f>
        <v>1.7513353974548181E-2</v>
      </c>
      <c r="AF53" s="10">
        <f>LN([2]Sheet1!AE48/[2]Sheet1!AE47)-'[1]Page 331'!$B53</f>
        <v>-6.3567535579068801E-2</v>
      </c>
      <c r="AG53" s="10">
        <f>LN([2]Sheet1!AF48/[2]Sheet1!AF47)-'[1]Page 331'!$B53</f>
        <v>-4.6437898163810762E-2</v>
      </c>
    </row>
    <row r="54" spans="1:33" x14ac:dyDescent="0.25">
      <c r="A54" s="13">
        <v>38474</v>
      </c>
      <c r="B54" s="10">
        <v>2.3166666666666665E-3</v>
      </c>
      <c r="C54" s="10">
        <f>LN([2]Sheet1!B49/[2]Sheet1!B48)-'[1]Page 331'!$B54</f>
        <v>2.719555671843913E-2</v>
      </c>
      <c r="D54" s="10">
        <f>LN([2]Sheet1!C49/[2]Sheet1!C48)-'[1]Page 331'!$B54</f>
        <v>-6.5795304292194615E-2</v>
      </c>
      <c r="E54" s="10">
        <f>LN([2]Sheet1!D49/[2]Sheet1!D48)-'[1]Page 331'!$B54</f>
        <v>8.5984329072202784E-2</v>
      </c>
      <c r="F54" s="10">
        <f>LN([2]Sheet1!E49/[2]Sheet1!E48)-'[1]Page 331'!$B54</f>
        <v>1.9385573971990075E-2</v>
      </c>
      <c r="G54" s="10">
        <f>LN([2]Sheet1!F49/[2]Sheet1!F48)-'[1]Page 331'!$B54</f>
        <v>7.2891859543625356E-2</v>
      </c>
      <c r="H54" s="10">
        <f>LN([2]Sheet1!G49/[2]Sheet1!G48)-'[1]Page 331'!$B54</f>
        <v>7.5149265451096006E-4</v>
      </c>
      <c r="I54" s="10">
        <f>LN([2]Sheet1!H49/[2]Sheet1!H48)-'[1]Page 331'!$B54</f>
        <v>6.4225733149977024E-2</v>
      </c>
      <c r="J54" s="10">
        <f>LN([2]Sheet1!I49/[2]Sheet1!I48)-'[1]Page 331'!$B54</f>
        <v>-7.2023081858138176E-3</v>
      </c>
      <c r="K54" s="10">
        <f>LN([2]Sheet1!J49/[2]Sheet1!J48)-'[1]Page 331'!$B54</f>
        <v>3.6359075305047464E-2</v>
      </c>
      <c r="L54" s="10">
        <f>LN([2]Sheet1!K49/[2]Sheet1!K48)-'[1]Page 331'!$B54</f>
        <v>5.3767748991446866E-3</v>
      </c>
      <c r="M54" s="10">
        <f>LN([2]Sheet1!L49/[2]Sheet1!L48)-'[1]Page 331'!$B54</f>
        <v>0.18121043578263651</v>
      </c>
      <c r="N54" s="10">
        <f>LN([2]Sheet1!M49/[2]Sheet1!M48)-'[1]Page 331'!$B54</f>
        <v>0.1043059683715966</v>
      </c>
      <c r="O54" s="10">
        <f>LN([2]Sheet1!N49/[2]Sheet1!N48)-'[1]Page 331'!$B54</f>
        <v>1.6476597147619294E-2</v>
      </c>
      <c r="P54" s="10">
        <f>LN([2]Sheet1!O49/[2]Sheet1!O48)-'[1]Page 331'!$B54</f>
        <v>9.3083607286104195E-2</v>
      </c>
      <c r="Q54" s="10">
        <f>LN([2]Sheet1!P49/[2]Sheet1!P48)-'[1]Page 331'!$B54</f>
        <v>-1.0578973796972315E-2</v>
      </c>
      <c r="R54" s="10">
        <f>LN([2]Sheet1!Q49/[2]Sheet1!Q48)-'[1]Page 331'!$B54</f>
        <v>0.13785998664206878</v>
      </c>
      <c r="S54" s="10">
        <f>LN([2]Sheet1!R49/[2]Sheet1!R48)-'[1]Page 331'!$B54</f>
        <v>-1.9986838723635318E-2</v>
      </c>
      <c r="T54" s="10">
        <f>LN([2]Sheet1!S49/[2]Sheet1!S48)-'[1]Page 331'!$B54</f>
        <v>5.0201233971876418E-3</v>
      </c>
      <c r="U54" s="10">
        <f>LN([2]Sheet1!T49/[2]Sheet1!T48)-'[1]Page 331'!$B54</f>
        <v>2.4696132579401883E-2</v>
      </c>
      <c r="V54" s="10">
        <f>LN([2]Sheet1!U49/[2]Sheet1!U48)-'[1]Page 331'!$B54</f>
        <v>5.1897149927480853E-2</v>
      </c>
      <c r="W54" s="10">
        <f>LN([2]Sheet1!V49/[2]Sheet1!V48)-'[1]Page 331'!$B54</f>
        <v>5.4550460401150986E-3</v>
      </c>
      <c r="X54" s="10">
        <f>LN([2]Sheet1!W49/[2]Sheet1!W48)-'[1]Page 331'!$B54</f>
        <v>3.0289705982187262E-2</v>
      </c>
      <c r="Y54" s="10">
        <f>LN([2]Sheet1!X49/[2]Sheet1!X48)-'[1]Page 331'!$B54</f>
        <v>-4.6526300210032276E-2</v>
      </c>
      <c r="Z54" s="10">
        <f>LN([2]Sheet1!Y49/[2]Sheet1!Y48)-'[1]Page 331'!$B54</f>
        <v>2.0325810083093088E-2</v>
      </c>
      <c r="AA54" s="10">
        <f>LN([2]Sheet1!Z49/[2]Sheet1!Z48)-'[1]Page 331'!$B54</f>
        <v>3.1265058991640476E-2</v>
      </c>
      <c r="AB54" s="10">
        <f>LN([2]Sheet1!AA49/[2]Sheet1!AA48)-'[1]Page 331'!$B54</f>
        <v>1.5987916129315743E-2</v>
      </c>
      <c r="AC54" s="10">
        <f>LN([2]Sheet1!AB49/[2]Sheet1!AB48)-'[1]Page 331'!$B54</f>
        <v>-1.9960191525364594E-2</v>
      </c>
      <c r="AD54" s="10">
        <f>LN([2]Sheet1!AC49/[2]Sheet1!AC48)-'[1]Page 331'!$B54</f>
        <v>4.9688796304228705E-2</v>
      </c>
      <c r="AE54" s="10">
        <f>LN([2]Sheet1!AD49/[2]Sheet1!AD48)-'[1]Page 331'!$B54</f>
        <v>-1.3967283886641917E-2</v>
      </c>
      <c r="AF54" s="10">
        <f>LN([2]Sheet1!AE49/[2]Sheet1!AE48)-'[1]Page 331'!$B54</f>
        <v>2.8468559933826172E-3</v>
      </c>
      <c r="AG54" s="10">
        <f>LN([2]Sheet1!AF49/[2]Sheet1!AF48)-'[1]Page 331'!$B54</f>
        <v>-1.1894764648813307E-2</v>
      </c>
    </row>
    <row r="55" spans="1:33" x14ac:dyDescent="0.25">
      <c r="A55" s="13">
        <v>38504</v>
      </c>
      <c r="B55" s="10">
        <v>2.3666666666666667E-3</v>
      </c>
      <c r="C55" s="10">
        <f>LN([2]Sheet1!B50/[2]Sheet1!B49)-'[1]Page 331'!$B55</f>
        <v>-2.509354143564688E-3</v>
      </c>
      <c r="D55" s="10">
        <f>LN([2]Sheet1!C50/[2]Sheet1!C49)-'[1]Page 331'!$B55</f>
        <v>-3.8804062869097648E-2</v>
      </c>
      <c r="E55" s="10">
        <f>LN([2]Sheet1!D50/[2]Sheet1!D49)-'[1]Page 331'!$B55</f>
        <v>4.4847070813598525E-2</v>
      </c>
      <c r="F55" s="10">
        <f>LN([2]Sheet1!E50/[2]Sheet1!E49)-'[1]Page 331'!$B55</f>
        <v>-1.1857678377253964E-2</v>
      </c>
      <c r="G55" s="10">
        <f>LN([2]Sheet1!F50/[2]Sheet1!F49)-'[1]Page 331'!$B55</f>
        <v>2.9992545913450044E-2</v>
      </c>
      <c r="H55" s="10">
        <f>LN([2]Sheet1!G50/[2]Sheet1!G49)-'[1]Page 331'!$B55</f>
        <v>-2.1141376062020611E-2</v>
      </c>
      <c r="I55" s="10">
        <f>LN([2]Sheet1!H50/[2]Sheet1!H49)-'[1]Page 331'!$B55</f>
        <v>1.0298523558911424E-2</v>
      </c>
      <c r="J55" s="10">
        <f>LN([2]Sheet1!I50/[2]Sheet1!I49)-'[1]Page 331'!$B55</f>
        <v>-8.0592978088942932E-2</v>
      </c>
      <c r="K55" s="10">
        <f>LN([2]Sheet1!J50/[2]Sheet1!J49)-'[1]Page 331'!$B55</f>
        <v>-8.807301912735864E-2</v>
      </c>
      <c r="L55" s="10">
        <f>LN([2]Sheet1!K50/[2]Sheet1!K49)-'[1]Page 331'!$B55</f>
        <v>-4.7657425846829658E-2</v>
      </c>
      <c r="M55" s="10">
        <f>LN([2]Sheet1!L50/[2]Sheet1!L49)-'[1]Page 331'!$B55</f>
        <v>7.3031350817545179E-2</v>
      </c>
      <c r="N55" s="10">
        <f>LN([2]Sheet1!M50/[2]Sheet1!M49)-'[1]Page 331'!$B55</f>
        <v>-1.1177296348821473E-2</v>
      </c>
      <c r="O55" s="10">
        <f>LN([2]Sheet1!N50/[2]Sheet1!N49)-'[1]Page 331'!$B55</f>
        <v>8.5746684619265774E-3</v>
      </c>
      <c r="P55" s="10">
        <f>LN([2]Sheet1!O50/[2]Sheet1!O49)-'[1]Page 331'!$B55</f>
        <v>4.4276191545618106E-2</v>
      </c>
      <c r="Q55" s="10">
        <f>LN([2]Sheet1!P50/[2]Sheet1!P49)-'[1]Page 331'!$B55</f>
        <v>-2.0460598051893979E-2</v>
      </c>
      <c r="R55" s="10">
        <f>LN([2]Sheet1!Q50/[2]Sheet1!Q49)-'[1]Page 331'!$B55</f>
        <v>-3.8050483330798163E-2</v>
      </c>
      <c r="S55" s="10">
        <f>LN([2]Sheet1!R50/[2]Sheet1!R49)-'[1]Page 331'!$B55</f>
        <v>-3.4257914203980555E-2</v>
      </c>
      <c r="T55" s="10">
        <f>LN([2]Sheet1!S50/[2]Sheet1!S49)-'[1]Page 331'!$B55</f>
        <v>-1.4723399355572158E-2</v>
      </c>
      <c r="U55" s="10">
        <f>LN([2]Sheet1!T50/[2]Sheet1!T49)-'[1]Page 331'!$B55</f>
        <v>-6.2788528043865061E-2</v>
      </c>
      <c r="V55" s="10">
        <f>LN([2]Sheet1!U50/[2]Sheet1!U49)-'[1]Page 331'!$B55</f>
        <v>-0.11132496879645817</v>
      </c>
      <c r="W55" s="10">
        <f>LN([2]Sheet1!V50/[2]Sheet1!V49)-'[1]Page 331'!$B55</f>
        <v>-6.0766389539791479E-2</v>
      </c>
      <c r="X55" s="10">
        <f>LN([2]Sheet1!W50/[2]Sheet1!W49)-'[1]Page 331'!$B55</f>
        <v>-2.9464276194712983E-2</v>
      </c>
      <c r="Y55" s="10">
        <f>LN([2]Sheet1!X50/[2]Sheet1!X49)-'[1]Page 331'!$B55</f>
        <v>-4.2465590424093633E-2</v>
      </c>
      <c r="Z55" s="10">
        <f>LN([2]Sheet1!Y50/[2]Sheet1!Y49)-'[1]Page 331'!$B55</f>
        <v>-3.998614872791658E-2</v>
      </c>
      <c r="AA55" s="10">
        <f>LN([2]Sheet1!Z50/[2]Sheet1!Z49)-'[1]Page 331'!$B55</f>
        <v>-1.3936118349484395E-2</v>
      </c>
      <c r="AB55" s="10">
        <f>LN([2]Sheet1!AA50/[2]Sheet1!AA49)-'[1]Page 331'!$B55</f>
        <v>-4.6835255048294736E-2</v>
      </c>
      <c r="AC55" s="10">
        <f>LN([2]Sheet1!AB50/[2]Sheet1!AB49)-'[1]Page 331'!$B55</f>
        <v>1.3481525573357047E-2</v>
      </c>
      <c r="AD55" s="10">
        <f>LN([2]Sheet1!AC50/[2]Sheet1!AC49)-'[1]Page 331'!$B55</f>
        <v>-4.0620044448584726E-2</v>
      </c>
      <c r="AE55" s="10">
        <f>LN([2]Sheet1!AD50/[2]Sheet1!AD49)-'[1]Page 331'!$B55</f>
        <v>-2.608319328398271E-2</v>
      </c>
      <c r="AF55" s="10">
        <f>LN([2]Sheet1!AE50/[2]Sheet1!AE49)-'[1]Page 331'!$B55</f>
        <v>1.8024864024314153E-2</v>
      </c>
      <c r="AG55" s="10">
        <f>LN([2]Sheet1!AF50/[2]Sheet1!AF49)-'[1]Page 331'!$B55</f>
        <v>2.0077941908730138E-2</v>
      </c>
    </row>
    <row r="56" spans="1:33" x14ac:dyDescent="0.25">
      <c r="A56" s="13">
        <v>38534</v>
      </c>
      <c r="B56" s="10">
        <v>2.4750000000000002E-3</v>
      </c>
      <c r="C56" s="10">
        <f>LN([2]Sheet1!B51/[2]Sheet1!B50)-'[1]Page 331'!$B56</f>
        <v>3.2861451864729149E-2</v>
      </c>
      <c r="D56" s="10">
        <f>LN([2]Sheet1!C51/[2]Sheet1!C50)-'[1]Page 331'!$B56</f>
        <v>6.8391115868631835E-2</v>
      </c>
      <c r="E56" s="10">
        <f>LN([2]Sheet1!D51/[2]Sheet1!D50)-'[1]Page 331'!$B56</f>
        <v>3.2951047847868217E-2</v>
      </c>
      <c r="F56" s="10">
        <f>LN([2]Sheet1!E51/[2]Sheet1!E50)-'[1]Page 331'!$B56</f>
        <v>3.0356770011486772E-2</v>
      </c>
      <c r="G56" s="10">
        <f>LN([2]Sheet1!F51/[2]Sheet1!F50)-'[1]Page 331'!$B56</f>
        <v>-2.321189340618196E-3</v>
      </c>
      <c r="H56" s="10">
        <f>LN([2]Sheet1!G51/[2]Sheet1!G50)-'[1]Page 331'!$B56</f>
        <v>-5.3474961834334186E-2</v>
      </c>
      <c r="I56" s="10">
        <f>LN([2]Sheet1!H51/[2]Sheet1!H50)-'[1]Page 331'!$B56</f>
        <v>0.12549488096337655</v>
      </c>
      <c r="J56" s="10">
        <f>LN([2]Sheet1!I51/[2]Sheet1!I50)-'[1]Page 331'!$B56</f>
        <v>-1.0208242985653329E-2</v>
      </c>
      <c r="K56" s="10">
        <f>LN([2]Sheet1!J51/[2]Sheet1!J50)-'[1]Page 331'!$B56</f>
        <v>1.5421679691938006E-2</v>
      </c>
      <c r="L56" s="10">
        <f>LN([2]Sheet1!K51/[2]Sheet1!K50)-'[1]Page 331'!$B56</f>
        <v>-6.6416726948459459E-3</v>
      </c>
      <c r="M56" s="10">
        <f>LN([2]Sheet1!L51/[2]Sheet1!L50)-'[1]Page 331'!$B56</f>
        <v>7.7137877449854425E-2</v>
      </c>
      <c r="N56" s="10">
        <f>LN([2]Sheet1!M51/[2]Sheet1!M50)-'[1]Page 331'!$B56</f>
        <v>0.10944904044649299</v>
      </c>
      <c r="O56" s="10">
        <f>LN([2]Sheet1!N51/[2]Sheet1!N50)-'[1]Page 331'!$B56</f>
        <v>6.7298816470022838E-2</v>
      </c>
      <c r="P56" s="10">
        <f>LN([2]Sheet1!O51/[2]Sheet1!O50)-'[1]Page 331'!$B56</f>
        <v>4.3732295751177819E-2</v>
      </c>
      <c r="Q56" s="10">
        <f>LN([2]Sheet1!P51/[2]Sheet1!P50)-'[1]Page 331'!$B56</f>
        <v>0.11514148380916553</v>
      </c>
      <c r="R56" s="10">
        <f>LN([2]Sheet1!Q51/[2]Sheet1!Q50)-'[1]Page 331'!$B56</f>
        <v>3.9596213920687059E-2</v>
      </c>
      <c r="S56" s="10">
        <f>LN([2]Sheet1!R51/[2]Sheet1!R50)-'[1]Page 331'!$B56</f>
        <v>-1.8490564711261689E-2</v>
      </c>
      <c r="T56" s="10">
        <f>LN([2]Sheet1!S51/[2]Sheet1!S50)-'[1]Page 331'!$B56</f>
        <v>2.2503484264260738E-3</v>
      </c>
      <c r="U56" s="10">
        <f>LN([2]Sheet1!T51/[2]Sheet1!T50)-'[1]Page 331'!$B56</f>
        <v>4.4649103313094761E-2</v>
      </c>
      <c r="V56" s="10">
        <f>LN([2]Sheet1!U51/[2]Sheet1!U50)-'[1]Page 331'!$B56</f>
        <v>0.11371304114610691</v>
      </c>
      <c r="W56" s="10">
        <f>LN([2]Sheet1!V51/[2]Sheet1!V50)-'[1]Page 331'!$B56</f>
        <v>3.4200870532732228E-2</v>
      </c>
      <c r="X56" s="10">
        <f>LN([2]Sheet1!W51/[2]Sheet1!W50)-'[1]Page 331'!$B56</f>
        <v>3.2454729764865332E-2</v>
      </c>
      <c r="Y56" s="10">
        <f>LN([2]Sheet1!X51/[2]Sheet1!X50)-'[1]Page 331'!$B56</f>
        <v>6.0125742932940433E-3</v>
      </c>
      <c r="Z56" s="10">
        <f>LN([2]Sheet1!Y51/[2]Sheet1!Y50)-'[1]Page 331'!$B56</f>
        <v>2.8049458210646014E-2</v>
      </c>
      <c r="AA56" s="10">
        <f>LN([2]Sheet1!Z51/[2]Sheet1!Z50)-'[1]Page 331'!$B56</f>
        <v>-4.2296494186671606E-2</v>
      </c>
      <c r="AB56" s="10">
        <f>LN([2]Sheet1!AA51/[2]Sheet1!AA50)-'[1]Page 331'!$B56</f>
        <v>5.577930436058582E-2</v>
      </c>
      <c r="AC56" s="10">
        <f>LN([2]Sheet1!AB51/[2]Sheet1!AB50)-'[1]Page 331'!$B56</f>
        <v>4.0178200934919042E-2</v>
      </c>
      <c r="AD56" s="10">
        <f>LN([2]Sheet1!AC51/[2]Sheet1!AC50)-'[1]Page 331'!$B56</f>
        <v>-1.5224176670454627E-2</v>
      </c>
      <c r="AE56" s="10">
        <f>LN([2]Sheet1!AD51/[2]Sheet1!AD50)-'[1]Page 331'!$B56</f>
        <v>-3.234700475496597E-4</v>
      </c>
      <c r="AF56" s="10">
        <f>LN([2]Sheet1!AE51/[2]Sheet1!AE50)-'[1]Page 331'!$B56</f>
        <v>2.1006598372028375E-2</v>
      </c>
      <c r="AG56" s="10">
        <f>LN([2]Sheet1!AF51/[2]Sheet1!AF50)-'[1]Page 331'!$B56</f>
        <v>1.9476886837931293E-2</v>
      </c>
    </row>
    <row r="57" spans="1:33" x14ac:dyDescent="0.25">
      <c r="A57" s="13">
        <v>38565</v>
      </c>
      <c r="B57" s="10">
        <v>2.6833333333333331E-3</v>
      </c>
      <c r="C57" s="10">
        <f>LN([2]Sheet1!B52/[2]Sheet1!B51)-'[1]Page 331'!$B57</f>
        <v>-1.3968801305692488E-2</v>
      </c>
      <c r="D57" s="10">
        <f>LN([2]Sheet1!C52/[2]Sheet1!C51)-'[1]Page 331'!$B57</f>
        <v>-4.353565339831339E-2</v>
      </c>
      <c r="E57" s="10">
        <f>LN([2]Sheet1!D52/[2]Sheet1!D51)-'[1]Page 331'!$B57</f>
        <v>-1.6839282563465632E-2</v>
      </c>
      <c r="F57" s="10">
        <f>LN([2]Sheet1!E52/[2]Sheet1!E51)-'[1]Page 331'!$B57</f>
        <v>1.7113582640903816E-3</v>
      </c>
      <c r="G57" s="10">
        <f>LN([2]Sheet1!F52/[2]Sheet1!F51)-'[1]Page 331'!$B57</f>
        <v>1.6208148662657386E-2</v>
      </c>
      <c r="H57" s="10">
        <f>LN([2]Sheet1!G52/[2]Sheet1!G51)-'[1]Page 331'!$B57</f>
        <v>3.6317385249848302E-3</v>
      </c>
      <c r="I57" s="10">
        <f>LN([2]Sheet1!H52/[2]Sheet1!H51)-'[1]Page 331'!$B57</f>
        <v>2.6357827155772191E-2</v>
      </c>
      <c r="J57" s="10">
        <f>LN([2]Sheet1!I52/[2]Sheet1!I51)-'[1]Page 331'!$B57</f>
        <v>-6.9650808786307833E-2</v>
      </c>
      <c r="K57" s="10">
        <f>LN([2]Sheet1!J52/[2]Sheet1!J51)-'[1]Page 331'!$B57</f>
        <v>-2.0178809409057339E-2</v>
      </c>
      <c r="L57" s="10">
        <f>LN([2]Sheet1!K52/[2]Sheet1!K51)-'[1]Page 331'!$B57</f>
        <v>-2.8972806269151549E-2</v>
      </c>
      <c r="M57" s="10">
        <f>LN([2]Sheet1!L52/[2]Sheet1!L51)-'[1]Page 331'!$B57</f>
        <v>-6.2627475922894041E-2</v>
      </c>
      <c r="N57" s="10">
        <f>LN([2]Sheet1!M52/[2]Sheet1!M51)-'[1]Page 331'!$B57</f>
        <v>-7.6308079676973714E-2</v>
      </c>
      <c r="O57" s="10">
        <f>LN([2]Sheet1!N52/[2]Sheet1!N51)-'[1]Page 331'!$B57</f>
        <v>-2.2923214681079648E-2</v>
      </c>
      <c r="P57" s="10">
        <f>LN([2]Sheet1!O52/[2]Sheet1!O51)-'[1]Page 331'!$B57</f>
        <v>0.11746872393215288</v>
      </c>
      <c r="Q57" s="10">
        <f>LN([2]Sheet1!P52/[2]Sheet1!P51)-'[1]Page 331'!$B57</f>
        <v>-3.4811150416292881E-2</v>
      </c>
      <c r="R57" s="10">
        <f>LN([2]Sheet1!Q52/[2]Sheet1!Q51)-'[1]Page 331'!$B57</f>
        <v>-5.3385436453295541E-2</v>
      </c>
      <c r="S57" s="10">
        <f>LN([2]Sheet1!R52/[2]Sheet1!R51)-'[1]Page 331'!$B57</f>
        <v>-6.5270280078961601E-3</v>
      </c>
      <c r="T57" s="10">
        <f>LN([2]Sheet1!S52/[2]Sheet1!S51)-'[1]Page 331'!$B57</f>
        <v>-3.8985504626324476E-2</v>
      </c>
      <c r="U57" s="10">
        <f>LN([2]Sheet1!T52/[2]Sheet1!T51)-'[1]Page 331'!$B57</f>
        <v>2.7037273581880131E-3</v>
      </c>
      <c r="V57" s="10">
        <f>LN([2]Sheet1!U52/[2]Sheet1!U51)-'[1]Page 331'!$B57</f>
        <v>3.7745656662311597E-2</v>
      </c>
      <c r="W57" s="10">
        <f>LN([2]Sheet1!V52/[2]Sheet1!V51)-'[1]Page 331'!$B57</f>
        <v>-4.9456708418427323E-2</v>
      </c>
      <c r="X57" s="10">
        <f>LN([2]Sheet1!W52/[2]Sheet1!W51)-'[1]Page 331'!$B57</f>
        <v>5.1671271394665361E-2</v>
      </c>
      <c r="Y57" s="10">
        <f>LN([2]Sheet1!X52/[2]Sheet1!X51)-'[1]Page 331'!$B57</f>
        <v>-8.4728269506733983E-2</v>
      </c>
      <c r="Z57" s="10">
        <f>LN([2]Sheet1!Y52/[2]Sheet1!Y51)-'[1]Page 331'!$B57</f>
        <v>6.683682527366526E-2</v>
      </c>
      <c r="AA57" s="10">
        <f>LN([2]Sheet1!Z52/[2]Sheet1!Z51)-'[1]Page 331'!$B57</f>
        <v>-3.483533877175108E-2</v>
      </c>
      <c r="AB57" s="10">
        <f>LN([2]Sheet1!AA52/[2]Sheet1!AA51)-'[1]Page 331'!$B57</f>
        <v>-5.4253147606391303E-3</v>
      </c>
      <c r="AC57" s="10">
        <f>LN([2]Sheet1!AB52/[2]Sheet1!AB51)-'[1]Page 331'!$B57</f>
        <v>-1.83018720809613E-2</v>
      </c>
      <c r="AD57" s="10">
        <f>LN([2]Sheet1!AC52/[2]Sheet1!AC51)-'[1]Page 331'!$B57</f>
        <v>-1.2353029951292269E-2</v>
      </c>
      <c r="AE57" s="10">
        <f>LN([2]Sheet1!AD52/[2]Sheet1!AD51)-'[1]Page 331'!$B57</f>
        <v>-4.7902968167958658E-2</v>
      </c>
      <c r="AF57" s="10">
        <f>LN([2]Sheet1!AE52/[2]Sheet1!AE51)-'[1]Page 331'!$B57</f>
        <v>-9.2667814355748307E-2</v>
      </c>
      <c r="AG57" s="10">
        <f>LN([2]Sheet1!AF52/[2]Sheet1!AF51)-'[1]Page 331'!$B57</f>
        <v>2.1513471366078594E-2</v>
      </c>
    </row>
    <row r="58" spans="1:33" x14ac:dyDescent="0.25">
      <c r="A58" s="13">
        <v>38596</v>
      </c>
      <c r="B58" s="10">
        <v>2.8666666666666667E-3</v>
      </c>
      <c r="C58" s="10">
        <f>LN([2]Sheet1!B53/[2]Sheet1!B52)-'[1]Page 331'!$B58</f>
        <v>4.0582407601922549E-3</v>
      </c>
      <c r="D58" s="10">
        <f>LN([2]Sheet1!C53/[2]Sheet1!C52)-'[1]Page 331'!$B58</f>
        <v>-9.5337817404065009E-2</v>
      </c>
      <c r="E58" s="10">
        <f>LN([2]Sheet1!D53/[2]Sheet1!D52)-'[1]Page 331'!$B58</f>
        <v>4.2750330742305262E-2</v>
      </c>
      <c r="F58" s="10">
        <f>LN([2]Sheet1!E53/[2]Sheet1!E52)-'[1]Page 331'!$B58</f>
        <v>3.6040779632906708E-2</v>
      </c>
      <c r="G58" s="10">
        <f>LN([2]Sheet1!F53/[2]Sheet1!F52)-'[1]Page 331'!$B58</f>
        <v>1.0922520645730155E-2</v>
      </c>
      <c r="H58" s="10">
        <f>LN([2]Sheet1!G53/[2]Sheet1!G52)-'[1]Page 331'!$B58</f>
        <v>3.6228493830562633E-2</v>
      </c>
      <c r="I58" s="10">
        <f>LN([2]Sheet1!H53/[2]Sheet1!H52)-'[1]Page 331'!$B58</f>
        <v>5.418032599605252E-2</v>
      </c>
      <c r="J58" s="10">
        <f>LN([2]Sheet1!I53/[2]Sheet1!I52)-'[1]Page 331'!$B58</f>
        <v>-1.3034920095919349E-2</v>
      </c>
      <c r="K58" s="10">
        <f>LN([2]Sheet1!J53/[2]Sheet1!J52)-'[1]Page 331'!$B58</f>
        <v>-4.5897275677731927E-2</v>
      </c>
      <c r="L58" s="10">
        <f>LN([2]Sheet1!K53/[2]Sheet1!K52)-'[1]Page 331'!$B58</f>
        <v>5.6699705405085128E-3</v>
      </c>
      <c r="M58" s="10">
        <f>LN([2]Sheet1!L53/[2]Sheet1!L52)-'[1]Page 331'!$B58</f>
        <v>-0.11344806410249721</v>
      </c>
      <c r="N58" s="10">
        <f>LN([2]Sheet1!M53/[2]Sheet1!M52)-'[1]Page 331'!$B58</f>
        <v>-5.8493776832630004E-2</v>
      </c>
      <c r="O58" s="10">
        <f>LN([2]Sheet1!N53/[2]Sheet1!N52)-'[1]Page 331'!$B58</f>
        <v>-2.3524678287088652E-2</v>
      </c>
      <c r="P58" s="10">
        <f>LN([2]Sheet1!O53/[2]Sheet1!O52)-'[1]Page 331'!$B58</f>
        <v>5.0299645007409854E-2</v>
      </c>
      <c r="Q58" s="10">
        <f>LN([2]Sheet1!P53/[2]Sheet1!P52)-'[1]Page 331'!$B58</f>
        <v>-7.8829801702994546E-3</v>
      </c>
      <c r="R58" s="10">
        <f>LN([2]Sheet1!Q53/[2]Sheet1!Q52)-'[1]Page 331'!$B58</f>
        <v>-4.5529071854941955E-2</v>
      </c>
      <c r="S58" s="10">
        <f>LN([2]Sheet1!R53/[2]Sheet1!R52)-'[1]Page 331'!$B58</f>
        <v>-4.6333097022311191E-3</v>
      </c>
      <c r="T58" s="10">
        <f>LN([2]Sheet1!S53/[2]Sheet1!S52)-'[1]Page 331'!$B58</f>
        <v>-1.6452924690322935E-3</v>
      </c>
      <c r="U58" s="10">
        <f>LN([2]Sheet1!T53/[2]Sheet1!T52)-'[1]Page 331'!$B58</f>
        <v>-1.5087735339124237E-2</v>
      </c>
      <c r="V58" s="10">
        <f>LN([2]Sheet1!U53/[2]Sheet1!U52)-'[1]Page 331'!$B58</f>
        <v>2.8705129209146907E-2</v>
      </c>
      <c r="W58" s="10">
        <f>LN([2]Sheet1!V53/[2]Sheet1!V52)-'[1]Page 331'!$B58</f>
        <v>2.7679729698513341E-2</v>
      </c>
      <c r="X58" s="10">
        <f>LN([2]Sheet1!W53/[2]Sheet1!W52)-'[1]Page 331'!$B58</f>
        <v>4.9947563019944616E-2</v>
      </c>
      <c r="Y58" s="10">
        <f>LN([2]Sheet1!X53/[2]Sheet1!X52)-'[1]Page 331'!$B58</f>
        <v>-3.9492584078471324E-2</v>
      </c>
      <c r="Z58" s="10">
        <f>LN([2]Sheet1!Y53/[2]Sheet1!Y52)-'[1]Page 331'!$B58</f>
        <v>-6.4899105560956322E-2</v>
      </c>
      <c r="AA58" s="10">
        <f>LN([2]Sheet1!Z53/[2]Sheet1!Z52)-'[1]Page 331'!$B58</f>
        <v>-2.324226969968466E-2</v>
      </c>
      <c r="AB58" s="10">
        <f>LN([2]Sheet1!AA53/[2]Sheet1!AA52)-'[1]Page 331'!$B58</f>
        <v>6.6431240969433342E-2</v>
      </c>
      <c r="AC58" s="10">
        <f>LN([2]Sheet1!AB53/[2]Sheet1!AB52)-'[1]Page 331'!$B58</f>
        <v>-7.2487946257082814E-3</v>
      </c>
      <c r="AD58" s="10">
        <f>LN([2]Sheet1!AC53/[2]Sheet1!AC52)-'[1]Page 331'!$B58</f>
        <v>3.3312989910835811E-2</v>
      </c>
      <c r="AE58" s="10">
        <f>LN([2]Sheet1!AD53/[2]Sheet1!AD52)-'[1]Page 331'!$B58</f>
        <v>-3.5093402106377491E-3</v>
      </c>
      <c r="AF58" s="10">
        <f>LN([2]Sheet1!AE53/[2]Sheet1!AE52)-'[1]Page 331'!$B58</f>
        <v>-2.8587897991586418E-2</v>
      </c>
      <c r="AG58" s="10">
        <f>LN([2]Sheet1!AF53/[2]Sheet1!AF52)-'[1]Page 331'!$B58</f>
        <v>5.6220859956475397E-2</v>
      </c>
    </row>
    <row r="59" spans="1:33" x14ac:dyDescent="0.25">
      <c r="A59" s="13">
        <v>38628</v>
      </c>
      <c r="B59" s="10">
        <v>2.8500000000000001E-3</v>
      </c>
      <c r="C59" s="10">
        <f>LN([2]Sheet1!B54/[2]Sheet1!B53)-'[1]Page 331'!$B59</f>
        <v>-2.0749994313773931E-2</v>
      </c>
      <c r="D59" s="10">
        <f>LN([2]Sheet1!C54/[2]Sheet1!C53)-'[1]Page 331'!$B59</f>
        <v>-8.2700674693391447E-3</v>
      </c>
      <c r="E59" s="10">
        <f>LN([2]Sheet1!D54/[2]Sheet1!D53)-'[1]Page 331'!$B59</f>
        <v>4.1862584018884361E-2</v>
      </c>
      <c r="F59" s="10">
        <f>LN([2]Sheet1!E54/[2]Sheet1!E53)-'[1]Page 331'!$B59</f>
        <v>-1.0511327796432768E-2</v>
      </c>
      <c r="G59" s="10">
        <f>LN([2]Sheet1!F54/[2]Sheet1!F53)-'[1]Page 331'!$B59</f>
        <v>-5.2749740521956447E-2</v>
      </c>
      <c r="H59" s="10">
        <f>LN([2]Sheet1!G54/[2]Sheet1!G53)-'[1]Page 331'!$B59</f>
        <v>2.962670066043914E-3</v>
      </c>
      <c r="I59" s="10">
        <f>LN([2]Sheet1!H54/[2]Sheet1!H53)-'[1]Page 331'!$B59</f>
        <v>-0.10903361611297575</v>
      </c>
      <c r="J59" s="10">
        <f>LN([2]Sheet1!I54/[2]Sheet1!I53)-'[1]Page 331'!$B59</f>
        <v>5.9622709572152786E-2</v>
      </c>
      <c r="K59" s="10">
        <f>LN([2]Sheet1!J54/[2]Sheet1!J53)-'[1]Page 331'!$B59</f>
        <v>6.735403668678322E-3</v>
      </c>
      <c r="L59" s="10">
        <f>LN([2]Sheet1!K54/[2]Sheet1!K53)-'[1]Page 331'!$B59</f>
        <v>4.1081282094668067E-3</v>
      </c>
      <c r="M59" s="10">
        <f>LN([2]Sheet1!L54/[2]Sheet1!L53)-'[1]Page 331'!$B59</f>
        <v>-0.11381574166507361</v>
      </c>
      <c r="N59" s="10">
        <f>LN([2]Sheet1!M54/[2]Sheet1!M53)-'[1]Page 331'!$B59</f>
        <v>7.0406368722335549E-2</v>
      </c>
      <c r="O59" s="10">
        <f>LN([2]Sheet1!N54/[2]Sheet1!N53)-'[1]Page 331'!$B59</f>
        <v>-9.4777455517847484E-2</v>
      </c>
      <c r="P59" s="10">
        <f>LN([2]Sheet1!O54/[2]Sheet1!O53)-'[1]Page 331'!$B59</f>
        <v>-4.3355625285962131E-2</v>
      </c>
      <c r="Q59" s="10">
        <f>LN([2]Sheet1!P54/[2]Sheet1!P53)-'[1]Page 331'!$B59</f>
        <v>1.7682047094810381E-2</v>
      </c>
      <c r="R59" s="10">
        <f>LN([2]Sheet1!Q54/[2]Sheet1!Q53)-'[1]Page 331'!$B59</f>
        <v>-5.0427905830525956E-2</v>
      </c>
      <c r="S59" s="10">
        <f>LN([2]Sheet1!R54/[2]Sheet1!R53)-'[1]Page 331'!$B59</f>
        <v>-1.3353449556249871E-2</v>
      </c>
      <c r="T59" s="10">
        <f>LN([2]Sheet1!S54/[2]Sheet1!S53)-'[1]Page 331'!$B59</f>
        <v>8.3347293297574898E-2</v>
      </c>
      <c r="U59" s="10">
        <f>LN([2]Sheet1!T54/[2]Sheet1!T53)-'[1]Page 331'!$B59</f>
        <v>-1.2353516525453674E-2</v>
      </c>
      <c r="V59" s="10">
        <f>LN([2]Sheet1!U54/[2]Sheet1!U53)-'[1]Page 331'!$B59</f>
        <v>-6.1192036940418443E-2</v>
      </c>
      <c r="W59" s="10">
        <f>LN([2]Sheet1!V54/[2]Sheet1!V53)-'[1]Page 331'!$B59</f>
        <v>3.2160045623190379E-2</v>
      </c>
      <c r="X59" s="10">
        <f>LN([2]Sheet1!W54/[2]Sheet1!W53)-'[1]Page 331'!$B59</f>
        <v>1.5208554362292371E-2</v>
      </c>
      <c r="Y59" s="10">
        <f>LN([2]Sheet1!X54/[2]Sheet1!X53)-'[1]Page 331'!$B59</f>
        <v>3.3408877583862996E-2</v>
      </c>
      <c r="Z59" s="10">
        <f>LN([2]Sheet1!Y54/[2]Sheet1!Y53)-'[1]Page 331'!$B59</f>
        <v>-4.0285505194441419E-3</v>
      </c>
      <c r="AA59" s="10">
        <f>LN([2]Sheet1!Z54/[2]Sheet1!Z53)-'[1]Page 331'!$B59</f>
        <v>-0.14127483752179423</v>
      </c>
      <c r="AB59" s="10">
        <f>LN([2]Sheet1!AA54/[2]Sheet1!AA53)-'[1]Page 331'!$B59</f>
        <v>-5.7790550608893869E-2</v>
      </c>
      <c r="AC59" s="10">
        <f>LN([2]Sheet1!AB54/[2]Sheet1!AB53)-'[1]Page 331'!$B59</f>
        <v>5.8951366253586317E-3</v>
      </c>
      <c r="AD59" s="10">
        <f>LN([2]Sheet1!AC54/[2]Sheet1!AC53)-'[1]Page 331'!$B59</f>
        <v>-1.3646061283560747E-2</v>
      </c>
      <c r="AE59" s="10">
        <f>LN([2]Sheet1!AD54/[2]Sheet1!AD53)-'[1]Page 331'!$B59</f>
        <v>-2.6924031851888248E-2</v>
      </c>
      <c r="AF59" s="10">
        <f>LN([2]Sheet1!AE54/[2]Sheet1!AE53)-'[1]Page 331'!$B59</f>
        <v>7.3906065348175565E-2</v>
      </c>
      <c r="AG59" s="10">
        <f>LN([2]Sheet1!AF54/[2]Sheet1!AF53)-'[1]Page 331'!$B59</f>
        <v>-0.12672475055085766</v>
      </c>
    </row>
    <row r="60" spans="1:33" x14ac:dyDescent="0.25">
      <c r="A60" s="13">
        <v>38657</v>
      </c>
      <c r="B60" s="10">
        <v>3.0916666666666666E-3</v>
      </c>
      <c r="C60" s="10">
        <f>LN([2]Sheet1!B55/[2]Sheet1!B54)-'[1]Page 331'!$B60</f>
        <v>3.1489571010321939E-2</v>
      </c>
      <c r="D60" s="10">
        <f>LN([2]Sheet1!C55/[2]Sheet1!C54)-'[1]Page 331'!$B60</f>
        <v>0.12393870694139773</v>
      </c>
      <c r="E60" s="10">
        <f>LN([2]Sheet1!D55/[2]Sheet1!D54)-'[1]Page 331'!$B60</f>
        <v>3.2400597239657686E-2</v>
      </c>
      <c r="F60" s="10">
        <f>LN([2]Sheet1!E55/[2]Sheet1!E54)-'[1]Page 331'!$B60</f>
        <v>2.9365139512209107E-2</v>
      </c>
      <c r="G60" s="10">
        <f>LN([2]Sheet1!F55/[2]Sheet1!F54)-'[1]Page 331'!$B60</f>
        <v>5.4075439915277197E-2</v>
      </c>
      <c r="H60" s="10">
        <f>LN([2]Sheet1!G55/[2]Sheet1!G54)-'[1]Page 331'!$B60</f>
        <v>6.5395801453053848E-2</v>
      </c>
      <c r="I60" s="10">
        <f>LN([2]Sheet1!H55/[2]Sheet1!H54)-'[1]Page 331'!$B60</f>
        <v>9.0964288676130253E-2</v>
      </c>
      <c r="J60" s="10">
        <f>LN([2]Sheet1!I55/[2]Sheet1!I54)-'[1]Page 331'!$B60</f>
        <v>3.0793472597949109E-2</v>
      </c>
      <c r="K60" s="10">
        <f>LN([2]Sheet1!J55/[2]Sheet1!J54)-'[1]Page 331'!$B60</f>
        <v>1.9869571681519014E-2</v>
      </c>
      <c r="L60" s="10">
        <f>LN([2]Sheet1!K55/[2]Sheet1!K54)-'[1]Page 331'!$B60</f>
        <v>4.8894785080282714E-2</v>
      </c>
      <c r="M60" s="10">
        <f>LN([2]Sheet1!L55/[2]Sheet1!L54)-'[1]Page 331'!$B60</f>
        <v>-0.20854230397228332</v>
      </c>
      <c r="N60" s="10">
        <f>LN([2]Sheet1!M55/[2]Sheet1!M54)-'[1]Page 331'!$B60</f>
        <v>1.713073034133154E-2</v>
      </c>
      <c r="O60" s="10">
        <f>LN([2]Sheet1!N55/[2]Sheet1!N54)-'[1]Page 331'!$B60</f>
        <v>6.8572225847370175E-2</v>
      </c>
      <c r="P60" s="10">
        <f>LN([2]Sheet1!O55/[2]Sheet1!O54)-'[1]Page 331'!$B60</f>
        <v>5.3507440698711918E-2</v>
      </c>
      <c r="Q60" s="10">
        <f>LN([2]Sheet1!P55/[2]Sheet1!P54)-'[1]Page 331'!$B60</f>
        <v>8.1535625010894758E-2</v>
      </c>
      <c r="R60" s="10">
        <f>LN([2]Sheet1!Q55/[2]Sheet1!Q54)-'[1]Page 331'!$B60</f>
        <v>0.12730848116007232</v>
      </c>
      <c r="S60" s="10">
        <f>LN([2]Sheet1!R55/[2]Sheet1!R54)-'[1]Page 331'!$B60</f>
        <v>-1.1902296348821586E-2</v>
      </c>
      <c r="T60" s="10">
        <f>LN([2]Sheet1!S55/[2]Sheet1!S54)-'[1]Page 331'!$B60</f>
        <v>4.0458964558101683E-2</v>
      </c>
      <c r="U60" s="10">
        <f>LN([2]Sheet1!T55/[2]Sheet1!T54)-'[1]Page 331'!$B60</f>
        <v>1.433766803844098E-3</v>
      </c>
      <c r="V60" s="10">
        <f>LN([2]Sheet1!U55/[2]Sheet1!U54)-'[1]Page 331'!$B60</f>
        <v>8.6151283970091044E-2</v>
      </c>
      <c r="W60" s="10">
        <f>LN([2]Sheet1!V55/[2]Sheet1!V54)-'[1]Page 331'!$B60</f>
        <v>3.4608995697341702E-2</v>
      </c>
      <c r="X60" s="10">
        <f>LN([2]Sheet1!W55/[2]Sheet1!W54)-'[1]Page 331'!$B60</f>
        <v>-3.3704162615015229E-2</v>
      </c>
      <c r="Y60" s="10">
        <f>LN([2]Sheet1!X55/[2]Sheet1!X54)-'[1]Page 331'!$B60</f>
        <v>5.0859619295381311E-2</v>
      </c>
      <c r="Z60" s="10">
        <f>LN([2]Sheet1!Y55/[2]Sheet1!Y54)-'[1]Page 331'!$B60</f>
        <v>7.4044062215560563E-2</v>
      </c>
      <c r="AA60" s="10">
        <f>LN([2]Sheet1!Z55/[2]Sheet1!Z54)-'[1]Page 331'!$B60</f>
        <v>-1.9778585451681263E-2</v>
      </c>
      <c r="AB60" s="10">
        <f>LN([2]Sheet1!AA55/[2]Sheet1!AA54)-'[1]Page 331'!$B60</f>
        <v>1.7976779107638209E-2</v>
      </c>
      <c r="AC60" s="10">
        <f>LN([2]Sheet1!AB55/[2]Sheet1!AB54)-'[1]Page 331'!$B60</f>
        <v>4.0356393483929616E-2</v>
      </c>
      <c r="AD60" s="10">
        <f>LN([2]Sheet1!AC55/[2]Sheet1!AC54)-'[1]Page 331'!$B60</f>
        <v>4.975952152732982E-2</v>
      </c>
      <c r="AE60" s="10">
        <f>LN([2]Sheet1!AD55/[2]Sheet1!AD54)-'[1]Page 331'!$B60</f>
        <v>1.1616884167645504E-2</v>
      </c>
      <c r="AF60" s="10">
        <f>LN([2]Sheet1!AE55/[2]Sheet1!AE54)-'[1]Page 331'!$B60</f>
        <v>2.3042592043752329E-2</v>
      </c>
      <c r="AG60" s="10">
        <f>LN([2]Sheet1!AF55/[2]Sheet1!AF54)-'[1]Page 331'!$B60</f>
        <v>3.5063968750124054E-2</v>
      </c>
    </row>
    <row r="61" spans="1:33" x14ac:dyDescent="0.25">
      <c r="A61" s="13">
        <v>38687</v>
      </c>
      <c r="B61" s="10">
        <v>3.2333333333333333E-3</v>
      </c>
      <c r="C61" s="10">
        <f>LN([2]Sheet1!B56/[2]Sheet1!B55)-'[1]Page 331'!$B61</f>
        <v>-4.1861833475747021E-3</v>
      </c>
      <c r="D61" s="10">
        <f>LN([2]Sheet1!C56/[2]Sheet1!C55)-'[1]Page 331'!$B61</f>
        <v>7.2608879999192855E-2</v>
      </c>
      <c r="E61" s="10">
        <f>LN([2]Sheet1!D56/[2]Sheet1!D55)-'[1]Page 331'!$B61</f>
        <v>1.2947528863756165E-2</v>
      </c>
      <c r="F61" s="10">
        <f>LN([2]Sheet1!E56/[2]Sheet1!E55)-'[1]Page 331'!$B61</f>
        <v>-2.4499412055292557E-3</v>
      </c>
      <c r="G61" s="10">
        <f>LN([2]Sheet1!F56/[2]Sheet1!F55)-'[1]Page 331'!$B61</f>
        <v>2.646749592083986E-2</v>
      </c>
      <c r="H61" s="10">
        <f>LN([2]Sheet1!G56/[2]Sheet1!G55)-'[1]Page 331'!$B61</f>
        <v>-3.6497397520088631E-3</v>
      </c>
      <c r="I61" s="10">
        <f>LN([2]Sheet1!H56/[2]Sheet1!H55)-'[1]Page 331'!$B61</f>
        <v>-3.4076556557480803E-3</v>
      </c>
      <c r="J61" s="10">
        <f>LN([2]Sheet1!I56/[2]Sheet1!I55)-'[1]Page 331'!$B61</f>
        <v>-9.2006502411037683E-3</v>
      </c>
      <c r="K61" s="10">
        <f>LN([2]Sheet1!J56/[2]Sheet1!J55)-'[1]Page 331'!$B61</f>
        <v>-3.2018215428305796E-2</v>
      </c>
      <c r="L61" s="10">
        <f>LN([2]Sheet1!K56/[2]Sheet1!K55)-'[1]Page 331'!$B61</f>
        <v>-1.5037126637342737E-2</v>
      </c>
      <c r="M61" s="10">
        <f>LN([2]Sheet1!L56/[2]Sheet1!L55)-'[1]Page 331'!$B61</f>
        <v>-0.12352651303559679</v>
      </c>
      <c r="N61" s="10">
        <f>LN([2]Sheet1!M56/[2]Sheet1!M55)-'[1]Page 331'!$B61</f>
        <v>-3.4841991969775984E-2</v>
      </c>
      <c r="O61" s="10">
        <f>LN([2]Sheet1!N56/[2]Sheet1!N55)-'[1]Page 331'!$B61</f>
        <v>1.5945336697238733E-2</v>
      </c>
      <c r="P61" s="10">
        <f>LN([2]Sheet1!O56/[2]Sheet1!O55)-'[1]Page 331'!$B61</f>
        <v>-3.638554065023384E-2</v>
      </c>
      <c r="Q61" s="10">
        <f>LN([2]Sheet1!P56/[2]Sheet1!P55)-'[1]Page 331'!$B61</f>
        <v>-8.1598710019292531E-2</v>
      </c>
      <c r="R61" s="10">
        <f>LN([2]Sheet1!Q56/[2]Sheet1!Q55)-'[1]Page 331'!$B61</f>
        <v>-6.974199983802265E-2</v>
      </c>
      <c r="S61" s="10">
        <f>LN([2]Sheet1!R56/[2]Sheet1!R55)-'[1]Page 331'!$B61</f>
        <v>-3.0309150594088161E-2</v>
      </c>
      <c r="T61" s="10">
        <f>LN([2]Sheet1!S56/[2]Sheet1!S55)-'[1]Page 331'!$B61</f>
        <v>3.3861541841976324E-2</v>
      </c>
      <c r="U61" s="10">
        <f>LN([2]Sheet1!T56/[2]Sheet1!T55)-'[1]Page 331'!$B61</f>
        <v>-6.0699331936280264E-2</v>
      </c>
      <c r="V61" s="10">
        <f>LN([2]Sheet1!U56/[2]Sheet1!U55)-'[1]Page 331'!$B61</f>
        <v>-7.0811995579627175E-3</v>
      </c>
      <c r="W61" s="10">
        <f>LN([2]Sheet1!V56/[2]Sheet1!V55)-'[1]Page 331'!$B61</f>
        <v>-1.5817011089567866E-2</v>
      </c>
      <c r="X61" s="10">
        <f>LN([2]Sheet1!W56/[2]Sheet1!W55)-'[1]Page 331'!$B61</f>
        <v>3.3418159831783291E-2</v>
      </c>
      <c r="Y61" s="10">
        <f>LN([2]Sheet1!X56/[2]Sheet1!X55)-'[1]Page 331'!$B61</f>
        <v>7.5336718608495806E-2</v>
      </c>
      <c r="Z61" s="10">
        <f>LN([2]Sheet1!Y56/[2]Sheet1!Y55)-'[1]Page 331'!$B61</f>
        <v>-6.0134908851592658E-2</v>
      </c>
      <c r="AA61" s="10">
        <f>LN([2]Sheet1!Z56/[2]Sheet1!Z55)-'[1]Page 331'!$B61</f>
        <v>9.2076846470991403E-2</v>
      </c>
      <c r="AB61" s="10">
        <f>LN([2]Sheet1!AA56/[2]Sheet1!AA55)-'[1]Page 331'!$B61</f>
        <v>8.8837698780158958E-3</v>
      </c>
      <c r="AC61" s="10">
        <f>LN([2]Sheet1!AB56/[2]Sheet1!AB55)-'[1]Page 331'!$B61</f>
        <v>-2.0471515075711679E-2</v>
      </c>
      <c r="AD61" s="10">
        <f>LN([2]Sheet1!AC56/[2]Sheet1!AC55)-'[1]Page 331'!$B61</f>
        <v>3.4423793051995E-2</v>
      </c>
      <c r="AE61" s="10">
        <f>LN([2]Sheet1!AD56/[2]Sheet1!AD55)-'[1]Page 331'!$B61</f>
        <v>-6.306738518876448E-2</v>
      </c>
      <c r="AF61" s="10">
        <f>LN([2]Sheet1!AE56/[2]Sheet1!AE55)-'[1]Page 331'!$B61</f>
        <v>-3.7299887896939526E-2</v>
      </c>
      <c r="AG61" s="10">
        <f>LN([2]Sheet1!AF56/[2]Sheet1!AF55)-'[1]Page 331'!$B61</f>
        <v>-3.5796819244160345E-2</v>
      </c>
    </row>
    <row r="62" spans="1:33" x14ac:dyDescent="0.25">
      <c r="A62" s="13">
        <v>38720</v>
      </c>
      <c r="B62" s="10">
        <v>3.241666666666667E-3</v>
      </c>
      <c r="C62" s="10">
        <f>LN([2]Sheet1!B57/[2]Sheet1!B56)-'[1]Page 331'!$B62</f>
        <v>2.1906294563851594E-2</v>
      </c>
      <c r="D62" s="10">
        <f>LN([2]Sheet1!C57/[2]Sheet1!C56)-'[1]Page 331'!$B62</f>
        <v>5.9909373592999832E-2</v>
      </c>
      <c r="E62" s="10">
        <f>LN([2]Sheet1!D57/[2]Sheet1!D56)-'[1]Page 331'!$B62</f>
        <v>-4.4732662221512495E-2</v>
      </c>
      <c r="F62" s="10">
        <f>LN([2]Sheet1!E57/[2]Sheet1!E56)-'[1]Page 331'!$B62</f>
        <v>1.8256207824316709E-2</v>
      </c>
      <c r="G62" s="10">
        <f>LN([2]Sheet1!F57/[2]Sheet1!F56)-'[1]Page 331'!$B62</f>
        <v>-3.1170754722099545E-2</v>
      </c>
      <c r="H62" s="10">
        <f>LN([2]Sheet1!G57/[2]Sheet1!G56)-'[1]Page 331'!$B62</f>
        <v>-4.4263250727356943E-2</v>
      </c>
      <c r="I62" s="10">
        <f>LN([2]Sheet1!H57/[2]Sheet1!H56)-'[1]Page 331'!$B62</f>
        <v>0.16234959556248468</v>
      </c>
      <c r="J62" s="10">
        <f>LN([2]Sheet1!I57/[2]Sheet1!I56)-'[1]Page 331'!$B62</f>
        <v>-8.5281419378245016E-2</v>
      </c>
      <c r="K62" s="10">
        <f>LN([2]Sheet1!J57/[2]Sheet1!J56)-'[1]Page 331'!$B62</f>
        <v>5.1154859444073011E-2</v>
      </c>
      <c r="L62" s="10">
        <f>LN([2]Sheet1!K57/[2]Sheet1!K56)-'[1]Page 331'!$B62</f>
        <v>-7.0932172004697133E-2</v>
      </c>
      <c r="M62" s="10">
        <f>LN([2]Sheet1!L57/[2]Sheet1!L56)-'[1]Page 331'!$B62</f>
        <v>0.21134353561638139</v>
      </c>
      <c r="N62" s="10">
        <f>LN([2]Sheet1!M57/[2]Sheet1!M56)-'[1]Page 331'!$B62</f>
        <v>-1.5005892463736915E-3</v>
      </c>
      <c r="O62" s="10">
        <f>LN([2]Sheet1!N57/[2]Sheet1!N56)-'[1]Page 331'!$B62</f>
        <v>2.7751997699145003E-2</v>
      </c>
      <c r="P62" s="10">
        <f>LN([2]Sheet1!O57/[2]Sheet1!O56)-'[1]Page 331'!$B62</f>
        <v>8.2188404537951107E-2</v>
      </c>
      <c r="Q62" s="10">
        <f>LN([2]Sheet1!P57/[2]Sheet1!P56)-'[1]Page 331'!$B62</f>
        <v>-1.4318703005574274E-2</v>
      </c>
      <c r="R62" s="10">
        <f>LN([2]Sheet1!Q57/[2]Sheet1!Q56)-'[1]Page 331'!$B62</f>
        <v>-0.16395373912776617</v>
      </c>
      <c r="S62" s="10">
        <f>LN([2]Sheet1!R57/[2]Sheet1!R56)-'[1]Page 331'!$B62</f>
        <v>-4.6775422471581812E-2</v>
      </c>
      <c r="T62" s="10">
        <f>LN([2]Sheet1!S57/[2]Sheet1!S56)-'[1]Page 331'!$B62</f>
        <v>6.7802596923799002E-3</v>
      </c>
      <c r="U62" s="10">
        <f>LN([2]Sheet1!T57/[2]Sheet1!T56)-'[1]Page 331'!$B62</f>
        <v>2.3088716836292811E-2</v>
      </c>
      <c r="V62" s="10">
        <f>LN([2]Sheet1!U57/[2]Sheet1!U56)-'[1]Page 331'!$B62</f>
        <v>3.4300935166253002E-2</v>
      </c>
      <c r="W62" s="10">
        <f>LN([2]Sheet1!V57/[2]Sheet1!V56)-'[1]Page 331'!$B62</f>
        <v>-6.6423406298809634E-2</v>
      </c>
      <c r="X62" s="10">
        <f>LN([2]Sheet1!W57/[2]Sheet1!W56)-'[1]Page 331'!$B62</f>
        <v>-3.564386165312558E-2</v>
      </c>
      <c r="Y62" s="10">
        <f>LN([2]Sheet1!X57/[2]Sheet1!X56)-'[1]Page 331'!$B62</f>
        <v>7.7938163221703535E-2</v>
      </c>
      <c r="Z62" s="10">
        <f>LN([2]Sheet1!Y57/[2]Sheet1!Y56)-'[1]Page 331'!$B62</f>
        <v>7.0618641098552176E-2</v>
      </c>
      <c r="AA62" s="10">
        <f>LN([2]Sheet1!Z57/[2]Sheet1!Z56)-'[1]Page 331'!$B62</f>
        <v>9.3339161339113866E-2</v>
      </c>
      <c r="AB62" s="10">
        <f>LN([2]Sheet1!AA57/[2]Sheet1!AA56)-'[1]Page 331'!$B62</f>
        <v>2.4473335570387941E-2</v>
      </c>
      <c r="AC62" s="10">
        <f>LN([2]Sheet1!AB57/[2]Sheet1!AB56)-'[1]Page 331'!$B62</f>
        <v>6.8348902237692383E-2</v>
      </c>
      <c r="AD62" s="10">
        <f>LN([2]Sheet1!AC57/[2]Sheet1!AC56)-'[1]Page 331'!$B62</f>
        <v>3.9806080503888508E-2</v>
      </c>
      <c r="AE62" s="10">
        <f>LN([2]Sheet1!AD57/[2]Sheet1!AD56)-'[1]Page 331'!$B62</f>
        <v>5.9508311440819722E-2</v>
      </c>
      <c r="AF62" s="10">
        <f>LN([2]Sheet1!AE57/[2]Sheet1!AE56)-'[1]Page 331'!$B62</f>
        <v>-1.7986079484509067E-2</v>
      </c>
      <c r="AG62" s="10">
        <f>LN([2]Sheet1!AF57/[2]Sheet1!AF56)-'[1]Page 331'!$B62</f>
        <v>0.10766201093916676</v>
      </c>
    </row>
    <row r="63" spans="1:33" x14ac:dyDescent="0.25">
      <c r="A63" s="13">
        <v>38749</v>
      </c>
      <c r="B63" s="10">
        <v>3.5333333333333332E-3</v>
      </c>
      <c r="C63" s="10">
        <f>LN([2]Sheet1!B58/[2]Sheet1!B57)-'[1]Page 331'!$B63</f>
        <v>-3.0803392691812937E-3</v>
      </c>
      <c r="D63" s="10">
        <f>LN([2]Sheet1!C58/[2]Sheet1!C57)-'[1]Page 331'!$B63</f>
        <v>-7.0445704749997992E-2</v>
      </c>
      <c r="E63" s="10">
        <f>LN([2]Sheet1!D58/[2]Sheet1!D57)-'[1]Page 331'!$B63</f>
        <v>1.018639406414667E-2</v>
      </c>
      <c r="F63" s="10">
        <f>LN([2]Sheet1!E58/[2]Sheet1!E57)-'[1]Page 331'!$B63</f>
        <v>2.3311378850791101E-2</v>
      </c>
      <c r="G63" s="10">
        <f>LN([2]Sheet1!F58/[2]Sheet1!F57)-'[1]Page 331'!$B63</f>
        <v>6.2810608239004959E-2</v>
      </c>
      <c r="H63" s="10">
        <f>LN([2]Sheet1!G58/[2]Sheet1!G57)-'[1]Page 331'!$B63</f>
        <v>2.5233583376190858E-3</v>
      </c>
      <c r="I63" s="10">
        <f>LN([2]Sheet1!H58/[2]Sheet1!H57)-'[1]Page 331'!$B63</f>
        <v>6.9930740787364193E-2</v>
      </c>
      <c r="J63" s="10">
        <f>LN([2]Sheet1!I58/[2]Sheet1!I57)-'[1]Page 331'!$B63</f>
        <v>3.2954959929803351E-2</v>
      </c>
      <c r="K63" s="10">
        <f>LN([2]Sheet1!J58/[2]Sheet1!J57)-'[1]Page 331'!$B63</f>
        <v>9.7114395636996032E-2</v>
      </c>
      <c r="L63" s="10">
        <f>LN([2]Sheet1!K58/[2]Sheet1!K57)-'[1]Page 331'!$B63</f>
        <v>7.5607712080254588E-3</v>
      </c>
      <c r="M63" s="10">
        <f>LN([2]Sheet1!L58/[2]Sheet1!L57)-'[1]Page 331'!$B63</f>
        <v>-0.16186648833215864</v>
      </c>
      <c r="N63" s="10">
        <f>LN([2]Sheet1!M58/[2]Sheet1!M57)-'[1]Page 331'!$B63</f>
        <v>3.5218926329289871E-2</v>
      </c>
      <c r="O63" s="10">
        <f>LN([2]Sheet1!N58/[2]Sheet1!N57)-'[1]Page 331'!$B63</f>
        <v>6.5827794464169198E-2</v>
      </c>
      <c r="P63" s="10">
        <f>LN([2]Sheet1!O58/[2]Sheet1!O57)-'[1]Page 331'!$B63</f>
        <v>4.7373039014180107E-2</v>
      </c>
      <c r="Q63" s="10">
        <f>LN([2]Sheet1!P58/[2]Sheet1!P57)-'[1]Page 331'!$B63</f>
        <v>-1.4108859580419743E-2</v>
      </c>
      <c r="R63" s="10">
        <f>LN([2]Sheet1!Q58/[2]Sheet1!Q57)-'[1]Page 331'!$B63</f>
        <v>-3.049693121091553E-2</v>
      </c>
      <c r="S63" s="10">
        <f>LN([2]Sheet1!R58/[2]Sheet1!R57)-'[1]Page 331'!$B63</f>
        <v>4.000648864299395E-3</v>
      </c>
      <c r="T63" s="10">
        <f>LN([2]Sheet1!S58/[2]Sheet1!S57)-'[1]Page 331'!$B63</f>
        <v>3.0896502878454045E-2</v>
      </c>
      <c r="U63" s="10">
        <f>LN([2]Sheet1!T58/[2]Sheet1!T57)-'[1]Page 331'!$B63</f>
        <v>1.0585693810519589E-2</v>
      </c>
      <c r="V63" s="10">
        <f>LN([2]Sheet1!U58/[2]Sheet1!U57)-'[1]Page 331'!$B63</f>
        <v>-6.3937471829629789E-3</v>
      </c>
      <c r="W63" s="10">
        <f>LN([2]Sheet1!V58/[2]Sheet1!V57)-'[1]Page 331'!$B63</f>
        <v>1.4246750519530022E-2</v>
      </c>
      <c r="X63" s="10">
        <f>LN([2]Sheet1!W58/[2]Sheet1!W57)-'[1]Page 331'!$B63</f>
        <v>-9.6296164797589328E-3</v>
      </c>
      <c r="Y63" s="10">
        <f>LN([2]Sheet1!X58/[2]Sheet1!X57)-'[1]Page 331'!$B63</f>
        <v>7.0831037429197382E-3</v>
      </c>
      <c r="Z63" s="10">
        <f>LN([2]Sheet1!Y58/[2]Sheet1!Y57)-'[1]Page 331'!$B63</f>
        <v>-4.6668675402180372E-2</v>
      </c>
      <c r="AA63" s="10">
        <f>LN([2]Sheet1!Z58/[2]Sheet1!Z57)-'[1]Page 331'!$B63</f>
        <v>2.5408851037586982E-2</v>
      </c>
      <c r="AB63" s="10">
        <f>LN([2]Sheet1!AA58/[2]Sheet1!AA57)-'[1]Page 331'!$B63</f>
        <v>8.2811500804297229E-3</v>
      </c>
      <c r="AC63" s="10">
        <f>LN([2]Sheet1!AB58/[2]Sheet1!AB57)-'[1]Page 331'!$B63</f>
        <v>5.771810947659034E-2</v>
      </c>
      <c r="AD63" s="10">
        <f>LN([2]Sheet1!AC58/[2]Sheet1!AC57)-'[1]Page 331'!$B63</f>
        <v>2.4923369602566988E-3</v>
      </c>
      <c r="AE63" s="10">
        <f>LN([2]Sheet1!AD58/[2]Sheet1!AD57)-'[1]Page 331'!$B63</f>
        <v>5.8859568293967823E-2</v>
      </c>
      <c r="AF63" s="10">
        <f>LN([2]Sheet1!AE58/[2]Sheet1!AE57)-'[1]Page 331'!$B63</f>
        <v>-2.005171354427366E-2</v>
      </c>
      <c r="AG63" s="10">
        <f>LN([2]Sheet1!AF58/[2]Sheet1!AF57)-'[1]Page 331'!$B63</f>
        <v>-5.371715858540111E-2</v>
      </c>
    </row>
    <row r="64" spans="1:33" x14ac:dyDescent="0.25">
      <c r="A64" s="13">
        <v>38777</v>
      </c>
      <c r="B64" s="10">
        <v>3.6916666666666664E-3</v>
      </c>
      <c r="C64" s="10">
        <f>LN([2]Sheet1!B59/[2]Sheet1!B58)-'[1]Page 331'!$B64</f>
        <v>7.3430673027922791E-3</v>
      </c>
      <c r="D64" s="10">
        <f>LN([2]Sheet1!C59/[2]Sheet1!C58)-'[1]Page 331'!$B64</f>
        <v>3.7911112376189646E-2</v>
      </c>
      <c r="E64" s="10">
        <f>LN([2]Sheet1!D59/[2]Sheet1!D58)-'[1]Page 331'!$B64</f>
        <v>-5.5101245097925371E-3</v>
      </c>
      <c r="F64" s="10">
        <f>LN([2]Sheet1!E59/[2]Sheet1!E58)-'[1]Page 331'!$B64</f>
        <v>-2.8813395750091838E-2</v>
      </c>
      <c r="G64" s="10">
        <f>LN([2]Sheet1!F59/[2]Sheet1!F58)-'[1]Page 331'!$B64</f>
        <v>6.5890024621642035E-2</v>
      </c>
      <c r="H64" s="10">
        <f>LN([2]Sheet1!G59/[2]Sheet1!G58)-'[1]Page 331'!$B64</f>
        <v>1.4684918837989631E-2</v>
      </c>
      <c r="I64" s="10">
        <f>LN([2]Sheet1!H59/[2]Sheet1!H58)-'[1]Page 331'!$B64</f>
        <v>-2.1278493970000714E-2</v>
      </c>
      <c r="J64" s="10">
        <f>LN([2]Sheet1!I59/[2]Sheet1!I58)-'[1]Page 331'!$B64</f>
        <v>4.4250994303742804E-2</v>
      </c>
      <c r="K64" s="10">
        <f>LN([2]Sheet1!J59/[2]Sheet1!J58)-'[1]Page 331'!$B64</f>
        <v>-7.2707685546311816E-3</v>
      </c>
      <c r="L64" s="10">
        <f>LN([2]Sheet1!K59/[2]Sheet1!K58)-'[1]Page 331'!$B64</f>
        <v>5.2615088943331306E-2</v>
      </c>
      <c r="M64" s="10">
        <f>LN([2]Sheet1!L59/[2]Sheet1!L58)-'[1]Page 331'!$B64</f>
        <v>4.2466636254601987E-2</v>
      </c>
      <c r="N64" s="10">
        <f>LN([2]Sheet1!M59/[2]Sheet1!M58)-'[1]Page 331'!$B64</f>
        <v>3.4546238701515862E-3</v>
      </c>
      <c r="O64" s="10">
        <f>LN([2]Sheet1!N59/[2]Sheet1!N58)-'[1]Page 331'!$B64</f>
        <v>3.9777777554056558E-2</v>
      </c>
      <c r="P64" s="10">
        <f>LN([2]Sheet1!O59/[2]Sheet1!O58)-'[1]Page 331'!$B64</f>
        <v>1.5031502104374847E-3</v>
      </c>
      <c r="Q64" s="10">
        <f>LN([2]Sheet1!P59/[2]Sheet1!P58)-'[1]Page 331'!$B64</f>
        <v>2.369716599646652E-2</v>
      </c>
      <c r="R64" s="10">
        <f>LN([2]Sheet1!Q59/[2]Sheet1!Q58)-'[1]Page 331'!$B64</f>
        <v>-6.0419547069044073E-2</v>
      </c>
      <c r="S64" s="10">
        <f>LN([2]Sheet1!R59/[2]Sheet1!R58)-'[1]Page 331'!$B64</f>
        <v>2.3174078619132583E-2</v>
      </c>
      <c r="T64" s="10">
        <f>LN([2]Sheet1!S59/[2]Sheet1!S58)-'[1]Page 331'!$B64</f>
        <v>8.3403999129028957E-3</v>
      </c>
      <c r="U64" s="10">
        <f>LN([2]Sheet1!T59/[2]Sheet1!T58)-'[1]Page 331'!$B64</f>
        <v>1.1311061245593387E-3</v>
      </c>
      <c r="V64" s="10">
        <f>LN([2]Sheet1!U59/[2]Sheet1!U58)-'[1]Page 331'!$B64</f>
        <v>-1.9571890667556626E-2</v>
      </c>
      <c r="W64" s="10">
        <f>LN([2]Sheet1!V59/[2]Sheet1!V58)-'[1]Page 331'!$B64</f>
        <v>2.4460236228098394E-2</v>
      </c>
      <c r="X64" s="10">
        <f>LN([2]Sheet1!W59/[2]Sheet1!W58)-'[1]Page 331'!$B64</f>
        <v>-7.3959022742473932E-3</v>
      </c>
      <c r="Y64" s="10">
        <f>LN([2]Sheet1!X59/[2]Sheet1!X58)-'[1]Page 331'!$B64</f>
        <v>1.7783331561431293E-2</v>
      </c>
      <c r="Z64" s="10">
        <f>LN([2]Sheet1!Y59/[2]Sheet1!Y58)-'[1]Page 331'!$B64</f>
        <v>8.5602036867275244E-3</v>
      </c>
      <c r="AA64" s="10">
        <f>LN([2]Sheet1!Z59/[2]Sheet1!Z58)-'[1]Page 331'!$B64</f>
        <v>-5.3079542197876306E-2</v>
      </c>
      <c r="AB64" s="10">
        <f>LN([2]Sheet1!AA59/[2]Sheet1!AA58)-'[1]Page 331'!$B64</f>
        <v>-4.2872112174324656E-2</v>
      </c>
      <c r="AC64" s="10">
        <f>LN([2]Sheet1!AB59/[2]Sheet1!AB58)-'[1]Page 331'!$B64</f>
        <v>-2.3947422974941505E-2</v>
      </c>
      <c r="AD64" s="10">
        <f>LN([2]Sheet1!AC59/[2]Sheet1!AC58)-'[1]Page 331'!$B64</f>
        <v>-1.2830449125112995E-2</v>
      </c>
      <c r="AE64" s="10">
        <f>LN([2]Sheet1!AD59/[2]Sheet1!AD58)-'[1]Page 331'!$B64</f>
        <v>6.8904426638703425E-3</v>
      </c>
      <c r="AF64" s="10">
        <f>LN([2]Sheet1!AE59/[2]Sheet1!AE58)-'[1]Page 331'!$B64</f>
        <v>4.0615254432903931E-2</v>
      </c>
      <c r="AG64" s="10">
        <f>LN([2]Sheet1!AF59/[2]Sheet1!AF58)-'[1]Page 331'!$B64</f>
        <v>2.1219761143382736E-2</v>
      </c>
    </row>
    <row r="65" spans="1:33" x14ac:dyDescent="0.25">
      <c r="A65" s="13">
        <v>38810</v>
      </c>
      <c r="B65" s="10">
        <v>3.7583333333333336E-3</v>
      </c>
      <c r="C65" s="10">
        <f>LN([2]Sheet1!B60/[2]Sheet1!B59)-'[1]Page 331'!$B65</f>
        <v>8.3240403418110408E-3</v>
      </c>
      <c r="D65" s="10">
        <f>LN([2]Sheet1!C60/[2]Sheet1!C59)-'[1]Page 331'!$B65</f>
        <v>9.6231228509965183E-2</v>
      </c>
      <c r="E65" s="10">
        <f>LN([2]Sheet1!D60/[2]Sheet1!D59)-'[1]Page 331'!$B65</f>
        <v>-1.6580978874245679E-2</v>
      </c>
      <c r="F65" s="10">
        <f>LN([2]Sheet1!E60/[2]Sheet1!E59)-'[1]Page 331'!$B65</f>
        <v>2.2295622908123536E-2</v>
      </c>
      <c r="G65" s="10">
        <f>LN([2]Sheet1!F60/[2]Sheet1!F59)-'[1]Page 331'!$B65</f>
        <v>6.4788048243741625E-2</v>
      </c>
      <c r="H65" s="10">
        <f>LN([2]Sheet1!G60/[2]Sheet1!G59)-'[1]Page 331'!$B65</f>
        <v>5.2234887853203515E-2</v>
      </c>
      <c r="I65" s="10">
        <f>LN([2]Sheet1!H60/[2]Sheet1!H59)-'[1]Page 331'!$B65</f>
        <v>5.273238380243573E-2</v>
      </c>
      <c r="J65" s="10">
        <f>LN([2]Sheet1!I60/[2]Sheet1!I59)-'[1]Page 331'!$B65</f>
        <v>3.9935101884236587E-2</v>
      </c>
      <c r="K65" s="10">
        <f>LN([2]Sheet1!J60/[2]Sheet1!J59)-'[1]Page 331'!$B65</f>
        <v>-1.251617607121482E-3</v>
      </c>
      <c r="L65" s="10">
        <f>LN([2]Sheet1!K60/[2]Sheet1!K59)-'[1]Page 331'!$B65</f>
        <v>-9.2775920789599821E-3</v>
      </c>
      <c r="M65" s="10">
        <f>LN([2]Sheet1!L60/[2]Sheet1!L59)-'[1]Page 331'!$B65</f>
        <v>6.9467415560697618E-2</v>
      </c>
      <c r="N65" s="10">
        <f>LN([2]Sheet1!M60/[2]Sheet1!M59)-'[1]Page 331'!$B65</f>
        <v>-6.140555010465925E-2</v>
      </c>
      <c r="O65" s="10">
        <f>LN([2]Sheet1!N60/[2]Sheet1!N59)-'[1]Page 331'!$B65</f>
        <v>-1.0124027350679521E-2</v>
      </c>
      <c r="P65" s="10">
        <f>LN([2]Sheet1!O60/[2]Sheet1!O59)-'[1]Page 331'!$B65</f>
        <v>-1.69507320568545E-2</v>
      </c>
      <c r="Q65" s="10">
        <f>LN([2]Sheet1!P60/[2]Sheet1!P59)-'[1]Page 331'!$B65</f>
        <v>-5.341672072249953E-3</v>
      </c>
      <c r="R65" s="10">
        <f>LN([2]Sheet1!Q60/[2]Sheet1!Q59)-'[1]Page 331'!$B65</f>
        <v>2.2746786046663761E-2</v>
      </c>
      <c r="S65" s="10">
        <f>LN([2]Sheet1!R60/[2]Sheet1!R59)-'[1]Page 331'!$B65</f>
        <v>-1.4006074593809143E-2</v>
      </c>
      <c r="T65" s="10">
        <f>LN([2]Sheet1!S60/[2]Sheet1!S59)-'[1]Page 331'!$B65</f>
        <v>9.0286262412728163E-2</v>
      </c>
      <c r="U65" s="10">
        <f>LN([2]Sheet1!T60/[2]Sheet1!T59)-'[1]Page 331'!$B65</f>
        <v>-1.5956507650534708E-3</v>
      </c>
      <c r="V65" s="10">
        <f>LN([2]Sheet1!U60/[2]Sheet1!U59)-'[1]Page 331'!$B65</f>
        <v>2.3348234841451755E-3</v>
      </c>
      <c r="W65" s="10">
        <f>LN([2]Sheet1!V60/[2]Sheet1!V59)-'[1]Page 331'!$B65</f>
        <v>0.11731027749130118</v>
      </c>
      <c r="X65" s="10">
        <f>LN([2]Sheet1!W60/[2]Sheet1!W59)-'[1]Page 331'!$B65</f>
        <v>2.8266875421277777E-2</v>
      </c>
      <c r="Y65" s="10">
        <f>LN([2]Sheet1!X60/[2]Sheet1!X59)-'[1]Page 331'!$B65</f>
        <v>-2.6994929198428663E-2</v>
      </c>
      <c r="Z65" s="10">
        <f>LN([2]Sheet1!Y60/[2]Sheet1!Y59)-'[1]Page 331'!$B65</f>
        <v>-0.1227413506724559</v>
      </c>
      <c r="AA65" s="10">
        <f>LN([2]Sheet1!Z60/[2]Sheet1!Z59)-'[1]Page 331'!$B65</f>
        <v>1.2312723687909437E-2</v>
      </c>
      <c r="AB65" s="10">
        <f>LN([2]Sheet1!AA60/[2]Sheet1!AA59)-'[1]Page 331'!$B65</f>
        <v>1.1823699386664627E-2</v>
      </c>
      <c r="AC65" s="10">
        <f>LN([2]Sheet1!AB60/[2]Sheet1!AB59)-'[1]Page 331'!$B65</f>
        <v>-2.2500515143074083E-2</v>
      </c>
      <c r="AD65" s="10">
        <f>LN([2]Sheet1!AC60/[2]Sheet1!AC59)-'[1]Page 331'!$B65</f>
        <v>7.6430934506744638E-2</v>
      </c>
      <c r="AE65" s="10">
        <f>LN([2]Sheet1!AD60/[2]Sheet1!AD59)-'[1]Page 331'!$B65</f>
        <v>-2.2580989829967195E-2</v>
      </c>
      <c r="AF65" s="10">
        <f>LN([2]Sheet1!AE60/[2]Sheet1!AE59)-'[1]Page 331'!$B65</f>
        <v>-5.1624768758492347E-2</v>
      </c>
      <c r="AG65" s="10">
        <f>LN([2]Sheet1!AF60/[2]Sheet1!AF59)-'[1]Page 331'!$B65</f>
        <v>3.192498540230506E-2</v>
      </c>
    </row>
    <row r="66" spans="1:33" x14ac:dyDescent="0.25">
      <c r="A66" s="13">
        <v>38838</v>
      </c>
      <c r="B66" s="10">
        <v>3.8333333333333331E-3</v>
      </c>
      <c r="C66" s="10">
        <f>LN([2]Sheet1!B61/[2]Sheet1!B60)-'[1]Page 331'!$B66</f>
        <v>-3.5238246919225037E-2</v>
      </c>
      <c r="D66" s="10">
        <f>LN([2]Sheet1!C61/[2]Sheet1!C60)-'[1]Page 331'!$B66</f>
        <v>-6.2304462318864419E-2</v>
      </c>
      <c r="E66" s="10">
        <f>LN([2]Sheet1!D61/[2]Sheet1!D60)-'[1]Page 331'!$B66</f>
        <v>-7.201447194550803E-2</v>
      </c>
      <c r="F66" s="10">
        <f>LN([2]Sheet1!E61/[2]Sheet1!E60)-'[1]Page 331'!$B66</f>
        <v>6.3642149414354001E-3</v>
      </c>
      <c r="G66" s="10">
        <f>LN([2]Sheet1!F61/[2]Sheet1!F60)-'[1]Page 331'!$B66</f>
        <v>-2.8719103533763274E-3</v>
      </c>
      <c r="H66" s="10">
        <f>LN([2]Sheet1!G61/[2]Sheet1!G60)-'[1]Page 331'!$B66</f>
        <v>-1.6931757379251587E-2</v>
      </c>
      <c r="I66" s="10">
        <f>LN([2]Sheet1!H61/[2]Sheet1!H60)-'[1]Page 331'!$B66</f>
        <v>-4.1365480838187321E-2</v>
      </c>
      <c r="J66" s="10">
        <f>LN([2]Sheet1!I61/[2]Sheet1!I60)-'[1]Page 331'!$B66</f>
        <v>-3.1886639316412925E-2</v>
      </c>
      <c r="K66" s="10">
        <f>LN([2]Sheet1!J61/[2]Sheet1!J60)-'[1]Page 331'!$B66</f>
        <v>8.3118432914423127E-2</v>
      </c>
      <c r="L66" s="10">
        <f>LN([2]Sheet1!K61/[2]Sheet1!K60)-'[1]Page 331'!$B66</f>
        <v>-1.319834178382989E-2</v>
      </c>
      <c r="M66" s="10">
        <f>LN([2]Sheet1!L61/[2]Sheet1!L60)-'[1]Page 331'!$B66</f>
        <v>0.168806317890314</v>
      </c>
      <c r="N66" s="10">
        <f>LN([2]Sheet1!M61/[2]Sheet1!M60)-'[1]Page 331'!$B66</f>
        <v>-5.0149818309221779E-2</v>
      </c>
      <c r="O66" s="10">
        <f>LN([2]Sheet1!N61/[2]Sheet1!N60)-'[1]Page 331'!$B66</f>
        <v>-3.0194792735726866E-2</v>
      </c>
      <c r="P66" s="10">
        <f>LN([2]Sheet1!O61/[2]Sheet1!O60)-'[1]Page 331'!$B66</f>
        <v>-6.6166968126386552E-3</v>
      </c>
      <c r="Q66" s="10">
        <f>LN([2]Sheet1!P61/[2]Sheet1!P60)-'[1]Page 331'!$B66</f>
        <v>-3.0264413765284236E-2</v>
      </c>
      <c r="R66" s="10">
        <f>LN([2]Sheet1!Q61/[2]Sheet1!Q60)-'[1]Page 331'!$B66</f>
        <v>-0.10206528238156945</v>
      </c>
      <c r="S66" s="10">
        <f>LN([2]Sheet1!R61/[2]Sheet1!R60)-'[1]Page 331'!$B66</f>
        <v>2.9427097274444439E-2</v>
      </c>
      <c r="T66" s="10">
        <f>LN([2]Sheet1!S61/[2]Sheet1!S60)-'[1]Page 331'!$B66</f>
        <v>-6.6167369153777439E-2</v>
      </c>
      <c r="U66" s="10">
        <f>LN([2]Sheet1!T61/[2]Sheet1!T60)-'[1]Page 331'!$B66</f>
        <v>4.4202139709063976E-2</v>
      </c>
      <c r="V66" s="10">
        <f>LN([2]Sheet1!U61/[2]Sheet1!U60)-'[1]Page 331'!$B66</f>
        <v>-4.5173734307905437E-2</v>
      </c>
      <c r="W66" s="10">
        <f>LN([2]Sheet1!V61/[2]Sheet1!V60)-'[1]Page 331'!$B66</f>
        <v>-1.948830200594653E-2</v>
      </c>
      <c r="X66" s="10">
        <f>LN([2]Sheet1!W61/[2]Sheet1!W60)-'[1]Page 331'!$B66</f>
        <v>-1.4953826026413456E-2</v>
      </c>
      <c r="Y66" s="10">
        <f>LN([2]Sheet1!X61/[2]Sheet1!X60)-'[1]Page 331'!$B66</f>
        <v>-2.58187702592142E-2</v>
      </c>
      <c r="Z66" s="10">
        <f>LN([2]Sheet1!Y61/[2]Sheet1!Y60)-'[1]Page 331'!$B66</f>
        <v>-6.4224191950823073E-2</v>
      </c>
      <c r="AA66" s="10">
        <f>LN([2]Sheet1!Z61/[2]Sheet1!Z60)-'[1]Page 331'!$B66</f>
        <v>-6.2516835161423506E-2</v>
      </c>
      <c r="AB66" s="10">
        <f>LN([2]Sheet1!AA61/[2]Sheet1!AA60)-'[1]Page 331'!$B66</f>
        <v>-7.4287502196408561E-2</v>
      </c>
      <c r="AC66" s="10">
        <f>LN([2]Sheet1!AB61/[2]Sheet1!AB60)-'[1]Page 331'!$B66</f>
        <v>-9.6416749290802357E-3</v>
      </c>
      <c r="AD66" s="10">
        <f>LN([2]Sheet1!AC61/[2]Sheet1!AC60)-'[1]Page 331'!$B66</f>
        <v>-4.3130646929775496E-3</v>
      </c>
      <c r="AE66" s="10">
        <f>LN([2]Sheet1!AD61/[2]Sheet1!AD60)-'[1]Page 331'!$B66</f>
        <v>-6.0577202040503771E-2</v>
      </c>
      <c r="AF66" s="10">
        <f>LN([2]Sheet1!AE61/[2]Sheet1!AE60)-'[1]Page 331'!$B66</f>
        <v>7.292958501555015E-2</v>
      </c>
      <c r="AG66" s="10">
        <f>LN([2]Sheet1!AF61/[2]Sheet1!AF60)-'[1]Page 331'!$B66</f>
        <v>-3.3753896349771995E-2</v>
      </c>
    </row>
    <row r="67" spans="1:33" x14ac:dyDescent="0.25">
      <c r="A67" s="13">
        <v>38869</v>
      </c>
      <c r="B67" s="10">
        <v>3.933333333333333E-3</v>
      </c>
      <c r="C67" s="10">
        <f>LN([2]Sheet1!B62/[2]Sheet1!B61)-'[1]Page 331'!$B67</f>
        <v>-3.8467290479415267E-3</v>
      </c>
      <c r="D67" s="10">
        <f>LN([2]Sheet1!C62/[2]Sheet1!C61)-'[1]Page 331'!$B67</f>
        <v>1.6042362090310493E-2</v>
      </c>
      <c r="E67" s="10">
        <f>LN([2]Sheet1!D62/[2]Sheet1!D61)-'[1]Page 331'!$B67</f>
        <v>-3.3138579662083383E-2</v>
      </c>
      <c r="F67" s="10">
        <f>LN([2]Sheet1!E62/[2]Sheet1!E61)-'[1]Page 331'!$B67</f>
        <v>-2.5186929765776585E-2</v>
      </c>
      <c r="G67" s="10">
        <f>LN([2]Sheet1!F62/[2]Sheet1!F61)-'[1]Page 331'!$B67</f>
        <v>-2.0160378666375964E-2</v>
      </c>
      <c r="H67" s="10">
        <f>LN([2]Sheet1!G62/[2]Sheet1!G61)-'[1]Page 331'!$B67</f>
        <v>-2.5461586596982774E-2</v>
      </c>
      <c r="I67" s="10">
        <f>LN([2]Sheet1!H62/[2]Sheet1!H61)-'[1]Page 331'!$B67</f>
        <v>1.6823024666683579E-2</v>
      </c>
      <c r="J67" s="10">
        <f>LN([2]Sheet1!I62/[2]Sheet1!I61)-'[1]Page 331'!$B67</f>
        <v>-2.6042875331657857E-2</v>
      </c>
      <c r="K67" s="10">
        <f>LN([2]Sheet1!J62/[2]Sheet1!J61)-'[1]Page 331'!$B67</f>
        <v>-2.0462635284543916E-2</v>
      </c>
      <c r="L67" s="10">
        <f>LN([2]Sheet1!K62/[2]Sheet1!K61)-'[1]Page 331'!$B67</f>
        <v>-3.529322731116636E-2</v>
      </c>
      <c r="M67" s="10">
        <f>LN([2]Sheet1!L62/[2]Sheet1!L61)-'[1]Page 331'!$B67</f>
        <v>9.6998526568350132E-2</v>
      </c>
      <c r="N67" s="10">
        <f>LN([2]Sheet1!M62/[2]Sheet1!M61)-'[1]Page 331'!$B67</f>
        <v>-6.3061182799109813E-2</v>
      </c>
      <c r="O67" s="10">
        <f>LN([2]Sheet1!N62/[2]Sheet1!N61)-'[1]Page 331'!$B67</f>
        <v>-2.5534565980339471E-2</v>
      </c>
      <c r="P67" s="10">
        <f>LN([2]Sheet1!O62/[2]Sheet1!O61)-'[1]Page 331'!$B67</f>
        <v>-2.3005351157292072E-2</v>
      </c>
      <c r="Q67" s="10">
        <f>LN([2]Sheet1!P62/[2]Sheet1!P61)-'[1]Page 331'!$B67</f>
        <v>-4.3244163187803733E-2</v>
      </c>
      <c r="R67" s="10">
        <f>LN([2]Sheet1!Q62/[2]Sheet1!Q61)-'[1]Page 331'!$B67</f>
        <v>4.9023393652915234E-2</v>
      </c>
      <c r="S67" s="10">
        <f>LN([2]Sheet1!R62/[2]Sheet1!R61)-'[1]Page 331'!$B67</f>
        <v>-8.9275171779569784E-3</v>
      </c>
      <c r="T67" s="10">
        <f>LN([2]Sheet1!S62/[2]Sheet1!S61)-'[1]Page 331'!$B67</f>
        <v>-1.894254898490471E-2</v>
      </c>
      <c r="U67" s="10">
        <f>LN([2]Sheet1!T62/[2]Sheet1!T61)-'[1]Page 331'!$B67</f>
        <v>-1.9845118368972389E-2</v>
      </c>
      <c r="V67" s="10">
        <f>LN([2]Sheet1!U62/[2]Sheet1!U61)-'[1]Page 331'!$B67</f>
        <v>8.9468806768640934E-3</v>
      </c>
      <c r="W67" s="10">
        <f>LN([2]Sheet1!V62/[2]Sheet1!V61)-'[1]Page 331'!$B67</f>
        <v>-3.9088689893180754E-2</v>
      </c>
      <c r="X67" s="10">
        <f>LN([2]Sheet1!W62/[2]Sheet1!W61)-'[1]Page 331'!$B67</f>
        <v>2.2142504299314015E-2</v>
      </c>
      <c r="Y67" s="10">
        <f>LN([2]Sheet1!X62/[2]Sheet1!X61)-'[1]Page 331'!$B67</f>
        <v>8.6202226100205628E-2</v>
      </c>
      <c r="Z67" s="10">
        <f>LN([2]Sheet1!Y62/[2]Sheet1!Y61)-'[1]Page 331'!$B67</f>
        <v>2.4360175309278663E-2</v>
      </c>
      <c r="AA67" s="10">
        <f>LN([2]Sheet1!Z62/[2]Sheet1!Z61)-'[1]Page 331'!$B67</f>
        <v>-1.1996182020641965E-2</v>
      </c>
      <c r="AB67" s="10">
        <f>LN([2]Sheet1!AA62/[2]Sheet1!AA61)-'[1]Page 331'!$B67</f>
        <v>2.0646875502634471E-2</v>
      </c>
      <c r="AC67" s="10">
        <f>LN([2]Sheet1!AB62/[2]Sheet1!AB61)-'[1]Page 331'!$B67</f>
        <v>6.3997485702379203E-2</v>
      </c>
      <c r="AD67" s="10">
        <f>LN([2]Sheet1!AC62/[2]Sheet1!AC61)-'[1]Page 331'!$B67</f>
        <v>1.0359430223592141E-2</v>
      </c>
      <c r="AE67" s="10">
        <f>LN([2]Sheet1!AD62/[2]Sheet1!AD61)-'[1]Page 331'!$B67</f>
        <v>6.6507294924098334E-2</v>
      </c>
      <c r="AF67" s="10">
        <f>LN([2]Sheet1!AE62/[2]Sheet1!AE61)-'[1]Page 331'!$B67</f>
        <v>-9.7292510279791342E-3</v>
      </c>
      <c r="AG67" s="10">
        <f>LN([2]Sheet1!AF62/[2]Sheet1!AF61)-'[1]Page 331'!$B67</f>
        <v>3.2644729751939083E-3</v>
      </c>
    </row>
    <row r="68" spans="1:33" x14ac:dyDescent="0.25">
      <c r="A68" s="13">
        <v>38901</v>
      </c>
      <c r="B68" s="10">
        <v>3.9916666666666668E-3</v>
      </c>
      <c r="C68" s="10">
        <f>LN([2]Sheet1!B63/[2]Sheet1!B62)-'[1]Page 331'!$B68</f>
        <v>-7.7145382052750183E-3</v>
      </c>
      <c r="D68" s="10">
        <f>LN([2]Sheet1!C63/[2]Sheet1!C62)-'[1]Page 331'!$B68</f>
        <v>3.2122104560733236E-2</v>
      </c>
      <c r="E68" s="10">
        <f>LN([2]Sheet1!D63/[2]Sheet1!D62)-'[1]Page 331'!$B68</f>
        <v>-5.3473692976251427E-3</v>
      </c>
      <c r="F68" s="10">
        <f>LN([2]Sheet1!E63/[2]Sheet1!E62)-'[1]Page 331'!$B68</f>
        <v>-2.4744434293126078E-2</v>
      </c>
      <c r="G68" s="10">
        <f>LN([2]Sheet1!F63/[2]Sheet1!F62)-'[1]Page 331'!$B68</f>
        <v>-2.7711123333446826E-2</v>
      </c>
      <c r="H68" s="10">
        <f>LN([2]Sheet1!G63/[2]Sheet1!G62)-'[1]Page 331'!$B68</f>
        <v>1.3064125391048956E-2</v>
      </c>
      <c r="I68" s="10">
        <f>LN([2]Sheet1!H63/[2]Sheet1!H62)-'[1]Page 331'!$B68</f>
        <v>-2.983289785055411E-2</v>
      </c>
      <c r="J68" s="10">
        <f>LN([2]Sheet1!I63/[2]Sheet1!I62)-'[1]Page 331'!$B68</f>
        <v>-2.980269291003031E-2</v>
      </c>
      <c r="K68" s="10">
        <f>LN([2]Sheet1!J63/[2]Sheet1!J62)-'[1]Page 331'!$B68</f>
        <v>-9.6744498021649351E-3</v>
      </c>
      <c r="L68" s="10">
        <f>LN([2]Sheet1!K63/[2]Sheet1!K62)-'[1]Page 331'!$B68</f>
        <v>6.2710252784604946E-3</v>
      </c>
      <c r="M68" s="10">
        <f>LN([2]Sheet1!L63/[2]Sheet1!L62)-'[1]Page 331'!$B68</f>
        <v>-1.445236607072169E-2</v>
      </c>
      <c r="N68" s="10">
        <f>LN([2]Sheet1!M63/[2]Sheet1!M62)-'[1]Page 331'!$B68</f>
        <v>-1.5796188227211957E-2</v>
      </c>
      <c r="O68" s="10">
        <f>LN([2]Sheet1!N63/[2]Sheet1!N62)-'[1]Page 331'!$B68</f>
        <v>-3.780765684496952E-2</v>
      </c>
      <c r="P68" s="10">
        <f>LN([2]Sheet1!O63/[2]Sheet1!O62)-'[1]Page 331'!$B68</f>
        <v>3.2274511317727905E-2</v>
      </c>
      <c r="Q68" s="10">
        <f>LN([2]Sheet1!P63/[2]Sheet1!P62)-'[1]Page 331'!$B68</f>
        <v>-9.2122475656713516E-3</v>
      </c>
      <c r="R68" s="10">
        <f>LN([2]Sheet1!Q63/[2]Sheet1!Q62)-'[1]Page 331'!$B68</f>
        <v>-2.7421918475052664E-2</v>
      </c>
      <c r="S68" s="10">
        <f>LN([2]Sheet1!R63/[2]Sheet1!R62)-'[1]Page 331'!$B68</f>
        <v>7.6228657540264163E-3</v>
      </c>
      <c r="T68" s="10">
        <f>LN([2]Sheet1!S63/[2]Sheet1!S62)-'[1]Page 331'!$B68</f>
        <v>1.3851080987006839E-2</v>
      </c>
      <c r="U68" s="10">
        <f>LN([2]Sheet1!T63/[2]Sheet1!T62)-'[1]Page 331'!$B68</f>
        <v>-2.7936541958942717E-4</v>
      </c>
      <c r="V68" s="10">
        <f>LN([2]Sheet1!U63/[2]Sheet1!U62)-'[1]Page 331'!$B68</f>
        <v>-1.6570448873526853E-2</v>
      </c>
      <c r="W68" s="10">
        <f>LN([2]Sheet1!V63/[2]Sheet1!V62)-'[1]Page 331'!$B68</f>
        <v>-9.0181743818830373E-2</v>
      </c>
      <c r="X68" s="10">
        <f>LN([2]Sheet1!W63/[2]Sheet1!W62)-'[1]Page 331'!$B68</f>
        <v>5.3817193054160099E-2</v>
      </c>
      <c r="Y68" s="10">
        <f>LN([2]Sheet1!X63/[2]Sheet1!X62)-'[1]Page 331'!$B68</f>
        <v>1.0722495261401416E-2</v>
      </c>
      <c r="Z68" s="10">
        <f>LN([2]Sheet1!Y63/[2]Sheet1!Y62)-'[1]Page 331'!$B68</f>
        <v>-3.9916666666666668E-3</v>
      </c>
      <c r="AA68" s="10">
        <f>LN([2]Sheet1!Z63/[2]Sheet1!Z62)-'[1]Page 331'!$B68</f>
        <v>4.9161334862060689E-3</v>
      </c>
      <c r="AB68" s="10">
        <f>LN([2]Sheet1!AA63/[2]Sheet1!AA62)-'[1]Page 331'!$B68</f>
        <v>1.2065770229191801E-2</v>
      </c>
      <c r="AC68" s="10">
        <f>LN([2]Sheet1!AB63/[2]Sheet1!AB62)-'[1]Page 331'!$B68</f>
        <v>2.5183020745609989E-3</v>
      </c>
      <c r="AD68" s="10">
        <f>LN([2]Sheet1!AC63/[2]Sheet1!AC62)-'[1]Page 331'!$B68</f>
        <v>-9.0501662297005018E-3</v>
      </c>
      <c r="AE68" s="10">
        <f>LN([2]Sheet1!AD63/[2]Sheet1!AD62)-'[1]Page 331'!$B68</f>
        <v>-1.523969527186466E-2</v>
      </c>
      <c r="AF68" s="10">
        <f>LN([2]Sheet1!AE63/[2]Sheet1!AE62)-'[1]Page 331'!$B68</f>
        <v>-5.0086690819701137E-2</v>
      </c>
      <c r="AG68" s="10">
        <f>LN([2]Sheet1!AF63/[2]Sheet1!AF62)-'[1]Page 331'!$B68</f>
        <v>2.0004975563833308E-2</v>
      </c>
    </row>
    <row r="69" spans="1:33" x14ac:dyDescent="0.25"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</row>
    <row r="70" spans="1:33" x14ac:dyDescent="0.25">
      <c r="A70" s="3" t="s">
        <v>38</v>
      </c>
      <c r="C70" s="8">
        <f>AVERAGE(D6:AG6)</f>
        <v>8.2970069050346989E-4</v>
      </c>
      <c r="D70" s="3" t="str">
        <f ca="1">[3]!getformula(C70)</f>
        <v>&lt;--  =AVERAGE(D6:AG6)</v>
      </c>
    </row>
    <row r="71" spans="1:33" x14ac:dyDescent="0.25">
      <c r="A71" s="3" t="s">
        <v>39</v>
      </c>
      <c r="C71" s="14">
        <f>AVERAGE(D5:AG5)</f>
        <v>1.1177160289583692</v>
      </c>
      <c r="D71" s="3" t="str">
        <f ca="1">[3]!getformula(C71)</f>
        <v>&lt;--  =AVERAGE(D5:AG5)</v>
      </c>
    </row>
    <row r="72" spans="1:33" x14ac:dyDescent="0.25">
      <c r="A72" s="3" t="s">
        <v>40</v>
      </c>
      <c r="C72" s="12">
        <f>AVERAGE(D7:AG7)</f>
        <v>0.35190755020103076</v>
      </c>
      <c r="D72" s="3" t="str">
        <f ca="1">[3]!getformula(C72)</f>
        <v>&lt;--  =AVERAGE(D7:AG7)</v>
      </c>
    </row>
    <row r="74" spans="1:33" ht="15.6" x14ac:dyDescent="0.25">
      <c r="A74" s="15" t="s">
        <v>41</v>
      </c>
      <c r="B74" s="15"/>
    </row>
    <row r="75" spans="1:33" x14ac:dyDescent="0.25">
      <c r="C75" s="12">
        <f>SUMIF(D7:AG7,"&gt;"&amp;TEXT(C79,"0.00"))</f>
        <v>9.8498186811958934</v>
      </c>
      <c r="D75" s="3" t="str">
        <f ca="1">[3]!getformula(C75)</f>
        <v>&lt;--  =SUMIF(D7:AG7,"&gt;"&amp;TEXT(C79,"0.00"))</v>
      </c>
    </row>
    <row r="76" spans="1:33" x14ac:dyDescent="0.25">
      <c r="C76" s="3">
        <f>COUNTIF(D7:AG7,"&gt;"&amp;TEXT(C79,"0.00"))</f>
        <v>23</v>
      </c>
      <c r="D76" s="3" t="str">
        <f ca="1">[3]!getformula(C76)</f>
        <v>&lt;--  =COUNTIF(D7:AG7,"&gt;"&amp;TEXT(C79,"0.00"))</v>
      </c>
    </row>
    <row r="77" spans="1:33" ht="15.6" x14ac:dyDescent="0.25">
      <c r="A77" s="3" t="s">
        <v>42</v>
      </c>
      <c r="C77" s="12">
        <f>C75/C76</f>
        <v>0.42825298613895191</v>
      </c>
      <c r="D77" s="3" t="str">
        <f ca="1">[3]!getformula(C77)</f>
        <v>&lt;--  =C75/C76</v>
      </c>
    </row>
    <row r="79" spans="1:33" ht="15.6" x14ac:dyDescent="0.25">
      <c r="A79" s="3" t="s">
        <v>43</v>
      </c>
      <c r="C79" s="3">
        <v>0.2</v>
      </c>
    </row>
    <row r="83" spans="1:2" x14ac:dyDescent="0.25">
      <c r="A83" s="3" t="s">
        <v>44</v>
      </c>
    </row>
    <row r="84" spans="1:2" x14ac:dyDescent="0.25">
      <c r="A84" s="3" t="s">
        <v>45</v>
      </c>
      <c r="B84" s="3">
        <f>A9</f>
        <v>37104</v>
      </c>
    </row>
    <row r="85" spans="1:2" x14ac:dyDescent="0.25">
      <c r="A85" s="3" t="s">
        <v>46</v>
      </c>
      <c r="B85" s="3">
        <f>A68</f>
        <v>38901</v>
      </c>
    </row>
  </sheetData>
  <mergeCells count="1">
    <mergeCell ref="A1:O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2024-11-04T09:49:45Z</dcterms:modified>
</cp:coreProperties>
</file>