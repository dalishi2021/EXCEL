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9E2FB5BC-6558-41EB-8B2E-D6D3F13525C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 a="1"/>
  <c r="B3" i="1" s="1"/>
  <c r="D4" i="1"/>
  <c r="B5" i="1"/>
  <c r="C7" i="1"/>
  <c r="D7" i="1"/>
  <c r="B8" i="1"/>
  <c r="B10" i="1"/>
  <c r="C10" i="1"/>
  <c r="D12" i="1"/>
  <c r="B13" i="1"/>
  <c r="C13" i="1"/>
  <c r="C15" i="1"/>
  <c r="D15" i="1"/>
  <c r="B18" i="1"/>
  <c r="C18" i="1"/>
  <c r="D18" i="1"/>
  <c r="D20" i="1"/>
  <c r="B21" i="1"/>
  <c r="C23" i="1"/>
  <c r="D23" i="1"/>
  <c r="B24" i="1"/>
  <c r="B26" i="1"/>
  <c r="C26" i="1"/>
  <c r="D28" i="1"/>
  <c r="B29" i="1"/>
  <c r="C29" i="1"/>
  <c r="C31" i="1"/>
  <c r="D31" i="1"/>
  <c r="A31" i="1"/>
  <c r="A29" i="1"/>
  <c r="A27" i="1"/>
  <c r="A26" i="1"/>
  <c r="A15" i="1"/>
  <c r="A13" i="1"/>
  <c r="A11" i="1"/>
  <c r="A10" i="1"/>
  <c r="A3" i="1" a="1"/>
  <c r="A25" i="1" s="1"/>
  <c r="G9" i="1"/>
  <c r="G8" i="1"/>
  <c r="H9" i="1"/>
  <c r="H8" i="1"/>
  <c r="H6" i="1"/>
  <c r="H5" i="1"/>
  <c r="H4" i="1"/>
  <c r="C28" i="1" l="1"/>
  <c r="B23" i="1"/>
  <c r="D17" i="1"/>
  <c r="C12" i="1"/>
  <c r="B7" i="1"/>
  <c r="B28" i="1"/>
  <c r="D22" i="1"/>
  <c r="C17" i="1"/>
  <c r="B12" i="1"/>
  <c r="D6" i="1"/>
  <c r="D27" i="1"/>
  <c r="C22" i="1"/>
  <c r="B17" i="1"/>
  <c r="D11" i="1"/>
  <c r="C6" i="1"/>
  <c r="D32" i="1"/>
  <c r="C27" i="1"/>
  <c r="B22" i="1"/>
  <c r="D16" i="1"/>
  <c r="C11" i="1"/>
  <c r="B6" i="1"/>
  <c r="C32" i="1"/>
  <c r="B27" i="1"/>
  <c r="D21" i="1"/>
  <c r="C16" i="1"/>
  <c r="B11" i="1"/>
  <c r="D5" i="1"/>
  <c r="B32" i="1"/>
  <c r="D26" i="1"/>
  <c r="C21" i="1"/>
  <c r="B16" i="1"/>
  <c r="D10" i="1"/>
  <c r="C5" i="1"/>
  <c r="B31" i="1"/>
  <c r="D25" i="1"/>
  <c r="C20" i="1"/>
  <c r="B15" i="1"/>
  <c r="D9" i="1"/>
  <c r="C4" i="1"/>
  <c r="D30" i="1"/>
  <c r="C25" i="1"/>
  <c r="B20" i="1"/>
  <c r="D14" i="1"/>
  <c r="C9" i="1"/>
  <c r="B4" i="1"/>
  <c r="C30" i="1"/>
  <c r="B25" i="1"/>
  <c r="D19" i="1"/>
  <c r="C14" i="1"/>
  <c r="B9" i="1"/>
  <c r="D3" i="1"/>
  <c r="B30" i="1"/>
  <c r="D24" i="1"/>
  <c r="C19" i="1"/>
  <c r="B14" i="1"/>
  <c r="D8" i="1"/>
  <c r="C3" i="1"/>
  <c r="D29" i="1"/>
  <c r="C24" i="1"/>
  <c r="B19" i="1"/>
  <c r="D13" i="1"/>
  <c r="C8" i="1"/>
  <c r="A12" i="1"/>
  <c r="A28" i="1"/>
  <c r="A14" i="1"/>
  <c r="A30" i="1"/>
  <c r="A16" i="1"/>
  <c r="A32" i="1"/>
  <c r="A17" i="1"/>
  <c r="A18" i="1"/>
  <c r="A3" i="1"/>
  <c r="A19" i="1"/>
  <c r="A4" i="1"/>
  <c r="A20" i="1"/>
  <c r="A5" i="1"/>
  <c r="A21" i="1"/>
  <c r="A6" i="1"/>
  <c r="A22" i="1"/>
  <c r="A7" i="1"/>
  <c r="A23" i="1"/>
  <c r="A8" i="1"/>
  <c r="A24" i="1"/>
  <c r="A9" i="1"/>
  <c r="B34" i="1" l="1"/>
  <c r="G6" i="1"/>
  <c r="G5" i="1"/>
  <c r="G4" i="1"/>
  <c r="C34" i="1"/>
  <c r="D34" i="1"/>
</calcChain>
</file>

<file path=xl/sharedStrings.xml><?xml version="1.0" encoding="utf-8"?>
<sst xmlns="http://schemas.openxmlformats.org/spreadsheetml/2006/main" count="12" uniqueCount="12">
  <si>
    <t>THE SECOND PASS REGRESSION FOR EXCESS RETURNS</t>
  </si>
  <si>
    <t>Stock</t>
  </si>
  <si>
    <t>Average
monthly
excess
return</t>
  </si>
  <si>
    <t>Beta</t>
  </si>
  <si>
    <t>Alpha</t>
  </si>
  <si>
    <t>Second-pass regression, regressing monthly returns on Beta</t>
  </si>
  <si>
    <t>Intercept</t>
  </si>
  <si>
    <t>Slope</t>
  </si>
  <si>
    <t>R-squared</t>
  </si>
  <si>
    <t>t-statistic, intercept</t>
  </si>
  <si>
    <t>t-statistic, slope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</si>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</sst>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10" fontId="2" fillId="0" borderId="0" xfId="1" applyNumberFormat="1" applyAlignment="1"/>
    <xf numFmtId="176" fontId="0" fillId="0" borderId="0" xfId="0" applyNumberFormat="1" applyAlignment="1"/>
    <xf numFmtId="0" fontId="4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10" fontId="0" fillId="0" borderId="0" xfId="0" applyNumberFormat="1" applyAlignment="1"/>
    <xf numFmtId="2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8.xlsm" TargetMode="External"/><Relationship Id="rId1" Type="http://schemas.openxmlformats.org/officeDocument/2006/relationships/externalLinkPath" Target="charpter_08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/>
      <sheetData sheetId="1"/>
      <sheetData sheetId="2">
        <row r="2">
          <cell r="C2" t="str">
            <v>Alcoa 
AA</v>
          </cell>
          <cell r="D2" t="str">
            <v>American International Group 
AIG</v>
          </cell>
          <cell r="E2" t="str">
            <v>American Express AXP</v>
          </cell>
          <cell r="F2" t="str">
            <v>Boeing BA</v>
          </cell>
          <cell r="G2" t="str">
            <v>Citigroup C</v>
          </cell>
          <cell r="H2" t="str">
            <v>Caterpillar CAT</v>
          </cell>
          <cell r="I2" t="str">
            <v>Du Pont DD</v>
          </cell>
          <cell r="J2" t="str">
            <v>Disney DIS</v>
          </cell>
          <cell r="K2" t="str">
            <v>General Electric GE</v>
          </cell>
          <cell r="L2" t="str">
            <v>General Motors GM</v>
          </cell>
          <cell r="M2" t="str">
            <v>Home Depot HD</v>
          </cell>
          <cell r="N2" t="str">
            <v>Honeywell HON</v>
          </cell>
          <cell r="O2" t="str">
            <v>Hewlitt Packard HPQ</v>
          </cell>
          <cell r="P2" t="str">
            <v>IBM</v>
          </cell>
          <cell r="Q2" t="str">
            <v>Intel 
INTC</v>
          </cell>
          <cell r="R2" t="str">
            <v>Johnson &amp; Johnson JNJ</v>
          </cell>
          <cell r="S2" t="str">
            <v>JP Morgan JPM</v>
          </cell>
          <cell r="T2" t="str">
            <v>Coca Cola 
KO</v>
          </cell>
          <cell r="U2" t="str">
            <v>McDonalds 
MCD</v>
          </cell>
          <cell r="V2" t="str">
            <v>3M 
MMM</v>
          </cell>
          <cell r="W2" t="str">
            <v>Altria
MO</v>
          </cell>
          <cell r="X2" t="str">
            <v>Merck 
MRK</v>
          </cell>
          <cell r="Y2" t="str">
            <v>Microsoft 
MSFT</v>
          </cell>
          <cell r="Z2" t="str">
            <v>Pfizer 
PFE</v>
          </cell>
          <cell r="AA2" t="str">
            <v>Proctor Gamble 
PG</v>
          </cell>
          <cell r="AB2" t="str">
            <v>AT&amp;T 
T</v>
          </cell>
          <cell r="AC2" t="str">
            <v>United Technologies UTX</v>
          </cell>
          <cell r="AD2" t="str">
            <v>Verizon 
VZ</v>
          </cell>
          <cell r="AE2" t="str">
            <v>Walmart 
WMT</v>
          </cell>
          <cell r="AF2" t="str">
            <v>Exxon Mobil 
XOM</v>
          </cell>
        </row>
      </sheetData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">
          <cell r="D4">
            <v>-2.6598967744394177E-3</v>
          </cell>
          <cell r="E4">
            <v>-7.1354969235733331E-3</v>
          </cell>
          <cell r="F4">
            <v>5.4284118912186451E-3</v>
          </cell>
          <cell r="G4">
            <v>4.8806650296764455E-3</v>
          </cell>
          <cell r="H4">
            <v>1.2307476936210626E-3</v>
          </cell>
          <cell r="I4">
            <v>1.6165094226415547E-2</v>
          </cell>
          <cell r="J4">
            <v>6.6337552203466572E-5</v>
          </cell>
          <cell r="K4">
            <v>1.1512071136870804E-3</v>
          </cell>
          <cell r="L4">
            <v>-4.1240358178788782E-3</v>
          </cell>
          <cell r="M4">
            <v>-1.0491031099800679E-2</v>
          </cell>
          <cell r="N4">
            <v>-6.9584287274360524E-3</v>
          </cell>
          <cell r="O4">
            <v>1.1144308337734563E-3</v>
          </cell>
          <cell r="P4">
            <v>4.2851602953708238E-3</v>
          </cell>
          <cell r="Q4">
            <v>-6.4306790281303157E-3</v>
          </cell>
          <cell r="R4">
            <v>-9.0442510345697929E-3</v>
          </cell>
          <cell r="S4">
            <v>1.594725593160986E-3</v>
          </cell>
          <cell r="T4">
            <v>6.8075717968426344E-5</v>
          </cell>
          <cell r="U4">
            <v>-6.0832075740963347E-4</v>
          </cell>
          <cell r="V4">
            <v>1.6742580157332193E-3</v>
          </cell>
          <cell r="W4">
            <v>4.5947653361482271E-3</v>
          </cell>
          <cell r="X4">
            <v>1.1245804453799888E-2</v>
          </cell>
          <cell r="Y4">
            <v>-8.0878916884664122E-3</v>
          </cell>
          <cell r="Z4">
            <v>-5.2999001259038947E-3</v>
          </cell>
          <cell r="AA4">
            <v>-9.2130577082537492E-3</v>
          </cell>
          <cell r="AB4">
            <v>7.622876852939363E-3</v>
          </cell>
          <cell r="AC4">
            <v>-5.9138568004871873E-3</v>
          </cell>
          <cell r="AD4">
            <v>8.5461790239559042E-3</v>
          </cell>
          <cell r="AE4">
            <v>-6.6909270386274946E-3</v>
          </cell>
          <cell r="AF4">
            <v>-4.2998970416797521E-3</v>
          </cell>
          <cell r="AG4">
            <v>6.9989778608041276E-3</v>
          </cell>
        </row>
        <row r="5">
          <cell r="D5">
            <v>1.895913160786139</v>
          </cell>
          <cell r="E5">
            <v>0.99330859407973282</v>
          </cell>
          <cell r="F5">
            <v>1.380271717880927</v>
          </cell>
          <cell r="G5">
            <v>1.1544885888077743</v>
          </cell>
          <cell r="H5">
            <v>1.2930144548278188</v>
          </cell>
          <cell r="I5">
            <v>1.3880031893686906</v>
          </cell>
          <cell r="J5">
            <v>1.0017312691714588</v>
          </cell>
          <cell r="K5">
            <v>1.2804544374428104</v>
          </cell>
          <cell r="L5">
            <v>0.84406655956047782</v>
          </cell>
          <cell r="M5">
            <v>1.4050697216820045</v>
          </cell>
          <cell r="N5">
            <v>1.5547751223622257</v>
          </cell>
          <cell r="O5">
            <v>1.6628829313576601</v>
          </cell>
          <cell r="P5">
            <v>1.9513622221549634</v>
          </cell>
          <cell r="Q5">
            <v>1.5731805959925345</v>
          </cell>
          <cell r="R5">
            <v>2.2637247023270555</v>
          </cell>
          <cell r="S5">
            <v>0.2492691951531843</v>
          </cell>
          <cell r="T5">
            <v>1.7869437973590296</v>
          </cell>
          <cell r="U5">
            <v>0.35818231868102579</v>
          </cell>
          <cell r="V5">
            <v>1.2640646605979726</v>
          </cell>
          <cell r="W5">
            <v>0.65518586020173142</v>
          </cell>
          <cell r="X5">
            <v>0.66199189243756607</v>
          </cell>
          <cell r="Y5">
            <v>0.60142595194492532</v>
          </cell>
          <cell r="Z5">
            <v>1.1235435262765594</v>
          </cell>
          <cell r="AA5">
            <v>0.55698418121363424</v>
          </cell>
          <cell r="AB5">
            <v>0.17307337420740668</v>
          </cell>
          <cell r="AC5">
            <v>1.1203640833911981</v>
          </cell>
          <cell r="AD5">
            <v>1.0680828541920544</v>
          </cell>
          <cell r="AE5">
            <v>1.0207066979183228</v>
          </cell>
          <cell r="AF5">
            <v>0.60194661216826328</v>
          </cell>
          <cell r="AG5">
            <v>0.64746859520592914</v>
          </cell>
        </row>
        <row r="6">
          <cell r="D6">
            <v>-6.7071915710587319E-4</v>
          </cell>
          <cell r="E6">
            <v>-6.0933251283054723E-3</v>
          </cell>
          <cell r="F6">
            <v>6.8765824423997956E-3</v>
          </cell>
          <cell r="G6">
            <v>6.0919456451721359E-3</v>
          </cell>
          <cell r="H6">
            <v>2.5873685904166414E-3</v>
          </cell>
          <cell r="I6">
            <v>1.7621376578469548E-2</v>
          </cell>
          <cell r="J6">
            <v>1.1173463538896953E-3</v>
          </cell>
          <cell r="K6">
            <v>2.4946501361093314E-3</v>
          </cell>
          <cell r="L6">
            <v>-3.2384476261068254E-3</v>
          </cell>
          <cell r="M6">
            <v>-9.0168426723075141E-3</v>
          </cell>
          <cell r="N6">
            <v>-5.3271705362077336E-3</v>
          </cell>
          <cell r="O6">
            <v>2.859114913043778E-3</v>
          </cell>
          <cell r="P6">
            <v>6.3325146446657019E-3</v>
          </cell>
          <cell r="Q6">
            <v>-4.7801099544527966E-3</v>
          </cell>
          <cell r="R6">
            <v>-6.6691683552518883E-3</v>
          </cell>
          <cell r="S6">
            <v>1.8562569301151857E-3</v>
          </cell>
          <cell r="T6">
            <v>1.9429235109262536E-3</v>
          </cell>
          <cell r="U6">
            <v>-2.325186025527652E-4</v>
          </cell>
          <cell r="V6">
            <v>3.0005050093883487E-3</v>
          </cell>
          <cell r="W6">
            <v>5.2821813398254754E-3</v>
          </cell>
          <cell r="X6">
            <v>1.1940361294550476E-2</v>
          </cell>
          <cell r="Y6">
            <v>-7.4568801701981897E-3</v>
          </cell>
          <cell r="Z6">
            <v>-4.1210868338211366E-3</v>
          </cell>
          <cell r="AA6">
            <v>-8.6286741566254637E-3</v>
          </cell>
          <cell r="AB6">
            <v>7.804464116138176E-3</v>
          </cell>
          <cell r="AC6">
            <v>-4.7383793556119722E-3</v>
          </cell>
          <cell r="AD6">
            <v>9.6668034022030572E-3</v>
          </cell>
          <cell r="AE6">
            <v>-5.6200093619340804E-3</v>
          </cell>
          <cell r="AF6">
            <v>-3.6683392506792548E-3</v>
          </cell>
          <cell r="AG6">
            <v>7.6782969689514584E-3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4"/>
  <sheetViews>
    <sheetView tabSelected="1" workbookViewId="0">
      <selection activeCell="H29" sqref="H29"/>
    </sheetView>
  </sheetViews>
  <sheetFormatPr defaultRowHeight="13.8" x14ac:dyDescent="0.25"/>
  <cols>
    <col min="1" max="1" width="30.88671875" style="3" bestFit="1" customWidth="1"/>
    <col min="2" max="5" width="8.88671875" style="3"/>
    <col min="6" max="6" width="17.109375" style="3" customWidth="1"/>
    <col min="7" max="7" width="8.88671875" style="3"/>
    <col min="8" max="8" width="30.44140625" style="3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ht="52.8" x14ac:dyDescent="0.25">
      <c r="A2" s="2" t="s">
        <v>1</v>
      </c>
      <c r="B2" s="2" t="s">
        <v>2</v>
      </c>
      <c r="C2" s="2" t="s">
        <v>3</v>
      </c>
      <c r="D2" s="2" t="s">
        <v>4</v>
      </c>
    </row>
    <row r="3" spans="1:8" x14ac:dyDescent="0.25">
      <c r="A3" s="3" t="str">
        <f t="array" ref="A3:A32">TRANSPOSE('[1]Page 321, bottom'!C2:AF2)</f>
        <v>Alcoa 
AA</v>
      </c>
      <c r="B3" s="4">
        <f t="array" ref="B3:D32">TRANSPOSE([2]Sheet1!$D$4:$AG$6)</f>
        <v>-2.6598967744394177E-3</v>
      </c>
      <c r="C3" s="5">
        <v>1.895913160786139</v>
      </c>
      <c r="D3" s="5">
        <v>-6.7071915710587319E-4</v>
      </c>
      <c r="F3" s="6" t="s">
        <v>5</v>
      </c>
    </row>
    <row r="4" spans="1:8" x14ac:dyDescent="0.25">
      <c r="A4" s="3" t="str">
        <v>American International Group 
AIG</v>
      </c>
      <c r="B4" s="4">
        <v>-7.1354969235733331E-3</v>
      </c>
      <c r="C4" s="5">
        <v>0.99330859407973282</v>
      </c>
      <c r="D4" s="5">
        <v>-6.0933251283054723E-3</v>
      </c>
      <c r="F4" s="7" t="s">
        <v>6</v>
      </c>
      <c r="G4" s="8">
        <f>INTERCEPT(B3:B32,C3:C32)</f>
        <v>1.8512257328658702E-3</v>
      </c>
      <c r="H4" s="3" t="str">
        <f ca="1">[3]!getformula(G4)</f>
        <v>&lt;--  =INTERCEPT(B3:B32,C3:C32)</v>
      </c>
    </row>
    <row r="5" spans="1:8" x14ac:dyDescent="0.25">
      <c r="A5" s="3" t="str">
        <v>American Express AXP</v>
      </c>
      <c r="B5" s="4">
        <v>5.4284118912186451E-3</v>
      </c>
      <c r="C5" s="5">
        <v>1.380271717880927</v>
      </c>
      <c r="D5" s="5">
        <v>6.8765824423997956E-3</v>
      </c>
      <c r="F5" s="7" t="s">
        <v>7</v>
      </c>
      <c r="G5" s="8">
        <f>SLOPE(B3:B32,C3:C32)</f>
        <v>-1.9631320584919884E-3</v>
      </c>
      <c r="H5" s="3" t="str">
        <f ca="1">[3]!getformula(G5)</f>
        <v>&lt;--  =SLOPE(B3:B32,C3:C32)</v>
      </c>
    </row>
    <row r="6" spans="1:8" x14ac:dyDescent="0.25">
      <c r="A6" s="3" t="str">
        <v>Boeing BA</v>
      </c>
      <c r="B6" s="4">
        <v>4.8806650296764455E-3</v>
      </c>
      <c r="C6" s="5">
        <v>1.1544885888077743</v>
      </c>
      <c r="D6" s="5">
        <v>6.0919456451721359E-3</v>
      </c>
      <c r="F6" s="7" t="s">
        <v>8</v>
      </c>
      <c r="G6" s="8">
        <f>RSQ(B3:B32,C3:C32)</f>
        <v>2.3389247135706847E-2</v>
      </c>
      <c r="H6" s="3" t="str">
        <f ca="1">[3]!getformula(G6)</f>
        <v>&lt;--  =RSQ(B3:B32,C3:C32)</v>
      </c>
    </row>
    <row r="7" spans="1:8" x14ac:dyDescent="0.25">
      <c r="A7" s="3" t="str">
        <v>Citigroup C</v>
      </c>
      <c r="B7" s="4">
        <v>1.2307476936210626E-3</v>
      </c>
      <c r="C7" s="5">
        <v>1.2930144548278188</v>
      </c>
      <c r="D7" s="5">
        <v>2.5873685904166414E-3</v>
      </c>
    </row>
    <row r="8" spans="1:8" x14ac:dyDescent="0.25">
      <c r="A8" s="3" t="str">
        <v>Caterpillar CAT</v>
      </c>
      <c r="B8" s="4">
        <v>1.6165094226415547E-2</v>
      </c>
      <c r="C8" s="5">
        <v>1.3880031893686906</v>
      </c>
      <c r="D8" s="5">
        <v>1.7621376578469548E-2</v>
      </c>
      <c r="F8" s="7" t="s">
        <v>9</v>
      </c>
      <c r="G8" s="7">
        <f>[3]!tintercept(B3:B32,C3:C32)</f>
        <v>0.62793479690197618</v>
      </c>
      <c r="H8" s="3" t="str">
        <f ca="1">[3]!getformula(G8)</f>
        <v>&lt;--  =tintercept(B3:B32,C3:C32)</v>
      </c>
    </row>
    <row r="9" spans="1:8" x14ac:dyDescent="0.25">
      <c r="A9" s="3" t="str">
        <v>Du Pont DD</v>
      </c>
      <c r="B9" s="4">
        <v>6.6337552203466572E-5</v>
      </c>
      <c r="C9" s="5">
        <v>1.0017312691714588</v>
      </c>
      <c r="D9" s="5">
        <v>1.1173463538896953E-3</v>
      </c>
      <c r="F9" s="7" t="s">
        <v>10</v>
      </c>
      <c r="G9" s="7">
        <f>[3]!tslope(B3:B32,C3:C32)</f>
        <v>-0.81889154332274317</v>
      </c>
      <c r="H9" s="3" t="str">
        <f ca="1">[3]!getformula(G9)</f>
        <v>&lt;--  =tslope(B3:B32,C3:C32)</v>
      </c>
    </row>
    <row r="10" spans="1:8" x14ac:dyDescent="0.25">
      <c r="A10" s="3" t="str">
        <v>Disney DIS</v>
      </c>
      <c r="B10" s="4">
        <v>1.1512071136870804E-3</v>
      </c>
      <c r="C10" s="5">
        <v>1.2804544374428104</v>
      </c>
      <c r="D10" s="5">
        <v>2.4946501361093314E-3</v>
      </c>
    </row>
    <row r="11" spans="1:8" x14ac:dyDescent="0.25">
      <c r="A11" s="3" t="str">
        <v>General Electric GE</v>
      </c>
      <c r="B11" s="4">
        <v>-4.1240358178788782E-3</v>
      </c>
      <c r="C11" s="5">
        <v>0.84406655956047782</v>
      </c>
      <c r="D11" s="5">
        <v>-3.2384476261068254E-3</v>
      </c>
    </row>
    <row r="12" spans="1:8" x14ac:dyDescent="0.25">
      <c r="A12" s="3" t="str">
        <v>General Motors GM</v>
      </c>
      <c r="B12" s="4">
        <v>-1.0491031099800679E-2</v>
      </c>
      <c r="C12" s="5">
        <v>1.4050697216820045</v>
      </c>
      <c r="D12" s="5">
        <v>-9.0168426723075141E-3</v>
      </c>
    </row>
    <row r="13" spans="1:8" x14ac:dyDescent="0.25">
      <c r="A13" s="3" t="str">
        <v>Home Depot HD</v>
      </c>
      <c r="B13" s="4">
        <v>-6.9584287274360524E-3</v>
      </c>
      <c r="C13" s="5">
        <v>1.5547751223622257</v>
      </c>
      <c r="D13" s="5">
        <v>-5.3271705362077336E-3</v>
      </c>
    </row>
    <row r="14" spans="1:8" x14ac:dyDescent="0.25">
      <c r="A14" s="3" t="str">
        <v>Honeywell HON</v>
      </c>
      <c r="B14" s="4">
        <v>1.1144308337734563E-3</v>
      </c>
      <c r="C14" s="5">
        <v>1.6628829313576601</v>
      </c>
      <c r="D14" s="5">
        <v>2.859114913043778E-3</v>
      </c>
    </row>
    <row r="15" spans="1:8" x14ac:dyDescent="0.25">
      <c r="A15" s="3" t="str">
        <v>Hewlitt Packard HPQ</v>
      </c>
      <c r="B15" s="4">
        <v>4.2851602953708238E-3</v>
      </c>
      <c r="C15" s="5">
        <v>1.9513622221549634</v>
      </c>
      <c r="D15" s="5">
        <v>6.3325146446657019E-3</v>
      </c>
    </row>
    <row r="16" spans="1:8" x14ac:dyDescent="0.25">
      <c r="A16" s="3" t="str">
        <v>IBM</v>
      </c>
      <c r="B16" s="4">
        <v>-6.4306790281303157E-3</v>
      </c>
      <c r="C16" s="5">
        <v>1.5731805959925345</v>
      </c>
      <c r="D16" s="5">
        <v>-4.7801099544527966E-3</v>
      </c>
    </row>
    <row r="17" spans="1:4" x14ac:dyDescent="0.25">
      <c r="A17" s="3" t="str">
        <v>Intel 
INTC</v>
      </c>
      <c r="B17" s="4">
        <v>-9.0442510345697929E-3</v>
      </c>
      <c r="C17" s="5">
        <v>2.2637247023270555</v>
      </c>
      <c r="D17" s="5">
        <v>-6.6691683552518883E-3</v>
      </c>
    </row>
    <row r="18" spans="1:4" x14ac:dyDescent="0.25">
      <c r="A18" s="3" t="str">
        <v>Johnson &amp; Johnson JNJ</v>
      </c>
      <c r="B18" s="4">
        <v>1.594725593160986E-3</v>
      </c>
      <c r="C18" s="5">
        <v>0.2492691951531843</v>
      </c>
      <c r="D18" s="5">
        <v>1.8562569301151857E-3</v>
      </c>
    </row>
    <row r="19" spans="1:4" x14ac:dyDescent="0.25">
      <c r="A19" s="3" t="str">
        <v>JP Morgan JPM</v>
      </c>
      <c r="B19" s="4">
        <v>6.8075717968426344E-5</v>
      </c>
      <c r="C19" s="5">
        <v>1.7869437973590296</v>
      </c>
      <c r="D19" s="5">
        <v>1.9429235109262536E-3</v>
      </c>
    </row>
    <row r="20" spans="1:4" x14ac:dyDescent="0.25">
      <c r="A20" s="3" t="str">
        <v>Coca Cola 
KO</v>
      </c>
      <c r="B20" s="4">
        <v>-6.0832075740963347E-4</v>
      </c>
      <c r="C20" s="5">
        <v>0.35818231868102579</v>
      </c>
      <c r="D20" s="5">
        <v>-2.325186025527652E-4</v>
      </c>
    </row>
    <row r="21" spans="1:4" x14ac:dyDescent="0.25">
      <c r="A21" s="3" t="str">
        <v>McDonalds 
MCD</v>
      </c>
      <c r="B21" s="4">
        <v>1.6742580157332193E-3</v>
      </c>
      <c r="C21" s="5">
        <v>1.2640646605979726</v>
      </c>
      <c r="D21" s="5">
        <v>3.0005050093883487E-3</v>
      </c>
    </row>
    <row r="22" spans="1:4" x14ac:dyDescent="0.25">
      <c r="A22" s="3" t="str">
        <v>3M 
MMM</v>
      </c>
      <c r="B22" s="4">
        <v>4.5947653361482271E-3</v>
      </c>
      <c r="C22" s="5">
        <v>0.65518586020173142</v>
      </c>
      <c r="D22" s="5">
        <v>5.2821813398254754E-3</v>
      </c>
    </row>
    <row r="23" spans="1:4" x14ac:dyDescent="0.25">
      <c r="A23" s="3" t="str">
        <v>Altria
MO</v>
      </c>
      <c r="B23" s="4">
        <v>1.1245804453799888E-2</v>
      </c>
      <c r="C23" s="5">
        <v>0.66199189243756607</v>
      </c>
      <c r="D23" s="5">
        <v>1.1940361294550476E-2</v>
      </c>
    </row>
    <row r="24" spans="1:4" x14ac:dyDescent="0.25">
      <c r="A24" s="3" t="str">
        <v>Merck 
MRK</v>
      </c>
      <c r="B24" s="4">
        <v>-8.0878916884664122E-3</v>
      </c>
      <c r="C24" s="5">
        <v>0.60142595194492532</v>
      </c>
      <c r="D24" s="5">
        <v>-7.4568801701981897E-3</v>
      </c>
    </row>
    <row r="25" spans="1:4" x14ac:dyDescent="0.25">
      <c r="A25" s="3" t="str">
        <v>Microsoft 
MSFT</v>
      </c>
      <c r="B25" s="4">
        <v>-5.2999001259038947E-3</v>
      </c>
      <c r="C25" s="5">
        <v>1.1235435262765594</v>
      </c>
      <c r="D25" s="5">
        <v>-4.1210868338211366E-3</v>
      </c>
    </row>
    <row r="26" spans="1:4" x14ac:dyDescent="0.25">
      <c r="A26" s="3" t="str">
        <v>Pfizer 
PFE</v>
      </c>
      <c r="B26" s="4">
        <v>-9.2130577082537492E-3</v>
      </c>
      <c r="C26" s="5">
        <v>0.55698418121363424</v>
      </c>
      <c r="D26" s="5">
        <v>-8.6286741566254637E-3</v>
      </c>
    </row>
    <row r="27" spans="1:4" x14ac:dyDescent="0.25">
      <c r="A27" s="3" t="str">
        <v>Proctor Gamble 
PG</v>
      </c>
      <c r="B27" s="4">
        <v>7.622876852939363E-3</v>
      </c>
      <c r="C27" s="5">
        <v>0.17307337420740668</v>
      </c>
      <c r="D27" s="5">
        <v>7.804464116138176E-3</v>
      </c>
    </row>
    <row r="28" spans="1:4" x14ac:dyDescent="0.25">
      <c r="A28" s="3" t="str">
        <v>AT&amp;T 
T</v>
      </c>
      <c r="B28" s="4">
        <v>-5.9138568004871873E-3</v>
      </c>
      <c r="C28" s="5">
        <v>1.1203640833911981</v>
      </c>
      <c r="D28" s="5">
        <v>-4.7383793556119722E-3</v>
      </c>
    </row>
    <row r="29" spans="1:4" x14ac:dyDescent="0.25">
      <c r="A29" s="3" t="str">
        <v>United Technologies UTX</v>
      </c>
      <c r="B29" s="4">
        <v>8.5461790239559042E-3</v>
      </c>
      <c r="C29" s="5">
        <v>1.0680828541920544</v>
      </c>
      <c r="D29" s="5">
        <v>9.6668034022030572E-3</v>
      </c>
    </row>
    <row r="30" spans="1:4" x14ac:dyDescent="0.25">
      <c r="A30" s="3" t="str">
        <v>Verizon 
VZ</v>
      </c>
      <c r="B30" s="4">
        <v>-6.6909270386274946E-3</v>
      </c>
      <c r="C30" s="5">
        <v>1.0207066979183228</v>
      </c>
      <c r="D30" s="5">
        <v>-5.6200093619340804E-3</v>
      </c>
    </row>
    <row r="31" spans="1:4" x14ac:dyDescent="0.25">
      <c r="A31" s="3" t="str">
        <v>Walmart 
WMT</v>
      </c>
      <c r="B31" s="4">
        <v>-4.2998970416797521E-3</v>
      </c>
      <c r="C31" s="5">
        <v>0.60194661216826328</v>
      </c>
      <c r="D31" s="5">
        <v>-3.6683392506792548E-3</v>
      </c>
    </row>
    <row r="32" spans="1:4" x14ac:dyDescent="0.25">
      <c r="A32" s="3" t="str">
        <v>Exxon Mobil 
XOM</v>
      </c>
      <c r="B32" s="4">
        <v>6.9989778608041276E-3</v>
      </c>
      <c r="C32" s="5">
        <v>0.64746859520592914</v>
      </c>
      <c r="D32" s="5">
        <v>7.6782969689514584E-3</v>
      </c>
    </row>
    <row r="34" spans="1:4" x14ac:dyDescent="0.25">
      <c r="A34" s="3" t="s">
        <v>11</v>
      </c>
      <c r="B34" s="9">
        <f>AVERAGE(B3:B31)</f>
        <v>-5.9617003230979474E-4</v>
      </c>
      <c r="C34" s="10">
        <f>AVERAGE(C3:C31)</f>
        <v>1.1339314577084534</v>
      </c>
      <c r="D34" s="9">
        <f>AVERAGE(D3:D31)</f>
        <v>5.9354219814319441E-4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2024-11-04T09:49:40Z</dcterms:modified>
</cp:coreProperties>
</file>