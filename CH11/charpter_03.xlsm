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3F79E430-5A8A-4099-92A7-E04C39EE737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5" i="1"/>
  <c r="G4" i="1"/>
  <c r="B3" i="1" a="1"/>
  <c r="B3" i="1" s="1"/>
  <c r="H9" i="1"/>
  <c r="H8" i="1"/>
  <c r="G9" i="1"/>
  <c r="G8" i="1"/>
  <c r="H6" i="1"/>
  <c r="H5" i="1"/>
  <c r="H4" i="1"/>
  <c r="C29" i="1" l="1"/>
  <c r="B24" i="1"/>
  <c r="D18" i="1"/>
  <c r="C13" i="1"/>
  <c r="B8" i="1"/>
  <c r="B29" i="1"/>
  <c r="D23" i="1"/>
  <c r="C18" i="1"/>
  <c r="B13" i="1"/>
  <c r="D7" i="1"/>
  <c r="D28" i="1"/>
  <c r="C23" i="1"/>
  <c r="B18" i="1"/>
  <c r="D12" i="1"/>
  <c r="C7" i="1"/>
  <c r="D22" i="1"/>
  <c r="D27" i="1"/>
  <c r="C22" i="1"/>
  <c r="B17" i="1"/>
  <c r="D11" i="1"/>
  <c r="C6" i="1"/>
  <c r="C12" i="1"/>
  <c r="D6" i="1"/>
  <c r="D32" i="1"/>
  <c r="C27" i="1"/>
  <c r="B22" i="1"/>
  <c r="D16" i="1"/>
  <c r="C11" i="1"/>
  <c r="B6" i="1"/>
  <c r="B28" i="1"/>
  <c r="C32" i="1"/>
  <c r="B27" i="1"/>
  <c r="D21" i="1"/>
  <c r="C16" i="1"/>
  <c r="B11" i="1"/>
  <c r="D5" i="1"/>
  <c r="B23" i="1"/>
  <c r="C17" i="1"/>
  <c r="B32" i="1"/>
  <c r="D26" i="1"/>
  <c r="C21" i="1"/>
  <c r="B16" i="1"/>
  <c r="D10" i="1"/>
  <c r="C5" i="1"/>
  <c r="D17" i="1"/>
  <c r="B12" i="1"/>
  <c r="D31" i="1"/>
  <c r="C26" i="1"/>
  <c r="B21" i="1"/>
  <c r="D15" i="1"/>
  <c r="C10" i="1"/>
  <c r="B5" i="1"/>
  <c r="C31" i="1"/>
  <c r="B26" i="1"/>
  <c r="D20" i="1"/>
  <c r="C15" i="1"/>
  <c r="B10" i="1"/>
  <c r="D4" i="1"/>
  <c r="B31" i="1"/>
  <c r="D25" i="1"/>
  <c r="C20" i="1"/>
  <c r="B15" i="1"/>
  <c r="D9" i="1"/>
  <c r="C4" i="1"/>
  <c r="D30" i="1"/>
  <c r="C25" i="1"/>
  <c r="B20" i="1"/>
  <c r="D14" i="1"/>
  <c r="C9" i="1"/>
  <c r="B4" i="1"/>
  <c r="C28" i="1"/>
  <c r="C30" i="1"/>
  <c r="B25" i="1"/>
  <c r="D19" i="1"/>
  <c r="C14" i="1"/>
  <c r="B9" i="1"/>
  <c r="D3" i="1"/>
  <c r="B7" i="1"/>
  <c r="B30" i="1"/>
  <c r="D24" i="1"/>
  <c r="C19" i="1"/>
  <c r="B14" i="1"/>
  <c r="D8" i="1"/>
  <c r="C3" i="1"/>
  <c r="D29" i="1"/>
  <c r="C24" i="1"/>
  <c r="B19" i="1"/>
  <c r="D13" i="1"/>
  <c r="C8" i="1"/>
  <c r="A31" i="1" l="1"/>
  <c r="A27" i="1"/>
  <c r="A25" i="1"/>
  <c r="A15" i="1"/>
  <c r="A11" i="1"/>
  <c r="A9" i="1"/>
  <c r="A3" i="1" a="1"/>
  <c r="A26" i="1" s="1"/>
  <c r="A12" i="1" l="1"/>
  <c r="A28" i="1"/>
  <c r="A13" i="1"/>
  <c r="A29" i="1"/>
  <c r="A14" i="1"/>
  <c r="A30" i="1"/>
  <c r="A16" i="1"/>
  <c r="A32" i="1"/>
  <c r="A17" i="1"/>
  <c r="A18" i="1"/>
  <c r="A3" i="1"/>
  <c r="A19" i="1"/>
  <c r="A4" i="1"/>
  <c r="A20" i="1"/>
  <c r="A5" i="1"/>
  <c r="A21" i="1"/>
  <c r="A6" i="1"/>
  <c r="A22" i="1"/>
  <c r="A7" i="1"/>
  <c r="A23" i="1"/>
  <c r="A8" i="1"/>
  <c r="A24" i="1"/>
  <c r="A10" i="1"/>
  <c r="C34" i="1" l="1"/>
  <c r="D34" i="1"/>
  <c r="B34" i="1"/>
</calcChain>
</file>

<file path=xl/sharedStrings.xml><?xml version="1.0" encoding="utf-8"?>
<sst xmlns="http://schemas.openxmlformats.org/spreadsheetml/2006/main" count="12" uniqueCount="12">
  <si>
    <t>THE SECOND PASS REGRESSION FOR EXCESS RETURNS</t>
  </si>
  <si>
    <t>Stock</t>
  </si>
  <si>
    <t>Average
monthly
excess
return</t>
  </si>
  <si>
    <t>Beta</t>
  </si>
  <si>
    <t>Alpha</t>
  </si>
  <si>
    <t>Second-pass regression, regressing monthly returns on Beta</t>
  </si>
  <si>
    <t>Intercept</t>
  </si>
  <si>
    <t>Slope</t>
  </si>
  <si>
    <t>R-squared</t>
  </si>
  <si>
    <t>t-statistic, intercept</t>
  </si>
  <si>
    <t>t-statistic, slope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</si>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</sst>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10" fontId="2" fillId="0" borderId="0" xfId="1" applyNumberFormat="1" applyAlignment="1"/>
    <xf numFmtId="176" fontId="0" fillId="0" borderId="0" xfId="0" applyNumberFormat="1" applyAlignment="1"/>
    <xf numFmtId="0" fontId="4" fillId="0" borderId="0" xfId="0" applyFont="1" applyAlignment="1"/>
    <xf numFmtId="0" fontId="0" fillId="2" borderId="0" xfId="0" applyFill="1" applyAlignment="1"/>
    <xf numFmtId="176" fontId="0" fillId="2" borderId="0" xfId="0" applyNumberFormat="1" applyFill="1" applyAlignment="1"/>
    <xf numFmtId="10" fontId="0" fillId="0" borderId="0" xfId="0" applyNumberFormat="1" applyAlignment="1"/>
    <xf numFmtId="2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0</xdr:row>
      <xdr:rowOff>133350</xdr:rowOff>
    </xdr:from>
    <xdr:to>
      <xdr:col>22</xdr:col>
      <xdr:colOff>114300</xdr:colOff>
      <xdr:row>38</xdr:row>
      <xdr:rowOff>19050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53AA7F0-D480-4B46-E904-17AF119F9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629650" y="133350"/>
          <a:ext cx="8439150" cy="6934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1\charpter_02.xlsm" TargetMode="External"/><Relationship Id="rId1" Type="http://schemas.openxmlformats.org/officeDocument/2006/relationships/externalLinkPath" Target="charpter_02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21, top"/>
      <sheetName val="Page 321, top中文"/>
      <sheetName val="Page 321, bottom"/>
      <sheetName val="Page 321, bottom中文"/>
      <sheetName val="Page 322"/>
      <sheetName val="Page 322中文"/>
      <sheetName val="Page 324, chart"/>
      <sheetName val="Page 324, chart中文"/>
      <sheetName val="Page 325"/>
      <sheetName val="Page 325中文"/>
      <sheetName val="Page 326"/>
      <sheetName val="Page 326中文"/>
      <sheetName val="Page 327"/>
      <sheetName val="Page 327中文"/>
      <sheetName val="Page 328"/>
      <sheetName val="Page 328 (2)"/>
      <sheetName val="Page 328 (；；；)"/>
      <sheetName val="Page 329"/>
      <sheetName val="Page 329中文"/>
      <sheetName val="Page 329, not shown"/>
      <sheetName val="Page 329, not shown (中文）"/>
      <sheetName val="Page 330"/>
      <sheetName val="Page 330 (中文)"/>
      <sheetName val="Page 331"/>
      <sheetName val="Page 331中文"/>
      <sheetName val="Page 332"/>
      <sheetName val="Page 332中文"/>
      <sheetName val="DJ return over rf"/>
      <sheetName val="DJ return over rf中文"/>
      <sheetName val="Second pass over rf"/>
      <sheetName val="Second pass over rf中文"/>
      <sheetName val="St. Louis Fed, interest rates"/>
      <sheetName val="St. Louis Fed, interest rates中文"/>
    </sheetNames>
    <sheetDataSet>
      <sheetData sheetId="0"/>
      <sheetData sheetId="1"/>
      <sheetData sheetId="2">
        <row r="2">
          <cell r="C2" t="str">
            <v>Alcoa 
AA</v>
          </cell>
          <cell r="D2" t="str">
            <v>American International Group 
AIG</v>
          </cell>
          <cell r="E2" t="str">
            <v>American Express AXP</v>
          </cell>
          <cell r="F2" t="str">
            <v>Boeing BA</v>
          </cell>
          <cell r="G2" t="str">
            <v>Citigroup C</v>
          </cell>
          <cell r="H2" t="str">
            <v>Caterpillar CAT</v>
          </cell>
          <cell r="I2" t="str">
            <v>Du Pont DD</v>
          </cell>
          <cell r="J2" t="str">
            <v>Disney DIS</v>
          </cell>
          <cell r="K2" t="str">
            <v>General Electric GE</v>
          </cell>
          <cell r="L2" t="str">
            <v>General Motors GM</v>
          </cell>
          <cell r="M2" t="str">
            <v>Home Depot HD</v>
          </cell>
          <cell r="N2" t="str">
            <v>Honeywell HON</v>
          </cell>
          <cell r="O2" t="str">
            <v>Hewlitt Packard HPQ</v>
          </cell>
          <cell r="P2" t="str">
            <v>IBM</v>
          </cell>
          <cell r="Q2" t="str">
            <v>Intel 
INTC</v>
          </cell>
          <cell r="R2" t="str">
            <v>Johnson &amp; Johnson JNJ</v>
          </cell>
          <cell r="S2" t="str">
            <v>JP Morgan JPM</v>
          </cell>
          <cell r="T2" t="str">
            <v>Coca Cola 
KO</v>
          </cell>
          <cell r="U2" t="str">
            <v>McDonalds 
MCD</v>
          </cell>
          <cell r="V2" t="str">
            <v>3M 
MMM</v>
          </cell>
          <cell r="W2" t="str">
            <v>Altria
MO</v>
          </cell>
          <cell r="X2" t="str">
            <v>Merck 
MRK</v>
          </cell>
          <cell r="Y2" t="str">
            <v>Microsoft 
MSFT</v>
          </cell>
          <cell r="Z2" t="str">
            <v>Pfizer 
PFE</v>
          </cell>
          <cell r="AA2" t="str">
            <v>Proctor Gamble 
PG</v>
          </cell>
          <cell r="AB2" t="str">
            <v>AT&amp;T 
T</v>
          </cell>
          <cell r="AC2" t="str">
            <v>United Technologies UTX</v>
          </cell>
          <cell r="AD2" t="str">
            <v>Verizon 
VZ</v>
          </cell>
          <cell r="AE2" t="str">
            <v>Walmart 
WMT</v>
          </cell>
          <cell r="AF2" t="str">
            <v>Exxon Mobil 
XOM</v>
          </cell>
        </row>
      </sheetData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C2" t="str">
            <v>Alcoa 
AA</v>
          </cell>
        </row>
        <row r="4">
          <cell r="C4">
            <v>-8.8045232999497481E-4</v>
          </cell>
          <cell r="D4">
            <v>-5.3560524791288885E-3</v>
          </cell>
          <cell r="E4">
            <v>7.2078563356630853E-3</v>
          </cell>
          <cell r="F4">
            <v>6.6601094741208884E-3</v>
          </cell>
          <cell r="G4">
            <v>3.010192138065507E-3</v>
          </cell>
          <cell r="H4">
            <v>1.7944538670859995E-2</v>
          </cell>
          <cell r="I4">
            <v>1.8457819966479114E-3</v>
          </cell>
          <cell r="J4">
            <v>2.9306515581315239E-3</v>
          </cell>
          <cell r="K4">
            <v>-2.3445913734344336E-3</v>
          </cell>
          <cell r="L4">
            <v>-8.7115866553562366E-3</v>
          </cell>
          <cell r="M4">
            <v>-5.1789842829916052E-3</v>
          </cell>
          <cell r="N4">
            <v>2.8938752782178977E-3</v>
          </cell>
          <cell r="O4">
            <v>6.0646047398152676E-3</v>
          </cell>
          <cell r="P4">
            <v>-4.651234583685872E-3</v>
          </cell>
          <cell r="Q4">
            <v>-7.2648065901253448E-3</v>
          </cell>
          <cell r="R4">
            <v>3.3741700376054302E-3</v>
          </cell>
          <cell r="S4">
            <v>1.8475201624128701E-3</v>
          </cell>
          <cell r="T4">
            <v>1.1711236870348115E-3</v>
          </cell>
          <cell r="U4">
            <v>3.4537024601776645E-3</v>
          </cell>
          <cell r="V4">
            <v>6.3742097805926674E-3</v>
          </cell>
          <cell r="W4">
            <v>1.3025248898244331E-2</v>
          </cell>
          <cell r="X4">
            <v>-6.3084472440219719E-3</v>
          </cell>
          <cell r="Y4">
            <v>-3.5204556814594479E-3</v>
          </cell>
          <cell r="Z4">
            <v>-7.4336132638093003E-3</v>
          </cell>
          <cell r="AA4">
            <v>9.4023212973838102E-3</v>
          </cell>
          <cell r="AB4">
            <v>-4.1344123560427496E-3</v>
          </cell>
          <cell r="AC4">
            <v>1.0325623468400351E-2</v>
          </cell>
          <cell r="AD4">
            <v>-4.91148259418305E-3</v>
          </cell>
          <cell r="AE4">
            <v>-2.5204525972353053E-3</v>
          </cell>
          <cell r="AF4">
            <v>8.7784223052485757E-3</v>
          </cell>
        </row>
        <row r="5">
          <cell r="C5">
            <v>1.9027983836619957</v>
          </cell>
          <cell r="D5">
            <v>0.99357597429546707</v>
          </cell>
          <cell r="E5">
            <v>1.3784130266948689</v>
          </cell>
          <cell r="F5">
            <v>1.1514634616640862</v>
          </cell>
          <cell r="G5">
            <v>1.2951646980207125</v>
          </cell>
          <cell r="H5">
            <v>1.3903214616252038</v>
          </cell>
          <cell r="I5">
            <v>1.0009466005598446</v>
          </cell>
          <cell r="J5">
            <v>1.2805379702174076</v>
          </cell>
          <cell r="K5">
            <v>0.84198822730205147</v>
          </cell>
          <cell r="L5">
            <v>1.4059650700066386</v>
          </cell>
          <cell r="M5">
            <v>1.552790870242573</v>
          </cell>
          <cell r="N5">
            <v>1.6639716851986359</v>
          </cell>
          <cell r="O5">
            <v>1.9594245248915774</v>
          </cell>
          <cell r="P5">
            <v>1.5764137929690809</v>
          </cell>
          <cell r="Q5">
            <v>2.2648399177150527</v>
          </cell>
          <cell r="R5">
            <v>0.24707693477970649</v>
          </cell>
          <cell r="S5">
            <v>1.7916694423015864</v>
          </cell>
          <cell r="T5">
            <v>0.35903260375546042</v>
          </cell>
          <cell r="U5">
            <v>1.2645943445894277</v>
          </cell>
          <cell r="V5">
            <v>0.65043868573479957</v>
          </cell>
          <cell r="W5">
            <v>0.66329440207335677</v>
          </cell>
          <cell r="X5">
            <v>0.60992724226830031</v>
          </cell>
          <cell r="Y5">
            <v>1.1219401416299413</v>
          </cell>
          <cell r="Z5">
            <v>0.55717127351603968</v>
          </cell>
          <cell r="AA5">
            <v>0.16872571999704272</v>
          </cell>
          <cell r="AB5">
            <v>1.127501815122895</v>
          </cell>
          <cell r="AC5">
            <v>1.0659180109233315</v>
          </cell>
          <cell r="AD5">
            <v>1.0231125023839318</v>
          </cell>
          <cell r="AE5">
            <v>0.6000114438168378</v>
          </cell>
          <cell r="AF5">
            <v>0.6455250865233817</v>
          </cell>
        </row>
        <row r="6">
          <cell r="C6">
            <v>-2.2699748020782295E-3</v>
          </cell>
          <cell r="D6">
            <v>-6.0816133981730618E-3</v>
          </cell>
          <cell r="E6">
            <v>6.201267359736644E-3</v>
          </cell>
          <cell r="F6">
            <v>5.819250889468424E-3</v>
          </cell>
          <cell r="G6">
            <v>2.0643954270733529E-3</v>
          </cell>
          <cell r="H6">
            <v>1.692925353558997E-2</v>
          </cell>
          <cell r="I6">
            <v>1.1148386624642162E-3</v>
          </cell>
          <cell r="J6">
            <v>1.9955360454997672E-3</v>
          </cell>
          <cell r="K6">
            <v>-2.9594550253648688E-3</v>
          </cell>
          <cell r="L6">
            <v>-9.738295568141063E-3</v>
          </cell>
          <cell r="M6">
            <v>-6.3129130413791994E-3</v>
          </cell>
          <cell r="N6">
            <v>1.6787564987684491E-3</v>
          </cell>
          <cell r="O6">
            <v>4.6337309104776334E-3</v>
          </cell>
          <cell r="P6">
            <v>-5.8024140304630562E-3</v>
          </cell>
          <cell r="Q6">
            <v>-8.9187106444685409E-3</v>
          </cell>
          <cell r="R6">
            <v>3.1937415927645622E-3</v>
          </cell>
          <cell r="S6">
            <v>5.3914983059049379E-4</v>
          </cell>
          <cell r="T6">
            <v>9.0893938237471543E-4</v>
          </cell>
          <cell r="U6">
            <v>2.5302298132781798E-3</v>
          </cell>
          <cell r="V6">
            <v>5.8992255792705015E-3</v>
          </cell>
          <cell r="W6">
            <v>1.2540876783362572E-2</v>
          </cell>
          <cell r="X6">
            <v>-6.7538478796040323E-3</v>
          </cell>
          <cell r="Y6">
            <v>-4.3397548003323589E-3</v>
          </cell>
          <cell r="Z6">
            <v>-7.8404887436275064E-3</v>
          </cell>
          <cell r="AA6">
            <v>9.2791089898858845E-3</v>
          </cell>
          <cell r="AB6">
            <v>-4.9577728985363686E-3</v>
          </cell>
          <cell r="AC6">
            <v>9.5472346268427929E-3</v>
          </cell>
          <cell r="AD6">
            <v>-5.658612624215879E-3</v>
          </cell>
          <cell r="AE6">
            <v>-2.9586122004014994E-3</v>
          </cell>
          <cell r="AF6">
            <v>8.3070262699568732E-3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4"/>
  <sheetViews>
    <sheetView tabSelected="1" zoomScale="145" zoomScaleNormal="145" workbookViewId="0">
      <selection activeCell="H9" sqref="H9"/>
    </sheetView>
  </sheetViews>
  <sheetFormatPr defaultRowHeight="13.8" x14ac:dyDescent="0.25"/>
  <cols>
    <col min="1" max="1" width="30.88671875" style="3" bestFit="1" customWidth="1"/>
    <col min="2" max="5" width="8.88671875" style="3"/>
    <col min="6" max="6" width="17.109375" style="3" customWidth="1"/>
    <col min="7" max="7" width="8.88671875" style="3"/>
    <col min="8" max="8" width="30.44140625" style="3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ht="52.8" x14ac:dyDescent="0.25">
      <c r="A2" s="2" t="s">
        <v>1</v>
      </c>
      <c r="B2" s="2" t="s">
        <v>2</v>
      </c>
      <c r="C2" s="2" t="s">
        <v>3</v>
      </c>
      <c r="D2" s="2" t="s">
        <v>4</v>
      </c>
    </row>
    <row r="3" spans="1:8" x14ac:dyDescent="0.25">
      <c r="A3" s="3" t="str">
        <f t="array" ref="A3:A32">TRANSPOSE('[1]Page 321, bottom'!C2:AF2)</f>
        <v>Alcoa 
AA</v>
      </c>
      <c r="B3" s="4">
        <f t="array" ref="B3:D32">TRANSPOSE([2]Sheet1!$C$4:$AF$6)</f>
        <v>-8.8045232999497481E-4</v>
      </c>
      <c r="C3" s="5">
        <v>1.9027983836619957</v>
      </c>
      <c r="D3" s="5">
        <v>-2.2699748020782295E-3</v>
      </c>
      <c r="F3" s="6" t="s">
        <v>5</v>
      </c>
    </row>
    <row r="4" spans="1:8" x14ac:dyDescent="0.25">
      <c r="A4" s="3" t="str">
        <v>American International Group 
AIG</v>
      </c>
      <c r="B4" s="4">
        <v>-5.3560524791288885E-3</v>
      </c>
      <c r="C4" s="5">
        <v>0.99357597429546707</v>
      </c>
      <c r="D4" s="5">
        <v>-6.0816133981730618E-3</v>
      </c>
      <c r="F4" s="7" t="s">
        <v>6</v>
      </c>
      <c r="G4" s="8">
        <f>INTERCEPT(B3:B32,C3:C32)</f>
        <v>3.6425889567742002E-3</v>
      </c>
      <c r="H4" s="3" t="str">
        <f ca="1">[3]!getformula(G4)</f>
        <v>&lt;--  =INTERCEPT(B3:B32,C3:C32)</v>
      </c>
    </row>
    <row r="5" spans="1:8" x14ac:dyDescent="0.25">
      <c r="A5" s="3" t="str">
        <v>American Express AXP</v>
      </c>
      <c r="B5" s="4">
        <v>7.2078563356630853E-3</v>
      </c>
      <c r="C5" s="5">
        <v>1.3784130266948689</v>
      </c>
      <c r="D5" s="5">
        <v>6.201267359736644E-3</v>
      </c>
      <c r="F5" s="7" t="s">
        <v>7</v>
      </c>
      <c r="G5" s="8">
        <f>SLOPE(B3:B32,C3:C32)</f>
        <v>-1.9724382524452431E-3</v>
      </c>
      <c r="H5" s="3" t="str">
        <f ca="1">[3]!getformula(G5)</f>
        <v>&lt;--  =SLOPE(B3:B32,C3:C32)</v>
      </c>
    </row>
    <row r="6" spans="1:8" x14ac:dyDescent="0.25">
      <c r="A6" s="3" t="str">
        <v>Boeing BA</v>
      </c>
      <c r="B6" s="4">
        <v>6.6601094741208884E-3</v>
      </c>
      <c r="C6" s="5">
        <v>1.1514634616640862</v>
      </c>
      <c r="D6" s="5">
        <v>5.819250889468424E-3</v>
      </c>
      <c r="F6" s="7" t="s">
        <v>8</v>
      </c>
      <c r="G6" s="8">
        <f>RSQ(B3:B32,C3:C32)</f>
        <v>2.3752424923938472E-2</v>
      </c>
      <c r="H6" s="3" t="str">
        <f ca="1">[3]!getformula(G6)</f>
        <v>&lt;--  =RSQ(B3:B32,C3:C32)</v>
      </c>
    </row>
    <row r="7" spans="1:8" x14ac:dyDescent="0.25">
      <c r="A7" s="3" t="str">
        <v>Citigroup C</v>
      </c>
      <c r="B7" s="4">
        <v>3.010192138065507E-3</v>
      </c>
      <c r="C7" s="5">
        <v>1.2951646980207125</v>
      </c>
      <c r="D7" s="5">
        <v>2.0643954270733529E-3</v>
      </c>
    </row>
    <row r="8" spans="1:8" x14ac:dyDescent="0.25">
      <c r="A8" s="3" t="str">
        <v>Caterpillar CAT</v>
      </c>
      <c r="B8" s="4">
        <v>1.7944538670859995E-2</v>
      </c>
      <c r="C8" s="5">
        <v>1.3903214616252038</v>
      </c>
      <c r="D8" s="5">
        <v>1.692925353558997E-2</v>
      </c>
      <c r="F8" s="7" t="s">
        <v>9</v>
      </c>
      <c r="G8" s="7">
        <f>[3]!tintercept(B3:B32,C3:C32)</f>
        <v>1.2381299713814959</v>
      </c>
      <c r="H8" s="3" t="str">
        <f ca="1">[3]!getformula(G8)</f>
        <v>&lt;--  =tintercept(B3:B32,C3:C32)</v>
      </c>
    </row>
    <row r="9" spans="1:8" x14ac:dyDescent="0.25">
      <c r="A9" s="3" t="str">
        <v>Du Pont DD</v>
      </c>
      <c r="B9" s="4">
        <v>1.8457819966479114E-3</v>
      </c>
      <c r="C9" s="5">
        <v>1.0009466005598446</v>
      </c>
      <c r="D9" s="5">
        <v>1.1148386624642162E-3</v>
      </c>
      <c r="F9" s="7" t="s">
        <v>10</v>
      </c>
      <c r="G9" s="7">
        <f>[3]!tslope(B3:B32,C3:C32)</f>
        <v>-0.82537822771998082</v>
      </c>
      <c r="H9" s="3" t="str">
        <f ca="1">[3]!getformula(G9)</f>
        <v>&lt;--  =tslope(B3:B32,C3:C32)</v>
      </c>
    </row>
    <row r="10" spans="1:8" x14ac:dyDescent="0.25">
      <c r="A10" s="3" t="str">
        <v>Disney DIS</v>
      </c>
      <c r="B10" s="4">
        <v>2.9306515581315239E-3</v>
      </c>
      <c r="C10" s="5">
        <v>1.2805379702174076</v>
      </c>
      <c r="D10" s="5">
        <v>1.9955360454997672E-3</v>
      </c>
    </row>
    <row r="11" spans="1:8" x14ac:dyDescent="0.25">
      <c r="A11" s="3" t="str">
        <v>General Electric GE</v>
      </c>
      <c r="B11" s="4">
        <v>-2.3445913734344336E-3</v>
      </c>
      <c r="C11" s="5">
        <v>0.84198822730205147</v>
      </c>
      <c r="D11" s="5">
        <v>-2.9594550253648688E-3</v>
      </c>
    </row>
    <row r="12" spans="1:8" x14ac:dyDescent="0.25">
      <c r="A12" s="3" t="str">
        <v>General Motors GM</v>
      </c>
      <c r="B12" s="4">
        <v>-8.7115866553562366E-3</v>
      </c>
      <c r="C12" s="5">
        <v>1.4059650700066386</v>
      </c>
      <c r="D12" s="5">
        <v>-9.738295568141063E-3</v>
      </c>
    </row>
    <row r="13" spans="1:8" x14ac:dyDescent="0.25">
      <c r="A13" s="3" t="str">
        <v>Home Depot HD</v>
      </c>
      <c r="B13" s="4">
        <v>-5.1789842829916052E-3</v>
      </c>
      <c r="C13" s="5">
        <v>1.552790870242573</v>
      </c>
      <c r="D13" s="5">
        <v>-6.3129130413791994E-3</v>
      </c>
    </row>
    <row r="14" spans="1:8" x14ac:dyDescent="0.25">
      <c r="A14" s="3" t="str">
        <v>Honeywell HON</v>
      </c>
      <c r="B14" s="4">
        <v>2.8938752782178977E-3</v>
      </c>
      <c r="C14" s="5">
        <v>1.6639716851986359</v>
      </c>
      <c r="D14" s="5">
        <v>1.6787564987684491E-3</v>
      </c>
    </row>
    <row r="15" spans="1:8" x14ac:dyDescent="0.25">
      <c r="A15" s="3" t="str">
        <v>Hewlitt Packard HPQ</v>
      </c>
      <c r="B15" s="4">
        <v>6.0646047398152676E-3</v>
      </c>
      <c r="C15" s="5">
        <v>1.9594245248915774</v>
      </c>
      <c r="D15" s="5">
        <v>4.6337309104776334E-3</v>
      </c>
    </row>
    <row r="16" spans="1:8" x14ac:dyDescent="0.25">
      <c r="A16" s="3" t="str">
        <v>IBM</v>
      </c>
      <c r="B16" s="4">
        <v>-4.651234583685872E-3</v>
      </c>
      <c r="C16" s="5">
        <v>1.5764137929690809</v>
      </c>
      <c r="D16" s="5">
        <v>-5.8024140304630562E-3</v>
      </c>
    </row>
    <row r="17" spans="1:4" x14ac:dyDescent="0.25">
      <c r="A17" s="3" t="str">
        <v>Intel 
INTC</v>
      </c>
      <c r="B17" s="4">
        <v>-7.2648065901253448E-3</v>
      </c>
      <c r="C17" s="5">
        <v>2.2648399177150527</v>
      </c>
      <c r="D17" s="5">
        <v>-8.9187106444685409E-3</v>
      </c>
    </row>
    <row r="18" spans="1:4" x14ac:dyDescent="0.25">
      <c r="A18" s="3" t="str">
        <v>Johnson &amp; Johnson JNJ</v>
      </c>
      <c r="B18" s="4">
        <v>3.3741700376054302E-3</v>
      </c>
      <c r="C18" s="5">
        <v>0.24707693477970649</v>
      </c>
      <c r="D18" s="5">
        <v>3.1937415927645622E-3</v>
      </c>
    </row>
    <row r="19" spans="1:4" x14ac:dyDescent="0.25">
      <c r="A19" s="3" t="str">
        <v>JP Morgan JPM</v>
      </c>
      <c r="B19" s="4">
        <v>1.8475201624128701E-3</v>
      </c>
      <c r="C19" s="5">
        <v>1.7916694423015864</v>
      </c>
      <c r="D19" s="5">
        <v>5.3914983059049379E-4</v>
      </c>
    </row>
    <row r="20" spans="1:4" x14ac:dyDescent="0.25">
      <c r="A20" s="3" t="str">
        <v>Coca Cola 
KO</v>
      </c>
      <c r="B20" s="4">
        <v>1.1711236870348115E-3</v>
      </c>
      <c r="C20" s="5">
        <v>0.35903260375546042</v>
      </c>
      <c r="D20" s="5">
        <v>9.0893938237471543E-4</v>
      </c>
    </row>
    <row r="21" spans="1:4" x14ac:dyDescent="0.25">
      <c r="A21" s="3" t="str">
        <v>McDonalds 
MCD</v>
      </c>
      <c r="B21" s="4">
        <v>3.4537024601776645E-3</v>
      </c>
      <c r="C21" s="5">
        <v>1.2645943445894277</v>
      </c>
      <c r="D21" s="5">
        <v>2.5302298132781798E-3</v>
      </c>
    </row>
    <row r="22" spans="1:4" x14ac:dyDescent="0.25">
      <c r="A22" s="3" t="str">
        <v>3M 
MMM</v>
      </c>
      <c r="B22" s="4">
        <v>6.3742097805926674E-3</v>
      </c>
      <c r="C22" s="5">
        <v>0.65043868573479957</v>
      </c>
      <c r="D22" s="5">
        <v>5.8992255792705015E-3</v>
      </c>
    </row>
    <row r="23" spans="1:4" x14ac:dyDescent="0.25">
      <c r="A23" s="3" t="str">
        <v>Altria
MO</v>
      </c>
      <c r="B23" s="4">
        <v>1.3025248898244331E-2</v>
      </c>
      <c r="C23" s="5">
        <v>0.66329440207335677</v>
      </c>
      <c r="D23" s="5">
        <v>1.2540876783362572E-2</v>
      </c>
    </row>
    <row r="24" spans="1:4" x14ac:dyDescent="0.25">
      <c r="A24" s="3" t="str">
        <v>Merck 
MRK</v>
      </c>
      <c r="B24" s="4">
        <v>-6.3084472440219719E-3</v>
      </c>
      <c r="C24" s="5">
        <v>0.60992724226830031</v>
      </c>
      <c r="D24" s="5">
        <v>-6.7538478796040323E-3</v>
      </c>
    </row>
    <row r="25" spans="1:4" x14ac:dyDescent="0.25">
      <c r="A25" s="3" t="str">
        <v>Microsoft 
MSFT</v>
      </c>
      <c r="B25" s="4">
        <v>-3.5204556814594479E-3</v>
      </c>
      <c r="C25" s="5">
        <v>1.1219401416299413</v>
      </c>
      <c r="D25" s="5">
        <v>-4.3397548003323589E-3</v>
      </c>
    </row>
    <row r="26" spans="1:4" x14ac:dyDescent="0.25">
      <c r="A26" s="3" t="str">
        <v>Pfizer 
PFE</v>
      </c>
      <c r="B26" s="4">
        <v>-7.4336132638093003E-3</v>
      </c>
      <c r="C26" s="5">
        <v>0.55717127351603968</v>
      </c>
      <c r="D26" s="5">
        <v>-7.8404887436275064E-3</v>
      </c>
    </row>
    <row r="27" spans="1:4" x14ac:dyDescent="0.25">
      <c r="A27" s="3" t="str">
        <v>Proctor Gamble 
PG</v>
      </c>
      <c r="B27" s="4">
        <v>9.4023212973838102E-3</v>
      </c>
      <c r="C27" s="5">
        <v>0.16872571999704272</v>
      </c>
      <c r="D27" s="5">
        <v>9.2791089898858845E-3</v>
      </c>
    </row>
    <row r="28" spans="1:4" x14ac:dyDescent="0.25">
      <c r="A28" s="3" t="str">
        <v>AT&amp;T 
T</v>
      </c>
      <c r="B28" s="4">
        <v>-4.1344123560427496E-3</v>
      </c>
      <c r="C28" s="5">
        <v>1.127501815122895</v>
      </c>
      <c r="D28" s="5">
        <v>-4.9577728985363686E-3</v>
      </c>
    </row>
    <row r="29" spans="1:4" x14ac:dyDescent="0.25">
      <c r="A29" s="3" t="str">
        <v>United Technologies UTX</v>
      </c>
      <c r="B29" s="4">
        <v>1.0325623468400351E-2</v>
      </c>
      <c r="C29" s="5">
        <v>1.0659180109233315</v>
      </c>
      <c r="D29" s="5">
        <v>9.5472346268427929E-3</v>
      </c>
    </row>
    <row r="30" spans="1:4" x14ac:dyDescent="0.25">
      <c r="A30" s="3" t="str">
        <v>Verizon 
VZ</v>
      </c>
      <c r="B30" s="4">
        <v>-4.91148259418305E-3</v>
      </c>
      <c r="C30" s="5">
        <v>1.0231125023839318</v>
      </c>
      <c r="D30" s="5">
        <v>-5.658612624215879E-3</v>
      </c>
    </row>
    <row r="31" spans="1:4" x14ac:dyDescent="0.25">
      <c r="A31" s="3" t="str">
        <v>Walmart 
WMT</v>
      </c>
      <c r="B31" s="4">
        <v>-2.5204525972353053E-3</v>
      </c>
      <c r="C31" s="5">
        <v>0.6000114438168378</v>
      </c>
      <c r="D31" s="5">
        <v>-2.9586122004014994E-3</v>
      </c>
    </row>
    <row r="32" spans="1:4" x14ac:dyDescent="0.25">
      <c r="A32" s="3" t="str">
        <v>Exxon Mobil 
XOM</v>
      </c>
      <c r="B32" s="4">
        <v>8.7784223052485757E-3</v>
      </c>
      <c r="C32" s="5">
        <v>0.6455250865233817</v>
      </c>
      <c r="D32" s="5">
        <v>8.3070262699568732E-3</v>
      </c>
    </row>
    <row r="34" spans="1:4" x14ac:dyDescent="0.25">
      <c r="A34" s="3" t="s">
        <v>11</v>
      </c>
      <c r="B34" s="9">
        <f>AVERAGE(B3:B31)</f>
        <v>1.1832744121346491E-3</v>
      </c>
      <c r="C34" s="10">
        <f>AVERAGE(C3:C31)</f>
        <v>1.1347941457916499</v>
      </c>
      <c r="D34" s="9">
        <f>AVERAGE(D3:D31)</f>
        <v>3.5458863002284463E-4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2024-11-04T09:22:02Z</dcterms:modified>
</cp:coreProperties>
</file>